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ro/Library/CloudStorage/Dropbox/BAS/Data/R/Papers_R/2024_DeVleeschouwer/ACE_Errors/Data/Output/Repeat_err/Marion/"/>
    </mc:Choice>
  </mc:AlternateContent>
  <xr:revisionPtr revIDLastSave="0" documentId="13_ncr:9_{DDF82A89-768F-AB4B-AC74-B1C88D4F2DEF}" xr6:coauthVersionLast="47" xr6:coauthVersionMax="47" xr10:uidLastSave="{00000000-0000-0000-0000-000000000000}"/>
  <bookViews>
    <workbookView xWindow="-49300" yWindow="1560" windowWidth="37640" windowHeight="24440" xr2:uid="{D595D6CD-D023-364F-B726-31C72EA0D406}"/>
  </bookViews>
  <sheets>
    <sheet name="TableS2_repeat_error" sheetId="2" r:id="rId1"/>
    <sheet name="MI1_rep_err_all_calc" sheetId="1" r:id="rId2"/>
  </sheets>
  <calcPr calcId="0"/>
</workbook>
</file>

<file path=xl/calcChain.xml><?xml version="1.0" encoding="utf-8"?>
<calcChain xmlns="http://schemas.openxmlformats.org/spreadsheetml/2006/main">
  <c r="C27" i="2" l="1"/>
  <c r="C26" i="2" s="1"/>
  <c r="C25" i="2" s="1"/>
  <c r="C24" i="2" s="1"/>
  <c r="C23" i="2" s="1"/>
  <c r="C22" i="2" s="1"/>
  <c r="C21" i="2" s="1"/>
  <c r="C20" i="2" s="1"/>
  <c r="C19" i="2" s="1"/>
  <c r="C18" i="2" s="1"/>
  <c r="C28" i="2"/>
  <c r="C378" i="1"/>
  <c r="C377" i="1"/>
  <c r="Q378" i="1"/>
  <c r="O378" i="1"/>
  <c r="D380" i="1"/>
  <c r="M378" i="1"/>
  <c r="K378" i="1"/>
  <c r="I378" i="1"/>
  <c r="E378" i="1"/>
  <c r="G378" i="1"/>
  <c r="E376" i="1" l="1"/>
  <c r="F380" i="1"/>
  <c r="G376" i="1"/>
  <c r="H380" i="1"/>
  <c r="I376" i="1"/>
  <c r="J380" i="1"/>
  <c r="K376" i="1"/>
  <c r="L380" i="1"/>
  <c r="M376" i="1"/>
  <c r="N380" i="1"/>
  <c r="N381" i="1" s="1"/>
  <c r="O376" i="1"/>
  <c r="P380" i="1"/>
  <c r="Q376" i="1"/>
  <c r="R380" i="1"/>
  <c r="E377" i="1"/>
  <c r="G377" i="1"/>
  <c r="I377" i="1"/>
  <c r="K377" i="1"/>
  <c r="M377" i="1"/>
  <c r="O377" i="1"/>
  <c r="Q377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D387" i="1"/>
  <c r="E387" i="1"/>
  <c r="F387" i="1"/>
  <c r="E379" i="1" s="1"/>
  <c r="G387" i="1"/>
  <c r="H387" i="1"/>
  <c r="I387" i="1"/>
  <c r="J387" i="1"/>
  <c r="K387" i="1"/>
  <c r="L387" i="1"/>
  <c r="M387" i="1"/>
  <c r="N387" i="1"/>
  <c r="O387" i="1"/>
  <c r="P387" i="1"/>
  <c r="Q387" i="1"/>
  <c r="R387" i="1"/>
  <c r="Q379" i="1" s="1"/>
  <c r="C387" i="1"/>
  <c r="C384" i="1"/>
  <c r="C385" i="1"/>
  <c r="C376" i="1"/>
  <c r="I379" i="1" l="1"/>
  <c r="G379" i="1"/>
  <c r="M379" i="1"/>
  <c r="O379" i="1"/>
  <c r="K379" i="1"/>
  <c r="C379" i="1"/>
  <c r="D382" i="1"/>
  <c r="H381" i="1"/>
  <c r="L381" i="1"/>
  <c r="J383" i="1"/>
  <c r="J381" i="1"/>
  <c r="R381" i="1"/>
  <c r="F381" i="1"/>
  <c r="P381" i="1"/>
  <c r="D381" i="1"/>
  <c r="N382" i="1"/>
  <c r="N383" i="1"/>
  <c r="L382" i="1"/>
  <c r="L383" i="1"/>
  <c r="H383" i="1"/>
  <c r="F383" i="1"/>
  <c r="R383" i="1"/>
  <c r="P383" i="1"/>
  <c r="D383" i="1"/>
  <c r="J382" i="1"/>
  <c r="R382" i="1"/>
  <c r="H382" i="1"/>
  <c r="F382" i="1"/>
  <c r="P382" i="1"/>
</calcChain>
</file>

<file path=xl/sharedStrings.xml><?xml version="1.0" encoding="utf-8"?>
<sst xmlns="http://schemas.openxmlformats.org/spreadsheetml/2006/main" count="498" uniqueCount="61">
  <si>
    <t>Section</t>
  </si>
  <si>
    <t>position</t>
  </si>
  <si>
    <t>Ca</t>
  </si>
  <si>
    <t>Ca_SD</t>
  </si>
  <si>
    <t>Ti</t>
  </si>
  <si>
    <t>Ti_Sd</t>
  </si>
  <si>
    <t>Mn</t>
  </si>
  <si>
    <t>Mn_SD</t>
  </si>
  <si>
    <t>Fe</t>
  </si>
  <si>
    <t>Fe_SD</t>
  </si>
  <si>
    <t>Sr</t>
  </si>
  <si>
    <t>Sr_SD</t>
  </si>
  <si>
    <t>Zr</t>
  </si>
  <si>
    <t>Zr_SD</t>
  </si>
  <si>
    <t>inc</t>
  </si>
  <si>
    <t>inc_SD</t>
  </si>
  <si>
    <t>coh</t>
  </si>
  <si>
    <t>coh_SD</t>
  </si>
  <si>
    <t>MI1A</t>
  </si>
  <si>
    <t>MI1B</t>
  </si>
  <si>
    <t>MI1C</t>
  </si>
  <si>
    <t>MI1D</t>
  </si>
  <si>
    <t>MI1E</t>
  </si>
  <si>
    <t>MI1F</t>
  </si>
  <si>
    <t>MI1H</t>
  </si>
  <si>
    <t>MI1I</t>
  </si>
  <si>
    <t>MI1J</t>
  </si>
  <si>
    <t>Max</t>
  </si>
  <si>
    <t>Min</t>
  </si>
  <si>
    <t>n</t>
  </si>
  <si>
    <t>Mean cps +/- SD</t>
  </si>
  <si>
    <t>Mean % SD err</t>
  </si>
  <si>
    <t>Mean %SE</t>
  </si>
  <si>
    <t>Mean SE</t>
  </si>
  <si>
    <t>Mean SD</t>
  </si>
  <si>
    <t>Mean cps +/- SE</t>
  </si>
  <si>
    <t>Mean cps +/- %SE</t>
  </si>
  <si>
    <t>Mean cps</t>
  </si>
  <si>
    <t>n (measurements)</t>
  </si>
  <si>
    <t>n (repeats)</t>
  </si>
  <si>
    <t>Sample population = 2</t>
  </si>
  <si>
    <t>Sample population = 374</t>
  </si>
  <si>
    <t>Mean cps +/- SE (n=2)</t>
  </si>
  <si>
    <t>Mean cps +/- %SE (n=2)</t>
  </si>
  <si>
    <t>Mean % SD (n=374)</t>
  </si>
  <si>
    <t>Mean %SE  (n=374)</t>
  </si>
  <si>
    <t>Min.  (n=374)</t>
  </si>
  <si>
    <t>Max.  (n=374)</t>
  </si>
  <si>
    <t>Position (mm)</t>
  </si>
  <si>
    <t>Ca SD</t>
  </si>
  <si>
    <t>Ti SD</t>
  </si>
  <si>
    <t>Mn SD</t>
  </si>
  <si>
    <t>Fe SD</t>
  </si>
  <si>
    <t>Sr SD</t>
  </si>
  <si>
    <t>Zr SD</t>
  </si>
  <si>
    <t>inc SD</t>
  </si>
  <si>
    <t>coh SD</t>
  </si>
  <si>
    <t>XRF-CS counts per second (cps)</t>
  </si>
  <si>
    <t>:</t>
  </si>
  <si>
    <t>Marion Island MI1 peat record</t>
  </si>
  <si>
    <t>Rest of cores 1A-1J omitted (data available 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</si>
</sst>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164" fontId="18" fillId="0" borderId="0" xfId="0" applyNumberFormat="1" applyFont="1"/>
    <xf numFmtId="2" fontId="18" fillId="0" borderId="0" xfId="0" applyNumberFormat="1" applyFont="1"/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1" fontId="18" fillId="0" borderId="0" xfId="0" applyNumberFormat="1" applyFont="1"/>
    <xf numFmtId="0" fontId="0" fillId="0" borderId="0" xfId="0" applyAlignment="1">
      <alignment horizontal="center"/>
    </xf>
    <xf numFmtId="0" fontId="18" fillId="33" borderId="10" xfId="0" applyFont="1" applyFill="1" applyBorder="1"/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18" fillId="33" borderId="10" xfId="0" applyFont="1" applyFill="1" applyBorder="1" applyAlignment="1">
      <alignment horizontal="center"/>
    </xf>
    <xf numFmtId="0" fontId="0" fillId="33" borderId="11" xfId="0" applyFill="1" applyBorder="1"/>
    <xf numFmtId="0" fontId="0" fillId="33" borderId="11" xfId="0" applyFill="1" applyBorder="1" applyAlignment="1">
      <alignment horizontal="center"/>
    </xf>
    <xf numFmtId="0" fontId="0" fillId="33" borderId="11" xfId="0" applyFill="1" applyBorder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right"/>
    </xf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1" fontId="18" fillId="33" borderId="0" xfId="0" applyNumberFormat="1" applyFont="1" applyFill="1"/>
    <xf numFmtId="164" fontId="18" fillId="33" borderId="0" xfId="0" applyNumberFormat="1" applyFont="1" applyFill="1"/>
    <xf numFmtId="2" fontId="18" fillId="33" borderId="0" xfId="0" applyNumberFormat="1" applyFont="1" applyFill="1"/>
    <xf numFmtId="0" fontId="0" fillId="33" borderId="12" xfId="0" applyFill="1" applyBorder="1"/>
    <xf numFmtId="0" fontId="0" fillId="33" borderId="12" xfId="0" applyFill="1" applyBorder="1" applyAlignment="1">
      <alignment horizontal="center"/>
    </xf>
    <xf numFmtId="0" fontId="18" fillId="33" borderId="12" xfId="0" applyFont="1" applyFill="1" applyBorder="1" applyAlignment="1">
      <alignment horizontal="right"/>
    </xf>
    <xf numFmtId="0" fontId="18" fillId="33" borderId="12" xfId="0" applyFont="1" applyFill="1" applyBorder="1"/>
    <xf numFmtId="0" fontId="19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3CEC-04B7-A544-AC7B-BA1199D10C5D}">
  <dimension ref="A1:U40"/>
  <sheetViews>
    <sheetView tabSelected="1" zoomScale="150" zoomScaleNormal="150" workbookViewId="0">
      <selection activeCell="H17" sqref="H17"/>
    </sheetView>
  </sheetViews>
  <sheetFormatPr baseColWidth="10" defaultRowHeight="16" x14ac:dyDescent="0.2"/>
  <cols>
    <col min="1" max="1" width="3" customWidth="1"/>
    <col min="2" max="2" width="7.33203125" bestFit="1" customWidth="1"/>
    <col min="3" max="3" width="4.1640625" style="7" bestFit="1" customWidth="1"/>
    <col min="4" max="4" width="14" customWidth="1"/>
    <col min="5" max="5" width="7.1640625" bestFit="1" customWidth="1"/>
    <col min="6" max="6" width="6.6640625" bestFit="1" customWidth="1"/>
    <col min="7" max="7" width="5.1640625" bestFit="1" customWidth="1"/>
    <col min="8" max="8" width="5.6640625" bestFit="1" customWidth="1"/>
    <col min="9" max="9" width="6.1640625" customWidth="1"/>
    <col min="10" max="10" width="6.83203125" bestFit="1" customWidth="1"/>
    <col min="11" max="11" width="6.1640625" bestFit="1" customWidth="1"/>
    <col min="12" max="12" width="5.83203125" bestFit="1" customWidth="1"/>
    <col min="13" max="13" width="5.1640625" bestFit="1" customWidth="1"/>
    <col min="14" max="14" width="5.5" bestFit="1" customWidth="1"/>
    <col min="15" max="15" width="5.1640625" bestFit="1" customWidth="1"/>
    <col min="16" max="16" width="5.5" bestFit="1" customWidth="1"/>
    <col min="17" max="17" width="6.1640625" bestFit="1" customWidth="1"/>
    <col min="18" max="18" width="6.33203125" bestFit="1" customWidth="1"/>
    <col min="19" max="19" width="6.1640625" bestFit="1" customWidth="1"/>
    <col min="20" max="20" width="6.83203125" bestFit="1" customWidth="1"/>
    <col min="21" max="21" width="2.6640625" customWidth="1"/>
  </cols>
  <sheetData>
    <row r="1" spans="1:21" x14ac:dyDescent="0.2">
      <c r="A1" s="15"/>
      <c r="B1" s="15"/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">
      <c r="A2" s="15"/>
      <c r="B2" s="8" t="s">
        <v>59</v>
      </c>
      <c r="C2" s="9"/>
      <c r="D2" s="10"/>
      <c r="E2" s="11" t="s">
        <v>57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5"/>
    </row>
    <row r="3" spans="1:21" x14ac:dyDescent="0.2">
      <c r="A3" s="15"/>
      <c r="B3" s="12" t="s">
        <v>0</v>
      </c>
      <c r="C3" s="13" t="s">
        <v>29</v>
      </c>
      <c r="D3" s="13" t="s">
        <v>48</v>
      </c>
      <c r="E3" s="14" t="s">
        <v>2</v>
      </c>
      <c r="F3" s="14" t="s">
        <v>49</v>
      </c>
      <c r="G3" s="14" t="s">
        <v>4</v>
      </c>
      <c r="H3" s="14" t="s">
        <v>50</v>
      </c>
      <c r="I3" s="14" t="s">
        <v>6</v>
      </c>
      <c r="J3" s="14" t="s">
        <v>51</v>
      </c>
      <c r="K3" s="14" t="s">
        <v>8</v>
      </c>
      <c r="L3" s="14" t="s">
        <v>52</v>
      </c>
      <c r="M3" s="14" t="s">
        <v>10</v>
      </c>
      <c r="N3" s="14" t="s">
        <v>53</v>
      </c>
      <c r="O3" s="14" t="s">
        <v>12</v>
      </c>
      <c r="P3" s="14" t="s">
        <v>54</v>
      </c>
      <c r="Q3" s="14" t="s">
        <v>14</v>
      </c>
      <c r="R3" s="14" t="s">
        <v>55</v>
      </c>
      <c r="S3" s="14" t="s">
        <v>16</v>
      </c>
      <c r="T3" s="14" t="s">
        <v>56</v>
      </c>
      <c r="U3" s="15"/>
    </row>
    <row r="4" spans="1:21" x14ac:dyDescent="0.2">
      <c r="A4" s="15"/>
      <c r="B4" s="15" t="s">
        <v>18</v>
      </c>
      <c r="C4" s="16">
        <v>1</v>
      </c>
      <c r="D4" s="16">
        <v>36</v>
      </c>
      <c r="E4" s="15">
        <v>60</v>
      </c>
      <c r="F4" s="15">
        <v>200</v>
      </c>
      <c r="G4" s="15">
        <v>20</v>
      </c>
      <c r="H4" s="15">
        <v>300</v>
      </c>
      <c r="I4" s="15">
        <v>0</v>
      </c>
      <c r="J4" s="15">
        <v>0</v>
      </c>
      <c r="K4" s="15">
        <v>4080</v>
      </c>
      <c r="L4" s="15">
        <v>800</v>
      </c>
      <c r="M4" s="15">
        <v>100</v>
      </c>
      <c r="N4" s="15">
        <v>2000</v>
      </c>
      <c r="O4" s="15">
        <v>250</v>
      </c>
      <c r="P4" s="15">
        <v>700</v>
      </c>
      <c r="Q4" s="15">
        <v>70300</v>
      </c>
      <c r="R4" s="15">
        <v>5000</v>
      </c>
      <c r="S4" s="15">
        <v>10100</v>
      </c>
      <c r="T4" s="15">
        <v>1000</v>
      </c>
      <c r="U4" s="15"/>
    </row>
    <row r="5" spans="1:21" x14ac:dyDescent="0.2">
      <c r="A5" s="15"/>
      <c r="B5" s="15" t="s">
        <v>18</v>
      </c>
      <c r="C5" s="16">
        <v>2</v>
      </c>
      <c r="D5" s="16">
        <v>37</v>
      </c>
      <c r="E5" s="15">
        <v>48</v>
      </c>
      <c r="F5" s="15">
        <v>80</v>
      </c>
      <c r="G5" s="15">
        <v>20</v>
      </c>
      <c r="H5" s="15">
        <v>100</v>
      </c>
      <c r="I5" s="15">
        <v>0</v>
      </c>
      <c r="J5" s="15">
        <v>0</v>
      </c>
      <c r="K5" s="15">
        <v>4420</v>
      </c>
      <c r="L5" s="15">
        <v>200</v>
      </c>
      <c r="M5" s="15">
        <v>100</v>
      </c>
      <c r="N5" s="15">
        <v>400</v>
      </c>
      <c r="O5" s="15">
        <v>130</v>
      </c>
      <c r="P5" s="15">
        <v>800</v>
      </c>
      <c r="Q5" s="15">
        <v>70000</v>
      </c>
      <c r="R5" s="15">
        <v>4000</v>
      </c>
      <c r="S5" s="15">
        <v>9960</v>
      </c>
      <c r="T5" s="15">
        <v>700</v>
      </c>
      <c r="U5" s="15"/>
    </row>
    <row r="6" spans="1:21" x14ac:dyDescent="0.2">
      <c r="A6" s="15"/>
      <c r="B6" s="15" t="s">
        <v>18</v>
      </c>
      <c r="C6" s="16">
        <v>3</v>
      </c>
      <c r="D6" s="16">
        <v>38</v>
      </c>
      <c r="E6" s="15">
        <v>70</v>
      </c>
      <c r="F6" s="15">
        <v>300</v>
      </c>
      <c r="G6" s="15">
        <v>30</v>
      </c>
      <c r="H6" s="15">
        <v>200</v>
      </c>
      <c r="I6" s="15">
        <v>0</v>
      </c>
      <c r="J6" s="15">
        <v>0</v>
      </c>
      <c r="K6" s="15">
        <v>4230</v>
      </c>
      <c r="L6" s="15">
        <v>800</v>
      </c>
      <c r="M6" s="15">
        <v>30</v>
      </c>
      <c r="N6" s="15">
        <v>400</v>
      </c>
      <c r="O6" s="15">
        <v>300</v>
      </c>
      <c r="P6" s="15">
        <v>1000</v>
      </c>
      <c r="Q6" s="15">
        <v>69400</v>
      </c>
      <c r="R6" s="15">
        <v>5000</v>
      </c>
      <c r="S6" s="15">
        <v>10000</v>
      </c>
      <c r="T6" s="15">
        <v>2000</v>
      </c>
      <c r="U6" s="15"/>
    </row>
    <row r="7" spans="1:21" x14ac:dyDescent="0.2">
      <c r="A7" s="15"/>
      <c r="B7" s="15" t="s">
        <v>18</v>
      </c>
      <c r="C7" s="16">
        <v>4</v>
      </c>
      <c r="D7" s="16">
        <v>39</v>
      </c>
      <c r="E7" s="15">
        <v>64</v>
      </c>
      <c r="F7" s="15">
        <v>20</v>
      </c>
      <c r="G7" s="15">
        <v>20</v>
      </c>
      <c r="H7" s="15">
        <v>300</v>
      </c>
      <c r="I7" s="15">
        <v>0</v>
      </c>
      <c r="J7" s="15">
        <v>0</v>
      </c>
      <c r="K7" s="15">
        <v>3900</v>
      </c>
      <c r="L7" s="15">
        <v>1000</v>
      </c>
      <c r="M7" s="15">
        <v>10</v>
      </c>
      <c r="N7" s="15">
        <v>200</v>
      </c>
      <c r="O7" s="15">
        <v>290</v>
      </c>
      <c r="P7" s="15">
        <v>900</v>
      </c>
      <c r="Q7" s="15">
        <v>68690</v>
      </c>
      <c r="R7" s="15">
        <v>700</v>
      </c>
      <c r="S7" s="15">
        <v>10020</v>
      </c>
      <c r="T7" s="15">
        <v>600</v>
      </c>
      <c r="U7" s="15"/>
    </row>
    <row r="8" spans="1:21" x14ac:dyDescent="0.2">
      <c r="A8" s="15"/>
      <c r="B8" s="15" t="s">
        <v>18</v>
      </c>
      <c r="C8" s="16">
        <v>5</v>
      </c>
      <c r="D8" s="16">
        <v>40</v>
      </c>
      <c r="E8" s="15">
        <v>60</v>
      </c>
      <c r="F8" s="15">
        <v>100</v>
      </c>
      <c r="G8" s="15">
        <v>6</v>
      </c>
      <c r="H8" s="15">
        <v>80</v>
      </c>
      <c r="I8" s="15">
        <v>0</v>
      </c>
      <c r="J8" s="15">
        <v>0</v>
      </c>
      <c r="K8" s="15">
        <v>3200</v>
      </c>
      <c r="L8" s="15">
        <v>1000</v>
      </c>
      <c r="M8" s="15">
        <v>5</v>
      </c>
      <c r="N8" s="15">
        <v>70</v>
      </c>
      <c r="O8" s="15">
        <v>280</v>
      </c>
      <c r="P8" s="15">
        <v>500</v>
      </c>
      <c r="Q8" s="15">
        <v>68300</v>
      </c>
      <c r="R8" s="15">
        <v>1000</v>
      </c>
      <c r="S8" s="15">
        <v>10300</v>
      </c>
      <c r="T8" s="15">
        <v>1000</v>
      </c>
      <c r="U8" s="15"/>
    </row>
    <row r="9" spans="1:21" x14ac:dyDescent="0.2">
      <c r="A9" s="15"/>
      <c r="B9" s="15" t="s">
        <v>18</v>
      </c>
      <c r="C9" s="16">
        <v>6</v>
      </c>
      <c r="D9" s="16">
        <v>41</v>
      </c>
      <c r="E9" s="15">
        <v>90</v>
      </c>
      <c r="F9" s="15">
        <v>200</v>
      </c>
      <c r="G9" s="15">
        <v>12</v>
      </c>
      <c r="H9" s="15">
        <v>90</v>
      </c>
      <c r="I9" s="15">
        <v>0</v>
      </c>
      <c r="J9" s="15">
        <v>0</v>
      </c>
      <c r="K9" s="15">
        <v>2442</v>
      </c>
      <c r="L9" s="15">
        <v>70</v>
      </c>
      <c r="M9" s="15">
        <v>80</v>
      </c>
      <c r="N9" s="15">
        <v>300</v>
      </c>
      <c r="O9" s="15">
        <v>100</v>
      </c>
      <c r="P9" s="15">
        <v>1000</v>
      </c>
      <c r="Q9" s="15">
        <v>68300</v>
      </c>
      <c r="R9" s="15">
        <v>4000</v>
      </c>
      <c r="S9" s="15">
        <v>10100</v>
      </c>
      <c r="T9" s="15">
        <v>1000</v>
      </c>
      <c r="U9" s="15"/>
    </row>
    <row r="10" spans="1:21" x14ac:dyDescent="0.2">
      <c r="A10" s="15"/>
      <c r="B10" s="15" t="s">
        <v>18</v>
      </c>
      <c r="C10" s="16">
        <v>7</v>
      </c>
      <c r="D10" s="16">
        <v>42</v>
      </c>
      <c r="E10" s="15">
        <v>80</v>
      </c>
      <c r="F10" s="15">
        <v>200</v>
      </c>
      <c r="G10" s="15">
        <v>10</v>
      </c>
      <c r="H10" s="15">
        <v>100</v>
      </c>
      <c r="I10" s="15">
        <v>0</v>
      </c>
      <c r="J10" s="15">
        <v>0</v>
      </c>
      <c r="K10" s="15">
        <v>2590</v>
      </c>
      <c r="L10" s="15">
        <v>600</v>
      </c>
      <c r="M10" s="15">
        <v>180</v>
      </c>
      <c r="N10" s="15">
        <v>300</v>
      </c>
      <c r="O10" s="15">
        <v>180</v>
      </c>
      <c r="P10" s="15">
        <v>400</v>
      </c>
      <c r="Q10" s="15">
        <v>70300</v>
      </c>
      <c r="R10" s="15">
        <v>1000</v>
      </c>
      <c r="S10" s="15">
        <v>10280</v>
      </c>
      <c r="T10" s="15">
        <v>200</v>
      </c>
      <c r="U10" s="15"/>
    </row>
    <row r="11" spans="1:21" x14ac:dyDescent="0.2">
      <c r="A11" s="15"/>
      <c r="B11" s="15" t="s">
        <v>18</v>
      </c>
      <c r="C11" s="16">
        <v>8</v>
      </c>
      <c r="D11" s="16">
        <v>43</v>
      </c>
      <c r="E11" s="15">
        <v>90</v>
      </c>
      <c r="F11" s="15">
        <v>200</v>
      </c>
      <c r="G11" s="15">
        <v>19</v>
      </c>
      <c r="H11" s="15">
        <v>70</v>
      </c>
      <c r="I11" s="15">
        <v>3</v>
      </c>
      <c r="J11" s="15">
        <v>40</v>
      </c>
      <c r="K11" s="15">
        <v>3890</v>
      </c>
      <c r="L11" s="15">
        <v>300</v>
      </c>
      <c r="M11" s="15">
        <v>60</v>
      </c>
      <c r="N11" s="15">
        <v>800</v>
      </c>
      <c r="O11" s="15">
        <v>180</v>
      </c>
      <c r="P11" s="15">
        <v>300</v>
      </c>
      <c r="Q11" s="15">
        <v>69400</v>
      </c>
      <c r="R11" s="15">
        <v>3000</v>
      </c>
      <c r="S11" s="15">
        <v>10350</v>
      </c>
      <c r="T11" s="15">
        <v>600</v>
      </c>
      <c r="U11" s="15"/>
    </row>
    <row r="12" spans="1:21" x14ac:dyDescent="0.2">
      <c r="A12" s="15"/>
      <c r="B12" s="15" t="s">
        <v>18</v>
      </c>
      <c r="C12" s="16">
        <v>9</v>
      </c>
      <c r="D12" s="16">
        <v>44</v>
      </c>
      <c r="E12" s="15">
        <v>90</v>
      </c>
      <c r="F12" s="15">
        <v>100</v>
      </c>
      <c r="G12" s="15">
        <v>20</v>
      </c>
      <c r="H12" s="15">
        <v>100</v>
      </c>
      <c r="I12" s="15">
        <v>0</v>
      </c>
      <c r="J12" s="15">
        <v>0</v>
      </c>
      <c r="K12" s="15">
        <v>6560</v>
      </c>
      <c r="L12" s="15">
        <v>500</v>
      </c>
      <c r="M12" s="15">
        <v>70</v>
      </c>
      <c r="N12" s="15">
        <v>1000</v>
      </c>
      <c r="O12" s="15">
        <v>30</v>
      </c>
      <c r="P12" s="15">
        <v>200</v>
      </c>
      <c r="Q12" s="15">
        <v>69000</v>
      </c>
      <c r="R12" s="15">
        <v>6000</v>
      </c>
      <c r="S12" s="15">
        <v>10100</v>
      </c>
      <c r="T12" s="15">
        <v>1000</v>
      </c>
      <c r="U12" s="15"/>
    </row>
    <row r="13" spans="1:21" x14ac:dyDescent="0.2">
      <c r="A13" s="15"/>
      <c r="B13" s="15" t="s">
        <v>18</v>
      </c>
      <c r="C13" s="16">
        <v>10</v>
      </c>
      <c r="D13" s="16">
        <v>45</v>
      </c>
      <c r="E13" s="15">
        <v>105</v>
      </c>
      <c r="F13" s="15">
        <v>60</v>
      </c>
      <c r="G13" s="15">
        <v>30</v>
      </c>
      <c r="H13" s="15">
        <v>100</v>
      </c>
      <c r="I13" s="15">
        <v>0</v>
      </c>
      <c r="J13" s="15">
        <v>0</v>
      </c>
      <c r="K13" s="15">
        <v>6600</v>
      </c>
      <c r="L13" s="15">
        <v>1000</v>
      </c>
      <c r="M13" s="15">
        <v>0</v>
      </c>
      <c r="N13" s="15">
        <v>0</v>
      </c>
      <c r="O13" s="15">
        <v>106</v>
      </c>
      <c r="P13" s="15">
        <v>20</v>
      </c>
      <c r="Q13" s="15">
        <v>67800</v>
      </c>
      <c r="R13" s="15">
        <v>2000</v>
      </c>
      <c r="S13" s="15">
        <v>9800</v>
      </c>
      <c r="T13" s="15">
        <v>2000</v>
      </c>
      <c r="U13" s="15"/>
    </row>
    <row r="14" spans="1:21" x14ac:dyDescent="0.2">
      <c r="A14" s="15"/>
      <c r="B14" s="15" t="s">
        <v>18</v>
      </c>
      <c r="C14" s="16">
        <v>11</v>
      </c>
      <c r="D14" s="16">
        <v>46</v>
      </c>
      <c r="E14" s="15">
        <v>92</v>
      </c>
      <c r="F14" s="15">
        <v>60</v>
      </c>
      <c r="G14" s="15">
        <v>30</v>
      </c>
      <c r="H14" s="15">
        <v>400</v>
      </c>
      <c r="I14" s="15">
        <v>0</v>
      </c>
      <c r="J14" s="15">
        <v>0</v>
      </c>
      <c r="K14" s="15">
        <v>9800</v>
      </c>
      <c r="L14" s="15">
        <v>1000</v>
      </c>
      <c r="M14" s="15">
        <v>140</v>
      </c>
      <c r="N14" s="15">
        <v>100</v>
      </c>
      <c r="O14" s="15">
        <v>90</v>
      </c>
      <c r="P14" s="15">
        <v>500</v>
      </c>
      <c r="Q14" s="15">
        <v>68000</v>
      </c>
      <c r="R14" s="15">
        <v>6000</v>
      </c>
      <c r="S14" s="15">
        <v>9860</v>
      </c>
      <c r="T14" s="15">
        <v>700</v>
      </c>
      <c r="U14" s="15"/>
    </row>
    <row r="15" spans="1:21" x14ac:dyDescent="0.2">
      <c r="A15" s="15"/>
      <c r="B15" s="15" t="s">
        <v>18</v>
      </c>
      <c r="C15" s="16">
        <v>12</v>
      </c>
      <c r="D15" s="16">
        <v>47</v>
      </c>
      <c r="E15" s="15">
        <v>100</v>
      </c>
      <c r="F15" s="15">
        <v>200</v>
      </c>
      <c r="G15" s="15">
        <v>60</v>
      </c>
      <c r="H15" s="15">
        <v>200</v>
      </c>
      <c r="I15" s="15">
        <v>0</v>
      </c>
      <c r="J15" s="15">
        <v>0</v>
      </c>
      <c r="K15" s="15">
        <v>13690</v>
      </c>
      <c r="L15" s="15">
        <v>500</v>
      </c>
      <c r="M15" s="15">
        <v>20</v>
      </c>
      <c r="N15" s="15">
        <v>300</v>
      </c>
      <c r="O15" s="15">
        <v>180</v>
      </c>
      <c r="P15" s="15">
        <v>600</v>
      </c>
      <c r="Q15" s="15">
        <v>67400</v>
      </c>
      <c r="R15" s="15">
        <v>4000</v>
      </c>
      <c r="S15" s="15">
        <v>9870</v>
      </c>
      <c r="T15" s="15">
        <v>300</v>
      </c>
      <c r="U15" s="15"/>
    </row>
    <row r="16" spans="1:21" x14ac:dyDescent="0.2">
      <c r="A16" s="15"/>
      <c r="B16" s="28" t="s">
        <v>60</v>
      </c>
      <c r="C16" s="28"/>
      <c r="D16" s="28"/>
      <c r="E16" s="28"/>
      <c r="F16" s="28"/>
      <c r="G16" s="28"/>
      <c r="H16" s="17" t="s">
        <v>58</v>
      </c>
      <c r="I16" s="17" t="s">
        <v>58</v>
      </c>
      <c r="J16" s="17" t="s">
        <v>58</v>
      </c>
      <c r="K16" s="17" t="s">
        <v>58</v>
      </c>
      <c r="L16" s="17" t="s">
        <v>58</v>
      </c>
      <c r="M16" s="17" t="s">
        <v>58</v>
      </c>
      <c r="N16" s="17" t="s">
        <v>58</v>
      </c>
      <c r="O16" s="17" t="s">
        <v>58</v>
      </c>
      <c r="P16" s="17" t="s">
        <v>58</v>
      </c>
      <c r="Q16" s="17" t="s">
        <v>58</v>
      </c>
      <c r="R16" s="17" t="s">
        <v>58</v>
      </c>
      <c r="S16" s="17" t="s">
        <v>58</v>
      </c>
      <c r="T16" s="17" t="s">
        <v>58</v>
      </c>
      <c r="U16" s="15"/>
    </row>
    <row r="17" spans="1:21" x14ac:dyDescent="0.2">
      <c r="A17" s="15"/>
      <c r="B17" s="15" t="s">
        <v>58</v>
      </c>
      <c r="C17" s="16"/>
      <c r="D17" s="16" t="s">
        <v>58</v>
      </c>
      <c r="E17" s="17" t="s">
        <v>58</v>
      </c>
      <c r="F17" s="17" t="s">
        <v>58</v>
      </c>
      <c r="G17" s="17" t="s">
        <v>58</v>
      </c>
      <c r="H17" s="17" t="s">
        <v>58</v>
      </c>
      <c r="I17" s="17" t="s">
        <v>58</v>
      </c>
      <c r="J17" s="17" t="s">
        <v>58</v>
      </c>
      <c r="K17" s="17" t="s">
        <v>58</v>
      </c>
      <c r="L17" s="17" t="s">
        <v>58</v>
      </c>
      <c r="M17" s="17" t="s">
        <v>58</v>
      </c>
      <c r="N17" s="17" t="s">
        <v>58</v>
      </c>
      <c r="O17" s="17" t="s">
        <v>58</v>
      </c>
      <c r="P17" s="17" t="s">
        <v>58</v>
      </c>
      <c r="Q17" s="17" t="s">
        <v>58</v>
      </c>
      <c r="R17" s="17" t="s">
        <v>58</v>
      </c>
      <c r="S17" s="17" t="s">
        <v>58</v>
      </c>
      <c r="T17" s="17" t="s">
        <v>58</v>
      </c>
      <c r="U17" s="15"/>
    </row>
    <row r="18" spans="1:21" x14ac:dyDescent="0.2">
      <c r="A18" s="15"/>
      <c r="B18" s="15" t="s">
        <v>26</v>
      </c>
      <c r="C18" s="16">
        <f t="shared" ref="C18:C27" si="0">C19-1</f>
        <v>363</v>
      </c>
      <c r="D18" s="16">
        <v>1157</v>
      </c>
      <c r="E18" s="15">
        <v>1940</v>
      </c>
      <c r="F18" s="15">
        <v>80</v>
      </c>
      <c r="G18" s="15">
        <v>9800</v>
      </c>
      <c r="H18" s="15">
        <v>100</v>
      </c>
      <c r="I18" s="15">
        <v>41</v>
      </c>
      <c r="J18" s="15">
        <v>4</v>
      </c>
      <c r="K18" s="15">
        <v>31300</v>
      </c>
      <c r="L18" s="15">
        <v>300</v>
      </c>
      <c r="M18" s="15">
        <v>1980</v>
      </c>
      <c r="N18" s="15">
        <v>70</v>
      </c>
      <c r="O18" s="15">
        <v>1030</v>
      </c>
      <c r="P18" s="15">
        <v>60</v>
      </c>
      <c r="Q18" s="15">
        <v>37000</v>
      </c>
      <c r="R18" s="15">
        <v>300</v>
      </c>
      <c r="S18" s="15">
        <v>7840</v>
      </c>
      <c r="T18" s="15">
        <v>4</v>
      </c>
      <c r="U18" s="15"/>
    </row>
    <row r="19" spans="1:21" x14ac:dyDescent="0.2">
      <c r="A19" s="15"/>
      <c r="B19" s="15" t="s">
        <v>26</v>
      </c>
      <c r="C19" s="16">
        <f t="shared" si="0"/>
        <v>364</v>
      </c>
      <c r="D19" s="16">
        <v>1158</v>
      </c>
      <c r="E19" s="15">
        <v>1688</v>
      </c>
      <c r="F19" s="15">
        <v>2</v>
      </c>
      <c r="G19" s="15">
        <v>9400</v>
      </c>
      <c r="H19" s="15">
        <v>100</v>
      </c>
      <c r="I19" s="15">
        <v>30</v>
      </c>
      <c r="J19" s="15">
        <v>20</v>
      </c>
      <c r="K19" s="15">
        <v>30410</v>
      </c>
      <c r="L19" s="15">
        <v>30</v>
      </c>
      <c r="M19" s="15">
        <v>1640</v>
      </c>
      <c r="N19" s="15">
        <v>80</v>
      </c>
      <c r="O19" s="15">
        <v>890</v>
      </c>
      <c r="P19" s="15">
        <v>80</v>
      </c>
      <c r="Q19" s="15">
        <v>36500</v>
      </c>
      <c r="R19" s="15">
        <v>500</v>
      </c>
      <c r="S19" s="15">
        <v>7600</v>
      </c>
      <c r="T19" s="15">
        <v>100</v>
      </c>
      <c r="U19" s="15"/>
    </row>
    <row r="20" spans="1:21" x14ac:dyDescent="0.2">
      <c r="A20" s="15"/>
      <c r="B20" s="15" t="s">
        <v>26</v>
      </c>
      <c r="C20" s="16">
        <f t="shared" si="0"/>
        <v>365</v>
      </c>
      <c r="D20" s="16">
        <v>1159</v>
      </c>
      <c r="E20" s="15">
        <v>1945.5</v>
      </c>
      <c r="F20" s="15">
        <v>7</v>
      </c>
      <c r="G20" s="15">
        <v>9160</v>
      </c>
      <c r="H20" s="15">
        <v>20</v>
      </c>
      <c r="I20" s="15">
        <v>40</v>
      </c>
      <c r="J20" s="15">
        <v>10</v>
      </c>
      <c r="K20" s="15">
        <v>28900</v>
      </c>
      <c r="L20" s="15">
        <v>100</v>
      </c>
      <c r="M20" s="15">
        <v>2070</v>
      </c>
      <c r="N20" s="15">
        <v>30</v>
      </c>
      <c r="O20" s="15">
        <v>900</v>
      </c>
      <c r="P20" s="15">
        <v>200</v>
      </c>
      <c r="Q20" s="15">
        <v>34900</v>
      </c>
      <c r="R20" s="15">
        <v>200</v>
      </c>
      <c r="S20" s="15">
        <v>7200</v>
      </c>
      <c r="T20" s="15">
        <v>200</v>
      </c>
      <c r="U20" s="15"/>
    </row>
    <row r="21" spans="1:21" x14ac:dyDescent="0.2">
      <c r="A21" s="15"/>
      <c r="B21" s="15" t="s">
        <v>26</v>
      </c>
      <c r="C21" s="16">
        <f t="shared" si="0"/>
        <v>366</v>
      </c>
      <c r="D21" s="16">
        <v>1160</v>
      </c>
      <c r="E21" s="15">
        <v>2290</v>
      </c>
      <c r="F21" s="15">
        <v>20</v>
      </c>
      <c r="G21" s="15">
        <v>9800</v>
      </c>
      <c r="H21" s="15">
        <v>300</v>
      </c>
      <c r="I21" s="15">
        <v>60</v>
      </c>
      <c r="J21" s="15">
        <v>9</v>
      </c>
      <c r="K21" s="15">
        <v>28880</v>
      </c>
      <c r="L21" s="15">
        <v>70</v>
      </c>
      <c r="M21" s="15">
        <v>2080</v>
      </c>
      <c r="N21" s="15">
        <v>40</v>
      </c>
      <c r="O21" s="15">
        <v>844</v>
      </c>
      <c r="P21" s="15">
        <v>8</v>
      </c>
      <c r="Q21" s="15">
        <v>32350</v>
      </c>
      <c r="R21" s="15">
        <v>80</v>
      </c>
      <c r="S21" s="15">
        <v>7070</v>
      </c>
      <c r="T21" s="15">
        <v>10</v>
      </c>
      <c r="U21" s="15"/>
    </row>
    <row r="22" spans="1:21" x14ac:dyDescent="0.2">
      <c r="A22" s="15"/>
      <c r="B22" s="15" t="s">
        <v>26</v>
      </c>
      <c r="C22" s="16">
        <f t="shared" si="0"/>
        <v>367</v>
      </c>
      <c r="D22" s="16">
        <v>1161</v>
      </c>
      <c r="E22" s="15">
        <v>2680</v>
      </c>
      <c r="F22" s="15">
        <v>20</v>
      </c>
      <c r="G22" s="15">
        <v>8760</v>
      </c>
      <c r="H22" s="15">
        <v>50</v>
      </c>
      <c r="I22" s="15">
        <v>102</v>
      </c>
      <c r="J22" s="15">
        <v>2</v>
      </c>
      <c r="K22" s="15">
        <v>29240</v>
      </c>
      <c r="L22" s="15">
        <v>20</v>
      </c>
      <c r="M22" s="15">
        <v>2200</v>
      </c>
      <c r="N22" s="15">
        <v>100</v>
      </c>
      <c r="O22" s="15">
        <v>990</v>
      </c>
      <c r="P22" s="15">
        <v>40</v>
      </c>
      <c r="Q22" s="15">
        <v>29100</v>
      </c>
      <c r="R22" s="15">
        <v>300</v>
      </c>
      <c r="S22" s="15">
        <v>6900</v>
      </c>
      <c r="T22" s="15">
        <v>100</v>
      </c>
      <c r="U22" s="15"/>
    </row>
    <row r="23" spans="1:21" x14ac:dyDescent="0.2">
      <c r="A23" s="15"/>
      <c r="B23" s="15" t="s">
        <v>26</v>
      </c>
      <c r="C23" s="16">
        <f t="shared" si="0"/>
        <v>368</v>
      </c>
      <c r="D23" s="16">
        <v>1162</v>
      </c>
      <c r="E23" s="15">
        <v>2510</v>
      </c>
      <c r="F23" s="15">
        <v>30</v>
      </c>
      <c r="G23" s="15">
        <v>7360</v>
      </c>
      <c r="H23" s="15">
        <v>50</v>
      </c>
      <c r="I23" s="15">
        <v>70</v>
      </c>
      <c r="J23" s="15">
        <v>10</v>
      </c>
      <c r="K23" s="15">
        <v>24200</v>
      </c>
      <c r="L23" s="15">
        <v>200</v>
      </c>
      <c r="M23" s="15">
        <v>2340</v>
      </c>
      <c r="N23" s="15">
        <v>40</v>
      </c>
      <c r="O23" s="15">
        <v>900</v>
      </c>
      <c r="P23" s="15">
        <v>100</v>
      </c>
      <c r="Q23" s="15">
        <v>26224</v>
      </c>
      <c r="R23" s="15">
        <v>9</v>
      </c>
      <c r="S23" s="15">
        <v>6600</v>
      </c>
      <c r="T23" s="15">
        <v>100</v>
      </c>
      <c r="U23" s="15"/>
    </row>
    <row r="24" spans="1:21" x14ac:dyDescent="0.2">
      <c r="A24" s="15"/>
      <c r="B24" s="15" t="s">
        <v>26</v>
      </c>
      <c r="C24" s="16">
        <f t="shared" si="0"/>
        <v>369</v>
      </c>
      <c r="D24" s="16">
        <v>1163</v>
      </c>
      <c r="E24" s="15">
        <v>3143</v>
      </c>
      <c r="F24" s="15">
        <v>7</v>
      </c>
      <c r="G24" s="15">
        <v>8700</v>
      </c>
      <c r="H24" s="15">
        <v>100</v>
      </c>
      <c r="I24" s="15">
        <v>167.5</v>
      </c>
      <c r="J24" s="15">
        <v>7</v>
      </c>
      <c r="K24" s="15">
        <v>30210</v>
      </c>
      <c r="L24" s="15">
        <v>4</v>
      </c>
      <c r="M24" s="15">
        <v>2390</v>
      </c>
      <c r="N24" s="15">
        <v>40</v>
      </c>
      <c r="O24" s="15">
        <v>1020</v>
      </c>
      <c r="P24" s="15">
        <v>60</v>
      </c>
      <c r="Q24" s="15">
        <v>25300</v>
      </c>
      <c r="R24" s="15">
        <v>200</v>
      </c>
      <c r="S24" s="15">
        <v>6400</v>
      </c>
      <c r="T24" s="15">
        <v>100</v>
      </c>
      <c r="U24" s="15"/>
    </row>
    <row r="25" spans="1:21" x14ac:dyDescent="0.2">
      <c r="A25" s="15"/>
      <c r="B25" s="15" t="s">
        <v>26</v>
      </c>
      <c r="C25" s="16">
        <f t="shared" si="0"/>
        <v>370</v>
      </c>
      <c r="D25" s="16">
        <v>1164</v>
      </c>
      <c r="E25" s="15">
        <v>2400</v>
      </c>
      <c r="F25" s="15">
        <v>20</v>
      </c>
      <c r="G25" s="15">
        <v>7100</v>
      </c>
      <c r="H25" s="15">
        <v>200</v>
      </c>
      <c r="I25" s="15">
        <v>120</v>
      </c>
      <c r="J25" s="15">
        <v>10</v>
      </c>
      <c r="K25" s="15">
        <v>25220</v>
      </c>
      <c r="L25" s="15">
        <v>20</v>
      </c>
      <c r="M25" s="15">
        <v>2300</v>
      </c>
      <c r="N25" s="15">
        <v>100</v>
      </c>
      <c r="O25" s="15">
        <v>940</v>
      </c>
      <c r="P25" s="15">
        <v>70</v>
      </c>
      <c r="Q25" s="15">
        <v>26300</v>
      </c>
      <c r="R25" s="15">
        <v>200</v>
      </c>
      <c r="S25" s="15">
        <v>6400</v>
      </c>
      <c r="T25" s="15">
        <v>100</v>
      </c>
      <c r="U25" s="15"/>
    </row>
    <row r="26" spans="1:21" x14ac:dyDescent="0.2">
      <c r="A26" s="15"/>
      <c r="B26" s="15" t="s">
        <v>26</v>
      </c>
      <c r="C26" s="16">
        <f t="shared" si="0"/>
        <v>371</v>
      </c>
      <c r="D26" s="16">
        <v>1165</v>
      </c>
      <c r="E26" s="15">
        <v>2900</v>
      </c>
      <c r="F26" s="15">
        <v>100</v>
      </c>
      <c r="G26" s="15">
        <v>8290</v>
      </c>
      <c r="H26" s="15">
        <v>90</v>
      </c>
      <c r="I26" s="15">
        <v>110</v>
      </c>
      <c r="J26" s="15">
        <v>6</v>
      </c>
      <c r="K26" s="15">
        <v>32200</v>
      </c>
      <c r="L26" s="15">
        <v>500</v>
      </c>
      <c r="M26" s="15">
        <v>2440</v>
      </c>
      <c r="N26" s="15">
        <v>10</v>
      </c>
      <c r="O26" s="15">
        <v>960</v>
      </c>
      <c r="P26" s="15">
        <v>40</v>
      </c>
      <c r="Q26" s="15">
        <v>27000</v>
      </c>
      <c r="R26" s="15">
        <v>100</v>
      </c>
      <c r="S26" s="15">
        <v>6700</v>
      </c>
      <c r="T26" s="15">
        <v>200</v>
      </c>
      <c r="U26" s="15"/>
    </row>
    <row r="27" spans="1:21" x14ac:dyDescent="0.2">
      <c r="A27" s="15"/>
      <c r="B27" s="15" t="s">
        <v>26</v>
      </c>
      <c r="C27" s="16">
        <f t="shared" si="0"/>
        <v>372</v>
      </c>
      <c r="D27" s="16">
        <v>1166</v>
      </c>
      <c r="E27" s="15">
        <v>2950</v>
      </c>
      <c r="F27" s="15">
        <v>10</v>
      </c>
      <c r="G27" s="15">
        <v>8100</v>
      </c>
      <c r="H27" s="15">
        <v>100</v>
      </c>
      <c r="I27" s="15">
        <v>140</v>
      </c>
      <c r="J27" s="15">
        <v>20</v>
      </c>
      <c r="K27" s="15">
        <v>33181</v>
      </c>
      <c r="L27" s="15">
        <v>8</v>
      </c>
      <c r="M27" s="15">
        <v>2580</v>
      </c>
      <c r="N27" s="15">
        <v>80</v>
      </c>
      <c r="O27" s="15">
        <v>980</v>
      </c>
      <c r="P27" s="15">
        <v>60</v>
      </c>
      <c r="Q27" s="15">
        <v>29000</v>
      </c>
      <c r="R27" s="15">
        <v>600</v>
      </c>
      <c r="S27" s="15">
        <v>7200</v>
      </c>
      <c r="T27" s="15">
        <v>100</v>
      </c>
      <c r="U27" s="15"/>
    </row>
    <row r="28" spans="1:21" x14ac:dyDescent="0.2">
      <c r="A28" s="15"/>
      <c r="B28" s="15" t="s">
        <v>26</v>
      </c>
      <c r="C28" s="16">
        <f>C29-1</f>
        <v>373</v>
      </c>
      <c r="D28" s="16">
        <v>1167</v>
      </c>
      <c r="E28" s="15">
        <v>2600</v>
      </c>
      <c r="F28" s="15">
        <v>100</v>
      </c>
      <c r="G28" s="15">
        <v>7810</v>
      </c>
      <c r="H28" s="15">
        <v>10</v>
      </c>
      <c r="I28" s="15">
        <v>100</v>
      </c>
      <c r="J28" s="15">
        <v>30</v>
      </c>
      <c r="K28" s="15">
        <v>29600</v>
      </c>
      <c r="L28" s="15">
        <v>200</v>
      </c>
      <c r="M28" s="15">
        <v>2400</v>
      </c>
      <c r="N28" s="15">
        <v>100</v>
      </c>
      <c r="O28" s="15">
        <v>860</v>
      </c>
      <c r="P28" s="15">
        <v>30</v>
      </c>
      <c r="Q28" s="15">
        <v>30900</v>
      </c>
      <c r="R28" s="15">
        <v>300</v>
      </c>
      <c r="S28" s="15">
        <v>7180</v>
      </c>
      <c r="T28" s="15">
        <v>30</v>
      </c>
      <c r="U28" s="15"/>
    </row>
    <row r="29" spans="1:21" x14ac:dyDescent="0.2">
      <c r="A29" s="15"/>
      <c r="B29" s="10" t="s">
        <v>26</v>
      </c>
      <c r="C29" s="9">
        <v>374</v>
      </c>
      <c r="D29" s="9">
        <v>1168</v>
      </c>
      <c r="E29" s="10">
        <v>2010</v>
      </c>
      <c r="F29" s="10">
        <v>40</v>
      </c>
      <c r="G29" s="10">
        <v>7410</v>
      </c>
      <c r="H29" s="10">
        <v>80</v>
      </c>
      <c r="I29" s="10">
        <v>80</v>
      </c>
      <c r="J29" s="10">
        <v>30</v>
      </c>
      <c r="K29" s="10">
        <v>23800</v>
      </c>
      <c r="L29" s="10">
        <v>200</v>
      </c>
      <c r="M29" s="10">
        <v>2150</v>
      </c>
      <c r="N29" s="10">
        <v>20</v>
      </c>
      <c r="O29" s="10">
        <v>860</v>
      </c>
      <c r="P29" s="10">
        <v>40</v>
      </c>
      <c r="Q29" s="10">
        <v>32200</v>
      </c>
      <c r="R29" s="10">
        <v>700</v>
      </c>
      <c r="S29" s="10">
        <v>7200</v>
      </c>
      <c r="T29" s="10">
        <v>200</v>
      </c>
      <c r="U29" s="15"/>
    </row>
    <row r="30" spans="1:21" s="1" customFormat="1" x14ac:dyDescent="0.2">
      <c r="A30" s="18"/>
      <c r="B30" s="18"/>
      <c r="C30" s="19"/>
      <c r="D30" s="20" t="s">
        <v>37</v>
      </c>
      <c r="E30" s="21">
        <v>237.61096256684493</v>
      </c>
      <c r="F30" s="18"/>
      <c r="G30" s="21">
        <v>811.64304812834223</v>
      </c>
      <c r="H30" s="18"/>
      <c r="I30" s="21">
        <v>6.0828877005347595</v>
      </c>
      <c r="J30" s="18"/>
      <c r="K30" s="21">
        <v>7156.1430481283423</v>
      </c>
      <c r="L30" s="18"/>
      <c r="M30" s="21">
        <v>238.54946524064172</v>
      </c>
      <c r="N30" s="18"/>
      <c r="O30" s="21">
        <v>172.97860962566844</v>
      </c>
      <c r="P30" s="18"/>
      <c r="Q30" s="21">
        <v>67574.491978609629</v>
      </c>
      <c r="R30" s="18"/>
      <c r="S30" s="21">
        <v>9776.4050802139045</v>
      </c>
      <c r="T30" s="18"/>
      <c r="U30" s="18"/>
    </row>
    <row r="31" spans="1:21" s="1" customFormat="1" x14ac:dyDescent="0.2">
      <c r="A31" s="18"/>
      <c r="B31" s="18"/>
      <c r="C31" s="19"/>
      <c r="D31" s="20" t="s">
        <v>30</v>
      </c>
      <c r="E31" s="21">
        <v>439.09216497599556</v>
      </c>
      <c r="F31" s="21"/>
      <c r="G31" s="21">
        <v>1703.5706037227903</v>
      </c>
      <c r="H31" s="21"/>
      <c r="I31" s="21">
        <v>17.813671473638806</v>
      </c>
      <c r="J31" s="21"/>
      <c r="K31" s="21">
        <v>7147.8935202197345</v>
      </c>
      <c r="L31" s="21"/>
      <c r="M31" s="21">
        <v>446.95602081630938</v>
      </c>
      <c r="N31" s="21"/>
      <c r="O31" s="21">
        <v>236.43304619301833</v>
      </c>
      <c r="P31" s="21"/>
      <c r="Q31" s="21">
        <v>9591.7079295940621</v>
      </c>
      <c r="R31" s="21"/>
      <c r="S31" s="21">
        <v>762.78977332231887</v>
      </c>
      <c r="T31" s="21"/>
      <c r="U31" s="18"/>
    </row>
    <row r="32" spans="1:21" s="1" customFormat="1" x14ac:dyDescent="0.2">
      <c r="A32" s="18"/>
      <c r="B32" s="18"/>
      <c r="C32" s="19"/>
      <c r="D32" s="20" t="s">
        <v>42</v>
      </c>
      <c r="E32" s="21">
        <v>310.4850474204087</v>
      </c>
      <c r="F32" s="21"/>
      <c r="G32" s="21">
        <v>1204.6063261224456</v>
      </c>
      <c r="H32" s="21"/>
      <c r="I32" s="22">
        <v>12.596167896839358</v>
      </c>
      <c r="J32" s="21"/>
      <c r="K32" s="21">
        <v>5054.3239793467565</v>
      </c>
      <c r="L32" s="21"/>
      <c r="M32" s="21">
        <v>316.04563321136806</v>
      </c>
      <c r="N32" s="21"/>
      <c r="O32" s="21">
        <v>167.18341025967547</v>
      </c>
      <c r="P32" s="21"/>
      <c r="Q32" s="21">
        <v>6782.3617201767411</v>
      </c>
      <c r="R32" s="21"/>
      <c r="S32" s="21">
        <v>539.37382133596111</v>
      </c>
      <c r="T32" s="21"/>
      <c r="U32" s="18"/>
    </row>
    <row r="33" spans="1:21" s="1" customFormat="1" x14ac:dyDescent="0.2">
      <c r="A33" s="18"/>
      <c r="B33" s="18"/>
      <c r="C33" s="19"/>
      <c r="D33" s="20" t="s">
        <v>43</v>
      </c>
      <c r="E33" s="21">
        <v>130.66949608146248</v>
      </c>
      <c r="F33" s="18"/>
      <c r="G33" s="21">
        <v>148.41577574036776</v>
      </c>
      <c r="H33" s="18"/>
      <c r="I33" s="21">
        <v>207.07546344694151</v>
      </c>
      <c r="J33" s="18"/>
      <c r="K33" s="22">
        <v>70.629163578118977</v>
      </c>
      <c r="L33" s="18"/>
      <c r="M33" s="21">
        <v>132.48641446022546</v>
      </c>
      <c r="N33" s="18"/>
      <c r="O33" s="22">
        <v>96.649759540480773</v>
      </c>
      <c r="P33" s="18"/>
      <c r="Q33" s="23">
        <v>10.036866754874998</v>
      </c>
      <c r="R33" s="18"/>
      <c r="S33" s="23">
        <v>5.5170977154739562</v>
      </c>
      <c r="T33" s="18"/>
      <c r="U33" s="18"/>
    </row>
    <row r="34" spans="1:21" s="1" customFormat="1" x14ac:dyDescent="0.2">
      <c r="A34" s="18"/>
      <c r="B34" s="18"/>
      <c r="C34" s="19"/>
      <c r="D34" s="20" t="s">
        <v>34</v>
      </c>
      <c r="E34" s="21"/>
      <c r="F34" s="21">
        <v>28.010695187165776</v>
      </c>
      <c r="G34" s="21"/>
      <c r="H34" s="21">
        <v>38.716577540106954</v>
      </c>
      <c r="I34" s="21"/>
      <c r="J34" s="21">
        <v>3.9358288770053478</v>
      </c>
      <c r="K34" s="21"/>
      <c r="L34" s="21">
        <v>173.6524064171123</v>
      </c>
      <c r="M34" s="21"/>
      <c r="N34" s="21">
        <v>99.318181818181813</v>
      </c>
      <c r="O34" s="21"/>
      <c r="P34" s="21">
        <v>95.957219251336895</v>
      </c>
      <c r="Q34" s="21"/>
      <c r="R34" s="21">
        <v>650.64438502673795</v>
      </c>
      <c r="S34" s="21"/>
      <c r="T34" s="21">
        <v>248.57486631016042</v>
      </c>
      <c r="U34" s="18"/>
    </row>
    <row r="35" spans="1:21" s="1" customFormat="1" x14ac:dyDescent="0.2">
      <c r="A35" s="18"/>
      <c r="B35" s="18"/>
      <c r="C35" s="19"/>
      <c r="D35" s="20" t="s">
        <v>33</v>
      </c>
      <c r="E35" s="18"/>
      <c r="F35" s="22">
        <v>1.4483985669486152</v>
      </c>
      <c r="G35" s="18"/>
      <c r="H35" s="22">
        <v>2.0019865644726944</v>
      </c>
      <c r="I35" s="18"/>
      <c r="J35" s="22">
        <v>0.20351686622263856</v>
      </c>
      <c r="K35" s="18"/>
      <c r="L35" s="22">
        <v>8.9793521696300846</v>
      </c>
      <c r="M35" s="18"/>
      <c r="N35" s="22">
        <v>5.1356209210868951</v>
      </c>
      <c r="O35" s="18"/>
      <c r="P35" s="22">
        <v>4.9618296841019376</v>
      </c>
      <c r="Q35" s="18"/>
      <c r="R35" s="22">
        <v>33.644020206170573</v>
      </c>
      <c r="S35" s="18"/>
      <c r="T35" s="22">
        <v>12.853500341114156</v>
      </c>
      <c r="U35" s="18"/>
    </row>
    <row r="36" spans="1:21" s="1" customFormat="1" x14ac:dyDescent="0.2">
      <c r="A36" s="18"/>
      <c r="B36" s="18"/>
      <c r="C36" s="19"/>
      <c r="D36" s="20" t="s">
        <v>44</v>
      </c>
      <c r="E36" s="18"/>
      <c r="F36" s="22">
        <v>11.788469220684959</v>
      </c>
      <c r="G36" s="18"/>
      <c r="H36" s="22">
        <v>4.770148358861424</v>
      </c>
      <c r="I36" s="18"/>
      <c r="J36" s="22">
        <v>64.703296703296715</v>
      </c>
      <c r="K36" s="18"/>
      <c r="L36" s="22">
        <v>2.4266201115491999</v>
      </c>
      <c r="M36" s="18"/>
      <c r="N36" s="22">
        <v>41.63420853532098</v>
      </c>
      <c r="O36" s="18"/>
      <c r="P36" s="22">
        <v>55.473459671685163</v>
      </c>
      <c r="Q36" s="18"/>
      <c r="R36" s="23">
        <v>0.96285501522186245</v>
      </c>
      <c r="S36" s="18"/>
      <c r="T36" s="23">
        <v>2.5425999052887205</v>
      </c>
      <c r="U36" s="18"/>
    </row>
    <row r="37" spans="1:21" s="1" customFormat="1" x14ac:dyDescent="0.2">
      <c r="A37" s="18"/>
      <c r="B37" s="18"/>
      <c r="C37" s="19"/>
      <c r="D37" s="20" t="s">
        <v>45</v>
      </c>
      <c r="E37" s="18"/>
      <c r="F37" s="22">
        <v>0.60956723179013705</v>
      </c>
      <c r="G37" s="18"/>
      <c r="H37" s="22">
        <v>0.24665849958171851</v>
      </c>
      <c r="I37" s="18"/>
      <c r="J37" s="22">
        <v>3.3457278227370031</v>
      </c>
      <c r="K37" s="18"/>
      <c r="L37" s="22">
        <v>0.12547753879764317</v>
      </c>
      <c r="M37" s="18"/>
      <c r="N37" s="22">
        <v>2.152853671630004</v>
      </c>
      <c r="O37" s="18"/>
      <c r="P37" s="22">
        <v>2.8684643117663535</v>
      </c>
      <c r="Q37" s="18"/>
      <c r="R37" s="23">
        <v>4.9788047562119186E-2</v>
      </c>
      <c r="S37" s="18"/>
      <c r="T37" s="23">
        <v>0.13147471116072992</v>
      </c>
      <c r="U37" s="18"/>
    </row>
    <row r="38" spans="1:21" x14ac:dyDescent="0.2">
      <c r="A38" s="15"/>
      <c r="B38" s="15"/>
      <c r="C38" s="16"/>
      <c r="D38" s="20" t="s">
        <v>46</v>
      </c>
      <c r="E38" s="18">
        <v>48</v>
      </c>
      <c r="F38" s="18">
        <v>0</v>
      </c>
      <c r="G38" s="18">
        <v>6</v>
      </c>
      <c r="H38" s="18">
        <v>0</v>
      </c>
      <c r="I38" s="18">
        <v>0</v>
      </c>
      <c r="J38" s="18">
        <v>0</v>
      </c>
      <c r="K38" s="18">
        <v>540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25300</v>
      </c>
      <c r="R38" s="18">
        <v>4</v>
      </c>
      <c r="S38" s="18">
        <v>6400</v>
      </c>
      <c r="T38" s="18">
        <v>1</v>
      </c>
      <c r="U38" s="15"/>
    </row>
    <row r="39" spans="1:21" ht="17" thickBot="1" x14ac:dyDescent="0.25">
      <c r="A39" s="15"/>
      <c r="B39" s="24"/>
      <c r="C39" s="25"/>
      <c r="D39" s="26" t="s">
        <v>47</v>
      </c>
      <c r="E39" s="27">
        <v>3143</v>
      </c>
      <c r="F39" s="27">
        <v>300</v>
      </c>
      <c r="G39" s="27">
        <v>9800</v>
      </c>
      <c r="H39" s="27">
        <v>500</v>
      </c>
      <c r="I39" s="27">
        <v>167.5</v>
      </c>
      <c r="J39" s="27">
        <v>40</v>
      </c>
      <c r="K39" s="27">
        <v>46200</v>
      </c>
      <c r="L39" s="27">
        <v>7000</v>
      </c>
      <c r="M39" s="27">
        <v>2580</v>
      </c>
      <c r="N39" s="27">
        <v>2000</v>
      </c>
      <c r="O39" s="27">
        <v>1030</v>
      </c>
      <c r="P39" s="27">
        <v>2000</v>
      </c>
      <c r="Q39" s="27">
        <v>75500</v>
      </c>
      <c r="R39" s="27">
        <v>8000</v>
      </c>
      <c r="S39" s="27">
        <v>10700</v>
      </c>
      <c r="T39" s="27">
        <v>5000</v>
      </c>
      <c r="U39" s="15"/>
    </row>
    <row r="40" spans="1:21" x14ac:dyDescent="0.2">
      <c r="A40" s="15"/>
      <c r="B40" s="15"/>
      <c r="C40" s="16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</sheetData>
  <mergeCells count="2">
    <mergeCell ref="E2:T2"/>
    <mergeCell ref="B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8AC9-DD1E-844E-AE2D-EC1F62182BF3}">
  <dimension ref="A1:S387"/>
  <sheetViews>
    <sheetView zoomScale="80" zoomScaleNormal="80" workbookViewId="0">
      <pane ySplit="1" topLeftCell="A349" activePane="bottomLeft" state="frozen"/>
      <selection pane="bottomLeft" activeCell="L374" sqref="L374"/>
    </sheetView>
  </sheetViews>
  <sheetFormatPr baseColWidth="10" defaultRowHeight="16" x14ac:dyDescent="0.2"/>
  <cols>
    <col min="1" max="1" width="14.1640625" customWidth="1"/>
    <col min="19" max="19" width="22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36</v>
      </c>
      <c r="C2">
        <v>60</v>
      </c>
      <c r="D2">
        <v>200</v>
      </c>
      <c r="E2">
        <v>20</v>
      </c>
      <c r="F2">
        <v>300</v>
      </c>
      <c r="G2">
        <v>0</v>
      </c>
      <c r="H2">
        <v>0</v>
      </c>
      <c r="I2">
        <v>4080</v>
      </c>
      <c r="J2">
        <v>800</v>
      </c>
      <c r="K2">
        <v>100</v>
      </c>
      <c r="L2">
        <v>2000</v>
      </c>
      <c r="M2">
        <v>250</v>
      </c>
      <c r="N2">
        <v>700</v>
      </c>
      <c r="O2">
        <v>70300</v>
      </c>
      <c r="P2">
        <v>5000</v>
      </c>
      <c r="Q2">
        <v>10100</v>
      </c>
      <c r="R2">
        <v>1000</v>
      </c>
    </row>
    <row r="3" spans="1:18" x14ac:dyDescent="0.2">
      <c r="A3" t="s">
        <v>18</v>
      </c>
      <c r="B3">
        <v>37</v>
      </c>
      <c r="C3">
        <v>48</v>
      </c>
      <c r="D3">
        <v>80</v>
      </c>
      <c r="E3">
        <v>20</v>
      </c>
      <c r="F3">
        <v>100</v>
      </c>
      <c r="G3">
        <v>0</v>
      </c>
      <c r="H3">
        <v>0</v>
      </c>
      <c r="I3">
        <v>4420</v>
      </c>
      <c r="J3">
        <v>200</v>
      </c>
      <c r="K3">
        <v>100</v>
      </c>
      <c r="L3">
        <v>400</v>
      </c>
      <c r="M3">
        <v>130</v>
      </c>
      <c r="N3">
        <v>800</v>
      </c>
      <c r="O3">
        <v>70000</v>
      </c>
      <c r="P3">
        <v>4000</v>
      </c>
      <c r="Q3">
        <v>9960</v>
      </c>
      <c r="R3">
        <v>700</v>
      </c>
    </row>
    <row r="4" spans="1:18" x14ac:dyDescent="0.2">
      <c r="A4" t="s">
        <v>18</v>
      </c>
      <c r="B4">
        <v>38</v>
      </c>
      <c r="C4">
        <v>70</v>
      </c>
      <c r="D4">
        <v>300</v>
      </c>
      <c r="E4">
        <v>30</v>
      </c>
      <c r="F4">
        <v>200</v>
      </c>
      <c r="G4">
        <v>0</v>
      </c>
      <c r="H4">
        <v>0</v>
      </c>
      <c r="I4">
        <v>4230</v>
      </c>
      <c r="J4">
        <v>800</v>
      </c>
      <c r="K4">
        <v>30</v>
      </c>
      <c r="L4">
        <v>400</v>
      </c>
      <c r="M4">
        <v>300</v>
      </c>
      <c r="N4">
        <v>1000</v>
      </c>
      <c r="O4">
        <v>69400</v>
      </c>
      <c r="P4">
        <v>5000</v>
      </c>
      <c r="Q4">
        <v>10000</v>
      </c>
      <c r="R4">
        <v>2000</v>
      </c>
    </row>
    <row r="5" spans="1:18" x14ac:dyDescent="0.2">
      <c r="A5" t="s">
        <v>18</v>
      </c>
      <c r="B5">
        <v>39</v>
      </c>
      <c r="C5">
        <v>64</v>
      </c>
      <c r="D5">
        <v>20</v>
      </c>
      <c r="E5">
        <v>20</v>
      </c>
      <c r="F5">
        <v>300</v>
      </c>
      <c r="G5">
        <v>0</v>
      </c>
      <c r="H5">
        <v>0</v>
      </c>
      <c r="I5">
        <v>3900</v>
      </c>
      <c r="J5">
        <v>1000</v>
      </c>
      <c r="K5">
        <v>10</v>
      </c>
      <c r="L5">
        <v>200</v>
      </c>
      <c r="M5">
        <v>290</v>
      </c>
      <c r="N5">
        <v>900</v>
      </c>
      <c r="O5">
        <v>68690</v>
      </c>
      <c r="P5">
        <v>700</v>
      </c>
      <c r="Q5">
        <v>10020</v>
      </c>
      <c r="R5">
        <v>600</v>
      </c>
    </row>
    <row r="6" spans="1:18" x14ac:dyDescent="0.2">
      <c r="A6" t="s">
        <v>18</v>
      </c>
      <c r="B6">
        <v>40</v>
      </c>
      <c r="C6">
        <v>60</v>
      </c>
      <c r="D6">
        <v>100</v>
      </c>
      <c r="E6">
        <v>6</v>
      </c>
      <c r="F6">
        <v>80</v>
      </c>
      <c r="G6">
        <v>0</v>
      </c>
      <c r="H6">
        <v>0</v>
      </c>
      <c r="I6">
        <v>3200</v>
      </c>
      <c r="J6">
        <v>1000</v>
      </c>
      <c r="K6">
        <v>5</v>
      </c>
      <c r="L6">
        <v>70</v>
      </c>
      <c r="M6">
        <v>280</v>
      </c>
      <c r="N6">
        <v>500</v>
      </c>
      <c r="O6">
        <v>68300</v>
      </c>
      <c r="P6">
        <v>1000</v>
      </c>
      <c r="Q6">
        <v>10300</v>
      </c>
      <c r="R6">
        <v>1000</v>
      </c>
    </row>
    <row r="7" spans="1:18" x14ac:dyDescent="0.2">
      <c r="A7" t="s">
        <v>18</v>
      </c>
      <c r="B7">
        <v>41</v>
      </c>
      <c r="C7">
        <v>90</v>
      </c>
      <c r="D7">
        <v>200</v>
      </c>
      <c r="E7">
        <v>12</v>
      </c>
      <c r="F7">
        <v>90</v>
      </c>
      <c r="G7">
        <v>0</v>
      </c>
      <c r="H7">
        <v>0</v>
      </c>
      <c r="I7">
        <v>2442</v>
      </c>
      <c r="J7">
        <v>70</v>
      </c>
      <c r="K7">
        <v>80</v>
      </c>
      <c r="L7">
        <v>300</v>
      </c>
      <c r="M7">
        <v>100</v>
      </c>
      <c r="N7">
        <v>1000</v>
      </c>
      <c r="O7">
        <v>68300</v>
      </c>
      <c r="P7">
        <v>4000</v>
      </c>
      <c r="Q7">
        <v>10100</v>
      </c>
      <c r="R7">
        <v>1000</v>
      </c>
    </row>
    <row r="8" spans="1:18" x14ac:dyDescent="0.2">
      <c r="A8" t="s">
        <v>18</v>
      </c>
      <c r="B8">
        <v>42</v>
      </c>
      <c r="C8">
        <v>80</v>
      </c>
      <c r="D8">
        <v>200</v>
      </c>
      <c r="E8">
        <v>10</v>
      </c>
      <c r="F8">
        <v>100</v>
      </c>
      <c r="G8">
        <v>0</v>
      </c>
      <c r="H8">
        <v>0</v>
      </c>
      <c r="I8">
        <v>2590</v>
      </c>
      <c r="J8">
        <v>600</v>
      </c>
      <c r="K8">
        <v>180</v>
      </c>
      <c r="L8">
        <v>300</v>
      </c>
      <c r="M8">
        <v>180</v>
      </c>
      <c r="N8">
        <v>400</v>
      </c>
      <c r="O8">
        <v>70300</v>
      </c>
      <c r="P8">
        <v>1000</v>
      </c>
      <c r="Q8">
        <v>10280</v>
      </c>
      <c r="R8">
        <v>200</v>
      </c>
    </row>
    <row r="9" spans="1:18" x14ac:dyDescent="0.2">
      <c r="A9" t="s">
        <v>18</v>
      </c>
      <c r="B9">
        <v>43</v>
      </c>
      <c r="C9">
        <v>90</v>
      </c>
      <c r="D9">
        <v>200</v>
      </c>
      <c r="E9">
        <v>19</v>
      </c>
      <c r="F9">
        <v>70</v>
      </c>
      <c r="G9">
        <v>3</v>
      </c>
      <c r="H9">
        <v>40</v>
      </c>
      <c r="I9">
        <v>3890</v>
      </c>
      <c r="J9">
        <v>300</v>
      </c>
      <c r="K9">
        <v>60</v>
      </c>
      <c r="L9">
        <v>800</v>
      </c>
      <c r="M9">
        <v>180</v>
      </c>
      <c r="N9">
        <v>300</v>
      </c>
      <c r="O9">
        <v>69400</v>
      </c>
      <c r="P9">
        <v>3000</v>
      </c>
      <c r="Q9">
        <v>10350</v>
      </c>
      <c r="R9">
        <v>600</v>
      </c>
    </row>
    <row r="10" spans="1:18" x14ac:dyDescent="0.2">
      <c r="A10" t="s">
        <v>18</v>
      </c>
      <c r="B10">
        <v>44</v>
      </c>
      <c r="C10">
        <v>90</v>
      </c>
      <c r="D10">
        <v>100</v>
      </c>
      <c r="E10">
        <v>20</v>
      </c>
      <c r="F10">
        <v>100</v>
      </c>
      <c r="G10">
        <v>0</v>
      </c>
      <c r="H10">
        <v>0</v>
      </c>
      <c r="I10">
        <v>6560</v>
      </c>
      <c r="J10">
        <v>500</v>
      </c>
      <c r="K10">
        <v>70</v>
      </c>
      <c r="L10">
        <v>1000</v>
      </c>
      <c r="M10">
        <v>30</v>
      </c>
      <c r="N10">
        <v>200</v>
      </c>
      <c r="O10">
        <v>69000</v>
      </c>
      <c r="P10">
        <v>6000</v>
      </c>
      <c r="Q10">
        <v>10100</v>
      </c>
      <c r="R10">
        <v>1000</v>
      </c>
    </row>
    <row r="11" spans="1:18" x14ac:dyDescent="0.2">
      <c r="A11" t="s">
        <v>18</v>
      </c>
      <c r="B11">
        <v>45</v>
      </c>
      <c r="C11">
        <v>105</v>
      </c>
      <c r="D11">
        <v>60</v>
      </c>
      <c r="E11">
        <v>30</v>
      </c>
      <c r="F11">
        <v>100</v>
      </c>
      <c r="G11">
        <v>0</v>
      </c>
      <c r="H11">
        <v>0</v>
      </c>
      <c r="I11">
        <v>6600</v>
      </c>
      <c r="J11">
        <v>1000</v>
      </c>
      <c r="K11">
        <v>0</v>
      </c>
      <c r="L11">
        <v>0</v>
      </c>
      <c r="M11">
        <v>106</v>
      </c>
      <c r="N11">
        <v>20</v>
      </c>
      <c r="O11">
        <v>67800</v>
      </c>
      <c r="P11">
        <v>2000</v>
      </c>
      <c r="Q11">
        <v>9800</v>
      </c>
      <c r="R11">
        <v>2000</v>
      </c>
    </row>
    <row r="12" spans="1:18" x14ac:dyDescent="0.2">
      <c r="A12" t="s">
        <v>18</v>
      </c>
      <c r="B12">
        <v>46</v>
      </c>
      <c r="C12">
        <v>92</v>
      </c>
      <c r="D12">
        <v>60</v>
      </c>
      <c r="E12">
        <v>30</v>
      </c>
      <c r="F12">
        <v>400</v>
      </c>
      <c r="G12">
        <v>0</v>
      </c>
      <c r="H12">
        <v>0</v>
      </c>
      <c r="I12">
        <v>9800</v>
      </c>
      <c r="J12">
        <v>1000</v>
      </c>
      <c r="K12">
        <v>140</v>
      </c>
      <c r="L12">
        <v>100</v>
      </c>
      <c r="M12">
        <v>90</v>
      </c>
      <c r="N12">
        <v>500</v>
      </c>
      <c r="O12">
        <v>68000</v>
      </c>
      <c r="P12">
        <v>6000</v>
      </c>
      <c r="Q12">
        <v>9860</v>
      </c>
      <c r="R12">
        <v>700</v>
      </c>
    </row>
    <row r="13" spans="1:18" x14ac:dyDescent="0.2">
      <c r="A13" t="s">
        <v>18</v>
      </c>
      <c r="B13">
        <v>47</v>
      </c>
      <c r="C13">
        <v>100</v>
      </c>
      <c r="D13">
        <v>200</v>
      </c>
      <c r="E13">
        <v>60</v>
      </c>
      <c r="F13">
        <v>200</v>
      </c>
      <c r="G13">
        <v>0</v>
      </c>
      <c r="H13">
        <v>0</v>
      </c>
      <c r="I13">
        <v>13690</v>
      </c>
      <c r="J13">
        <v>500</v>
      </c>
      <c r="K13">
        <v>20</v>
      </c>
      <c r="L13">
        <v>300</v>
      </c>
      <c r="M13">
        <v>180</v>
      </c>
      <c r="N13">
        <v>600</v>
      </c>
      <c r="O13">
        <v>67400</v>
      </c>
      <c r="P13">
        <v>4000</v>
      </c>
      <c r="Q13">
        <v>9870</v>
      </c>
      <c r="R13">
        <v>300</v>
      </c>
    </row>
    <row r="14" spans="1:18" x14ac:dyDescent="0.2">
      <c r="A14" t="s">
        <v>18</v>
      </c>
      <c r="B14">
        <v>48</v>
      </c>
      <c r="C14">
        <v>90</v>
      </c>
      <c r="D14">
        <v>300</v>
      </c>
      <c r="E14">
        <v>40</v>
      </c>
      <c r="F14">
        <v>200</v>
      </c>
      <c r="G14">
        <v>0</v>
      </c>
      <c r="H14">
        <v>0</v>
      </c>
      <c r="I14">
        <v>14200</v>
      </c>
      <c r="J14">
        <v>2000</v>
      </c>
      <c r="K14">
        <v>70</v>
      </c>
      <c r="L14">
        <v>900</v>
      </c>
      <c r="M14">
        <v>0</v>
      </c>
      <c r="N14">
        <v>0</v>
      </c>
      <c r="O14">
        <v>66100</v>
      </c>
      <c r="P14">
        <v>3000</v>
      </c>
      <c r="Q14">
        <v>9540</v>
      </c>
      <c r="R14">
        <v>100</v>
      </c>
    </row>
    <row r="15" spans="1:18" x14ac:dyDescent="0.2">
      <c r="A15" t="s">
        <v>18</v>
      </c>
      <c r="B15">
        <v>49</v>
      </c>
      <c r="C15">
        <v>101</v>
      </c>
      <c r="D15">
        <v>30</v>
      </c>
      <c r="E15">
        <v>48</v>
      </c>
      <c r="F15">
        <v>70</v>
      </c>
      <c r="G15">
        <v>0</v>
      </c>
      <c r="H15">
        <v>0</v>
      </c>
      <c r="I15">
        <v>14360</v>
      </c>
      <c r="J15">
        <v>300</v>
      </c>
      <c r="K15">
        <v>90</v>
      </c>
      <c r="L15">
        <v>700</v>
      </c>
      <c r="M15">
        <v>50</v>
      </c>
      <c r="N15">
        <v>700</v>
      </c>
      <c r="O15">
        <v>66000</v>
      </c>
      <c r="P15">
        <v>7000</v>
      </c>
      <c r="Q15">
        <v>9740</v>
      </c>
      <c r="R15">
        <v>500</v>
      </c>
    </row>
    <row r="16" spans="1:18" x14ac:dyDescent="0.2">
      <c r="A16" t="s">
        <v>18</v>
      </c>
      <c r="B16">
        <v>50</v>
      </c>
      <c r="C16">
        <v>97</v>
      </c>
      <c r="D16">
        <v>60</v>
      </c>
      <c r="E16">
        <v>8</v>
      </c>
      <c r="F16">
        <v>100</v>
      </c>
      <c r="G16">
        <v>0</v>
      </c>
      <c r="H16">
        <v>0</v>
      </c>
      <c r="I16">
        <v>17800</v>
      </c>
      <c r="J16">
        <v>4000</v>
      </c>
      <c r="K16">
        <v>80</v>
      </c>
      <c r="L16">
        <v>600</v>
      </c>
      <c r="M16">
        <v>20</v>
      </c>
      <c r="N16">
        <v>300</v>
      </c>
      <c r="O16">
        <v>65940</v>
      </c>
      <c r="P16">
        <v>100</v>
      </c>
      <c r="Q16">
        <v>9460</v>
      </c>
      <c r="R16">
        <v>400</v>
      </c>
    </row>
    <row r="17" spans="1:18" x14ac:dyDescent="0.2">
      <c r="A17" t="s">
        <v>18</v>
      </c>
      <c r="B17">
        <v>51</v>
      </c>
      <c r="C17">
        <v>90</v>
      </c>
      <c r="D17">
        <v>300</v>
      </c>
      <c r="E17">
        <v>59.5</v>
      </c>
      <c r="F17">
        <v>70</v>
      </c>
      <c r="G17">
        <v>0</v>
      </c>
      <c r="H17">
        <v>0</v>
      </c>
      <c r="I17">
        <v>27300</v>
      </c>
      <c r="J17">
        <v>3000</v>
      </c>
      <c r="K17">
        <v>80</v>
      </c>
      <c r="L17">
        <v>300</v>
      </c>
      <c r="M17">
        <v>130</v>
      </c>
      <c r="N17">
        <v>500</v>
      </c>
      <c r="O17">
        <v>65500</v>
      </c>
      <c r="P17">
        <v>6000</v>
      </c>
      <c r="Q17">
        <v>9600</v>
      </c>
      <c r="R17">
        <v>5000</v>
      </c>
    </row>
    <row r="18" spans="1:18" x14ac:dyDescent="0.2">
      <c r="A18" t="s">
        <v>18</v>
      </c>
      <c r="B18">
        <v>52</v>
      </c>
      <c r="C18">
        <v>70</v>
      </c>
      <c r="D18">
        <v>90</v>
      </c>
      <c r="E18">
        <v>20</v>
      </c>
      <c r="F18">
        <v>100</v>
      </c>
      <c r="G18">
        <v>0</v>
      </c>
      <c r="H18">
        <v>0</v>
      </c>
      <c r="I18">
        <v>34300</v>
      </c>
      <c r="J18">
        <v>7000</v>
      </c>
      <c r="K18">
        <v>30</v>
      </c>
      <c r="L18">
        <v>400</v>
      </c>
      <c r="M18">
        <v>160</v>
      </c>
      <c r="N18">
        <v>100</v>
      </c>
      <c r="O18">
        <v>64900</v>
      </c>
      <c r="P18">
        <v>5000</v>
      </c>
      <c r="Q18">
        <v>9510</v>
      </c>
      <c r="R18">
        <v>800</v>
      </c>
    </row>
    <row r="19" spans="1:18" x14ac:dyDescent="0.2">
      <c r="A19" t="s">
        <v>18</v>
      </c>
      <c r="B19">
        <v>53</v>
      </c>
      <c r="C19">
        <v>140</v>
      </c>
      <c r="D19">
        <v>200</v>
      </c>
      <c r="E19">
        <v>32</v>
      </c>
      <c r="F19">
        <v>90</v>
      </c>
      <c r="G19">
        <v>0</v>
      </c>
      <c r="H19">
        <v>0</v>
      </c>
      <c r="I19">
        <v>46200</v>
      </c>
      <c r="J19">
        <v>7000</v>
      </c>
      <c r="K19">
        <v>20</v>
      </c>
      <c r="L19">
        <v>400</v>
      </c>
      <c r="M19">
        <v>90</v>
      </c>
      <c r="N19">
        <v>1000</v>
      </c>
      <c r="O19">
        <v>65600</v>
      </c>
      <c r="P19">
        <v>1000</v>
      </c>
      <c r="Q19">
        <v>9580</v>
      </c>
      <c r="R19">
        <v>700</v>
      </c>
    </row>
    <row r="20" spans="1:18" x14ac:dyDescent="0.2">
      <c r="A20" t="s">
        <v>18</v>
      </c>
      <c r="B20">
        <v>54</v>
      </c>
      <c r="C20">
        <v>76</v>
      </c>
      <c r="D20">
        <v>80</v>
      </c>
      <c r="E20">
        <v>8</v>
      </c>
      <c r="F20">
        <v>30</v>
      </c>
      <c r="G20">
        <v>0</v>
      </c>
      <c r="H20">
        <v>0</v>
      </c>
      <c r="I20">
        <v>46100</v>
      </c>
      <c r="J20">
        <v>1000</v>
      </c>
      <c r="K20">
        <v>60</v>
      </c>
      <c r="L20">
        <v>900</v>
      </c>
      <c r="M20">
        <v>0</v>
      </c>
      <c r="N20">
        <v>0</v>
      </c>
      <c r="O20">
        <v>66100</v>
      </c>
      <c r="P20">
        <v>2000</v>
      </c>
      <c r="Q20">
        <v>9705</v>
      </c>
      <c r="R20">
        <v>80</v>
      </c>
    </row>
    <row r="21" spans="1:18" x14ac:dyDescent="0.2">
      <c r="A21" t="s">
        <v>18</v>
      </c>
      <c r="B21">
        <v>55</v>
      </c>
      <c r="C21">
        <v>90</v>
      </c>
      <c r="D21">
        <v>100</v>
      </c>
      <c r="E21">
        <v>50</v>
      </c>
      <c r="F21">
        <v>100</v>
      </c>
      <c r="G21">
        <v>0</v>
      </c>
      <c r="H21">
        <v>0</v>
      </c>
      <c r="I21">
        <v>43000</v>
      </c>
      <c r="J21">
        <v>2000</v>
      </c>
      <c r="K21">
        <v>90</v>
      </c>
      <c r="L21">
        <v>700</v>
      </c>
      <c r="M21">
        <v>0</v>
      </c>
      <c r="N21">
        <v>0</v>
      </c>
      <c r="O21">
        <v>66700</v>
      </c>
      <c r="P21">
        <v>200</v>
      </c>
      <c r="Q21">
        <v>9700</v>
      </c>
      <c r="R21">
        <v>1000</v>
      </c>
    </row>
    <row r="22" spans="1:18" x14ac:dyDescent="0.2">
      <c r="A22" t="s">
        <v>18</v>
      </c>
      <c r="B22">
        <v>56</v>
      </c>
      <c r="C22">
        <v>90</v>
      </c>
      <c r="D22">
        <v>100</v>
      </c>
      <c r="E22">
        <v>20</v>
      </c>
      <c r="F22">
        <v>100</v>
      </c>
      <c r="G22">
        <v>0</v>
      </c>
      <c r="H22">
        <v>0</v>
      </c>
      <c r="I22">
        <v>34600</v>
      </c>
      <c r="J22">
        <v>2000</v>
      </c>
      <c r="K22">
        <v>20</v>
      </c>
      <c r="L22">
        <v>300</v>
      </c>
      <c r="M22">
        <v>50</v>
      </c>
      <c r="N22">
        <v>700</v>
      </c>
      <c r="O22">
        <v>66500</v>
      </c>
      <c r="P22">
        <v>3000</v>
      </c>
      <c r="Q22">
        <v>9330</v>
      </c>
      <c r="R22">
        <v>100</v>
      </c>
    </row>
    <row r="23" spans="1:18" x14ac:dyDescent="0.2">
      <c r="A23" t="s">
        <v>18</v>
      </c>
      <c r="B23">
        <v>57</v>
      </c>
      <c r="C23">
        <v>86</v>
      </c>
      <c r="D23">
        <v>40</v>
      </c>
      <c r="E23">
        <v>23</v>
      </c>
      <c r="F23">
        <v>10</v>
      </c>
      <c r="G23">
        <v>0</v>
      </c>
      <c r="H23">
        <v>0</v>
      </c>
      <c r="I23">
        <v>15860</v>
      </c>
      <c r="J23">
        <v>400</v>
      </c>
      <c r="K23">
        <v>20</v>
      </c>
      <c r="L23">
        <v>300</v>
      </c>
      <c r="M23">
        <v>60</v>
      </c>
      <c r="N23">
        <v>100</v>
      </c>
      <c r="O23">
        <v>68700</v>
      </c>
      <c r="P23">
        <v>5000</v>
      </c>
      <c r="Q23">
        <v>9600</v>
      </c>
      <c r="R23">
        <v>2000</v>
      </c>
    </row>
    <row r="24" spans="1:18" x14ac:dyDescent="0.2">
      <c r="A24" t="s">
        <v>18</v>
      </c>
      <c r="B24">
        <v>58</v>
      </c>
      <c r="C24">
        <v>90</v>
      </c>
      <c r="D24">
        <v>100</v>
      </c>
      <c r="E24">
        <v>40</v>
      </c>
      <c r="F24">
        <v>300</v>
      </c>
      <c r="G24">
        <v>3</v>
      </c>
      <c r="H24">
        <v>40</v>
      </c>
      <c r="I24">
        <v>14800</v>
      </c>
      <c r="J24">
        <v>2000</v>
      </c>
      <c r="K24">
        <v>200</v>
      </c>
      <c r="L24">
        <v>900</v>
      </c>
      <c r="M24">
        <v>200</v>
      </c>
      <c r="N24">
        <v>2000</v>
      </c>
      <c r="O24">
        <v>69600</v>
      </c>
      <c r="P24">
        <v>2000</v>
      </c>
      <c r="Q24">
        <v>10000</v>
      </c>
      <c r="R24">
        <v>1000</v>
      </c>
    </row>
    <row r="25" spans="1:18" x14ac:dyDescent="0.2">
      <c r="A25" t="s">
        <v>18</v>
      </c>
      <c r="B25">
        <v>59</v>
      </c>
      <c r="C25">
        <v>60</v>
      </c>
      <c r="D25">
        <v>200</v>
      </c>
      <c r="E25">
        <v>30</v>
      </c>
      <c r="F25">
        <v>200</v>
      </c>
      <c r="G25">
        <v>0</v>
      </c>
      <c r="H25">
        <v>0</v>
      </c>
      <c r="I25">
        <v>8700</v>
      </c>
      <c r="J25">
        <v>1000</v>
      </c>
      <c r="K25">
        <v>40</v>
      </c>
      <c r="L25">
        <v>600</v>
      </c>
      <c r="M25">
        <v>0</v>
      </c>
      <c r="N25">
        <v>0</v>
      </c>
      <c r="O25">
        <v>70400</v>
      </c>
      <c r="P25">
        <v>8000</v>
      </c>
      <c r="Q25">
        <v>9900</v>
      </c>
      <c r="R25">
        <v>2000</v>
      </c>
    </row>
    <row r="26" spans="1:18" x14ac:dyDescent="0.2">
      <c r="A26" t="s">
        <v>18</v>
      </c>
      <c r="B26">
        <v>60</v>
      </c>
      <c r="C26">
        <v>80</v>
      </c>
      <c r="D26">
        <v>100</v>
      </c>
      <c r="E26">
        <v>17</v>
      </c>
      <c r="F26">
        <v>30</v>
      </c>
      <c r="G26">
        <v>0</v>
      </c>
      <c r="H26">
        <v>0</v>
      </c>
      <c r="I26">
        <v>5960</v>
      </c>
      <c r="J26">
        <v>200</v>
      </c>
      <c r="K26">
        <v>100</v>
      </c>
      <c r="L26">
        <v>200</v>
      </c>
      <c r="M26">
        <v>60</v>
      </c>
      <c r="N26">
        <v>300</v>
      </c>
      <c r="O26">
        <v>72500</v>
      </c>
      <c r="P26">
        <v>1000</v>
      </c>
      <c r="Q26">
        <v>10200</v>
      </c>
      <c r="R26">
        <v>3000</v>
      </c>
    </row>
    <row r="27" spans="1:18" x14ac:dyDescent="0.2">
      <c r="A27" t="s">
        <v>18</v>
      </c>
      <c r="B27">
        <v>61</v>
      </c>
      <c r="C27">
        <v>90</v>
      </c>
      <c r="D27">
        <v>100</v>
      </c>
      <c r="E27">
        <v>20</v>
      </c>
      <c r="F27">
        <v>200</v>
      </c>
      <c r="G27">
        <v>0</v>
      </c>
      <c r="H27">
        <v>0</v>
      </c>
      <c r="I27">
        <v>9600</v>
      </c>
      <c r="J27">
        <v>1000</v>
      </c>
      <c r="K27">
        <v>40</v>
      </c>
      <c r="L27">
        <v>500</v>
      </c>
      <c r="M27">
        <v>30</v>
      </c>
      <c r="N27">
        <v>400</v>
      </c>
      <c r="O27">
        <v>68600</v>
      </c>
      <c r="P27">
        <v>2000</v>
      </c>
      <c r="Q27">
        <v>9600</v>
      </c>
      <c r="R27">
        <v>4000</v>
      </c>
    </row>
    <row r="28" spans="1:18" x14ac:dyDescent="0.2">
      <c r="A28" t="s">
        <v>18</v>
      </c>
      <c r="B28">
        <v>62</v>
      </c>
      <c r="C28">
        <v>80</v>
      </c>
      <c r="D28">
        <v>100</v>
      </c>
      <c r="E28">
        <v>34</v>
      </c>
      <c r="F28">
        <v>30</v>
      </c>
      <c r="G28">
        <v>0</v>
      </c>
      <c r="H28">
        <v>0</v>
      </c>
      <c r="I28">
        <v>10776</v>
      </c>
      <c r="J28">
        <v>60</v>
      </c>
      <c r="K28">
        <v>50</v>
      </c>
      <c r="L28">
        <v>700</v>
      </c>
      <c r="M28">
        <v>20</v>
      </c>
      <c r="N28">
        <v>300</v>
      </c>
      <c r="O28">
        <v>69300</v>
      </c>
      <c r="P28">
        <v>2000</v>
      </c>
      <c r="Q28">
        <v>9800</v>
      </c>
      <c r="R28">
        <v>1000</v>
      </c>
    </row>
    <row r="29" spans="1:18" x14ac:dyDescent="0.2">
      <c r="A29" t="s">
        <v>18</v>
      </c>
      <c r="B29">
        <v>63</v>
      </c>
      <c r="C29">
        <v>80</v>
      </c>
      <c r="D29">
        <v>40</v>
      </c>
      <c r="E29">
        <v>50</v>
      </c>
      <c r="F29">
        <v>200</v>
      </c>
      <c r="G29">
        <v>0</v>
      </c>
      <c r="H29">
        <v>0</v>
      </c>
      <c r="I29">
        <v>9364</v>
      </c>
      <c r="J29">
        <v>0</v>
      </c>
      <c r="K29">
        <v>110</v>
      </c>
      <c r="L29">
        <v>600</v>
      </c>
      <c r="M29">
        <v>90</v>
      </c>
      <c r="N29">
        <v>300</v>
      </c>
      <c r="O29">
        <v>68920</v>
      </c>
      <c r="P29">
        <v>900</v>
      </c>
      <c r="Q29">
        <v>9640</v>
      </c>
      <c r="R29">
        <v>600</v>
      </c>
    </row>
    <row r="30" spans="1:18" x14ac:dyDescent="0.2">
      <c r="A30" t="s">
        <v>18</v>
      </c>
      <c r="B30">
        <v>64</v>
      </c>
      <c r="C30">
        <v>77</v>
      </c>
      <c r="D30">
        <v>80</v>
      </c>
      <c r="E30">
        <v>40</v>
      </c>
      <c r="F30">
        <v>200</v>
      </c>
      <c r="G30">
        <v>0</v>
      </c>
      <c r="H30">
        <v>0</v>
      </c>
      <c r="I30">
        <v>7720</v>
      </c>
      <c r="J30">
        <v>400</v>
      </c>
      <c r="K30">
        <v>20</v>
      </c>
      <c r="L30">
        <v>100</v>
      </c>
      <c r="M30">
        <v>20</v>
      </c>
      <c r="N30">
        <v>300</v>
      </c>
      <c r="O30">
        <v>67800</v>
      </c>
      <c r="P30">
        <v>3000</v>
      </c>
      <c r="Q30">
        <v>9750</v>
      </c>
      <c r="R30">
        <v>100</v>
      </c>
    </row>
    <row r="31" spans="1:18" x14ac:dyDescent="0.2">
      <c r="A31" t="s">
        <v>18</v>
      </c>
      <c r="B31">
        <v>65</v>
      </c>
      <c r="C31">
        <v>90</v>
      </c>
      <c r="D31">
        <v>300</v>
      </c>
      <c r="E31">
        <v>60</v>
      </c>
      <c r="F31">
        <v>100</v>
      </c>
      <c r="G31">
        <v>0</v>
      </c>
      <c r="H31">
        <v>0</v>
      </c>
      <c r="I31">
        <v>8200</v>
      </c>
      <c r="J31">
        <v>1000</v>
      </c>
      <c r="K31">
        <v>40</v>
      </c>
      <c r="L31">
        <v>600</v>
      </c>
      <c r="M31">
        <v>90</v>
      </c>
      <c r="N31">
        <v>1000</v>
      </c>
      <c r="O31">
        <v>68600</v>
      </c>
      <c r="P31">
        <v>5000</v>
      </c>
      <c r="Q31">
        <v>9700</v>
      </c>
      <c r="R31">
        <v>1000</v>
      </c>
    </row>
    <row r="32" spans="1:18" x14ac:dyDescent="0.2">
      <c r="A32" t="s">
        <v>18</v>
      </c>
      <c r="B32">
        <v>66</v>
      </c>
      <c r="C32">
        <v>66</v>
      </c>
      <c r="D32">
        <v>60</v>
      </c>
      <c r="E32">
        <v>40</v>
      </c>
      <c r="F32">
        <v>500</v>
      </c>
      <c r="G32">
        <v>0</v>
      </c>
      <c r="H32">
        <v>0</v>
      </c>
      <c r="I32">
        <v>8050</v>
      </c>
      <c r="J32">
        <v>200</v>
      </c>
      <c r="K32">
        <v>20</v>
      </c>
      <c r="L32">
        <v>300</v>
      </c>
      <c r="M32">
        <v>0</v>
      </c>
      <c r="N32">
        <v>0</v>
      </c>
      <c r="O32">
        <v>69300</v>
      </c>
      <c r="P32">
        <v>4000</v>
      </c>
      <c r="Q32">
        <v>9800</v>
      </c>
      <c r="R32">
        <v>1000</v>
      </c>
    </row>
    <row r="33" spans="1:18" x14ac:dyDescent="0.2">
      <c r="A33" t="s">
        <v>18</v>
      </c>
      <c r="B33">
        <v>67</v>
      </c>
      <c r="C33">
        <v>92</v>
      </c>
      <c r="D33">
        <v>40</v>
      </c>
      <c r="E33">
        <v>9.5</v>
      </c>
      <c r="F33">
        <v>70</v>
      </c>
      <c r="G33">
        <v>0</v>
      </c>
      <c r="H33">
        <v>0</v>
      </c>
      <c r="I33">
        <v>6730</v>
      </c>
      <c r="J33">
        <v>300</v>
      </c>
      <c r="K33">
        <v>0</v>
      </c>
      <c r="L33">
        <v>0</v>
      </c>
      <c r="M33">
        <v>30</v>
      </c>
      <c r="N33">
        <v>400</v>
      </c>
      <c r="O33">
        <v>70800</v>
      </c>
      <c r="P33">
        <v>1000</v>
      </c>
      <c r="Q33">
        <v>9870</v>
      </c>
      <c r="R33">
        <v>300</v>
      </c>
    </row>
    <row r="34" spans="1:18" x14ac:dyDescent="0.2">
      <c r="A34" t="s">
        <v>18</v>
      </c>
      <c r="B34">
        <v>68</v>
      </c>
      <c r="C34">
        <v>70</v>
      </c>
      <c r="D34">
        <v>100</v>
      </c>
      <c r="E34">
        <v>38</v>
      </c>
      <c r="F34">
        <v>50</v>
      </c>
      <c r="G34">
        <v>0</v>
      </c>
      <c r="H34">
        <v>0</v>
      </c>
      <c r="I34">
        <v>8800</v>
      </c>
      <c r="J34">
        <v>1000</v>
      </c>
      <c r="K34">
        <v>50</v>
      </c>
      <c r="L34">
        <v>700</v>
      </c>
      <c r="M34">
        <v>50</v>
      </c>
      <c r="N34">
        <v>200</v>
      </c>
      <c r="O34">
        <v>71970</v>
      </c>
      <c r="P34">
        <v>400</v>
      </c>
      <c r="Q34">
        <v>10220</v>
      </c>
      <c r="R34">
        <v>800</v>
      </c>
    </row>
    <row r="35" spans="1:18" x14ac:dyDescent="0.2">
      <c r="A35" t="s">
        <v>18</v>
      </c>
      <c r="B35">
        <v>69</v>
      </c>
      <c r="C35">
        <v>70</v>
      </c>
      <c r="D35">
        <v>100</v>
      </c>
      <c r="E35">
        <v>49</v>
      </c>
      <c r="F35">
        <v>60</v>
      </c>
      <c r="G35">
        <v>0</v>
      </c>
      <c r="H35">
        <v>0</v>
      </c>
      <c r="I35">
        <v>10680</v>
      </c>
      <c r="J35">
        <v>600</v>
      </c>
      <c r="K35">
        <v>0</v>
      </c>
      <c r="L35">
        <v>0</v>
      </c>
      <c r="M35">
        <v>6</v>
      </c>
      <c r="N35">
        <v>80</v>
      </c>
      <c r="O35">
        <v>72100</v>
      </c>
      <c r="P35">
        <v>3000</v>
      </c>
      <c r="Q35">
        <v>10200</v>
      </c>
      <c r="R35">
        <v>1000</v>
      </c>
    </row>
    <row r="36" spans="1:18" x14ac:dyDescent="0.2">
      <c r="A36" t="s">
        <v>18</v>
      </c>
      <c r="B36">
        <v>70</v>
      </c>
      <c r="C36">
        <v>80</v>
      </c>
      <c r="D36">
        <v>300</v>
      </c>
      <c r="E36">
        <v>12</v>
      </c>
      <c r="F36">
        <v>50</v>
      </c>
      <c r="G36">
        <v>0</v>
      </c>
      <c r="H36">
        <v>0</v>
      </c>
      <c r="I36">
        <v>8370</v>
      </c>
      <c r="J36">
        <v>300</v>
      </c>
      <c r="K36">
        <v>40</v>
      </c>
      <c r="L36">
        <v>500</v>
      </c>
      <c r="M36">
        <v>40</v>
      </c>
      <c r="N36">
        <v>500</v>
      </c>
      <c r="O36">
        <v>71540</v>
      </c>
      <c r="P36">
        <v>300</v>
      </c>
      <c r="Q36">
        <v>10030</v>
      </c>
      <c r="R36">
        <v>500</v>
      </c>
    </row>
    <row r="37" spans="1:18" x14ac:dyDescent="0.2">
      <c r="A37" t="s">
        <v>18</v>
      </c>
      <c r="B37">
        <v>71</v>
      </c>
      <c r="C37">
        <v>80</v>
      </c>
      <c r="D37">
        <v>100</v>
      </c>
      <c r="E37">
        <v>30</v>
      </c>
      <c r="F37">
        <v>300</v>
      </c>
      <c r="G37">
        <v>0</v>
      </c>
      <c r="H37">
        <v>0</v>
      </c>
      <c r="I37">
        <v>7650</v>
      </c>
      <c r="J37">
        <v>200</v>
      </c>
      <c r="K37">
        <v>30</v>
      </c>
      <c r="L37">
        <v>400</v>
      </c>
      <c r="M37">
        <v>40</v>
      </c>
      <c r="N37">
        <v>500</v>
      </c>
      <c r="O37">
        <v>71300</v>
      </c>
      <c r="P37">
        <v>8000</v>
      </c>
      <c r="Q37">
        <v>9900</v>
      </c>
      <c r="R37">
        <v>2000</v>
      </c>
    </row>
    <row r="38" spans="1:18" x14ac:dyDescent="0.2">
      <c r="A38" t="s">
        <v>18</v>
      </c>
      <c r="B38">
        <v>72</v>
      </c>
      <c r="C38">
        <v>80</v>
      </c>
      <c r="D38">
        <v>300</v>
      </c>
      <c r="E38">
        <v>60</v>
      </c>
      <c r="F38">
        <v>200</v>
      </c>
      <c r="G38">
        <v>0</v>
      </c>
      <c r="H38">
        <v>0</v>
      </c>
      <c r="I38">
        <v>6580</v>
      </c>
      <c r="J38">
        <v>400</v>
      </c>
      <c r="K38">
        <v>100</v>
      </c>
      <c r="L38">
        <v>900</v>
      </c>
      <c r="M38">
        <v>0</v>
      </c>
      <c r="N38">
        <v>0</v>
      </c>
      <c r="O38">
        <v>72100</v>
      </c>
      <c r="P38">
        <v>4000</v>
      </c>
      <c r="Q38">
        <v>9900</v>
      </c>
      <c r="R38">
        <v>3000</v>
      </c>
    </row>
    <row r="39" spans="1:18" x14ac:dyDescent="0.2">
      <c r="A39" t="s">
        <v>19</v>
      </c>
      <c r="B39">
        <v>579</v>
      </c>
      <c r="C39">
        <v>60</v>
      </c>
      <c r="D39">
        <v>30</v>
      </c>
      <c r="E39">
        <v>70</v>
      </c>
      <c r="F39">
        <v>10</v>
      </c>
      <c r="G39">
        <v>0</v>
      </c>
      <c r="H39">
        <v>0</v>
      </c>
      <c r="I39">
        <v>2540</v>
      </c>
      <c r="J39">
        <v>40</v>
      </c>
      <c r="K39">
        <v>70</v>
      </c>
      <c r="L39">
        <v>60</v>
      </c>
      <c r="M39">
        <v>60</v>
      </c>
      <c r="N39">
        <v>80</v>
      </c>
      <c r="O39">
        <v>67970</v>
      </c>
      <c r="P39">
        <v>20</v>
      </c>
      <c r="Q39">
        <v>9780</v>
      </c>
      <c r="R39">
        <v>50</v>
      </c>
    </row>
    <row r="40" spans="1:18" x14ac:dyDescent="0.2">
      <c r="A40" t="s">
        <v>19</v>
      </c>
      <c r="B40">
        <v>580</v>
      </c>
      <c r="C40">
        <v>120</v>
      </c>
      <c r="D40">
        <v>2</v>
      </c>
      <c r="E40">
        <v>68</v>
      </c>
      <c r="F40">
        <v>8</v>
      </c>
      <c r="G40">
        <v>0</v>
      </c>
      <c r="H40">
        <v>0</v>
      </c>
      <c r="I40">
        <v>4200</v>
      </c>
      <c r="J40">
        <v>60</v>
      </c>
      <c r="K40">
        <v>190</v>
      </c>
      <c r="L40">
        <v>60</v>
      </c>
      <c r="M40">
        <v>10</v>
      </c>
      <c r="N40">
        <v>20</v>
      </c>
      <c r="O40">
        <v>69700</v>
      </c>
      <c r="P40">
        <v>400</v>
      </c>
      <c r="Q40">
        <v>10000</v>
      </c>
      <c r="R40">
        <v>200</v>
      </c>
    </row>
    <row r="41" spans="1:18" x14ac:dyDescent="0.2">
      <c r="A41" t="s">
        <v>19</v>
      </c>
      <c r="B41">
        <v>581</v>
      </c>
      <c r="C41">
        <v>120</v>
      </c>
      <c r="D41">
        <v>30</v>
      </c>
      <c r="E41">
        <v>40</v>
      </c>
      <c r="F41">
        <v>10</v>
      </c>
      <c r="G41">
        <v>0</v>
      </c>
      <c r="H41">
        <v>0</v>
      </c>
      <c r="I41">
        <v>3720</v>
      </c>
      <c r="J41">
        <v>30</v>
      </c>
      <c r="K41">
        <v>100</v>
      </c>
      <c r="L41">
        <v>40</v>
      </c>
      <c r="M41">
        <v>100</v>
      </c>
      <c r="N41">
        <v>100</v>
      </c>
      <c r="O41">
        <v>70100</v>
      </c>
      <c r="P41">
        <v>300</v>
      </c>
      <c r="Q41">
        <v>9900</v>
      </c>
      <c r="R41">
        <v>100</v>
      </c>
    </row>
    <row r="42" spans="1:18" x14ac:dyDescent="0.2">
      <c r="A42" t="s">
        <v>19</v>
      </c>
      <c r="B42">
        <v>582</v>
      </c>
      <c r="C42">
        <v>148</v>
      </c>
      <c r="D42">
        <v>2</v>
      </c>
      <c r="E42">
        <v>57</v>
      </c>
      <c r="F42">
        <v>3</v>
      </c>
      <c r="G42">
        <v>0</v>
      </c>
      <c r="H42">
        <v>0</v>
      </c>
      <c r="I42">
        <v>3900</v>
      </c>
      <c r="J42">
        <v>200</v>
      </c>
      <c r="K42">
        <v>174</v>
      </c>
      <c r="L42">
        <v>6</v>
      </c>
      <c r="M42">
        <v>2</v>
      </c>
      <c r="N42">
        <v>3</v>
      </c>
      <c r="O42">
        <v>71100</v>
      </c>
      <c r="P42">
        <v>500</v>
      </c>
      <c r="Q42">
        <v>9790</v>
      </c>
      <c r="R42">
        <v>30</v>
      </c>
    </row>
    <row r="43" spans="1:18" x14ac:dyDescent="0.2">
      <c r="A43" t="s">
        <v>19</v>
      </c>
      <c r="B43">
        <v>583</v>
      </c>
      <c r="C43">
        <v>102</v>
      </c>
      <c r="D43">
        <v>5</v>
      </c>
      <c r="E43">
        <v>80</v>
      </c>
      <c r="F43">
        <v>10</v>
      </c>
      <c r="G43">
        <v>0</v>
      </c>
      <c r="H43">
        <v>0</v>
      </c>
      <c r="I43">
        <v>3390</v>
      </c>
      <c r="J43">
        <v>10</v>
      </c>
      <c r="K43">
        <v>180</v>
      </c>
      <c r="L43">
        <v>70</v>
      </c>
      <c r="M43">
        <v>0</v>
      </c>
      <c r="N43">
        <v>0</v>
      </c>
      <c r="O43">
        <v>71700</v>
      </c>
      <c r="P43">
        <v>100</v>
      </c>
      <c r="Q43">
        <v>9800</v>
      </c>
      <c r="R43">
        <v>200</v>
      </c>
    </row>
    <row r="44" spans="1:18" x14ac:dyDescent="0.2">
      <c r="A44" t="s">
        <v>19</v>
      </c>
      <c r="B44">
        <v>584</v>
      </c>
      <c r="C44">
        <v>116</v>
      </c>
      <c r="D44">
        <v>4</v>
      </c>
      <c r="E44">
        <v>50</v>
      </c>
      <c r="F44">
        <v>6</v>
      </c>
      <c r="G44">
        <v>0</v>
      </c>
      <c r="H44">
        <v>0</v>
      </c>
      <c r="I44">
        <v>3330</v>
      </c>
      <c r="J44">
        <v>60</v>
      </c>
      <c r="K44">
        <v>100</v>
      </c>
      <c r="L44">
        <v>20</v>
      </c>
      <c r="M44">
        <v>60</v>
      </c>
      <c r="N44">
        <v>20</v>
      </c>
      <c r="O44">
        <v>71900</v>
      </c>
      <c r="P44">
        <v>300</v>
      </c>
      <c r="Q44">
        <v>10300</v>
      </c>
      <c r="R44">
        <v>200</v>
      </c>
    </row>
    <row r="45" spans="1:18" x14ac:dyDescent="0.2">
      <c r="A45" t="s">
        <v>19</v>
      </c>
      <c r="B45">
        <v>585</v>
      </c>
      <c r="C45">
        <v>128</v>
      </c>
      <c r="D45">
        <v>3</v>
      </c>
      <c r="E45">
        <v>50</v>
      </c>
      <c r="F45">
        <v>40</v>
      </c>
      <c r="G45">
        <v>0</v>
      </c>
      <c r="H45">
        <v>0</v>
      </c>
      <c r="I45">
        <v>4300</v>
      </c>
      <c r="J45">
        <v>100</v>
      </c>
      <c r="K45">
        <v>200</v>
      </c>
      <c r="L45">
        <v>200</v>
      </c>
      <c r="M45">
        <v>100</v>
      </c>
      <c r="N45">
        <v>200</v>
      </c>
      <c r="O45">
        <v>71700</v>
      </c>
      <c r="P45">
        <v>600</v>
      </c>
      <c r="Q45">
        <v>9900</v>
      </c>
      <c r="R45">
        <v>100</v>
      </c>
    </row>
    <row r="46" spans="1:18" x14ac:dyDescent="0.2">
      <c r="A46" t="s">
        <v>19</v>
      </c>
      <c r="B46">
        <v>586</v>
      </c>
      <c r="C46">
        <v>120</v>
      </c>
      <c r="D46">
        <v>20</v>
      </c>
      <c r="E46">
        <v>70</v>
      </c>
      <c r="F46">
        <v>20</v>
      </c>
      <c r="G46">
        <v>0</v>
      </c>
      <c r="H46">
        <v>0</v>
      </c>
      <c r="I46">
        <v>3690</v>
      </c>
      <c r="J46">
        <v>40</v>
      </c>
      <c r="K46">
        <v>61</v>
      </c>
      <c r="L46">
        <v>3</v>
      </c>
      <c r="M46">
        <v>0</v>
      </c>
      <c r="N46">
        <v>0</v>
      </c>
      <c r="O46">
        <v>72500</v>
      </c>
      <c r="P46">
        <v>400</v>
      </c>
      <c r="Q46">
        <v>9890</v>
      </c>
      <c r="R46">
        <v>30</v>
      </c>
    </row>
    <row r="47" spans="1:18" x14ac:dyDescent="0.2">
      <c r="A47" t="s">
        <v>19</v>
      </c>
      <c r="B47">
        <v>587</v>
      </c>
      <c r="C47">
        <v>110</v>
      </c>
      <c r="D47">
        <v>20</v>
      </c>
      <c r="E47">
        <v>70</v>
      </c>
      <c r="F47">
        <v>20</v>
      </c>
      <c r="G47">
        <v>8</v>
      </c>
      <c r="H47">
        <v>10</v>
      </c>
      <c r="I47">
        <v>3730</v>
      </c>
      <c r="J47">
        <v>30</v>
      </c>
      <c r="K47">
        <v>190</v>
      </c>
      <c r="L47">
        <v>60</v>
      </c>
      <c r="M47">
        <v>0</v>
      </c>
      <c r="N47">
        <v>0</v>
      </c>
      <c r="O47">
        <v>72400</v>
      </c>
      <c r="P47">
        <v>800</v>
      </c>
      <c r="Q47">
        <v>10200</v>
      </c>
      <c r="R47">
        <v>200</v>
      </c>
    </row>
    <row r="48" spans="1:18" x14ac:dyDescent="0.2">
      <c r="A48" t="s">
        <v>19</v>
      </c>
      <c r="B48">
        <v>588</v>
      </c>
      <c r="C48">
        <v>130</v>
      </c>
      <c r="D48">
        <v>50</v>
      </c>
      <c r="E48">
        <v>90</v>
      </c>
      <c r="F48">
        <v>10</v>
      </c>
      <c r="G48">
        <v>0</v>
      </c>
      <c r="H48">
        <v>0</v>
      </c>
      <c r="I48">
        <v>3849</v>
      </c>
      <c r="J48">
        <v>6</v>
      </c>
      <c r="K48">
        <v>200</v>
      </c>
      <c r="L48">
        <v>100</v>
      </c>
      <c r="M48">
        <v>0</v>
      </c>
      <c r="N48">
        <v>0</v>
      </c>
      <c r="O48">
        <v>72800</v>
      </c>
      <c r="P48">
        <v>200</v>
      </c>
      <c r="Q48">
        <v>10000</v>
      </c>
      <c r="R48">
        <v>100</v>
      </c>
    </row>
    <row r="49" spans="1:18" x14ac:dyDescent="0.2">
      <c r="A49" t="s">
        <v>19</v>
      </c>
      <c r="B49">
        <v>589</v>
      </c>
      <c r="C49">
        <v>108</v>
      </c>
      <c r="D49">
        <v>6</v>
      </c>
      <c r="E49">
        <v>60</v>
      </c>
      <c r="F49">
        <v>20</v>
      </c>
      <c r="G49">
        <v>0</v>
      </c>
      <c r="H49">
        <v>0</v>
      </c>
      <c r="I49">
        <v>3230</v>
      </c>
      <c r="J49">
        <v>5</v>
      </c>
      <c r="K49">
        <v>90</v>
      </c>
      <c r="L49">
        <v>60</v>
      </c>
      <c r="M49">
        <v>4</v>
      </c>
      <c r="N49">
        <v>6</v>
      </c>
      <c r="O49">
        <v>71500</v>
      </c>
      <c r="P49">
        <v>200</v>
      </c>
      <c r="Q49">
        <v>9800</v>
      </c>
      <c r="R49">
        <v>200</v>
      </c>
    </row>
    <row r="50" spans="1:18" x14ac:dyDescent="0.2">
      <c r="A50" t="s">
        <v>19</v>
      </c>
      <c r="B50">
        <v>590</v>
      </c>
      <c r="C50">
        <v>118</v>
      </c>
      <c r="D50">
        <v>9</v>
      </c>
      <c r="E50">
        <v>40</v>
      </c>
      <c r="F50">
        <v>30</v>
      </c>
      <c r="G50">
        <v>0</v>
      </c>
      <c r="H50">
        <v>0</v>
      </c>
      <c r="I50">
        <v>2740</v>
      </c>
      <c r="J50">
        <v>20</v>
      </c>
      <c r="K50">
        <v>200</v>
      </c>
      <c r="L50">
        <v>200</v>
      </c>
      <c r="M50">
        <v>0</v>
      </c>
      <c r="N50">
        <v>0</v>
      </c>
      <c r="O50">
        <v>70800</v>
      </c>
      <c r="P50">
        <v>100</v>
      </c>
      <c r="Q50">
        <v>9900</v>
      </c>
      <c r="R50">
        <v>100</v>
      </c>
    </row>
    <row r="51" spans="1:18" x14ac:dyDescent="0.2">
      <c r="A51" t="s">
        <v>19</v>
      </c>
      <c r="B51">
        <v>591</v>
      </c>
      <c r="C51">
        <v>110</v>
      </c>
      <c r="D51">
        <v>20</v>
      </c>
      <c r="E51">
        <v>50</v>
      </c>
      <c r="F51">
        <v>10</v>
      </c>
      <c r="G51">
        <v>0</v>
      </c>
      <c r="H51">
        <v>0</v>
      </c>
      <c r="I51">
        <v>2770</v>
      </c>
      <c r="J51">
        <v>9</v>
      </c>
      <c r="K51">
        <v>200</v>
      </c>
      <c r="L51">
        <v>100</v>
      </c>
      <c r="M51">
        <v>40</v>
      </c>
      <c r="N51">
        <v>60</v>
      </c>
      <c r="O51">
        <v>71300</v>
      </c>
      <c r="P51">
        <v>100</v>
      </c>
      <c r="Q51">
        <v>10200</v>
      </c>
      <c r="R51">
        <v>200</v>
      </c>
    </row>
    <row r="52" spans="1:18" x14ac:dyDescent="0.2">
      <c r="A52" t="s">
        <v>19</v>
      </c>
      <c r="B52">
        <v>592</v>
      </c>
      <c r="C52">
        <v>109</v>
      </c>
      <c r="D52">
        <v>4</v>
      </c>
      <c r="E52">
        <v>50</v>
      </c>
      <c r="F52">
        <v>40</v>
      </c>
      <c r="G52">
        <v>0</v>
      </c>
      <c r="H52">
        <v>0</v>
      </c>
      <c r="I52">
        <v>2440</v>
      </c>
      <c r="J52">
        <v>40</v>
      </c>
      <c r="K52">
        <v>140</v>
      </c>
      <c r="L52">
        <v>20</v>
      </c>
      <c r="M52">
        <v>0</v>
      </c>
      <c r="N52">
        <v>0</v>
      </c>
      <c r="O52">
        <v>73600</v>
      </c>
      <c r="P52">
        <v>100</v>
      </c>
      <c r="Q52">
        <v>10220</v>
      </c>
      <c r="R52">
        <v>40</v>
      </c>
    </row>
    <row r="53" spans="1:18" x14ac:dyDescent="0.2">
      <c r="A53" t="s">
        <v>19</v>
      </c>
      <c r="B53">
        <v>593</v>
      </c>
      <c r="C53">
        <v>120</v>
      </c>
      <c r="D53">
        <v>20</v>
      </c>
      <c r="E53">
        <v>12</v>
      </c>
      <c r="F53">
        <v>3</v>
      </c>
      <c r="G53">
        <v>0</v>
      </c>
      <c r="H53">
        <v>0</v>
      </c>
      <c r="I53">
        <v>2090</v>
      </c>
      <c r="J53">
        <v>40</v>
      </c>
      <c r="K53">
        <v>100</v>
      </c>
      <c r="L53">
        <v>40</v>
      </c>
      <c r="M53">
        <v>6</v>
      </c>
      <c r="N53">
        <v>8</v>
      </c>
      <c r="O53">
        <v>74200</v>
      </c>
      <c r="P53">
        <v>500</v>
      </c>
      <c r="Q53">
        <v>10040</v>
      </c>
      <c r="R53">
        <v>90</v>
      </c>
    </row>
    <row r="54" spans="1:18" x14ac:dyDescent="0.2">
      <c r="A54" t="s">
        <v>19</v>
      </c>
      <c r="B54">
        <v>594</v>
      </c>
      <c r="C54">
        <v>128</v>
      </c>
      <c r="D54">
        <v>0</v>
      </c>
      <c r="E54">
        <v>63</v>
      </c>
      <c r="F54">
        <v>8</v>
      </c>
      <c r="G54">
        <v>4</v>
      </c>
      <c r="H54">
        <v>5</v>
      </c>
      <c r="I54">
        <v>2590</v>
      </c>
      <c r="J54">
        <v>70</v>
      </c>
      <c r="K54">
        <v>150</v>
      </c>
      <c r="L54">
        <v>70</v>
      </c>
      <c r="M54">
        <v>7</v>
      </c>
      <c r="N54">
        <v>10</v>
      </c>
      <c r="O54">
        <v>74600</v>
      </c>
      <c r="P54">
        <v>800</v>
      </c>
      <c r="Q54">
        <v>10341.5</v>
      </c>
      <c r="R54">
        <v>7</v>
      </c>
    </row>
    <row r="55" spans="1:18" x14ac:dyDescent="0.2">
      <c r="A55" t="s">
        <v>19</v>
      </c>
      <c r="B55">
        <v>595</v>
      </c>
      <c r="C55">
        <v>80</v>
      </c>
      <c r="D55">
        <v>10</v>
      </c>
      <c r="E55">
        <v>30</v>
      </c>
      <c r="F55">
        <v>30</v>
      </c>
      <c r="G55">
        <v>0</v>
      </c>
      <c r="H55">
        <v>0</v>
      </c>
      <c r="I55">
        <v>1800</v>
      </c>
      <c r="J55">
        <v>40</v>
      </c>
      <c r="K55">
        <v>100</v>
      </c>
      <c r="L55">
        <v>20</v>
      </c>
      <c r="M55">
        <v>0</v>
      </c>
      <c r="N55">
        <v>0</v>
      </c>
      <c r="O55">
        <v>68200</v>
      </c>
      <c r="P55">
        <v>300</v>
      </c>
      <c r="Q55">
        <v>9100</v>
      </c>
      <c r="R55">
        <v>300</v>
      </c>
    </row>
    <row r="56" spans="1:18" x14ac:dyDescent="0.2">
      <c r="A56" t="s">
        <v>19</v>
      </c>
      <c r="B56">
        <v>596</v>
      </c>
      <c r="C56">
        <v>110</v>
      </c>
      <c r="D56">
        <v>20</v>
      </c>
      <c r="E56">
        <v>80</v>
      </c>
      <c r="F56">
        <v>10</v>
      </c>
      <c r="G56">
        <v>0</v>
      </c>
      <c r="H56">
        <v>0</v>
      </c>
      <c r="I56">
        <v>2880</v>
      </c>
      <c r="J56">
        <v>10</v>
      </c>
      <c r="K56">
        <v>110</v>
      </c>
      <c r="L56">
        <v>50</v>
      </c>
      <c r="M56">
        <v>0</v>
      </c>
      <c r="N56">
        <v>0</v>
      </c>
      <c r="O56">
        <v>72100</v>
      </c>
      <c r="P56">
        <v>80</v>
      </c>
      <c r="Q56">
        <v>9900</v>
      </c>
      <c r="R56">
        <v>200</v>
      </c>
    </row>
    <row r="57" spans="1:18" x14ac:dyDescent="0.2">
      <c r="A57" t="s">
        <v>19</v>
      </c>
      <c r="B57">
        <v>597</v>
      </c>
      <c r="C57">
        <v>130</v>
      </c>
      <c r="D57">
        <v>10</v>
      </c>
      <c r="E57">
        <v>71</v>
      </c>
      <c r="F57">
        <v>1</v>
      </c>
      <c r="G57">
        <v>6</v>
      </c>
      <c r="H57">
        <v>9</v>
      </c>
      <c r="I57">
        <v>2979</v>
      </c>
      <c r="J57">
        <v>3</v>
      </c>
      <c r="K57">
        <v>50</v>
      </c>
      <c r="L57">
        <v>70</v>
      </c>
      <c r="M57">
        <v>0</v>
      </c>
      <c r="N57">
        <v>0</v>
      </c>
      <c r="O57">
        <v>72600</v>
      </c>
      <c r="P57">
        <v>200</v>
      </c>
      <c r="Q57">
        <v>9980</v>
      </c>
      <c r="R57">
        <v>50</v>
      </c>
    </row>
    <row r="58" spans="1:18" x14ac:dyDescent="0.2">
      <c r="A58" t="s">
        <v>19</v>
      </c>
      <c r="B58">
        <v>598</v>
      </c>
      <c r="C58">
        <v>180</v>
      </c>
      <c r="D58">
        <v>40</v>
      </c>
      <c r="E58">
        <v>119</v>
      </c>
      <c r="F58">
        <v>6</v>
      </c>
      <c r="G58">
        <v>0</v>
      </c>
      <c r="H58">
        <v>0</v>
      </c>
      <c r="I58">
        <v>3860</v>
      </c>
      <c r="J58">
        <v>90</v>
      </c>
      <c r="K58">
        <v>100</v>
      </c>
      <c r="L58">
        <v>70</v>
      </c>
      <c r="M58">
        <v>0</v>
      </c>
      <c r="N58">
        <v>0</v>
      </c>
      <c r="O58">
        <v>73400</v>
      </c>
      <c r="P58">
        <v>200</v>
      </c>
      <c r="Q58">
        <v>10300</v>
      </c>
      <c r="R58">
        <v>200</v>
      </c>
    </row>
    <row r="59" spans="1:18" x14ac:dyDescent="0.2">
      <c r="A59" t="s">
        <v>19</v>
      </c>
      <c r="B59">
        <v>599</v>
      </c>
      <c r="C59">
        <v>200</v>
      </c>
      <c r="D59">
        <v>30</v>
      </c>
      <c r="E59">
        <v>100</v>
      </c>
      <c r="F59">
        <v>20</v>
      </c>
      <c r="G59">
        <v>0</v>
      </c>
      <c r="H59">
        <v>0</v>
      </c>
      <c r="I59">
        <v>4410</v>
      </c>
      <c r="J59">
        <v>70</v>
      </c>
      <c r="K59">
        <v>100</v>
      </c>
      <c r="L59">
        <v>200</v>
      </c>
      <c r="M59">
        <v>180</v>
      </c>
      <c r="N59">
        <v>30</v>
      </c>
      <c r="O59">
        <v>74900</v>
      </c>
      <c r="P59">
        <v>900</v>
      </c>
      <c r="Q59">
        <v>10509</v>
      </c>
      <c r="R59">
        <v>1</v>
      </c>
    </row>
    <row r="60" spans="1:18" x14ac:dyDescent="0.2">
      <c r="A60" t="s">
        <v>19</v>
      </c>
      <c r="B60">
        <v>600</v>
      </c>
      <c r="C60">
        <v>224</v>
      </c>
      <c r="D60">
        <v>3</v>
      </c>
      <c r="E60">
        <v>90</v>
      </c>
      <c r="F60">
        <v>40</v>
      </c>
      <c r="G60">
        <v>0</v>
      </c>
      <c r="H60">
        <v>0</v>
      </c>
      <c r="I60">
        <v>3582</v>
      </c>
      <c r="J60">
        <v>6</v>
      </c>
      <c r="K60">
        <v>32</v>
      </c>
      <c r="L60">
        <v>2</v>
      </c>
      <c r="M60">
        <v>50</v>
      </c>
      <c r="N60">
        <v>70</v>
      </c>
      <c r="O60">
        <v>72578</v>
      </c>
      <c r="P60">
        <v>6</v>
      </c>
      <c r="Q60">
        <v>10000</v>
      </c>
      <c r="R60">
        <v>100</v>
      </c>
    </row>
    <row r="61" spans="1:18" x14ac:dyDescent="0.2">
      <c r="A61" t="s">
        <v>19</v>
      </c>
      <c r="B61">
        <v>601</v>
      </c>
      <c r="C61">
        <v>155</v>
      </c>
      <c r="D61">
        <v>1</v>
      </c>
      <c r="E61">
        <v>100</v>
      </c>
      <c r="F61">
        <v>10</v>
      </c>
      <c r="G61">
        <v>0</v>
      </c>
      <c r="H61">
        <v>0</v>
      </c>
      <c r="I61">
        <v>2460</v>
      </c>
      <c r="J61">
        <v>60</v>
      </c>
      <c r="K61">
        <v>100</v>
      </c>
      <c r="L61">
        <v>100</v>
      </c>
      <c r="M61">
        <v>20</v>
      </c>
      <c r="N61">
        <v>30</v>
      </c>
      <c r="O61">
        <v>72000</v>
      </c>
      <c r="P61">
        <v>400</v>
      </c>
      <c r="Q61">
        <v>10100</v>
      </c>
      <c r="R61">
        <v>100</v>
      </c>
    </row>
    <row r="62" spans="1:18" x14ac:dyDescent="0.2">
      <c r="A62" t="s">
        <v>19</v>
      </c>
      <c r="B62">
        <v>602</v>
      </c>
      <c r="C62">
        <v>150</v>
      </c>
      <c r="D62">
        <v>50</v>
      </c>
      <c r="E62">
        <v>80</v>
      </c>
      <c r="F62">
        <v>10</v>
      </c>
      <c r="G62">
        <v>0</v>
      </c>
      <c r="H62">
        <v>0</v>
      </c>
      <c r="I62">
        <v>3180</v>
      </c>
      <c r="J62">
        <v>30</v>
      </c>
      <c r="K62">
        <v>142</v>
      </c>
      <c r="L62">
        <v>6</v>
      </c>
      <c r="M62">
        <v>0</v>
      </c>
      <c r="N62">
        <v>0</v>
      </c>
      <c r="O62">
        <v>71000</v>
      </c>
      <c r="P62">
        <v>700</v>
      </c>
      <c r="Q62">
        <v>9900</v>
      </c>
      <c r="R62">
        <v>100</v>
      </c>
    </row>
    <row r="63" spans="1:18" x14ac:dyDescent="0.2">
      <c r="A63" t="s">
        <v>19</v>
      </c>
      <c r="B63">
        <v>603</v>
      </c>
      <c r="C63">
        <v>151</v>
      </c>
      <c r="D63">
        <v>3</v>
      </c>
      <c r="E63">
        <v>66</v>
      </c>
      <c r="F63">
        <v>4</v>
      </c>
      <c r="G63">
        <v>0</v>
      </c>
      <c r="H63">
        <v>0</v>
      </c>
      <c r="I63">
        <v>2650</v>
      </c>
      <c r="J63">
        <v>20</v>
      </c>
      <c r="K63">
        <v>130</v>
      </c>
      <c r="L63">
        <v>50</v>
      </c>
      <c r="M63">
        <v>0</v>
      </c>
      <c r="N63">
        <v>0</v>
      </c>
      <c r="O63">
        <v>69800</v>
      </c>
      <c r="P63">
        <v>200</v>
      </c>
      <c r="Q63">
        <v>9910</v>
      </c>
      <c r="R63">
        <v>70</v>
      </c>
    </row>
    <row r="64" spans="1:18" x14ac:dyDescent="0.2">
      <c r="A64" t="s">
        <v>19</v>
      </c>
      <c r="B64">
        <v>604</v>
      </c>
      <c r="C64">
        <v>130</v>
      </c>
      <c r="D64">
        <v>30</v>
      </c>
      <c r="E64">
        <v>63</v>
      </c>
      <c r="F64">
        <v>7</v>
      </c>
      <c r="G64">
        <v>4</v>
      </c>
      <c r="H64">
        <v>6</v>
      </c>
      <c r="I64">
        <v>2300</v>
      </c>
      <c r="J64">
        <v>40</v>
      </c>
      <c r="K64">
        <v>46</v>
      </c>
      <c r="L64">
        <v>5</v>
      </c>
      <c r="M64">
        <v>0</v>
      </c>
      <c r="N64">
        <v>0</v>
      </c>
      <c r="O64">
        <v>69000</v>
      </c>
      <c r="P64">
        <v>700</v>
      </c>
      <c r="Q64">
        <v>9500</v>
      </c>
      <c r="R64">
        <v>200</v>
      </c>
    </row>
    <row r="65" spans="1:18" x14ac:dyDescent="0.2">
      <c r="A65" t="s">
        <v>19</v>
      </c>
      <c r="B65">
        <v>605</v>
      </c>
      <c r="C65">
        <v>130</v>
      </c>
      <c r="D65">
        <v>50</v>
      </c>
      <c r="E65">
        <v>74</v>
      </c>
      <c r="F65">
        <v>3</v>
      </c>
      <c r="G65">
        <v>0</v>
      </c>
      <c r="H65">
        <v>0</v>
      </c>
      <c r="I65">
        <v>1910</v>
      </c>
      <c r="J65">
        <v>70</v>
      </c>
      <c r="K65">
        <v>100</v>
      </c>
      <c r="L65">
        <v>100</v>
      </c>
      <c r="M65">
        <v>60</v>
      </c>
      <c r="N65">
        <v>80</v>
      </c>
      <c r="O65">
        <v>68500</v>
      </c>
      <c r="P65">
        <v>600</v>
      </c>
      <c r="Q65">
        <v>9800</v>
      </c>
      <c r="R65">
        <v>100</v>
      </c>
    </row>
    <row r="66" spans="1:18" x14ac:dyDescent="0.2">
      <c r="A66" t="s">
        <v>19</v>
      </c>
      <c r="B66">
        <v>606</v>
      </c>
      <c r="C66">
        <v>88</v>
      </c>
      <c r="D66">
        <v>3</v>
      </c>
      <c r="E66">
        <v>80</v>
      </c>
      <c r="F66">
        <v>20</v>
      </c>
      <c r="G66">
        <v>0</v>
      </c>
      <c r="H66">
        <v>0</v>
      </c>
      <c r="I66">
        <v>2140</v>
      </c>
      <c r="J66">
        <v>30</v>
      </c>
      <c r="K66">
        <v>200</v>
      </c>
      <c r="L66">
        <v>100</v>
      </c>
      <c r="M66">
        <v>100</v>
      </c>
      <c r="N66">
        <v>100</v>
      </c>
      <c r="O66">
        <v>71300</v>
      </c>
      <c r="P66">
        <v>800</v>
      </c>
      <c r="Q66">
        <v>9900</v>
      </c>
      <c r="R66">
        <v>100</v>
      </c>
    </row>
    <row r="67" spans="1:18" x14ac:dyDescent="0.2">
      <c r="A67" t="s">
        <v>19</v>
      </c>
      <c r="B67">
        <v>607</v>
      </c>
      <c r="C67">
        <v>110</v>
      </c>
      <c r="D67">
        <v>4</v>
      </c>
      <c r="E67">
        <v>80</v>
      </c>
      <c r="F67">
        <v>10</v>
      </c>
      <c r="G67">
        <v>0</v>
      </c>
      <c r="H67">
        <v>0</v>
      </c>
      <c r="I67">
        <v>2102</v>
      </c>
      <c r="J67">
        <v>8</v>
      </c>
      <c r="K67">
        <v>70</v>
      </c>
      <c r="L67">
        <v>90</v>
      </c>
      <c r="M67">
        <v>50</v>
      </c>
      <c r="N67">
        <v>70</v>
      </c>
      <c r="O67">
        <v>72600</v>
      </c>
      <c r="P67">
        <v>100</v>
      </c>
      <c r="Q67">
        <v>10100</v>
      </c>
      <c r="R67">
        <v>200</v>
      </c>
    </row>
    <row r="68" spans="1:18" x14ac:dyDescent="0.2">
      <c r="A68" t="s">
        <v>19</v>
      </c>
      <c r="B68">
        <v>608</v>
      </c>
      <c r="C68">
        <v>107</v>
      </c>
      <c r="D68">
        <v>3</v>
      </c>
      <c r="E68">
        <v>55</v>
      </c>
      <c r="F68">
        <v>7</v>
      </c>
      <c r="G68">
        <v>0</v>
      </c>
      <c r="H68">
        <v>0</v>
      </c>
      <c r="I68">
        <v>2334</v>
      </c>
      <c r="J68">
        <v>7</v>
      </c>
      <c r="K68">
        <v>118</v>
      </c>
      <c r="L68">
        <v>2</v>
      </c>
      <c r="M68">
        <v>0</v>
      </c>
      <c r="N68">
        <v>0</v>
      </c>
      <c r="O68">
        <v>73600</v>
      </c>
      <c r="P68">
        <v>900</v>
      </c>
      <c r="Q68">
        <v>10000</v>
      </c>
      <c r="R68">
        <v>300</v>
      </c>
    </row>
    <row r="69" spans="1:18" x14ac:dyDescent="0.2">
      <c r="A69" t="s">
        <v>19</v>
      </c>
      <c r="B69">
        <v>609</v>
      </c>
      <c r="C69">
        <v>136</v>
      </c>
      <c r="D69">
        <v>2</v>
      </c>
      <c r="E69">
        <v>61</v>
      </c>
      <c r="F69">
        <v>1</v>
      </c>
      <c r="G69">
        <v>4</v>
      </c>
      <c r="H69">
        <v>6</v>
      </c>
      <c r="I69">
        <v>2360</v>
      </c>
      <c r="J69">
        <v>90</v>
      </c>
      <c r="K69">
        <v>90</v>
      </c>
      <c r="L69">
        <v>70</v>
      </c>
      <c r="M69">
        <v>30</v>
      </c>
      <c r="N69">
        <v>40</v>
      </c>
      <c r="O69">
        <v>72500</v>
      </c>
      <c r="P69">
        <v>500</v>
      </c>
      <c r="Q69">
        <v>10000</v>
      </c>
      <c r="R69">
        <v>200</v>
      </c>
    </row>
    <row r="70" spans="1:18" x14ac:dyDescent="0.2">
      <c r="A70" t="s">
        <v>19</v>
      </c>
      <c r="B70">
        <v>610</v>
      </c>
      <c r="C70">
        <v>124</v>
      </c>
      <c r="D70">
        <v>2</v>
      </c>
      <c r="E70">
        <v>80</v>
      </c>
      <c r="F70">
        <v>20</v>
      </c>
      <c r="G70">
        <v>0</v>
      </c>
      <c r="H70">
        <v>0</v>
      </c>
      <c r="I70">
        <v>3190</v>
      </c>
      <c r="J70">
        <v>30</v>
      </c>
      <c r="K70">
        <v>80</v>
      </c>
      <c r="L70">
        <v>30</v>
      </c>
      <c r="M70">
        <v>0</v>
      </c>
      <c r="N70">
        <v>0</v>
      </c>
      <c r="O70">
        <v>73200</v>
      </c>
      <c r="P70">
        <v>400</v>
      </c>
      <c r="Q70">
        <v>10100</v>
      </c>
      <c r="R70">
        <v>200</v>
      </c>
    </row>
    <row r="71" spans="1:18" x14ac:dyDescent="0.2">
      <c r="A71" t="s">
        <v>19</v>
      </c>
      <c r="B71">
        <v>611</v>
      </c>
      <c r="C71">
        <v>120</v>
      </c>
      <c r="D71">
        <v>40</v>
      </c>
      <c r="E71">
        <v>70</v>
      </c>
      <c r="F71">
        <v>10</v>
      </c>
      <c r="G71">
        <v>0</v>
      </c>
      <c r="H71">
        <v>0</v>
      </c>
      <c r="I71">
        <v>2700</v>
      </c>
      <c r="J71">
        <v>40</v>
      </c>
      <c r="K71">
        <v>0</v>
      </c>
      <c r="L71">
        <v>0</v>
      </c>
      <c r="M71">
        <v>0</v>
      </c>
      <c r="N71">
        <v>0</v>
      </c>
      <c r="O71">
        <v>74300</v>
      </c>
      <c r="P71">
        <v>200</v>
      </c>
      <c r="Q71">
        <v>10290</v>
      </c>
      <c r="R71">
        <v>40</v>
      </c>
    </row>
    <row r="72" spans="1:18" x14ac:dyDescent="0.2">
      <c r="A72" t="s">
        <v>19</v>
      </c>
      <c r="B72">
        <v>612</v>
      </c>
      <c r="C72">
        <v>130</v>
      </c>
      <c r="D72">
        <v>10</v>
      </c>
      <c r="E72">
        <v>108</v>
      </c>
      <c r="F72">
        <v>4</v>
      </c>
      <c r="G72">
        <v>0</v>
      </c>
      <c r="H72">
        <v>0</v>
      </c>
      <c r="I72">
        <v>2980</v>
      </c>
      <c r="J72">
        <v>60</v>
      </c>
      <c r="K72">
        <v>30</v>
      </c>
      <c r="L72">
        <v>50</v>
      </c>
      <c r="M72">
        <v>0</v>
      </c>
      <c r="N72">
        <v>0</v>
      </c>
      <c r="O72">
        <v>73800</v>
      </c>
      <c r="P72">
        <v>600</v>
      </c>
      <c r="Q72">
        <v>10300</v>
      </c>
      <c r="R72">
        <v>200</v>
      </c>
    </row>
    <row r="73" spans="1:18" x14ac:dyDescent="0.2">
      <c r="A73" t="s">
        <v>19</v>
      </c>
      <c r="B73">
        <v>613</v>
      </c>
      <c r="C73">
        <v>116</v>
      </c>
      <c r="D73">
        <v>4</v>
      </c>
      <c r="E73">
        <v>50</v>
      </c>
      <c r="F73">
        <v>10</v>
      </c>
      <c r="G73">
        <v>9</v>
      </c>
      <c r="H73">
        <v>10</v>
      </c>
      <c r="I73">
        <v>2650</v>
      </c>
      <c r="J73">
        <v>40</v>
      </c>
      <c r="K73">
        <v>200</v>
      </c>
      <c r="L73">
        <v>100</v>
      </c>
      <c r="M73">
        <v>0</v>
      </c>
      <c r="N73">
        <v>0</v>
      </c>
      <c r="O73">
        <v>72700</v>
      </c>
      <c r="P73">
        <v>600</v>
      </c>
      <c r="Q73">
        <v>10100</v>
      </c>
      <c r="R73">
        <v>200</v>
      </c>
    </row>
    <row r="74" spans="1:18" x14ac:dyDescent="0.2">
      <c r="A74" t="s">
        <v>19</v>
      </c>
      <c r="B74">
        <v>614</v>
      </c>
      <c r="C74">
        <v>172</v>
      </c>
      <c r="D74">
        <v>3</v>
      </c>
      <c r="E74">
        <v>120</v>
      </c>
      <c r="F74">
        <v>20</v>
      </c>
      <c r="G74">
        <v>0</v>
      </c>
      <c r="H74">
        <v>0</v>
      </c>
      <c r="I74">
        <v>3070</v>
      </c>
      <c r="J74">
        <v>2</v>
      </c>
      <c r="K74">
        <v>80</v>
      </c>
      <c r="L74">
        <v>100</v>
      </c>
      <c r="M74">
        <v>30</v>
      </c>
      <c r="N74">
        <v>40</v>
      </c>
      <c r="O74">
        <v>73000</v>
      </c>
      <c r="P74">
        <v>800</v>
      </c>
      <c r="Q74">
        <v>9900</v>
      </c>
      <c r="R74">
        <v>200</v>
      </c>
    </row>
    <row r="75" spans="1:18" x14ac:dyDescent="0.2">
      <c r="A75" t="s">
        <v>19</v>
      </c>
      <c r="B75">
        <v>615</v>
      </c>
      <c r="C75">
        <v>140</v>
      </c>
      <c r="D75">
        <v>20</v>
      </c>
      <c r="E75">
        <v>62</v>
      </c>
      <c r="F75">
        <v>6</v>
      </c>
      <c r="G75">
        <v>3</v>
      </c>
      <c r="H75">
        <v>4</v>
      </c>
      <c r="I75">
        <v>2840</v>
      </c>
      <c r="J75">
        <v>90</v>
      </c>
      <c r="K75">
        <v>70</v>
      </c>
      <c r="L75">
        <v>100</v>
      </c>
      <c r="M75">
        <v>100</v>
      </c>
      <c r="N75">
        <v>200</v>
      </c>
      <c r="O75">
        <v>73930</v>
      </c>
      <c r="P75">
        <v>70</v>
      </c>
      <c r="Q75">
        <v>10490</v>
      </c>
      <c r="R75">
        <v>90</v>
      </c>
    </row>
    <row r="76" spans="1:18" x14ac:dyDescent="0.2">
      <c r="A76" t="s">
        <v>19</v>
      </c>
      <c r="B76">
        <v>616</v>
      </c>
      <c r="C76">
        <v>152</v>
      </c>
      <c r="D76">
        <v>7</v>
      </c>
      <c r="E76">
        <v>70</v>
      </c>
      <c r="F76">
        <v>3</v>
      </c>
      <c r="G76">
        <v>0</v>
      </c>
      <c r="H76">
        <v>0</v>
      </c>
      <c r="I76">
        <v>3225.5</v>
      </c>
      <c r="J76">
        <v>7</v>
      </c>
      <c r="K76">
        <v>60</v>
      </c>
      <c r="L76">
        <v>50</v>
      </c>
      <c r="M76">
        <v>0</v>
      </c>
      <c r="N76">
        <v>0</v>
      </c>
      <c r="O76">
        <v>75000</v>
      </c>
      <c r="P76">
        <v>200</v>
      </c>
      <c r="Q76">
        <v>10432</v>
      </c>
      <c r="R76">
        <v>9</v>
      </c>
    </row>
    <row r="77" spans="1:18" x14ac:dyDescent="0.2">
      <c r="A77" t="s">
        <v>19</v>
      </c>
      <c r="B77">
        <v>617</v>
      </c>
      <c r="C77">
        <v>270</v>
      </c>
      <c r="D77">
        <v>10</v>
      </c>
      <c r="E77">
        <v>110</v>
      </c>
      <c r="F77">
        <v>20</v>
      </c>
      <c r="G77">
        <v>0</v>
      </c>
      <c r="H77">
        <v>0</v>
      </c>
      <c r="I77">
        <v>3960</v>
      </c>
      <c r="J77">
        <v>30</v>
      </c>
      <c r="K77">
        <v>30</v>
      </c>
      <c r="L77">
        <v>50</v>
      </c>
      <c r="M77">
        <v>20</v>
      </c>
      <c r="N77">
        <v>30</v>
      </c>
      <c r="O77">
        <v>75500</v>
      </c>
      <c r="P77">
        <v>200</v>
      </c>
      <c r="Q77">
        <v>10500</v>
      </c>
      <c r="R77">
        <v>200</v>
      </c>
    </row>
    <row r="78" spans="1:18" x14ac:dyDescent="0.2">
      <c r="A78" t="s">
        <v>19</v>
      </c>
      <c r="B78">
        <v>618</v>
      </c>
      <c r="C78">
        <v>180</v>
      </c>
      <c r="D78">
        <v>10</v>
      </c>
      <c r="E78">
        <v>110</v>
      </c>
      <c r="F78">
        <v>20</v>
      </c>
      <c r="G78">
        <v>0</v>
      </c>
      <c r="H78">
        <v>0</v>
      </c>
      <c r="I78">
        <v>3070</v>
      </c>
      <c r="J78">
        <v>40</v>
      </c>
      <c r="K78">
        <v>30</v>
      </c>
      <c r="L78">
        <v>40</v>
      </c>
      <c r="M78">
        <v>10</v>
      </c>
      <c r="N78">
        <v>20</v>
      </c>
      <c r="O78">
        <v>72800</v>
      </c>
      <c r="P78">
        <v>500</v>
      </c>
      <c r="Q78">
        <v>9850</v>
      </c>
      <c r="R78">
        <v>40</v>
      </c>
    </row>
    <row r="79" spans="1:18" x14ac:dyDescent="0.2">
      <c r="A79" t="s">
        <v>19</v>
      </c>
      <c r="B79">
        <v>619</v>
      </c>
      <c r="C79">
        <v>180</v>
      </c>
      <c r="D79">
        <v>30</v>
      </c>
      <c r="E79">
        <v>124.5</v>
      </c>
      <c r="F79">
        <v>7</v>
      </c>
      <c r="G79">
        <v>10</v>
      </c>
      <c r="H79">
        <v>10</v>
      </c>
      <c r="I79">
        <v>3650</v>
      </c>
      <c r="J79">
        <v>70</v>
      </c>
      <c r="K79">
        <v>70</v>
      </c>
      <c r="L79">
        <v>6</v>
      </c>
      <c r="M79">
        <v>40</v>
      </c>
      <c r="N79">
        <v>50</v>
      </c>
      <c r="O79">
        <v>74890</v>
      </c>
      <c r="P79">
        <v>90</v>
      </c>
      <c r="Q79">
        <v>10300</v>
      </c>
      <c r="R79">
        <v>200</v>
      </c>
    </row>
    <row r="80" spans="1:18" x14ac:dyDescent="0.2">
      <c r="A80" t="s">
        <v>20</v>
      </c>
      <c r="B80">
        <v>1124</v>
      </c>
      <c r="C80">
        <v>97</v>
      </c>
      <c r="D80">
        <v>7</v>
      </c>
      <c r="E80">
        <v>60</v>
      </c>
      <c r="F80">
        <v>10</v>
      </c>
      <c r="G80">
        <v>0</v>
      </c>
      <c r="H80">
        <v>0</v>
      </c>
      <c r="I80">
        <v>1130</v>
      </c>
      <c r="J80">
        <v>30</v>
      </c>
      <c r="K80">
        <v>30</v>
      </c>
      <c r="L80">
        <v>30</v>
      </c>
      <c r="M80">
        <v>400</v>
      </c>
      <c r="N80">
        <v>200</v>
      </c>
      <c r="O80">
        <v>70700</v>
      </c>
      <c r="P80">
        <v>500</v>
      </c>
      <c r="Q80">
        <v>10000</v>
      </c>
      <c r="R80">
        <v>100</v>
      </c>
    </row>
    <row r="81" spans="1:18" x14ac:dyDescent="0.2">
      <c r="A81" t="s">
        <v>20</v>
      </c>
      <c r="B81">
        <v>1125</v>
      </c>
      <c r="C81">
        <v>100</v>
      </c>
      <c r="D81">
        <v>10</v>
      </c>
      <c r="E81">
        <v>70</v>
      </c>
      <c r="F81">
        <v>10</v>
      </c>
      <c r="G81">
        <v>0</v>
      </c>
      <c r="H81">
        <v>0</v>
      </c>
      <c r="I81">
        <v>1440</v>
      </c>
      <c r="J81">
        <v>40</v>
      </c>
      <c r="K81">
        <v>20</v>
      </c>
      <c r="L81">
        <v>20</v>
      </c>
      <c r="M81">
        <v>432</v>
      </c>
      <c r="N81">
        <v>6</v>
      </c>
      <c r="O81">
        <v>72700</v>
      </c>
      <c r="P81">
        <v>500</v>
      </c>
      <c r="Q81">
        <v>10500</v>
      </c>
      <c r="R81">
        <v>200</v>
      </c>
    </row>
    <row r="82" spans="1:18" x14ac:dyDescent="0.2">
      <c r="A82" t="s">
        <v>20</v>
      </c>
      <c r="B82">
        <v>1126</v>
      </c>
      <c r="C82">
        <v>92</v>
      </c>
      <c r="D82">
        <v>2</v>
      </c>
      <c r="E82">
        <v>101</v>
      </c>
      <c r="F82">
        <v>8</v>
      </c>
      <c r="G82">
        <v>4</v>
      </c>
      <c r="H82">
        <v>5</v>
      </c>
      <c r="I82">
        <v>1770</v>
      </c>
      <c r="J82">
        <v>10</v>
      </c>
      <c r="K82">
        <v>100</v>
      </c>
      <c r="L82">
        <v>70</v>
      </c>
      <c r="M82">
        <v>310</v>
      </c>
      <c r="N82">
        <v>90</v>
      </c>
      <c r="O82">
        <v>73000</v>
      </c>
      <c r="P82">
        <v>800</v>
      </c>
      <c r="Q82">
        <v>10700</v>
      </c>
      <c r="R82">
        <v>300</v>
      </c>
    </row>
    <row r="83" spans="1:18" x14ac:dyDescent="0.2">
      <c r="A83" t="s">
        <v>20</v>
      </c>
      <c r="B83">
        <v>1127</v>
      </c>
      <c r="C83">
        <v>120</v>
      </c>
      <c r="D83">
        <v>10</v>
      </c>
      <c r="E83">
        <v>70</v>
      </c>
      <c r="F83">
        <v>10</v>
      </c>
      <c r="G83">
        <v>0</v>
      </c>
      <c r="H83">
        <v>0</v>
      </c>
      <c r="I83">
        <v>2070</v>
      </c>
      <c r="J83">
        <v>10</v>
      </c>
      <c r="K83">
        <v>70</v>
      </c>
      <c r="L83">
        <v>60</v>
      </c>
      <c r="M83">
        <v>400</v>
      </c>
      <c r="N83">
        <v>100</v>
      </c>
      <c r="O83">
        <v>73740</v>
      </c>
      <c r="P83">
        <v>70</v>
      </c>
      <c r="Q83">
        <v>10500</v>
      </c>
      <c r="R83">
        <v>100</v>
      </c>
    </row>
    <row r="84" spans="1:18" x14ac:dyDescent="0.2">
      <c r="A84" t="s">
        <v>20</v>
      </c>
      <c r="B84">
        <v>1128</v>
      </c>
      <c r="C84">
        <v>123</v>
      </c>
      <c r="D84">
        <v>6</v>
      </c>
      <c r="E84">
        <v>50</v>
      </c>
      <c r="F84">
        <v>20</v>
      </c>
      <c r="G84">
        <v>0</v>
      </c>
      <c r="H84">
        <v>0</v>
      </c>
      <c r="I84">
        <v>2010</v>
      </c>
      <c r="J84">
        <v>30</v>
      </c>
      <c r="K84">
        <v>30</v>
      </c>
      <c r="L84">
        <v>40</v>
      </c>
      <c r="M84">
        <v>300</v>
      </c>
      <c r="N84">
        <v>100</v>
      </c>
      <c r="O84">
        <v>74090</v>
      </c>
      <c r="P84">
        <v>90</v>
      </c>
      <c r="Q84">
        <v>10580</v>
      </c>
      <c r="R84">
        <v>50</v>
      </c>
    </row>
    <row r="85" spans="1:18" x14ac:dyDescent="0.2">
      <c r="A85" t="s">
        <v>20</v>
      </c>
      <c r="B85">
        <v>1129</v>
      </c>
      <c r="C85">
        <v>121</v>
      </c>
      <c r="D85">
        <v>4</v>
      </c>
      <c r="E85">
        <v>80</v>
      </c>
      <c r="F85">
        <v>2</v>
      </c>
      <c r="G85">
        <v>4</v>
      </c>
      <c r="H85">
        <v>6</v>
      </c>
      <c r="I85">
        <v>2000</v>
      </c>
      <c r="J85">
        <v>40</v>
      </c>
      <c r="K85">
        <v>90</v>
      </c>
      <c r="L85">
        <v>100</v>
      </c>
      <c r="M85">
        <v>400</v>
      </c>
      <c r="N85">
        <v>100</v>
      </c>
      <c r="O85">
        <v>74200</v>
      </c>
      <c r="P85">
        <v>600</v>
      </c>
      <c r="Q85">
        <v>10630</v>
      </c>
      <c r="R85">
        <v>30</v>
      </c>
    </row>
    <row r="86" spans="1:18" x14ac:dyDescent="0.2">
      <c r="A86" t="s">
        <v>20</v>
      </c>
      <c r="B86">
        <v>1130</v>
      </c>
      <c r="C86">
        <v>120</v>
      </c>
      <c r="D86">
        <v>30</v>
      </c>
      <c r="E86">
        <v>100</v>
      </c>
      <c r="F86">
        <v>10</v>
      </c>
      <c r="G86">
        <v>4</v>
      </c>
      <c r="H86">
        <v>5</v>
      </c>
      <c r="I86">
        <v>1960</v>
      </c>
      <c r="J86">
        <v>40</v>
      </c>
      <c r="K86">
        <v>70</v>
      </c>
      <c r="L86">
        <v>90</v>
      </c>
      <c r="M86">
        <v>300</v>
      </c>
      <c r="N86">
        <v>100</v>
      </c>
      <c r="O86">
        <v>74100</v>
      </c>
      <c r="P86">
        <v>400</v>
      </c>
      <c r="Q86">
        <v>10600</v>
      </c>
      <c r="R86">
        <v>300</v>
      </c>
    </row>
    <row r="87" spans="1:18" x14ac:dyDescent="0.2">
      <c r="A87" t="s">
        <v>20</v>
      </c>
      <c r="B87">
        <v>1131</v>
      </c>
      <c r="C87">
        <v>107</v>
      </c>
      <c r="D87">
        <v>6</v>
      </c>
      <c r="E87">
        <v>80</v>
      </c>
      <c r="F87">
        <v>20</v>
      </c>
      <c r="G87">
        <v>0</v>
      </c>
      <c r="H87">
        <v>0</v>
      </c>
      <c r="I87">
        <v>1670</v>
      </c>
      <c r="J87">
        <v>30</v>
      </c>
      <c r="K87">
        <v>60</v>
      </c>
      <c r="L87">
        <v>20</v>
      </c>
      <c r="M87">
        <v>230</v>
      </c>
      <c r="N87">
        <v>10</v>
      </c>
      <c r="O87">
        <v>74700</v>
      </c>
      <c r="P87">
        <v>400</v>
      </c>
      <c r="Q87">
        <v>10676</v>
      </c>
      <c r="R87">
        <v>2</v>
      </c>
    </row>
    <row r="88" spans="1:18" x14ac:dyDescent="0.2">
      <c r="A88" t="s">
        <v>20</v>
      </c>
      <c r="B88">
        <v>1132</v>
      </c>
      <c r="C88">
        <v>90</v>
      </c>
      <c r="D88">
        <v>20</v>
      </c>
      <c r="E88">
        <v>90</v>
      </c>
      <c r="F88">
        <v>30</v>
      </c>
      <c r="G88">
        <v>0</v>
      </c>
      <c r="H88">
        <v>0</v>
      </c>
      <c r="I88">
        <v>1950</v>
      </c>
      <c r="J88">
        <v>60</v>
      </c>
      <c r="K88">
        <v>70</v>
      </c>
      <c r="L88">
        <v>90</v>
      </c>
      <c r="M88">
        <v>100</v>
      </c>
      <c r="N88">
        <v>100</v>
      </c>
      <c r="O88">
        <v>75000</v>
      </c>
      <c r="P88">
        <v>400</v>
      </c>
      <c r="Q88">
        <v>10600</v>
      </c>
      <c r="R88">
        <v>300</v>
      </c>
    </row>
    <row r="89" spans="1:18" x14ac:dyDescent="0.2">
      <c r="A89" t="s">
        <v>20</v>
      </c>
      <c r="B89">
        <v>1133</v>
      </c>
      <c r="C89">
        <v>110</v>
      </c>
      <c r="D89">
        <v>20</v>
      </c>
      <c r="E89">
        <v>80</v>
      </c>
      <c r="F89">
        <v>30</v>
      </c>
      <c r="G89">
        <v>3</v>
      </c>
      <c r="H89">
        <v>4</v>
      </c>
      <c r="I89">
        <v>2220</v>
      </c>
      <c r="J89">
        <v>10</v>
      </c>
      <c r="K89">
        <v>40</v>
      </c>
      <c r="L89">
        <v>60</v>
      </c>
      <c r="M89">
        <v>200</v>
      </c>
      <c r="N89">
        <v>200</v>
      </c>
      <c r="O89">
        <v>74200</v>
      </c>
      <c r="P89">
        <v>600</v>
      </c>
      <c r="Q89">
        <v>10600</v>
      </c>
      <c r="R89">
        <v>100</v>
      </c>
    </row>
    <row r="90" spans="1:18" x14ac:dyDescent="0.2">
      <c r="A90" t="s">
        <v>20</v>
      </c>
      <c r="B90">
        <v>1134</v>
      </c>
      <c r="C90">
        <v>120</v>
      </c>
      <c r="D90">
        <v>20</v>
      </c>
      <c r="E90">
        <v>80</v>
      </c>
      <c r="F90">
        <v>60</v>
      </c>
      <c r="G90">
        <v>0</v>
      </c>
      <c r="H90">
        <v>0</v>
      </c>
      <c r="I90">
        <v>2390</v>
      </c>
      <c r="J90">
        <v>30</v>
      </c>
      <c r="K90">
        <v>40</v>
      </c>
      <c r="L90">
        <v>50</v>
      </c>
      <c r="M90">
        <v>200</v>
      </c>
      <c r="N90">
        <v>200</v>
      </c>
      <c r="O90">
        <v>74700</v>
      </c>
      <c r="P90">
        <v>200</v>
      </c>
      <c r="Q90">
        <v>10600</v>
      </c>
      <c r="R90">
        <v>200</v>
      </c>
    </row>
    <row r="91" spans="1:18" x14ac:dyDescent="0.2">
      <c r="A91" t="s">
        <v>20</v>
      </c>
      <c r="B91">
        <v>1135</v>
      </c>
      <c r="C91">
        <v>103</v>
      </c>
      <c r="D91">
        <v>4</v>
      </c>
      <c r="E91">
        <v>80</v>
      </c>
      <c r="F91">
        <v>20</v>
      </c>
      <c r="G91">
        <v>20</v>
      </c>
      <c r="H91">
        <v>20</v>
      </c>
      <c r="I91">
        <v>2100</v>
      </c>
      <c r="J91">
        <v>50</v>
      </c>
      <c r="K91">
        <v>50</v>
      </c>
      <c r="L91">
        <v>60</v>
      </c>
      <c r="M91">
        <v>300</v>
      </c>
      <c r="N91">
        <v>200</v>
      </c>
      <c r="O91">
        <v>74630</v>
      </c>
      <c r="P91">
        <v>80</v>
      </c>
      <c r="Q91">
        <v>10600</v>
      </c>
      <c r="R91">
        <v>200</v>
      </c>
    </row>
    <row r="92" spans="1:18" x14ac:dyDescent="0.2">
      <c r="A92" t="s">
        <v>20</v>
      </c>
      <c r="B92">
        <v>1136</v>
      </c>
      <c r="C92">
        <v>99</v>
      </c>
      <c r="D92">
        <v>4</v>
      </c>
      <c r="E92">
        <v>70</v>
      </c>
      <c r="F92">
        <v>30</v>
      </c>
      <c r="G92">
        <v>0</v>
      </c>
      <c r="H92">
        <v>0</v>
      </c>
      <c r="I92">
        <v>1770</v>
      </c>
      <c r="J92">
        <v>60</v>
      </c>
      <c r="K92">
        <v>0</v>
      </c>
      <c r="L92">
        <v>0</v>
      </c>
      <c r="M92">
        <v>237</v>
      </c>
      <c r="N92">
        <v>1</v>
      </c>
      <c r="O92">
        <v>74400</v>
      </c>
      <c r="P92">
        <v>700</v>
      </c>
      <c r="Q92">
        <v>10600</v>
      </c>
      <c r="R92">
        <v>200</v>
      </c>
    </row>
    <row r="93" spans="1:18" x14ac:dyDescent="0.2">
      <c r="A93" t="s">
        <v>20</v>
      </c>
      <c r="B93">
        <v>1137</v>
      </c>
      <c r="C93">
        <v>105</v>
      </c>
      <c r="D93">
        <v>8</v>
      </c>
      <c r="E93">
        <v>100</v>
      </c>
      <c r="F93">
        <v>20</v>
      </c>
      <c r="G93">
        <v>0</v>
      </c>
      <c r="H93">
        <v>0</v>
      </c>
      <c r="I93">
        <v>1920</v>
      </c>
      <c r="J93">
        <v>20</v>
      </c>
      <c r="K93">
        <v>10</v>
      </c>
      <c r="L93">
        <v>20</v>
      </c>
      <c r="M93">
        <v>100</v>
      </c>
      <c r="N93">
        <v>200</v>
      </c>
      <c r="O93">
        <v>75200</v>
      </c>
      <c r="P93">
        <v>300</v>
      </c>
      <c r="Q93">
        <v>10700</v>
      </c>
      <c r="R93">
        <v>100</v>
      </c>
    </row>
    <row r="94" spans="1:18" x14ac:dyDescent="0.2">
      <c r="A94" t="s">
        <v>20</v>
      </c>
      <c r="B94">
        <v>1138</v>
      </c>
      <c r="C94">
        <v>110</v>
      </c>
      <c r="D94">
        <v>30</v>
      </c>
      <c r="E94">
        <v>70</v>
      </c>
      <c r="F94">
        <v>40</v>
      </c>
      <c r="G94">
        <v>0</v>
      </c>
      <c r="H94">
        <v>0</v>
      </c>
      <c r="I94">
        <v>1740</v>
      </c>
      <c r="J94">
        <v>60</v>
      </c>
      <c r="K94">
        <v>0</v>
      </c>
      <c r="L94">
        <v>0</v>
      </c>
      <c r="M94">
        <v>166</v>
      </c>
      <c r="N94">
        <v>1</v>
      </c>
      <c r="O94">
        <v>74000</v>
      </c>
      <c r="P94">
        <v>10</v>
      </c>
      <c r="Q94">
        <v>10200</v>
      </c>
      <c r="R94">
        <v>100</v>
      </c>
    </row>
    <row r="95" spans="1:18" x14ac:dyDescent="0.2">
      <c r="A95" t="s">
        <v>20</v>
      </c>
      <c r="B95">
        <v>1139</v>
      </c>
      <c r="C95">
        <v>91</v>
      </c>
      <c r="D95">
        <v>1</v>
      </c>
      <c r="E95">
        <v>66</v>
      </c>
      <c r="F95">
        <v>8</v>
      </c>
      <c r="G95">
        <v>6</v>
      </c>
      <c r="H95">
        <v>9</v>
      </c>
      <c r="I95">
        <v>1680</v>
      </c>
      <c r="J95">
        <v>40</v>
      </c>
      <c r="K95">
        <v>30</v>
      </c>
      <c r="L95">
        <v>40</v>
      </c>
      <c r="M95">
        <v>170</v>
      </c>
      <c r="N95">
        <v>10</v>
      </c>
      <c r="O95">
        <v>73300</v>
      </c>
      <c r="P95">
        <v>300</v>
      </c>
      <c r="Q95">
        <v>10400</v>
      </c>
      <c r="R95">
        <v>200</v>
      </c>
    </row>
    <row r="96" spans="1:18" x14ac:dyDescent="0.2">
      <c r="A96" t="s">
        <v>20</v>
      </c>
      <c r="B96">
        <v>1140</v>
      </c>
      <c r="C96">
        <v>112</v>
      </c>
      <c r="D96">
        <v>0</v>
      </c>
      <c r="E96">
        <v>50</v>
      </c>
      <c r="F96">
        <v>10</v>
      </c>
      <c r="G96">
        <v>6</v>
      </c>
      <c r="H96">
        <v>8</v>
      </c>
      <c r="I96">
        <v>1960</v>
      </c>
      <c r="J96">
        <v>20</v>
      </c>
      <c r="K96">
        <v>0</v>
      </c>
      <c r="L96">
        <v>0</v>
      </c>
      <c r="M96">
        <v>110</v>
      </c>
      <c r="N96">
        <v>70</v>
      </c>
      <c r="O96">
        <v>75100</v>
      </c>
      <c r="P96">
        <v>400</v>
      </c>
      <c r="Q96">
        <v>10400</v>
      </c>
      <c r="R96">
        <v>200</v>
      </c>
    </row>
    <row r="97" spans="1:18" x14ac:dyDescent="0.2">
      <c r="A97" t="s">
        <v>20</v>
      </c>
      <c r="B97">
        <v>1141</v>
      </c>
      <c r="C97">
        <v>100.5</v>
      </c>
      <c r="D97">
        <v>7</v>
      </c>
      <c r="E97">
        <v>70</v>
      </c>
      <c r="F97">
        <v>50</v>
      </c>
      <c r="G97">
        <v>12</v>
      </c>
      <c r="H97">
        <v>3</v>
      </c>
      <c r="I97">
        <v>1980</v>
      </c>
      <c r="J97">
        <v>30</v>
      </c>
      <c r="K97">
        <v>70</v>
      </c>
      <c r="L97">
        <v>10</v>
      </c>
      <c r="M97">
        <v>180</v>
      </c>
      <c r="N97">
        <v>40</v>
      </c>
      <c r="O97">
        <v>74200</v>
      </c>
      <c r="P97">
        <v>200</v>
      </c>
      <c r="Q97">
        <v>10510</v>
      </c>
      <c r="R97">
        <v>40</v>
      </c>
    </row>
    <row r="98" spans="1:18" x14ac:dyDescent="0.2">
      <c r="A98" t="s">
        <v>20</v>
      </c>
      <c r="B98">
        <v>1142</v>
      </c>
      <c r="C98">
        <v>100</v>
      </c>
      <c r="D98">
        <v>10</v>
      </c>
      <c r="E98">
        <v>100</v>
      </c>
      <c r="F98">
        <v>30</v>
      </c>
      <c r="G98">
        <v>0</v>
      </c>
      <c r="H98">
        <v>0</v>
      </c>
      <c r="I98">
        <v>2070</v>
      </c>
      <c r="J98">
        <v>60</v>
      </c>
      <c r="K98">
        <v>20</v>
      </c>
      <c r="L98">
        <v>10</v>
      </c>
      <c r="M98">
        <v>178</v>
      </c>
      <c r="N98">
        <v>2</v>
      </c>
      <c r="O98">
        <v>75100</v>
      </c>
      <c r="P98">
        <v>800</v>
      </c>
      <c r="Q98">
        <v>10340</v>
      </c>
      <c r="R98">
        <v>60</v>
      </c>
    </row>
    <row r="99" spans="1:18" x14ac:dyDescent="0.2">
      <c r="A99" t="s">
        <v>20</v>
      </c>
      <c r="B99">
        <v>1143</v>
      </c>
      <c r="C99">
        <v>70</v>
      </c>
      <c r="D99">
        <v>20</v>
      </c>
      <c r="E99">
        <v>80</v>
      </c>
      <c r="F99">
        <v>40</v>
      </c>
      <c r="G99">
        <v>6</v>
      </c>
      <c r="H99">
        <v>8</v>
      </c>
      <c r="I99">
        <v>2012</v>
      </c>
      <c r="J99">
        <v>6</v>
      </c>
      <c r="K99">
        <v>100</v>
      </c>
      <c r="L99">
        <v>200</v>
      </c>
      <c r="M99">
        <v>200</v>
      </c>
      <c r="N99">
        <v>200</v>
      </c>
      <c r="O99">
        <v>73900</v>
      </c>
      <c r="P99">
        <v>900</v>
      </c>
      <c r="Q99">
        <v>10360</v>
      </c>
      <c r="R99">
        <v>90</v>
      </c>
    </row>
    <row r="100" spans="1:18" x14ac:dyDescent="0.2">
      <c r="A100" t="s">
        <v>20</v>
      </c>
      <c r="B100">
        <v>1144</v>
      </c>
      <c r="C100">
        <v>90</v>
      </c>
      <c r="D100">
        <v>30</v>
      </c>
      <c r="E100">
        <v>90</v>
      </c>
      <c r="F100">
        <v>20</v>
      </c>
      <c r="G100">
        <v>0</v>
      </c>
      <c r="H100">
        <v>0</v>
      </c>
      <c r="I100">
        <v>2020</v>
      </c>
      <c r="J100">
        <v>10</v>
      </c>
      <c r="K100">
        <v>110</v>
      </c>
      <c r="L100">
        <v>70</v>
      </c>
      <c r="M100">
        <v>90</v>
      </c>
      <c r="N100">
        <v>100</v>
      </c>
      <c r="O100">
        <v>74000</v>
      </c>
      <c r="P100">
        <v>300</v>
      </c>
      <c r="Q100">
        <v>10300</v>
      </c>
      <c r="R100">
        <v>200</v>
      </c>
    </row>
    <row r="101" spans="1:18" x14ac:dyDescent="0.2">
      <c r="A101" t="s">
        <v>20</v>
      </c>
      <c r="B101">
        <v>1145</v>
      </c>
      <c r="C101">
        <v>110</v>
      </c>
      <c r="D101">
        <v>20</v>
      </c>
      <c r="E101">
        <v>120</v>
      </c>
      <c r="F101">
        <v>10</v>
      </c>
      <c r="G101">
        <v>0</v>
      </c>
      <c r="H101">
        <v>0</v>
      </c>
      <c r="I101">
        <v>2050</v>
      </c>
      <c r="J101">
        <v>20</v>
      </c>
      <c r="K101">
        <v>80</v>
      </c>
      <c r="L101">
        <v>60</v>
      </c>
      <c r="M101">
        <v>70</v>
      </c>
      <c r="N101">
        <v>70</v>
      </c>
      <c r="O101">
        <v>74200</v>
      </c>
      <c r="P101">
        <v>200</v>
      </c>
      <c r="Q101">
        <v>10400</v>
      </c>
      <c r="R101">
        <v>100</v>
      </c>
    </row>
    <row r="102" spans="1:18" x14ac:dyDescent="0.2">
      <c r="A102" t="s">
        <v>20</v>
      </c>
      <c r="B102">
        <v>1146</v>
      </c>
      <c r="C102">
        <v>160</v>
      </c>
      <c r="D102">
        <v>20</v>
      </c>
      <c r="E102">
        <v>149</v>
      </c>
      <c r="F102">
        <v>4</v>
      </c>
      <c r="G102">
        <v>0</v>
      </c>
      <c r="H102">
        <v>0</v>
      </c>
      <c r="I102">
        <v>2720</v>
      </c>
      <c r="J102">
        <v>40</v>
      </c>
      <c r="K102">
        <v>60</v>
      </c>
      <c r="L102">
        <v>20</v>
      </c>
      <c r="M102">
        <v>220</v>
      </c>
      <c r="N102">
        <v>90</v>
      </c>
      <c r="O102">
        <v>73600</v>
      </c>
      <c r="P102">
        <v>600</v>
      </c>
      <c r="Q102">
        <v>10420</v>
      </c>
      <c r="R102">
        <v>80</v>
      </c>
    </row>
    <row r="103" spans="1:18" x14ac:dyDescent="0.2">
      <c r="A103" t="s">
        <v>20</v>
      </c>
      <c r="B103">
        <v>1147</v>
      </c>
      <c r="C103">
        <v>140</v>
      </c>
      <c r="D103">
        <v>30</v>
      </c>
      <c r="E103">
        <v>100</v>
      </c>
      <c r="F103">
        <v>20</v>
      </c>
      <c r="G103">
        <v>5</v>
      </c>
      <c r="H103">
        <v>7</v>
      </c>
      <c r="I103">
        <v>2720</v>
      </c>
      <c r="J103">
        <v>40</v>
      </c>
      <c r="K103">
        <v>70</v>
      </c>
      <c r="L103">
        <v>90</v>
      </c>
      <c r="M103">
        <v>210</v>
      </c>
      <c r="N103">
        <v>10</v>
      </c>
      <c r="O103">
        <v>74300</v>
      </c>
      <c r="P103">
        <v>500</v>
      </c>
      <c r="Q103">
        <v>10400</v>
      </c>
      <c r="R103">
        <v>300</v>
      </c>
    </row>
    <row r="104" spans="1:18" x14ac:dyDescent="0.2">
      <c r="A104" t="s">
        <v>20</v>
      </c>
      <c r="B104">
        <v>1148</v>
      </c>
      <c r="C104">
        <v>120</v>
      </c>
      <c r="D104">
        <v>10</v>
      </c>
      <c r="E104">
        <v>85</v>
      </c>
      <c r="F104">
        <v>6</v>
      </c>
      <c r="G104">
        <v>0</v>
      </c>
      <c r="H104">
        <v>0</v>
      </c>
      <c r="I104">
        <v>2430</v>
      </c>
      <c r="J104">
        <v>20</v>
      </c>
      <c r="K104">
        <v>90</v>
      </c>
      <c r="L104">
        <v>100</v>
      </c>
      <c r="M104">
        <v>70</v>
      </c>
      <c r="N104">
        <v>10</v>
      </c>
      <c r="O104">
        <v>73600</v>
      </c>
      <c r="P104">
        <v>800</v>
      </c>
      <c r="Q104">
        <v>10200</v>
      </c>
      <c r="R104">
        <v>400</v>
      </c>
    </row>
    <row r="105" spans="1:18" x14ac:dyDescent="0.2">
      <c r="A105" t="s">
        <v>20</v>
      </c>
      <c r="B105">
        <v>1149</v>
      </c>
      <c r="C105">
        <v>108</v>
      </c>
      <c r="D105">
        <v>2</v>
      </c>
      <c r="E105">
        <v>80</v>
      </c>
      <c r="F105">
        <v>20</v>
      </c>
      <c r="G105">
        <v>2</v>
      </c>
      <c r="H105">
        <v>4</v>
      </c>
      <c r="I105">
        <v>2520</v>
      </c>
      <c r="J105">
        <v>80</v>
      </c>
      <c r="K105">
        <v>50</v>
      </c>
      <c r="L105">
        <v>70</v>
      </c>
      <c r="M105">
        <v>140</v>
      </c>
      <c r="N105">
        <v>30</v>
      </c>
      <c r="O105">
        <v>73700</v>
      </c>
      <c r="P105">
        <v>500</v>
      </c>
      <c r="Q105">
        <v>10200</v>
      </c>
      <c r="R105">
        <v>100</v>
      </c>
    </row>
    <row r="106" spans="1:18" x14ac:dyDescent="0.2">
      <c r="A106" t="s">
        <v>20</v>
      </c>
      <c r="B106">
        <v>1150</v>
      </c>
      <c r="C106">
        <v>100</v>
      </c>
      <c r="D106">
        <v>20</v>
      </c>
      <c r="E106">
        <v>90</v>
      </c>
      <c r="F106">
        <v>3</v>
      </c>
      <c r="G106">
        <v>8</v>
      </c>
      <c r="H106">
        <v>10</v>
      </c>
      <c r="I106">
        <v>2450</v>
      </c>
      <c r="J106">
        <v>30</v>
      </c>
      <c r="K106">
        <v>80</v>
      </c>
      <c r="L106">
        <v>100</v>
      </c>
      <c r="M106">
        <v>0</v>
      </c>
      <c r="N106">
        <v>0</v>
      </c>
      <c r="O106">
        <v>73300</v>
      </c>
      <c r="P106">
        <v>300</v>
      </c>
      <c r="Q106">
        <v>10300</v>
      </c>
      <c r="R106">
        <v>100</v>
      </c>
    </row>
    <row r="107" spans="1:18" x14ac:dyDescent="0.2">
      <c r="A107" t="s">
        <v>20</v>
      </c>
      <c r="B107">
        <v>1151</v>
      </c>
      <c r="C107">
        <v>92</v>
      </c>
      <c r="D107">
        <v>2</v>
      </c>
      <c r="E107">
        <v>110</v>
      </c>
      <c r="F107">
        <v>50</v>
      </c>
      <c r="G107">
        <v>0</v>
      </c>
      <c r="H107">
        <v>0</v>
      </c>
      <c r="I107">
        <v>3690</v>
      </c>
      <c r="J107">
        <v>20</v>
      </c>
      <c r="K107">
        <v>60</v>
      </c>
      <c r="L107">
        <v>80</v>
      </c>
      <c r="M107">
        <v>170</v>
      </c>
      <c r="N107">
        <v>40</v>
      </c>
      <c r="O107">
        <v>72000</v>
      </c>
      <c r="P107">
        <v>400</v>
      </c>
      <c r="Q107">
        <v>10318</v>
      </c>
      <c r="R107">
        <v>2</v>
      </c>
    </row>
    <row r="108" spans="1:18" x14ac:dyDescent="0.2">
      <c r="A108" t="s">
        <v>20</v>
      </c>
      <c r="B108">
        <v>1152</v>
      </c>
      <c r="C108">
        <v>80</v>
      </c>
      <c r="D108">
        <v>10</v>
      </c>
      <c r="E108">
        <v>100</v>
      </c>
      <c r="F108">
        <v>4</v>
      </c>
      <c r="G108">
        <v>0</v>
      </c>
      <c r="H108">
        <v>0</v>
      </c>
      <c r="I108">
        <v>15400</v>
      </c>
      <c r="J108">
        <v>100</v>
      </c>
      <c r="K108">
        <v>0</v>
      </c>
      <c r="L108">
        <v>0</v>
      </c>
      <c r="M108">
        <v>0</v>
      </c>
      <c r="N108">
        <v>0</v>
      </c>
      <c r="O108">
        <v>71800</v>
      </c>
      <c r="P108">
        <v>100</v>
      </c>
      <c r="Q108">
        <v>9974</v>
      </c>
      <c r="R108">
        <v>5</v>
      </c>
    </row>
    <row r="109" spans="1:18" x14ac:dyDescent="0.2">
      <c r="A109" t="s">
        <v>20</v>
      </c>
      <c r="B109">
        <v>1153</v>
      </c>
      <c r="C109">
        <v>100</v>
      </c>
      <c r="D109">
        <v>2</v>
      </c>
      <c r="E109">
        <v>100</v>
      </c>
      <c r="F109">
        <v>20</v>
      </c>
      <c r="G109">
        <v>0</v>
      </c>
      <c r="H109">
        <v>0</v>
      </c>
      <c r="I109">
        <v>3190</v>
      </c>
      <c r="J109">
        <v>60</v>
      </c>
      <c r="K109">
        <v>40</v>
      </c>
      <c r="L109">
        <v>60</v>
      </c>
      <c r="M109">
        <v>200</v>
      </c>
      <c r="N109">
        <v>100</v>
      </c>
      <c r="O109">
        <v>73100</v>
      </c>
      <c r="P109">
        <v>300</v>
      </c>
      <c r="Q109">
        <v>10200</v>
      </c>
      <c r="R109">
        <v>200</v>
      </c>
    </row>
    <row r="110" spans="1:18" x14ac:dyDescent="0.2">
      <c r="A110" t="s">
        <v>20</v>
      </c>
      <c r="B110">
        <v>1154</v>
      </c>
      <c r="C110">
        <v>90</v>
      </c>
      <c r="D110">
        <v>50</v>
      </c>
      <c r="E110">
        <v>60</v>
      </c>
      <c r="F110">
        <v>10</v>
      </c>
      <c r="G110">
        <v>2</v>
      </c>
      <c r="H110">
        <v>4</v>
      </c>
      <c r="I110">
        <v>2950</v>
      </c>
      <c r="J110">
        <v>10</v>
      </c>
      <c r="K110">
        <v>0</v>
      </c>
      <c r="L110">
        <v>0</v>
      </c>
      <c r="M110">
        <v>100</v>
      </c>
      <c r="N110">
        <v>200</v>
      </c>
      <c r="O110">
        <v>73800</v>
      </c>
      <c r="P110">
        <v>600</v>
      </c>
      <c r="Q110">
        <v>10310</v>
      </c>
      <c r="R110">
        <v>80</v>
      </c>
    </row>
    <row r="111" spans="1:18" x14ac:dyDescent="0.2">
      <c r="A111" t="s">
        <v>20</v>
      </c>
      <c r="B111">
        <v>1155</v>
      </c>
      <c r="C111">
        <v>80</v>
      </c>
      <c r="D111">
        <v>30</v>
      </c>
      <c r="E111">
        <v>80</v>
      </c>
      <c r="F111">
        <v>40</v>
      </c>
      <c r="G111">
        <v>0</v>
      </c>
      <c r="H111">
        <v>0</v>
      </c>
      <c r="I111">
        <v>2700</v>
      </c>
      <c r="J111">
        <v>20</v>
      </c>
      <c r="K111">
        <v>20</v>
      </c>
      <c r="L111">
        <v>30</v>
      </c>
      <c r="M111">
        <v>140</v>
      </c>
      <c r="N111">
        <v>30</v>
      </c>
      <c r="O111">
        <v>74500</v>
      </c>
      <c r="P111">
        <v>300</v>
      </c>
      <c r="Q111">
        <v>10400</v>
      </c>
      <c r="R111">
        <v>200</v>
      </c>
    </row>
    <row r="112" spans="1:18" x14ac:dyDescent="0.2">
      <c r="A112" t="s">
        <v>20</v>
      </c>
      <c r="B112">
        <v>1156</v>
      </c>
      <c r="C112">
        <v>114</v>
      </c>
      <c r="D112">
        <v>6</v>
      </c>
      <c r="E112">
        <v>88</v>
      </c>
      <c r="F112">
        <v>9</v>
      </c>
      <c r="G112">
        <v>0</v>
      </c>
      <c r="H112">
        <v>0</v>
      </c>
      <c r="I112">
        <v>2710</v>
      </c>
      <c r="J112">
        <v>70</v>
      </c>
      <c r="K112">
        <v>90</v>
      </c>
      <c r="L112">
        <v>50</v>
      </c>
      <c r="M112">
        <v>30</v>
      </c>
      <c r="N112">
        <v>50</v>
      </c>
      <c r="O112">
        <v>74500</v>
      </c>
      <c r="P112">
        <v>400</v>
      </c>
      <c r="Q112">
        <v>10400</v>
      </c>
      <c r="R112">
        <v>400</v>
      </c>
    </row>
    <row r="113" spans="1:18" x14ac:dyDescent="0.2">
      <c r="A113" t="s">
        <v>20</v>
      </c>
      <c r="B113">
        <v>1157</v>
      </c>
      <c r="C113">
        <v>90</v>
      </c>
      <c r="D113">
        <v>20</v>
      </c>
      <c r="E113">
        <v>70</v>
      </c>
      <c r="F113">
        <v>40</v>
      </c>
      <c r="G113">
        <v>0</v>
      </c>
      <c r="H113">
        <v>0</v>
      </c>
      <c r="I113">
        <v>2560</v>
      </c>
      <c r="J113">
        <v>20</v>
      </c>
      <c r="K113">
        <v>100</v>
      </c>
      <c r="L113">
        <v>100</v>
      </c>
      <c r="M113">
        <v>30</v>
      </c>
      <c r="N113">
        <v>40</v>
      </c>
      <c r="O113">
        <v>74700</v>
      </c>
      <c r="P113">
        <v>900</v>
      </c>
      <c r="Q113">
        <v>10210</v>
      </c>
      <c r="R113">
        <v>80</v>
      </c>
    </row>
    <row r="114" spans="1:18" x14ac:dyDescent="0.2">
      <c r="A114" t="s">
        <v>20</v>
      </c>
      <c r="B114">
        <v>1158</v>
      </c>
      <c r="C114">
        <v>100</v>
      </c>
      <c r="D114">
        <v>10</v>
      </c>
      <c r="E114">
        <v>110</v>
      </c>
      <c r="F114">
        <v>20</v>
      </c>
      <c r="G114">
        <v>0</v>
      </c>
      <c r="H114">
        <v>0</v>
      </c>
      <c r="I114">
        <v>3000</v>
      </c>
      <c r="J114">
        <v>100</v>
      </c>
      <c r="K114">
        <v>50</v>
      </c>
      <c r="L114">
        <v>80</v>
      </c>
      <c r="M114">
        <v>50</v>
      </c>
      <c r="N114">
        <v>80</v>
      </c>
      <c r="O114">
        <v>73800</v>
      </c>
      <c r="P114">
        <v>600</v>
      </c>
      <c r="Q114">
        <v>10300</v>
      </c>
      <c r="R114">
        <v>100</v>
      </c>
    </row>
    <row r="115" spans="1:18" x14ac:dyDescent="0.2">
      <c r="A115" t="s">
        <v>20</v>
      </c>
      <c r="B115">
        <v>1159</v>
      </c>
      <c r="C115">
        <v>88</v>
      </c>
      <c r="D115">
        <v>4</v>
      </c>
      <c r="E115">
        <v>110</v>
      </c>
      <c r="F115">
        <v>10</v>
      </c>
      <c r="G115">
        <v>0</v>
      </c>
      <c r="H115">
        <v>0</v>
      </c>
      <c r="I115">
        <v>2481</v>
      </c>
      <c r="J115">
        <v>3</v>
      </c>
      <c r="K115">
        <v>120</v>
      </c>
      <c r="L115">
        <v>60</v>
      </c>
      <c r="M115">
        <v>0</v>
      </c>
      <c r="N115">
        <v>0</v>
      </c>
      <c r="O115">
        <v>72250</v>
      </c>
      <c r="P115">
        <v>20</v>
      </c>
      <c r="Q115">
        <v>10070</v>
      </c>
      <c r="R115">
        <v>60</v>
      </c>
    </row>
    <row r="116" spans="1:18" x14ac:dyDescent="0.2">
      <c r="A116" t="s">
        <v>20</v>
      </c>
      <c r="B116">
        <v>1160</v>
      </c>
      <c r="C116">
        <v>110</v>
      </c>
      <c r="D116">
        <v>10</v>
      </c>
      <c r="E116">
        <v>124</v>
      </c>
      <c r="F116">
        <v>4</v>
      </c>
      <c r="G116">
        <v>0</v>
      </c>
      <c r="H116">
        <v>0</v>
      </c>
      <c r="I116">
        <v>2650</v>
      </c>
      <c r="J116">
        <v>10</v>
      </c>
      <c r="K116">
        <v>30</v>
      </c>
      <c r="L116">
        <v>40</v>
      </c>
      <c r="M116">
        <v>70</v>
      </c>
      <c r="N116">
        <v>20</v>
      </c>
      <c r="O116">
        <v>72500</v>
      </c>
      <c r="P116">
        <v>400</v>
      </c>
      <c r="Q116">
        <v>10100</v>
      </c>
      <c r="R116">
        <v>100</v>
      </c>
    </row>
    <row r="117" spans="1:18" x14ac:dyDescent="0.2">
      <c r="A117" t="s">
        <v>20</v>
      </c>
      <c r="B117">
        <v>1161</v>
      </c>
      <c r="C117">
        <v>83</v>
      </c>
      <c r="D117">
        <v>7</v>
      </c>
      <c r="E117">
        <v>70</v>
      </c>
      <c r="F117">
        <v>10</v>
      </c>
      <c r="G117">
        <v>0</v>
      </c>
      <c r="H117">
        <v>0</v>
      </c>
      <c r="I117">
        <v>2260</v>
      </c>
      <c r="J117">
        <v>20</v>
      </c>
      <c r="K117">
        <v>60</v>
      </c>
      <c r="L117">
        <v>40</v>
      </c>
      <c r="M117">
        <v>0</v>
      </c>
      <c r="N117">
        <v>0</v>
      </c>
      <c r="O117">
        <v>73200</v>
      </c>
      <c r="P117">
        <v>800</v>
      </c>
      <c r="Q117">
        <v>10300</v>
      </c>
      <c r="R117">
        <v>200</v>
      </c>
    </row>
    <row r="118" spans="1:18" x14ac:dyDescent="0.2">
      <c r="A118" t="s">
        <v>20</v>
      </c>
      <c r="B118">
        <v>1162</v>
      </c>
      <c r="C118">
        <v>60</v>
      </c>
      <c r="D118">
        <v>20</v>
      </c>
      <c r="E118">
        <v>90</v>
      </c>
      <c r="F118">
        <v>8</v>
      </c>
      <c r="G118">
        <v>0</v>
      </c>
      <c r="H118">
        <v>0</v>
      </c>
      <c r="I118">
        <v>2270</v>
      </c>
      <c r="J118">
        <v>30</v>
      </c>
      <c r="K118">
        <v>58</v>
      </c>
      <c r="L118">
        <v>5</v>
      </c>
      <c r="M118">
        <v>200</v>
      </c>
      <c r="N118">
        <v>200</v>
      </c>
      <c r="O118">
        <v>74000</v>
      </c>
      <c r="P118">
        <v>1000</v>
      </c>
      <c r="Q118">
        <v>10400</v>
      </c>
      <c r="R118">
        <v>200</v>
      </c>
    </row>
    <row r="119" spans="1:18" x14ac:dyDescent="0.2">
      <c r="A119" t="s">
        <v>20</v>
      </c>
      <c r="B119">
        <v>1163</v>
      </c>
      <c r="C119">
        <v>90</v>
      </c>
      <c r="D119">
        <v>10</v>
      </c>
      <c r="E119">
        <v>60</v>
      </c>
      <c r="F119">
        <v>50</v>
      </c>
      <c r="G119">
        <v>0</v>
      </c>
      <c r="H119">
        <v>0</v>
      </c>
      <c r="I119">
        <v>2300</v>
      </c>
      <c r="J119">
        <v>40</v>
      </c>
      <c r="K119">
        <v>30</v>
      </c>
      <c r="L119">
        <v>40</v>
      </c>
      <c r="M119">
        <v>4</v>
      </c>
      <c r="N119">
        <v>5</v>
      </c>
      <c r="O119">
        <v>74200</v>
      </c>
      <c r="P119">
        <v>400</v>
      </c>
      <c r="Q119">
        <v>10300</v>
      </c>
      <c r="R119">
        <v>100</v>
      </c>
    </row>
    <row r="120" spans="1:18" x14ac:dyDescent="0.2">
      <c r="A120" t="s">
        <v>20</v>
      </c>
      <c r="B120">
        <v>1164</v>
      </c>
      <c r="C120">
        <v>90</v>
      </c>
      <c r="D120">
        <v>10</v>
      </c>
      <c r="E120">
        <v>100</v>
      </c>
      <c r="F120">
        <v>30</v>
      </c>
      <c r="G120">
        <v>0</v>
      </c>
      <c r="H120">
        <v>0</v>
      </c>
      <c r="I120">
        <v>2580</v>
      </c>
      <c r="J120">
        <v>40</v>
      </c>
      <c r="K120">
        <v>60</v>
      </c>
      <c r="L120">
        <v>80</v>
      </c>
      <c r="M120">
        <v>0</v>
      </c>
      <c r="N120">
        <v>0</v>
      </c>
      <c r="O120">
        <v>74300</v>
      </c>
      <c r="P120">
        <v>400</v>
      </c>
      <c r="Q120">
        <v>10440</v>
      </c>
      <c r="R120">
        <v>80</v>
      </c>
    </row>
    <row r="121" spans="1:18" x14ac:dyDescent="0.2">
      <c r="A121" t="s">
        <v>20</v>
      </c>
      <c r="B121">
        <v>1165</v>
      </c>
      <c r="C121">
        <v>83</v>
      </c>
      <c r="D121">
        <v>6</v>
      </c>
      <c r="E121">
        <v>84</v>
      </c>
      <c r="F121">
        <v>4</v>
      </c>
      <c r="G121">
        <v>0</v>
      </c>
      <c r="H121">
        <v>0</v>
      </c>
      <c r="I121">
        <v>2600</v>
      </c>
      <c r="J121">
        <v>20</v>
      </c>
      <c r="K121">
        <v>0</v>
      </c>
      <c r="L121">
        <v>0</v>
      </c>
      <c r="M121">
        <v>0</v>
      </c>
      <c r="N121">
        <v>0</v>
      </c>
      <c r="O121">
        <v>74500</v>
      </c>
      <c r="P121">
        <v>700</v>
      </c>
      <c r="Q121">
        <v>10300</v>
      </c>
      <c r="R121">
        <v>70</v>
      </c>
    </row>
    <row r="122" spans="1:18" x14ac:dyDescent="0.2">
      <c r="A122" t="s">
        <v>20</v>
      </c>
      <c r="B122">
        <v>1166</v>
      </c>
      <c r="C122">
        <v>94</v>
      </c>
      <c r="D122">
        <v>3</v>
      </c>
      <c r="E122">
        <v>70</v>
      </c>
      <c r="F122">
        <v>10</v>
      </c>
      <c r="G122">
        <v>0</v>
      </c>
      <c r="H122">
        <v>0</v>
      </c>
      <c r="I122">
        <v>2600</v>
      </c>
      <c r="J122">
        <v>30</v>
      </c>
      <c r="K122">
        <v>20</v>
      </c>
      <c r="L122">
        <v>20</v>
      </c>
      <c r="M122">
        <v>0</v>
      </c>
      <c r="N122">
        <v>0</v>
      </c>
      <c r="O122">
        <v>74400</v>
      </c>
      <c r="P122">
        <v>600</v>
      </c>
      <c r="Q122">
        <v>10200</v>
      </c>
      <c r="R122">
        <v>100</v>
      </c>
    </row>
    <row r="123" spans="1:18" x14ac:dyDescent="0.2">
      <c r="A123" t="s">
        <v>20</v>
      </c>
      <c r="B123">
        <v>1167</v>
      </c>
      <c r="C123">
        <v>80</v>
      </c>
      <c r="D123">
        <v>20</v>
      </c>
      <c r="E123">
        <v>86</v>
      </c>
      <c r="F123">
        <v>7</v>
      </c>
      <c r="G123">
        <v>0</v>
      </c>
      <c r="H123">
        <v>0</v>
      </c>
      <c r="I123">
        <v>2470</v>
      </c>
      <c r="J123">
        <v>40</v>
      </c>
      <c r="K123">
        <v>32</v>
      </c>
      <c r="L123">
        <v>8</v>
      </c>
      <c r="M123">
        <v>30</v>
      </c>
      <c r="N123">
        <v>40</v>
      </c>
      <c r="O123">
        <v>73550</v>
      </c>
      <c r="P123">
        <v>60</v>
      </c>
      <c r="Q123">
        <v>9900</v>
      </c>
      <c r="R123">
        <v>300</v>
      </c>
    </row>
    <row r="124" spans="1:18" x14ac:dyDescent="0.2">
      <c r="A124" t="s">
        <v>20</v>
      </c>
      <c r="B124">
        <v>1168</v>
      </c>
      <c r="C124">
        <v>80</v>
      </c>
      <c r="D124">
        <v>20</v>
      </c>
      <c r="E124">
        <v>100</v>
      </c>
      <c r="F124">
        <v>2</v>
      </c>
      <c r="G124">
        <v>0</v>
      </c>
      <c r="H124">
        <v>0</v>
      </c>
      <c r="I124">
        <v>2800</v>
      </c>
      <c r="J124">
        <v>20</v>
      </c>
      <c r="K124">
        <v>0</v>
      </c>
      <c r="L124">
        <v>0</v>
      </c>
      <c r="M124">
        <v>30</v>
      </c>
      <c r="N124">
        <v>30</v>
      </c>
      <c r="O124">
        <v>73500</v>
      </c>
      <c r="P124">
        <v>200</v>
      </c>
      <c r="Q124">
        <v>10220</v>
      </c>
      <c r="R124">
        <v>30</v>
      </c>
    </row>
    <row r="125" spans="1:18" x14ac:dyDescent="0.2">
      <c r="A125" t="s">
        <v>20</v>
      </c>
      <c r="B125">
        <v>1169</v>
      </c>
      <c r="C125">
        <v>80.5</v>
      </c>
      <c r="D125">
        <v>7</v>
      </c>
      <c r="E125">
        <v>113</v>
      </c>
      <c r="F125">
        <v>1</v>
      </c>
      <c r="G125">
        <v>10</v>
      </c>
      <c r="H125">
        <v>10</v>
      </c>
      <c r="I125">
        <v>2220</v>
      </c>
      <c r="J125">
        <v>20</v>
      </c>
      <c r="K125">
        <v>18</v>
      </c>
      <c r="L125">
        <v>1</v>
      </c>
      <c r="M125">
        <v>100</v>
      </c>
      <c r="N125">
        <v>100</v>
      </c>
      <c r="O125">
        <v>73200</v>
      </c>
      <c r="P125">
        <v>800</v>
      </c>
      <c r="Q125">
        <v>10140</v>
      </c>
      <c r="R125">
        <v>20</v>
      </c>
    </row>
    <row r="126" spans="1:18" x14ac:dyDescent="0.2">
      <c r="A126" t="s">
        <v>21</v>
      </c>
      <c r="B126">
        <v>23</v>
      </c>
      <c r="C126">
        <v>110</v>
      </c>
      <c r="D126">
        <v>30</v>
      </c>
      <c r="E126">
        <v>130</v>
      </c>
      <c r="F126">
        <v>40</v>
      </c>
      <c r="G126">
        <v>0</v>
      </c>
      <c r="H126">
        <v>0</v>
      </c>
      <c r="I126">
        <v>3600</v>
      </c>
      <c r="J126">
        <v>100</v>
      </c>
      <c r="K126">
        <v>200</v>
      </c>
      <c r="L126">
        <v>100</v>
      </c>
      <c r="M126">
        <v>110</v>
      </c>
      <c r="N126">
        <v>10</v>
      </c>
      <c r="O126">
        <v>62000</v>
      </c>
      <c r="P126">
        <v>200</v>
      </c>
      <c r="Q126">
        <v>9010</v>
      </c>
      <c r="R126">
        <v>60</v>
      </c>
    </row>
    <row r="127" spans="1:18" x14ac:dyDescent="0.2">
      <c r="A127" t="s">
        <v>21</v>
      </c>
      <c r="B127">
        <v>24</v>
      </c>
      <c r="C127">
        <v>120</v>
      </c>
      <c r="D127">
        <v>10</v>
      </c>
      <c r="E127">
        <v>160</v>
      </c>
      <c r="F127">
        <v>40</v>
      </c>
      <c r="G127">
        <v>3</v>
      </c>
      <c r="H127">
        <v>4</v>
      </c>
      <c r="I127">
        <v>4280</v>
      </c>
      <c r="J127">
        <v>40</v>
      </c>
      <c r="K127">
        <v>200</v>
      </c>
      <c r="L127">
        <v>10</v>
      </c>
      <c r="M127">
        <v>50</v>
      </c>
      <c r="N127">
        <v>70</v>
      </c>
      <c r="O127">
        <v>64400</v>
      </c>
      <c r="P127">
        <v>400</v>
      </c>
      <c r="Q127">
        <v>9400</v>
      </c>
      <c r="R127">
        <v>100</v>
      </c>
    </row>
    <row r="128" spans="1:18" x14ac:dyDescent="0.2">
      <c r="A128" t="s">
        <v>21</v>
      </c>
      <c r="B128">
        <v>25</v>
      </c>
      <c r="C128">
        <v>120</v>
      </c>
      <c r="D128">
        <v>5</v>
      </c>
      <c r="E128">
        <v>120</v>
      </c>
      <c r="F128">
        <v>30</v>
      </c>
      <c r="G128">
        <v>0</v>
      </c>
      <c r="H128">
        <v>0</v>
      </c>
      <c r="I128">
        <v>3300</v>
      </c>
      <c r="J128">
        <v>60</v>
      </c>
      <c r="K128">
        <v>70</v>
      </c>
      <c r="L128">
        <v>60</v>
      </c>
      <c r="M128">
        <v>0</v>
      </c>
      <c r="N128">
        <v>0</v>
      </c>
      <c r="O128">
        <v>66200</v>
      </c>
      <c r="P128">
        <v>300</v>
      </c>
      <c r="Q128">
        <v>9430</v>
      </c>
      <c r="R128">
        <v>50</v>
      </c>
    </row>
    <row r="129" spans="1:18" x14ac:dyDescent="0.2">
      <c r="A129" t="s">
        <v>21</v>
      </c>
      <c r="B129">
        <v>26</v>
      </c>
      <c r="C129">
        <v>100</v>
      </c>
      <c r="D129">
        <v>20</v>
      </c>
      <c r="E129">
        <v>130</v>
      </c>
      <c r="F129">
        <v>10</v>
      </c>
      <c r="G129">
        <v>20</v>
      </c>
      <c r="H129">
        <v>10</v>
      </c>
      <c r="I129">
        <v>3080</v>
      </c>
      <c r="J129">
        <v>20</v>
      </c>
      <c r="K129">
        <v>130</v>
      </c>
      <c r="L129">
        <v>40</v>
      </c>
      <c r="M129">
        <v>81.5</v>
      </c>
      <c r="N129">
        <v>7</v>
      </c>
      <c r="O129">
        <v>67800</v>
      </c>
      <c r="P129">
        <v>400</v>
      </c>
      <c r="Q129">
        <v>9600</v>
      </c>
      <c r="R129">
        <v>100</v>
      </c>
    </row>
    <row r="130" spans="1:18" x14ac:dyDescent="0.2">
      <c r="A130" t="s">
        <v>21</v>
      </c>
      <c r="B130">
        <v>27</v>
      </c>
      <c r="C130">
        <v>80</v>
      </c>
      <c r="D130">
        <v>10</v>
      </c>
      <c r="E130">
        <v>120</v>
      </c>
      <c r="F130">
        <v>20</v>
      </c>
      <c r="G130">
        <v>0</v>
      </c>
      <c r="H130">
        <v>0</v>
      </c>
      <c r="I130">
        <v>2970</v>
      </c>
      <c r="J130">
        <v>20</v>
      </c>
      <c r="K130">
        <v>40</v>
      </c>
      <c r="L130">
        <v>60</v>
      </c>
      <c r="M130">
        <v>40</v>
      </c>
      <c r="N130">
        <v>60</v>
      </c>
      <c r="O130">
        <v>69100</v>
      </c>
      <c r="P130">
        <v>200</v>
      </c>
      <c r="Q130">
        <v>9936</v>
      </c>
      <c r="R130">
        <v>5</v>
      </c>
    </row>
    <row r="131" spans="1:18" x14ac:dyDescent="0.2">
      <c r="A131" t="s">
        <v>21</v>
      </c>
      <c r="B131">
        <v>28</v>
      </c>
      <c r="C131">
        <v>100</v>
      </c>
      <c r="D131">
        <v>10</v>
      </c>
      <c r="E131">
        <v>210</v>
      </c>
      <c r="F131">
        <v>10</v>
      </c>
      <c r="G131">
        <v>0</v>
      </c>
      <c r="H131">
        <v>0</v>
      </c>
      <c r="I131">
        <v>3614</v>
      </c>
      <c r="J131">
        <v>5</v>
      </c>
      <c r="K131">
        <v>20</v>
      </c>
      <c r="L131">
        <v>20</v>
      </c>
      <c r="M131">
        <v>0</v>
      </c>
      <c r="N131">
        <v>0</v>
      </c>
      <c r="O131">
        <v>68500</v>
      </c>
      <c r="P131">
        <v>300</v>
      </c>
      <c r="Q131">
        <v>9900</v>
      </c>
      <c r="R131">
        <v>200</v>
      </c>
    </row>
    <row r="132" spans="1:18" x14ac:dyDescent="0.2">
      <c r="A132" t="s">
        <v>21</v>
      </c>
      <c r="B132">
        <v>29</v>
      </c>
      <c r="C132">
        <v>100</v>
      </c>
      <c r="D132">
        <v>20</v>
      </c>
      <c r="E132">
        <v>180</v>
      </c>
      <c r="F132">
        <v>30</v>
      </c>
      <c r="G132">
        <v>0</v>
      </c>
      <c r="H132">
        <v>0</v>
      </c>
      <c r="I132">
        <v>3490</v>
      </c>
      <c r="J132">
        <v>40</v>
      </c>
      <c r="K132">
        <v>9</v>
      </c>
      <c r="L132">
        <v>10</v>
      </c>
      <c r="M132">
        <v>140</v>
      </c>
      <c r="N132">
        <v>90</v>
      </c>
      <c r="O132">
        <v>70300</v>
      </c>
      <c r="P132">
        <v>400</v>
      </c>
      <c r="Q132">
        <v>9800</v>
      </c>
      <c r="R132">
        <v>100</v>
      </c>
    </row>
    <row r="133" spans="1:18" x14ac:dyDescent="0.2">
      <c r="A133" t="s">
        <v>21</v>
      </c>
      <c r="B133">
        <v>30</v>
      </c>
      <c r="C133">
        <v>81.5</v>
      </c>
      <c r="D133">
        <v>7</v>
      </c>
      <c r="E133">
        <v>130</v>
      </c>
      <c r="F133">
        <v>10</v>
      </c>
      <c r="G133">
        <v>12</v>
      </c>
      <c r="H133">
        <v>8</v>
      </c>
      <c r="I133">
        <v>3630</v>
      </c>
      <c r="J133">
        <v>50</v>
      </c>
      <c r="K133">
        <v>100</v>
      </c>
      <c r="L133">
        <v>100</v>
      </c>
      <c r="M133">
        <v>50</v>
      </c>
      <c r="N133">
        <v>70</v>
      </c>
      <c r="O133">
        <v>70700</v>
      </c>
      <c r="P133">
        <v>200</v>
      </c>
      <c r="Q133">
        <v>9870</v>
      </c>
      <c r="R133">
        <v>50</v>
      </c>
    </row>
    <row r="134" spans="1:18" x14ac:dyDescent="0.2">
      <c r="A134" t="s">
        <v>21</v>
      </c>
      <c r="B134">
        <v>31</v>
      </c>
      <c r="C134">
        <v>100</v>
      </c>
      <c r="D134">
        <v>20</v>
      </c>
      <c r="E134">
        <v>180</v>
      </c>
      <c r="F134">
        <v>20</v>
      </c>
      <c r="G134">
        <v>0</v>
      </c>
      <c r="H134">
        <v>0</v>
      </c>
      <c r="I134">
        <v>3720</v>
      </c>
      <c r="J134">
        <v>50</v>
      </c>
      <c r="K134">
        <v>80</v>
      </c>
      <c r="L134">
        <v>80</v>
      </c>
      <c r="M134">
        <v>20</v>
      </c>
      <c r="N134">
        <v>30</v>
      </c>
      <c r="O134">
        <v>70800</v>
      </c>
      <c r="P134">
        <v>800</v>
      </c>
      <c r="Q134">
        <v>9870</v>
      </c>
      <c r="R134">
        <v>70</v>
      </c>
    </row>
    <row r="135" spans="1:18" x14ac:dyDescent="0.2">
      <c r="A135" t="s">
        <v>21</v>
      </c>
      <c r="B135">
        <v>32</v>
      </c>
      <c r="C135">
        <v>120</v>
      </c>
      <c r="D135">
        <v>30</v>
      </c>
      <c r="E135">
        <v>140</v>
      </c>
      <c r="F135">
        <v>10</v>
      </c>
      <c r="G135">
        <v>0</v>
      </c>
      <c r="H135">
        <v>0</v>
      </c>
      <c r="I135">
        <v>3660</v>
      </c>
      <c r="J135">
        <v>30</v>
      </c>
      <c r="K135">
        <v>40</v>
      </c>
      <c r="L135">
        <v>50</v>
      </c>
      <c r="M135">
        <v>30</v>
      </c>
      <c r="N135">
        <v>40</v>
      </c>
      <c r="O135">
        <v>71600</v>
      </c>
      <c r="P135">
        <v>200</v>
      </c>
      <c r="Q135">
        <v>10100</v>
      </c>
      <c r="R135">
        <v>300</v>
      </c>
    </row>
    <row r="136" spans="1:18" x14ac:dyDescent="0.2">
      <c r="A136" t="s">
        <v>21</v>
      </c>
      <c r="B136">
        <v>33</v>
      </c>
      <c r="C136">
        <v>124.5</v>
      </c>
      <c r="D136">
        <v>7</v>
      </c>
      <c r="E136">
        <v>130</v>
      </c>
      <c r="F136">
        <v>40</v>
      </c>
      <c r="G136">
        <v>6</v>
      </c>
      <c r="H136">
        <v>8</v>
      </c>
      <c r="I136">
        <v>3970</v>
      </c>
      <c r="J136">
        <v>10</v>
      </c>
      <c r="K136">
        <v>30</v>
      </c>
      <c r="L136">
        <v>50</v>
      </c>
      <c r="M136">
        <v>40</v>
      </c>
      <c r="N136">
        <v>60</v>
      </c>
      <c r="O136">
        <v>71980</v>
      </c>
      <c r="P136">
        <v>70</v>
      </c>
      <c r="Q136">
        <v>10100</v>
      </c>
      <c r="R136">
        <v>100</v>
      </c>
    </row>
    <row r="137" spans="1:18" x14ac:dyDescent="0.2">
      <c r="A137" t="s">
        <v>21</v>
      </c>
      <c r="B137">
        <v>34</v>
      </c>
      <c r="C137">
        <v>110</v>
      </c>
      <c r="D137">
        <v>10</v>
      </c>
      <c r="E137">
        <v>210</v>
      </c>
      <c r="F137">
        <v>10</v>
      </c>
      <c r="G137">
        <v>0</v>
      </c>
      <c r="H137">
        <v>0</v>
      </c>
      <c r="I137">
        <v>4010</v>
      </c>
      <c r="J137">
        <v>80</v>
      </c>
      <c r="K137">
        <v>6</v>
      </c>
      <c r="L137">
        <v>8</v>
      </c>
      <c r="M137">
        <v>10</v>
      </c>
      <c r="N137">
        <v>10</v>
      </c>
      <c r="O137">
        <v>72700</v>
      </c>
      <c r="P137">
        <v>400</v>
      </c>
      <c r="Q137">
        <v>9900</v>
      </c>
      <c r="R137">
        <v>100</v>
      </c>
    </row>
    <row r="138" spans="1:18" x14ac:dyDescent="0.2">
      <c r="A138" t="s">
        <v>21</v>
      </c>
      <c r="B138">
        <v>35</v>
      </c>
      <c r="C138">
        <v>90</v>
      </c>
      <c r="D138">
        <v>1</v>
      </c>
      <c r="E138">
        <v>180</v>
      </c>
      <c r="F138">
        <v>10</v>
      </c>
      <c r="G138">
        <v>6</v>
      </c>
      <c r="H138">
        <v>9</v>
      </c>
      <c r="I138">
        <v>4190</v>
      </c>
      <c r="J138">
        <v>50</v>
      </c>
      <c r="K138">
        <v>30</v>
      </c>
      <c r="L138">
        <v>40</v>
      </c>
      <c r="M138">
        <v>0</v>
      </c>
      <c r="N138">
        <v>0</v>
      </c>
      <c r="O138">
        <v>71600</v>
      </c>
      <c r="P138">
        <v>300</v>
      </c>
      <c r="Q138">
        <v>10000</v>
      </c>
      <c r="R138">
        <v>200</v>
      </c>
    </row>
    <row r="139" spans="1:18" x14ac:dyDescent="0.2">
      <c r="A139" t="s">
        <v>21</v>
      </c>
      <c r="B139">
        <v>36</v>
      </c>
      <c r="C139">
        <v>84</v>
      </c>
      <c r="D139">
        <v>5</v>
      </c>
      <c r="E139">
        <v>150</v>
      </c>
      <c r="F139">
        <v>30</v>
      </c>
      <c r="G139">
        <v>0</v>
      </c>
      <c r="H139">
        <v>0</v>
      </c>
      <c r="I139">
        <v>3420</v>
      </c>
      <c r="J139">
        <v>30</v>
      </c>
      <c r="K139">
        <v>30</v>
      </c>
      <c r="L139">
        <v>30</v>
      </c>
      <c r="M139">
        <v>20</v>
      </c>
      <c r="N139">
        <v>20</v>
      </c>
      <c r="O139">
        <v>71600</v>
      </c>
      <c r="P139">
        <v>300</v>
      </c>
      <c r="Q139">
        <v>10000</v>
      </c>
      <c r="R139">
        <v>200</v>
      </c>
    </row>
    <row r="140" spans="1:18" x14ac:dyDescent="0.2">
      <c r="A140" t="s">
        <v>21</v>
      </c>
      <c r="B140">
        <v>37</v>
      </c>
      <c r="C140">
        <v>96</v>
      </c>
      <c r="D140">
        <v>2</v>
      </c>
      <c r="E140">
        <v>130</v>
      </c>
      <c r="F140">
        <v>10</v>
      </c>
      <c r="G140">
        <v>7</v>
      </c>
      <c r="H140">
        <v>10</v>
      </c>
      <c r="I140">
        <v>3100</v>
      </c>
      <c r="J140">
        <v>50</v>
      </c>
      <c r="K140">
        <v>70</v>
      </c>
      <c r="L140">
        <v>80</v>
      </c>
      <c r="M140">
        <v>40</v>
      </c>
      <c r="N140">
        <v>50</v>
      </c>
      <c r="O140">
        <v>72860</v>
      </c>
      <c r="P140">
        <v>60</v>
      </c>
      <c r="Q140">
        <v>10300</v>
      </c>
      <c r="R140">
        <v>400</v>
      </c>
    </row>
    <row r="141" spans="1:18" x14ac:dyDescent="0.2">
      <c r="A141" t="s">
        <v>21</v>
      </c>
      <c r="B141">
        <v>38</v>
      </c>
      <c r="C141">
        <v>80</v>
      </c>
      <c r="D141">
        <v>10</v>
      </c>
      <c r="E141">
        <v>106</v>
      </c>
      <c r="F141">
        <v>4</v>
      </c>
      <c r="G141">
        <v>4</v>
      </c>
      <c r="H141">
        <v>6</v>
      </c>
      <c r="I141">
        <v>3410</v>
      </c>
      <c r="J141">
        <v>40</v>
      </c>
      <c r="K141">
        <v>80</v>
      </c>
      <c r="L141">
        <v>100</v>
      </c>
      <c r="M141">
        <v>0</v>
      </c>
      <c r="N141">
        <v>0</v>
      </c>
      <c r="O141">
        <v>73220</v>
      </c>
      <c r="P141">
        <v>90</v>
      </c>
      <c r="Q141">
        <v>10200</v>
      </c>
      <c r="R141">
        <v>200</v>
      </c>
    </row>
    <row r="142" spans="1:18" x14ac:dyDescent="0.2">
      <c r="A142" t="s">
        <v>21</v>
      </c>
      <c r="B142">
        <v>39</v>
      </c>
      <c r="C142">
        <v>90</v>
      </c>
      <c r="D142">
        <v>20</v>
      </c>
      <c r="E142">
        <v>158</v>
      </c>
      <c r="F142">
        <v>6</v>
      </c>
      <c r="G142">
        <v>0</v>
      </c>
      <c r="H142">
        <v>0</v>
      </c>
      <c r="I142">
        <v>3370</v>
      </c>
      <c r="J142">
        <v>70</v>
      </c>
      <c r="K142">
        <v>30</v>
      </c>
      <c r="L142">
        <v>40</v>
      </c>
      <c r="M142">
        <v>0</v>
      </c>
      <c r="N142">
        <v>0</v>
      </c>
      <c r="O142">
        <v>72980</v>
      </c>
      <c r="P142">
        <v>90</v>
      </c>
      <c r="Q142">
        <v>10100</v>
      </c>
      <c r="R142">
        <v>100</v>
      </c>
    </row>
    <row r="143" spans="1:18" x14ac:dyDescent="0.2">
      <c r="A143" t="s">
        <v>21</v>
      </c>
      <c r="B143">
        <v>40</v>
      </c>
      <c r="C143">
        <v>90</v>
      </c>
      <c r="D143">
        <v>30</v>
      </c>
      <c r="E143">
        <v>130</v>
      </c>
      <c r="F143">
        <v>30</v>
      </c>
      <c r="G143">
        <v>0</v>
      </c>
      <c r="H143">
        <v>0</v>
      </c>
      <c r="I143">
        <v>2930</v>
      </c>
      <c r="J143">
        <v>9</v>
      </c>
      <c r="K143">
        <v>0</v>
      </c>
      <c r="L143">
        <v>0</v>
      </c>
      <c r="M143">
        <v>8.5</v>
      </c>
      <c r="N143">
        <v>7</v>
      </c>
      <c r="O143">
        <v>72700</v>
      </c>
      <c r="P143">
        <v>600</v>
      </c>
      <c r="Q143">
        <v>10000</v>
      </c>
      <c r="R143">
        <v>10</v>
      </c>
    </row>
    <row r="144" spans="1:18" x14ac:dyDescent="0.2">
      <c r="A144" t="s">
        <v>21</v>
      </c>
      <c r="B144">
        <v>41</v>
      </c>
      <c r="C144">
        <v>86</v>
      </c>
      <c r="D144">
        <v>3</v>
      </c>
      <c r="E144">
        <v>126</v>
      </c>
      <c r="F144">
        <v>8</v>
      </c>
      <c r="G144">
        <v>0</v>
      </c>
      <c r="H144">
        <v>0</v>
      </c>
      <c r="I144">
        <v>2740</v>
      </c>
      <c r="J144">
        <v>80</v>
      </c>
      <c r="K144">
        <v>100</v>
      </c>
      <c r="L144">
        <v>30</v>
      </c>
      <c r="M144">
        <v>100</v>
      </c>
      <c r="N144">
        <v>100</v>
      </c>
      <c r="O144">
        <v>73600</v>
      </c>
      <c r="P144">
        <v>400</v>
      </c>
      <c r="Q144">
        <v>10360</v>
      </c>
      <c r="R144">
        <v>70</v>
      </c>
    </row>
    <row r="145" spans="1:18" x14ac:dyDescent="0.2">
      <c r="A145" t="s">
        <v>21</v>
      </c>
      <c r="B145">
        <v>42</v>
      </c>
      <c r="C145">
        <v>120</v>
      </c>
      <c r="D145">
        <v>20</v>
      </c>
      <c r="E145">
        <v>130</v>
      </c>
      <c r="F145">
        <v>10</v>
      </c>
      <c r="G145">
        <v>2</v>
      </c>
      <c r="H145">
        <v>4</v>
      </c>
      <c r="I145">
        <v>2900</v>
      </c>
      <c r="J145">
        <v>20</v>
      </c>
      <c r="K145">
        <v>40</v>
      </c>
      <c r="L145">
        <v>50</v>
      </c>
      <c r="M145">
        <v>3</v>
      </c>
      <c r="N145">
        <v>4</v>
      </c>
      <c r="O145">
        <v>73200</v>
      </c>
      <c r="P145">
        <v>30</v>
      </c>
      <c r="Q145">
        <v>10190</v>
      </c>
      <c r="R145">
        <v>70</v>
      </c>
    </row>
    <row r="146" spans="1:18" x14ac:dyDescent="0.2">
      <c r="A146" t="s">
        <v>21</v>
      </c>
      <c r="B146">
        <v>43</v>
      </c>
      <c r="C146">
        <v>110</v>
      </c>
      <c r="D146">
        <v>10</v>
      </c>
      <c r="E146">
        <v>120</v>
      </c>
      <c r="F146">
        <v>30</v>
      </c>
      <c r="G146">
        <v>18.5</v>
      </c>
      <c r="H146">
        <v>7</v>
      </c>
      <c r="I146">
        <v>2820</v>
      </c>
      <c r="J146">
        <v>70</v>
      </c>
      <c r="K146">
        <v>70</v>
      </c>
      <c r="L146">
        <v>20</v>
      </c>
      <c r="M146">
        <v>32</v>
      </c>
      <c r="N146">
        <v>2</v>
      </c>
      <c r="O146">
        <v>73700</v>
      </c>
      <c r="P146">
        <v>500</v>
      </c>
      <c r="Q146">
        <v>10570</v>
      </c>
      <c r="R146">
        <v>20</v>
      </c>
    </row>
    <row r="147" spans="1:18" x14ac:dyDescent="0.2">
      <c r="A147" t="s">
        <v>21</v>
      </c>
      <c r="B147">
        <v>44</v>
      </c>
      <c r="C147">
        <v>95</v>
      </c>
      <c r="D147">
        <v>3</v>
      </c>
      <c r="E147">
        <v>98</v>
      </c>
      <c r="F147">
        <v>7</v>
      </c>
      <c r="G147">
        <v>4</v>
      </c>
      <c r="H147">
        <v>6</v>
      </c>
      <c r="I147">
        <v>2900</v>
      </c>
      <c r="J147">
        <v>100</v>
      </c>
      <c r="K147">
        <v>0</v>
      </c>
      <c r="L147">
        <v>0</v>
      </c>
      <c r="M147">
        <v>60</v>
      </c>
      <c r="N147">
        <v>90</v>
      </c>
      <c r="O147">
        <v>74200</v>
      </c>
      <c r="P147">
        <v>300</v>
      </c>
      <c r="Q147">
        <v>10400</v>
      </c>
      <c r="R147">
        <v>100</v>
      </c>
    </row>
    <row r="148" spans="1:18" x14ac:dyDescent="0.2">
      <c r="A148" t="s">
        <v>21</v>
      </c>
      <c r="B148">
        <v>45</v>
      </c>
      <c r="C148">
        <v>94</v>
      </c>
      <c r="D148">
        <v>8</v>
      </c>
      <c r="E148">
        <v>100</v>
      </c>
      <c r="F148">
        <v>10</v>
      </c>
      <c r="G148">
        <v>6</v>
      </c>
      <c r="H148">
        <v>9</v>
      </c>
      <c r="I148">
        <v>2600</v>
      </c>
      <c r="J148">
        <v>100</v>
      </c>
      <c r="K148">
        <v>20</v>
      </c>
      <c r="L148">
        <v>20</v>
      </c>
      <c r="M148">
        <v>110</v>
      </c>
      <c r="N148">
        <v>80</v>
      </c>
      <c r="O148">
        <v>73170</v>
      </c>
      <c r="P148">
        <v>10</v>
      </c>
      <c r="Q148">
        <v>10200</v>
      </c>
      <c r="R148">
        <v>300</v>
      </c>
    </row>
    <row r="149" spans="1:18" x14ac:dyDescent="0.2">
      <c r="A149" t="s">
        <v>21</v>
      </c>
      <c r="B149">
        <v>46</v>
      </c>
      <c r="C149">
        <v>106</v>
      </c>
      <c r="D149">
        <v>8</v>
      </c>
      <c r="E149">
        <v>100</v>
      </c>
      <c r="F149">
        <v>60</v>
      </c>
      <c r="G149">
        <v>0</v>
      </c>
      <c r="H149">
        <v>0</v>
      </c>
      <c r="I149">
        <v>2930</v>
      </c>
      <c r="J149">
        <v>50</v>
      </c>
      <c r="K149">
        <v>40</v>
      </c>
      <c r="L149">
        <v>60</v>
      </c>
      <c r="M149">
        <v>40</v>
      </c>
      <c r="N149">
        <v>60</v>
      </c>
      <c r="O149">
        <v>72900</v>
      </c>
      <c r="P149">
        <v>700</v>
      </c>
      <c r="Q149">
        <v>9960</v>
      </c>
      <c r="R149">
        <v>70</v>
      </c>
    </row>
    <row r="150" spans="1:18" x14ac:dyDescent="0.2">
      <c r="A150" t="s">
        <v>21</v>
      </c>
      <c r="B150">
        <v>47</v>
      </c>
      <c r="C150">
        <v>100</v>
      </c>
      <c r="D150">
        <v>20</v>
      </c>
      <c r="E150">
        <v>108</v>
      </c>
      <c r="F150">
        <v>5</v>
      </c>
      <c r="G150">
        <v>0</v>
      </c>
      <c r="H150">
        <v>0</v>
      </c>
      <c r="I150">
        <v>3010</v>
      </c>
      <c r="J150">
        <v>30</v>
      </c>
      <c r="K150">
        <v>8</v>
      </c>
      <c r="L150">
        <v>10</v>
      </c>
      <c r="M150">
        <v>100</v>
      </c>
      <c r="N150">
        <v>100</v>
      </c>
      <c r="O150">
        <v>74100</v>
      </c>
      <c r="P150">
        <v>500</v>
      </c>
      <c r="Q150">
        <v>10400</v>
      </c>
      <c r="R150">
        <v>200</v>
      </c>
    </row>
    <row r="151" spans="1:18" x14ac:dyDescent="0.2">
      <c r="A151" t="s">
        <v>21</v>
      </c>
      <c r="B151">
        <v>48</v>
      </c>
      <c r="C151">
        <v>87</v>
      </c>
      <c r="D151">
        <v>4</v>
      </c>
      <c r="E151">
        <v>110</v>
      </c>
      <c r="F151">
        <v>10</v>
      </c>
      <c r="G151">
        <v>0</v>
      </c>
      <c r="H151">
        <v>0</v>
      </c>
      <c r="I151">
        <v>2882</v>
      </c>
      <c r="J151">
        <v>5</v>
      </c>
      <c r="K151">
        <v>20</v>
      </c>
      <c r="L151">
        <v>20</v>
      </c>
      <c r="M151">
        <v>60</v>
      </c>
      <c r="N151">
        <v>80</v>
      </c>
      <c r="O151">
        <v>74310</v>
      </c>
      <c r="P151">
        <v>20</v>
      </c>
      <c r="Q151">
        <v>10400</v>
      </c>
      <c r="R151">
        <v>200</v>
      </c>
    </row>
    <row r="152" spans="1:18" x14ac:dyDescent="0.2">
      <c r="A152" t="s">
        <v>21</v>
      </c>
      <c r="B152">
        <v>49</v>
      </c>
      <c r="C152">
        <v>100</v>
      </c>
      <c r="D152">
        <v>10</v>
      </c>
      <c r="E152">
        <v>90</v>
      </c>
      <c r="F152">
        <v>30</v>
      </c>
      <c r="G152">
        <v>0</v>
      </c>
      <c r="H152">
        <v>0</v>
      </c>
      <c r="I152">
        <v>2730</v>
      </c>
      <c r="J152">
        <v>30</v>
      </c>
      <c r="K152">
        <v>20</v>
      </c>
      <c r="L152">
        <v>30</v>
      </c>
      <c r="M152">
        <v>10</v>
      </c>
      <c r="N152">
        <v>20</v>
      </c>
      <c r="O152">
        <v>74500</v>
      </c>
      <c r="P152">
        <v>900</v>
      </c>
      <c r="Q152">
        <v>10500</v>
      </c>
      <c r="R152">
        <v>400</v>
      </c>
    </row>
    <row r="153" spans="1:18" x14ac:dyDescent="0.2">
      <c r="A153" t="s">
        <v>21</v>
      </c>
      <c r="B153">
        <v>50</v>
      </c>
      <c r="C153">
        <v>98</v>
      </c>
      <c r="D153">
        <v>4</v>
      </c>
      <c r="E153">
        <v>90</v>
      </c>
      <c r="F153">
        <v>30</v>
      </c>
      <c r="G153">
        <v>0</v>
      </c>
      <c r="H153">
        <v>0</v>
      </c>
      <c r="I153">
        <v>3230</v>
      </c>
      <c r="J153">
        <v>60</v>
      </c>
      <c r="K153">
        <v>6</v>
      </c>
      <c r="L153">
        <v>8</v>
      </c>
      <c r="M153">
        <v>0</v>
      </c>
      <c r="N153">
        <v>0</v>
      </c>
      <c r="O153">
        <v>74500</v>
      </c>
      <c r="P153">
        <v>500</v>
      </c>
      <c r="Q153">
        <v>10400</v>
      </c>
      <c r="R153">
        <v>200</v>
      </c>
    </row>
    <row r="154" spans="1:18" x14ac:dyDescent="0.2">
      <c r="A154" t="s">
        <v>21</v>
      </c>
      <c r="B154">
        <v>51</v>
      </c>
      <c r="C154">
        <v>150</v>
      </c>
      <c r="D154">
        <v>20</v>
      </c>
      <c r="E154">
        <v>97</v>
      </c>
      <c r="F154">
        <v>6</v>
      </c>
      <c r="G154">
        <v>0</v>
      </c>
      <c r="H154">
        <v>0</v>
      </c>
      <c r="I154">
        <v>3740</v>
      </c>
      <c r="J154">
        <v>10</v>
      </c>
      <c r="K154">
        <v>120</v>
      </c>
      <c r="L154">
        <v>80</v>
      </c>
      <c r="M154">
        <v>120</v>
      </c>
      <c r="N154">
        <v>20</v>
      </c>
      <c r="O154">
        <v>73700</v>
      </c>
      <c r="P154">
        <v>700</v>
      </c>
      <c r="Q154">
        <v>10000</v>
      </c>
      <c r="R154">
        <v>100</v>
      </c>
    </row>
    <row r="155" spans="1:18" x14ac:dyDescent="0.2">
      <c r="A155" t="s">
        <v>21</v>
      </c>
      <c r="B155">
        <v>52</v>
      </c>
      <c r="C155">
        <v>110</v>
      </c>
      <c r="D155">
        <v>10</v>
      </c>
      <c r="E155">
        <v>117</v>
      </c>
      <c r="F155">
        <v>3</v>
      </c>
      <c r="G155">
        <v>0</v>
      </c>
      <c r="H155">
        <v>0</v>
      </c>
      <c r="I155">
        <v>3900</v>
      </c>
      <c r="J155">
        <v>100</v>
      </c>
      <c r="K155">
        <v>60</v>
      </c>
      <c r="L155">
        <v>90</v>
      </c>
      <c r="M155">
        <v>120</v>
      </c>
      <c r="N155">
        <v>20</v>
      </c>
      <c r="O155">
        <v>74900</v>
      </c>
      <c r="P155">
        <v>200</v>
      </c>
      <c r="Q155">
        <v>10580</v>
      </c>
      <c r="R155">
        <v>60</v>
      </c>
    </row>
    <row r="156" spans="1:18" x14ac:dyDescent="0.2">
      <c r="A156" t="s">
        <v>21</v>
      </c>
      <c r="B156">
        <v>53</v>
      </c>
      <c r="C156">
        <v>121</v>
      </c>
      <c r="D156">
        <v>8</v>
      </c>
      <c r="E156">
        <v>90</v>
      </c>
      <c r="F156">
        <v>10</v>
      </c>
      <c r="G156">
        <v>0</v>
      </c>
      <c r="H156">
        <v>0</v>
      </c>
      <c r="I156">
        <v>3240</v>
      </c>
      <c r="J156">
        <v>20</v>
      </c>
      <c r="K156">
        <v>50</v>
      </c>
      <c r="L156">
        <v>60</v>
      </c>
      <c r="M156">
        <v>100</v>
      </c>
      <c r="N156">
        <v>200</v>
      </c>
      <c r="O156">
        <v>74460</v>
      </c>
      <c r="P156">
        <v>70</v>
      </c>
      <c r="Q156">
        <v>10400</v>
      </c>
      <c r="R156">
        <v>300</v>
      </c>
    </row>
    <row r="157" spans="1:18" x14ac:dyDescent="0.2">
      <c r="A157" t="s">
        <v>22</v>
      </c>
      <c r="B157">
        <v>572</v>
      </c>
      <c r="C157">
        <v>92</v>
      </c>
      <c r="D157">
        <v>5</v>
      </c>
      <c r="E157">
        <v>50</v>
      </c>
      <c r="F157">
        <v>30</v>
      </c>
      <c r="G157">
        <v>0</v>
      </c>
      <c r="H157">
        <v>0</v>
      </c>
      <c r="I157">
        <v>2060</v>
      </c>
      <c r="J157">
        <v>50</v>
      </c>
      <c r="K157">
        <v>50</v>
      </c>
      <c r="L157">
        <v>70</v>
      </c>
      <c r="M157">
        <v>40</v>
      </c>
      <c r="N157">
        <v>60</v>
      </c>
      <c r="O157">
        <v>64000</v>
      </c>
      <c r="P157">
        <v>200</v>
      </c>
      <c r="Q157">
        <v>9000</v>
      </c>
      <c r="R157">
        <v>200</v>
      </c>
    </row>
    <row r="158" spans="1:18" x14ac:dyDescent="0.2">
      <c r="A158" t="s">
        <v>22</v>
      </c>
      <c r="B158">
        <v>573</v>
      </c>
      <c r="C158">
        <v>110</v>
      </c>
      <c r="D158">
        <v>30</v>
      </c>
      <c r="E158">
        <v>46</v>
      </c>
      <c r="F158">
        <v>4</v>
      </c>
      <c r="G158">
        <v>0</v>
      </c>
      <c r="H158">
        <v>0</v>
      </c>
      <c r="I158">
        <v>2970</v>
      </c>
      <c r="J158">
        <v>80</v>
      </c>
      <c r="K158">
        <v>0</v>
      </c>
      <c r="L158">
        <v>0</v>
      </c>
      <c r="M158">
        <v>200</v>
      </c>
      <c r="N158">
        <v>300</v>
      </c>
      <c r="O158">
        <v>66500</v>
      </c>
      <c r="P158">
        <v>400</v>
      </c>
      <c r="Q158">
        <v>9500</v>
      </c>
      <c r="R158">
        <v>100</v>
      </c>
    </row>
    <row r="159" spans="1:18" x14ac:dyDescent="0.2">
      <c r="A159" t="s">
        <v>22</v>
      </c>
      <c r="B159">
        <v>574</v>
      </c>
      <c r="C159">
        <v>110</v>
      </c>
      <c r="D159">
        <v>20</v>
      </c>
      <c r="E159">
        <v>90</v>
      </c>
      <c r="F159">
        <v>10</v>
      </c>
      <c r="G159">
        <v>0</v>
      </c>
      <c r="H159">
        <v>0</v>
      </c>
      <c r="I159">
        <v>3168</v>
      </c>
      <c r="J159">
        <v>4</v>
      </c>
      <c r="K159">
        <v>40</v>
      </c>
      <c r="L159">
        <v>50</v>
      </c>
      <c r="M159">
        <v>140</v>
      </c>
      <c r="N159">
        <v>20</v>
      </c>
      <c r="O159">
        <v>67800</v>
      </c>
      <c r="P159">
        <v>500</v>
      </c>
      <c r="Q159">
        <v>9500</v>
      </c>
      <c r="R159">
        <v>200</v>
      </c>
    </row>
    <row r="160" spans="1:18" x14ac:dyDescent="0.2">
      <c r="A160" t="s">
        <v>22</v>
      </c>
      <c r="B160">
        <v>575</v>
      </c>
      <c r="C160">
        <v>88</v>
      </c>
      <c r="D160">
        <v>5</v>
      </c>
      <c r="E160">
        <v>60</v>
      </c>
      <c r="F160">
        <v>40</v>
      </c>
      <c r="G160">
        <v>0</v>
      </c>
      <c r="H160">
        <v>0</v>
      </c>
      <c r="I160">
        <v>2810</v>
      </c>
      <c r="J160">
        <v>40</v>
      </c>
      <c r="K160">
        <v>19</v>
      </c>
      <c r="L160">
        <v>1</v>
      </c>
      <c r="M160">
        <v>90</v>
      </c>
      <c r="N160">
        <v>100</v>
      </c>
      <c r="O160">
        <v>66100</v>
      </c>
      <c r="P160">
        <v>300</v>
      </c>
      <c r="Q160">
        <v>9200</v>
      </c>
      <c r="R160">
        <v>200</v>
      </c>
    </row>
    <row r="161" spans="1:18" x14ac:dyDescent="0.2">
      <c r="A161" t="s">
        <v>22</v>
      </c>
      <c r="B161">
        <v>576</v>
      </c>
      <c r="C161">
        <v>82</v>
      </c>
      <c r="D161">
        <v>6</v>
      </c>
      <c r="E161">
        <v>40</v>
      </c>
      <c r="F161">
        <v>20</v>
      </c>
      <c r="G161">
        <v>0</v>
      </c>
      <c r="H161">
        <v>0</v>
      </c>
      <c r="I161">
        <v>2080</v>
      </c>
      <c r="J161">
        <v>70</v>
      </c>
      <c r="K161">
        <v>50</v>
      </c>
      <c r="L161">
        <v>70</v>
      </c>
      <c r="M161">
        <v>60</v>
      </c>
      <c r="N161">
        <v>60</v>
      </c>
      <c r="O161">
        <v>67000</v>
      </c>
      <c r="P161">
        <v>500</v>
      </c>
      <c r="Q161">
        <v>9600</v>
      </c>
      <c r="R161">
        <v>200</v>
      </c>
    </row>
    <row r="162" spans="1:18" x14ac:dyDescent="0.2">
      <c r="A162" t="s">
        <v>22</v>
      </c>
      <c r="B162">
        <v>577</v>
      </c>
      <c r="C162">
        <v>90</v>
      </c>
      <c r="D162">
        <v>30</v>
      </c>
      <c r="E162">
        <v>46</v>
      </c>
      <c r="F162">
        <v>6</v>
      </c>
      <c r="G162">
        <v>8</v>
      </c>
      <c r="H162">
        <v>10</v>
      </c>
      <c r="I162">
        <v>2540</v>
      </c>
      <c r="J162">
        <v>70</v>
      </c>
      <c r="K162">
        <v>0</v>
      </c>
      <c r="L162">
        <v>0</v>
      </c>
      <c r="M162">
        <v>60</v>
      </c>
      <c r="N162">
        <v>80</v>
      </c>
      <c r="O162">
        <v>68000</v>
      </c>
      <c r="P162">
        <v>400</v>
      </c>
      <c r="Q162">
        <v>9440</v>
      </c>
      <c r="R162">
        <v>90</v>
      </c>
    </row>
    <row r="163" spans="1:18" x14ac:dyDescent="0.2">
      <c r="A163" t="s">
        <v>22</v>
      </c>
      <c r="B163">
        <v>578</v>
      </c>
      <c r="C163">
        <v>110</v>
      </c>
      <c r="D163">
        <v>20</v>
      </c>
      <c r="E163">
        <v>40</v>
      </c>
      <c r="F163">
        <v>5</v>
      </c>
      <c r="G163">
        <v>6</v>
      </c>
      <c r="H163">
        <v>8</v>
      </c>
      <c r="I163">
        <v>2490</v>
      </c>
      <c r="J163">
        <v>90</v>
      </c>
      <c r="K163">
        <v>0</v>
      </c>
      <c r="L163">
        <v>0</v>
      </c>
      <c r="M163">
        <v>50</v>
      </c>
      <c r="N163">
        <v>50</v>
      </c>
      <c r="O163">
        <v>69000</v>
      </c>
      <c r="P163">
        <v>100</v>
      </c>
      <c r="Q163">
        <v>9700</v>
      </c>
      <c r="R163">
        <v>100</v>
      </c>
    </row>
    <row r="164" spans="1:18" x14ac:dyDescent="0.2">
      <c r="A164" t="s">
        <v>22</v>
      </c>
      <c r="B164">
        <v>579</v>
      </c>
      <c r="C164">
        <v>84</v>
      </c>
      <c r="D164">
        <v>2</v>
      </c>
      <c r="E164">
        <v>60</v>
      </c>
      <c r="F164">
        <v>30</v>
      </c>
      <c r="G164">
        <v>4</v>
      </c>
      <c r="H164">
        <v>5</v>
      </c>
      <c r="I164">
        <v>2618</v>
      </c>
      <c r="J164">
        <v>6</v>
      </c>
      <c r="K164">
        <v>120</v>
      </c>
      <c r="L164">
        <v>50</v>
      </c>
      <c r="M164">
        <v>60</v>
      </c>
      <c r="N164">
        <v>80</v>
      </c>
      <c r="O164">
        <v>70000</v>
      </c>
      <c r="P164">
        <v>500</v>
      </c>
      <c r="Q164">
        <v>9900</v>
      </c>
      <c r="R164">
        <v>200</v>
      </c>
    </row>
    <row r="165" spans="1:18" x14ac:dyDescent="0.2">
      <c r="A165" t="s">
        <v>22</v>
      </c>
      <c r="B165">
        <v>580</v>
      </c>
      <c r="C165">
        <v>100</v>
      </c>
      <c r="D165">
        <v>5</v>
      </c>
      <c r="E165">
        <v>61</v>
      </c>
      <c r="F165">
        <v>1</v>
      </c>
      <c r="G165">
        <v>0</v>
      </c>
      <c r="H165">
        <v>0</v>
      </c>
      <c r="I165">
        <v>2690</v>
      </c>
      <c r="J165">
        <v>50</v>
      </c>
      <c r="K165">
        <v>140</v>
      </c>
      <c r="L165">
        <v>20</v>
      </c>
      <c r="M165">
        <v>0</v>
      </c>
      <c r="N165">
        <v>0</v>
      </c>
      <c r="O165">
        <v>70300</v>
      </c>
      <c r="P165">
        <v>200</v>
      </c>
      <c r="Q165">
        <v>9600</v>
      </c>
      <c r="R165">
        <v>300</v>
      </c>
    </row>
    <row r="166" spans="1:18" x14ac:dyDescent="0.2">
      <c r="A166" t="s">
        <v>22</v>
      </c>
      <c r="B166">
        <v>581</v>
      </c>
      <c r="C166">
        <v>90</v>
      </c>
      <c r="D166">
        <v>10</v>
      </c>
      <c r="E166">
        <v>62</v>
      </c>
      <c r="F166">
        <v>1</v>
      </c>
      <c r="G166">
        <v>0</v>
      </c>
      <c r="H166">
        <v>0</v>
      </c>
      <c r="I166">
        <v>2970</v>
      </c>
      <c r="J166">
        <v>70</v>
      </c>
      <c r="K166">
        <v>90</v>
      </c>
      <c r="L166">
        <v>100</v>
      </c>
      <c r="M166">
        <v>8</v>
      </c>
      <c r="N166">
        <v>10</v>
      </c>
      <c r="O166">
        <v>70800</v>
      </c>
      <c r="P166">
        <v>400</v>
      </c>
      <c r="Q166">
        <v>10000</v>
      </c>
      <c r="R166">
        <v>500</v>
      </c>
    </row>
    <row r="167" spans="1:18" x14ac:dyDescent="0.2">
      <c r="A167" t="s">
        <v>22</v>
      </c>
      <c r="B167">
        <v>582</v>
      </c>
      <c r="C167">
        <v>90</v>
      </c>
      <c r="D167">
        <v>20</v>
      </c>
      <c r="E167">
        <v>60</v>
      </c>
      <c r="F167">
        <v>10</v>
      </c>
      <c r="G167">
        <v>0</v>
      </c>
      <c r="H167">
        <v>0</v>
      </c>
      <c r="I167">
        <v>3240</v>
      </c>
      <c r="J167">
        <v>60</v>
      </c>
      <c r="K167">
        <v>90</v>
      </c>
      <c r="L167">
        <v>50</v>
      </c>
      <c r="M167">
        <v>7</v>
      </c>
      <c r="N167">
        <v>10</v>
      </c>
      <c r="O167">
        <v>70700</v>
      </c>
      <c r="P167">
        <v>200</v>
      </c>
      <c r="Q167">
        <v>10100</v>
      </c>
      <c r="R167">
        <v>200</v>
      </c>
    </row>
    <row r="168" spans="1:18" x14ac:dyDescent="0.2">
      <c r="A168" t="s">
        <v>22</v>
      </c>
      <c r="B168">
        <v>583</v>
      </c>
      <c r="C168">
        <v>130</v>
      </c>
      <c r="D168">
        <v>40</v>
      </c>
      <c r="E168">
        <v>72</v>
      </c>
      <c r="F168">
        <v>6</v>
      </c>
      <c r="G168">
        <v>0</v>
      </c>
      <c r="H168">
        <v>0</v>
      </c>
      <c r="I168">
        <v>3330</v>
      </c>
      <c r="J168">
        <v>80</v>
      </c>
      <c r="K168">
        <v>200</v>
      </c>
      <c r="L168">
        <v>200</v>
      </c>
      <c r="M168">
        <v>30</v>
      </c>
      <c r="N168">
        <v>30</v>
      </c>
      <c r="O168">
        <v>72500</v>
      </c>
      <c r="P168">
        <v>600</v>
      </c>
      <c r="Q168">
        <v>10200</v>
      </c>
      <c r="R168">
        <v>100</v>
      </c>
    </row>
    <row r="169" spans="1:18" x14ac:dyDescent="0.2">
      <c r="A169" t="s">
        <v>22</v>
      </c>
      <c r="B169">
        <v>584</v>
      </c>
      <c r="C169">
        <v>130</v>
      </c>
      <c r="D169">
        <v>20</v>
      </c>
      <c r="E169">
        <v>80</v>
      </c>
      <c r="F169">
        <v>20</v>
      </c>
      <c r="G169">
        <v>0</v>
      </c>
      <c r="H169">
        <v>0</v>
      </c>
      <c r="I169">
        <v>3100</v>
      </c>
      <c r="J169">
        <v>100</v>
      </c>
      <c r="K169">
        <v>150</v>
      </c>
      <c r="L169">
        <v>10</v>
      </c>
      <c r="M169">
        <v>40</v>
      </c>
      <c r="N169">
        <v>60</v>
      </c>
      <c r="O169">
        <v>72910</v>
      </c>
      <c r="P169">
        <v>90</v>
      </c>
      <c r="Q169">
        <v>10100</v>
      </c>
      <c r="R169">
        <v>70</v>
      </c>
    </row>
    <row r="170" spans="1:18" x14ac:dyDescent="0.2">
      <c r="A170" t="s">
        <v>22</v>
      </c>
      <c r="B170">
        <v>585</v>
      </c>
      <c r="C170">
        <v>106</v>
      </c>
      <c r="D170">
        <v>8</v>
      </c>
      <c r="E170">
        <v>90</v>
      </c>
      <c r="F170">
        <v>30</v>
      </c>
      <c r="G170">
        <v>0</v>
      </c>
      <c r="H170">
        <v>0</v>
      </c>
      <c r="I170">
        <v>3600</v>
      </c>
      <c r="J170">
        <v>100</v>
      </c>
      <c r="K170">
        <v>0</v>
      </c>
      <c r="L170">
        <v>0</v>
      </c>
      <c r="M170">
        <v>70</v>
      </c>
      <c r="N170">
        <v>100</v>
      </c>
      <c r="O170">
        <v>73100</v>
      </c>
      <c r="P170">
        <v>400</v>
      </c>
      <c r="Q170">
        <v>10400</v>
      </c>
      <c r="R170">
        <v>100</v>
      </c>
    </row>
    <row r="171" spans="1:18" x14ac:dyDescent="0.2">
      <c r="A171" t="s">
        <v>22</v>
      </c>
      <c r="B171">
        <v>586</v>
      </c>
      <c r="C171">
        <v>114</v>
      </c>
      <c r="D171">
        <v>2</v>
      </c>
      <c r="E171">
        <v>52</v>
      </c>
      <c r="F171">
        <v>8</v>
      </c>
      <c r="G171">
        <v>0</v>
      </c>
      <c r="H171">
        <v>0</v>
      </c>
      <c r="I171">
        <v>3300</v>
      </c>
      <c r="J171">
        <v>70</v>
      </c>
      <c r="K171">
        <v>50</v>
      </c>
      <c r="L171">
        <v>70</v>
      </c>
      <c r="M171">
        <v>0</v>
      </c>
      <c r="N171">
        <v>0</v>
      </c>
      <c r="O171">
        <v>73100</v>
      </c>
      <c r="P171">
        <v>800</v>
      </c>
      <c r="Q171">
        <v>10200</v>
      </c>
      <c r="R171">
        <v>200</v>
      </c>
    </row>
    <row r="172" spans="1:18" x14ac:dyDescent="0.2">
      <c r="A172" t="s">
        <v>22</v>
      </c>
      <c r="B172">
        <v>587</v>
      </c>
      <c r="C172">
        <v>132</v>
      </c>
      <c r="D172">
        <v>4</v>
      </c>
      <c r="E172">
        <v>70</v>
      </c>
      <c r="F172">
        <v>30</v>
      </c>
      <c r="G172">
        <v>20</v>
      </c>
      <c r="H172">
        <v>20</v>
      </c>
      <c r="I172">
        <v>3050</v>
      </c>
      <c r="J172">
        <v>6</v>
      </c>
      <c r="K172">
        <v>100</v>
      </c>
      <c r="L172">
        <v>100</v>
      </c>
      <c r="M172">
        <v>10</v>
      </c>
      <c r="N172">
        <v>10</v>
      </c>
      <c r="O172">
        <v>72900</v>
      </c>
      <c r="P172">
        <v>200</v>
      </c>
      <c r="Q172">
        <v>10070</v>
      </c>
      <c r="R172">
        <v>70</v>
      </c>
    </row>
    <row r="173" spans="1:18" x14ac:dyDescent="0.2">
      <c r="A173" t="s">
        <v>22</v>
      </c>
      <c r="B173">
        <v>588</v>
      </c>
      <c r="C173">
        <v>80</v>
      </c>
      <c r="D173">
        <v>10</v>
      </c>
      <c r="E173">
        <v>60</v>
      </c>
      <c r="F173">
        <v>10</v>
      </c>
      <c r="G173">
        <v>0</v>
      </c>
      <c r="H173">
        <v>0</v>
      </c>
      <c r="I173">
        <v>2996</v>
      </c>
      <c r="J173">
        <v>6</v>
      </c>
      <c r="K173">
        <v>0</v>
      </c>
      <c r="L173">
        <v>0</v>
      </c>
      <c r="M173">
        <v>0</v>
      </c>
      <c r="N173">
        <v>0</v>
      </c>
      <c r="O173">
        <v>73500</v>
      </c>
      <c r="P173">
        <v>400</v>
      </c>
      <c r="Q173">
        <v>10450</v>
      </c>
      <c r="R173">
        <v>40</v>
      </c>
    </row>
    <row r="174" spans="1:18" x14ac:dyDescent="0.2">
      <c r="A174" t="s">
        <v>22</v>
      </c>
      <c r="B174">
        <v>589</v>
      </c>
      <c r="C174">
        <v>90</v>
      </c>
      <c r="D174">
        <v>5</v>
      </c>
      <c r="E174">
        <v>80</v>
      </c>
      <c r="F174">
        <v>10</v>
      </c>
      <c r="G174">
        <v>0</v>
      </c>
      <c r="H174">
        <v>0</v>
      </c>
      <c r="I174">
        <v>3270</v>
      </c>
      <c r="J174">
        <v>70</v>
      </c>
      <c r="K174">
        <v>60</v>
      </c>
      <c r="L174">
        <v>80</v>
      </c>
      <c r="M174">
        <v>100</v>
      </c>
      <c r="N174">
        <v>5</v>
      </c>
      <c r="O174">
        <v>72400</v>
      </c>
      <c r="P174">
        <v>600</v>
      </c>
      <c r="Q174">
        <v>10100</v>
      </c>
      <c r="R174">
        <v>600</v>
      </c>
    </row>
    <row r="175" spans="1:18" x14ac:dyDescent="0.2">
      <c r="A175" t="s">
        <v>22</v>
      </c>
      <c r="B175">
        <v>590</v>
      </c>
      <c r="C175">
        <v>120</v>
      </c>
      <c r="D175">
        <v>20</v>
      </c>
      <c r="E175">
        <v>80</v>
      </c>
      <c r="F175">
        <v>40</v>
      </c>
      <c r="G175">
        <v>0</v>
      </c>
      <c r="H175">
        <v>0</v>
      </c>
      <c r="I175">
        <v>3250</v>
      </c>
      <c r="J175">
        <v>80</v>
      </c>
      <c r="K175">
        <v>4</v>
      </c>
      <c r="L175">
        <v>6</v>
      </c>
      <c r="M175">
        <v>0</v>
      </c>
      <c r="N175">
        <v>0</v>
      </c>
      <c r="O175">
        <v>73300</v>
      </c>
      <c r="P175">
        <v>400</v>
      </c>
      <c r="Q175">
        <v>10200</v>
      </c>
      <c r="R175">
        <v>200</v>
      </c>
    </row>
    <row r="176" spans="1:18" x14ac:dyDescent="0.2">
      <c r="A176" t="s">
        <v>22</v>
      </c>
      <c r="B176">
        <v>591</v>
      </c>
      <c r="C176">
        <v>130</v>
      </c>
      <c r="D176">
        <v>20</v>
      </c>
      <c r="E176">
        <v>70</v>
      </c>
      <c r="F176">
        <v>30</v>
      </c>
      <c r="G176">
        <v>0</v>
      </c>
      <c r="H176">
        <v>0</v>
      </c>
      <c r="I176">
        <v>3312</v>
      </c>
      <c r="J176">
        <v>8</v>
      </c>
      <c r="K176">
        <v>80</v>
      </c>
      <c r="L176">
        <v>30</v>
      </c>
      <c r="M176">
        <v>0</v>
      </c>
      <c r="N176">
        <v>0</v>
      </c>
      <c r="O176">
        <v>73490</v>
      </c>
      <c r="P176">
        <v>70</v>
      </c>
      <c r="Q176">
        <v>10110</v>
      </c>
      <c r="R176">
        <v>30</v>
      </c>
    </row>
    <row r="177" spans="1:18" x14ac:dyDescent="0.2">
      <c r="A177" t="s">
        <v>22</v>
      </c>
      <c r="B177">
        <v>592</v>
      </c>
      <c r="C177">
        <v>120</v>
      </c>
      <c r="D177">
        <v>20</v>
      </c>
      <c r="E177">
        <v>69</v>
      </c>
      <c r="F177">
        <v>8</v>
      </c>
      <c r="G177">
        <v>0</v>
      </c>
      <c r="H177">
        <v>0</v>
      </c>
      <c r="I177">
        <v>3350</v>
      </c>
      <c r="J177">
        <v>40</v>
      </c>
      <c r="K177">
        <v>100</v>
      </c>
      <c r="L177">
        <v>30</v>
      </c>
      <c r="M177">
        <v>100</v>
      </c>
      <c r="N177">
        <v>200</v>
      </c>
      <c r="O177">
        <v>72200</v>
      </c>
      <c r="P177">
        <v>300</v>
      </c>
      <c r="Q177">
        <v>10200</v>
      </c>
      <c r="R177">
        <v>200</v>
      </c>
    </row>
    <row r="178" spans="1:18" x14ac:dyDescent="0.2">
      <c r="A178" t="s">
        <v>22</v>
      </c>
      <c r="B178">
        <v>593</v>
      </c>
      <c r="C178">
        <v>110</v>
      </c>
      <c r="D178">
        <v>40</v>
      </c>
      <c r="E178">
        <v>60</v>
      </c>
      <c r="F178">
        <v>6</v>
      </c>
      <c r="G178">
        <v>0</v>
      </c>
      <c r="H178">
        <v>0</v>
      </c>
      <c r="I178">
        <v>2940</v>
      </c>
      <c r="J178">
        <v>70</v>
      </c>
      <c r="K178">
        <v>40</v>
      </c>
      <c r="L178">
        <v>50</v>
      </c>
      <c r="M178">
        <v>20</v>
      </c>
      <c r="N178">
        <v>30</v>
      </c>
      <c r="O178">
        <v>72700</v>
      </c>
      <c r="P178">
        <v>700</v>
      </c>
      <c r="Q178">
        <v>10144</v>
      </c>
      <c r="R178">
        <v>4</v>
      </c>
    </row>
    <row r="179" spans="1:18" x14ac:dyDescent="0.2">
      <c r="A179" t="s">
        <v>22</v>
      </c>
      <c r="B179">
        <v>594</v>
      </c>
      <c r="C179">
        <v>94</v>
      </c>
      <c r="D179">
        <v>6</v>
      </c>
      <c r="E179">
        <v>42</v>
      </c>
      <c r="F179">
        <v>2</v>
      </c>
      <c r="G179">
        <v>8</v>
      </c>
      <c r="H179">
        <v>10</v>
      </c>
      <c r="I179">
        <v>2830</v>
      </c>
      <c r="J179">
        <v>40</v>
      </c>
      <c r="K179">
        <v>30</v>
      </c>
      <c r="L179">
        <v>30</v>
      </c>
      <c r="M179">
        <v>6</v>
      </c>
      <c r="N179">
        <v>8</v>
      </c>
      <c r="O179">
        <v>74300</v>
      </c>
      <c r="P179">
        <v>200</v>
      </c>
      <c r="Q179">
        <v>10300</v>
      </c>
      <c r="R179">
        <v>200</v>
      </c>
    </row>
    <row r="180" spans="1:18" x14ac:dyDescent="0.2">
      <c r="A180" t="s">
        <v>22</v>
      </c>
      <c r="B180">
        <v>595</v>
      </c>
      <c r="C180">
        <v>112</v>
      </c>
      <c r="D180">
        <v>1</v>
      </c>
      <c r="E180">
        <v>70</v>
      </c>
      <c r="F180">
        <v>20</v>
      </c>
      <c r="G180">
        <v>0</v>
      </c>
      <c r="H180">
        <v>0</v>
      </c>
      <c r="I180">
        <v>3920</v>
      </c>
      <c r="J180">
        <v>50</v>
      </c>
      <c r="K180">
        <v>70</v>
      </c>
      <c r="L180">
        <v>80</v>
      </c>
      <c r="M180">
        <v>70</v>
      </c>
      <c r="N180">
        <v>90</v>
      </c>
      <c r="O180">
        <v>73200</v>
      </c>
      <c r="P180">
        <v>400</v>
      </c>
      <c r="Q180">
        <v>10200</v>
      </c>
      <c r="R180">
        <v>200</v>
      </c>
    </row>
    <row r="181" spans="1:18" x14ac:dyDescent="0.2">
      <c r="A181" t="s">
        <v>22</v>
      </c>
      <c r="B181">
        <v>596</v>
      </c>
      <c r="C181">
        <v>130</v>
      </c>
      <c r="D181">
        <v>10</v>
      </c>
      <c r="E181">
        <v>58</v>
      </c>
      <c r="F181">
        <v>7</v>
      </c>
      <c r="G181">
        <v>0</v>
      </c>
      <c r="H181">
        <v>0</v>
      </c>
      <c r="I181">
        <v>3520</v>
      </c>
      <c r="J181">
        <v>50</v>
      </c>
      <c r="K181">
        <v>90</v>
      </c>
      <c r="L181">
        <v>50</v>
      </c>
      <c r="M181">
        <v>10</v>
      </c>
      <c r="N181">
        <v>20</v>
      </c>
      <c r="O181">
        <v>73600</v>
      </c>
      <c r="P181">
        <v>300</v>
      </c>
      <c r="Q181">
        <v>10100</v>
      </c>
      <c r="R181">
        <v>200</v>
      </c>
    </row>
    <row r="182" spans="1:18" x14ac:dyDescent="0.2">
      <c r="A182" t="s">
        <v>22</v>
      </c>
      <c r="B182">
        <v>597</v>
      </c>
      <c r="C182">
        <v>120</v>
      </c>
      <c r="D182">
        <v>1</v>
      </c>
      <c r="E182">
        <v>60</v>
      </c>
      <c r="F182">
        <v>20</v>
      </c>
      <c r="G182">
        <v>0</v>
      </c>
      <c r="H182">
        <v>0</v>
      </c>
      <c r="I182">
        <v>3634</v>
      </c>
      <c r="J182">
        <v>4</v>
      </c>
      <c r="K182">
        <v>70</v>
      </c>
      <c r="L182">
        <v>30</v>
      </c>
      <c r="M182">
        <v>30</v>
      </c>
      <c r="N182">
        <v>40</v>
      </c>
      <c r="O182">
        <v>74000</v>
      </c>
      <c r="P182">
        <v>300</v>
      </c>
      <c r="Q182">
        <v>10200</v>
      </c>
      <c r="R182">
        <v>50</v>
      </c>
    </row>
    <row r="183" spans="1:18" x14ac:dyDescent="0.2">
      <c r="A183" t="s">
        <v>22</v>
      </c>
      <c r="B183">
        <v>598</v>
      </c>
      <c r="C183">
        <v>110</v>
      </c>
      <c r="D183">
        <v>20</v>
      </c>
      <c r="E183">
        <v>60</v>
      </c>
      <c r="F183">
        <v>10</v>
      </c>
      <c r="G183">
        <v>2</v>
      </c>
      <c r="H183">
        <v>4</v>
      </c>
      <c r="I183">
        <v>3720</v>
      </c>
      <c r="J183">
        <v>70</v>
      </c>
      <c r="K183">
        <v>70</v>
      </c>
      <c r="L183">
        <v>20</v>
      </c>
      <c r="M183">
        <v>8</v>
      </c>
      <c r="N183">
        <v>10</v>
      </c>
      <c r="O183">
        <v>74300</v>
      </c>
      <c r="P183">
        <v>400</v>
      </c>
      <c r="Q183">
        <v>10300</v>
      </c>
      <c r="R183">
        <v>60</v>
      </c>
    </row>
    <row r="184" spans="1:18" x14ac:dyDescent="0.2">
      <c r="A184" t="s">
        <v>22</v>
      </c>
      <c r="B184">
        <v>599</v>
      </c>
      <c r="C184">
        <v>100</v>
      </c>
      <c r="D184">
        <v>40</v>
      </c>
      <c r="E184">
        <v>56</v>
      </c>
      <c r="F184">
        <v>4</v>
      </c>
      <c r="G184">
        <v>0</v>
      </c>
      <c r="H184">
        <v>0</v>
      </c>
      <c r="I184">
        <v>3570</v>
      </c>
      <c r="J184">
        <v>10</v>
      </c>
      <c r="K184">
        <v>30</v>
      </c>
      <c r="L184">
        <v>40</v>
      </c>
      <c r="M184">
        <v>50</v>
      </c>
      <c r="N184">
        <v>70</v>
      </c>
      <c r="O184">
        <v>74100</v>
      </c>
      <c r="P184">
        <v>200</v>
      </c>
      <c r="Q184">
        <v>10200</v>
      </c>
      <c r="R184">
        <v>300</v>
      </c>
    </row>
    <row r="185" spans="1:18" x14ac:dyDescent="0.2">
      <c r="A185" t="s">
        <v>22</v>
      </c>
      <c r="B185">
        <v>600</v>
      </c>
      <c r="C185">
        <v>90</v>
      </c>
      <c r="D185">
        <v>40</v>
      </c>
      <c r="E185">
        <v>70</v>
      </c>
      <c r="F185">
        <v>9</v>
      </c>
      <c r="G185">
        <v>0</v>
      </c>
      <c r="H185">
        <v>0</v>
      </c>
      <c r="I185">
        <v>3170</v>
      </c>
      <c r="J185">
        <v>70</v>
      </c>
      <c r="K185">
        <v>40</v>
      </c>
      <c r="L185">
        <v>50</v>
      </c>
      <c r="M185">
        <v>0</v>
      </c>
      <c r="N185">
        <v>0</v>
      </c>
      <c r="O185">
        <v>72740</v>
      </c>
      <c r="P185">
        <v>60</v>
      </c>
      <c r="Q185">
        <v>10000</v>
      </c>
      <c r="R185">
        <v>200</v>
      </c>
    </row>
    <row r="186" spans="1:18" x14ac:dyDescent="0.2">
      <c r="A186" t="s">
        <v>22</v>
      </c>
      <c r="B186">
        <v>601</v>
      </c>
      <c r="C186">
        <v>120</v>
      </c>
      <c r="D186">
        <v>20</v>
      </c>
      <c r="E186">
        <v>60</v>
      </c>
      <c r="F186">
        <v>10</v>
      </c>
      <c r="G186">
        <v>0</v>
      </c>
      <c r="H186">
        <v>0</v>
      </c>
      <c r="I186">
        <v>3470</v>
      </c>
      <c r="J186">
        <v>40</v>
      </c>
      <c r="K186">
        <v>30</v>
      </c>
      <c r="L186">
        <v>50</v>
      </c>
      <c r="M186">
        <v>30</v>
      </c>
      <c r="N186">
        <v>50</v>
      </c>
      <c r="O186">
        <v>72600</v>
      </c>
      <c r="P186">
        <v>100</v>
      </c>
      <c r="Q186">
        <v>9960</v>
      </c>
      <c r="R186">
        <v>6</v>
      </c>
    </row>
    <row r="187" spans="1:18" x14ac:dyDescent="0.2">
      <c r="A187" t="s">
        <v>22</v>
      </c>
      <c r="B187">
        <v>602</v>
      </c>
      <c r="C187">
        <v>77.5</v>
      </c>
      <c r="D187">
        <v>7</v>
      </c>
      <c r="E187">
        <v>53</v>
      </c>
      <c r="F187">
        <v>7</v>
      </c>
      <c r="G187">
        <v>0</v>
      </c>
      <c r="H187">
        <v>0</v>
      </c>
      <c r="I187">
        <v>2982</v>
      </c>
      <c r="J187">
        <v>8</v>
      </c>
      <c r="K187">
        <v>140</v>
      </c>
      <c r="L187">
        <v>90</v>
      </c>
      <c r="M187">
        <v>90</v>
      </c>
      <c r="N187">
        <v>70</v>
      </c>
      <c r="O187">
        <v>72500</v>
      </c>
      <c r="P187">
        <v>100</v>
      </c>
      <c r="Q187">
        <v>10300</v>
      </c>
      <c r="R187">
        <v>300</v>
      </c>
    </row>
    <row r="188" spans="1:18" x14ac:dyDescent="0.2">
      <c r="A188" t="s">
        <v>22</v>
      </c>
      <c r="B188">
        <v>603</v>
      </c>
      <c r="C188">
        <v>80</v>
      </c>
      <c r="D188">
        <v>20</v>
      </c>
      <c r="E188">
        <v>50</v>
      </c>
      <c r="F188">
        <v>9</v>
      </c>
      <c r="G188">
        <v>0</v>
      </c>
      <c r="H188">
        <v>0</v>
      </c>
      <c r="I188">
        <v>2930</v>
      </c>
      <c r="J188">
        <v>60</v>
      </c>
      <c r="K188">
        <v>50</v>
      </c>
      <c r="L188">
        <v>60</v>
      </c>
      <c r="M188">
        <v>100</v>
      </c>
      <c r="N188">
        <v>200</v>
      </c>
      <c r="O188">
        <v>73800</v>
      </c>
      <c r="P188">
        <v>500</v>
      </c>
      <c r="Q188">
        <v>10400</v>
      </c>
      <c r="R188">
        <v>300</v>
      </c>
    </row>
    <row r="189" spans="1:18" x14ac:dyDescent="0.2">
      <c r="A189" t="s">
        <v>22</v>
      </c>
      <c r="B189">
        <v>604</v>
      </c>
      <c r="C189">
        <v>120</v>
      </c>
      <c r="D189">
        <v>20</v>
      </c>
      <c r="E189">
        <v>20</v>
      </c>
      <c r="F189">
        <v>10</v>
      </c>
      <c r="G189">
        <v>0</v>
      </c>
      <c r="H189">
        <v>0</v>
      </c>
      <c r="I189">
        <v>3280</v>
      </c>
      <c r="J189">
        <v>30</v>
      </c>
      <c r="K189">
        <v>100</v>
      </c>
      <c r="L189">
        <v>100</v>
      </c>
      <c r="M189">
        <v>120</v>
      </c>
      <c r="N189">
        <v>30</v>
      </c>
      <c r="O189">
        <v>73800</v>
      </c>
      <c r="P189">
        <v>400</v>
      </c>
      <c r="Q189">
        <v>10398</v>
      </c>
      <c r="R189">
        <v>5</v>
      </c>
    </row>
    <row r="190" spans="1:18" x14ac:dyDescent="0.2">
      <c r="A190" t="s">
        <v>22</v>
      </c>
      <c r="B190">
        <v>605</v>
      </c>
      <c r="C190">
        <v>94.5</v>
      </c>
      <c r="D190">
        <v>7</v>
      </c>
      <c r="E190">
        <v>34</v>
      </c>
      <c r="F190">
        <v>8</v>
      </c>
      <c r="G190">
        <v>0</v>
      </c>
      <c r="H190">
        <v>0</v>
      </c>
      <c r="I190">
        <v>3330</v>
      </c>
      <c r="J190">
        <v>40</v>
      </c>
      <c r="K190">
        <v>40</v>
      </c>
      <c r="L190">
        <v>40</v>
      </c>
      <c r="M190">
        <v>130</v>
      </c>
      <c r="N190">
        <v>90</v>
      </c>
      <c r="O190">
        <v>73600</v>
      </c>
      <c r="P190">
        <v>200</v>
      </c>
      <c r="Q190">
        <v>10400</v>
      </c>
      <c r="R190">
        <v>100</v>
      </c>
    </row>
    <row r="191" spans="1:18" x14ac:dyDescent="0.2">
      <c r="A191" t="s">
        <v>22</v>
      </c>
      <c r="B191">
        <v>606</v>
      </c>
      <c r="C191">
        <v>103</v>
      </c>
      <c r="D191">
        <v>8</v>
      </c>
      <c r="E191">
        <v>52</v>
      </c>
      <c r="F191">
        <v>4</v>
      </c>
      <c r="G191">
        <v>0</v>
      </c>
      <c r="H191">
        <v>0</v>
      </c>
      <c r="I191">
        <v>3300</v>
      </c>
      <c r="J191">
        <v>100</v>
      </c>
      <c r="K191">
        <v>8</v>
      </c>
      <c r="L191">
        <v>10</v>
      </c>
      <c r="M191">
        <v>100</v>
      </c>
      <c r="N191">
        <v>200</v>
      </c>
      <c r="O191">
        <v>74380</v>
      </c>
      <c r="P191">
        <v>50</v>
      </c>
      <c r="Q191">
        <v>10580</v>
      </c>
      <c r="R191">
        <v>70</v>
      </c>
    </row>
    <row r="192" spans="1:18" x14ac:dyDescent="0.2">
      <c r="A192" t="s">
        <v>22</v>
      </c>
      <c r="B192">
        <v>607</v>
      </c>
      <c r="C192">
        <v>120</v>
      </c>
      <c r="D192">
        <v>10</v>
      </c>
      <c r="E192">
        <v>40</v>
      </c>
      <c r="F192">
        <v>20</v>
      </c>
      <c r="G192">
        <v>4</v>
      </c>
      <c r="H192">
        <v>5</v>
      </c>
      <c r="I192">
        <v>2960</v>
      </c>
      <c r="J192">
        <v>30</v>
      </c>
      <c r="K192">
        <v>5</v>
      </c>
      <c r="L192">
        <v>7</v>
      </c>
      <c r="M192">
        <v>130</v>
      </c>
      <c r="N192">
        <v>30</v>
      </c>
      <c r="O192">
        <v>74000</v>
      </c>
      <c r="P192">
        <v>200</v>
      </c>
      <c r="Q192">
        <v>10300</v>
      </c>
      <c r="R192">
        <v>300</v>
      </c>
    </row>
    <row r="193" spans="1:18" x14ac:dyDescent="0.2">
      <c r="A193" t="s">
        <v>22</v>
      </c>
      <c r="B193">
        <v>608</v>
      </c>
      <c r="C193">
        <v>127</v>
      </c>
      <c r="D193">
        <v>3</v>
      </c>
      <c r="E193">
        <v>49</v>
      </c>
      <c r="F193">
        <v>8</v>
      </c>
      <c r="G193">
        <v>0</v>
      </c>
      <c r="H193">
        <v>0</v>
      </c>
      <c r="I193">
        <v>2740</v>
      </c>
      <c r="J193">
        <v>40</v>
      </c>
      <c r="K193">
        <v>0</v>
      </c>
      <c r="L193">
        <v>0</v>
      </c>
      <c r="M193">
        <v>90</v>
      </c>
      <c r="N193">
        <v>70</v>
      </c>
      <c r="O193">
        <v>74100</v>
      </c>
      <c r="P193">
        <v>900</v>
      </c>
      <c r="Q193">
        <v>10330</v>
      </c>
      <c r="R193">
        <v>80</v>
      </c>
    </row>
    <row r="194" spans="1:18" x14ac:dyDescent="0.2">
      <c r="A194" t="s">
        <v>22</v>
      </c>
      <c r="B194">
        <v>609</v>
      </c>
      <c r="C194">
        <v>80</v>
      </c>
      <c r="D194">
        <v>20</v>
      </c>
      <c r="E194">
        <v>31</v>
      </c>
      <c r="F194">
        <v>0</v>
      </c>
      <c r="G194">
        <v>0</v>
      </c>
      <c r="H194">
        <v>0</v>
      </c>
      <c r="I194">
        <v>2940</v>
      </c>
      <c r="J194">
        <v>20</v>
      </c>
      <c r="K194">
        <v>50</v>
      </c>
      <c r="L194">
        <v>70</v>
      </c>
      <c r="M194">
        <v>40</v>
      </c>
      <c r="N194">
        <v>20</v>
      </c>
      <c r="O194">
        <v>73600</v>
      </c>
      <c r="P194">
        <v>200</v>
      </c>
      <c r="Q194">
        <v>10400</v>
      </c>
      <c r="R194">
        <v>100</v>
      </c>
    </row>
    <row r="195" spans="1:18" x14ac:dyDescent="0.2">
      <c r="A195" t="s">
        <v>22</v>
      </c>
      <c r="B195">
        <v>610</v>
      </c>
      <c r="C195">
        <v>120</v>
      </c>
      <c r="D195">
        <v>10</v>
      </c>
      <c r="E195">
        <v>43.5</v>
      </c>
      <c r="F195">
        <v>7</v>
      </c>
      <c r="G195">
        <v>0</v>
      </c>
      <c r="H195">
        <v>0</v>
      </c>
      <c r="I195">
        <v>3440</v>
      </c>
      <c r="J195">
        <v>30</v>
      </c>
      <c r="K195">
        <v>0</v>
      </c>
      <c r="L195">
        <v>0</v>
      </c>
      <c r="M195">
        <v>200</v>
      </c>
      <c r="N195">
        <v>100</v>
      </c>
      <c r="O195">
        <v>74000</v>
      </c>
      <c r="P195">
        <v>800</v>
      </c>
      <c r="Q195">
        <v>10500</v>
      </c>
      <c r="R195">
        <v>300</v>
      </c>
    </row>
    <row r="196" spans="1:18" x14ac:dyDescent="0.2">
      <c r="A196" t="s">
        <v>22</v>
      </c>
      <c r="B196">
        <v>611</v>
      </c>
      <c r="C196">
        <v>110.5</v>
      </c>
      <c r="D196">
        <v>7</v>
      </c>
      <c r="E196">
        <v>60</v>
      </c>
      <c r="F196">
        <v>20</v>
      </c>
      <c r="G196">
        <v>10</v>
      </c>
      <c r="H196">
        <v>10</v>
      </c>
      <c r="I196">
        <v>3200</v>
      </c>
      <c r="J196">
        <v>20</v>
      </c>
      <c r="K196">
        <v>70</v>
      </c>
      <c r="L196">
        <v>60</v>
      </c>
      <c r="M196">
        <v>100</v>
      </c>
      <c r="N196">
        <v>100</v>
      </c>
      <c r="O196">
        <v>74100</v>
      </c>
      <c r="P196">
        <v>400</v>
      </c>
      <c r="Q196">
        <v>10200</v>
      </c>
      <c r="R196">
        <v>400</v>
      </c>
    </row>
    <row r="197" spans="1:18" x14ac:dyDescent="0.2">
      <c r="A197" t="s">
        <v>22</v>
      </c>
      <c r="B197">
        <v>612</v>
      </c>
      <c r="C197">
        <v>120</v>
      </c>
      <c r="D197">
        <v>20</v>
      </c>
      <c r="E197">
        <v>70</v>
      </c>
      <c r="F197">
        <v>20</v>
      </c>
      <c r="G197">
        <v>0</v>
      </c>
      <c r="H197">
        <v>0</v>
      </c>
      <c r="I197">
        <v>3600</v>
      </c>
      <c r="J197">
        <v>100</v>
      </c>
      <c r="K197">
        <v>100</v>
      </c>
      <c r="L197">
        <v>100</v>
      </c>
      <c r="M197">
        <v>200</v>
      </c>
      <c r="N197">
        <v>100</v>
      </c>
      <c r="O197">
        <v>75000</v>
      </c>
      <c r="P197">
        <v>1000</v>
      </c>
      <c r="Q197">
        <v>10400</v>
      </c>
      <c r="R197">
        <v>100</v>
      </c>
    </row>
    <row r="198" spans="1:18" x14ac:dyDescent="0.2">
      <c r="A198" t="s">
        <v>22</v>
      </c>
      <c r="B198">
        <v>613</v>
      </c>
      <c r="C198">
        <v>110</v>
      </c>
      <c r="D198">
        <v>10</v>
      </c>
      <c r="E198">
        <v>58</v>
      </c>
      <c r="F198">
        <v>2</v>
      </c>
      <c r="G198">
        <v>0</v>
      </c>
      <c r="H198">
        <v>0</v>
      </c>
      <c r="I198">
        <v>4000</v>
      </c>
      <c r="J198">
        <v>100</v>
      </c>
      <c r="K198">
        <v>60</v>
      </c>
      <c r="L198">
        <v>30</v>
      </c>
      <c r="M198">
        <v>80</v>
      </c>
      <c r="N198">
        <v>100</v>
      </c>
      <c r="O198">
        <v>75000</v>
      </c>
      <c r="P198">
        <v>500</v>
      </c>
      <c r="Q198">
        <v>10500</v>
      </c>
      <c r="R198">
        <v>100</v>
      </c>
    </row>
    <row r="199" spans="1:18" x14ac:dyDescent="0.2">
      <c r="A199" t="s">
        <v>22</v>
      </c>
      <c r="B199">
        <v>614</v>
      </c>
      <c r="C199">
        <v>110</v>
      </c>
      <c r="D199">
        <v>10</v>
      </c>
      <c r="E199">
        <v>60</v>
      </c>
      <c r="F199">
        <v>30</v>
      </c>
      <c r="G199">
        <v>0</v>
      </c>
      <c r="H199">
        <v>0</v>
      </c>
      <c r="I199">
        <v>3940</v>
      </c>
      <c r="J199">
        <v>40</v>
      </c>
      <c r="K199">
        <v>80</v>
      </c>
      <c r="L199">
        <v>70</v>
      </c>
      <c r="M199">
        <v>70</v>
      </c>
      <c r="N199">
        <v>90</v>
      </c>
      <c r="O199">
        <v>74900</v>
      </c>
      <c r="P199">
        <v>200</v>
      </c>
      <c r="Q199">
        <v>10580</v>
      </c>
      <c r="R199">
        <v>10</v>
      </c>
    </row>
    <row r="200" spans="1:18" x14ac:dyDescent="0.2">
      <c r="A200" t="s">
        <v>23</v>
      </c>
      <c r="B200">
        <v>1121</v>
      </c>
      <c r="C200">
        <v>70</v>
      </c>
      <c r="D200">
        <v>20</v>
      </c>
      <c r="E200">
        <v>31.5</v>
      </c>
      <c r="F200">
        <v>7</v>
      </c>
      <c r="G200">
        <v>7</v>
      </c>
      <c r="H200">
        <v>10</v>
      </c>
      <c r="I200">
        <v>540</v>
      </c>
      <c r="J200">
        <v>20</v>
      </c>
      <c r="K200">
        <v>0</v>
      </c>
      <c r="L200">
        <v>0</v>
      </c>
      <c r="M200">
        <v>0</v>
      </c>
      <c r="N200">
        <v>0</v>
      </c>
      <c r="O200">
        <v>54190</v>
      </c>
      <c r="P200">
        <v>30</v>
      </c>
      <c r="Q200">
        <v>7740</v>
      </c>
      <c r="R200">
        <v>40</v>
      </c>
    </row>
    <row r="201" spans="1:18" x14ac:dyDescent="0.2">
      <c r="A201" t="s">
        <v>23</v>
      </c>
      <c r="B201">
        <v>1122</v>
      </c>
      <c r="C201">
        <v>86</v>
      </c>
      <c r="D201">
        <v>5</v>
      </c>
      <c r="E201">
        <v>72</v>
      </c>
      <c r="F201">
        <v>8</v>
      </c>
      <c r="G201">
        <v>4</v>
      </c>
      <c r="H201">
        <v>6</v>
      </c>
      <c r="I201">
        <v>1320</v>
      </c>
      <c r="J201">
        <v>60</v>
      </c>
      <c r="K201">
        <v>60</v>
      </c>
      <c r="L201">
        <v>80</v>
      </c>
      <c r="M201">
        <v>180</v>
      </c>
      <c r="N201">
        <v>20</v>
      </c>
      <c r="O201">
        <v>63600</v>
      </c>
      <c r="P201">
        <v>400</v>
      </c>
      <c r="Q201">
        <v>9400</v>
      </c>
      <c r="R201">
        <v>100</v>
      </c>
    </row>
    <row r="202" spans="1:18" x14ac:dyDescent="0.2">
      <c r="A202" t="s">
        <v>23</v>
      </c>
      <c r="B202">
        <v>1123</v>
      </c>
      <c r="C202">
        <v>122</v>
      </c>
      <c r="D202">
        <v>6</v>
      </c>
      <c r="E202">
        <v>106</v>
      </c>
      <c r="F202">
        <v>2</v>
      </c>
      <c r="G202">
        <v>0</v>
      </c>
      <c r="H202">
        <v>0</v>
      </c>
      <c r="I202">
        <v>1680</v>
      </c>
      <c r="J202">
        <v>10</v>
      </c>
      <c r="K202">
        <v>40</v>
      </c>
      <c r="L202">
        <v>50</v>
      </c>
      <c r="M202">
        <v>50</v>
      </c>
      <c r="N202">
        <v>60</v>
      </c>
      <c r="O202">
        <v>68224</v>
      </c>
      <c r="P202">
        <v>8</v>
      </c>
      <c r="Q202">
        <v>9800</v>
      </c>
      <c r="R202">
        <v>300</v>
      </c>
    </row>
    <row r="203" spans="1:18" x14ac:dyDescent="0.2">
      <c r="A203" t="s">
        <v>23</v>
      </c>
      <c r="B203">
        <v>1124</v>
      </c>
      <c r="C203">
        <v>110</v>
      </c>
      <c r="D203">
        <v>50</v>
      </c>
      <c r="E203">
        <v>104</v>
      </c>
      <c r="F203">
        <v>6</v>
      </c>
      <c r="G203">
        <v>10</v>
      </c>
      <c r="H203">
        <v>20</v>
      </c>
      <c r="I203">
        <v>1710</v>
      </c>
      <c r="J203">
        <v>30</v>
      </c>
      <c r="K203">
        <v>100</v>
      </c>
      <c r="L203">
        <v>100</v>
      </c>
      <c r="M203">
        <v>140</v>
      </c>
      <c r="N203">
        <v>40</v>
      </c>
      <c r="O203">
        <v>67800</v>
      </c>
      <c r="P203">
        <v>700</v>
      </c>
      <c r="Q203">
        <v>9600</v>
      </c>
      <c r="R203">
        <v>200</v>
      </c>
    </row>
    <row r="204" spans="1:18" x14ac:dyDescent="0.2">
      <c r="A204" t="s">
        <v>23</v>
      </c>
      <c r="B204">
        <v>1125</v>
      </c>
      <c r="C204">
        <v>90</v>
      </c>
      <c r="D204">
        <v>30</v>
      </c>
      <c r="E204">
        <v>90</v>
      </c>
      <c r="F204">
        <v>20</v>
      </c>
      <c r="G204">
        <v>0</v>
      </c>
      <c r="H204">
        <v>0</v>
      </c>
      <c r="I204">
        <v>1670</v>
      </c>
      <c r="J204">
        <v>30</v>
      </c>
      <c r="K204">
        <v>0</v>
      </c>
      <c r="L204">
        <v>0</v>
      </c>
      <c r="M204">
        <v>50</v>
      </c>
      <c r="N204">
        <v>70</v>
      </c>
      <c r="O204">
        <v>69845</v>
      </c>
      <c r="P204">
        <v>8</v>
      </c>
      <c r="Q204">
        <v>9900</v>
      </c>
      <c r="R204">
        <v>200</v>
      </c>
    </row>
    <row r="205" spans="1:18" x14ac:dyDescent="0.2">
      <c r="A205" t="s">
        <v>23</v>
      </c>
      <c r="B205">
        <v>1126</v>
      </c>
      <c r="C205">
        <v>104</v>
      </c>
      <c r="D205">
        <v>7</v>
      </c>
      <c r="E205">
        <v>120</v>
      </c>
      <c r="F205">
        <v>30</v>
      </c>
      <c r="G205">
        <v>0</v>
      </c>
      <c r="H205">
        <v>0</v>
      </c>
      <c r="I205">
        <v>2240</v>
      </c>
      <c r="J205">
        <v>50</v>
      </c>
      <c r="K205">
        <v>5</v>
      </c>
      <c r="L205">
        <v>7</v>
      </c>
      <c r="M205">
        <v>6</v>
      </c>
      <c r="N205">
        <v>8</v>
      </c>
      <c r="O205">
        <v>69800</v>
      </c>
      <c r="P205">
        <v>200</v>
      </c>
      <c r="Q205">
        <v>9990</v>
      </c>
      <c r="R205">
        <v>30</v>
      </c>
    </row>
    <row r="206" spans="1:18" x14ac:dyDescent="0.2">
      <c r="A206" t="s">
        <v>23</v>
      </c>
      <c r="B206">
        <v>1127</v>
      </c>
      <c r="C206">
        <v>98</v>
      </c>
      <c r="D206">
        <v>8</v>
      </c>
      <c r="E206">
        <v>90</v>
      </c>
      <c r="F206">
        <v>40</v>
      </c>
      <c r="G206">
        <v>0</v>
      </c>
      <c r="H206">
        <v>0</v>
      </c>
      <c r="I206">
        <v>2070</v>
      </c>
      <c r="J206">
        <v>30</v>
      </c>
      <c r="K206">
        <v>4</v>
      </c>
      <c r="L206">
        <v>5</v>
      </c>
      <c r="M206">
        <v>0</v>
      </c>
      <c r="N206">
        <v>0</v>
      </c>
      <c r="O206">
        <v>70400</v>
      </c>
      <c r="P206">
        <v>200</v>
      </c>
      <c r="Q206">
        <v>9870</v>
      </c>
      <c r="R206">
        <v>50</v>
      </c>
    </row>
    <row r="207" spans="1:18" x14ac:dyDescent="0.2">
      <c r="A207" t="s">
        <v>23</v>
      </c>
      <c r="B207">
        <v>1128</v>
      </c>
      <c r="C207">
        <v>102.5</v>
      </c>
      <c r="D207">
        <v>7</v>
      </c>
      <c r="E207">
        <v>101</v>
      </c>
      <c r="F207">
        <v>7</v>
      </c>
      <c r="G207">
        <v>0</v>
      </c>
      <c r="H207">
        <v>0</v>
      </c>
      <c r="I207">
        <v>2670</v>
      </c>
      <c r="J207">
        <v>50</v>
      </c>
      <c r="K207">
        <v>10</v>
      </c>
      <c r="L207">
        <v>20</v>
      </c>
      <c r="M207">
        <v>10</v>
      </c>
      <c r="N207">
        <v>10</v>
      </c>
      <c r="O207">
        <v>70600</v>
      </c>
      <c r="P207">
        <v>500</v>
      </c>
      <c r="Q207">
        <v>10170</v>
      </c>
      <c r="R207">
        <v>30</v>
      </c>
    </row>
    <row r="208" spans="1:18" x14ac:dyDescent="0.2">
      <c r="A208" t="s">
        <v>23</v>
      </c>
      <c r="B208">
        <v>1129</v>
      </c>
      <c r="C208">
        <v>116</v>
      </c>
      <c r="D208">
        <v>4</v>
      </c>
      <c r="E208">
        <v>86</v>
      </c>
      <c r="F208">
        <v>5</v>
      </c>
      <c r="G208">
        <v>7</v>
      </c>
      <c r="H208">
        <v>10</v>
      </c>
      <c r="I208">
        <v>2815</v>
      </c>
      <c r="J208">
        <v>4</v>
      </c>
      <c r="K208">
        <v>8</v>
      </c>
      <c r="L208">
        <v>10</v>
      </c>
      <c r="M208">
        <v>100</v>
      </c>
      <c r="N208">
        <v>100</v>
      </c>
      <c r="O208">
        <v>70800</v>
      </c>
      <c r="P208">
        <v>400</v>
      </c>
      <c r="Q208">
        <v>10200</v>
      </c>
      <c r="R208">
        <v>100</v>
      </c>
    </row>
    <row r="209" spans="1:18" x14ac:dyDescent="0.2">
      <c r="A209" t="s">
        <v>23</v>
      </c>
      <c r="B209">
        <v>1130</v>
      </c>
      <c r="C209">
        <v>100</v>
      </c>
      <c r="D209">
        <v>20</v>
      </c>
      <c r="E209">
        <v>180</v>
      </c>
      <c r="F209">
        <v>40</v>
      </c>
      <c r="G209">
        <v>0</v>
      </c>
      <c r="H209">
        <v>0</v>
      </c>
      <c r="I209">
        <v>3600</v>
      </c>
      <c r="J209">
        <v>60</v>
      </c>
      <c r="K209">
        <v>0</v>
      </c>
      <c r="L209">
        <v>0</v>
      </c>
      <c r="M209">
        <v>50</v>
      </c>
      <c r="N209">
        <v>60</v>
      </c>
      <c r="O209">
        <v>71500</v>
      </c>
      <c r="P209">
        <v>200</v>
      </c>
      <c r="Q209">
        <v>10200</v>
      </c>
      <c r="R209">
        <v>200</v>
      </c>
    </row>
    <row r="210" spans="1:18" x14ac:dyDescent="0.2">
      <c r="A210" t="s">
        <v>23</v>
      </c>
      <c r="B210">
        <v>1131</v>
      </c>
      <c r="C210">
        <v>120</v>
      </c>
      <c r="D210">
        <v>50</v>
      </c>
      <c r="E210">
        <v>230</v>
      </c>
      <c r="F210">
        <v>9</v>
      </c>
      <c r="G210">
        <v>8</v>
      </c>
      <c r="H210">
        <v>4</v>
      </c>
      <c r="I210">
        <v>5000</v>
      </c>
      <c r="J210">
        <v>100</v>
      </c>
      <c r="K210">
        <v>40</v>
      </c>
      <c r="L210">
        <v>50</v>
      </c>
      <c r="M210">
        <v>60</v>
      </c>
      <c r="N210">
        <v>90</v>
      </c>
      <c r="O210">
        <v>72400</v>
      </c>
      <c r="P210">
        <v>200</v>
      </c>
      <c r="Q210">
        <v>10300</v>
      </c>
      <c r="R210">
        <v>300</v>
      </c>
    </row>
    <row r="211" spans="1:18" x14ac:dyDescent="0.2">
      <c r="A211" t="s">
        <v>23</v>
      </c>
      <c r="B211">
        <v>1132</v>
      </c>
      <c r="C211">
        <v>110</v>
      </c>
      <c r="D211">
        <v>10</v>
      </c>
      <c r="E211">
        <v>264</v>
      </c>
      <c r="F211">
        <v>2</v>
      </c>
      <c r="G211">
        <v>10</v>
      </c>
      <c r="H211">
        <v>10</v>
      </c>
      <c r="I211">
        <v>4940</v>
      </c>
      <c r="J211">
        <v>50</v>
      </c>
      <c r="K211">
        <v>100</v>
      </c>
      <c r="L211">
        <v>100</v>
      </c>
      <c r="M211">
        <v>87</v>
      </c>
      <c r="N211">
        <v>6</v>
      </c>
      <c r="O211">
        <v>71700</v>
      </c>
      <c r="P211">
        <v>200</v>
      </c>
      <c r="Q211">
        <v>10300</v>
      </c>
      <c r="R211">
        <v>200</v>
      </c>
    </row>
    <row r="212" spans="1:18" x14ac:dyDescent="0.2">
      <c r="A212" t="s">
        <v>23</v>
      </c>
      <c r="B212">
        <v>1133</v>
      </c>
      <c r="C212">
        <v>130</v>
      </c>
      <c r="D212">
        <v>20</v>
      </c>
      <c r="E212">
        <v>255</v>
      </c>
      <c r="F212">
        <v>6</v>
      </c>
      <c r="G212">
        <v>0</v>
      </c>
      <c r="H212">
        <v>0</v>
      </c>
      <c r="I212">
        <v>5300</v>
      </c>
      <c r="J212">
        <v>100</v>
      </c>
      <c r="K212">
        <v>50</v>
      </c>
      <c r="L212">
        <v>50</v>
      </c>
      <c r="M212">
        <v>6</v>
      </c>
      <c r="N212">
        <v>8</v>
      </c>
      <c r="O212">
        <v>71300</v>
      </c>
      <c r="P212">
        <v>100</v>
      </c>
      <c r="Q212">
        <v>9980</v>
      </c>
      <c r="R212">
        <v>30</v>
      </c>
    </row>
    <row r="213" spans="1:18" x14ac:dyDescent="0.2">
      <c r="A213" t="s">
        <v>23</v>
      </c>
      <c r="B213">
        <v>1134</v>
      </c>
      <c r="C213">
        <v>102</v>
      </c>
      <c r="D213">
        <v>8</v>
      </c>
      <c r="E213">
        <v>250</v>
      </c>
      <c r="F213">
        <v>6</v>
      </c>
      <c r="G213">
        <v>0</v>
      </c>
      <c r="H213">
        <v>0</v>
      </c>
      <c r="I213">
        <v>5490</v>
      </c>
      <c r="J213">
        <v>30</v>
      </c>
      <c r="K213">
        <v>50</v>
      </c>
      <c r="L213">
        <v>40</v>
      </c>
      <c r="M213">
        <v>60</v>
      </c>
      <c r="N213">
        <v>80</v>
      </c>
      <c r="O213">
        <v>71800</v>
      </c>
      <c r="P213">
        <v>200</v>
      </c>
      <c r="Q213">
        <v>9900</v>
      </c>
      <c r="R213">
        <v>10</v>
      </c>
    </row>
    <row r="214" spans="1:18" x14ac:dyDescent="0.2">
      <c r="A214" t="s">
        <v>23</v>
      </c>
      <c r="B214">
        <v>1135</v>
      </c>
      <c r="C214">
        <v>80</v>
      </c>
      <c r="D214">
        <v>10</v>
      </c>
      <c r="E214">
        <v>190</v>
      </c>
      <c r="F214">
        <v>30</v>
      </c>
      <c r="G214">
        <v>10</v>
      </c>
      <c r="H214">
        <v>20</v>
      </c>
      <c r="I214">
        <v>5480</v>
      </c>
      <c r="J214">
        <v>20</v>
      </c>
      <c r="K214">
        <v>90</v>
      </c>
      <c r="L214">
        <v>70</v>
      </c>
      <c r="M214">
        <v>40</v>
      </c>
      <c r="N214">
        <v>60</v>
      </c>
      <c r="O214">
        <v>71700</v>
      </c>
      <c r="P214">
        <v>600</v>
      </c>
      <c r="Q214">
        <v>10100</v>
      </c>
      <c r="R214">
        <v>200</v>
      </c>
    </row>
    <row r="215" spans="1:18" x14ac:dyDescent="0.2">
      <c r="A215" t="s">
        <v>23</v>
      </c>
      <c r="B215">
        <v>1136</v>
      </c>
      <c r="C215">
        <v>100</v>
      </c>
      <c r="D215">
        <v>10</v>
      </c>
      <c r="E215">
        <v>190</v>
      </c>
      <c r="F215">
        <v>10</v>
      </c>
      <c r="G215">
        <v>0</v>
      </c>
      <c r="H215">
        <v>0</v>
      </c>
      <c r="I215">
        <v>5440</v>
      </c>
      <c r="J215">
        <v>30</v>
      </c>
      <c r="K215">
        <v>140</v>
      </c>
      <c r="L215">
        <v>80</v>
      </c>
      <c r="M215">
        <v>40</v>
      </c>
      <c r="N215">
        <v>60</v>
      </c>
      <c r="O215">
        <v>71300</v>
      </c>
      <c r="P215">
        <v>700</v>
      </c>
      <c r="Q215">
        <v>9970</v>
      </c>
      <c r="R215">
        <v>60</v>
      </c>
    </row>
    <row r="216" spans="1:18" x14ac:dyDescent="0.2">
      <c r="A216" t="s">
        <v>23</v>
      </c>
      <c r="B216">
        <v>1137</v>
      </c>
      <c r="C216">
        <v>90</v>
      </c>
      <c r="D216">
        <v>20</v>
      </c>
      <c r="E216">
        <v>180</v>
      </c>
      <c r="F216">
        <v>10</v>
      </c>
      <c r="G216">
        <v>0</v>
      </c>
      <c r="H216">
        <v>0</v>
      </c>
      <c r="I216">
        <v>4930</v>
      </c>
      <c r="J216">
        <v>20</v>
      </c>
      <c r="K216">
        <v>10</v>
      </c>
      <c r="L216">
        <v>10</v>
      </c>
      <c r="M216">
        <v>110</v>
      </c>
      <c r="N216">
        <v>60</v>
      </c>
      <c r="O216">
        <v>71700</v>
      </c>
      <c r="P216">
        <v>400</v>
      </c>
      <c r="Q216">
        <v>9958</v>
      </c>
      <c r="R216">
        <v>2</v>
      </c>
    </row>
    <row r="217" spans="1:18" x14ac:dyDescent="0.2">
      <c r="A217" t="s">
        <v>23</v>
      </c>
      <c r="B217">
        <v>1138</v>
      </c>
      <c r="C217">
        <v>100</v>
      </c>
      <c r="D217">
        <v>20</v>
      </c>
      <c r="E217">
        <v>230</v>
      </c>
      <c r="F217">
        <v>40</v>
      </c>
      <c r="G217">
        <v>0</v>
      </c>
      <c r="H217">
        <v>0</v>
      </c>
      <c r="I217">
        <v>4500</v>
      </c>
      <c r="J217">
        <v>50</v>
      </c>
      <c r="K217">
        <v>51</v>
      </c>
      <c r="L217">
        <v>7</v>
      </c>
      <c r="M217">
        <v>80</v>
      </c>
      <c r="N217">
        <v>100</v>
      </c>
      <c r="O217">
        <v>72300</v>
      </c>
      <c r="P217">
        <v>500</v>
      </c>
      <c r="Q217">
        <v>10120</v>
      </c>
      <c r="R217">
        <v>30</v>
      </c>
    </row>
    <row r="218" spans="1:18" x14ac:dyDescent="0.2">
      <c r="A218" t="s">
        <v>23</v>
      </c>
      <c r="B218">
        <v>1139</v>
      </c>
      <c r="C218">
        <v>120</v>
      </c>
      <c r="D218">
        <v>20</v>
      </c>
      <c r="E218">
        <v>162</v>
      </c>
      <c r="F218">
        <v>4</v>
      </c>
      <c r="G218">
        <v>2</v>
      </c>
      <c r="H218">
        <v>4</v>
      </c>
      <c r="I218">
        <v>3874</v>
      </c>
      <c r="J218">
        <v>8</v>
      </c>
      <c r="K218">
        <v>60</v>
      </c>
      <c r="L218">
        <v>20</v>
      </c>
      <c r="M218">
        <v>100</v>
      </c>
      <c r="N218">
        <v>60</v>
      </c>
      <c r="O218">
        <v>72400</v>
      </c>
      <c r="P218">
        <v>100</v>
      </c>
      <c r="Q218">
        <v>10300</v>
      </c>
      <c r="R218">
        <v>100</v>
      </c>
    </row>
    <row r="219" spans="1:18" x14ac:dyDescent="0.2">
      <c r="A219" t="s">
        <v>23</v>
      </c>
      <c r="B219">
        <v>1140</v>
      </c>
      <c r="C219">
        <v>90</v>
      </c>
      <c r="D219">
        <v>20</v>
      </c>
      <c r="E219">
        <v>150</v>
      </c>
      <c r="F219">
        <v>20</v>
      </c>
      <c r="G219">
        <v>0</v>
      </c>
      <c r="H219">
        <v>0</v>
      </c>
      <c r="I219">
        <v>3900</v>
      </c>
      <c r="J219">
        <v>100</v>
      </c>
      <c r="K219">
        <v>70</v>
      </c>
      <c r="L219">
        <v>60</v>
      </c>
      <c r="M219">
        <v>70</v>
      </c>
      <c r="N219">
        <v>100</v>
      </c>
      <c r="O219">
        <v>72000</v>
      </c>
      <c r="P219">
        <v>900</v>
      </c>
      <c r="Q219">
        <v>9900</v>
      </c>
      <c r="R219">
        <v>300</v>
      </c>
    </row>
    <row r="220" spans="1:18" x14ac:dyDescent="0.2">
      <c r="A220" t="s">
        <v>23</v>
      </c>
      <c r="B220">
        <v>1141</v>
      </c>
      <c r="C220">
        <v>100</v>
      </c>
      <c r="D220">
        <v>20</v>
      </c>
      <c r="E220">
        <v>160</v>
      </c>
      <c r="F220">
        <v>10</v>
      </c>
      <c r="G220">
        <v>0</v>
      </c>
      <c r="H220">
        <v>0</v>
      </c>
      <c r="I220">
        <v>3860</v>
      </c>
      <c r="J220">
        <v>40</v>
      </c>
      <c r="K220">
        <v>114</v>
      </c>
      <c r="L220">
        <v>8</v>
      </c>
      <c r="M220">
        <v>110</v>
      </c>
      <c r="N220">
        <v>30</v>
      </c>
      <c r="O220">
        <v>72350</v>
      </c>
      <c r="P220">
        <v>50</v>
      </c>
      <c r="Q220">
        <v>9990</v>
      </c>
      <c r="R220">
        <v>30</v>
      </c>
    </row>
    <row r="221" spans="1:18" x14ac:dyDescent="0.2">
      <c r="A221" t="s">
        <v>23</v>
      </c>
      <c r="B221">
        <v>1142</v>
      </c>
      <c r="C221">
        <v>90</v>
      </c>
      <c r="D221">
        <v>10</v>
      </c>
      <c r="E221">
        <v>218</v>
      </c>
      <c r="F221">
        <v>7</v>
      </c>
      <c r="G221">
        <v>0</v>
      </c>
      <c r="H221">
        <v>0</v>
      </c>
      <c r="I221">
        <v>4105</v>
      </c>
      <c r="J221">
        <v>7</v>
      </c>
      <c r="K221">
        <v>30</v>
      </c>
      <c r="L221">
        <v>40</v>
      </c>
      <c r="M221">
        <v>0</v>
      </c>
      <c r="N221">
        <v>0</v>
      </c>
      <c r="O221">
        <v>71900</v>
      </c>
      <c r="P221">
        <v>300</v>
      </c>
      <c r="Q221">
        <v>9900</v>
      </c>
      <c r="R221">
        <v>100</v>
      </c>
    </row>
    <row r="222" spans="1:18" x14ac:dyDescent="0.2">
      <c r="A222" t="s">
        <v>23</v>
      </c>
      <c r="B222">
        <v>1143</v>
      </c>
      <c r="C222">
        <v>105</v>
      </c>
      <c r="D222">
        <v>7</v>
      </c>
      <c r="E222">
        <v>190</v>
      </c>
      <c r="F222">
        <v>20</v>
      </c>
      <c r="G222">
        <v>0</v>
      </c>
      <c r="H222">
        <v>0</v>
      </c>
      <c r="I222">
        <v>4280</v>
      </c>
      <c r="J222">
        <v>30</v>
      </c>
      <c r="K222">
        <v>70</v>
      </c>
      <c r="L222">
        <v>10</v>
      </c>
      <c r="M222">
        <v>100</v>
      </c>
      <c r="N222">
        <v>200</v>
      </c>
      <c r="O222">
        <v>72200</v>
      </c>
      <c r="P222">
        <v>600</v>
      </c>
      <c r="Q222">
        <v>10300</v>
      </c>
      <c r="R222">
        <v>300</v>
      </c>
    </row>
    <row r="223" spans="1:18" x14ac:dyDescent="0.2">
      <c r="A223" t="s">
        <v>23</v>
      </c>
      <c r="B223">
        <v>1144</v>
      </c>
      <c r="C223">
        <v>90</v>
      </c>
      <c r="D223">
        <v>50</v>
      </c>
      <c r="E223">
        <v>160</v>
      </c>
      <c r="F223">
        <v>30</v>
      </c>
      <c r="G223">
        <v>4</v>
      </c>
      <c r="H223">
        <v>5</v>
      </c>
      <c r="I223">
        <v>4150</v>
      </c>
      <c r="J223">
        <v>40</v>
      </c>
      <c r="K223">
        <v>50</v>
      </c>
      <c r="L223">
        <v>70</v>
      </c>
      <c r="M223">
        <v>100</v>
      </c>
      <c r="N223">
        <v>100</v>
      </c>
      <c r="O223">
        <v>70700</v>
      </c>
      <c r="P223">
        <v>400</v>
      </c>
      <c r="Q223">
        <v>10030</v>
      </c>
      <c r="R223">
        <v>6</v>
      </c>
    </row>
    <row r="224" spans="1:18" x14ac:dyDescent="0.2">
      <c r="A224" t="s">
        <v>23</v>
      </c>
      <c r="B224">
        <v>1145</v>
      </c>
      <c r="C224">
        <v>130</v>
      </c>
      <c r="D224">
        <v>10</v>
      </c>
      <c r="E224">
        <v>169</v>
      </c>
      <c r="F224">
        <v>4</v>
      </c>
      <c r="G224">
        <v>9</v>
      </c>
      <c r="H224">
        <v>10</v>
      </c>
      <c r="I224">
        <v>4420</v>
      </c>
      <c r="J224">
        <v>20</v>
      </c>
      <c r="K224">
        <v>30</v>
      </c>
      <c r="L224">
        <v>30</v>
      </c>
      <c r="M224">
        <v>208</v>
      </c>
      <c r="N224">
        <v>3</v>
      </c>
      <c r="O224">
        <v>70200</v>
      </c>
      <c r="P224">
        <v>500</v>
      </c>
      <c r="Q224">
        <v>10200</v>
      </c>
      <c r="R224">
        <v>300</v>
      </c>
    </row>
    <row r="225" spans="1:18" x14ac:dyDescent="0.2">
      <c r="A225" t="s">
        <v>23</v>
      </c>
      <c r="B225">
        <v>1146</v>
      </c>
      <c r="C225">
        <v>112</v>
      </c>
      <c r="D225">
        <v>8</v>
      </c>
      <c r="E225">
        <v>170</v>
      </c>
      <c r="F225">
        <v>20</v>
      </c>
      <c r="G225">
        <v>0</v>
      </c>
      <c r="H225">
        <v>0</v>
      </c>
      <c r="I225">
        <v>4440</v>
      </c>
      <c r="J225">
        <v>10</v>
      </c>
      <c r="K225">
        <v>60</v>
      </c>
      <c r="L225">
        <v>80</v>
      </c>
      <c r="M225">
        <v>50</v>
      </c>
      <c r="N225">
        <v>70</v>
      </c>
      <c r="O225">
        <v>69700</v>
      </c>
      <c r="P225">
        <v>400</v>
      </c>
      <c r="Q225">
        <v>10200</v>
      </c>
      <c r="R225">
        <v>200</v>
      </c>
    </row>
    <row r="226" spans="1:18" x14ac:dyDescent="0.2">
      <c r="A226" t="s">
        <v>23</v>
      </c>
      <c r="B226">
        <v>1147</v>
      </c>
      <c r="C226">
        <v>112</v>
      </c>
      <c r="D226">
        <v>6</v>
      </c>
      <c r="E226">
        <v>128.5</v>
      </c>
      <c r="F226">
        <v>7</v>
      </c>
      <c r="G226">
        <v>0</v>
      </c>
      <c r="H226">
        <v>0</v>
      </c>
      <c r="I226">
        <v>4300</v>
      </c>
      <c r="J226">
        <v>60</v>
      </c>
      <c r="K226">
        <v>100</v>
      </c>
      <c r="L226">
        <v>100</v>
      </c>
      <c r="M226">
        <v>200</v>
      </c>
      <c r="N226">
        <v>100</v>
      </c>
      <c r="O226">
        <v>68400</v>
      </c>
      <c r="P226">
        <v>500</v>
      </c>
      <c r="Q226">
        <v>9820</v>
      </c>
      <c r="R226">
        <v>50</v>
      </c>
    </row>
    <row r="227" spans="1:18" x14ac:dyDescent="0.2">
      <c r="A227" t="s">
        <v>23</v>
      </c>
      <c r="B227">
        <v>1148</v>
      </c>
      <c r="C227">
        <v>102</v>
      </c>
      <c r="D227">
        <v>2</v>
      </c>
      <c r="E227">
        <v>180</v>
      </c>
      <c r="F227">
        <v>30</v>
      </c>
      <c r="G227">
        <v>3</v>
      </c>
      <c r="H227">
        <v>4</v>
      </c>
      <c r="I227">
        <v>4250</v>
      </c>
      <c r="J227">
        <v>30</v>
      </c>
      <c r="K227">
        <v>100</v>
      </c>
      <c r="L227">
        <v>100</v>
      </c>
      <c r="M227">
        <v>160</v>
      </c>
      <c r="N227">
        <v>50</v>
      </c>
      <c r="O227">
        <v>66900</v>
      </c>
      <c r="P227">
        <v>100</v>
      </c>
      <c r="Q227">
        <v>9900</v>
      </c>
      <c r="R227">
        <v>200</v>
      </c>
    </row>
    <row r="228" spans="1:18" x14ac:dyDescent="0.2">
      <c r="A228" t="s">
        <v>23</v>
      </c>
      <c r="B228">
        <v>1149</v>
      </c>
      <c r="C228">
        <v>130</v>
      </c>
      <c r="D228">
        <v>10</v>
      </c>
      <c r="E228">
        <v>140</v>
      </c>
      <c r="F228">
        <v>20</v>
      </c>
      <c r="G228">
        <v>3</v>
      </c>
      <c r="H228">
        <v>4</v>
      </c>
      <c r="I228">
        <v>3250</v>
      </c>
      <c r="J228">
        <v>50</v>
      </c>
      <c r="K228">
        <v>200</v>
      </c>
      <c r="L228">
        <v>50</v>
      </c>
      <c r="M228">
        <v>200</v>
      </c>
      <c r="N228">
        <v>200</v>
      </c>
      <c r="O228">
        <v>64100</v>
      </c>
      <c r="P228">
        <v>600</v>
      </c>
      <c r="Q228">
        <v>9499</v>
      </c>
      <c r="R228">
        <v>4</v>
      </c>
    </row>
    <row r="229" spans="1:18" x14ac:dyDescent="0.2">
      <c r="A229" t="s">
        <v>23</v>
      </c>
      <c r="B229">
        <v>1150</v>
      </c>
      <c r="C229">
        <v>130</v>
      </c>
      <c r="D229">
        <v>10</v>
      </c>
      <c r="E229">
        <v>220</v>
      </c>
      <c r="F229">
        <v>50</v>
      </c>
      <c r="G229">
        <v>0</v>
      </c>
      <c r="H229">
        <v>0</v>
      </c>
      <c r="I229">
        <v>3430</v>
      </c>
      <c r="J229">
        <v>30</v>
      </c>
      <c r="K229">
        <v>330</v>
      </c>
      <c r="L229">
        <v>30</v>
      </c>
      <c r="M229">
        <v>220</v>
      </c>
      <c r="N229">
        <v>70</v>
      </c>
      <c r="O229">
        <v>63800</v>
      </c>
      <c r="P229">
        <v>700</v>
      </c>
      <c r="Q229">
        <v>9700</v>
      </c>
      <c r="R229">
        <v>100</v>
      </c>
    </row>
    <row r="230" spans="1:18" x14ac:dyDescent="0.2">
      <c r="A230" t="s">
        <v>23</v>
      </c>
      <c r="B230">
        <v>1151</v>
      </c>
      <c r="C230">
        <v>114.5</v>
      </c>
      <c r="D230">
        <v>7</v>
      </c>
      <c r="E230">
        <v>240</v>
      </c>
      <c r="F230">
        <v>30</v>
      </c>
      <c r="G230">
        <v>6</v>
      </c>
      <c r="H230">
        <v>9</v>
      </c>
      <c r="I230">
        <v>3450</v>
      </c>
      <c r="J230">
        <v>40</v>
      </c>
      <c r="K230">
        <v>240</v>
      </c>
      <c r="L230">
        <v>30</v>
      </c>
      <c r="M230">
        <v>250</v>
      </c>
      <c r="N230">
        <v>20</v>
      </c>
      <c r="O230">
        <v>61000</v>
      </c>
      <c r="P230">
        <v>200</v>
      </c>
      <c r="Q230">
        <v>9280</v>
      </c>
      <c r="R230">
        <v>90</v>
      </c>
    </row>
    <row r="231" spans="1:18" x14ac:dyDescent="0.2">
      <c r="A231" t="s">
        <v>23</v>
      </c>
      <c r="B231">
        <v>1152</v>
      </c>
      <c r="C231">
        <v>130</v>
      </c>
      <c r="D231">
        <v>30</v>
      </c>
      <c r="E231">
        <v>260</v>
      </c>
      <c r="F231">
        <v>20</v>
      </c>
      <c r="G231">
        <v>0</v>
      </c>
      <c r="H231">
        <v>0</v>
      </c>
      <c r="I231">
        <v>3900</v>
      </c>
      <c r="J231">
        <v>100</v>
      </c>
      <c r="K231">
        <v>480</v>
      </c>
      <c r="L231">
        <v>20</v>
      </c>
      <c r="M231">
        <v>400</v>
      </c>
      <c r="N231">
        <v>100</v>
      </c>
      <c r="O231">
        <v>60700</v>
      </c>
      <c r="P231">
        <v>300</v>
      </c>
      <c r="Q231">
        <v>9500</v>
      </c>
      <c r="R231">
        <v>300</v>
      </c>
    </row>
    <row r="232" spans="1:18" x14ac:dyDescent="0.2">
      <c r="A232" t="s">
        <v>23</v>
      </c>
      <c r="B232">
        <v>1153</v>
      </c>
      <c r="C232">
        <v>100</v>
      </c>
      <c r="D232">
        <v>20</v>
      </c>
      <c r="E232">
        <v>470</v>
      </c>
      <c r="F232">
        <v>50</v>
      </c>
      <c r="G232">
        <v>0</v>
      </c>
      <c r="H232">
        <v>0</v>
      </c>
      <c r="I232">
        <v>4440</v>
      </c>
      <c r="J232">
        <v>80</v>
      </c>
      <c r="K232">
        <v>400</v>
      </c>
      <c r="L232">
        <v>200</v>
      </c>
      <c r="M232">
        <v>490</v>
      </c>
      <c r="N232">
        <v>80</v>
      </c>
      <c r="O232">
        <v>59800</v>
      </c>
      <c r="P232">
        <v>800</v>
      </c>
      <c r="Q232">
        <v>9300</v>
      </c>
      <c r="R232">
        <v>300</v>
      </c>
    </row>
    <row r="233" spans="1:18" x14ac:dyDescent="0.2">
      <c r="A233" t="s">
        <v>23</v>
      </c>
      <c r="B233">
        <v>1154</v>
      </c>
      <c r="C233">
        <v>130</v>
      </c>
      <c r="D233">
        <v>10</v>
      </c>
      <c r="E233">
        <v>400</v>
      </c>
      <c r="F233">
        <v>30</v>
      </c>
      <c r="G233">
        <v>4</v>
      </c>
      <c r="H233">
        <v>6</v>
      </c>
      <c r="I233">
        <v>4780</v>
      </c>
      <c r="J233">
        <v>30</v>
      </c>
      <c r="K233">
        <v>530</v>
      </c>
      <c r="L233">
        <v>90</v>
      </c>
      <c r="M233">
        <v>450</v>
      </c>
      <c r="N233">
        <v>10</v>
      </c>
      <c r="O233">
        <v>57600</v>
      </c>
      <c r="P233">
        <v>300</v>
      </c>
      <c r="Q233">
        <v>9300</v>
      </c>
      <c r="R233">
        <v>300</v>
      </c>
    </row>
    <row r="234" spans="1:18" x14ac:dyDescent="0.2">
      <c r="A234" t="s">
        <v>23</v>
      </c>
      <c r="B234">
        <v>1155</v>
      </c>
      <c r="C234">
        <v>150</v>
      </c>
      <c r="D234">
        <v>10</v>
      </c>
      <c r="E234">
        <v>600</v>
      </c>
      <c r="F234">
        <v>30</v>
      </c>
      <c r="G234">
        <v>2</v>
      </c>
      <c r="H234">
        <v>4</v>
      </c>
      <c r="I234">
        <v>5760</v>
      </c>
      <c r="J234">
        <v>10</v>
      </c>
      <c r="K234">
        <v>620</v>
      </c>
      <c r="L234">
        <v>10</v>
      </c>
      <c r="M234">
        <v>600</v>
      </c>
      <c r="N234">
        <v>100</v>
      </c>
      <c r="O234">
        <v>57450</v>
      </c>
      <c r="P234">
        <v>30</v>
      </c>
      <c r="Q234">
        <v>9200</v>
      </c>
      <c r="R234">
        <v>500</v>
      </c>
    </row>
    <row r="235" spans="1:18" x14ac:dyDescent="0.2">
      <c r="A235" t="s">
        <v>23</v>
      </c>
      <c r="B235">
        <v>1156</v>
      </c>
      <c r="C235">
        <v>230</v>
      </c>
      <c r="D235">
        <v>40</v>
      </c>
      <c r="E235">
        <v>1320</v>
      </c>
      <c r="F235">
        <v>20</v>
      </c>
      <c r="G235">
        <v>0</v>
      </c>
      <c r="H235">
        <v>0</v>
      </c>
      <c r="I235">
        <v>9290</v>
      </c>
      <c r="J235">
        <v>70</v>
      </c>
      <c r="K235">
        <v>680</v>
      </c>
      <c r="L235">
        <v>30</v>
      </c>
      <c r="M235">
        <v>642</v>
      </c>
      <c r="N235">
        <v>9</v>
      </c>
      <c r="O235">
        <v>56200</v>
      </c>
      <c r="P235">
        <v>700</v>
      </c>
      <c r="Q235">
        <v>9200</v>
      </c>
      <c r="R235">
        <v>100</v>
      </c>
    </row>
    <row r="236" spans="1:18" x14ac:dyDescent="0.2">
      <c r="A236" t="s">
        <v>23</v>
      </c>
      <c r="B236">
        <v>1157</v>
      </c>
      <c r="C236">
        <v>320</v>
      </c>
      <c r="D236">
        <v>20</v>
      </c>
      <c r="E236">
        <v>2050</v>
      </c>
      <c r="F236">
        <v>30</v>
      </c>
      <c r="G236">
        <v>0</v>
      </c>
      <c r="H236">
        <v>0</v>
      </c>
      <c r="I236">
        <v>11700</v>
      </c>
      <c r="J236">
        <v>100</v>
      </c>
      <c r="K236">
        <v>810</v>
      </c>
      <c r="L236">
        <v>20</v>
      </c>
      <c r="M236">
        <v>600</v>
      </c>
      <c r="N236">
        <v>100</v>
      </c>
      <c r="O236">
        <v>56100</v>
      </c>
      <c r="P236">
        <v>400</v>
      </c>
      <c r="Q236">
        <v>9200</v>
      </c>
      <c r="R236">
        <v>200</v>
      </c>
    </row>
    <row r="237" spans="1:18" x14ac:dyDescent="0.2">
      <c r="A237" t="s">
        <v>23</v>
      </c>
      <c r="B237">
        <v>1158</v>
      </c>
      <c r="C237">
        <v>232</v>
      </c>
      <c r="D237">
        <v>5</v>
      </c>
      <c r="E237">
        <v>1698</v>
      </c>
      <c r="F237">
        <v>6</v>
      </c>
      <c r="G237">
        <v>0</v>
      </c>
      <c r="H237">
        <v>0</v>
      </c>
      <c r="I237">
        <v>11530</v>
      </c>
      <c r="J237">
        <v>50</v>
      </c>
      <c r="K237">
        <v>649</v>
      </c>
      <c r="L237">
        <v>3</v>
      </c>
      <c r="M237">
        <v>620</v>
      </c>
      <c r="N237">
        <v>40</v>
      </c>
      <c r="O237">
        <v>56200</v>
      </c>
      <c r="P237">
        <v>100</v>
      </c>
      <c r="Q237">
        <v>8900</v>
      </c>
      <c r="R237">
        <v>200</v>
      </c>
    </row>
    <row r="238" spans="1:18" x14ac:dyDescent="0.2">
      <c r="A238" t="s">
        <v>23</v>
      </c>
      <c r="B238">
        <v>1159</v>
      </c>
      <c r="C238">
        <v>240</v>
      </c>
      <c r="D238">
        <v>70</v>
      </c>
      <c r="E238">
        <v>1880</v>
      </c>
      <c r="F238">
        <v>40</v>
      </c>
      <c r="G238">
        <v>10</v>
      </c>
      <c r="H238">
        <v>20</v>
      </c>
      <c r="I238">
        <v>10660</v>
      </c>
      <c r="J238">
        <v>50</v>
      </c>
      <c r="K238">
        <v>510</v>
      </c>
      <c r="L238">
        <v>60</v>
      </c>
      <c r="M238">
        <v>600</v>
      </c>
      <c r="N238">
        <v>100</v>
      </c>
      <c r="O238">
        <v>55900</v>
      </c>
      <c r="P238">
        <v>300</v>
      </c>
      <c r="Q238">
        <v>9010</v>
      </c>
      <c r="R238">
        <v>50</v>
      </c>
    </row>
    <row r="239" spans="1:18" x14ac:dyDescent="0.2">
      <c r="A239" t="s">
        <v>23</v>
      </c>
      <c r="B239">
        <v>1160</v>
      </c>
      <c r="C239">
        <v>300</v>
      </c>
      <c r="D239">
        <v>50</v>
      </c>
      <c r="E239">
        <v>1600</v>
      </c>
      <c r="F239">
        <v>40</v>
      </c>
      <c r="G239">
        <v>7</v>
      </c>
      <c r="H239">
        <v>10</v>
      </c>
      <c r="I239">
        <v>10270</v>
      </c>
      <c r="J239">
        <v>90</v>
      </c>
      <c r="K239">
        <v>540</v>
      </c>
      <c r="L239">
        <v>70</v>
      </c>
      <c r="M239">
        <v>700</v>
      </c>
      <c r="N239">
        <v>100</v>
      </c>
      <c r="O239">
        <v>55700</v>
      </c>
      <c r="P239">
        <v>300</v>
      </c>
      <c r="Q239">
        <v>9140</v>
      </c>
      <c r="R239">
        <v>20</v>
      </c>
    </row>
    <row r="240" spans="1:18" x14ac:dyDescent="0.2">
      <c r="A240" t="s">
        <v>23</v>
      </c>
      <c r="B240">
        <v>1161</v>
      </c>
      <c r="C240">
        <v>330</v>
      </c>
      <c r="D240">
        <v>20</v>
      </c>
      <c r="E240">
        <v>1890</v>
      </c>
      <c r="F240">
        <v>60</v>
      </c>
      <c r="G240">
        <v>0</v>
      </c>
      <c r="H240">
        <v>0</v>
      </c>
      <c r="I240">
        <v>13100</v>
      </c>
      <c r="J240">
        <v>200</v>
      </c>
      <c r="K240">
        <v>590</v>
      </c>
      <c r="L240">
        <v>70</v>
      </c>
      <c r="M240">
        <v>700</v>
      </c>
      <c r="N240">
        <v>100</v>
      </c>
      <c r="O240">
        <v>55300</v>
      </c>
      <c r="P240">
        <v>100</v>
      </c>
      <c r="Q240">
        <v>9300</v>
      </c>
      <c r="R240">
        <v>200</v>
      </c>
    </row>
    <row r="241" spans="1:18" x14ac:dyDescent="0.2">
      <c r="A241" t="s">
        <v>23</v>
      </c>
      <c r="B241">
        <v>1162</v>
      </c>
      <c r="C241">
        <v>260</v>
      </c>
      <c r="D241">
        <v>20</v>
      </c>
      <c r="E241">
        <v>1900</v>
      </c>
      <c r="F241">
        <v>50</v>
      </c>
      <c r="G241">
        <v>0</v>
      </c>
      <c r="H241">
        <v>0</v>
      </c>
      <c r="I241">
        <v>13230</v>
      </c>
      <c r="J241">
        <v>70</v>
      </c>
      <c r="K241">
        <v>712</v>
      </c>
      <c r="L241">
        <v>5</v>
      </c>
      <c r="M241">
        <v>709</v>
      </c>
      <c r="N241">
        <v>1</v>
      </c>
      <c r="O241">
        <v>54600</v>
      </c>
      <c r="P241">
        <v>200</v>
      </c>
      <c r="Q241">
        <v>9259</v>
      </c>
      <c r="R241">
        <v>1</v>
      </c>
    </row>
    <row r="242" spans="1:18" x14ac:dyDescent="0.2">
      <c r="A242" t="s">
        <v>23</v>
      </c>
      <c r="B242">
        <v>1163</v>
      </c>
      <c r="C242">
        <v>361</v>
      </c>
      <c r="D242">
        <v>6</v>
      </c>
      <c r="E242">
        <v>2080</v>
      </c>
      <c r="F242">
        <v>10</v>
      </c>
      <c r="G242">
        <v>24</v>
      </c>
      <c r="H242">
        <v>8</v>
      </c>
      <c r="I242">
        <v>14380</v>
      </c>
      <c r="J242">
        <v>90</v>
      </c>
      <c r="K242">
        <v>700</v>
      </c>
      <c r="L242">
        <v>100</v>
      </c>
      <c r="M242">
        <v>690</v>
      </c>
      <c r="N242">
        <v>30</v>
      </c>
      <c r="O242">
        <v>54300</v>
      </c>
      <c r="P242">
        <v>700</v>
      </c>
      <c r="Q242">
        <v>9180</v>
      </c>
      <c r="R242">
        <v>70</v>
      </c>
    </row>
    <row r="243" spans="1:18" x14ac:dyDescent="0.2">
      <c r="A243" t="s">
        <v>23</v>
      </c>
      <c r="B243">
        <v>1164</v>
      </c>
      <c r="C243">
        <v>230</v>
      </c>
      <c r="D243">
        <v>20</v>
      </c>
      <c r="E243">
        <v>1690</v>
      </c>
      <c r="F243">
        <v>60</v>
      </c>
      <c r="G243">
        <v>10</v>
      </c>
      <c r="H243">
        <v>20</v>
      </c>
      <c r="I243">
        <v>12860</v>
      </c>
      <c r="J243">
        <v>20</v>
      </c>
      <c r="K243">
        <v>700</v>
      </c>
      <c r="L243">
        <v>100</v>
      </c>
      <c r="M243">
        <v>610</v>
      </c>
      <c r="N243">
        <v>40</v>
      </c>
      <c r="O243">
        <v>54020</v>
      </c>
      <c r="P243">
        <v>4</v>
      </c>
      <c r="Q243">
        <v>8900</v>
      </c>
      <c r="R243">
        <v>70</v>
      </c>
    </row>
    <row r="244" spans="1:18" x14ac:dyDescent="0.2">
      <c r="A244" t="s">
        <v>23</v>
      </c>
      <c r="B244">
        <v>1165</v>
      </c>
      <c r="C244">
        <v>340</v>
      </c>
      <c r="D244">
        <v>9</v>
      </c>
      <c r="E244">
        <v>2034</v>
      </c>
      <c r="F244">
        <v>1</v>
      </c>
      <c r="G244">
        <v>6</v>
      </c>
      <c r="H244">
        <v>8</v>
      </c>
      <c r="I244">
        <v>14040</v>
      </c>
      <c r="J244">
        <v>20</v>
      </c>
      <c r="K244">
        <v>780</v>
      </c>
      <c r="L244">
        <v>50</v>
      </c>
      <c r="M244">
        <v>682</v>
      </c>
      <c r="N244">
        <v>9</v>
      </c>
      <c r="O244">
        <v>52800</v>
      </c>
      <c r="P244">
        <v>200</v>
      </c>
      <c r="Q244">
        <v>8950</v>
      </c>
      <c r="R244">
        <v>70</v>
      </c>
    </row>
    <row r="245" spans="1:18" x14ac:dyDescent="0.2">
      <c r="A245" t="s">
        <v>23</v>
      </c>
      <c r="B245">
        <v>1166</v>
      </c>
      <c r="C245">
        <v>340</v>
      </c>
      <c r="D245">
        <v>6</v>
      </c>
      <c r="E245">
        <v>2280</v>
      </c>
      <c r="F245">
        <v>70</v>
      </c>
      <c r="G245">
        <v>0</v>
      </c>
      <c r="H245">
        <v>0</v>
      </c>
      <c r="I245">
        <v>16910</v>
      </c>
      <c r="J245">
        <v>60</v>
      </c>
      <c r="K245">
        <v>830</v>
      </c>
      <c r="L245">
        <v>60</v>
      </c>
      <c r="M245">
        <v>640</v>
      </c>
      <c r="N245">
        <v>9</v>
      </c>
      <c r="O245">
        <v>52200</v>
      </c>
      <c r="P245">
        <v>500</v>
      </c>
      <c r="Q245">
        <v>9000</v>
      </c>
      <c r="R245">
        <v>200</v>
      </c>
    </row>
    <row r="246" spans="1:18" x14ac:dyDescent="0.2">
      <c r="A246" t="s">
        <v>23</v>
      </c>
      <c r="B246">
        <v>1167</v>
      </c>
      <c r="C246">
        <v>350</v>
      </c>
      <c r="D246">
        <v>20</v>
      </c>
      <c r="E246">
        <v>1940</v>
      </c>
      <c r="F246">
        <v>20</v>
      </c>
      <c r="G246">
        <v>7</v>
      </c>
      <c r="H246">
        <v>0</v>
      </c>
      <c r="I246">
        <v>14040</v>
      </c>
      <c r="J246">
        <v>40</v>
      </c>
      <c r="K246">
        <v>900</v>
      </c>
      <c r="L246">
        <v>100</v>
      </c>
      <c r="M246">
        <v>750</v>
      </c>
      <c r="N246">
        <v>30</v>
      </c>
      <c r="O246">
        <v>52460</v>
      </c>
      <c r="P246">
        <v>60</v>
      </c>
      <c r="Q246">
        <v>8750</v>
      </c>
      <c r="R246">
        <v>70</v>
      </c>
    </row>
    <row r="247" spans="1:18" x14ac:dyDescent="0.2">
      <c r="A247" t="s">
        <v>23</v>
      </c>
      <c r="B247">
        <v>1168</v>
      </c>
      <c r="C247">
        <v>372</v>
      </c>
      <c r="D247">
        <v>1</v>
      </c>
      <c r="E247">
        <v>1900</v>
      </c>
      <c r="F247">
        <v>100</v>
      </c>
      <c r="G247">
        <v>20</v>
      </c>
      <c r="H247">
        <v>30</v>
      </c>
      <c r="I247">
        <v>15000</v>
      </c>
      <c r="J247">
        <v>200</v>
      </c>
      <c r="K247">
        <v>950</v>
      </c>
      <c r="L247">
        <v>50</v>
      </c>
      <c r="M247">
        <v>700</v>
      </c>
      <c r="N247">
        <v>20</v>
      </c>
      <c r="O247">
        <v>52100</v>
      </c>
      <c r="P247">
        <v>500</v>
      </c>
      <c r="Q247">
        <v>8900</v>
      </c>
      <c r="R247">
        <v>100</v>
      </c>
    </row>
    <row r="248" spans="1:18" x14ac:dyDescent="0.2">
      <c r="A248" t="s">
        <v>24</v>
      </c>
      <c r="B248">
        <v>21</v>
      </c>
      <c r="C248">
        <v>68</v>
      </c>
      <c r="D248">
        <v>7</v>
      </c>
      <c r="E248">
        <v>150</v>
      </c>
      <c r="F248">
        <v>30</v>
      </c>
      <c r="G248">
        <v>8</v>
      </c>
      <c r="H248">
        <v>10</v>
      </c>
      <c r="I248">
        <v>2200</v>
      </c>
      <c r="J248">
        <v>20</v>
      </c>
      <c r="K248">
        <v>10</v>
      </c>
      <c r="L248">
        <v>20</v>
      </c>
      <c r="M248">
        <v>150</v>
      </c>
      <c r="N248">
        <v>70</v>
      </c>
      <c r="O248">
        <v>57600</v>
      </c>
      <c r="P248">
        <v>300</v>
      </c>
      <c r="Q248">
        <v>8500</v>
      </c>
      <c r="R248">
        <v>400</v>
      </c>
    </row>
    <row r="249" spans="1:18" x14ac:dyDescent="0.2">
      <c r="A249" t="s">
        <v>24</v>
      </c>
      <c r="B249">
        <v>22</v>
      </c>
      <c r="C249">
        <v>90</v>
      </c>
      <c r="D249">
        <v>10</v>
      </c>
      <c r="E249">
        <v>250</v>
      </c>
      <c r="F249">
        <v>10</v>
      </c>
      <c r="G249">
        <v>4</v>
      </c>
      <c r="H249">
        <v>6</v>
      </c>
      <c r="I249">
        <v>3570</v>
      </c>
      <c r="J249">
        <v>80</v>
      </c>
      <c r="K249">
        <v>100</v>
      </c>
      <c r="L249">
        <v>100</v>
      </c>
      <c r="M249">
        <v>100</v>
      </c>
      <c r="N249">
        <v>200</v>
      </c>
      <c r="O249">
        <v>65200</v>
      </c>
      <c r="P249">
        <v>300</v>
      </c>
      <c r="Q249">
        <v>9300</v>
      </c>
      <c r="R249">
        <v>300</v>
      </c>
    </row>
    <row r="250" spans="1:18" x14ac:dyDescent="0.2">
      <c r="A250" t="s">
        <v>24</v>
      </c>
      <c r="B250">
        <v>23</v>
      </c>
      <c r="C250">
        <v>101</v>
      </c>
      <c r="D250">
        <v>3</v>
      </c>
      <c r="E250">
        <v>270</v>
      </c>
      <c r="F250">
        <v>20</v>
      </c>
      <c r="G250">
        <v>4</v>
      </c>
      <c r="H250">
        <v>5</v>
      </c>
      <c r="I250">
        <v>4810</v>
      </c>
      <c r="J250">
        <v>80</v>
      </c>
      <c r="K250">
        <v>0</v>
      </c>
      <c r="L250">
        <v>0</v>
      </c>
      <c r="M250">
        <v>20</v>
      </c>
      <c r="N250">
        <v>20</v>
      </c>
      <c r="O250">
        <v>68200</v>
      </c>
      <c r="P250">
        <v>500</v>
      </c>
      <c r="Q250">
        <v>9680</v>
      </c>
      <c r="R250">
        <v>50</v>
      </c>
    </row>
    <row r="251" spans="1:18" x14ac:dyDescent="0.2">
      <c r="A251" t="s">
        <v>24</v>
      </c>
      <c r="B251">
        <v>24</v>
      </c>
      <c r="C251">
        <v>100</v>
      </c>
      <c r="D251">
        <v>9</v>
      </c>
      <c r="E251">
        <v>186</v>
      </c>
      <c r="F251">
        <v>9</v>
      </c>
      <c r="G251">
        <v>0</v>
      </c>
      <c r="H251">
        <v>0</v>
      </c>
      <c r="I251">
        <v>4761</v>
      </c>
      <c r="J251">
        <v>1</v>
      </c>
      <c r="K251">
        <v>150</v>
      </c>
      <c r="L251">
        <v>90</v>
      </c>
      <c r="M251">
        <v>50</v>
      </c>
      <c r="N251">
        <v>30</v>
      </c>
      <c r="O251">
        <v>69500</v>
      </c>
      <c r="P251">
        <v>500</v>
      </c>
      <c r="Q251">
        <v>10000</v>
      </c>
      <c r="R251">
        <v>300</v>
      </c>
    </row>
    <row r="252" spans="1:18" x14ac:dyDescent="0.2">
      <c r="A252" t="s">
        <v>24</v>
      </c>
      <c r="B252">
        <v>25</v>
      </c>
      <c r="C252">
        <v>150</v>
      </c>
      <c r="D252">
        <v>20</v>
      </c>
      <c r="E252">
        <v>170</v>
      </c>
      <c r="F252">
        <v>20</v>
      </c>
      <c r="G252">
        <v>0</v>
      </c>
      <c r="H252">
        <v>0</v>
      </c>
      <c r="I252">
        <v>6100</v>
      </c>
      <c r="J252">
        <v>200</v>
      </c>
      <c r="K252">
        <v>150</v>
      </c>
      <c r="L252">
        <v>60</v>
      </c>
      <c r="M252">
        <v>70</v>
      </c>
      <c r="N252">
        <v>70</v>
      </c>
      <c r="O252">
        <v>70650</v>
      </c>
      <c r="P252">
        <v>50</v>
      </c>
      <c r="Q252">
        <v>10100</v>
      </c>
      <c r="R252">
        <v>200</v>
      </c>
    </row>
    <row r="253" spans="1:18" x14ac:dyDescent="0.2">
      <c r="A253" t="s">
        <v>24</v>
      </c>
      <c r="B253">
        <v>26</v>
      </c>
      <c r="C253">
        <v>106</v>
      </c>
      <c r="D253">
        <v>5</v>
      </c>
      <c r="E253">
        <v>250</v>
      </c>
      <c r="F253">
        <v>10</v>
      </c>
      <c r="G253">
        <v>2</v>
      </c>
      <c r="H253">
        <v>4</v>
      </c>
      <c r="I253">
        <v>6100</v>
      </c>
      <c r="J253">
        <v>100</v>
      </c>
      <c r="K253">
        <v>120</v>
      </c>
      <c r="L253">
        <v>60</v>
      </c>
      <c r="M253">
        <v>88</v>
      </c>
      <c r="N253">
        <v>9</v>
      </c>
      <c r="O253">
        <v>70200</v>
      </c>
      <c r="P253">
        <v>500</v>
      </c>
      <c r="Q253">
        <v>9900</v>
      </c>
      <c r="R253">
        <v>200</v>
      </c>
    </row>
    <row r="254" spans="1:18" x14ac:dyDescent="0.2">
      <c r="A254" t="s">
        <v>24</v>
      </c>
      <c r="B254">
        <v>27</v>
      </c>
      <c r="C254">
        <v>106.5</v>
      </c>
      <c r="D254">
        <v>7</v>
      </c>
      <c r="E254">
        <v>298</v>
      </c>
      <c r="F254">
        <v>4</v>
      </c>
      <c r="G254">
        <v>0</v>
      </c>
      <c r="H254">
        <v>0</v>
      </c>
      <c r="I254">
        <v>6220</v>
      </c>
      <c r="J254">
        <v>10</v>
      </c>
      <c r="K254">
        <v>40</v>
      </c>
      <c r="L254">
        <v>50</v>
      </c>
      <c r="M254">
        <v>0</v>
      </c>
      <c r="N254">
        <v>0</v>
      </c>
      <c r="O254">
        <v>71400</v>
      </c>
      <c r="P254">
        <v>200</v>
      </c>
      <c r="Q254">
        <v>10200</v>
      </c>
      <c r="R254">
        <v>200</v>
      </c>
    </row>
    <row r="255" spans="1:18" x14ac:dyDescent="0.2">
      <c r="A255" t="s">
        <v>24</v>
      </c>
      <c r="B255">
        <v>28</v>
      </c>
      <c r="C255">
        <v>130</v>
      </c>
      <c r="D255">
        <v>20</v>
      </c>
      <c r="E255">
        <v>310</v>
      </c>
      <c r="F255">
        <v>7</v>
      </c>
      <c r="G255">
        <v>0</v>
      </c>
      <c r="H255">
        <v>0</v>
      </c>
      <c r="I255">
        <v>6600</v>
      </c>
      <c r="J255">
        <v>100</v>
      </c>
      <c r="K255">
        <v>120</v>
      </c>
      <c r="L255">
        <v>20</v>
      </c>
      <c r="M255">
        <v>80</v>
      </c>
      <c r="N255">
        <v>100</v>
      </c>
      <c r="O255">
        <v>71800</v>
      </c>
      <c r="P255">
        <v>400</v>
      </c>
      <c r="Q255">
        <v>10120</v>
      </c>
      <c r="R255">
        <v>80</v>
      </c>
    </row>
    <row r="256" spans="1:18" x14ac:dyDescent="0.2">
      <c r="A256" t="s">
        <v>24</v>
      </c>
      <c r="B256">
        <v>29</v>
      </c>
      <c r="C256">
        <v>170</v>
      </c>
      <c r="D256">
        <v>20</v>
      </c>
      <c r="E256">
        <v>560</v>
      </c>
      <c r="F256">
        <v>50</v>
      </c>
      <c r="G256">
        <v>7</v>
      </c>
      <c r="H256">
        <v>10</v>
      </c>
      <c r="I256">
        <v>8170</v>
      </c>
      <c r="J256">
        <v>20</v>
      </c>
      <c r="K256">
        <v>0</v>
      </c>
      <c r="L256">
        <v>0</v>
      </c>
      <c r="M256">
        <v>180</v>
      </c>
      <c r="N256">
        <v>30</v>
      </c>
      <c r="O256">
        <v>71500</v>
      </c>
      <c r="P256">
        <v>800</v>
      </c>
      <c r="Q256">
        <v>10350</v>
      </c>
      <c r="R256">
        <v>10</v>
      </c>
    </row>
    <row r="257" spans="1:18" x14ac:dyDescent="0.2">
      <c r="A257" t="s">
        <v>24</v>
      </c>
      <c r="B257">
        <v>30</v>
      </c>
      <c r="C257">
        <v>258</v>
      </c>
      <c r="D257">
        <v>2</v>
      </c>
      <c r="E257">
        <v>1240</v>
      </c>
      <c r="F257">
        <v>30</v>
      </c>
      <c r="G257">
        <v>0</v>
      </c>
      <c r="H257">
        <v>0</v>
      </c>
      <c r="I257">
        <v>10590</v>
      </c>
      <c r="J257">
        <v>30</v>
      </c>
      <c r="K257">
        <v>80</v>
      </c>
      <c r="L257">
        <v>100</v>
      </c>
      <c r="M257">
        <v>30</v>
      </c>
      <c r="N257">
        <v>50</v>
      </c>
      <c r="O257">
        <v>70500</v>
      </c>
      <c r="P257">
        <v>400</v>
      </c>
      <c r="Q257">
        <v>9900</v>
      </c>
      <c r="R257">
        <v>200</v>
      </c>
    </row>
    <row r="258" spans="1:18" x14ac:dyDescent="0.2">
      <c r="A258" t="s">
        <v>24</v>
      </c>
      <c r="B258">
        <v>31</v>
      </c>
      <c r="C258">
        <v>260</v>
      </c>
      <c r="D258">
        <v>30</v>
      </c>
      <c r="E258">
        <v>1840</v>
      </c>
      <c r="F258">
        <v>30</v>
      </c>
      <c r="G258">
        <v>9</v>
      </c>
      <c r="H258">
        <v>10</v>
      </c>
      <c r="I258">
        <v>11700</v>
      </c>
      <c r="J258">
        <v>300</v>
      </c>
      <c r="K258">
        <v>140</v>
      </c>
      <c r="L258">
        <v>90</v>
      </c>
      <c r="M258">
        <v>100</v>
      </c>
      <c r="N258">
        <v>200</v>
      </c>
      <c r="O258">
        <v>70600</v>
      </c>
      <c r="P258">
        <v>300</v>
      </c>
      <c r="Q258">
        <v>10180</v>
      </c>
      <c r="R258">
        <v>40</v>
      </c>
    </row>
    <row r="259" spans="1:18" x14ac:dyDescent="0.2">
      <c r="A259" t="s">
        <v>24</v>
      </c>
      <c r="B259">
        <v>32</v>
      </c>
      <c r="C259">
        <v>400</v>
      </c>
      <c r="D259">
        <v>20</v>
      </c>
      <c r="E259">
        <v>2010</v>
      </c>
      <c r="F259">
        <v>40</v>
      </c>
      <c r="G259">
        <v>10</v>
      </c>
      <c r="H259">
        <v>10</v>
      </c>
      <c r="I259">
        <v>12110</v>
      </c>
      <c r="J259">
        <v>30</v>
      </c>
      <c r="K259">
        <v>180</v>
      </c>
      <c r="L259">
        <v>30</v>
      </c>
      <c r="M259">
        <v>140</v>
      </c>
      <c r="N259">
        <v>10</v>
      </c>
      <c r="O259">
        <v>71100</v>
      </c>
      <c r="P259">
        <v>200</v>
      </c>
      <c r="Q259">
        <v>9960</v>
      </c>
      <c r="R259">
        <v>60</v>
      </c>
    </row>
    <row r="260" spans="1:18" x14ac:dyDescent="0.2">
      <c r="A260" t="s">
        <v>24</v>
      </c>
      <c r="B260">
        <v>33</v>
      </c>
      <c r="C260">
        <v>297</v>
      </c>
      <c r="D260">
        <v>8</v>
      </c>
      <c r="E260">
        <v>2270</v>
      </c>
      <c r="F260">
        <v>10</v>
      </c>
      <c r="G260">
        <v>8</v>
      </c>
      <c r="H260">
        <v>10</v>
      </c>
      <c r="I260">
        <v>12200</v>
      </c>
      <c r="J260">
        <v>20</v>
      </c>
      <c r="K260">
        <v>150</v>
      </c>
      <c r="L260">
        <v>70</v>
      </c>
      <c r="M260">
        <v>300</v>
      </c>
      <c r="N260">
        <v>100</v>
      </c>
      <c r="O260">
        <v>70200</v>
      </c>
      <c r="P260">
        <v>400</v>
      </c>
      <c r="Q260">
        <v>10000</v>
      </c>
      <c r="R260">
        <v>300</v>
      </c>
    </row>
    <row r="261" spans="1:18" x14ac:dyDescent="0.2">
      <c r="A261" t="s">
        <v>24</v>
      </c>
      <c r="B261">
        <v>34</v>
      </c>
      <c r="C261">
        <v>350</v>
      </c>
      <c r="D261">
        <v>2</v>
      </c>
      <c r="E261">
        <v>2530</v>
      </c>
      <c r="F261">
        <v>40</v>
      </c>
      <c r="G261">
        <v>0</v>
      </c>
      <c r="H261">
        <v>0</v>
      </c>
      <c r="I261">
        <v>13430</v>
      </c>
      <c r="J261">
        <v>30</v>
      </c>
      <c r="K261">
        <v>88</v>
      </c>
      <c r="L261">
        <v>8</v>
      </c>
      <c r="M261">
        <v>100</v>
      </c>
      <c r="N261">
        <v>100</v>
      </c>
      <c r="O261">
        <v>70200</v>
      </c>
      <c r="P261">
        <v>400</v>
      </c>
      <c r="Q261">
        <v>10300</v>
      </c>
      <c r="R261">
        <v>100</v>
      </c>
    </row>
    <row r="262" spans="1:18" x14ac:dyDescent="0.2">
      <c r="A262" t="s">
        <v>24</v>
      </c>
      <c r="B262">
        <v>35</v>
      </c>
      <c r="C262">
        <v>360</v>
      </c>
      <c r="D262">
        <v>50</v>
      </c>
      <c r="E262">
        <v>2600</v>
      </c>
      <c r="F262">
        <v>200</v>
      </c>
      <c r="G262">
        <v>7</v>
      </c>
      <c r="H262">
        <v>10</v>
      </c>
      <c r="I262">
        <v>14600</v>
      </c>
      <c r="J262">
        <v>200</v>
      </c>
      <c r="K262">
        <v>100</v>
      </c>
      <c r="L262">
        <v>100</v>
      </c>
      <c r="M262">
        <v>270</v>
      </c>
      <c r="N262">
        <v>60</v>
      </c>
      <c r="O262">
        <v>70500</v>
      </c>
      <c r="P262">
        <v>400</v>
      </c>
      <c r="Q262">
        <v>10200</v>
      </c>
      <c r="R262">
        <v>200</v>
      </c>
    </row>
    <row r="263" spans="1:18" x14ac:dyDescent="0.2">
      <c r="A263" t="s">
        <v>24</v>
      </c>
      <c r="B263">
        <v>36</v>
      </c>
      <c r="C263">
        <v>320</v>
      </c>
      <c r="D263">
        <v>20</v>
      </c>
      <c r="E263">
        <v>2300</v>
      </c>
      <c r="F263">
        <v>200</v>
      </c>
      <c r="G263">
        <v>0</v>
      </c>
      <c r="H263">
        <v>0</v>
      </c>
      <c r="I263">
        <v>14720</v>
      </c>
      <c r="J263">
        <v>90</v>
      </c>
      <c r="K263">
        <v>170</v>
      </c>
      <c r="L263">
        <v>50</v>
      </c>
      <c r="M263">
        <v>10</v>
      </c>
      <c r="N263">
        <v>20</v>
      </c>
      <c r="O263">
        <v>70880</v>
      </c>
      <c r="P263">
        <v>90</v>
      </c>
      <c r="Q263">
        <v>10270</v>
      </c>
      <c r="R263">
        <v>60</v>
      </c>
    </row>
    <row r="264" spans="1:18" x14ac:dyDescent="0.2">
      <c r="A264" t="s">
        <v>24</v>
      </c>
      <c r="B264">
        <v>37</v>
      </c>
      <c r="C264">
        <v>342</v>
      </c>
      <c r="D264">
        <v>5</v>
      </c>
      <c r="E264">
        <v>2233</v>
      </c>
      <c r="F264">
        <v>6</v>
      </c>
      <c r="G264">
        <v>8</v>
      </c>
      <c r="H264">
        <v>10</v>
      </c>
      <c r="I264">
        <v>11880</v>
      </c>
      <c r="J264">
        <v>30</v>
      </c>
      <c r="K264">
        <v>80</v>
      </c>
      <c r="L264">
        <v>50</v>
      </c>
      <c r="M264">
        <v>20</v>
      </c>
      <c r="N264">
        <v>30</v>
      </c>
      <c r="O264">
        <v>70600</v>
      </c>
      <c r="P264">
        <v>400</v>
      </c>
      <c r="Q264">
        <v>10100</v>
      </c>
      <c r="R264">
        <v>100</v>
      </c>
    </row>
    <row r="265" spans="1:18" x14ac:dyDescent="0.2">
      <c r="A265" t="s">
        <v>24</v>
      </c>
      <c r="B265">
        <v>38</v>
      </c>
      <c r="C265">
        <v>260</v>
      </c>
      <c r="D265">
        <v>10</v>
      </c>
      <c r="E265">
        <v>2000</v>
      </c>
      <c r="F265">
        <v>40</v>
      </c>
      <c r="G265">
        <v>6</v>
      </c>
      <c r="H265">
        <v>8</v>
      </c>
      <c r="I265">
        <v>11430</v>
      </c>
      <c r="J265">
        <v>90</v>
      </c>
      <c r="K265">
        <v>100</v>
      </c>
      <c r="L265">
        <v>200</v>
      </c>
      <c r="M265">
        <v>90</v>
      </c>
      <c r="N265">
        <v>100</v>
      </c>
      <c r="O265">
        <v>71800</v>
      </c>
      <c r="P265">
        <v>200</v>
      </c>
      <c r="Q265">
        <v>10100</v>
      </c>
      <c r="R265">
        <v>100</v>
      </c>
    </row>
    <row r="266" spans="1:18" x14ac:dyDescent="0.2">
      <c r="A266" t="s">
        <v>24</v>
      </c>
      <c r="B266">
        <v>39</v>
      </c>
      <c r="C266">
        <v>250</v>
      </c>
      <c r="D266">
        <v>10</v>
      </c>
      <c r="E266">
        <v>1570</v>
      </c>
      <c r="F266">
        <v>50</v>
      </c>
      <c r="G266">
        <v>7</v>
      </c>
      <c r="H266">
        <v>10</v>
      </c>
      <c r="I266">
        <v>11200</v>
      </c>
      <c r="J266">
        <v>300</v>
      </c>
      <c r="K266">
        <v>80</v>
      </c>
      <c r="L266">
        <v>40</v>
      </c>
      <c r="M266">
        <v>20</v>
      </c>
      <c r="N266">
        <v>30</v>
      </c>
      <c r="O266">
        <v>72200</v>
      </c>
      <c r="P266">
        <v>200</v>
      </c>
      <c r="Q266">
        <v>10170</v>
      </c>
      <c r="R266">
        <v>50</v>
      </c>
    </row>
    <row r="267" spans="1:18" x14ac:dyDescent="0.2">
      <c r="A267" t="s">
        <v>24</v>
      </c>
      <c r="B267">
        <v>40</v>
      </c>
      <c r="C267">
        <v>360</v>
      </c>
      <c r="D267">
        <v>20</v>
      </c>
      <c r="E267">
        <v>1600</v>
      </c>
      <c r="F267">
        <v>100</v>
      </c>
      <c r="G267">
        <v>11</v>
      </c>
      <c r="H267">
        <v>0</v>
      </c>
      <c r="I267">
        <v>12100</v>
      </c>
      <c r="J267">
        <v>300</v>
      </c>
      <c r="K267">
        <v>110</v>
      </c>
      <c r="L267">
        <v>50</v>
      </c>
      <c r="M267">
        <v>70</v>
      </c>
      <c r="N267">
        <v>100</v>
      </c>
      <c r="O267">
        <v>72500</v>
      </c>
      <c r="P267">
        <v>400</v>
      </c>
      <c r="Q267">
        <v>10220</v>
      </c>
      <c r="R267">
        <v>40</v>
      </c>
    </row>
    <row r="268" spans="1:18" x14ac:dyDescent="0.2">
      <c r="A268" t="s">
        <v>24</v>
      </c>
      <c r="B268">
        <v>41</v>
      </c>
      <c r="C268">
        <v>430</v>
      </c>
      <c r="D268">
        <v>60</v>
      </c>
      <c r="E268">
        <v>1470</v>
      </c>
      <c r="F268">
        <v>40</v>
      </c>
      <c r="G268">
        <v>14</v>
      </c>
      <c r="H268">
        <v>6</v>
      </c>
      <c r="I268">
        <v>13300</v>
      </c>
      <c r="J268">
        <v>200</v>
      </c>
      <c r="K268">
        <v>130</v>
      </c>
      <c r="L268">
        <v>30</v>
      </c>
      <c r="M268">
        <v>110</v>
      </c>
      <c r="N268">
        <v>30</v>
      </c>
      <c r="O268">
        <v>72500</v>
      </c>
      <c r="P268">
        <v>700</v>
      </c>
      <c r="Q268">
        <v>10030</v>
      </c>
      <c r="R268">
        <v>60</v>
      </c>
    </row>
    <row r="269" spans="1:18" x14ac:dyDescent="0.2">
      <c r="A269" t="s">
        <v>24</v>
      </c>
      <c r="B269">
        <v>42</v>
      </c>
      <c r="C269">
        <v>150</v>
      </c>
      <c r="D269">
        <v>40</v>
      </c>
      <c r="E269">
        <v>650</v>
      </c>
      <c r="F269">
        <v>50</v>
      </c>
      <c r="G269">
        <v>6</v>
      </c>
      <c r="H269">
        <v>9</v>
      </c>
      <c r="I269">
        <v>8740</v>
      </c>
      <c r="J269">
        <v>10</v>
      </c>
      <c r="K269">
        <v>100</v>
      </c>
      <c r="L269">
        <v>40</v>
      </c>
      <c r="M269">
        <v>207</v>
      </c>
      <c r="N269">
        <v>7</v>
      </c>
      <c r="O269">
        <v>72600</v>
      </c>
      <c r="P269">
        <v>100</v>
      </c>
      <c r="Q269">
        <v>10100</v>
      </c>
      <c r="R269">
        <v>100</v>
      </c>
    </row>
    <row r="270" spans="1:18" x14ac:dyDescent="0.2">
      <c r="A270" t="s">
        <v>24</v>
      </c>
      <c r="B270">
        <v>43</v>
      </c>
      <c r="C270">
        <v>151.5</v>
      </c>
      <c r="D270">
        <v>7</v>
      </c>
      <c r="E270">
        <v>540</v>
      </c>
      <c r="F270">
        <v>10</v>
      </c>
      <c r="G270">
        <v>0</v>
      </c>
      <c r="H270">
        <v>0</v>
      </c>
      <c r="I270">
        <v>8610</v>
      </c>
      <c r="J270">
        <v>70</v>
      </c>
      <c r="K270">
        <v>130</v>
      </c>
      <c r="L270">
        <v>40</v>
      </c>
      <c r="M270">
        <v>200</v>
      </c>
      <c r="N270">
        <v>200</v>
      </c>
      <c r="O270">
        <v>72400</v>
      </c>
      <c r="P270">
        <v>300</v>
      </c>
      <c r="Q270">
        <v>10200</v>
      </c>
      <c r="R270">
        <v>100</v>
      </c>
    </row>
    <row r="271" spans="1:18" x14ac:dyDescent="0.2">
      <c r="A271" t="s">
        <v>24</v>
      </c>
      <c r="B271">
        <v>44</v>
      </c>
      <c r="C271">
        <v>120</v>
      </c>
      <c r="D271">
        <v>20</v>
      </c>
      <c r="E271">
        <v>500</v>
      </c>
      <c r="F271">
        <v>10</v>
      </c>
      <c r="G271">
        <v>2</v>
      </c>
      <c r="H271">
        <v>3</v>
      </c>
      <c r="I271">
        <v>8700</v>
      </c>
      <c r="J271">
        <v>200</v>
      </c>
      <c r="K271">
        <v>70</v>
      </c>
      <c r="L271">
        <v>100</v>
      </c>
      <c r="M271">
        <v>80</v>
      </c>
      <c r="N271">
        <v>100</v>
      </c>
      <c r="O271">
        <v>73560</v>
      </c>
      <c r="P271">
        <v>90</v>
      </c>
      <c r="Q271">
        <v>10220</v>
      </c>
      <c r="R271">
        <v>80</v>
      </c>
    </row>
    <row r="272" spans="1:18" x14ac:dyDescent="0.2">
      <c r="A272" t="s">
        <v>24</v>
      </c>
      <c r="B272">
        <v>45</v>
      </c>
      <c r="C272">
        <v>160</v>
      </c>
      <c r="D272">
        <v>20</v>
      </c>
      <c r="E272">
        <v>640</v>
      </c>
      <c r="F272">
        <v>30</v>
      </c>
      <c r="G272">
        <v>0</v>
      </c>
      <c r="H272">
        <v>0</v>
      </c>
      <c r="I272">
        <v>8940</v>
      </c>
      <c r="J272">
        <v>40</v>
      </c>
      <c r="K272">
        <v>80</v>
      </c>
      <c r="L272">
        <v>100</v>
      </c>
      <c r="M272">
        <v>0</v>
      </c>
      <c r="N272">
        <v>0</v>
      </c>
      <c r="O272">
        <v>72600</v>
      </c>
      <c r="P272">
        <v>600</v>
      </c>
      <c r="Q272">
        <v>10150</v>
      </c>
      <c r="R272">
        <v>90</v>
      </c>
    </row>
    <row r="273" spans="1:18" x14ac:dyDescent="0.2">
      <c r="A273" t="s">
        <v>24</v>
      </c>
      <c r="B273">
        <v>46</v>
      </c>
      <c r="C273">
        <v>230</v>
      </c>
      <c r="D273">
        <v>30</v>
      </c>
      <c r="E273">
        <v>860</v>
      </c>
      <c r="F273">
        <v>20</v>
      </c>
      <c r="G273">
        <v>4</v>
      </c>
      <c r="H273">
        <v>6</v>
      </c>
      <c r="I273">
        <v>10210</v>
      </c>
      <c r="J273">
        <v>20</v>
      </c>
      <c r="K273">
        <v>30</v>
      </c>
      <c r="L273">
        <v>30</v>
      </c>
      <c r="M273">
        <v>230</v>
      </c>
      <c r="N273">
        <v>20</v>
      </c>
      <c r="O273">
        <v>72400</v>
      </c>
      <c r="P273">
        <v>700</v>
      </c>
      <c r="Q273">
        <v>10400</v>
      </c>
      <c r="R273">
        <v>200</v>
      </c>
    </row>
    <row r="274" spans="1:18" x14ac:dyDescent="0.2">
      <c r="A274" t="s">
        <v>24</v>
      </c>
      <c r="B274">
        <v>47</v>
      </c>
      <c r="C274">
        <v>170</v>
      </c>
      <c r="D274">
        <v>10</v>
      </c>
      <c r="E274">
        <v>800</v>
      </c>
      <c r="F274">
        <v>80</v>
      </c>
      <c r="G274">
        <v>0</v>
      </c>
      <c r="H274">
        <v>0</v>
      </c>
      <c r="I274">
        <v>9940</v>
      </c>
      <c r="J274">
        <v>70</v>
      </c>
      <c r="K274">
        <v>40</v>
      </c>
      <c r="L274">
        <v>50</v>
      </c>
      <c r="M274">
        <v>150</v>
      </c>
      <c r="N274">
        <v>80</v>
      </c>
      <c r="O274">
        <v>71900</v>
      </c>
      <c r="P274">
        <v>800</v>
      </c>
      <c r="Q274">
        <v>10370</v>
      </c>
      <c r="R274">
        <v>20</v>
      </c>
    </row>
    <row r="275" spans="1:18" x14ac:dyDescent="0.2">
      <c r="A275" t="s">
        <v>24</v>
      </c>
      <c r="B275">
        <v>48</v>
      </c>
      <c r="C275">
        <v>182</v>
      </c>
      <c r="D275">
        <v>4</v>
      </c>
      <c r="E275">
        <v>940</v>
      </c>
      <c r="F275">
        <v>10</v>
      </c>
      <c r="G275">
        <v>4</v>
      </c>
      <c r="H275">
        <v>5</v>
      </c>
      <c r="I275">
        <v>10963</v>
      </c>
      <c r="J275">
        <v>3</v>
      </c>
      <c r="K275">
        <v>190</v>
      </c>
      <c r="L275">
        <v>10</v>
      </c>
      <c r="M275">
        <v>0</v>
      </c>
      <c r="N275">
        <v>0</v>
      </c>
      <c r="O275">
        <v>71200</v>
      </c>
      <c r="P275">
        <v>300</v>
      </c>
      <c r="Q275">
        <v>10000</v>
      </c>
      <c r="R275">
        <v>100</v>
      </c>
    </row>
    <row r="276" spans="1:18" x14ac:dyDescent="0.2">
      <c r="A276" t="s">
        <v>24</v>
      </c>
      <c r="B276">
        <v>49</v>
      </c>
      <c r="C276">
        <v>210</v>
      </c>
      <c r="D276">
        <v>40</v>
      </c>
      <c r="E276">
        <v>1190</v>
      </c>
      <c r="F276">
        <v>90</v>
      </c>
      <c r="G276">
        <v>20</v>
      </c>
      <c r="H276">
        <v>30</v>
      </c>
      <c r="I276">
        <v>11150</v>
      </c>
      <c r="J276">
        <v>30</v>
      </c>
      <c r="K276">
        <v>210</v>
      </c>
      <c r="L276">
        <v>40</v>
      </c>
      <c r="M276">
        <v>9</v>
      </c>
      <c r="N276">
        <v>10</v>
      </c>
      <c r="O276">
        <v>71500</v>
      </c>
      <c r="P276">
        <v>300</v>
      </c>
      <c r="Q276">
        <v>10300</v>
      </c>
      <c r="R276">
        <v>300</v>
      </c>
    </row>
    <row r="277" spans="1:18" x14ac:dyDescent="0.2">
      <c r="A277" t="s">
        <v>24</v>
      </c>
      <c r="B277">
        <v>50</v>
      </c>
      <c r="C277">
        <v>156</v>
      </c>
      <c r="D277">
        <v>4</v>
      </c>
      <c r="E277">
        <v>950</v>
      </c>
      <c r="F277">
        <v>30</v>
      </c>
      <c r="G277">
        <v>0</v>
      </c>
      <c r="H277">
        <v>0</v>
      </c>
      <c r="I277">
        <v>10390</v>
      </c>
      <c r="J277">
        <v>50</v>
      </c>
      <c r="K277">
        <v>140</v>
      </c>
      <c r="L277">
        <v>70</v>
      </c>
      <c r="M277">
        <v>0</v>
      </c>
      <c r="N277">
        <v>0</v>
      </c>
      <c r="O277">
        <v>71300</v>
      </c>
      <c r="P277">
        <v>200</v>
      </c>
      <c r="Q277">
        <v>9900</v>
      </c>
      <c r="R277">
        <v>100</v>
      </c>
    </row>
    <row r="278" spans="1:18" x14ac:dyDescent="0.2">
      <c r="A278" t="s">
        <v>24</v>
      </c>
      <c r="B278">
        <v>51</v>
      </c>
      <c r="C278">
        <v>180</v>
      </c>
      <c r="D278">
        <v>10</v>
      </c>
      <c r="E278">
        <v>876</v>
      </c>
      <c r="F278">
        <v>7</v>
      </c>
      <c r="G278">
        <v>0</v>
      </c>
      <c r="H278">
        <v>0</v>
      </c>
      <c r="I278">
        <v>10750</v>
      </c>
      <c r="J278">
        <v>80</v>
      </c>
      <c r="K278">
        <v>228.5</v>
      </c>
      <c r="L278">
        <v>7</v>
      </c>
      <c r="M278">
        <v>50</v>
      </c>
      <c r="N278">
        <v>10</v>
      </c>
      <c r="O278">
        <v>71400</v>
      </c>
      <c r="P278">
        <v>400</v>
      </c>
      <c r="Q278">
        <v>10000</v>
      </c>
      <c r="R278">
        <v>100</v>
      </c>
    </row>
    <row r="279" spans="1:18" x14ac:dyDescent="0.2">
      <c r="A279" t="s">
        <v>24</v>
      </c>
      <c r="B279">
        <v>52</v>
      </c>
      <c r="C279">
        <v>220</v>
      </c>
      <c r="D279">
        <v>10</v>
      </c>
      <c r="E279">
        <v>920</v>
      </c>
      <c r="F279">
        <v>10</v>
      </c>
      <c r="G279">
        <v>20</v>
      </c>
      <c r="H279">
        <v>9</v>
      </c>
      <c r="I279">
        <v>11030</v>
      </c>
      <c r="J279">
        <v>20</v>
      </c>
      <c r="K279">
        <v>180</v>
      </c>
      <c r="L279">
        <v>60</v>
      </c>
      <c r="M279">
        <v>100</v>
      </c>
      <c r="N279">
        <v>100</v>
      </c>
      <c r="O279">
        <v>72030</v>
      </c>
      <c r="P279">
        <v>20</v>
      </c>
      <c r="Q279">
        <v>10200</v>
      </c>
      <c r="R279">
        <v>30</v>
      </c>
    </row>
    <row r="280" spans="1:18" x14ac:dyDescent="0.2">
      <c r="A280" t="s">
        <v>24</v>
      </c>
      <c r="B280">
        <v>53</v>
      </c>
      <c r="C280">
        <v>170</v>
      </c>
      <c r="D280">
        <v>20</v>
      </c>
      <c r="E280">
        <v>700</v>
      </c>
      <c r="F280">
        <v>50</v>
      </c>
      <c r="G280">
        <v>0</v>
      </c>
      <c r="H280">
        <v>0</v>
      </c>
      <c r="I280">
        <v>9300</v>
      </c>
      <c r="J280">
        <v>200</v>
      </c>
      <c r="K280">
        <v>120</v>
      </c>
      <c r="L280">
        <v>10</v>
      </c>
      <c r="M280">
        <v>23</v>
      </c>
      <c r="N280">
        <v>7</v>
      </c>
      <c r="O280">
        <v>71000</v>
      </c>
      <c r="P280">
        <v>600</v>
      </c>
      <c r="Q280">
        <v>9900</v>
      </c>
      <c r="R280">
        <v>300</v>
      </c>
    </row>
    <row r="281" spans="1:18" x14ac:dyDescent="0.2">
      <c r="A281" t="s">
        <v>24</v>
      </c>
      <c r="B281">
        <v>54</v>
      </c>
      <c r="C281">
        <v>215</v>
      </c>
      <c r="D281">
        <v>3</v>
      </c>
      <c r="E281">
        <v>740</v>
      </c>
      <c r="F281">
        <v>40</v>
      </c>
      <c r="G281">
        <v>0</v>
      </c>
      <c r="H281">
        <v>0</v>
      </c>
      <c r="I281">
        <v>10230</v>
      </c>
      <c r="J281">
        <v>20</v>
      </c>
      <c r="K281">
        <v>100</v>
      </c>
      <c r="L281">
        <v>50</v>
      </c>
      <c r="M281">
        <v>40</v>
      </c>
      <c r="N281">
        <v>50</v>
      </c>
      <c r="O281">
        <v>70700</v>
      </c>
      <c r="P281">
        <v>300</v>
      </c>
      <c r="Q281">
        <v>9900</v>
      </c>
      <c r="R281">
        <v>500</v>
      </c>
    </row>
    <row r="282" spans="1:18" x14ac:dyDescent="0.2">
      <c r="A282" t="s">
        <v>24</v>
      </c>
      <c r="B282">
        <v>55</v>
      </c>
      <c r="C282">
        <v>140</v>
      </c>
      <c r="D282">
        <v>20</v>
      </c>
      <c r="E282">
        <v>715</v>
      </c>
      <c r="F282">
        <v>7</v>
      </c>
      <c r="G282">
        <v>0</v>
      </c>
      <c r="H282">
        <v>0</v>
      </c>
      <c r="I282">
        <v>9780</v>
      </c>
      <c r="J282">
        <v>70</v>
      </c>
      <c r="K282">
        <v>200</v>
      </c>
      <c r="L282">
        <v>200</v>
      </c>
      <c r="M282">
        <v>0</v>
      </c>
      <c r="N282">
        <v>0</v>
      </c>
      <c r="O282">
        <v>70900</v>
      </c>
      <c r="P282">
        <v>200</v>
      </c>
      <c r="Q282">
        <v>10000</v>
      </c>
      <c r="R282">
        <v>300</v>
      </c>
    </row>
    <row r="283" spans="1:18" x14ac:dyDescent="0.2">
      <c r="A283" t="s">
        <v>24</v>
      </c>
      <c r="B283">
        <v>56</v>
      </c>
      <c r="C283">
        <v>183</v>
      </c>
      <c r="D283">
        <v>7</v>
      </c>
      <c r="E283">
        <v>790</v>
      </c>
      <c r="F283">
        <v>30</v>
      </c>
      <c r="G283">
        <v>2</v>
      </c>
      <c r="H283">
        <v>4</v>
      </c>
      <c r="I283">
        <v>11600</v>
      </c>
      <c r="J283">
        <v>40</v>
      </c>
      <c r="K283">
        <v>100</v>
      </c>
      <c r="L283">
        <v>100</v>
      </c>
      <c r="M283">
        <v>30</v>
      </c>
      <c r="N283">
        <v>40</v>
      </c>
      <c r="O283">
        <v>70900</v>
      </c>
      <c r="P283">
        <v>100</v>
      </c>
      <c r="Q283">
        <v>9840</v>
      </c>
      <c r="R283">
        <v>90</v>
      </c>
    </row>
    <row r="284" spans="1:18" x14ac:dyDescent="0.2">
      <c r="A284" t="s">
        <v>24</v>
      </c>
      <c r="B284">
        <v>57</v>
      </c>
      <c r="C284">
        <v>158</v>
      </c>
      <c r="D284">
        <v>7</v>
      </c>
      <c r="E284">
        <v>656</v>
      </c>
      <c r="F284">
        <v>5</v>
      </c>
      <c r="G284">
        <v>0</v>
      </c>
      <c r="H284">
        <v>0</v>
      </c>
      <c r="I284">
        <v>12000</v>
      </c>
      <c r="J284">
        <v>100</v>
      </c>
      <c r="K284">
        <v>123</v>
      </c>
      <c r="L284">
        <v>1</v>
      </c>
      <c r="M284">
        <v>0</v>
      </c>
      <c r="N284">
        <v>0</v>
      </c>
      <c r="O284">
        <v>71100</v>
      </c>
      <c r="P284">
        <v>400</v>
      </c>
      <c r="Q284">
        <v>10000</v>
      </c>
      <c r="R284">
        <v>300</v>
      </c>
    </row>
    <row r="285" spans="1:18" x14ac:dyDescent="0.2">
      <c r="A285" t="s">
        <v>24</v>
      </c>
      <c r="B285">
        <v>58</v>
      </c>
      <c r="C285">
        <v>130</v>
      </c>
      <c r="D285">
        <v>10</v>
      </c>
      <c r="E285">
        <v>540</v>
      </c>
      <c r="F285">
        <v>60</v>
      </c>
      <c r="G285">
        <v>5</v>
      </c>
      <c r="H285">
        <v>7</v>
      </c>
      <c r="I285">
        <v>10920</v>
      </c>
      <c r="J285">
        <v>80</v>
      </c>
      <c r="K285">
        <v>80</v>
      </c>
      <c r="L285">
        <v>50</v>
      </c>
      <c r="M285">
        <v>0</v>
      </c>
      <c r="N285">
        <v>0</v>
      </c>
      <c r="O285">
        <v>71400</v>
      </c>
      <c r="P285">
        <v>200</v>
      </c>
      <c r="Q285">
        <v>10080</v>
      </c>
      <c r="R285">
        <v>50</v>
      </c>
    </row>
    <row r="286" spans="1:18" x14ac:dyDescent="0.2">
      <c r="A286" t="s">
        <v>24</v>
      </c>
      <c r="B286">
        <v>59</v>
      </c>
      <c r="C286">
        <v>150</v>
      </c>
      <c r="D286">
        <v>8</v>
      </c>
      <c r="E286">
        <v>800</v>
      </c>
      <c r="F286">
        <v>30</v>
      </c>
      <c r="G286">
        <v>0</v>
      </c>
      <c r="H286">
        <v>0</v>
      </c>
      <c r="I286">
        <v>11750</v>
      </c>
      <c r="J286">
        <v>60</v>
      </c>
      <c r="K286">
        <v>200</v>
      </c>
      <c r="L286">
        <v>100</v>
      </c>
      <c r="M286">
        <v>200</v>
      </c>
      <c r="N286">
        <v>100</v>
      </c>
      <c r="O286">
        <v>71690</v>
      </c>
      <c r="P286">
        <v>30</v>
      </c>
      <c r="Q286">
        <v>10210</v>
      </c>
      <c r="R286">
        <v>40</v>
      </c>
    </row>
    <row r="287" spans="1:18" x14ac:dyDescent="0.2">
      <c r="A287" t="s">
        <v>24</v>
      </c>
      <c r="B287">
        <v>60</v>
      </c>
      <c r="C287">
        <v>150</v>
      </c>
      <c r="D287">
        <v>30</v>
      </c>
      <c r="E287">
        <v>620</v>
      </c>
      <c r="F287">
        <v>20</v>
      </c>
      <c r="G287">
        <v>20</v>
      </c>
      <c r="H287">
        <v>30</v>
      </c>
      <c r="I287">
        <v>12000</v>
      </c>
      <c r="J287">
        <v>100</v>
      </c>
      <c r="K287">
        <v>100</v>
      </c>
      <c r="L287">
        <v>100</v>
      </c>
      <c r="M287">
        <v>100</v>
      </c>
      <c r="N287">
        <v>200</v>
      </c>
      <c r="O287">
        <v>71000</v>
      </c>
      <c r="P287">
        <v>200</v>
      </c>
      <c r="Q287">
        <v>10100</v>
      </c>
      <c r="R287">
        <v>100</v>
      </c>
    </row>
    <row r="288" spans="1:18" x14ac:dyDescent="0.2">
      <c r="A288" t="s">
        <v>24</v>
      </c>
      <c r="B288">
        <v>61</v>
      </c>
      <c r="C288">
        <v>130</v>
      </c>
      <c r="D288">
        <v>20</v>
      </c>
      <c r="E288">
        <v>450</v>
      </c>
      <c r="F288">
        <v>30</v>
      </c>
      <c r="G288">
        <v>0</v>
      </c>
      <c r="H288">
        <v>0</v>
      </c>
      <c r="I288">
        <v>9760</v>
      </c>
      <c r="J288">
        <v>70</v>
      </c>
      <c r="K288">
        <v>150</v>
      </c>
      <c r="L288">
        <v>60</v>
      </c>
      <c r="M288">
        <v>20</v>
      </c>
      <c r="N288">
        <v>30</v>
      </c>
      <c r="O288">
        <v>70540</v>
      </c>
      <c r="P288">
        <v>10</v>
      </c>
      <c r="Q288">
        <v>10100</v>
      </c>
      <c r="R288">
        <v>200</v>
      </c>
    </row>
    <row r="289" spans="1:18" x14ac:dyDescent="0.2">
      <c r="A289" t="s">
        <v>24</v>
      </c>
      <c r="B289">
        <v>62</v>
      </c>
      <c r="C289">
        <v>163</v>
      </c>
      <c r="D289">
        <v>7</v>
      </c>
      <c r="E289">
        <v>660</v>
      </c>
      <c r="F289">
        <v>70</v>
      </c>
      <c r="G289">
        <v>5</v>
      </c>
      <c r="H289">
        <v>7</v>
      </c>
      <c r="I289">
        <v>11200</v>
      </c>
      <c r="J289">
        <v>30</v>
      </c>
      <c r="K289">
        <v>100</v>
      </c>
      <c r="L289">
        <v>100</v>
      </c>
      <c r="M289">
        <v>170</v>
      </c>
      <c r="N289">
        <v>20</v>
      </c>
      <c r="O289">
        <v>71200</v>
      </c>
      <c r="P289">
        <v>300</v>
      </c>
      <c r="Q289">
        <v>10100</v>
      </c>
      <c r="R289">
        <v>100</v>
      </c>
    </row>
    <row r="290" spans="1:18" x14ac:dyDescent="0.2">
      <c r="A290" t="s">
        <v>24</v>
      </c>
      <c r="B290">
        <v>63</v>
      </c>
      <c r="C290">
        <v>140</v>
      </c>
      <c r="D290">
        <v>30</v>
      </c>
      <c r="E290">
        <v>690</v>
      </c>
      <c r="F290">
        <v>30</v>
      </c>
      <c r="G290">
        <v>0</v>
      </c>
      <c r="H290">
        <v>0</v>
      </c>
      <c r="I290">
        <v>10870</v>
      </c>
      <c r="J290">
        <v>20</v>
      </c>
      <c r="K290">
        <v>90</v>
      </c>
      <c r="L290">
        <v>100</v>
      </c>
      <c r="M290">
        <v>190</v>
      </c>
      <c r="N290">
        <v>40</v>
      </c>
      <c r="O290">
        <v>70800</v>
      </c>
      <c r="P290">
        <v>300</v>
      </c>
      <c r="Q290">
        <v>9900</v>
      </c>
      <c r="R290">
        <v>200</v>
      </c>
    </row>
    <row r="291" spans="1:18" x14ac:dyDescent="0.2">
      <c r="A291" t="s">
        <v>24</v>
      </c>
      <c r="B291">
        <v>64</v>
      </c>
      <c r="C291">
        <v>140</v>
      </c>
      <c r="D291">
        <v>30</v>
      </c>
      <c r="E291">
        <v>631</v>
      </c>
      <c r="F291">
        <v>8</v>
      </c>
      <c r="G291">
        <v>0</v>
      </c>
      <c r="H291">
        <v>0</v>
      </c>
      <c r="I291">
        <v>10490</v>
      </c>
      <c r="J291">
        <v>20</v>
      </c>
      <c r="K291">
        <v>0</v>
      </c>
      <c r="L291">
        <v>0</v>
      </c>
      <c r="M291">
        <v>210</v>
      </c>
      <c r="N291">
        <v>20</v>
      </c>
      <c r="O291">
        <v>71000</v>
      </c>
      <c r="P291">
        <v>300</v>
      </c>
      <c r="Q291">
        <v>10100</v>
      </c>
      <c r="R291">
        <v>200</v>
      </c>
    </row>
    <row r="292" spans="1:18" x14ac:dyDescent="0.2">
      <c r="A292" t="s">
        <v>24</v>
      </c>
      <c r="B292">
        <v>65</v>
      </c>
      <c r="C292">
        <v>178</v>
      </c>
      <c r="D292">
        <v>8</v>
      </c>
      <c r="E292">
        <v>680</v>
      </c>
      <c r="F292">
        <v>10</v>
      </c>
      <c r="G292">
        <v>2</v>
      </c>
      <c r="H292">
        <v>3</v>
      </c>
      <c r="I292">
        <v>10440</v>
      </c>
      <c r="J292">
        <v>70</v>
      </c>
      <c r="K292">
        <v>150</v>
      </c>
      <c r="L292">
        <v>20</v>
      </c>
      <c r="M292">
        <v>70</v>
      </c>
      <c r="N292">
        <v>100</v>
      </c>
      <c r="O292">
        <v>70220</v>
      </c>
      <c r="P292">
        <v>20</v>
      </c>
      <c r="Q292">
        <v>9800</v>
      </c>
      <c r="R292">
        <v>300</v>
      </c>
    </row>
    <row r="293" spans="1:18" x14ac:dyDescent="0.2">
      <c r="A293" t="s">
        <v>24</v>
      </c>
      <c r="B293">
        <v>66</v>
      </c>
      <c r="C293">
        <v>130</v>
      </c>
      <c r="D293">
        <v>10</v>
      </c>
      <c r="E293">
        <v>480</v>
      </c>
      <c r="F293">
        <v>30</v>
      </c>
      <c r="G293">
        <v>0</v>
      </c>
      <c r="H293">
        <v>0</v>
      </c>
      <c r="I293">
        <v>9500</v>
      </c>
      <c r="J293">
        <v>200</v>
      </c>
      <c r="K293">
        <v>180</v>
      </c>
      <c r="L293">
        <v>70</v>
      </c>
      <c r="M293">
        <v>90</v>
      </c>
      <c r="N293">
        <v>100</v>
      </c>
      <c r="O293">
        <v>71000</v>
      </c>
      <c r="P293">
        <v>1000</v>
      </c>
      <c r="Q293">
        <v>10030</v>
      </c>
      <c r="R293">
        <v>30</v>
      </c>
    </row>
    <row r="294" spans="1:18" x14ac:dyDescent="0.2">
      <c r="A294" t="s">
        <v>25</v>
      </c>
      <c r="B294">
        <v>574</v>
      </c>
      <c r="C294">
        <v>140</v>
      </c>
      <c r="D294">
        <v>20</v>
      </c>
      <c r="E294">
        <v>440</v>
      </c>
      <c r="F294">
        <v>10</v>
      </c>
      <c r="G294">
        <v>10</v>
      </c>
      <c r="H294">
        <v>10</v>
      </c>
      <c r="I294">
        <v>3482</v>
      </c>
      <c r="J294">
        <v>8</v>
      </c>
      <c r="K294">
        <v>100</v>
      </c>
      <c r="L294">
        <v>200</v>
      </c>
      <c r="M294">
        <v>186</v>
      </c>
      <c r="N294">
        <v>6</v>
      </c>
      <c r="O294">
        <v>57100</v>
      </c>
      <c r="P294">
        <v>800</v>
      </c>
      <c r="Q294">
        <v>8400</v>
      </c>
      <c r="R294">
        <v>100</v>
      </c>
    </row>
    <row r="295" spans="1:18" x14ac:dyDescent="0.2">
      <c r="A295" t="s">
        <v>25</v>
      </c>
      <c r="B295">
        <v>575</v>
      </c>
      <c r="C295">
        <v>100</v>
      </c>
      <c r="D295">
        <v>10</v>
      </c>
      <c r="E295">
        <v>710</v>
      </c>
      <c r="F295">
        <v>20</v>
      </c>
      <c r="G295">
        <v>20</v>
      </c>
      <c r="H295">
        <v>20</v>
      </c>
      <c r="I295">
        <v>4700</v>
      </c>
      <c r="J295">
        <v>100</v>
      </c>
      <c r="K295">
        <v>290</v>
      </c>
      <c r="L295">
        <v>90</v>
      </c>
      <c r="M295">
        <v>260</v>
      </c>
      <c r="N295">
        <v>40</v>
      </c>
      <c r="O295">
        <v>57380</v>
      </c>
      <c r="P295">
        <v>90</v>
      </c>
      <c r="Q295">
        <v>8700</v>
      </c>
      <c r="R295">
        <v>300</v>
      </c>
    </row>
    <row r="296" spans="1:18" x14ac:dyDescent="0.2">
      <c r="A296" t="s">
        <v>25</v>
      </c>
      <c r="B296">
        <v>576</v>
      </c>
      <c r="C296">
        <v>160</v>
      </c>
      <c r="D296">
        <v>10</v>
      </c>
      <c r="E296">
        <v>840</v>
      </c>
      <c r="F296">
        <v>40</v>
      </c>
      <c r="G296">
        <v>9</v>
      </c>
      <c r="H296">
        <v>0</v>
      </c>
      <c r="I296">
        <v>5390</v>
      </c>
      <c r="J296">
        <v>70</v>
      </c>
      <c r="K296">
        <v>400</v>
      </c>
      <c r="L296">
        <v>100</v>
      </c>
      <c r="M296">
        <v>170</v>
      </c>
      <c r="N296">
        <v>30</v>
      </c>
      <c r="O296">
        <v>59000</v>
      </c>
      <c r="P296">
        <v>400</v>
      </c>
      <c r="Q296">
        <v>8560</v>
      </c>
      <c r="R296">
        <v>10</v>
      </c>
    </row>
    <row r="297" spans="1:18" x14ac:dyDescent="0.2">
      <c r="A297" t="s">
        <v>25</v>
      </c>
      <c r="B297">
        <v>577</v>
      </c>
      <c r="C297">
        <v>108</v>
      </c>
      <c r="D297">
        <v>4</v>
      </c>
      <c r="E297">
        <v>1006</v>
      </c>
      <c r="F297">
        <v>9</v>
      </c>
      <c r="G297">
        <v>5</v>
      </c>
      <c r="H297">
        <v>7</v>
      </c>
      <c r="I297">
        <v>6080</v>
      </c>
      <c r="J297">
        <v>10</v>
      </c>
      <c r="K297">
        <v>254</v>
      </c>
      <c r="L297">
        <v>5</v>
      </c>
      <c r="M297">
        <v>300</v>
      </c>
      <c r="N297">
        <v>100</v>
      </c>
      <c r="O297">
        <v>59000</v>
      </c>
      <c r="P297">
        <v>1000</v>
      </c>
      <c r="Q297">
        <v>8830</v>
      </c>
      <c r="R297">
        <v>80</v>
      </c>
    </row>
    <row r="298" spans="1:18" x14ac:dyDescent="0.2">
      <c r="A298" t="s">
        <v>25</v>
      </c>
      <c r="B298">
        <v>578</v>
      </c>
      <c r="C298">
        <v>166</v>
      </c>
      <c r="D298">
        <v>7</v>
      </c>
      <c r="E298">
        <v>1024</v>
      </c>
      <c r="F298">
        <v>1</v>
      </c>
      <c r="G298">
        <v>20</v>
      </c>
      <c r="H298">
        <v>10</v>
      </c>
      <c r="I298">
        <v>6000</v>
      </c>
      <c r="J298">
        <v>100</v>
      </c>
      <c r="K298">
        <v>180</v>
      </c>
      <c r="L298">
        <v>90</v>
      </c>
      <c r="M298">
        <v>270</v>
      </c>
      <c r="N298">
        <v>20</v>
      </c>
      <c r="O298">
        <v>61100</v>
      </c>
      <c r="P298">
        <v>800</v>
      </c>
      <c r="Q298">
        <v>8900</v>
      </c>
      <c r="R298">
        <v>200</v>
      </c>
    </row>
    <row r="299" spans="1:18" x14ac:dyDescent="0.2">
      <c r="A299" t="s">
        <v>25</v>
      </c>
      <c r="B299">
        <v>579</v>
      </c>
      <c r="C299">
        <v>160</v>
      </c>
      <c r="D299">
        <v>10</v>
      </c>
      <c r="E299">
        <v>1140</v>
      </c>
      <c r="F299">
        <v>10</v>
      </c>
      <c r="G299">
        <v>6</v>
      </c>
      <c r="H299">
        <v>8</v>
      </c>
      <c r="I299">
        <v>7100</v>
      </c>
      <c r="J299">
        <v>100</v>
      </c>
      <c r="K299">
        <v>310</v>
      </c>
      <c r="L299">
        <v>30</v>
      </c>
      <c r="M299">
        <v>180</v>
      </c>
      <c r="N299">
        <v>3</v>
      </c>
      <c r="O299">
        <v>62400</v>
      </c>
      <c r="P299">
        <v>700</v>
      </c>
      <c r="Q299">
        <v>9260</v>
      </c>
      <c r="R299">
        <v>90</v>
      </c>
    </row>
    <row r="300" spans="1:18" x14ac:dyDescent="0.2">
      <c r="A300" t="s">
        <v>25</v>
      </c>
      <c r="B300">
        <v>580</v>
      </c>
      <c r="C300">
        <v>150</v>
      </c>
      <c r="D300">
        <v>20</v>
      </c>
      <c r="E300">
        <v>765</v>
      </c>
      <c r="F300">
        <v>6</v>
      </c>
      <c r="G300">
        <v>0</v>
      </c>
      <c r="H300">
        <v>0</v>
      </c>
      <c r="I300">
        <v>7060</v>
      </c>
      <c r="J300">
        <v>60</v>
      </c>
      <c r="K300">
        <v>420</v>
      </c>
      <c r="L300">
        <v>50</v>
      </c>
      <c r="M300">
        <v>100</v>
      </c>
      <c r="N300">
        <v>100</v>
      </c>
      <c r="O300">
        <v>62400</v>
      </c>
      <c r="P300">
        <v>900</v>
      </c>
      <c r="Q300">
        <v>9140</v>
      </c>
      <c r="R300">
        <v>80</v>
      </c>
    </row>
    <row r="301" spans="1:18" x14ac:dyDescent="0.2">
      <c r="A301" t="s">
        <v>25</v>
      </c>
      <c r="B301">
        <v>581</v>
      </c>
      <c r="C301">
        <v>140</v>
      </c>
      <c r="D301">
        <v>20</v>
      </c>
      <c r="E301">
        <v>740</v>
      </c>
      <c r="F301">
        <v>70</v>
      </c>
      <c r="G301">
        <v>7</v>
      </c>
      <c r="H301">
        <v>10</v>
      </c>
      <c r="I301">
        <v>6800</v>
      </c>
      <c r="J301">
        <v>100</v>
      </c>
      <c r="K301">
        <v>300</v>
      </c>
      <c r="L301">
        <v>40</v>
      </c>
      <c r="M301">
        <v>300</v>
      </c>
      <c r="N301">
        <v>10</v>
      </c>
      <c r="O301">
        <v>65000</v>
      </c>
      <c r="P301">
        <v>1000</v>
      </c>
      <c r="Q301">
        <v>9390</v>
      </c>
      <c r="R301">
        <v>40</v>
      </c>
    </row>
    <row r="302" spans="1:18" x14ac:dyDescent="0.2">
      <c r="A302" t="s">
        <v>25</v>
      </c>
      <c r="B302">
        <v>582</v>
      </c>
      <c r="C302">
        <v>160</v>
      </c>
      <c r="D302">
        <v>20</v>
      </c>
      <c r="E302">
        <v>660</v>
      </c>
      <c r="F302">
        <v>20</v>
      </c>
      <c r="G302">
        <v>10</v>
      </c>
      <c r="H302">
        <v>10</v>
      </c>
      <c r="I302">
        <v>5350</v>
      </c>
      <c r="J302">
        <v>60</v>
      </c>
      <c r="K302">
        <v>340</v>
      </c>
      <c r="L302">
        <v>30</v>
      </c>
      <c r="M302">
        <v>48</v>
      </c>
      <c r="N302">
        <v>6</v>
      </c>
      <c r="O302">
        <v>65200</v>
      </c>
      <c r="P302">
        <v>600</v>
      </c>
      <c r="Q302">
        <v>9200</v>
      </c>
      <c r="R302">
        <v>400</v>
      </c>
    </row>
    <row r="303" spans="1:18" x14ac:dyDescent="0.2">
      <c r="A303" t="s">
        <v>25</v>
      </c>
      <c r="B303">
        <v>583</v>
      </c>
      <c r="C303">
        <v>210</v>
      </c>
      <c r="D303">
        <v>6</v>
      </c>
      <c r="E303">
        <v>890</v>
      </c>
      <c r="F303">
        <v>20</v>
      </c>
      <c r="G303">
        <v>8</v>
      </c>
      <c r="H303">
        <v>10</v>
      </c>
      <c r="I303">
        <v>7100</v>
      </c>
      <c r="J303">
        <v>100</v>
      </c>
      <c r="K303">
        <v>300</v>
      </c>
      <c r="L303">
        <v>200</v>
      </c>
      <c r="M303">
        <v>110</v>
      </c>
      <c r="N303">
        <v>30</v>
      </c>
      <c r="O303">
        <v>65700</v>
      </c>
      <c r="P303">
        <v>100</v>
      </c>
      <c r="Q303">
        <v>9800</v>
      </c>
      <c r="R303">
        <v>400</v>
      </c>
    </row>
    <row r="304" spans="1:18" x14ac:dyDescent="0.2">
      <c r="A304" t="s">
        <v>25</v>
      </c>
      <c r="B304">
        <v>584</v>
      </c>
      <c r="C304">
        <v>161</v>
      </c>
      <c r="D304">
        <v>8</v>
      </c>
      <c r="E304">
        <v>970</v>
      </c>
      <c r="F304">
        <v>30</v>
      </c>
      <c r="G304">
        <v>0</v>
      </c>
      <c r="H304">
        <v>0</v>
      </c>
      <c r="I304">
        <v>8440</v>
      </c>
      <c r="J304">
        <v>30</v>
      </c>
      <c r="K304">
        <v>360</v>
      </c>
      <c r="L304">
        <v>60</v>
      </c>
      <c r="M304">
        <v>210</v>
      </c>
      <c r="N304">
        <v>40</v>
      </c>
      <c r="O304">
        <v>64800</v>
      </c>
      <c r="P304">
        <v>200</v>
      </c>
      <c r="Q304">
        <v>9400</v>
      </c>
      <c r="R304">
        <v>200</v>
      </c>
    </row>
    <row r="305" spans="1:18" x14ac:dyDescent="0.2">
      <c r="A305" t="s">
        <v>25</v>
      </c>
      <c r="B305">
        <v>585</v>
      </c>
      <c r="C305">
        <v>140</v>
      </c>
      <c r="D305">
        <v>10</v>
      </c>
      <c r="E305">
        <v>820</v>
      </c>
      <c r="F305">
        <v>80</v>
      </c>
      <c r="G305">
        <v>0</v>
      </c>
      <c r="H305">
        <v>0</v>
      </c>
      <c r="I305">
        <v>6550</v>
      </c>
      <c r="J305">
        <v>80</v>
      </c>
      <c r="K305">
        <v>300</v>
      </c>
      <c r="L305">
        <v>200</v>
      </c>
      <c r="M305">
        <v>190</v>
      </c>
      <c r="N305">
        <v>40</v>
      </c>
      <c r="O305">
        <v>64870</v>
      </c>
      <c r="P305">
        <v>10</v>
      </c>
      <c r="Q305">
        <v>9600</v>
      </c>
      <c r="R305">
        <v>200</v>
      </c>
    </row>
    <row r="306" spans="1:18" x14ac:dyDescent="0.2">
      <c r="A306" t="s">
        <v>25</v>
      </c>
      <c r="B306">
        <v>586</v>
      </c>
      <c r="C306">
        <v>215</v>
      </c>
      <c r="D306">
        <v>6</v>
      </c>
      <c r="E306">
        <v>730</v>
      </c>
      <c r="F306">
        <v>30</v>
      </c>
      <c r="G306">
        <v>4</v>
      </c>
      <c r="H306">
        <v>5</v>
      </c>
      <c r="I306">
        <v>8380</v>
      </c>
      <c r="J306">
        <v>20</v>
      </c>
      <c r="K306">
        <v>230</v>
      </c>
      <c r="L306">
        <v>20</v>
      </c>
      <c r="M306">
        <v>300</v>
      </c>
      <c r="N306">
        <v>100</v>
      </c>
      <c r="O306">
        <v>64900</v>
      </c>
      <c r="P306">
        <v>400</v>
      </c>
      <c r="Q306">
        <v>9500</v>
      </c>
      <c r="R306">
        <v>100</v>
      </c>
    </row>
    <row r="307" spans="1:18" x14ac:dyDescent="0.2">
      <c r="A307" t="s">
        <v>25</v>
      </c>
      <c r="B307">
        <v>587</v>
      </c>
      <c r="C307">
        <v>137</v>
      </c>
      <c r="D307">
        <v>0</v>
      </c>
      <c r="E307">
        <v>770</v>
      </c>
      <c r="F307">
        <v>40</v>
      </c>
      <c r="G307">
        <v>0</v>
      </c>
      <c r="H307">
        <v>0</v>
      </c>
      <c r="I307">
        <v>7370</v>
      </c>
      <c r="J307">
        <v>30</v>
      </c>
      <c r="K307">
        <v>240</v>
      </c>
      <c r="L307">
        <v>10</v>
      </c>
      <c r="M307">
        <v>270</v>
      </c>
      <c r="N307">
        <v>50</v>
      </c>
      <c r="O307">
        <v>66100</v>
      </c>
      <c r="P307">
        <v>400</v>
      </c>
      <c r="Q307">
        <v>9700</v>
      </c>
      <c r="R307">
        <v>200</v>
      </c>
    </row>
    <row r="308" spans="1:18" x14ac:dyDescent="0.2">
      <c r="A308" t="s">
        <v>25</v>
      </c>
      <c r="B308">
        <v>588</v>
      </c>
      <c r="C308">
        <v>160</v>
      </c>
      <c r="D308">
        <v>10</v>
      </c>
      <c r="E308">
        <v>890</v>
      </c>
      <c r="F308">
        <v>50</v>
      </c>
      <c r="G308">
        <v>6</v>
      </c>
      <c r="H308">
        <v>8</v>
      </c>
      <c r="I308">
        <v>7960</v>
      </c>
      <c r="J308">
        <v>40</v>
      </c>
      <c r="K308">
        <v>300</v>
      </c>
      <c r="L308">
        <v>200</v>
      </c>
      <c r="M308">
        <v>150</v>
      </c>
      <c r="N308">
        <v>10</v>
      </c>
      <c r="O308">
        <v>65850</v>
      </c>
      <c r="P308">
        <v>80</v>
      </c>
      <c r="Q308">
        <v>9530</v>
      </c>
      <c r="R308">
        <v>20</v>
      </c>
    </row>
    <row r="309" spans="1:18" x14ac:dyDescent="0.2">
      <c r="A309" t="s">
        <v>25</v>
      </c>
      <c r="B309">
        <v>589</v>
      </c>
      <c r="C309">
        <v>210</v>
      </c>
      <c r="D309">
        <v>6</v>
      </c>
      <c r="E309">
        <v>1050</v>
      </c>
      <c r="F309">
        <v>10</v>
      </c>
      <c r="G309">
        <v>2</v>
      </c>
      <c r="H309">
        <v>4</v>
      </c>
      <c r="I309">
        <v>9620</v>
      </c>
      <c r="J309">
        <v>60</v>
      </c>
      <c r="K309">
        <v>240</v>
      </c>
      <c r="L309">
        <v>70</v>
      </c>
      <c r="M309">
        <v>20</v>
      </c>
      <c r="N309">
        <v>30</v>
      </c>
      <c r="O309">
        <v>66600</v>
      </c>
      <c r="P309">
        <v>200</v>
      </c>
      <c r="Q309">
        <v>9800</v>
      </c>
      <c r="R309">
        <v>200</v>
      </c>
    </row>
    <row r="310" spans="1:18" x14ac:dyDescent="0.2">
      <c r="A310" t="s">
        <v>25</v>
      </c>
      <c r="B310">
        <v>590</v>
      </c>
      <c r="C310">
        <v>180</v>
      </c>
      <c r="D310">
        <v>10</v>
      </c>
      <c r="E310">
        <v>987</v>
      </c>
      <c r="F310">
        <v>7</v>
      </c>
      <c r="G310">
        <v>0</v>
      </c>
      <c r="H310">
        <v>0</v>
      </c>
      <c r="I310">
        <v>9680</v>
      </c>
      <c r="J310">
        <v>30</v>
      </c>
      <c r="K310">
        <v>287</v>
      </c>
      <c r="L310">
        <v>6</v>
      </c>
      <c r="M310">
        <v>100</v>
      </c>
      <c r="N310">
        <v>100</v>
      </c>
      <c r="O310">
        <v>66100</v>
      </c>
      <c r="P310">
        <v>400</v>
      </c>
      <c r="Q310">
        <v>9400</v>
      </c>
      <c r="R310">
        <v>200</v>
      </c>
    </row>
    <row r="311" spans="1:18" x14ac:dyDescent="0.2">
      <c r="A311" t="s">
        <v>25</v>
      </c>
      <c r="B311">
        <v>591</v>
      </c>
      <c r="C311">
        <v>190</v>
      </c>
      <c r="D311">
        <v>10</v>
      </c>
      <c r="E311">
        <v>930</v>
      </c>
      <c r="F311">
        <v>70</v>
      </c>
      <c r="G311">
        <v>0</v>
      </c>
      <c r="H311">
        <v>0</v>
      </c>
      <c r="I311">
        <v>9220</v>
      </c>
      <c r="J311">
        <v>50</v>
      </c>
      <c r="K311">
        <v>300</v>
      </c>
      <c r="L311">
        <v>50</v>
      </c>
      <c r="M311">
        <v>200</v>
      </c>
      <c r="N311">
        <v>200</v>
      </c>
      <c r="O311">
        <v>66200</v>
      </c>
      <c r="P311">
        <v>400</v>
      </c>
      <c r="Q311">
        <v>9600</v>
      </c>
      <c r="R311">
        <v>200</v>
      </c>
    </row>
    <row r="312" spans="1:18" x14ac:dyDescent="0.2">
      <c r="A312" t="s">
        <v>25</v>
      </c>
      <c r="B312">
        <v>592</v>
      </c>
      <c r="C312">
        <v>200</v>
      </c>
      <c r="D312">
        <v>10</v>
      </c>
      <c r="E312">
        <v>1130</v>
      </c>
      <c r="F312">
        <v>70</v>
      </c>
      <c r="G312">
        <v>2</v>
      </c>
      <c r="H312">
        <v>4</v>
      </c>
      <c r="I312">
        <v>9600</v>
      </c>
      <c r="J312">
        <v>100</v>
      </c>
      <c r="K312">
        <v>300</v>
      </c>
      <c r="L312">
        <v>70</v>
      </c>
      <c r="M312">
        <v>170</v>
      </c>
      <c r="N312">
        <v>20</v>
      </c>
      <c r="O312">
        <v>66200</v>
      </c>
      <c r="P312">
        <v>700</v>
      </c>
      <c r="Q312">
        <v>9600</v>
      </c>
      <c r="R312">
        <v>300</v>
      </c>
    </row>
    <row r="313" spans="1:18" x14ac:dyDescent="0.2">
      <c r="A313" t="s">
        <v>25</v>
      </c>
      <c r="B313">
        <v>593</v>
      </c>
      <c r="C313">
        <v>240</v>
      </c>
      <c r="D313">
        <v>20</v>
      </c>
      <c r="E313">
        <v>1370</v>
      </c>
      <c r="F313">
        <v>30</v>
      </c>
      <c r="G313">
        <v>20</v>
      </c>
      <c r="H313">
        <v>30</v>
      </c>
      <c r="I313">
        <v>10720</v>
      </c>
      <c r="J313">
        <v>40</v>
      </c>
      <c r="K313">
        <v>300</v>
      </c>
      <c r="L313">
        <v>100</v>
      </c>
      <c r="M313">
        <v>200</v>
      </c>
      <c r="N313">
        <v>100</v>
      </c>
      <c r="O313">
        <v>65600</v>
      </c>
      <c r="P313">
        <v>100</v>
      </c>
      <c r="Q313">
        <v>9700</v>
      </c>
      <c r="R313">
        <v>80</v>
      </c>
    </row>
    <row r="314" spans="1:18" x14ac:dyDescent="0.2">
      <c r="A314" t="s">
        <v>25</v>
      </c>
      <c r="B314">
        <v>594</v>
      </c>
      <c r="C314">
        <v>220</v>
      </c>
      <c r="D314">
        <v>40</v>
      </c>
      <c r="E314">
        <v>1350</v>
      </c>
      <c r="F314">
        <v>50</v>
      </c>
      <c r="G314">
        <v>7</v>
      </c>
      <c r="H314">
        <v>10</v>
      </c>
      <c r="I314">
        <v>10000</v>
      </c>
      <c r="J314">
        <v>30</v>
      </c>
      <c r="K314">
        <v>311</v>
      </c>
      <c r="L314">
        <v>1</v>
      </c>
      <c r="M314">
        <v>270</v>
      </c>
      <c r="N314">
        <v>70</v>
      </c>
      <c r="O314">
        <v>65600</v>
      </c>
      <c r="P314">
        <v>600</v>
      </c>
      <c r="Q314">
        <v>9600</v>
      </c>
      <c r="R314">
        <v>200</v>
      </c>
    </row>
    <row r="315" spans="1:18" x14ac:dyDescent="0.2">
      <c r="A315" t="s">
        <v>25</v>
      </c>
      <c r="B315">
        <v>595</v>
      </c>
      <c r="C315">
        <v>220</v>
      </c>
      <c r="D315">
        <v>10</v>
      </c>
      <c r="E315">
        <v>1260</v>
      </c>
      <c r="F315">
        <v>30</v>
      </c>
      <c r="G315">
        <v>0</v>
      </c>
      <c r="H315">
        <v>0</v>
      </c>
      <c r="I315">
        <v>10290</v>
      </c>
      <c r="J315">
        <v>80</v>
      </c>
      <c r="K315">
        <v>300</v>
      </c>
      <c r="L315">
        <v>100</v>
      </c>
      <c r="M315">
        <v>140</v>
      </c>
      <c r="N315">
        <v>90</v>
      </c>
      <c r="O315">
        <v>66700</v>
      </c>
      <c r="P315">
        <v>200</v>
      </c>
      <c r="Q315">
        <v>9840</v>
      </c>
      <c r="R315">
        <v>90</v>
      </c>
    </row>
    <row r="316" spans="1:18" x14ac:dyDescent="0.2">
      <c r="A316" t="s">
        <v>25</v>
      </c>
      <c r="B316">
        <v>596</v>
      </c>
      <c r="C316">
        <v>210</v>
      </c>
      <c r="D316">
        <v>30</v>
      </c>
      <c r="E316">
        <v>1370</v>
      </c>
      <c r="F316">
        <v>40</v>
      </c>
      <c r="G316">
        <v>0</v>
      </c>
      <c r="H316">
        <v>0</v>
      </c>
      <c r="I316">
        <v>9860</v>
      </c>
      <c r="J316">
        <v>30</v>
      </c>
      <c r="K316">
        <v>400</v>
      </c>
      <c r="L316">
        <v>50</v>
      </c>
      <c r="M316">
        <v>90</v>
      </c>
      <c r="N316">
        <v>100</v>
      </c>
      <c r="O316">
        <v>67200</v>
      </c>
      <c r="P316">
        <v>300</v>
      </c>
      <c r="Q316">
        <v>9700</v>
      </c>
      <c r="R316">
        <v>100</v>
      </c>
    </row>
    <row r="317" spans="1:18" x14ac:dyDescent="0.2">
      <c r="A317" t="s">
        <v>25</v>
      </c>
      <c r="B317">
        <v>597</v>
      </c>
      <c r="C317">
        <v>180</v>
      </c>
      <c r="D317">
        <v>10</v>
      </c>
      <c r="E317">
        <v>1280</v>
      </c>
      <c r="F317">
        <v>20</v>
      </c>
      <c r="G317">
        <v>0</v>
      </c>
      <c r="H317">
        <v>0</v>
      </c>
      <c r="I317">
        <v>10050</v>
      </c>
      <c r="J317">
        <v>70</v>
      </c>
      <c r="K317">
        <v>150</v>
      </c>
      <c r="L317">
        <v>40</v>
      </c>
      <c r="M317">
        <v>20</v>
      </c>
      <c r="N317">
        <v>30</v>
      </c>
      <c r="O317">
        <v>66520</v>
      </c>
      <c r="P317">
        <v>60</v>
      </c>
      <c r="Q317">
        <v>9600</v>
      </c>
      <c r="R317">
        <v>400</v>
      </c>
    </row>
    <row r="318" spans="1:18" x14ac:dyDescent="0.2">
      <c r="A318" t="s">
        <v>25</v>
      </c>
      <c r="B318">
        <v>598</v>
      </c>
      <c r="C318">
        <v>260</v>
      </c>
      <c r="D318">
        <v>40</v>
      </c>
      <c r="E318">
        <v>1340</v>
      </c>
      <c r="F318">
        <v>60</v>
      </c>
      <c r="G318">
        <v>10</v>
      </c>
      <c r="H318">
        <v>20</v>
      </c>
      <c r="I318">
        <v>10590</v>
      </c>
      <c r="J318">
        <v>30</v>
      </c>
      <c r="K318">
        <v>300</v>
      </c>
      <c r="L318">
        <v>200</v>
      </c>
      <c r="M318">
        <v>120</v>
      </c>
      <c r="N318">
        <v>30</v>
      </c>
      <c r="O318">
        <v>67300</v>
      </c>
      <c r="P318">
        <v>700</v>
      </c>
      <c r="Q318">
        <v>9700</v>
      </c>
      <c r="R318">
        <v>100</v>
      </c>
    </row>
    <row r="319" spans="1:18" x14ac:dyDescent="0.2">
      <c r="A319" t="s">
        <v>25</v>
      </c>
      <c r="B319">
        <v>599</v>
      </c>
      <c r="C319">
        <v>190</v>
      </c>
      <c r="D319">
        <v>10</v>
      </c>
      <c r="E319">
        <v>1070</v>
      </c>
      <c r="F319">
        <v>30</v>
      </c>
      <c r="G319">
        <v>14</v>
      </c>
      <c r="H319">
        <v>9</v>
      </c>
      <c r="I319">
        <v>8520</v>
      </c>
      <c r="J319">
        <v>60</v>
      </c>
      <c r="K319">
        <v>150</v>
      </c>
      <c r="L319">
        <v>50</v>
      </c>
      <c r="M319">
        <v>30</v>
      </c>
      <c r="N319">
        <v>40</v>
      </c>
      <c r="O319">
        <v>66800</v>
      </c>
      <c r="P319">
        <v>300</v>
      </c>
      <c r="Q319">
        <v>9690</v>
      </c>
      <c r="R319">
        <v>40</v>
      </c>
    </row>
    <row r="320" spans="1:18" x14ac:dyDescent="0.2">
      <c r="A320" t="s">
        <v>25</v>
      </c>
      <c r="B320">
        <v>600</v>
      </c>
      <c r="C320">
        <v>260</v>
      </c>
      <c r="D320">
        <v>10</v>
      </c>
      <c r="E320">
        <v>1090</v>
      </c>
      <c r="F320">
        <v>30</v>
      </c>
      <c r="G320">
        <v>2</v>
      </c>
      <c r="H320">
        <v>4</v>
      </c>
      <c r="I320">
        <v>8298</v>
      </c>
      <c r="J320">
        <v>6</v>
      </c>
      <c r="K320">
        <v>180</v>
      </c>
      <c r="L320">
        <v>40</v>
      </c>
      <c r="M320">
        <v>20</v>
      </c>
      <c r="N320">
        <v>30</v>
      </c>
      <c r="O320">
        <v>66900</v>
      </c>
      <c r="P320">
        <v>500</v>
      </c>
      <c r="Q320">
        <v>9600</v>
      </c>
      <c r="R320">
        <v>200</v>
      </c>
    </row>
    <row r="321" spans="1:18" x14ac:dyDescent="0.2">
      <c r="A321" t="s">
        <v>25</v>
      </c>
      <c r="B321">
        <v>601</v>
      </c>
      <c r="C321">
        <v>210</v>
      </c>
      <c r="D321">
        <v>10</v>
      </c>
      <c r="E321">
        <v>1090</v>
      </c>
      <c r="F321">
        <v>80</v>
      </c>
      <c r="G321">
        <v>0</v>
      </c>
      <c r="H321">
        <v>0</v>
      </c>
      <c r="I321">
        <v>8200</v>
      </c>
      <c r="J321">
        <v>100</v>
      </c>
      <c r="K321">
        <v>200</v>
      </c>
      <c r="L321">
        <v>100</v>
      </c>
      <c r="M321">
        <v>190</v>
      </c>
      <c r="N321">
        <v>50</v>
      </c>
      <c r="O321">
        <v>66700</v>
      </c>
      <c r="P321">
        <v>700</v>
      </c>
      <c r="Q321">
        <v>9700</v>
      </c>
      <c r="R321">
        <v>500</v>
      </c>
    </row>
    <row r="322" spans="1:18" x14ac:dyDescent="0.2">
      <c r="A322" t="s">
        <v>25</v>
      </c>
      <c r="B322">
        <v>602</v>
      </c>
      <c r="C322">
        <v>190</v>
      </c>
      <c r="D322">
        <v>20</v>
      </c>
      <c r="E322">
        <v>980</v>
      </c>
      <c r="F322">
        <v>30</v>
      </c>
      <c r="G322">
        <v>0</v>
      </c>
      <c r="H322">
        <v>0</v>
      </c>
      <c r="I322">
        <v>8100</v>
      </c>
      <c r="J322">
        <v>20</v>
      </c>
      <c r="K322">
        <v>300</v>
      </c>
      <c r="L322">
        <v>100</v>
      </c>
      <c r="M322">
        <v>60</v>
      </c>
      <c r="N322">
        <v>60</v>
      </c>
      <c r="O322">
        <v>66500</v>
      </c>
      <c r="P322">
        <v>200</v>
      </c>
      <c r="Q322">
        <v>9600</v>
      </c>
      <c r="R322">
        <v>400</v>
      </c>
    </row>
    <row r="323" spans="1:18" x14ac:dyDescent="0.2">
      <c r="A323" t="s">
        <v>25</v>
      </c>
      <c r="B323">
        <v>603</v>
      </c>
      <c r="C323">
        <v>190</v>
      </c>
      <c r="D323">
        <v>20</v>
      </c>
      <c r="E323">
        <v>1127</v>
      </c>
      <c r="F323">
        <v>1</v>
      </c>
      <c r="G323">
        <v>6</v>
      </c>
      <c r="H323">
        <v>8</v>
      </c>
      <c r="I323">
        <v>8600</v>
      </c>
      <c r="J323">
        <v>50</v>
      </c>
      <c r="K323">
        <v>220</v>
      </c>
      <c r="L323">
        <v>10</v>
      </c>
      <c r="M323">
        <v>30</v>
      </c>
      <c r="N323">
        <v>40</v>
      </c>
      <c r="O323">
        <v>66800</v>
      </c>
      <c r="P323">
        <v>300</v>
      </c>
      <c r="Q323">
        <v>9500</v>
      </c>
      <c r="R323">
        <v>200</v>
      </c>
    </row>
    <row r="324" spans="1:18" x14ac:dyDescent="0.2">
      <c r="A324" t="s">
        <v>25</v>
      </c>
      <c r="B324">
        <v>604</v>
      </c>
      <c r="C324">
        <v>216</v>
      </c>
      <c r="D324">
        <v>8</v>
      </c>
      <c r="E324">
        <v>1160</v>
      </c>
      <c r="F324">
        <v>20</v>
      </c>
      <c r="G324">
        <v>0</v>
      </c>
      <c r="H324">
        <v>0</v>
      </c>
      <c r="I324">
        <v>9600</v>
      </c>
      <c r="J324">
        <v>100</v>
      </c>
      <c r="K324">
        <v>300</v>
      </c>
      <c r="L324">
        <v>200</v>
      </c>
      <c r="M324">
        <v>90</v>
      </c>
      <c r="N324">
        <v>100</v>
      </c>
      <c r="O324">
        <v>67300</v>
      </c>
      <c r="P324">
        <v>200</v>
      </c>
      <c r="Q324">
        <v>9700</v>
      </c>
      <c r="R324">
        <v>400</v>
      </c>
    </row>
    <row r="325" spans="1:18" x14ac:dyDescent="0.2">
      <c r="A325" t="s">
        <v>25</v>
      </c>
      <c r="B325">
        <v>605</v>
      </c>
      <c r="C325">
        <v>180</v>
      </c>
      <c r="D325">
        <v>30</v>
      </c>
      <c r="E325">
        <v>940</v>
      </c>
      <c r="F325">
        <v>50</v>
      </c>
      <c r="G325">
        <v>6</v>
      </c>
      <c r="H325">
        <v>8</v>
      </c>
      <c r="I325">
        <v>8630</v>
      </c>
      <c r="J325">
        <v>60</v>
      </c>
      <c r="K325">
        <v>200</v>
      </c>
      <c r="L325">
        <v>100</v>
      </c>
      <c r="M325">
        <v>80</v>
      </c>
      <c r="N325">
        <v>100</v>
      </c>
      <c r="O325">
        <v>67420</v>
      </c>
      <c r="P325">
        <v>60</v>
      </c>
      <c r="Q325">
        <v>9700</v>
      </c>
      <c r="R325">
        <v>300</v>
      </c>
    </row>
    <row r="326" spans="1:18" x14ac:dyDescent="0.2">
      <c r="A326" t="s">
        <v>25</v>
      </c>
      <c r="B326">
        <v>606</v>
      </c>
      <c r="C326">
        <v>140</v>
      </c>
      <c r="D326">
        <v>10</v>
      </c>
      <c r="E326">
        <v>890</v>
      </c>
      <c r="F326">
        <v>30</v>
      </c>
      <c r="G326">
        <v>18</v>
      </c>
      <c r="H326">
        <v>2</v>
      </c>
      <c r="I326">
        <v>8220</v>
      </c>
      <c r="J326">
        <v>50</v>
      </c>
      <c r="K326">
        <v>260</v>
      </c>
      <c r="L326">
        <v>20</v>
      </c>
      <c r="M326">
        <v>80</v>
      </c>
      <c r="N326">
        <v>100</v>
      </c>
      <c r="O326">
        <v>68000</v>
      </c>
      <c r="P326">
        <v>1000</v>
      </c>
      <c r="Q326">
        <v>9870</v>
      </c>
      <c r="R326">
        <v>40</v>
      </c>
    </row>
    <row r="327" spans="1:18" x14ac:dyDescent="0.2">
      <c r="A327" t="s">
        <v>25</v>
      </c>
      <c r="B327">
        <v>607</v>
      </c>
      <c r="C327">
        <v>130</v>
      </c>
      <c r="D327">
        <v>30</v>
      </c>
      <c r="E327">
        <v>670</v>
      </c>
      <c r="F327">
        <v>20</v>
      </c>
      <c r="G327">
        <v>0</v>
      </c>
      <c r="H327">
        <v>0</v>
      </c>
      <c r="I327">
        <v>6520</v>
      </c>
      <c r="J327">
        <v>40</v>
      </c>
      <c r="K327">
        <v>90</v>
      </c>
      <c r="L327">
        <v>40</v>
      </c>
      <c r="M327">
        <v>100</v>
      </c>
      <c r="N327">
        <v>200</v>
      </c>
      <c r="O327">
        <v>67500</v>
      </c>
      <c r="P327">
        <v>500</v>
      </c>
      <c r="Q327">
        <v>9670</v>
      </c>
      <c r="R327">
        <v>90</v>
      </c>
    </row>
    <row r="328" spans="1:18" x14ac:dyDescent="0.2">
      <c r="A328" t="s">
        <v>25</v>
      </c>
      <c r="B328">
        <v>608</v>
      </c>
      <c r="C328">
        <v>150</v>
      </c>
      <c r="D328">
        <v>20</v>
      </c>
      <c r="E328">
        <v>630</v>
      </c>
      <c r="F328">
        <v>50</v>
      </c>
      <c r="G328">
        <v>0</v>
      </c>
      <c r="H328">
        <v>0</v>
      </c>
      <c r="I328">
        <v>6120</v>
      </c>
      <c r="J328">
        <v>60</v>
      </c>
      <c r="K328">
        <v>110</v>
      </c>
      <c r="L328">
        <v>9</v>
      </c>
      <c r="M328">
        <v>70</v>
      </c>
      <c r="N328">
        <v>100</v>
      </c>
      <c r="O328">
        <v>68600</v>
      </c>
      <c r="P328">
        <v>400</v>
      </c>
      <c r="Q328">
        <v>9510</v>
      </c>
      <c r="R328">
        <v>30</v>
      </c>
    </row>
    <row r="329" spans="1:18" x14ac:dyDescent="0.2">
      <c r="A329" t="s">
        <v>25</v>
      </c>
      <c r="B329">
        <v>609</v>
      </c>
      <c r="C329">
        <v>140</v>
      </c>
      <c r="D329">
        <v>20</v>
      </c>
      <c r="E329">
        <v>676</v>
      </c>
      <c r="F329">
        <v>0</v>
      </c>
      <c r="G329">
        <v>0</v>
      </c>
      <c r="H329">
        <v>0</v>
      </c>
      <c r="I329">
        <v>6370</v>
      </c>
      <c r="J329">
        <v>20</v>
      </c>
      <c r="K329">
        <v>300</v>
      </c>
      <c r="L329">
        <v>100</v>
      </c>
      <c r="M329">
        <v>66</v>
      </c>
      <c r="N329">
        <v>4</v>
      </c>
      <c r="O329">
        <v>69300</v>
      </c>
      <c r="P329">
        <v>40</v>
      </c>
      <c r="Q329">
        <v>9930</v>
      </c>
      <c r="R329">
        <v>70</v>
      </c>
    </row>
    <row r="330" spans="1:18" x14ac:dyDescent="0.2">
      <c r="A330" t="s">
        <v>25</v>
      </c>
      <c r="B330">
        <v>610</v>
      </c>
      <c r="C330">
        <v>180</v>
      </c>
      <c r="D330">
        <v>20</v>
      </c>
      <c r="E330">
        <v>765</v>
      </c>
      <c r="F330">
        <v>1</v>
      </c>
      <c r="G330">
        <v>0</v>
      </c>
      <c r="H330">
        <v>0</v>
      </c>
      <c r="I330">
        <v>7056</v>
      </c>
      <c r="J330">
        <v>8</v>
      </c>
      <c r="K330">
        <v>130</v>
      </c>
      <c r="L330">
        <v>90</v>
      </c>
      <c r="M330">
        <v>60</v>
      </c>
      <c r="N330">
        <v>9</v>
      </c>
      <c r="O330">
        <v>70000</v>
      </c>
      <c r="P330">
        <v>20</v>
      </c>
      <c r="Q330">
        <v>9700</v>
      </c>
      <c r="R330">
        <v>300</v>
      </c>
    </row>
    <row r="331" spans="1:18" x14ac:dyDescent="0.2">
      <c r="A331" t="s">
        <v>25</v>
      </c>
      <c r="B331">
        <v>611</v>
      </c>
      <c r="C331">
        <v>204</v>
      </c>
      <c r="D331">
        <v>4</v>
      </c>
      <c r="E331">
        <v>870</v>
      </c>
      <c r="F331">
        <v>20</v>
      </c>
      <c r="G331">
        <v>10</v>
      </c>
      <c r="H331">
        <v>20</v>
      </c>
      <c r="I331">
        <v>8100</v>
      </c>
      <c r="J331">
        <v>80</v>
      </c>
      <c r="K331">
        <v>220</v>
      </c>
      <c r="L331">
        <v>50</v>
      </c>
      <c r="M331">
        <v>80</v>
      </c>
      <c r="N331">
        <v>40</v>
      </c>
      <c r="O331">
        <v>68900</v>
      </c>
      <c r="P331">
        <v>500</v>
      </c>
      <c r="Q331">
        <v>9800</v>
      </c>
      <c r="R331">
        <v>100</v>
      </c>
    </row>
    <row r="332" spans="1:18" x14ac:dyDescent="0.2">
      <c r="A332" t="s">
        <v>25</v>
      </c>
      <c r="B332">
        <v>612</v>
      </c>
      <c r="C332">
        <v>129</v>
      </c>
      <c r="D332">
        <v>3</v>
      </c>
      <c r="E332">
        <v>781</v>
      </c>
      <c r="F332">
        <v>8</v>
      </c>
      <c r="G332">
        <v>0</v>
      </c>
      <c r="H332">
        <v>0</v>
      </c>
      <c r="I332">
        <v>7910</v>
      </c>
      <c r="J332">
        <v>10</v>
      </c>
      <c r="K332">
        <v>200</v>
      </c>
      <c r="L332">
        <v>100</v>
      </c>
      <c r="M332">
        <v>140</v>
      </c>
      <c r="N332">
        <v>70</v>
      </c>
      <c r="O332">
        <v>69050</v>
      </c>
      <c r="P332">
        <v>90</v>
      </c>
      <c r="Q332">
        <v>9700</v>
      </c>
      <c r="R332">
        <v>100</v>
      </c>
    </row>
    <row r="333" spans="1:18" x14ac:dyDescent="0.2">
      <c r="A333" t="s">
        <v>26</v>
      </c>
      <c r="B333">
        <v>1124</v>
      </c>
      <c r="C333">
        <v>260</v>
      </c>
      <c r="D333">
        <v>10</v>
      </c>
      <c r="E333">
        <v>1230</v>
      </c>
      <c r="F333">
        <v>40</v>
      </c>
      <c r="G333">
        <v>0</v>
      </c>
      <c r="H333">
        <v>0</v>
      </c>
      <c r="I333">
        <v>4730</v>
      </c>
      <c r="J333">
        <v>80</v>
      </c>
      <c r="K333">
        <v>436</v>
      </c>
      <c r="L333">
        <v>7</v>
      </c>
      <c r="M333">
        <v>390</v>
      </c>
      <c r="N333">
        <v>60</v>
      </c>
      <c r="O333">
        <v>55400</v>
      </c>
      <c r="P333">
        <v>500</v>
      </c>
      <c r="Q333">
        <v>8500</v>
      </c>
      <c r="R333">
        <v>200</v>
      </c>
    </row>
    <row r="334" spans="1:18" x14ac:dyDescent="0.2">
      <c r="A334" t="s">
        <v>26</v>
      </c>
      <c r="B334">
        <v>1125</v>
      </c>
      <c r="C334">
        <v>220</v>
      </c>
      <c r="D334">
        <v>20</v>
      </c>
      <c r="E334">
        <v>990</v>
      </c>
      <c r="F334">
        <v>10</v>
      </c>
      <c r="G334">
        <v>0</v>
      </c>
      <c r="H334">
        <v>0</v>
      </c>
      <c r="I334">
        <v>5300</v>
      </c>
      <c r="J334">
        <v>80</v>
      </c>
      <c r="K334">
        <v>480</v>
      </c>
      <c r="L334">
        <v>50</v>
      </c>
      <c r="M334">
        <v>400</v>
      </c>
      <c r="N334">
        <v>200</v>
      </c>
      <c r="O334">
        <v>56700</v>
      </c>
      <c r="P334">
        <v>100</v>
      </c>
      <c r="Q334">
        <v>8720</v>
      </c>
      <c r="R334">
        <v>60</v>
      </c>
    </row>
    <row r="335" spans="1:18" x14ac:dyDescent="0.2">
      <c r="A335" t="s">
        <v>26</v>
      </c>
      <c r="B335">
        <v>1126</v>
      </c>
      <c r="C335">
        <v>330</v>
      </c>
      <c r="D335">
        <v>50</v>
      </c>
      <c r="E335">
        <v>1646</v>
      </c>
      <c r="F335">
        <v>2</v>
      </c>
      <c r="G335">
        <v>8</v>
      </c>
      <c r="H335">
        <v>10</v>
      </c>
      <c r="I335">
        <v>6700</v>
      </c>
      <c r="J335">
        <v>100</v>
      </c>
      <c r="K335">
        <v>600</v>
      </c>
      <c r="L335">
        <v>300</v>
      </c>
      <c r="M335">
        <v>340</v>
      </c>
      <c r="N335">
        <v>40</v>
      </c>
      <c r="O335">
        <v>58829</v>
      </c>
      <c r="P335">
        <v>6</v>
      </c>
      <c r="Q335">
        <v>9100</v>
      </c>
      <c r="R335">
        <v>100</v>
      </c>
    </row>
    <row r="336" spans="1:18" x14ac:dyDescent="0.2">
      <c r="A336" t="s">
        <v>26</v>
      </c>
      <c r="B336">
        <v>1127</v>
      </c>
      <c r="C336">
        <v>490</v>
      </c>
      <c r="D336">
        <v>20</v>
      </c>
      <c r="E336">
        <v>2410</v>
      </c>
      <c r="F336">
        <v>90</v>
      </c>
      <c r="G336">
        <v>10</v>
      </c>
      <c r="H336">
        <v>20</v>
      </c>
      <c r="I336">
        <v>9000</v>
      </c>
      <c r="J336">
        <v>100</v>
      </c>
      <c r="K336">
        <v>580</v>
      </c>
      <c r="L336">
        <v>30</v>
      </c>
      <c r="M336">
        <v>310</v>
      </c>
      <c r="N336">
        <v>40</v>
      </c>
      <c r="O336">
        <v>64800</v>
      </c>
      <c r="P336">
        <v>500</v>
      </c>
      <c r="Q336">
        <v>9900</v>
      </c>
      <c r="R336">
        <v>400</v>
      </c>
    </row>
    <row r="337" spans="1:18" x14ac:dyDescent="0.2">
      <c r="A337" t="s">
        <v>26</v>
      </c>
      <c r="B337">
        <v>1128</v>
      </c>
      <c r="C337">
        <v>340</v>
      </c>
      <c r="D337">
        <v>30</v>
      </c>
      <c r="E337">
        <v>1640</v>
      </c>
      <c r="F337">
        <v>40</v>
      </c>
      <c r="G337">
        <v>6</v>
      </c>
      <c r="H337">
        <v>8</v>
      </c>
      <c r="I337">
        <v>5520</v>
      </c>
      <c r="J337">
        <v>30</v>
      </c>
      <c r="K337">
        <v>400</v>
      </c>
      <c r="L337">
        <v>100</v>
      </c>
      <c r="M337">
        <v>200</v>
      </c>
      <c r="N337">
        <v>300</v>
      </c>
      <c r="O337">
        <v>67100</v>
      </c>
      <c r="P337">
        <v>200</v>
      </c>
      <c r="Q337">
        <v>9900</v>
      </c>
      <c r="R337">
        <v>100</v>
      </c>
    </row>
    <row r="338" spans="1:18" x14ac:dyDescent="0.2">
      <c r="A338" t="s">
        <v>26</v>
      </c>
      <c r="B338">
        <v>1129</v>
      </c>
      <c r="C338">
        <v>290</v>
      </c>
      <c r="D338">
        <v>30</v>
      </c>
      <c r="E338">
        <v>1170</v>
      </c>
      <c r="F338">
        <v>50</v>
      </c>
      <c r="G338">
        <v>7</v>
      </c>
      <c r="H338">
        <v>10</v>
      </c>
      <c r="I338">
        <v>4200</v>
      </c>
      <c r="J338">
        <v>40</v>
      </c>
      <c r="K338">
        <v>300</v>
      </c>
      <c r="L338">
        <v>10</v>
      </c>
      <c r="M338">
        <v>240</v>
      </c>
      <c r="N338">
        <v>50</v>
      </c>
      <c r="O338">
        <v>67600</v>
      </c>
      <c r="P338">
        <v>200</v>
      </c>
      <c r="Q338">
        <v>10000</v>
      </c>
      <c r="R338">
        <v>400</v>
      </c>
    </row>
    <row r="339" spans="1:18" x14ac:dyDescent="0.2">
      <c r="A339" t="s">
        <v>26</v>
      </c>
      <c r="B339">
        <v>1130</v>
      </c>
      <c r="C339">
        <v>284</v>
      </c>
      <c r="D339">
        <v>9</v>
      </c>
      <c r="E339">
        <v>1330</v>
      </c>
      <c r="F339">
        <v>20</v>
      </c>
      <c r="G339">
        <v>2</v>
      </c>
      <c r="H339">
        <v>4</v>
      </c>
      <c r="I339">
        <v>5010</v>
      </c>
      <c r="J339">
        <v>6</v>
      </c>
      <c r="K339">
        <v>310</v>
      </c>
      <c r="L339">
        <v>20</v>
      </c>
      <c r="M339">
        <v>470</v>
      </c>
      <c r="N339">
        <v>90</v>
      </c>
      <c r="O339">
        <v>68100</v>
      </c>
      <c r="P339">
        <v>300</v>
      </c>
      <c r="Q339">
        <v>10020</v>
      </c>
      <c r="R339">
        <v>80</v>
      </c>
    </row>
    <row r="340" spans="1:18" x14ac:dyDescent="0.2">
      <c r="A340" t="s">
        <v>26</v>
      </c>
      <c r="B340">
        <v>1131</v>
      </c>
      <c r="C340">
        <v>200</v>
      </c>
      <c r="D340">
        <v>20</v>
      </c>
      <c r="E340">
        <v>1150</v>
      </c>
      <c r="F340">
        <v>20</v>
      </c>
      <c r="G340">
        <v>3</v>
      </c>
      <c r="H340">
        <v>4</v>
      </c>
      <c r="I340">
        <v>4580</v>
      </c>
      <c r="J340">
        <v>50</v>
      </c>
      <c r="K340">
        <v>190</v>
      </c>
      <c r="L340">
        <v>30</v>
      </c>
      <c r="M340">
        <v>271</v>
      </c>
      <c r="N340">
        <v>1</v>
      </c>
      <c r="O340">
        <v>68700</v>
      </c>
      <c r="P340">
        <v>900</v>
      </c>
      <c r="Q340">
        <v>10000</v>
      </c>
      <c r="R340">
        <v>200</v>
      </c>
    </row>
    <row r="341" spans="1:18" x14ac:dyDescent="0.2">
      <c r="A341" t="s">
        <v>26</v>
      </c>
      <c r="B341">
        <v>1132</v>
      </c>
      <c r="C341">
        <v>185.5</v>
      </c>
      <c r="D341">
        <v>7</v>
      </c>
      <c r="E341">
        <v>1000</v>
      </c>
      <c r="F341">
        <v>60</v>
      </c>
      <c r="G341">
        <v>0</v>
      </c>
      <c r="H341">
        <v>0</v>
      </c>
      <c r="I341">
        <v>3970</v>
      </c>
      <c r="J341">
        <v>80</v>
      </c>
      <c r="K341">
        <v>202</v>
      </c>
      <c r="L341">
        <v>8</v>
      </c>
      <c r="M341">
        <v>190</v>
      </c>
      <c r="N341">
        <v>30</v>
      </c>
      <c r="O341">
        <v>69380</v>
      </c>
      <c r="P341">
        <v>40</v>
      </c>
      <c r="Q341">
        <v>10300</v>
      </c>
      <c r="R341">
        <v>200</v>
      </c>
    </row>
    <row r="342" spans="1:18" x14ac:dyDescent="0.2">
      <c r="A342" t="s">
        <v>26</v>
      </c>
      <c r="B342">
        <v>1133</v>
      </c>
      <c r="C342">
        <v>160</v>
      </c>
      <c r="D342">
        <v>10</v>
      </c>
      <c r="E342">
        <v>1140.5</v>
      </c>
      <c r="F342">
        <v>7</v>
      </c>
      <c r="G342">
        <v>8</v>
      </c>
      <c r="H342">
        <v>10</v>
      </c>
      <c r="I342">
        <v>3650</v>
      </c>
      <c r="J342">
        <v>70</v>
      </c>
      <c r="K342">
        <v>300</v>
      </c>
      <c r="L342">
        <v>100</v>
      </c>
      <c r="M342">
        <v>200</v>
      </c>
      <c r="N342">
        <v>80</v>
      </c>
      <c r="O342">
        <v>68700</v>
      </c>
      <c r="P342">
        <v>300</v>
      </c>
      <c r="Q342">
        <v>9920</v>
      </c>
      <c r="R342">
        <v>60</v>
      </c>
    </row>
    <row r="343" spans="1:18" x14ac:dyDescent="0.2">
      <c r="A343" t="s">
        <v>26</v>
      </c>
      <c r="B343">
        <v>1134</v>
      </c>
      <c r="C343">
        <v>200</v>
      </c>
      <c r="D343">
        <v>20</v>
      </c>
      <c r="E343">
        <v>900</v>
      </c>
      <c r="F343">
        <v>20</v>
      </c>
      <c r="G343">
        <v>10</v>
      </c>
      <c r="H343">
        <v>10</v>
      </c>
      <c r="I343">
        <v>2970</v>
      </c>
      <c r="J343">
        <v>60</v>
      </c>
      <c r="K343">
        <v>100</v>
      </c>
      <c r="L343">
        <v>100</v>
      </c>
      <c r="M343">
        <v>300</v>
      </c>
      <c r="N343">
        <v>100</v>
      </c>
      <c r="O343">
        <v>68400</v>
      </c>
      <c r="P343">
        <v>700</v>
      </c>
      <c r="Q343">
        <v>9800</v>
      </c>
      <c r="R343">
        <v>100</v>
      </c>
    </row>
    <row r="344" spans="1:18" x14ac:dyDescent="0.2">
      <c r="A344" t="s">
        <v>26</v>
      </c>
      <c r="B344">
        <v>1135</v>
      </c>
      <c r="C344">
        <v>194</v>
      </c>
      <c r="D344">
        <v>1</v>
      </c>
      <c r="E344">
        <v>830</v>
      </c>
      <c r="F344">
        <v>30</v>
      </c>
      <c r="G344">
        <v>10</v>
      </c>
      <c r="H344">
        <v>7</v>
      </c>
      <c r="I344">
        <v>3130</v>
      </c>
      <c r="J344">
        <v>50</v>
      </c>
      <c r="K344">
        <v>100</v>
      </c>
      <c r="L344">
        <v>100</v>
      </c>
      <c r="M344">
        <v>300</v>
      </c>
      <c r="N344">
        <v>10</v>
      </c>
      <c r="O344">
        <v>70100</v>
      </c>
      <c r="P344">
        <v>500</v>
      </c>
      <c r="Q344">
        <v>10010</v>
      </c>
      <c r="R344">
        <v>90</v>
      </c>
    </row>
    <row r="345" spans="1:18" x14ac:dyDescent="0.2">
      <c r="A345" t="s">
        <v>26</v>
      </c>
      <c r="B345">
        <v>1136</v>
      </c>
      <c r="C345">
        <v>184</v>
      </c>
      <c r="D345">
        <v>4</v>
      </c>
      <c r="E345">
        <v>970</v>
      </c>
      <c r="F345">
        <v>40</v>
      </c>
      <c r="G345">
        <v>0</v>
      </c>
      <c r="H345">
        <v>0</v>
      </c>
      <c r="I345">
        <v>3600</v>
      </c>
      <c r="J345">
        <v>50</v>
      </c>
      <c r="K345">
        <v>250</v>
      </c>
      <c r="L345">
        <v>20</v>
      </c>
      <c r="M345">
        <v>190</v>
      </c>
      <c r="N345">
        <v>80</v>
      </c>
      <c r="O345">
        <v>70500</v>
      </c>
      <c r="P345">
        <v>300</v>
      </c>
      <c r="Q345">
        <v>10100</v>
      </c>
      <c r="R345">
        <v>200</v>
      </c>
    </row>
    <row r="346" spans="1:18" x14ac:dyDescent="0.2">
      <c r="A346" t="s">
        <v>26</v>
      </c>
      <c r="B346">
        <v>1137</v>
      </c>
      <c r="C346">
        <v>174</v>
      </c>
      <c r="D346">
        <v>9</v>
      </c>
      <c r="E346">
        <v>1030</v>
      </c>
      <c r="F346">
        <v>30</v>
      </c>
      <c r="G346">
        <v>0</v>
      </c>
      <c r="H346">
        <v>0</v>
      </c>
      <c r="I346">
        <v>5050</v>
      </c>
      <c r="J346">
        <v>90</v>
      </c>
      <c r="K346">
        <v>220</v>
      </c>
      <c r="L346">
        <v>40</v>
      </c>
      <c r="M346">
        <v>300</v>
      </c>
      <c r="N346">
        <v>100</v>
      </c>
      <c r="O346">
        <v>69000</v>
      </c>
      <c r="P346">
        <v>800</v>
      </c>
      <c r="Q346">
        <v>10000</v>
      </c>
      <c r="R346">
        <v>300</v>
      </c>
    </row>
    <row r="347" spans="1:18" x14ac:dyDescent="0.2">
      <c r="A347" t="s">
        <v>26</v>
      </c>
      <c r="B347">
        <v>1138</v>
      </c>
      <c r="C347">
        <v>230</v>
      </c>
      <c r="D347">
        <v>10</v>
      </c>
      <c r="E347">
        <v>1210</v>
      </c>
      <c r="F347">
        <v>40</v>
      </c>
      <c r="G347">
        <v>0</v>
      </c>
      <c r="H347">
        <v>0</v>
      </c>
      <c r="I347">
        <v>5300</v>
      </c>
      <c r="J347">
        <v>200</v>
      </c>
      <c r="K347">
        <v>300</v>
      </c>
      <c r="L347">
        <v>100</v>
      </c>
      <c r="M347">
        <v>250</v>
      </c>
      <c r="N347">
        <v>70</v>
      </c>
      <c r="O347">
        <v>69000</v>
      </c>
      <c r="P347">
        <v>600</v>
      </c>
      <c r="Q347">
        <v>9870</v>
      </c>
      <c r="R347">
        <v>20</v>
      </c>
    </row>
    <row r="348" spans="1:18" x14ac:dyDescent="0.2">
      <c r="A348" t="s">
        <v>26</v>
      </c>
      <c r="B348">
        <v>1139</v>
      </c>
      <c r="C348">
        <v>160</v>
      </c>
      <c r="D348">
        <v>10</v>
      </c>
      <c r="E348">
        <v>1190</v>
      </c>
      <c r="F348">
        <v>20</v>
      </c>
      <c r="G348">
        <v>2</v>
      </c>
      <c r="H348">
        <v>3</v>
      </c>
      <c r="I348">
        <v>5300</v>
      </c>
      <c r="J348">
        <v>200</v>
      </c>
      <c r="K348">
        <v>300</v>
      </c>
      <c r="L348">
        <v>100</v>
      </c>
      <c r="M348">
        <v>300</v>
      </c>
      <c r="N348">
        <v>100</v>
      </c>
      <c r="O348">
        <v>68200</v>
      </c>
      <c r="P348">
        <v>900</v>
      </c>
      <c r="Q348">
        <v>10100</v>
      </c>
      <c r="R348">
        <v>100</v>
      </c>
    </row>
    <row r="349" spans="1:18" x14ac:dyDescent="0.2">
      <c r="A349" t="s">
        <v>26</v>
      </c>
      <c r="B349">
        <v>1140</v>
      </c>
      <c r="C349">
        <v>210</v>
      </c>
      <c r="D349">
        <v>10</v>
      </c>
      <c r="E349">
        <v>1195</v>
      </c>
      <c r="F349">
        <v>4</v>
      </c>
      <c r="G349">
        <v>0</v>
      </c>
      <c r="H349">
        <v>0</v>
      </c>
      <c r="I349">
        <v>5160</v>
      </c>
      <c r="J349">
        <v>90</v>
      </c>
      <c r="K349">
        <v>310</v>
      </c>
      <c r="L349">
        <v>60</v>
      </c>
      <c r="M349">
        <v>200</v>
      </c>
      <c r="N349">
        <v>300</v>
      </c>
      <c r="O349">
        <v>68800</v>
      </c>
      <c r="P349">
        <v>500</v>
      </c>
      <c r="Q349">
        <v>9960</v>
      </c>
      <c r="R349">
        <v>70</v>
      </c>
    </row>
    <row r="350" spans="1:18" x14ac:dyDescent="0.2">
      <c r="A350" t="s">
        <v>26</v>
      </c>
      <c r="B350">
        <v>1141</v>
      </c>
      <c r="C350">
        <v>293</v>
      </c>
      <c r="D350">
        <v>8</v>
      </c>
      <c r="E350">
        <v>1250</v>
      </c>
      <c r="F350">
        <v>20</v>
      </c>
      <c r="G350">
        <v>4</v>
      </c>
      <c r="H350">
        <v>6</v>
      </c>
      <c r="I350">
        <v>6300</v>
      </c>
      <c r="J350">
        <v>100</v>
      </c>
      <c r="K350">
        <v>240</v>
      </c>
      <c r="L350">
        <v>30</v>
      </c>
      <c r="M350">
        <v>240</v>
      </c>
      <c r="N350">
        <v>70</v>
      </c>
      <c r="O350">
        <v>67400</v>
      </c>
      <c r="P350">
        <v>300</v>
      </c>
      <c r="Q350">
        <v>9900</v>
      </c>
      <c r="R350">
        <v>200</v>
      </c>
    </row>
    <row r="351" spans="1:18" x14ac:dyDescent="0.2">
      <c r="A351" t="s">
        <v>26</v>
      </c>
      <c r="B351">
        <v>1142</v>
      </c>
      <c r="C351">
        <v>280</v>
      </c>
      <c r="D351">
        <v>20</v>
      </c>
      <c r="E351">
        <v>1403</v>
      </c>
      <c r="F351">
        <v>4</v>
      </c>
      <c r="G351">
        <v>9</v>
      </c>
      <c r="H351">
        <v>10</v>
      </c>
      <c r="I351">
        <v>6800</v>
      </c>
      <c r="J351">
        <v>100</v>
      </c>
      <c r="K351">
        <v>360</v>
      </c>
      <c r="L351">
        <v>90</v>
      </c>
      <c r="M351">
        <v>220</v>
      </c>
      <c r="N351">
        <v>10</v>
      </c>
      <c r="O351">
        <v>65900</v>
      </c>
      <c r="P351">
        <v>100</v>
      </c>
      <c r="Q351">
        <v>9510</v>
      </c>
      <c r="R351">
        <v>60</v>
      </c>
    </row>
    <row r="352" spans="1:18" x14ac:dyDescent="0.2">
      <c r="A352" t="s">
        <v>26</v>
      </c>
      <c r="B352">
        <v>1143</v>
      </c>
      <c r="C352">
        <v>360</v>
      </c>
      <c r="D352">
        <v>60</v>
      </c>
      <c r="E352">
        <v>1676</v>
      </c>
      <c r="F352">
        <v>2</v>
      </c>
      <c r="G352">
        <v>16</v>
      </c>
      <c r="H352">
        <v>3</v>
      </c>
      <c r="I352">
        <v>7830</v>
      </c>
      <c r="J352">
        <v>30</v>
      </c>
      <c r="K352">
        <v>430</v>
      </c>
      <c r="L352">
        <v>20</v>
      </c>
      <c r="M352">
        <v>300</v>
      </c>
      <c r="N352">
        <v>100</v>
      </c>
      <c r="O352">
        <v>60200</v>
      </c>
      <c r="P352">
        <v>200</v>
      </c>
      <c r="Q352">
        <v>8900</v>
      </c>
      <c r="R352">
        <v>200</v>
      </c>
    </row>
    <row r="353" spans="1:18" x14ac:dyDescent="0.2">
      <c r="A353" t="s">
        <v>26</v>
      </c>
      <c r="B353">
        <v>1144</v>
      </c>
      <c r="C353">
        <v>560</v>
      </c>
      <c r="D353">
        <v>40</v>
      </c>
      <c r="E353">
        <v>1680</v>
      </c>
      <c r="F353">
        <v>40</v>
      </c>
      <c r="G353">
        <v>2</v>
      </c>
      <c r="H353">
        <v>3</v>
      </c>
      <c r="I353">
        <v>7830</v>
      </c>
      <c r="J353">
        <v>50</v>
      </c>
      <c r="K353">
        <v>320</v>
      </c>
      <c r="L353">
        <v>20</v>
      </c>
      <c r="M353">
        <v>400</v>
      </c>
      <c r="N353">
        <v>100</v>
      </c>
      <c r="O353">
        <v>54700</v>
      </c>
      <c r="P353">
        <v>600</v>
      </c>
      <c r="Q353">
        <v>8330</v>
      </c>
      <c r="R353">
        <v>90</v>
      </c>
    </row>
    <row r="354" spans="1:18" x14ac:dyDescent="0.2">
      <c r="A354" t="s">
        <v>26</v>
      </c>
      <c r="B354">
        <v>1147</v>
      </c>
      <c r="C354">
        <v>694</v>
      </c>
      <c r="D354">
        <v>0</v>
      </c>
      <c r="E354">
        <v>2580</v>
      </c>
      <c r="F354">
        <v>30</v>
      </c>
      <c r="G354">
        <v>33</v>
      </c>
      <c r="H354">
        <v>7</v>
      </c>
      <c r="I354">
        <v>11580</v>
      </c>
      <c r="J354">
        <v>40</v>
      </c>
      <c r="K354">
        <v>900</v>
      </c>
      <c r="L354">
        <v>50</v>
      </c>
      <c r="M354">
        <v>750</v>
      </c>
      <c r="N354">
        <v>60</v>
      </c>
      <c r="O354">
        <v>45480</v>
      </c>
      <c r="P354">
        <v>80</v>
      </c>
      <c r="Q354">
        <v>7780</v>
      </c>
      <c r="R354">
        <v>60</v>
      </c>
    </row>
    <row r="355" spans="1:18" x14ac:dyDescent="0.2">
      <c r="A355" t="s">
        <v>26</v>
      </c>
      <c r="B355">
        <v>1148</v>
      </c>
      <c r="C355">
        <v>714</v>
      </c>
      <c r="D355">
        <v>8</v>
      </c>
      <c r="E355">
        <v>2440</v>
      </c>
      <c r="F355">
        <v>10</v>
      </c>
      <c r="G355">
        <v>10</v>
      </c>
      <c r="H355">
        <v>20</v>
      </c>
      <c r="I355">
        <v>9740</v>
      </c>
      <c r="J355">
        <v>30</v>
      </c>
      <c r="K355">
        <v>830</v>
      </c>
      <c r="L355">
        <v>80</v>
      </c>
      <c r="M355">
        <v>740</v>
      </c>
      <c r="N355">
        <v>40</v>
      </c>
      <c r="O355">
        <v>41900</v>
      </c>
      <c r="P355">
        <v>600</v>
      </c>
      <c r="Q355">
        <v>7500</v>
      </c>
      <c r="R355">
        <v>200</v>
      </c>
    </row>
    <row r="356" spans="1:18" x14ac:dyDescent="0.2">
      <c r="A356" t="s">
        <v>26</v>
      </c>
      <c r="B356">
        <v>1149</v>
      </c>
      <c r="C356">
        <v>310</v>
      </c>
      <c r="D356">
        <v>40</v>
      </c>
      <c r="E356">
        <v>2240</v>
      </c>
      <c r="F356">
        <v>20</v>
      </c>
      <c r="G356">
        <v>4</v>
      </c>
      <c r="H356">
        <v>5</v>
      </c>
      <c r="I356">
        <v>8940</v>
      </c>
      <c r="J356">
        <v>60</v>
      </c>
      <c r="K356">
        <v>1214</v>
      </c>
      <c r="L356">
        <v>4</v>
      </c>
      <c r="M356">
        <v>800</v>
      </c>
      <c r="N356">
        <v>30</v>
      </c>
      <c r="O356">
        <v>41980</v>
      </c>
      <c r="P356">
        <v>90</v>
      </c>
      <c r="Q356">
        <v>7510</v>
      </c>
      <c r="R356">
        <v>80</v>
      </c>
    </row>
    <row r="357" spans="1:18" x14ac:dyDescent="0.2">
      <c r="A357" t="s">
        <v>26</v>
      </c>
      <c r="B357">
        <v>1150</v>
      </c>
      <c r="C357">
        <v>558</v>
      </c>
      <c r="D357">
        <v>5</v>
      </c>
      <c r="E357">
        <v>3080</v>
      </c>
      <c r="F357">
        <v>20</v>
      </c>
      <c r="G357">
        <v>20</v>
      </c>
      <c r="H357">
        <v>10</v>
      </c>
      <c r="I357">
        <v>14880</v>
      </c>
      <c r="J357">
        <v>20</v>
      </c>
      <c r="K357">
        <v>1270</v>
      </c>
      <c r="L357">
        <v>20</v>
      </c>
      <c r="M357">
        <v>860</v>
      </c>
      <c r="N357">
        <v>50</v>
      </c>
      <c r="O357">
        <v>40500</v>
      </c>
      <c r="P357">
        <v>200</v>
      </c>
      <c r="Q357">
        <v>7786</v>
      </c>
      <c r="R357">
        <v>4</v>
      </c>
    </row>
    <row r="358" spans="1:18" x14ac:dyDescent="0.2">
      <c r="A358" t="s">
        <v>26</v>
      </c>
      <c r="B358">
        <v>1151</v>
      </c>
      <c r="C358">
        <v>1000</v>
      </c>
      <c r="D358">
        <v>3</v>
      </c>
      <c r="E358">
        <v>4700</v>
      </c>
      <c r="F358">
        <v>200</v>
      </c>
      <c r="G358">
        <v>20</v>
      </c>
      <c r="H358">
        <v>9</v>
      </c>
      <c r="I358">
        <v>16850</v>
      </c>
      <c r="J358">
        <v>60</v>
      </c>
      <c r="K358">
        <v>1460</v>
      </c>
      <c r="L358">
        <v>80</v>
      </c>
      <c r="M358">
        <v>1000</v>
      </c>
      <c r="N358">
        <v>100</v>
      </c>
      <c r="O358">
        <v>38940</v>
      </c>
      <c r="P358">
        <v>90</v>
      </c>
      <c r="Q358">
        <v>7880</v>
      </c>
      <c r="R358">
        <v>70</v>
      </c>
    </row>
    <row r="359" spans="1:18" x14ac:dyDescent="0.2">
      <c r="A359" t="s">
        <v>26</v>
      </c>
      <c r="B359">
        <v>1152</v>
      </c>
      <c r="C359">
        <v>849</v>
      </c>
      <c r="D359">
        <v>4</v>
      </c>
      <c r="E359">
        <v>5390</v>
      </c>
      <c r="F359">
        <v>70</v>
      </c>
      <c r="G359">
        <v>20</v>
      </c>
      <c r="H359">
        <v>10</v>
      </c>
      <c r="I359">
        <v>19600</v>
      </c>
      <c r="J359">
        <v>200</v>
      </c>
      <c r="K359">
        <v>1600</v>
      </c>
      <c r="L359">
        <v>30</v>
      </c>
      <c r="M359">
        <v>960</v>
      </c>
      <c r="N359">
        <v>30</v>
      </c>
      <c r="O359">
        <v>38700</v>
      </c>
      <c r="P359">
        <v>800</v>
      </c>
      <c r="Q359">
        <v>7600</v>
      </c>
      <c r="R359">
        <v>200</v>
      </c>
    </row>
    <row r="360" spans="1:18" x14ac:dyDescent="0.2">
      <c r="A360" t="s">
        <v>26</v>
      </c>
      <c r="B360">
        <v>1153</v>
      </c>
      <c r="C360">
        <v>990</v>
      </c>
      <c r="D360">
        <v>10</v>
      </c>
      <c r="E360">
        <v>5510</v>
      </c>
      <c r="F360">
        <v>30</v>
      </c>
      <c r="G360">
        <v>30</v>
      </c>
      <c r="H360">
        <v>20</v>
      </c>
      <c r="I360">
        <v>22400</v>
      </c>
      <c r="J360">
        <v>200</v>
      </c>
      <c r="K360">
        <v>1470</v>
      </c>
      <c r="L360">
        <v>50</v>
      </c>
      <c r="M360">
        <v>1000</v>
      </c>
      <c r="N360">
        <v>70</v>
      </c>
      <c r="O360">
        <v>39300</v>
      </c>
      <c r="P360">
        <v>400</v>
      </c>
      <c r="Q360">
        <v>7700</v>
      </c>
      <c r="R360">
        <v>70</v>
      </c>
    </row>
    <row r="361" spans="1:18" x14ac:dyDescent="0.2">
      <c r="A361" t="s">
        <v>26</v>
      </c>
      <c r="B361">
        <v>1154</v>
      </c>
      <c r="C361">
        <v>1190</v>
      </c>
      <c r="D361">
        <v>40</v>
      </c>
      <c r="E361">
        <v>6470</v>
      </c>
      <c r="F361">
        <v>60</v>
      </c>
      <c r="G361">
        <v>34</v>
      </c>
      <c r="H361">
        <v>8</v>
      </c>
      <c r="I361">
        <v>24200</v>
      </c>
      <c r="J361">
        <v>200</v>
      </c>
      <c r="K361">
        <v>1570</v>
      </c>
      <c r="L361">
        <v>40</v>
      </c>
      <c r="M361">
        <v>900</v>
      </c>
      <c r="N361">
        <v>20</v>
      </c>
      <c r="O361">
        <v>38700</v>
      </c>
      <c r="P361">
        <v>500</v>
      </c>
      <c r="Q361">
        <v>7610</v>
      </c>
      <c r="R361">
        <v>30</v>
      </c>
    </row>
    <row r="362" spans="1:18" x14ac:dyDescent="0.2">
      <c r="A362" t="s">
        <v>26</v>
      </c>
      <c r="B362">
        <v>1155</v>
      </c>
      <c r="C362">
        <v>1600</v>
      </c>
      <c r="D362">
        <v>100</v>
      </c>
      <c r="E362">
        <v>7000</v>
      </c>
      <c r="F362">
        <v>100</v>
      </c>
      <c r="G362">
        <v>30</v>
      </c>
      <c r="H362">
        <v>30</v>
      </c>
      <c r="I362">
        <v>23700</v>
      </c>
      <c r="J362">
        <v>80</v>
      </c>
      <c r="K362">
        <v>1900</v>
      </c>
      <c r="L362">
        <v>200</v>
      </c>
      <c r="M362">
        <v>980</v>
      </c>
      <c r="N362">
        <v>90</v>
      </c>
      <c r="O362">
        <v>39090</v>
      </c>
      <c r="P362">
        <v>90</v>
      </c>
      <c r="Q362">
        <v>7800</v>
      </c>
      <c r="R362">
        <v>200</v>
      </c>
    </row>
    <row r="363" spans="1:18" x14ac:dyDescent="0.2">
      <c r="A363" t="s">
        <v>26</v>
      </c>
      <c r="B363">
        <v>1156</v>
      </c>
      <c r="C363">
        <v>1780</v>
      </c>
      <c r="D363">
        <v>20</v>
      </c>
      <c r="E363">
        <v>8400</v>
      </c>
      <c r="F363">
        <v>100</v>
      </c>
      <c r="G363">
        <v>50</v>
      </c>
      <c r="H363">
        <v>30</v>
      </c>
      <c r="I363">
        <v>28700</v>
      </c>
      <c r="J363">
        <v>200</v>
      </c>
      <c r="K363">
        <v>1710</v>
      </c>
      <c r="L363">
        <v>10</v>
      </c>
      <c r="M363">
        <v>930</v>
      </c>
      <c r="N363">
        <v>40</v>
      </c>
      <c r="O363">
        <v>36900</v>
      </c>
      <c r="P363">
        <v>200</v>
      </c>
      <c r="Q363">
        <v>7700</v>
      </c>
      <c r="R363">
        <v>200</v>
      </c>
    </row>
    <row r="364" spans="1:18" x14ac:dyDescent="0.2">
      <c r="A364" t="s">
        <v>26</v>
      </c>
      <c r="B364">
        <v>1157</v>
      </c>
      <c r="C364">
        <v>1940</v>
      </c>
      <c r="D364">
        <v>80</v>
      </c>
      <c r="E364">
        <v>9800</v>
      </c>
      <c r="F364">
        <v>100</v>
      </c>
      <c r="G364">
        <v>41</v>
      </c>
      <c r="H364">
        <v>4</v>
      </c>
      <c r="I364">
        <v>31300</v>
      </c>
      <c r="J364">
        <v>300</v>
      </c>
      <c r="K364">
        <v>1980</v>
      </c>
      <c r="L364">
        <v>70</v>
      </c>
      <c r="M364">
        <v>1030</v>
      </c>
      <c r="N364">
        <v>60</v>
      </c>
      <c r="O364">
        <v>37000</v>
      </c>
      <c r="P364">
        <v>300</v>
      </c>
      <c r="Q364">
        <v>7840</v>
      </c>
      <c r="R364">
        <v>4</v>
      </c>
    </row>
    <row r="365" spans="1:18" x14ac:dyDescent="0.2">
      <c r="A365" t="s">
        <v>26</v>
      </c>
      <c r="B365">
        <v>1158</v>
      </c>
      <c r="C365">
        <v>1688</v>
      </c>
      <c r="D365">
        <v>2</v>
      </c>
      <c r="E365">
        <v>9400</v>
      </c>
      <c r="F365">
        <v>100</v>
      </c>
      <c r="G365">
        <v>30</v>
      </c>
      <c r="H365">
        <v>20</v>
      </c>
      <c r="I365">
        <v>30410</v>
      </c>
      <c r="J365">
        <v>30</v>
      </c>
      <c r="K365">
        <v>1640</v>
      </c>
      <c r="L365">
        <v>80</v>
      </c>
      <c r="M365">
        <v>890</v>
      </c>
      <c r="N365">
        <v>80</v>
      </c>
      <c r="O365">
        <v>36500</v>
      </c>
      <c r="P365">
        <v>500</v>
      </c>
      <c r="Q365">
        <v>7600</v>
      </c>
      <c r="R365">
        <v>100</v>
      </c>
    </row>
    <row r="366" spans="1:18" x14ac:dyDescent="0.2">
      <c r="A366" t="s">
        <v>26</v>
      </c>
      <c r="B366">
        <v>1159</v>
      </c>
      <c r="C366">
        <v>1945.5</v>
      </c>
      <c r="D366">
        <v>7</v>
      </c>
      <c r="E366">
        <v>9160</v>
      </c>
      <c r="F366">
        <v>20</v>
      </c>
      <c r="G366">
        <v>40</v>
      </c>
      <c r="H366">
        <v>10</v>
      </c>
      <c r="I366">
        <v>28900</v>
      </c>
      <c r="J366">
        <v>100</v>
      </c>
      <c r="K366">
        <v>2070</v>
      </c>
      <c r="L366">
        <v>30</v>
      </c>
      <c r="M366">
        <v>900</v>
      </c>
      <c r="N366">
        <v>200</v>
      </c>
      <c r="O366">
        <v>34900</v>
      </c>
      <c r="P366">
        <v>200</v>
      </c>
      <c r="Q366">
        <v>7200</v>
      </c>
      <c r="R366">
        <v>200</v>
      </c>
    </row>
    <row r="367" spans="1:18" x14ac:dyDescent="0.2">
      <c r="A367" t="s">
        <v>26</v>
      </c>
      <c r="B367">
        <v>1160</v>
      </c>
      <c r="C367">
        <v>2290</v>
      </c>
      <c r="D367">
        <v>20</v>
      </c>
      <c r="E367">
        <v>9800</v>
      </c>
      <c r="F367">
        <v>300</v>
      </c>
      <c r="G367">
        <v>60</v>
      </c>
      <c r="H367">
        <v>9</v>
      </c>
      <c r="I367">
        <v>28880</v>
      </c>
      <c r="J367">
        <v>70</v>
      </c>
      <c r="K367">
        <v>2080</v>
      </c>
      <c r="L367">
        <v>40</v>
      </c>
      <c r="M367">
        <v>844</v>
      </c>
      <c r="N367">
        <v>8</v>
      </c>
      <c r="O367">
        <v>32350</v>
      </c>
      <c r="P367">
        <v>80</v>
      </c>
      <c r="Q367">
        <v>7070</v>
      </c>
      <c r="R367">
        <v>10</v>
      </c>
    </row>
    <row r="368" spans="1:18" x14ac:dyDescent="0.2">
      <c r="A368" t="s">
        <v>26</v>
      </c>
      <c r="B368">
        <v>1161</v>
      </c>
      <c r="C368">
        <v>2680</v>
      </c>
      <c r="D368">
        <v>20</v>
      </c>
      <c r="E368">
        <v>8760</v>
      </c>
      <c r="F368">
        <v>50</v>
      </c>
      <c r="G368">
        <v>102</v>
      </c>
      <c r="H368">
        <v>2</v>
      </c>
      <c r="I368">
        <v>29240</v>
      </c>
      <c r="J368">
        <v>20</v>
      </c>
      <c r="K368">
        <v>2200</v>
      </c>
      <c r="L368">
        <v>100</v>
      </c>
      <c r="M368">
        <v>990</v>
      </c>
      <c r="N368">
        <v>40</v>
      </c>
      <c r="O368">
        <v>29100</v>
      </c>
      <c r="P368">
        <v>300</v>
      </c>
      <c r="Q368">
        <v>6900</v>
      </c>
      <c r="R368">
        <v>100</v>
      </c>
    </row>
    <row r="369" spans="1:19" x14ac:dyDescent="0.2">
      <c r="A369" t="s">
        <v>26</v>
      </c>
      <c r="B369">
        <v>1162</v>
      </c>
      <c r="C369">
        <v>2510</v>
      </c>
      <c r="D369">
        <v>30</v>
      </c>
      <c r="E369">
        <v>7360</v>
      </c>
      <c r="F369">
        <v>50</v>
      </c>
      <c r="G369">
        <v>70</v>
      </c>
      <c r="H369">
        <v>10</v>
      </c>
      <c r="I369">
        <v>24200</v>
      </c>
      <c r="J369">
        <v>200</v>
      </c>
      <c r="K369">
        <v>2340</v>
      </c>
      <c r="L369">
        <v>40</v>
      </c>
      <c r="M369">
        <v>900</v>
      </c>
      <c r="N369">
        <v>100</v>
      </c>
      <c r="O369">
        <v>26224</v>
      </c>
      <c r="P369">
        <v>9</v>
      </c>
      <c r="Q369">
        <v>6600</v>
      </c>
      <c r="R369">
        <v>100</v>
      </c>
    </row>
    <row r="370" spans="1:19" x14ac:dyDescent="0.2">
      <c r="A370" t="s">
        <v>26</v>
      </c>
      <c r="B370">
        <v>1163</v>
      </c>
      <c r="C370">
        <v>3143</v>
      </c>
      <c r="D370">
        <v>7</v>
      </c>
      <c r="E370">
        <v>8700</v>
      </c>
      <c r="F370">
        <v>100</v>
      </c>
      <c r="G370">
        <v>167.5</v>
      </c>
      <c r="H370">
        <v>7</v>
      </c>
      <c r="I370">
        <v>30210</v>
      </c>
      <c r="J370">
        <v>4</v>
      </c>
      <c r="K370">
        <v>2390</v>
      </c>
      <c r="L370">
        <v>40</v>
      </c>
      <c r="M370">
        <v>1020</v>
      </c>
      <c r="N370">
        <v>60</v>
      </c>
      <c r="O370">
        <v>25300</v>
      </c>
      <c r="P370">
        <v>200</v>
      </c>
      <c r="Q370">
        <v>6400</v>
      </c>
      <c r="R370">
        <v>100</v>
      </c>
    </row>
    <row r="371" spans="1:19" x14ac:dyDescent="0.2">
      <c r="A371" t="s">
        <v>26</v>
      </c>
      <c r="B371">
        <v>1164</v>
      </c>
      <c r="C371">
        <v>2400</v>
      </c>
      <c r="D371">
        <v>20</v>
      </c>
      <c r="E371">
        <v>7100</v>
      </c>
      <c r="F371">
        <v>200</v>
      </c>
      <c r="G371">
        <v>120</v>
      </c>
      <c r="H371">
        <v>10</v>
      </c>
      <c r="I371">
        <v>25220</v>
      </c>
      <c r="J371">
        <v>20</v>
      </c>
      <c r="K371">
        <v>2300</v>
      </c>
      <c r="L371">
        <v>100</v>
      </c>
      <c r="M371">
        <v>940</v>
      </c>
      <c r="N371">
        <v>70</v>
      </c>
      <c r="O371">
        <v>26300</v>
      </c>
      <c r="P371">
        <v>200</v>
      </c>
      <c r="Q371">
        <v>6400</v>
      </c>
      <c r="R371">
        <v>100</v>
      </c>
    </row>
    <row r="372" spans="1:19" x14ac:dyDescent="0.2">
      <c r="A372" t="s">
        <v>26</v>
      </c>
      <c r="B372">
        <v>1165</v>
      </c>
      <c r="C372">
        <v>2900</v>
      </c>
      <c r="D372">
        <v>100</v>
      </c>
      <c r="E372">
        <v>8290</v>
      </c>
      <c r="F372">
        <v>90</v>
      </c>
      <c r="G372">
        <v>110</v>
      </c>
      <c r="H372">
        <v>6</v>
      </c>
      <c r="I372">
        <v>32200</v>
      </c>
      <c r="J372">
        <v>500</v>
      </c>
      <c r="K372">
        <v>2440</v>
      </c>
      <c r="L372">
        <v>10</v>
      </c>
      <c r="M372">
        <v>960</v>
      </c>
      <c r="N372">
        <v>40</v>
      </c>
      <c r="O372">
        <v>27000</v>
      </c>
      <c r="P372">
        <v>100</v>
      </c>
      <c r="Q372">
        <v>6700</v>
      </c>
      <c r="R372">
        <v>200</v>
      </c>
    </row>
    <row r="373" spans="1:19" x14ac:dyDescent="0.2">
      <c r="A373" t="s">
        <v>26</v>
      </c>
      <c r="B373">
        <v>1166</v>
      </c>
      <c r="C373">
        <v>2950</v>
      </c>
      <c r="D373">
        <v>10</v>
      </c>
      <c r="E373">
        <v>8100</v>
      </c>
      <c r="F373">
        <v>100</v>
      </c>
      <c r="G373">
        <v>140</v>
      </c>
      <c r="H373">
        <v>20</v>
      </c>
      <c r="I373">
        <v>33181</v>
      </c>
      <c r="J373">
        <v>8</v>
      </c>
      <c r="K373">
        <v>2580</v>
      </c>
      <c r="L373">
        <v>80</v>
      </c>
      <c r="M373">
        <v>980</v>
      </c>
      <c r="N373">
        <v>60</v>
      </c>
      <c r="O373">
        <v>29000</v>
      </c>
      <c r="P373">
        <v>600</v>
      </c>
      <c r="Q373">
        <v>7200</v>
      </c>
      <c r="R373">
        <v>100</v>
      </c>
    </row>
    <row r="374" spans="1:19" x14ac:dyDescent="0.2">
      <c r="A374" t="s">
        <v>26</v>
      </c>
      <c r="B374">
        <v>1167</v>
      </c>
      <c r="C374">
        <v>2600</v>
      </c>
      <c r="D374">
        <v>100</v>
      </c>
      <c r="E374">
        <v>7810</v>
      </c>
      <c r="F374">
        <v>10</v>
      </c>
      <c r="G374">
        <v>100</v>
      </c>
      <c r="H374">
        <v>30</v>
      </c>
      <c r="I374">
        <v>29600</v>
      </c>
      <c r="J374">
        <v>200</v>
      </c>
      <c r="K374">
        <v>2400</v>
      </c>
      <c r="L374">
        <v>100</v>
      </c>
      <c r="M374">
        <v>860</v>
      </c>
      <c r="N374">
        <v>30</v>
      </c>
      <c r="O374">
        <v>30900</v>
      </c>
      <c r="P374">
        <v>300</v>
      </c>
      <c r="Q374">
        <v>7180</v>
      </c>
      <c r="R374">
        <v>30</v>
      </c>
    </row>
    <row r="375" spans="1:19" x14ac:dyDescent="0.2">
      <c r="A375" t="s">
        <v>26</v>
      </c>
      <c r="B375">
        <v>1168</v>
      </c>
      <c r="C375">
        <v>2010</v>
      </c>
      <c r="D375">
        <v>40</v>
      </c>
      <c r="E375">
        <v>7410</v>
      </c>
      <c r="F375">
        <v>80</v>
      </c>
      <c r="G375">
        <v>80</v>
      </c>
      <c r="H375">
        <v>30</v>
      </c>
      <c r="I375">
        <v>23800</v>
      </c>
      <c r="J375">
        <v>200</v>
      </c>
      <c r="K375">
        <v>2150</v>
      </c>
      <c r="L375">
        <v>20</v>
      </c>
      <c r="M375">
        <v>860</v>
      </c>
      <c r="N375">
        <v>40</v>
      </c>
      <c r="O375">
        <v>32200</v>
      </c>
      <c r="P375">
        <v>700</v>
      </c>
      <c r="Q375">
        <v>7200</v>
      </c>
      <c r="R375">
        <v>200</v>
      </c>
    </row>
    <row r="376" spans="1:19" s="1" customFormat="1" x14ac:dyDescent="0.2">
      <c r="B376" s="5" t="s">
        <v>37</v>
      </c>
      <c r="C376" s="6">
        <f>AVERAGE(C2:C375)</f>
        <v>237.61096256684493</v>
      </c>
      <c r="E376" s="6">
        <f>AVERAGE(E2:E375)</f>
        <v>811.64304812834223</v>
      </c>
      <c r="G376" s="6">
        <f>AVERAGE(G2:G375)</f>
        <v>6.0828877005347595</v>
      </c>
      <c r="I376" s="6">
        <f>AVERAGE(I2:I375)</f>
        <v>7156.1430481283423</v>
      </c>
      <c r="K376" s="6">
        <f>AVERAGE(K2:K375)</f>
        <v>238.54946524064172</v>
      </c>
      <c r="M376" s="6">
        <f>AVERAGE(M2:M375)</f>
        <v>172.97860962566844</v>
      </c>
      <c r="O376" s="6">
        <f>AVERAGE(O2:O375)</f>
        <v>67574.491978609629</v>
      </c>
      <c r="Q376" s="6">
        <f>AVERAGE(Q2:Q375)</f>
        <v>9776.4050802139045</v>
      </c>
    </row>
    <row r="377" spans="1:19" s="1" customFormat="1" x14ac:dyDescent="0.2">
      <c r="B377" s="5" t="s">
        <v>30</v>
      </c>
      <c r="C377" s="6">
        <f>STDEV(C2:C375)</f>
        <v>439.09216497599556</v>
      </c>
      <c r="D377" s="6"/>
      <c r="E377" s="6">
        <f>STDEV(E2:E375)</f>
        <v>1703.5706037227903</v>
      </c>
      <c r="F377" s="6"/>
      <c r="G377" s="6">
        <f>STDEV(G2:G375)</f>
        <v>17.813671473638806</v>
      </c>
      <c r="H377" s="6"/>
      <c r="I377" s="6">
        <f>STDEV(I2:I375)</f>
        <v>7147.8935202197345</v>
      </c>
      <c r="J377" s="6"/>
      <c r="K377" s="6">
        <f>STDEV(K2:K375)</f>
        <v>446.95602081630938</v>
      </c>
      <c r="L377" s="6"/>
      <c r="M377" s="6">
        <f>STDEV(M2:M375)</f>
        <v>236.43304619301833</v>
      </c>
      <c r="N377" s="6"/>
      <c r="O377" s="6">
        <f>STDEV(O2:O375)</f>
        <v>9591.7079295940621</v>
      </c>
      <c r="P377" s="6"/>
      <c r="Q377" s="6">
        <f>STDEV(Q2:Q375)</f>
        <v>762.78977332231887</v>
      </c>
      <c r="R377" s="6"/>
      <c r="S377" s="1" t="s">
        <v>40</v>
      </c>
    </row>
    <row r="378" spans="1:19" s="1" customFormat="1" x14ac:dyDescent="0.2">
      <c r="B378" s="5" t="s">
        <v>35</v>
      </c>
      <c r="C378" s="6">
        <f>(STDEV(C2:C375))/D386^0.5</f>
        <v>310.4850474204087</v>
      </c>
      <c r="D378" s="6"/>
      <c r="E378" s="6">
        <f>(STDEV(E2:E375))/2^0.5</f>
        <v>1204.6063261224456</v>
      </c>
      <c r="F378" s="6"/>
      <c r="G378" s="2">
        <f>(STDEV(G2:G375))/2^0.5</f>
        <v>12.596167896839358</v>
      </c>
      <c r="H378" s="6"/>
      <c r="I378" s="6">
        <f>(STDEV(I2:I375))/J386^0.5</f>
        <v>5054.3239793467565</v>
      </c>
      <c r="J378" s="6"/>
      <c r="K378" s="6">
        <f>(STDEV(K2:K375))/L386^0.5</f>
        <v>316.04563321136806</v>
      </c>
      <c r="L378" s="6"/>
      <c r="M378" s="6">
        <f>(STDEV(M2:M375))/N386^0.5</f>
        <v>167.18341025967547</v>
      </c>
      <c r="N378" s="6"/>
      <c r="O378" s="6">
        <f>(STDEV(O2:O375))/P386^0.5</f>
        <v>6782.3617201767411</v>
      </c>
      <c r="P378" s="6"/>
      <c r="Q378" s="6">
        <f>(STDEV(Q2:Q375))/R386^0.5</f>
        <v>539.37382133596111</v>
      </c>
      <c r="R378" s="6"/>
      <c r="S378" s="1" t="s">
        <v>40</v>
      </c>
    </row>
    <row r="379" spans="1:19" s="1" customFormat="1" x14ac:dyDescent="0.2">
      <c r="B379" s="5" t="s">
        <v>36</v>
      </c>
      <c r="C379" s="6">
        <f>(C378/C376)*100</f>
        <v>130.66949608146248</v>
      </c>
      <c r="E379" s="6">
        <f>(E378/E376)*100</f>
        <v>148.41577574036776</v>
      </c>
      <c r="G379" s="6">
        <f>(G378/G376)*100</f>
        <v>207.07546344694151</v>
      </c>
      <c r="I379" s="2">
        <f>(I378/I376)*100</f>
        <v>70.629163578118977</v>
      </c>
      <c r="K379" s="6">
        <f>(K378/K376)*100</f>
        <v>132.48641446022546</v>
      </c>
      <c r="M379" s="2">
        <f>(M378/M376)*100</f>
        <v>96.649759540480773</v>
      </c>
      <c r="O379" s="3">
        <f>(O378/O376)*100</f>
        <v>10.036866754874998</v>
      </c>
      <c r="Q379" s="3">
        <f>(Q378/Q376)*100</f>
        <v>5.5170977154739562</v>
      </c>
      <c r="S379" s="1" t="s">
        <v>40</v>
      </c>
    </row>
    <row r="380" spans="1:19" s="1" customFormat="1" x14ac:dyDescent="0.2">
      <c r="B380" s="5" t="s">
        <v>34</v>
      </c>
      <c r="C380" s="6"/>
      <c r="D380" s="6">
        <f>AVERAGE(D2:D375)</f>
        <v>28.010695187165776</v>
      </c>
      <c r="E380" s="6"/>
      <c r="F380" s="6">
        <f>AVERAGE(F2:F375)</f>
        <v>38.716577540106954</v>
      </c>
      <c r="G380" s="6"/>
      <c r="H380" s="6">
        <f>AVERAGE(H2:H375)</f>
        <v>3.9358288770053478</v>
      </c>
      <c r="I380" s="6"/>
      <c r="J380" s="6">
        <f>AVERAGE(J2:J375)</f>
        <v>173.6524064171123</v>
      </c>
      <c r="K380" s="6"/>
      <c r="L380" s="6">
        <f>AVERAGE(L2:L375)</f>
        <v>99.318181818181813</v>
      </c>
      <c r="M380" s="6"/>
      <c r="N380" s="6">
        <f>AVERAGE(N2:N375)</f>
        <v>95.957219251336895</v>
      </c>
      <c r="O380" s="6"/>
      <c r="P380" s="6">
        <f>AVERAGE(P2:P375)</f>
        <v>650.64438502673795</v>
      </c>
      <c r="Q380" s="6"/>
      <c r="R380" s="6">
        <f>AVERAGE(R2:R375)</f>
        <v>248.57486631016042</v>
      </c>
      <c r="S380" s="1" t="s">
        <v>41</v>
      </c>
    </row>
    <row r="381" spans="1:19" s="1" customFormat="1" x14ac:dyDescent="0.2">
      <c r="B381" s="5" t="s">
        <v>33</v>
      </c>
      <c r="D381" s="2">
        <f>D380/D387^0.5</f>
        <v>1.4483985669486152</v>
      </c>
      <c r="F381" s="2">
        <f>F380/F387^0.5</f>
        <v>2.0019865644726944</v>
      </c>
      <c r="H381" s="2">
        <f>H380/H387^0.5</f>
        <v>0.20351686622263856</v>
      </c>
      <c r="J381" s="2">
        <f>J380/J387^0.5</f>
        <v>8.9793521696300846</v>
      </c>
      <c r="L381" s="2">
        <f>L380/L387^0.5</f>
        <v>5.1356209210868951</v>
      </c>
      <c r="N381" s="2">
        <f>N380/N387^0.5</f>
        <v>4.9618296841019376</v>
      </c>
      <c r="P381" s="2">
        <f>P380/P387^0.5</f>
        <v>33.644020206170573</v>
      </c>
      <c r="R381" s="2">
        <f>R380/R387^0.5</f>
        <v>12.853500341114156</v>
      </c>
      <c r="S381" s="1" t="s">
        <v>41</v>
      </c>
    </row>
    <row r="382" spans="1:19" s="1" customFormat="1" x14ac:dyDescent="0.2">
      <c r="B382" s="5" t="s">
        <v>31</v>
      </c>
      <c r="D382" s="2">
        <f>(D380/C376)*100</f>
        <v>11.788469220684959</v>
      </c>
      <c r="F382" s="2">
        <f>(F380/E376)*100</f>
        <v>4.770148358861424</v>
      </c>
      <c r="H382" s="2">
        <f>(H380/G376)*100</f>
        <v>64.703296703296715</v>
      </c>
      <c r="J382" s="2">
        <f>(J380/I376)*100</f>
        <v>2.4266201115491999</v>
      </c>
      <c r="L382" s="2">
        <f>(L380/K376)*100</f>
        <v>41.63420853532098</v>
      </c>
      <c r="N382" s="2">
        <f>(N380/M376)*100</f>
        <v>55.473459671685163</v>
      </c>
      <c r="P382" s="3">
        <f>(P380/O376)*100</f>
        <v>0.96285501522186245</v>
      </c>
      <c r="R382" s="3">
        <f>(R380/Q376)*100</f>
        <v>2.5425999052887205</v>
      </c>
      <c r="S382" s="1" t="s">
        <v>41</v>
      </c>
    </row>
    <row r="383" spans="1:19" s="1" customFormat="1" x14ac:dyDescent="0.2">
      <c r="B383" s="5" t="s">
        <v>32</v>
      </c>
      <c r="D383" s="2">
        <f>((D380/D387^0.5)/C376)*100</f>
        <v>0.60956723179013705</v>
      </c>
      <c r="F383" s="2">
        <f>((F380/F387^0.5)/E376)*100</f>
        <v>0.24665849958171851</v>
      </c>
      <c r="H383" s="2">
        <f>((H380/H387^0.5)/G376)*100</f>
        <v>3.3457278227370031</v>
      </c>
      <c r="J383" s="2">
        <f>((J380/J387^0.5)/I376)*100</f>
        <v>0.12547753879764317</v>
      </c>
      <c r="L383" s="2">
        <f>((L380/L387^0.5)/K376)*100</f>
        <v>2.152853671630004</v>
      </c>
      <c r="N383" s="2">
        <f>((N380/N387^0.5)/M376)*100</f>
        <v>2.8684643117663535</v>
      </c>
      <c r="P383" s="3">
        <f>((P380/P387^0.5)/O376)*100</f>
        <v>4.9788047562119186E-2</v>
      </c>
      <c r="R383" s="3">
        <f>((R380/R387^0.5)/Q376)*100</f>
        <v>0.13147471116072992</v>
      </c>
      <c r="S383" s="1" t="s">
        <v>41</v>
      </c>
    </row>
    <row r="384" spans="1:19" x14ac:dyDescent="0.2">
      <c r="B384" s="5" t="s">
        <v>28</v>
      </c>
      <c r="C384" s="1">
        <f>MIN(C2:C375)</f>
        <v>48</v>
      </c>
      <c r="D384" s="1">
        <f>MIN(D2:D375)</f>
        <v>0</v>
      </c>
      <c r="E384" s="1">
        <f>MIN(E2:E375)</f>
        <v>6</v>
      </c>
      <c r="F384" s="1">
        <f>MIN(F2:F375)</f>
        <v>0</v>
      </c>
      <c r="G384" s="1">
        <f>MIN(G2:G375)</f>
        <v>0</v>
      </c>
      <c r="H384" s="1">
        <f>MIN(H2:H375)</f>
        <v>0</v>
      </c>
      <c r="I384" s="1">
        <f>MIN(I2:I375)</f>
        <v>540</v>
      </c>
      <c r="J384" s="1">
        <f>MIN(J2:J375)</f>
        <v>0</v>
      </c>
      <c r="K384" s="1">
        <f>MIN(K2:K375)</f>
        <v>0</v>
      </c>
      <c r="L384" s="1">
        <f>MIN(L2:L375)</f>
        <v>0</v>
      </c>
      <c r="M384" s="1">
        <f>MIN(M2:M375)</f>
        <v>0</v>
      </c>
      <c r="N384" s="1">
        <f>MIN(N2:N375)</f>
        <v>0</v>
      </c>
      <c r="O384" s="1">
        <f>MIN(O2:O375)</f>
        <v>25300</v>
      </c>
      <c r="P384" s="1">
        <f>MIN(P2:P375)</f>
        <v>4</v>
      </c>
      <c r="Q384" s="1">
        <f>MIN(Q2:Q375)</f>
        <v>6400</v>
      </c>
      <c r="R384" s="1">
        <f>MIN(R2:R375)</f>
        <v>1</v>
      </c>
    </row>
    <row r="385" spans="2:18" x14ac:dyDescent="0.2">
      <c r="B385" s="5" t="s">
        <v>27</v>
      </c>
      <c r="C385" s="1">
        <f>MAX(C2:C375)</f>
        <v>3143</v>
      </c>
      <c r="D385" s="1">
        <f>MAX(D2:D375)</f>
        <v>300</v>
      </c>
      <c r="E385" s="1">
        <f>MAX(E2:E375)</f>
        <v>9800</v>
      </c>
      <c r="F385" s="1">
        <f>MAX(F2:F375)</f>
        <v>500</v>
      </c>
      <c r="G385" s="1">
        <f>MAX(G2:G375)</f>
        <v>167.5</v>
      </c>
      <c r="H385" s="1">
        <f>MAX(H2:H375)</f>
        <v>40</v>
      </c>
      <c r="I385" s="1">
        <f>MAX(I2:I375)</f>
        <v>46200</v>
      </c>
      <c r="J385" s="1">
        <f>MAX(J2:J375)</f>
        <v>7000</v>
      </c>
      <c r="K385" s="1">
        <f>MAX(K2:K375)</f>
        <v>2580</v>
      </c>
      <c r="L385" s="1">
        <f>MAX(L2:L375)</f>
        <v>2000</v>
      </c>
      <c r="M385" s="1">
        <f>MAX(M2:M375)</f>
        <v>1030</v>
      </c>
      <c r="N385" s="1">
        <f>MAX(N2:N375)</f>
        <v>2000</v>
      </c>
      <c r="O385" s="1">
        <f>MAX(O2:O375)</f>
        <v>75500</v>
      </c>
      <c r="P385" s="1">
        <f>MAX(P2:P375)</f>
        <v>8000</v>
      </c>
      <c r="Q385" s="1">
        <f>MAX(Q2:Q375)</f>
        <v>10700</v>
      </c>
      <c r="R385" s="1">
        <f>MAX(R2:R375)</f>
        <v>5000</v>
      </c>
    </row>
    <row r="386" spans="2:18" x14ac:dyDescent="0.2">
      <c r="B386" s="4" t="s">
        <v>39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</row>
    <row r="387" spans="2:18" x14ac:dyDescent="0.2">
      <c r="B387" s="4" t="s">
        <v>38</v>
      </c>
      <c r="C387">
        <f>COUNT(C2:C375)</f>
        <v>374</v>
      </c>
      <c r="D387">
        <f>COUNT(D2:D375)</f>
        <v>374</v>
      </c>
      <c r="E387">
        <f>COUNT(E2:E375)</f>
        <v>374</v>
      </c>
      <c r="F387">
        <f>COUNT(F2:F375)</f>
        <v>374</v>
      </c>
      <c r="G387">
        <f>COUNT(G2:G375)</f>
        <v>374</v>
      </c>
      <c r="H387">
        <f>COUNT(H2:H375)</f>
        <v>374</v>
      </c>
      <c r="I387">
        <f>COUNT(I2:I375)</f>
        <v>374</v>
      </c>
      <c r="J387">
        <f>COUNT(J2:J375)</f>
        <v>374</v>
      </c>
      <c r="K387">
        <f>COUNT(K2:K375)</f>
        <v>374</v>
      </c>
      <c r="L387">
        <f>COUNT(L2:L375)</f>
        <v>374</v>
      </c>
      <c r="M387">
        <f>COUNT(M2:M375)</f>
        <v>374</v>
      </c>
      <c r="N387">
        <f>COUNT(N2:N375)</f>
        <v>374</v>
      </c>
      <c r="O387">
        <f>COUNT(O2:O375)</f>
        <v>374</v>
      </c>
      <c r="P387">
        <f>COUNT(P2:P375)</f>
        <v>374</v>
      </c>
      <c r="Q387">
        <f>COUNT(Q2:Q375)</f>
        <v>374</v>
      </c>
      <c r="R387">
        <f>COUNT(R2:R375)</f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TableS2_repeat_error</vt:lpstr>
      <vt:lpstr>MI1_rep_err_all_calc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Roberts - BAS</dc:creator>
  <cp:lastModifiedBy>Stephen Roberts - BAS</cp:lastModifiedBy>
  <dcterms:created xsi:type="dcterms:W3CDTF">2025-03-11T11:02:37Z</dcterms:created>
  <dcterms:modified xsi:type="dcterms:W3CDTF">2025-03-11T14:58:38Z</dcterms:modified>
</cp:coreProperties>
</file>