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ro/Library/CloudStorage/Dropbox/BAS/Data/R/Papers_R/2024_DeVleeschouwer/Figure4/Data/Input/Excel_versions/"/>
    </mc:Choice>
  </mc:AlternateContent>
  <xr:revisionPtr revIDLastSave="0" documentId="8_{51AE2CA9-5B85-A148-9BD5-2F1D570029AB}" xr6:coauthVersionLast="47" xr6:coauthVersionMax="47" xr10:uidLastSave="{00000000-0000-0000-0000-000000000000}"/>
  <bookViews>
    <workbookView xWindow="-44660" yWindow="6920" windowWidth="33980" windowHeight="14800" xr2:uid="{9D803C29-9C02-9F43-A589-830C1D4488BF}"/>
  </bookViews>
  <sheets>
    <sheet name="ACE_Subsample_Composite" sheetId="1" r:id="rId1"/>
  </sheets>
  <calcPr calcId="191029"/>
</workbook>
</file>

<file path=xl/calcChain.xml><?xml version="1.0" encoding="utf-8"?>
<calcChain xmlns="http://schemas.openxmlformats.org/spreadsheetml/2006/main">
  <c r="AU726" i="1" l="1"/>
  <c r="AQ726" i="1"/>
  <c r="AJ726" i="1"/>
  <c r="AT726" i="1" s="1"/>
  <c r="AF726" i="1"/>
  <c r="AU725" i="1"/>
  <c r="AV725" i="1" s="1"/>
  <c r="AW725" i="1" s="1"/>
  <c r="AT725" i="1"/>
  <c r="AQ725" i="1"/>
  <c r="AJ725" i="1"/>
  <c r="AF725" i="1"/>
  <c r="AU724" i="1"/>
  <c r="AQ724" i="1"/>
  <c r="AT724" i="1" s="1"/>
  <c r="AJ724" i="1"/>
  <c r="AF724" i="1"/>
  <c r="AU723" i="1"/>
  <c r="AV723" i="1" s="1"/>
  <c r="AW723" i="1" s="1"/>
  <c r="AQ723" i="1"/>
  <c r="AJ723" i="1"/>
  <c r="AT723" i="1" s="1"/>
  <c r="AF723" i="1"/>
  <c r="AU722" i="1"/>
  <c r="AT722" i="1"/>
  <c r="AQ722" i="1"/>
  <c r="AJ722" i="1"/>
  <c r="AF722" i="1"/>
  <c r="AW721" i="1"/>
  <c r="AU721" i="1"/>
  <c r="AQ721" i="1"/>
  <c r="AT721" i="1" s="1"/>
  <c r="AV721" i="1" s="1"/>
  <c r="AJ721" i="1"/>
  <c r="AF721" i="1"/>
  <c r="AU720" i="1"/>
  <c r="AV720" i="1" s="1"/>
  <c r="AW720" i="1" s="1"/>
  <c r="AQ720" i="1"/>
  <c r="AJ720" i="1"/>
  <c r="AT720" i="1" s="1"/>
  <c r="AF720" i="1"/>
  <c r="AU719" i="1"/>
  <c r="AV719" i="1" s="1"/>
  <c r="AW719" i="1" s="1"/>
  <c r="AT719" i="1"/>
  <c r="AQ719" i="1"/>
  <c r="AJ719" i="1"/>
  <c r="AF719" i="1"/>
  <c r="AU718" i="1"/>
  <c r="AV718" i="1" s="1"/>
  <c r="AW718" i="1" s="1"/>
  <c r="AT718" i="1"/>
  <c r="AQ718" i="1"/>
  <c r="AJ718" i="1"/>
  <c r="AF718" i="1"/>
  <c r="AV717" i="1"/>
  <c r="AW717" i="1" s="1"/>
  <c r="AU717" i="1"/>
  <c r="AQ717" i="1"/>
  <c r="AJ717" i="1"/>
  <c r="AT717" i="1" s="1"/>
  <c r="AF717" i="1"/>
  <c r="AU716" i="1"/>
  <c r="AQ716" i="1"/>
  <c r="AJ716" i="1"/>
  <c r="AT716" i="1" s="1"/>
  <c r="AV716" i="1" s="1"/>
  <c r="AW716" i="1" s="1"/>
  <c r="AF716" i="1"/>
  <c r="AU715" i="1"/>
  <c r="AQ715" i="1"/>
  <c r="AJ715" i="1"/>
  <c r="AT715" i="1" s="1"/>
  <c r="AV715" i="1" s="1"/>
  <c r="AW715" i="1" s="1"/>
  <c r="AF715" i="1"/>
  <c r="AU714" i="1"/>
  <c r="AQ714" i="1"/>
  <c r="AJ714" i="1"/>
  <c r="AT714" i="1" s="1"/>
  <c r="AF714" i="1"/>
  <c r="AU713" i="1"/>
  <c r="AQ713" i="1"/>
  <c r="AT713" i="1" s="1"/>
  <c r="AV713" i="1" s="1"/>
  <c r="AW713" i="1" s="1"/>
  <c r="AJ713" i="1"/>
  <c r="AF713" i="1"/>
  <c r="AU712" i="1"/>
  <c r="AQ712" i="1"/>
  <c r="AJ712" i="1"/>
  <c r="AT712" i="1" s="1"/>
  <c r="AV712" i="1" s="1"/>
  <c r="AW712" i="1" s="1"/>
  <c r="AF712" i="1"/>
  <c r="AU711" i="1"/>
  <c r="AQ711" i="1"/>
  <c r="AJ711" i="1"/>
  <c r="AT711" i="1" s="1"/>
  <c r="AF711" i="1"/>
  <c r="AU710" i="1"/>
  <c r="AV710" i="1" s="1"/>
  <c r="AW710" i="1" s="1"/>
  <c r="AQ710" i="1"/>
  <c r="AT710" i="1" s="1"/>
  <c r="AJ710" i="1"/>
  <c r="AF710" i="1"/>
  <c r="AU709" i="1"/>
  <c r="AQ709" i="1"/>
  <c r="AT709" i="1" s="1"/>
  <c r="AV709" i="1" s="1"/>
  <c r="AW709" i="1" s="1"/>
  <c r="AJ709" i="1"/>
  <c r="AF709" i="1"/>
  <c r="AU708" i="1"/>
  <c r="AV708" i="1" s="1"/>
  <c r="AW708" i="1" s="1"/>
  <c r="AT708" i="1"/>
  <c r="AQ708" i="1"/>
  <c r="AJ708" i="1"/>
  <c r="AF708" i="1"/>
  <c r="AU707" i="1"/>
  <c r="AQ707" i="1"/>
  <c r="AJ707" i="1"/>
  <c r="AT707" i="1" s="1"/>
  <c r="AV707" i="1" s="1"/>
  <c r="AW707" i="1" s="1"/>
  <c r="AF707" i="1"/>
  <c r="AW706" i="1"/>
  <c r="AV706" i="1"/>
  <c r="AU706" i="1"/>
  <c r="AT706" i="1"/>
  <c r="AQ706" i="1"/>
  <c r="AJ706" i="1"/>
  <c r="AF706" i="1"/>
  <c r="AU705" i="1"/>
  <c r="AQ705" i="1"/>
  <c r="AJ705" i="1"/>
  <c r="AT705" i="1" s="1"/>
  <c r="AV705" i="1" s="1"/>
  <c r="AW705" i="1" s="1"/>
  <c r="AF705" i="1"/>
  <c r="AU704" i="1"/>
  <c r="AQ704" i="1"/>
  <c r="AJ704" i="1"/>
  <c r="AT704" i="1" s="1"/>
  <c r="AV704" i="1" s="1"/>
  <c r="AW704" i="1" s="1"/>
  <c r="AF704" i="1"/>
  <c r="AU703" i="1"/>
  <c r="AQ703" i="1"/>
  <c r="AJ703" i="1"/>
  <c r="AT703" i="1" s="1"/>
  <c r="AF703" i="1"/>
  <c r="AU702" i="1"/>
  <c r="AQ702" i="1"/>
  <c r="AJ702" i="1"/>
  <c r="AT702" i="1" s="1"/>
  <c r="AF702" i="1"/>
  <c r="AU701" i="1"/>
  <c r="AQ701" i="1"/>
  <c r="AT701" i="1" s="1"/>
  <c r="AJ701" i="1"/>
  <c r="AF701" i="1"/>
  <c r="AU700" i="1"/>
  <c r="AQ700" i="1"/>
  <c r="AT700" i="1" s="1"/>
  <c r="AJ700" i="1"/>
  <c r="AF700" i="1"/>
  <c r="AU699" i="1"/>
  <c r="AV699" i="1" s="1"/>
  <c r="AW699" i="1" s="1"/>
  <c r="AQ699" i="1"/>
  <c r="AJ699" i="1"/>
  <c r="AT699" i="1" s="1"/>
  <c r="AF699" i="1"/>
  <c r="AU698" i="1"/>
  <c r="AQ698" i="1"/>
  <c r="AT698" i="1" s="1"/>
  <c r="AJ698" i="1"/>
  <c r="AF698" i="1"/>
  <c r="AU697" i="1"/>
  <c r="AQ697" i="1"/>
  <c r="AT697" i="1" s="1"/>
  <c r="AV697" i="1" s="1"/>
  <c r="AW697" i="1" s="1"/>
  <c r="AJ697" i="1"/>
  <c r="AF697" i="1"/>
  <c r="AU696" i="1"/>
  <c r="AV696" i="1" s="1"/>
  <c r="AW696" i="1" s="1"/>
  <c r="AT696" i="1"/>
  <c r="AQ696" i="1"/>
  <c r="AJ696" i="1"/>
  <c r="AF696" i="1"/>
  <c r="AU695" i="1"/>
  <c r="AV695" i="1" s="1"/>
  <c r="AW695" i="1" s="1"/>
  <c r="AT695" i="1"/>
  <c r="AQ695" i="1"/>
  <c r="AJ695" i="1"/>
  <c r="AF695" i="1"/>
  <c r="AU694" i="1"/>
  <c r="AV694" i="1" s="1"/>
  <c r="AW694" i="1" s="1"/>
  <c r="AT694" i="1"/>
  <c r="AQ694" i="1"/>
  <c r="AJ694" i="1"/>
  <c r="AF694" i="1"/>
  <c r="AU693" i="1"/>
  <c r="AQ693" i="1"/>
  <c r="AJ693" i="1"/>
  <c r="AT693" i="1" s="1"/>
  <c r="AV693" i="1" s="1"/>
  <c r="AW693" i="1" s="1"/>
  <c r="AF693" i="1"/>
  <c r="AU692" i="1"/>
  <c r="AQ692" i="1"/>
  <c r="AJ692" i="1"/>
  <c r="AF692" i="1"/>
  <c r="AU691" i="1"/>
  <c r="AQ691" i="1"/>
  <c r="AJ691" i="1"/>
  <c r="AT691" i="1" s="1"/>
  <c r="AV691" i="1" s="1"/>
  <c r="AW691" i="1" s="1"/>
  <c r="AF691" i="1"/>
  <c r="AU690" i="1"/>
  <c r="AQ690" i="1"/>
  <c r="AJ690" i="1"/>
  <c r="AT690" i="1" s="1"/>
  <c r="AF690" i="1"/>
  <c r="AW689" i="1"/>
  <c r="AU689" i="1"/>
  <c r="AQ689" i="1"/>
  <c r="AT689" i="1" s="1"/>
  <c r="AV689" i="1" s="1"/>
  <c r="AJ689" i="1"/>
  <c r="AF689" i="1"/>
  <c r="AU688" i="1"/>
  <c r="AQ688" i="1"/>
  <c r="AJ688" i="1"/>
  <c r="AT688" i="1" s="1"/>
  <c r="AV688" i="1" s="1"/>
  <c r="AW688" i="1" s="1"/>
  <c r="AF688" i="1"/>
  <c r="AU687" i="1"/>
  <c r="AV687" i="1" s="1"/>
  <c r="AW687" i="1" s="1"/>
  <c r="AQ687" i="1"/>
  <c r="AJ687" i="1"/>
  <c r="AT687" i="1" s="1"/>
  <c r="AF687" i="1"/>
  <c r="AU686" i="1"/>
  <c r="AQ686" i="1"/>
  <c r="AT686" i="1" s="1"/>
  <c r="AJ686" i="1"/>
  <c r="AF686" i="1"/>
  <c r="AU685" i="1"/>
  <c r="AQ685" i="1"/>
  <c r="AT685" i="1" s="1"/>
  <c r="AV685" i="1" s="1"/>
  <c r="AW685" i="1" s="1"/>
  <c r="AJ685" i="1"/>
  <c r="AF685" i="1"/>
  <c r="AU684" i="1"/>
  <c r="AV684" i="1" s="1"/>
  <c r="AW684" i="1" s="1"/>
  <c r="AT684" i="1"/>
  <c r="AQ684" i="1"/>
  <c r="AJ684" i="1"/>
  <c r="AF684" i="1"/>
  <c r="AV683" i="1"/>
  <c r="AW683" i="1" s="1"/>
  <c r="AU683" i="1"/>
  <c r="AT683" i="1"/>
  <c r="AQ683" i="1"/>
  <c r="AJ683" i="1"/>
  <c r="AF683" i="1"/>
  <c r="AV682" i="1"/>
  <c r="AW682" i="1" s="1"/>
  <c r="AU682" i="1"/>
  <c r="AT682" i="1"/>
  <c r="AQ682" i="1"/>
  <c r="AJ682" i="1"/>
  <c r="AF682" i="1"/>
  <c r="AW681" i="1"/>
  <c r="AV681" i="1"/>
  <c r="AU681" i="1"/>
  <c r="AQ681" i="1"/>
  <c r="AJ681" i="1"/>
  <c r="AT681" i="1" s="1"/>
  <c r="AF681" i="1"/>
  <c r="AU680" i="1"/>
  <c r="AQ680" i="1"/>
  <c r="AJ680" i="1"/>
  <c r="AT680" i="1" s="1"/>
  <c r="AV680" i="1" s="1"/>
  <c r="AW680" i="1" s="1"/>
  <c r="AF680" i="1"/>
  <c r="AU679" i="1"/>
  <c r="AQ679" i="1"/>
  <c r="AJ679" i="1"/>
  <c r="AT679" i="1" s="1"/>
  <c r="AF679" i="1"/>
  <c r="AU678" i="1"/>
  <c r="AQ678" i="1"/>
  <c r="AJ678" i="1"/>
  <c r="AT678" i="1" s="1"/>
  <c r="AF678" i="1"/>
  <c r="AU677" i="1"/>
  <c r="AQ677" i="1"/>
  <c r="AT677" i="1" s="1"/>
  <c r="AJ677" i="1"/>
  <c r="AF677" i="1"/>
  <c r="AU676" i="1"/>
  <c r="AQ676" i="1"/>
  <c r="AJ676" i="1"/>
  <c r="AT676" i="1" s="1"/>
  <c r="AF676" i="1"/>
  <c r="AU675" i="1"/>
  <c r="AV675" i="1" s="1"/>
  <c r="AW675" i="1" s="1"/>
  <c r="AQ675" i="1"/>
  <c r="AJ675" i="1"/>
  <c r="AT675" i="1" s="1"/>
  <c r="AF675" i="1"/>
  <c r="AU674" i="1"/>
  <c r="AQ674" i="1"/>
  <c r="AT674" i="1" s="1"/>
  <c r="AJ674" i="1"/>
  <c r="AF674" i="1"/>
  <c r="AU673" i="1"/>
  <c r="AQ673" i="1"/>
  <c r="AT673" i="1" s="1"/>
  <c r="AV673" i="1" s="1"/>
  <c r="AW673" i="1" s="1"/>
  <c r="AJ673" i="1"/>
  <c r="AF673" i="1"/>
  <c r="AU672" i="1"/>
  <c r="AQ672" i="1"/>
  <c r="AJ672" i="1"/>
  <c r="AT672" i="1" s="1"/>
  <c r="AF672" i="1"/>
  <c r="AU671" i="1"/>
  <c r="AT671" i="1"/>
  <c r="AQ671" i="1"/>
  <c r="AJ671" i="1"/>
  <c r="AF671" i="1"/>
  <c r="AU670" i="1"/>
  <c r="AV670" i="1" s="1"/>
  <c r="AW670" i="1" s="1"/>
  <c r="AT670" i="1"/>
  <c r="AQ670" i="1"/>
  <c r="AJ670" i="1"/>
  <c r="AF670" i="1"/>
  <c r="AU669" i="1"/>
  <c r="AQ669" i="1"/>
  <c r="AJ669" i="1"/>
  <c r="AT669" i="1" s="1"/>
  <c r="AV669" i="1" s="1"/>
  <c r="AW669" i="1" s="1"/>
  <c r="AF669" i="1"/>
  <c r="AU668" i="1"/>
  <c r="AQ668" i="1"/>
  <c r="AJ668" i="1"/>
  <c r="AT668" i="1" s="1"/>
  <c r="AV668" i="1" s="1"/>
  <c r="AW668" i="1" s="1"/>
  <c r="AF668" i="1"/>
  <c r="AU667" i="1"/>
  <c r="AQ667" i="1"/>
  <c r="AJ667" i="1"/>
  <c r="AT667" i="1" s="1"/>
  <c r="AV667" i="1" s="1"/>
  <c r="AW667" i="1" s="1"/>
  <c r="AF667" i="1"/>
  <c r="AU666" i="1"/>
  <c r="AQ666" i="1"/>
  <c r="AJ666" i="1"/>
  <c r="AT666" i="1" s="1"/>
  <c r="AF666" i="1"/>
  <c r="AW665" i="1"/>
  <c r="AU665" i="1"/>
  <c r="AQ665" i="1"/>
  <c r="AT665" i="1" s="1"/>
  <c r="AV665" i="1" s="1"/>
  <c r="AJ665" i="1"/>
  <c r="AF665" i="1"/>
  <c r="AU664" i="1"/>
  <c r="AV664" i="1" s="1"/>
  <c r="AW664" i="1" s="1"/>
  <c r="AT664" i="1"/>
  <c r="AQ664" i="1"/>
  <c r="AJ664" i="1"/>
  <c r="AF664" i="1"/>
  <c r="AU663" i="1"/>
  <c r="AV663" i="1" s="1"/>
  <c r="AW663" i="1" s="1"/>
  <c r="AQ663" i="1"/>
  <c r="AJ663" i="1"/>
  <c r="AT663" i="1" s="1"/>
  <c r="AF663" i="1"/>
  <c r="AU662" i="1"/>
  <c r="AQ662" i="1"/>
  <c r="AT662" i="1" s="1"/>
  <c r="AJ662" i="1"/>
  <c r="AF662" i="1"/>
  <c r="AU661" i="1"/>
  <c r="AQ661" i="1"/>
  <c r="AT661" i="1" s="1"/>
  <c r="AV661" i="1" s="1"/>
  <c r="AW661" i="1" s="1"/>
  <c r="AJ661" i="1"/>
  <c r="AF661" i="1"/>
  <c r="AU660" i="1"/>
  <c r="AV660" i="1" s="1"/>
  <c r="AW660" i="1" s="1"/>
  <c r="AT660" i="1"/>
  <c r="AQ660" i="1"/>
  <c r="AJ660" i="1"/>
  <c r="AF660" i="1"/>
  <c r="AU659" i="1"/>
  <c r="AV659" i="1" s="1"/>
  <c r="AW659" i="1" s="1"/>
  <c r="AT659" i="1"/>
  <c r="AQ659" i="1"/>
  <c r="AJ659" i="1"/>
  <c r="AF659" i="1"/>
  <c r="AU658" i="1"/>
  <c r="AV658" i="1" s="1"/>
  <c r="AW658" i="1" s="1"/>
  <c r="AT658" i="1"/>
  <c r="AQ658" i="1"/>
  <c r="AJ658" i="1"/>
  <c r="AF658" i="1"/>
  <c r="AU657" i="1"/>
  <c r="AQ657" i="1"/>
  <c r="AJ657" i="1"/>
  <c r="AT657" i="1" s="1"/>
  <c r="AV657" i="1" s="1"/>
  <c r="AW657" i="1" s="1"/>
  <c r="AF657" i="1"/>
  <c r="AW656" i="1"/>
  <c r="AU656" i="1"/>
  <c r="AQ656" i="1"/>
  <c r="AJ656" i="1"/>
  <c r="AT656" i="1" s="1"/>
  <c r="AV656" i="1" s="1"/>
  <c r="AF656" i="1"/>
  <c r="AU655" i="1"/>
  <c r="AQ655" i="1"/>
  <c r="AJ655" i="1"/>
  <c r="AT655" i="1" s="1"/>
  <c r="AF655" i="1"/>
  <c r="AU654" i="1"/>
  <c r="AQ654" i="1"/>
  <c r="AJ654" i="1"/>
  <c r="AT654" i="1" s="1"/>
  <c r="AF654" i="1"/>
  <c r="AU653" i="1"/>
  <c r="AQ653" i="1"/>
  <c r="AT653" i="1" s="1"/>
  <c r="AJ653" i="1"/>
  <c r="AF653" i="1"/>
  <c r="AU652" i="1"/>
  <c r="AQ652" i="1"/>
  <c r="AJ652" i="1"/>
  <c r="AT652" i="1" s="1"/>
  <c r="AF652" i="1"/>
  <c r="AU651" i="1"/>
  <c r="AV651" i="1" s="1"/>
  <c r="AW651" i="1" s="1"/>
  <c r="AQ651" i="1"/>
  <c r="AJ651" i="1"/>
  <c r="AT651" i="1" s="1"/>
  <c r="AF651" i="1"/>
  <c r="AU650" i="1"/>
  <c r="AQ650" i="1"/>
  <c r="AT650" i="1" s="1"/>
  <c r="AJ650" i="1"/>
  <c r="AF650" i="1"/>
  <c r="AU649" i="1"/>
  <c r="AQ649" i="1"/>
  <c r="AT649" i="1" s="1"/>
  <c r="AV649" i="1" s="1"/>
  <c r="AW649" i="1" s="1"/>
  <c r="AJ649" i="1"/>
  <c r="AF649" i="1"/>
  <c r="AU648" i="1"/>
  <c r="AV648" i="1" s="1"/>
  <c r="AW648" i="1" s="1"/>
  <c r="AQ648" i="1"/>
  <c r="AJ648" i="1"/>
  <c r="AT648" i="1" s="1"/>
  <c r="AF648" i="1"/>
  <c r="AV647" i="1"/>
  <c r="AW647" i="1" s="1"/>
  <c r="AU647" i="1"/>
  <c r="AT647" i="1"/>
  <c r="AQ647" i="1"/>
  <c r="AJ647" i="1"/>
  <c r="AF647" i="1"/>
  <c r="AU646" i="1"/>
  <c r="AV646" i="1" s="1"/>
  <c r="AW646" i="1" s="1"/>
  <c r="AT646" i="1"/>
  <c r="AQ646" i="1"/>
  <c r="AJ646" i="1"/>
  <c r="AF646" i="1"/>
  <c r="AU645" i="1"/>
  <c r="AQ645" i="1"/>
  <c r="AJ645" i="1"/>
  <c r="AT645" i="1" s="1"/>
  <c r="AV645" i="1" s="1"/>
  <c r="AW645" i="1" s="1"/>
  <c r="AF645" i="1"/>
  <c r="AU644" i="1"/>
  <c r="AQ644" i="1"/>
  <c r="AJ644" i="1"/>
  <c r="AT644" i="1" s="1"/>
  <c r="AV644" i="1" s="1"/>
  <c r="AW644" i="1" s="1"/>
  <c r="AF644" i="1"/>
  <c r="AW643" i="1"/>
  <c r="AU643" i="1"/>
  <c r="AQ643" i="1"/>
  <c r="AJ643" i="1"/>
  <c r="AT643" i="1" s="1"/>
  <c r="AV643" i="1" s="1"/>
  <c r="AF643" i="1"/>
  <c r="AU642" i="1"/>
  <c r="AQ642" i="1"/>
  <c r="AJ642" i="1"/>
  <c r="AT642" i="1" s="1"/>
  <c r="AF642" i="1"/>
  <c r="AU641" i="1"/>
  <c r="AQ641" i="1"/>
  <c r="AT641" i="1" s="1"/>
  <c r="AV641" i="1" s="1"/>
  <c r="AW641" i="1" s="1"/>
  <c r="AJ641" i="1"/>
  <c r="AF641" i="1"/>
  <c r="AU640" i="1"/>
  <c r="AV640" i="1" s="1"/>
  <c r="AW640" i="1" s="1"/>
  <c r="AT640" i="1"/>
  <c r="AQ640" i="1"/>
  <c r="AJ640" i="1"/>
  <c r="AF640" i="1"/>
  <c r="AU639" i="1"/>
  <c r="AQ639" i="1"/>
  <c r="AJ639" i="1"/>
  <c r="AT639" i="1" s="1"/>
  <c r="AF639" i="1"/>
  <c r="AU638" i="1"/>
  <c r="AQ638" i="1"/>
  <c r="AT638" i="1" s="1"/>
  <c r="AJ638" i="1"/>
  <c r="AF638" i="1"/>
  <c r="AU637" i="1"/>
  <c r="AQ637" i="1"/>
  <c r="AT637" i="1" s="1"/>
  <c r="AV637" i="1" s="1"/>
  <c r="AW637" i="1" s="1"/>
  <c r="AJ637" i="1"/>
  <c r="AF637" i="1"/>
  <c r="AU636" i="1"/>
  <c r="AV636" i="1" s="1"/>
  <c r="AW636" i="1" s="1"/>
  <c r="AT636" i="1"/>
  <c r="AQ636" i="1"/>
  <c r="AJ636" i="1"/>
  <c r="AF636" i="1"/>
  <c r="AU635" i="1"/>
  <c r="AT635" i="1"/>
  <c r="AQ635" i="1"/>
  <c r="AJ635" i="1"/>
  <c r="AF635" i="1"/>
  <c r="AU634" i="1"/>
  <c r="AV634" i="1" s="1"/>
  <c r="AW634" i="1" s="1"/>
  <c r="AT634" i="1"/>
  <c r="AQ634" i="1"/>
  <c r="AJ634" i="1"/>
  <c r="AF634" i="1"/>
  <c r="AU633" i="1"/>
  <c r="AT633" i="1"/>
  <c r="AV633" i="1" s="1"/>
  <c r="AW633" i="1" s="1"/>
  <c r="AQ633" i="1"/>
  <c r="AJ633" i="1"/>
  <c r="AF633" i="1"/>
  <c r="AU632" i="1"/>
  <c r="AQ632" i="1"/>
  <c r="AJ632" i="1"/>
  <c r="AT632" i="1" s="1"/>
  <c r="AV632" i="1" s="1"/>
  <c r="AW632" i="1" s="1"/>
  <c r="AF632" i="1"/>
  <c r="AU631" i="1"/>
  <c r="AQ631" i="1"/>
  <c r="AT631" i="1" s="1"/>
  <c r="AJ631" i="1"/>
  <c r="AF631" i="1"/>
  <c r="AU630" i="1"/>
  <c r="AQ630" i="1"/>
  <c r="AJ630" i="1"/>
  <c r="AT630" i="1" s="1"/>
  <c r="AF630" i="1"/>
  <c r="AU629" i="1"/>
  <c r="AQ629" i="1"/>
  <c r="AT629" i="1" s="1"/>
  <c r="AJ629" i="1"/>
  <c r="AF629" i="1"/>
  <c r="AU628" i="1"/>
  <c r="AQ628" i="1"/>
  <c r="AJ628" i="1"/>
  <c r="AT628" i="1" s="1"/>
  <c r="AF628" i="1"/>
  <c r="AU627" i="1"/>
  <c r="AQ627" i="1"/>
  <c r="AJ627" i="1"/>
  <c r="AT627" i="1" s="1"/>
  <c r="AF627" i="1"/>
  <c r="AU626" i="1"/>
  <c r="AQ626" i="1"/>
  <c r="AT626" i="1" s="1"/>
  <c r="AJ626" i="1"/>
  <c r="AF626" i="1"/>
  <c r="AU625" i="1"/>
  <c r="AQ625" i="1"/>
  <c r="AT625" i="1" s="1"/>
  <c r="AV625" i="1" s="1"/>
  <c r="AW625" i="1" s="1"/>
  <c r="AJ625" i="1"/>
  <c r="AF625" i="1"/>
  <c r="AU624" i="1"/>
  <c r="AQ624" i="1"/>
  <c r="AJ624" i="1"/>
  <c r="AT624" i="1" s="1"/>
  <c r="AV624" i="1" s="1"/>
  <c r="AW624" i="1" s="1"/>
  <c r="AF624" i="1"/>
  <c r="AV623" i="1"/>
  <c r="AW623" i="1" s="1"/>
  <c r="AU623" i="1"/>
  <c r="AT623" i="1"/>
  <c r="AQ623" i="1"/>
  <c r="AJ623" i="1"/>
  <c r="AF623" i="1"/>
  <c r="AV622" i="1"/>
  <c r="AW622" i="1" s="1"/>
  <c r="AU622" i="1"/>
  <c r="AT622" i="1"/>
  <c r="AQ622" i="1"/>
  <c r="AJ622" i="1"/>
  <c r="AF622" i="1"/>
  <c r="AU621" i="1"/>
  <c r="AQ621" i="1"/>
  <c r="AJ621" i="1"/>
  <c r="AT621" i="1" s="1"/>
  <c r="AV621" i="1" s="1"/>
  <c r="AW621" i="1" s="1"/>
  <c r="AF621" i="1"/>
  <c r="AW620" i="1"/>
  <c r="AU620" i="1"/>
  <c r="AQ620" i="1"/>
  <c r="AJ620" i="1"/>
  <c r="AT620" i="1" s="1"/>
  <c r="AV620" i="1" s="1"/>
  <c r="AF620" i="1"/>
  <c r="AW619" i="1"/>
  <c r="AU619" i="1"/>
  <c r="AQ619" i="1"/>
  <c r="AJ619" i="1"/>
  <c r="AT619" i="1" s="1"/>
  <c r="AV619" i="1" s="1"/>
  <c r="AF619" i="1"/>
  <c r="AU618" i="1"/>
  <c r="AT618" i="1"/>
  <c r="AQ618" i="1"/>
  <c r="AJ618" i="1"/>
  <c r="AF618" i="1"/>
  <c r="AU617" i="1"/>
  <c r="AQ617" i="1"/>
  <c r="AT617" i="1" s="1"/>
  <c r="AV617" i="1" s="1"/>
  <c r="AW617" i="1" s="1"/>
  <c r="AJ617" i="1"/>
  <c r="AF617" i="1"/>
  <c r="AU616" i="1"/>
  <c r="AQ616" i="1"/>
  <c r="AJ616" i="1"/>
  <c r="AT616" i="1" s="1"/>
  <c r="AF616" i="1"/>
  <c r="AU615" i="1"/>
  <c r="AQ615" i="1"/>
  <c r="AJ615" i="1"/>
  <c r="AT615" i="1" s="1"/>
  <c r="AF615" i="1"/>
  <c r="AU614" i="1"/>
  <c r="AQ614" i="1"/>
  <c r="AT614" i="1" s="1"/>
  <c r="AJ614" i="1"/>
  <c r="AF614" i="1"/>
  <c r="AU613" i="1"/>
  <c r="AQ613" i="1"/>
  <c r="AT613" i="1" s="1"/>
  <c r="AV613" i="1" s="1"/>
  <c r="AW613" i="1" s="1"/>
  <c r="AJ613" i="1"/>
  <c r="AF613" i="1"/>
  <c r="AU612" i="1"/>
  <c r="AT612" i="1"/>
  <c r="AQ612" i="1"/>
  <c r="AJ612" i="1"/>
  <c r="AF612" i="1"/>
  <c r="AU611" i="1"/>
  <c r="AQ611" i="1"/>
  <c r="AJ611" i="1"/>
  <c r="AT611" i="1" s="1"/>
  <c r="AF611" i="1"/>
  <c r="AU610" i="1"/>
  <c r="AV610" i="1" s="1"/>
  <c r="AW610" i="1" s="1"/>
  <c r="AT610" i="1"/>
  <c r="AQ610" i="1"/>
  <c r="AJ610" i="1"/>
  <c r="AF610" i="1"/>
  <c r="AU609" i="1"/>
  <c r="AT609" i="1"/>
  <c r="AV609" i="1" s="1"/>
  <c r="AW609" i="1" s="1"/>
  <c r="AQ609" i="1"/>
  <c r="AJ609" i="1"/>
  <c r="AF609" i="1"/>
  <c r="AU608" i="1"/>
  <c r="AQ608" i="1"/>
  <c r="AJ608" i="1"/>
  <c r="AT608" i="1" s="1"/>
  <c r="AV608" i="1" s="1"/>
  <c r="AW608" i="1" s="1"/>
  <c r="AF608" i="1"/>
  <c r="AU607" i="1"/>
  <c r="AQ607" i="1"/>
  <c r="AT607" i="1" s="1"/>
  <c r="AJ607" i="1"/>
  <c r="AF607" i="1"/>
  <c r="AU606" i="1"/>
  <c r="AQ606" i="1"/>
  <c r="AJ606" i="1"/>
  <c r="AT606" i="1" s="1"/>
  <c r="AF606" i="1"/>
  <c r="AU605" i="1"/>
  <c r="AQ605" i="1"/>
  <c r="AT605" i="1" s="1"/>
  <c r="AJ605" i="1"/>
  <c r="AF605" i="1"/>
  <c r="AU604" i="1"/>
  <c r="AQ604" i="1"/>
  <c r="AJ604" i="1"/>
  <c r="AT604" i="1" s="1"/>
  <c r="AF604" i="1"/>
  <c r="AV603" i="1"/>
  <c r="AW603" i="1" s="1"/>
  <c r="AU603" i="1"/>
  <c r="AQ603" i="1"/>
  <c r="AJ603" i="1"/>
  <c r="AT603" i="1" s="1"/>
  <c r="AF603" i="1"/>
  <c r="AU602" i="1"/>
  <c r="AQ602" i="1"/>
  <c r="AT602" i="1" s="1"/>
  <c r="AJ602" i="1"/>
  <c r="AF602" i="1"/>
  <c r="AU601" i="1"/>
  <c r="AT601" i="1"/>
  <c r="AV601" i="1" s="1"/>
  <c r="AW601" i="1" s="1"/>
  <c r="AQ601" i="1"/>
  <c r="AJ601" i="1"/>
  <c r="AF601" i="1"/>
  <c r="AU600" i="1"/>
  <c r="AV600" i="1" s="1"/>
  <c r="AW600" i="1" s="1"/>
  <c r="AQ600" i="1"/>
  <c r="AJ600" i="1"/>
  <c r="AT600" i="1" s="1"/>
  <c r="AF600" i="1"/>
  <c r="AU599" i="1"/>
  <c r="AV599" i="1" s="1"/>
  <c r="AW599" i="1" s="1"/>
  <c r="AT599" i="1"/>
  <c r="AQ599" i="1"/>
  <c r="AJ599" i="1"/>
  <c r="AF599" i="1"/>
  <c r="AV598" i="1"/>
  <c r="AW598" i="1" s="1"/>
  <c r="AU598" i="1"/>
  <c r="AT598" i="1"/>
  <c r="AQ598" i="1"/>
  <c r="AJ598" i="1"/>
  <c r="AF598" i="1"/>
  <c r="AV597" i="1"/>
  <c r="AW597" i="1" s="1"/>
  <c r="AU597" i="1"/>
  <c r="AQ597" i="1"/>
  <c r="AJ597" i="1"/>
  <c r="AT597" i="1" s="1"/>
  <c r="AF597" i="1"/>
  <c r="AU596" i="1"/>
  <c r="AQ596" i="1"/>
  <c r="AJ596" i="1"/>
  <c r="AF596" i="1"/>
  <c r="AU595" i="1"/>
  <c r="AQ595" i="1"/>
  <c r="AJ595" i="1"/>
  <c r="AF595" i="1"/>
  <c r="AU594" i="1"/>
  <c r="AQ594" i="1"/>
  <c r="AT594" i="1" s="1"/>
  <c r="AJ594" i="1"/>
  <c r="AF594" i="1"/>
  <c r="AU593" i="1"/>
  <c r="AQ593" i="1"/>
  <c r="AT593" i="1" s="1"/>
  <c r="AV593" i="1" s="1"/>
  <c r="AW593" i="1" s="1"/>
  <c r="AJ593" i="1"/>
  <c r="AF593" i="1"/>
  <c r="AU592" i="1"/>
  <c r="AQ592" i="1"/>
  <c r="AJ592" i="1"/>
  <c r="AT592" i="1" s="1"/>
  <c r="AF592" i="1"/>
  <c r="AU591" i="1"/>
  <c r="AQ591" i="1"/>
  <c r="AJ591" i="1"/>
  <c r="AT591" i="1" s="1"/>
  <c r="AF591" i="1"/>
  <c r="AV590" i="1"/>
  <c r="AW590" i="1" s="1"/>
  <c r="AU590" i="1"/>
  <c r="AQ590" i="1"/>
  <c r="AT590" i="1" s="1"/>
  <c r="AJ590" i="1"/>
  <c r="AF590" i="1"/>
  <c r="AU589" i="1"/>
  <c r="AT589" i="1"/>
  <c r="AV589" i="1" s="1"/>
  <c r="AW589" i="1" s="1"/>
  <c r="AQ589" i="1"/>
  <c r="AJ589" i="1"/>
  <c r="AF589" i="1"/>
  <c r="AV588" i="1"/>
  <c r="AW588" i="1" s="1"/>
  <c r="AU588" i="1"/>
  <c r="AT588" i="1"/>
  <c r="AQ588" i="1"/>
  <c r="AJ588" i="1"/>
  <c r="AF588" i="1"/>
  <c r="AU587" i="1"/>
  <c r="AQ587" i="1"/>
  <c r="AJ587" i="1"/>
  <c r="AT587" i="1" s="1"/>
  <c r="AF587" i="1"/>
  <c r="AU586" i="1"/>
  <c r="AV586" i="1" s="1"/>
  <c r="AW586" i="1" s="1"/>
  <c r="AT586" i="1"/>
  <c r="AQ586" i="1"/>
  <c r="AJ586" i="1"/>
  <c r="AF586" i="1"/>
  <c r="AU585" i="1"/>
  <c r="AQ585" i="1"/>
  <c r="AJ585" i="1"/>
  <c r="AT585" i="1" s="1"/>
  <c r="AV585" i="1" s="1"/>
  <c r="AW585" i="1" s="1"/>
  <c r="AF585" i="1"/>
  <c r="AU584" i="1"/>
  <c r="AQ584" i="1"/>
  <c r="AJ584" i="1"/>
  <c r="AT584" i="1" s="1"/>
  <c r="AV584" i="1" s="1"/>
  <c r="AW584" i="1" s="1"/>
  <c r="AF584" i="1"/>
  <c r="AU583" i="1"/>
  <c r="AT583" i="1"/>
  <c r="AQ583" i="1"/>
  <c r="AJ583" i="1"/>
  <c r="AF583" i="1"/>
  <c r="AU582" i="1"/>
  <c r="AQ582" i="1"/>
  <c r="AJ582" i="1"/>
  <c r="AT582" i="1" s="1"/>
  <c r="AF582" i="1"/>
  <c r="AU581" i="1"/>
  <c r="AT581" i="1"/>
  <c r="AQ581" i="1"/>
  <c r="AJ581" i="1"/>
  <c r="AF581" i="1"/>
  <c r="AU580" i="1"/>
  <c r="AV580" i="1" s="1"/>
  <c r="AW580" i="1" s="1"/>
  <c r="AT580" i="1"/>
  <c r="AQ580" i="1"/>
  <c r="AJ580" i="1"/>
  <c r="AF580" i="1"/>
  <c r="AV579" i="1"/>
  <c r="AW579" i="1" s="1"/>
  <c r="AU579" i="1"/>
  <c r="AQ579" i="1"/>
  <c r="AJ579" i="1"/>
  <c r="AT579" i="1" s="1"/>
  <c r="AF579" i="1"/>
  <c r="AU578" i="1"/>
  <c r="AV578" i="1" s="1"/>
  <c r="AW578" i="1" s="1"/>
  <c r="AT578" i="1"/>
  <c r="AQ578" i="1"/>
  <c r="AJ578" i="1"/>
  <c r="AF578" i="1"/>
  <c r="AU577" i="1"/>
  <c r="AT577" i="1"/>
  <c r="AV577" i="1" s="1"/>
  <c r="AW577" i="1" s="1"/>
  <c r="AQ577" i="1"/>
  <c r="AJ577" i="1"/>
  <c r="AF577" i="1"/>
  <c r="AU576" i="1"/>
  <c r="AT576" i="1"/>
  <c r="AV576" i="1" s="1"/>
  <c r="AW576" i="1" s="1"/>
  <c r="AQ576" i="1"/>
  <c r="AJ576" i="1"/>
  <c r="AF576" i="1"/>
  <c r="AU575" i="1"/>
  <c r="AT575" i="1"/>
  <c r="AV575" i="1" s="1"/>
  <c r="AW575" i="1" s="1"/>
  <c r="AQ575" i="1"/>
  <c r="AJ575" i="1"/>
  <c r="AF575" i="1"/>
  <c r="AU574" i="1"/>
  <c r="AV574" i="1" s="1"/>
  <c r="AW574" i="1" s="1"/>
  <c r="AT574" i="1"/>
  <c r="AQ574" i="1"/>
  <c r="AJ574" i="1"/>
  <c r="AF574" i="1"/>
  <c r="AV573" i="1"/>
  <c r="AW573" i="1" s="1"/>
  <c r="AU573" i="1"/>
  <c r="AQ573" i="1"/>
  <c r="AJ573" i="1"/>
  <c r="AT573" i="1" s="1"/>
  <c r="AF573" i="1"/>
  <c r="AU572" i="1"/>
  <c r="AQ572" i="1"/>
  <c r="AJ572" i="1"/>
  <c r="AF572" i="1"/>
  <c r="AU571" i="1"/>
  <c r="AQ571" i="1"/>
  <c r="AJ571" i="1"/>
  <c r="AF571" i="1"/>
  <c r="AU570" i="1"/>
  <c r="AQ570" i="1"/>
  <c r="AJ570" i="1"/>
  <c r="AT570" i="1" s="1"/>
  <c r="AF570" i="1"/>
  <c r="AU569" i="1"/>
  <c r="AQ569" i="1"/>
  <c r="AT569" i="1" s="1"/>
  <c r="AV569" i="1" s="1"/>
  <c r="AW569" i="1" s="1"/>
  <c r="AJ569" i="1"/>
  <c r="AF569" i="1"/>
  <c r="AU568" i="1"/>
  <c r="AQ568" i="1"/>
  <c r="AJ568" i="1"/>
  <c r="AT568" i="1" s="1"/>
  <c r="AF568" i="1"/>
  <c r="AU567" i="1"/>
  <c r="AV567" i="1" s="1"/>
  <c r="AW567" i="1" s="1"/>
  <c r="AQ567" i="1"/>
  <c r="AJ567" i="1"/>
  <c r="AT567" i="1" s="1"/>
  <c r="AF567" i="1"/>
  <c r="AV566" i="1"/>
  <c r="AW566" i="1" s="1"/>
  <c r="AU566" i="1"/>
  <c r="AT566" i="1"/>
  <c r="AQ566" i="1"/>
  <c r="AJ566" i="1"/>
  <c r="AF566" i="1"/>
  <c r="AU565" i="1"/>
  <c r="AT565" i="1"/>
  <c r="AV565" i="1" s="1"/>
  <c r="AW565" i="1" s="1"/>
  <c r="AQ565" i="1"/>
  <c r="AJ565" i="1"/>
  <c r="AF565" i="1"/>
  <c r="AV564" i="1"/>
  <c r="AW564" i="1" s="1"/>
  <c r="AU564" i="1"/>
  <c r="AT564" i="1"/>
  <c r="AQ564" i="1"/>
  <c r="AJ564" i="1"/>
  <c r="AF564" i="1"/>
  <c r="AU563" i="1"/>
  <c r="AV563" i="1" s="1"/>
  <c r="AW563" i="1" s="1"/>
  <c r="AQ563" i="1"/>
  <c r="AJ563" i="1"/>
  <c r="AT563" i="1" s="1"/>
  <c r="AF563" i="1"/>
  <c r="AU562" i="1"/>
  <c r="AV562" i="1" s="1"/>
  <c r="AW562" i="1" s="1"/>
  <c r="AT562" i="1"/>
  <c r="AQ562" i="1"/>
  <c r="AJ562" i="1"/>
  <c r="AF562" i="1"/>
  <c r="AU561" i="1"/>
  <c r="AQ561" i="1"/>
  <c r="AJ561" i="1"/>
  <c r="AT561" i="1" s="1"/>
  <c r="AV561" i="1" s="1"/>
  <c r="AW561" i="1" s="1"/>
  <c r="AF561" i="1"/>
  <c r="AU560" i="1"/>
  <c r="AQ560" i="1"/>
  <c r="AJ560" i="1"/>
  <c r="AT560" i="1" s="1"/>
  <c r="AV560" i="1" s="1"/>
  <c r="AW560" i="1" s="1"/>
  <c r="AF560" i="1"/>
  <c r="AU559" i="1"/>
  <c r="AQ559" i="1"/>
  <c r="AJ559" i="1"/>
  <c r="AT559" i="1" s="1"/>
  <c r="AF559" i="1"/>
  <c r="AU558" i="1"/>
  <c r="AQ558" i="1"/>
  <c r="AJ558" i="1"/>
  <c r="AT558" i="1" s="1"/>
  <c r="AF558" i="1"/>
  <c r="AU557" i="1"/>
  <c r="AQ557" i="1"/>
  <c r="AT557" i="1" s="1"/>
  <c r="AV557" i="1" s="1"/>
  <c r="AW557" i="1" s="1"/>
  <c r="AJ557" i="1"/>
  <c r="AF557" i="1"/>
  <c r="AU556" i="1"/>
  <c r="AQ556" i="1"/>
  <c r="AT556" i="1" s="1"/>
  <c r="AJ556" i="1"/>
  <c r="AF556" i="1"/>
  <c r="AU555" i="1"/>
  <c r="AV555" i="1" s="1"/>
  <c r="AW555" i="1" s="1"/>
  <c r="AQ555" i="1"/>
  <c r="AJ555" i="1"/>
  <c r="AT555" i="1" s="1"/>
  <c r="AF555" i="1"/>
  <c r="AU554" i="1"/>
  <c r="AT554" i="1"/>
  <c r="AQ554" i="1"/>
  <c r="AJ554" i="1"/>
  <c r="AF554" i="1"/>
  <c r="AU553" i="1"/>
  <c r="AQ553" i="1"/>
  <c r="AT553" i="1" s="1"/>
  <c r="AV553" i="1" s="1"/>
  <c r="AW553" i="1" s="1"/>
  <c r="AJ553" i="1"/>
  <c r="AF553" i="1"/>
  <c r="AU552" i="1"/>
  <c r="AT552" i="1"/>
  <c r="AV552" i="1" s="1"/>
  <c r="AW552" i="1" s="1"/>
  <c r="AQ552" i="1"/>
  <c r="AJ552" i="1"/>
  <c r="AF552" i="1"/>
  <c r="AU551" i="1"/>
  <c r="AV551" i="1" s="1"/>
  <c r="AW551" i="1" s="1"/>
  <c r="AT551" i="1"/>
  <c r="AQ551" i="1"/>
  <c r="AJ551" i="1"/>
  <c r="AF551" i="1"/>
  <c r="AU550" i="1"/>
  <c r="AV550" i="1" s="1"/>
  <c r="AW550" i="1" s="1"/>
  <c r="AT550" i="1"/>
  <c r="AQ550" i="1"/>
  <c r="AJ550" i="1"/>
  <c r="AF550" i="1"/>
  <c r="AV549" i="1"/>
  <c r="AW549" i="1" s="1"/>
  <c r="AU549" i="1"/>
  <c r="AQ549" i="1"/>
  <c r="AJ549" i="1"/>
  <c r="AT549" i="1" s="1"/>
  <c r="AF549" i="1"/>
  <c r="AU548" i="1"/>
  <c r="AQ548" i="1"/>
  <c r="AJ548" i="1"/>
  <c r="AF548" i="1"/>
  <c r="AU547" i="1"/>
  <c r="AQ547" i="1"/>
  <c r="AJ547" i="1"/>
  <c r="AF547" i="1"/>
  <c r="AU546" i="1"/>
  <c r="AQ546" i="1"/>
  <c r="AJ546" i="1"/>
  <c r="AT546" i="1" s="1"/>
  <c r="AF546" i="1"/>
  <c r="AU545" i="1"/>
  <c r="AQ545" i="1"/>
  <c r="AT545" i="1" s="1"/>
  <c r="AV545" i="1" s="1"/>
  <c r="AW545" i="1" s="1"/>
  <c r="AJ545" i="1"/>
  <c r="AF545" i="1"/>
  <c r="AU544" i="1"/>
  <c r="AQ544" i="1"/>
  <c r="AJ544" i="1"/>
  <c r="AT544" i="1" s="1"/>
  <c r="AF544" i="1"/>
  <c r="AU543" i="1"/>
  <c r="AQ543" i="1"/>
  <c r="AJ543" i="1"/>
  <c r="AT543" i="1" s="1"/>
  <c r="AF543" i="1"/>
  <c r="AU542" i="1"/>
  <c r="AV542" i="1" s="1"/>
  <c r="AW542" i="1" s="1"/>
  <c r="AT542" i="1"/>
  <c r="AQ542" i="1"/>
  <c r="AJ542" i="1"/>
  <c r="AF542" i="1"/>
  <c r="AU541" i="1"/>
  <c r="AQ541" i="1"/>
  <c r="AJ541" i="1"/>
  <c r="AT541" i="1" s="1"/>
  <c r="AV541" i="1" s="1"/>
  <c r="AW541" i="1" s="1"/>
  <c r="AF541" i="1"/>
  <c r="AW540" i="1"/>
  <c r="AU540" i="1"/>
  <c r="AV540" i="1" s="1"/>
  <c r="AT540" i="1"/>
  <c r="AQ540" i="1"/>
  <c r="AJ540" i="1"/>
  <c r="AF540" i="1"/>
  <c r="AU539" i="1"/>
  <c r="AQ539" i="1"/>
  <c r="AJ539" i="1"/>
  <c r="AT539" i="1" s="1"/>
  <c r="AV539" i="1" s="1"/>
  <c r="AW539" i="1" s="1"/>
  <c r="AF539" i="1"/>
  <c r="AU538" i="1"/>
  <c r="AV538" i="1" s="1"/>
  <c r="AW538" i="1" s="1"/>
  <c r="AT538" i="1"/>
  <c r="AQ538" i="1"/>
  <c r="AJ538" i="1"/>
  <c r="AF538" i="1"/>
  <c r="AU537" i="1"/>
  <c r="AQ537" i="1"/>
  <c r="AT537" i="1" s="1"/>
  <c r="AV537" i="1" s="1"/>
  <c r="AW537" i="1" s="1"/>
  <c r="AJ537" i="1"/>
  <c r="AF537" i="1"/>
  <c r="AW536" i="1"/>
  <c r="AU536" i="1"/>
  <c r="AQ536" i="1"/>
  <c r="AJ536" i="1"/>
  <c r="AT536" i="1" s="1"/>
  <c r="AV536" i="1" s="1"/>
  <c r="AF536" i="1"/>
  <c r="AV535" i="1"/>
  <c r="AW535" i="1" s="1"/>
  <c r="AU535" i="1"/>
  <c r="AQ535" i="1"/>
  <c r="AT535" i="1" s="1"/>
  <c r="AJ535" i="1"/>
  <c r="AF535" i="1"/>
  <c r="AU534" i="1"/>
  <c r="AQ534" i="1"/>
  <c r="AJ534" i="1"/>
  <c r="AT534" i="1" s="1"/>
  <c r="AF534" i="1"/>
  <c r="AU533" i="1"/>
  <c r="AQ533" i="1"/>
  <c r="AT533" i="1" s="1"/>
  <c r="AJ533" i="1"/>
  <c r="AF533" i="1"/>
  <c r="AU532" i="1"/>
  <c r="AQ532" i="1"/>
  <c r="AJ532" i="1"/>
  <c r="AT532" i="1" s="1"/>
  <c r="AF532" i="1"/>
  <c r="AU531" i="1"/>
  <c r="AQ531" i="1"/>
  <c r="AJ531" i="1"/>
  <c r="AT531" i="1" s="1"/>
  <c r="AF531" i="1"/>
  <c r="AU530" i="1"/>
  <c r="AQ530" i="1"/>
  <c r="AJ530" i="1"/>
  <c r="AT530" i="1" s="1"/>
  <c r="AF530" i="1"/>
  <c r="AU529" i="1"/>
  <c r="AQ529" i="1"/>
  <c r="AT529" i="1" s="1"/>
  <c r="AV529" i="1" s="1"/>
  <c r="AW529" i="1" s="1"/>
  <c r="AJ529" i="1"/>
  <c r="AF529" i="1"/>
  <c r="AU528" i="1"/>
  <c r="AQ528" i="1"/>
  <c r="AJ528" i="1"/>
  <c r="AT528" i="1" s="1"/>
  <c r="AV528" i="1" s="1"/>
  <c r="AW528" i="1" s="1"/>
  <c r="AF528" i="1"/>
  <c r="AU527" i="1"/>
  <c r="AV527" i="1" s="1"/>
  <c r="AW527" i="1" s="1"/>
  <c r="AT527" i="1"/>
  <c r="AQ527" i="1"/>
  <c r="AJ527" i="1"/>
  <c r="AF527" i="1"/>
  <c r="AU526" i="1"/>
  <c r="AT526" i="1"/>
  <c r="AQ526" i="1"/>
  <c r="AJ526" i="1"/>
  <c r="AF526" i="1"/>
  <c r="AU525" i="1"/>
  <c r="AQ525" i="1"/>
  <c r="AJ525" i="1"/>
  <c r="AT525" i="1" s="1"/>
  <c r="AV525" i="1" s="1"/>
  <c r="AW525" i="1" s="1"/>
  <c r="AF525" i="1"/>
  <c r="AU524" i="1"/>
  <c r="AQ524" i="1"/>
  <c r="AJ524" i="1"/>
  <c r="AT524" i="1" s="1"/>
  <c r="AV524" i="1" s="1"/>
  <c r="AW524" i="1" s="1"/>
  <c r="AF524" i="1"/>
  <c r="AU523" i="1"/>
  <c r="AQ523" i="1"/>
  <c r="AJ523" i="1"/>
  <c r="AT523" i="1" s="1"/>
  <c r="AV523" i="1" s="1"/>
  <c r="AW523" i="1" s="1"/>
  <c r="AF523" i="1"/>
  <c r="AU522" i="1"/>
  <c r="AV522" i="1" s="1"/>
  <c r="AW522" i="1" s="1"/>
  <c r="AQ522" i="1"/>
  <c r="AJ522" i="1"/>
  <c r="AT522" i="1" s="1"/>
  <c r="AF522" i="1"/>
  <c r="AW521" i="1"/>
  <c r="AU521" i="1"/>
  <c r="AQ521" i="1"/>
  <c r="AT521" i="1" s="1"/>
  <c r="AV521" i="1" s="1"/>
  <c r="AJ521" i="1"/>
  <c r="AF521" i="1"/>
  <c r="AU520" i="1"/>
  <c r="AQ520" i="1"/>
  <c r="AJ520" i="1"/>
  <c r="AT520" i="1" s="1"/>
  <c r="AV520" i="1" s="1"/>
  <c r="AW520" i="1" s="1"/>
  <c r="AF520" i="1"/>
  <c r="AU519" i="1"/>
  <c r="AV519" i="1" s="1"/>
  <c r="AW519" i="1" s="1"/>
  <c r="AQ519" i="1"/>
  <c r="AJ519" i="1"/>
  <c r="AT519" i="1" s="1"/>
  <c r="AF519" i="1"/>
  <c r="AU518" i="1"/>
  <c r="AV518" i="1" s="1"/>
  <c r="AW518" i="1" s="1"/>
  <c r="AT518" i="1"/>
  <c r="AQ518" i="1"/>
  <c r="AJ518" i="1"/>
  <c r="AF518" i="1"/>
  <c r="AU517" i="1"/>
  <c r="AT517" i="1"/>
  <c r="AV517" i="1" s="1"/>
  <c r="AW517" i="1" s="1"/>
  <c r="AQ517" i="1"/>
  <c r="AJ517" i="1"/>
  <c r="AF517" i="1"/>
  <c r="AU516" i="1"/>
  <c r="AV516" i="1" s="1"/>
  <c r="AW516" i="1" s="1"/>
  <c r="AT516" i="1"/>
  <c r="AQ516" i="1"/>
  <c r="AJ516" i="1"/>
  <c r="AF516" i="1"/>
  <c r="AU515" i="1"/>
  <c r="AV515" i="1" s="1"/>
  <c r="AW515" i="1" s="1"/>
  <c r="AQ515" i="1"/>
  <c r="AT515" i="1" s="1"/>
  <c r="AJ515" i="1"/>
  <c r="AF515" i="1"/>
  <c r="AU514" i="1"/>
  <c r="AV514" i="1" s="1"/>
  <c r="AW514" i="1" s="1"/>
  <c r="AT514" i="1"/>
  <c r="AQ514" i="1"/>
  <c r="AJ514" i="1"/>
  <c r="AF514" i="1"/>
  <c r="AW513" i="1"/>
  <c r="AU513" i="1"/>
  <c r="AV513" i="1" s="1"/>
  <c r="AQ513" i="1"/>
  <c r="AJ513" i="1"/>
  <c r="AT513" i="1" s="1"/>
  <c r="AF513" i="1"/>
  <c r="AU512" i="1"/>
  <c r="AQ512" i="1"/>
  <c r="AJ512" i="1"/>
  <c r="AT512" i="1" s="1"/>
  <c r="AV512" i="1" s="1"/>
  <c r="AW512" i="1" s="1"/>
  <c r="AF512" i="1"/>
  <c r="AU511" i="1"/>
  <c r="AQ511" i="1"/>
  <c r="AJ511" i="1"/>
  <c r="AF511" i="1"/>
  <c r="AU510" i="1"/>
  <c r="AQ510" i="1"/>
  <c r="AJ510" i="1"/>
  <c r="AT510" i="1" s="1"/>
  <c r="AF510" i="1"/>
  <c r="AU509" i="1"/>
  <c r="AT509" i="1"/>
  <c r="AV509" i="1" s="1"/>
  <c r="AW509" i="1" s="1"/>
  <c r="AQ509" i="1"/>
  <c r="AJ509" i="1"/>
  <c r="AF509" i="1"/>
  <c r="AU508" i="1"/>
  <c r="AV508" i="1" s="1"/>
  <c r="AW508" i="1" s="1"/>
  <c r="AT508" i="1"/>
  <c r="AQ508" i="1"/>
  <c r="AJ508" i="1"/>
  <c r="AF508" i="1"/>
  <c r="AV507" i="1"/>
  <c r="AW507" i="1" s="1"/>
  <c r="AU507" i="1"/>
  <c r="AQ507" i="1"/>
  <c r="AJ507" i="1"/>
  <c r="AT507" i="1" s="1"/>
  <c r="AF507" i="1"/>
  <c r="AU506" i="1"/>
  <c r="AT506" i="1"/>
  <c r="AQ506" i="1"/>
  <c r="AJ506" i="1"/>
  <c r="AF506" i="1"/>
  <c r="AU505" i="1"/>
  <c r="AT505" i="1"/>
  <c r="AV505" i="1" s="1"/>
  <c r="AW505" i="1" s="1"/>
  <c r="AQ505" i="1"/>
  <c r="AJ505" i="1"/>
  <c r="AF505" i="1"/>
  <c r="AU504" i="1"/>
  <c r="AT504" i="1"/>
  <c r="AQ504" i="1"/>
  <c r="AJ504" i="1"/>
  <c r="AF504" i="1"/>
  <c r="AU503" i="1"/>
  <c r="AT503" i="1"/>
  <c r="AV503" i="1" s="1"/>
  <c r="AW503" i="1" s="1"/>
  <c r="AQ503" i="1"/>
  <c r="AJ503" i="1"/>
  <c r="AF503" i="1"/>
  <c r="AU502" i="1"/>
  <c r="AV502" i="1" s="1"/>
  <c r="AW502" i="1" s="1"/>
  <c r="AT502" i="1"/>
  <c r="AQ502" i="1"/>
  <c r="AJ502" i="1"/>
  <c r="AF502" i="1"/>
  <c r="AV501" i="1"/>
  <c r="AW501" i="1" s="1"/>
  <c r="AU501" i="1"/>
  <c r="AQ501" i="1"/>
  <c r="AJ501" i="1"/>
  <c r="AT501" i="1" s="1"/>
  <c r="AF501" i="1"/>
  <c r="AV500" i="1"/>
  <c r="AW500" i="1" s="1"/>
  <c r="AU500" i="1"/>
  <c r="AQ500" i="1"/>
  <c r="AJ500" i="1"/>
  <c r="AT500" i="1" s="1"/>
  <c r="AF500" i="1"/>
  <c r="AU499" i="1"/>
  <c r="AQ499" i="1"/>
  <c r="AJ499" i="1"/>
  <c r="AT499" i="1" s="1"/>
  <c r="AV499" i="1" s="1"/>
  <c r="AW499" i="1" s="1"/>
  <c r="AF499" i="1"/>
  <c r="AU498" i="1"/>
  <c r="AQ498" i="1"/>
  <c r="AJ498" i="1"/>
  <c r="AT498" i="1" s="1"/>
  <c r="AF498" i="1"/>
  <c r="AU497" i="1"/>
  <c r="AQ497" i="1"/>
  <c r="AT497" i="1" s="1"/>
  <c r="AV497" i="1" s="1"/>
  <c r="AW497" i="1" s="1"/>
  <c r="AJ497" i="1"/>
  <c r="AF497" i="1"/>
  <c r="AU496" i="1"/>
  <c r="AQ496" i="1"/>
  <c r="AJ496" i="1"/>
  <c r="AT496" i="1" s="1"/>
  <c r="AF496" i="1"/>
  <c r="AU495" i="1"/>
  <c r="AQ495" i="1"/>
  <c r="AJ495" i="1"/>
  <c r="AT495" i="1" s="1"/>
  <c r="AF495" i="1"/>
  <c r="AU494" i="1"/>
  <c r="AQ494" i="1"/>
  <c r="AT494" i="1" s="1"/>
  <c r="AV494" i="1" s="1"/>
  <c r="AW494" i="1" s="1"/>
  <c r="AJ494" i="1"/>
  <c r="AF494" i="1"/>
  <c r="AU493" i="1"/>
  <c r="AQ493" i="1"/>
  <c r="AJ493" i="1"/>
  <c r="AF493" i="1"/>
  <c r="AU492" i="1"/>
  <c r="AV492" i="1" s="1"/>
  <c r="AW492" i="1" s="1"/>
  <c r="AT492" i="1"/>
  <c r="AQ492" i="1"/>
  <c r="AJ492" i="1"/>
  <c r="AF492" i="1"/>
  <c r="AU491" i="1"/>
  <c r="AQ491" i="1"/>
  <c r="AT491" i="1" s="1"/>
  <c r="AJ491" i="1"/>
  <c r="AF491" i="1"/>
  <c r="AU490" i="1"/>
  <c r="AV490" i="1" s="1"/>
  <c r="AW490" i="1" s="1"/>
  <c r="AT490" i="1"/>
  <c r="AQ490" i="1"/>
  <c r="AJ490" i="1"/>
  <c r="AF490" i="1"/>
  <c r="AU489" i="1"/>
  <c r="AV489" i="1" s="1"/>
  <c r="AW489" i="1" s="1"/>
  <c r="AT489" i="1"/>
  <c r="AQ489" i="1"/>
  <c r="AJ489" i="1"/>
  <c r="AF489" i="1"/>
  <c r="AU488" i="1"/>
  <c r="AQ488" i="1"/>
  <c r="AJ488" i="1"/>
  <c r="AT488" i="1" s="1"/>
  <c r="AV488" i="1" s="1"/>
  <c r="AW488" i="1" s="1"/>
  <c r="AF488" i="1"/>
  <c r="AU487" i="1"/>
  <c r="AQ487" i="1"/>
  <c r="AT487" i="1" s="1"/>
  <c r="AV487" i="1" s="1"/>
  <c r="AW487" i="1" s="1"/>
  <c r="AJ487" i="1"/>
  <c r="AF487" i="1"/>
  <c r="AU486" i="1"/>
  <c r="AQ486" i="1"/>
  <c r="AJ486" i="1"/>
  <c r="AT486" i="1" s="1"/>
  <c r="AF486" i="1"/>
  <c r="AU485" i="1"/>
  <c r="AQ485" i="1"/>
  <c r="AT485" i="1" s="1"/>
  <c r="AJ485" i="1"/>
  <c r="AF485" i="1"/>
  <c r="AU484" i="1"/>
  <c r="AV484" i="1" s="1"/>
  <c r="AW484" i="1" s="1"/>
  <c r="AT484" i="1"/>
  <c r="AQ484" i="1"/>
  <c r="AJ484" i="1"/>
  <c r="AF484" i="1"/>
  <c r="AU483" i="1"/>
  <c r="AQ483" i="1"/>
  <c r="AJ483" i="1"/>
  <c r="AT483" i="1" s="1"/>
  <c r="AF483" i="1"/>
  <c r="AU482" i="1"/>
  <c r="AQ482" i="1"/>
  <c r="AJ482" i="1"/>
  <c r="AF482" i="1"/>
  <c r="AU481" i="1"/>
  <c r="AQ481" i="1"/>
  <c r="AT481" i="1" s="1"/>
  <c r="AV481" i="1" s="1"/>
  <c r="AW481" i="1" s="1"/>
  <c r="AJ481" i="1"/>
  <c r="AF481" i="1"/>
  <c r="AU480" i="1"/>
  <c r="AQ480" i="1"/>
  <c r="AJ480" i="1"/>
  <c r="AT480" i="1" s="1"/>
  <c r="AF480" i="1"/>
  <c r="AV479" i="1"/>
  <c r="AW479" i="1" s="1"/>
  <c r="AU479" i="1"/>
  <c r="AT479" i="1"/>
  <c r="AQ479" i="1"/>
  <c r="AJ479" i="1"/>
  <c r="AF479" i="1"/>
  <c r="AU478" i="1"/>
  <c r="AV478" i="1" s="1"/>
  <c r="AW478" i="1" s="1"/>
  <c r="AT478" i="1"/>
  <c r="AQ478" i="1"/>
  <c r="AJ478" i="1"/>
  <c r="AF478" i="1"/>
  <c r="AU477" i="1"/>
  <c r="AQ477" i="1"/>
  <c r="AJ477" i="1"/>
  <c r="AT477" i="1" s="1"/>
  <c r="AV477" i="1" s="1"/>
  <c r="AW477" i="1" s="1"/>
  <c r="AF477" i="1"/>
  <c r="AU476" i="1"/>
  <c r="AQ476" i="1"/>
  <c r="AJ476" i="1"/>
  <c r="AF476" i="1"/>
  <c r="AU475" i="1"/>
  <c r="AQ475" i="1"/>
  <c r="AJ475" i="1"/>
  <c r="AF475" i="1"/>
  <c r="AU474" i="1"/>
  <c r="AQ474" i="1"/>
  <c r="AJ474" i="1"/>
  <c r="AT474" i="1" s="1"/>
  <c r="AF474" i="1"/>
  <c r="AW473" i="1"/>
  <c r="AU473" i="1"/>
  <c r="AQ473" i="1"/>
  <c r="AT473" i="1" s="1"/>
  <c r="AV473" i="1" s="1"/>
  <c r="AJ473" i="1"/>
  <c r="AF473" i="1"/>
  <c r="AU472" i="1"/>
  <c r="AQ472" i="1"/>
  <c r="AJ472" i="1"/>
  <c r="AT472" i="1" s="1"/>
  <c r="AF472" i="1"/>
  <c r="AU471" i="1"/>
  <c r="AV471" i="1" s="1"/>
  <c r="AW471" i="1" s="1"/>
  <c r="AQ471" i="1"/>
  <c r="AJ471" i="1"/>
  <c r="AT471" i="1" s="1"/>
  <c r="AF471" i="1"/>
  <c r="AU470" i="1"/>
  <c r="AQ470" i="1"/>
  <c r="AT470" i="1" s="1"/>
  <c r="AJ470" i="1"/>
  <c r="AF470" i="1"/>
  <c r="AU469" i="1"/>
  <c r="AT469" i="1"/>
  <c r="AV469" i="1" s="1"/>
  <c r="AW469" i="1" s="1"/>
  <c r="AQ469" i="1"/>
  <c r="AJ469" i="1"/>
  <c r="AF469" i="1"/>
  <c r="AU468" i="1"/>
  <c r="AV468" i="1" s="1"/>
  <c r="AW468" i="1" s="1"/>
  <c r="AT468" i="1"/>
  <c r="AQ468" i="1"/>
  <c r="AJ468" i="1"/>
  <c r="AF468" i="1"/>
  <c r="AU467" i="1"/>
  <c r="AV467" i="1" s="1"/>
  <c r="AW467" i="1" s="1"/>
  <c r="AT467" i="1"/>
  <c r="AQ467" i="1"/>
  <c r="AJ467" i="1"/>
  <c r="AF467" i="1"/>
  <c r="AU466" i="1"/>
  <c r="AV466" i="1" s="1"/>
  <c r="AW466" i="1" s="1"/>
  <c r="AT466" i="1"/>
  <c r="AQ466" i="1"/>
  <c r="AJ466" i="1"/>
  <c r="AF466" i="1"/>
  <c r="AU465" i="1"/>
  <c r="AQ465" i="1"/>
  <c r="AJ465" i="1"/>
  <c r="AF465" i="1"/>
  <c r="AU464" i="1"/>
  <c r="AQ464" i="1"/>
  <c r="AJ464" i="1"/>
  <c r="AT464" i="1" s="1"/>
  <c r="AV464" i="1" s="1"/>
  <c r="AW464" i="1" s="1"/>
  <c r="AF464" i="1"/>
  <c r="AU463" i="1"/>
  <c r="AQ463" i="1"/>
  <c r="AJ463" i="1"/>
  <c r="AF463" i="1"/>
  <c r="AU462" i="1"/>
  <c r="AQ462" i="1"/>
  <c r="AJ462" i="1"/>
  <c r="AT462" i="1" s="1"/>
  <c r="AF462" i="1"/>
  <c r="AU461" i="1"/>
  <c r="AV461" i="1" s="1"/>
  <c r="AW461" i="1" s="1"/>
  <c r="AQ461" i="1"/>
  <c r="AT461" i="1" s="1"/>
  <c r="AJ461" i="1"/>
  <c r="AF461" i="1"/>
  <c r="AU460" i="1"/>
  <c r="AV460" i="1" s="1"/>
  <c r="AW460" i="1" s="1"/>
  <c r="AT460" i="1"/>
  <c r="AQ460" i="1"/>
  <c r="AJ460" i="1"/>
  <c r="AF460" i="1"/>
  <c r="AU459" i="1"/>
  <c r="AV459" i="1" s="1"/>
  <c r="AW459" i="1" s="1"/>
  <c r="AQ459" i="1"/>
  <c r="AJ459" i="1"/>
  <c r="AT459" i="1" s="1"/>
  <c r="AF459" i="1"/>
  <c r="AU458" i="1"/>
  <c r="AV458" i="1" s="1"/>
  <c r="AW458" i="1" s="1"/>
  <c r="AT458" i="1"/>
  <c r="AQ458" i="1"/>
  <c r="AJ458" i="1"/>
  <c r="AF458" i="1"/>
  <c r="AU457" i="1"/>
  <c r="AQ457" i="1"/>
  <c r="AT457" i="1" s="1"/>
  <c r="AV457" i="1" s="1"/>
  <c r="AW457" i="1" s="1"/>
  <c r="AJ457" i="1"/>
  <c r="AF457" i="1"/>
  <c r="AU456" i="1"/>
  <c r="AT456" i="1"/>
  <c r="AQ456" i="1"/>
  <c r="AJ456" i="1"/>
  <c r="AF456" i="1"/>
  <c r="AU455" i="1"/>
  <c r="AV455" i="1" s="1"/>
  <c r="AW455" i="1" s="1"/>
  <c r="AT455" i="1"/>
  <c r="AQ455" i="1"/>
  <c r="AJ455" i="1"/>
  <c r="AF455" i="1"/>
  <c r="AU454" i="1"/>
  <c r="AV454" i="1" s="1"/>
  <c r="AW454" i="1" s="1"/>
  <c r="AT454" i="1"/>
  <c r="AQ454" i="1"/>
  <c r="AJ454" i="1"/>
  <c r="AF454" i="1"/>
  <c r="AW453" i="1"/>
  <c r="AV453" i="1"/>
  <c r="AU453" i="1"/>
  <c r="AQ453" i="1"/>
  <c r="AJ453" i="1"/>
  <c r="AT453" i="1" s="1"/>
  <c r="AF453" i="1"/>
  <c r="AV452" i="1"/>
  <c r="AW452" i="1" s="1"/>
  <c r="AU452" i="1"/>
  <c r="AQ452" i="1"/>
  <c r="AJ452" i="1"/>
  <c r="AT452" i="1" s="1"/>
  <c r="AF452" i="1"/>
  <c r="AU451" i="1"/>
  <c r="AQ451" i="1"/>
  <c r="AJ451" i="1"/>
  <c r="AF451" i="1"/>
  <c r="AU450" i="1"/>
  <c r="AQ450" i="1"/>
  <c r="AT450" i="1" s="1"/>
  <c r="AJ450" i="1"/>
  <c r="AF450" i="1"/>
  <c r="AU449" i="1"/>
  <c r="AQ449" i="1"/>
  <c r="AT449" i="1" s="1"/>
  <c r="AV449" i="1" s="1"/>
  <c r="AW449" i="1" s="1"/>
  <c r="AJ449" i="1"/>
  <c r="AF449" i="1"/>
  <c r="AU448" i="1"/>
  <c r="AQ448" i="1"/>
  <c r="AJ448" i="1"/>
  <c r="AT448" i="1" s="1"/>
  <c r="AF448" i="1"/>
  <c r="AU447" i="1"/>
  <c r="AV447" i="1" s="1"/>
  <c r="AW447" i="1" s="1"/>
  <c r="AQ447" i="1"/>
  <c r="AJ447" i="1"/>
  <c r="AT447" i="1" s="1"/>
  <c r="AF447" i="1"/>
  <c r="AU446" i="1"/>
  <c r="AQ446" i="1"/>
  <c r="AT446" i="1" s="1"/>
  <c r="AJ446" i="1"/>
  <c r="AF446" i="1"/>
  <c r="AU445" i="1"/>
  <c r="AT445" i="1"/>
  <c r="AV445" i="1" s="1"/>
  <c r="AW445" i="1" s="1"/>
  <c r="AQ445" i="1"/>
  <c r="AJ445" i="1"/>
  <c r="AF445" i="1"/>
  <c r="AU444" i="1"/>
  <c r="AV444" i="1" s="1"/>
  <c r="AW444" i="1" s="1"/>
  <c r="AT444" i="1"/>
  <c r="AQ444" i="1"/>
  <c r="AJ444" i="1"/>
  <c r="AF444" i="1"/>
  <c r="AU443" i="1"/>
  <c r="AV443" i="1" s="1"/>
  <c r="AW443" i="1" s="1"/>
  <c r="AT443" i="1"/>
  <c r="AQ443" i="1"/>
  <c r="AJ443" i="1"/>
  <c r="AF443" i="1"/>
  <c r="AU442" i="1"/>
  <c r="AV442" i="1" s="1"/>
  <c r="AW442" i="1" s="1"/>
  <c r="AT442" i="1"/>
  <c r="AQ442" i="1"/>
  <c r="AJ442" i="1"/>
  <c r="AF442" i="1"/>
  <c r="AU441" i="1"/>
  <c r="AT441" i="1"/>
  <c r="AQ441" i="1"/>
  <c r="AJ441" i="1"/>
  <c r="AF441" i="1"/>
  <c r="AU440" i="1"/>
  <c r="AQ440" i="1"/>
  <c r="AJ440" i="1"/>
  <c r="AT440" i="1" s="1"/>
  <c r="AV440" i="1" s="1"/>
  <c r="AW440" i="1" s="1"/>
  <c r="AF440" i="1"/>
  <c r="AU439" i="1"/>
  <c r="AT439" i="1"/>
  <c r="AQ439" i="1"/>
  <c r="AJ439" i="1"/>
  <c r="AF439" i="1"/>
  <c r="AU438" i="1"/>
  <c r="AQ438" i="1"/>
  <c r="AJ438" i="1"/>
  <c r="AT438" i="1" s="1"/>
  <c r="AF438" i="1"/>
  <c r="AU437" i="1"/>
  <c r="AQ437" i="1"/>
  <c r="AT437" i="1" s="1"/>
  <c r="AV437" i="1" s="1"/>
  <c r="AW437" i="1" s="1"/>
  <c r="AJ437" i="1"/>
  <c r="AF437" i="1"/>
  <c r="AU436" i="1"/>
  <c r="AQ436" i="1"/>
  <c r="AJ436" i="1"/>
  <c r="AT436" i="1" s="1"/>
  <c r="AF436" i="1"/>
  <c r="AU435" i="1"/>
  <c r="AQ435" i="1"/>
  <c r="AJ435" i="1"/>
  <c r="AT435" i="1" s="1"/>
  <c r="AV435" i="1" s="1"/>
  <c r="AW435" i="1" s="1"/>
  <c r="AF435" i="1"/>
  <c r="AU434" i="1"/>
  <c r="AQ434" i="1"/>
  <c r="AJ434" i="1"/>
  <c r="AT434" i="1" s="1"/>
  <c r="AF434" i="1"/>
  <c r="AU433" i="1"/>
  <c r="AQ433" i="1"/>
  <c r="AT433" i="1" s="1"/>
  <c r="AV433" i="1" s="1"/>
  <c r="AW433" i="1" s="1"/>
  <c r="AJ433" i="1"/>
  <c r="AF433" i="1"/>
  <c r="AV432" i="1"/>
  <c r="AW432" i="1" s="1"/>
  <c r="AU432" i="1"/>
  <c r="AQ432" i="1"/>
  <c r="AJ432" i="1"/>
  <c r="AT432" i="1" s="1"/>
  <c r="AF432" i="1"/>
  <c r="AU431" i="1"/>
  <c r="AT431" i="1"/>
  <c r="AV431" i="1" s="1"/>
  <c r="AW431" i="1" s="1"/>
  <c r="AQ431" i="1"/>
  <c r="AJ431" i="1"/>
  <c r="AF431" i="1"/>
  <c r="AU430" i="1"/>
  <c r="AV430" i="1" s="1"/>
  <c r="AW430" i="1" s="1"/>
  <c r="AT430" i="1"/>
  <c r="AQ430" i="1"/>
  <c r="AJ430" i="1"/>
  <c r="AF430" i="1"/>
  <c r="AU429" i="1"/>
  <c r="AQ429" i="1"/>
  <c r="AJ429" i="1"/>
  <c r="AT429" i="1" s="1"/>
  <c r="AV429" i="1" s="1"/>
  <c r="AW429" i="1" s="1"/>
  <c r="AF429" i="1"/>
  <c r="AU428" i="1"/>
  <c r="AQ428" i="1"/>
  <c r="AJ428" i="1"/>
  <c r="AF428" i="1"/>
  <c r="AU427" i="1"/>
  <c r="AQ427" i="1"/>
  <c r="AJ427" i="1"/>
  <c r="AF427" i="1"/>
  <c r="AU426" i="1"/>
  <c r="AQ426" i="1"/>
  <c r="AJ426" i="1"/>
  <c r="AT426" i="1" s="1"/>
  <c r="AF426" i="1"/>
  <c r="AU425" i="1"/>
  <c r="AQ425" i="1"/>
  <c r="AJ425" i="1"/>
  <c r="AT425" i="1" s="1"/>
  <c r="AF425" i="1"/>
  <c r="AU424" i="1"/>
  <c r="AQ424" i="1"/>
  <c r="AT424" i="1" s="1"/>
  <c r="AV424" i="1" s="1"/>
  <c r="AW424" i="1" s="1"/>
  <c r="AJ424" i="1"/>
  <c r="AF424" i="1"/>
  <c r="AU423" i="1"/>
  <c r="AQ423" i="1"/>
  <c r="AJ423" i="1"/>
  <c r="AT423" i="1" s="1"/>
  <c r="AV423" i="1" s="1"/>
  <c r="AW423" i="1" s="1"/>
  <c r="AF423" i="1"/>
  <c r="AU422" i="1"/>
  <c r="AQ422" i="1"/>
  <c r="AJ422" i="1"/>
  <c r="AT422" i="1" s="1"/>
  <c r="AF422" i="1"/>
  <c r="AV421" i="1"/>
  <c r="AW421" i="1" s="1"/>
  <c r="AT421" i="1"/>
  <c r="AQ421" i="1"/>
  <c r="AH421" i="1"/>
  <c r="AI421" i="1" s="1"/>
  <c r="AJ421" i="1" s="1"/>
  <c r="AF421" i="1"/>
  <c r="AA421" i="1"/>
  <c r="AU421" i="1" s="1"/>
  <c r="Z421" i="1"/>
  <c r="U421" i="1"/>
  <c r="AU420" i="1"/>
  <c r="AT420" i="1"/>
  <c r="AQ420" i="1"/>
  <c r="AH420" i="1"/>
  <c r="AI420" i="1" s="1"/>
  <c r="AJ420" i="1" s="1"/>
  <c r="AF420" i="1"/>
  <c r="AA420" i="1"/>
  <c r="Z420" i="1"/>
  <c r="U420" i="1"/>
  <c r="AU419" i="1"/>
  <c r="AT419" i="1"/>
  <c r="AV419" i="1" s="1"/>
  <c r="AW419" i="1" s="1"/>
  <c r="AQ419" i="1"/>
  <c r="AH419" i="1"/>
  <c r="AI419" i="1" s="1"/>
  <c r="AJ419" i="1" s="1"/>
  <c r="AF419" i="1"/>
  <c r="AA419" i="1"/>
  <c r="Z419" i="1"/>
  <c r="AB419" i="1" s="1"/>
  <c r="U419" i="1"/>
  <c r="AV418" i="1"/>
  <c r="AW418" i="1" s="1"/>
  <c r="AU418" i="1"/>
  <c r="AT418" i="1"/>
  <c r="AQ418" i="1"/>
  <c r="AH418" i="1"/>
  <c r="AI418" i="1" s="1"/>
  <c r="AJ418" i="1" s="1"/>
  <c r="AF418" i="1"/>
  <c r="AA418" i="1"/>
  <c r="AB418" i="1" s="1"/>
  <c r="Z418" i="1"/>
  <c r="U418" i="1"/>
  <c r="AU417" i="1"/>
  <c r="AT417" i="1"/>
  <c r="AQ417" i="1"/>
  <c r="AJ417" i="1"/>
  <c r="AI417" i="1"/>
  <c r="AH417" i="1"/>
  <c r="AF417" i="1"/>
  <c r="AA417" i="1"/>
  <c r="Z417" i="1"/>
  <c r="U417" i="1"/>
  <c r="AU416" i="1"/>
  <c r="AT416" i="1"/>
  <c r="AQ416" i="1"/>
  <c r="AV416" i="1" s="1"/>
  <c r="AW416" i="1" s="1"/>
  <c r="AJ416" i="1"/>
  <c r="AI416" i="1"/>
  <c r="AH416" i="1"/>
  <c r="AF416" i="1"/>
  <c r="AA416" i="1"/>
  <c r="AB416" i="1" s="1"/>
  <c r="Z416" i="1"/>
  <c r="U416" i="1"/>
  <c r="AU415" i="1"/>
  <c r="AV415" i="1" s="1"/>
  <c r="AW415" i="1" s="1"/>
  <c r="AT415" i="1"/>
  <c r="AQ415" i="1"/>
  <c r="AJ415" i="1"/>
  <c r="AI415" i="1"/>
  <c r="AH415" i="1"/>
  <c r="AF415" i="1"/>
  <c r="AA415" i="1"/>
  <c r="Z415" i="1"/>
  <c r="U415" i="1"/>
  <c r="AB415" i="1" s="1"/>
  <c r="AU414" i="1"/>
  <c r="AV414" i="1" s="1"/>
  <c r="AW414" i="1" s="1"/>
  <c r="AT414" i="1"/>
  <c r="AQ414" i="1"/>
  <c r="AJ414" i="1"/>
  <c r="AI414" i="1"/>
  <c r="AH414" i="1"/>
  <c r="AF414" i="1"/>
  <c r="AA414" i="1"/>
  <c r="Z414" i="1"/>
  <c r="U414" i="1"/>
  <c r="AU413" i="1"/>
  <c r="AV413" i="1" s="1"/>
  <c r="AW413" i="1" s="1"/>
  <c r="AT413" i="1"/>
  <c r="AQ413" i="1"/>
  <c r="AH413" i="1"/>
  <c r="AI413" i="1" s="1"/>
  <c r="AJ413" i="1" s="1"/>
  <c r="AF413" i="1"/>
  <c r="AA413" i="1"/>
  <c r="Z413" i="1"/>
  <c r="U413" i="1"/>
  <c r="AB413" i="1" s="1"/>
  <c r="AV412" i="1"/>
  <c r="AW412" i="1" s="1"/>
  <c r="AU412" i="1"/>
  <c r="AT412" i="1"/>
  <c r="AQ412" i="1"/>
  <c r="AH412" i="1"/>
  <c r="AI412" i="1" s="1"/>
  <c r="AJ412" i="1" s="1"/>
  <c r="AF412" i="1"/>
  <c r="AA412" i="1"/>
  <c r="AB412" i="1" s="1"/>
  <c r="Z412" i="1"/>
  <c r="U412" i="1"/>
  <c r="AU411" i="1"/>
  <c r="AT411" i="1"/>
  <c r="AQ411" i="1"/>
  <c r="AH411" i="1"/>
  <c r="AI411" i="1" s="1"/>
  <c r="AJ411" i="1" s="1"/>
  <c r="AF411" i="1"/>
  <c r="AA411" i="1"/>
  <c r="AB411" i="1" s="1"/>
  <c r="Z411" i="1"/>
  <c r="U411" i="1"/>
  <c r="AU410" i="1"/>
  <c r="AV410" i="1" s="1"/>
  <c r="AW410" i="1" s="1"/>
  <c r="AT410" i="1"/>
  <c r="AQ410" i="1"/>
  <c r="AI410" i="1"/>
  <c r="AJ410" i="1" s="1"/>
  <c r="AH410" i="1"/>
  <c r="AF410" i="1"/>
  <c r="AB410" i="1"/>
  <c r="AA410" i="1"/>
  <c r="Z410" i="1"/>
  <c r="U410" i="1"/>
  <c r="AT409" i="1"/>
  <c r="AQ409" i="1"/>
  <c r="AH409" i="1"/>
  <c r="AI409" i="1" s="1"/>
  <c r="AJ409" i="1" s="1"/>
  <c r="AF409" i="1"/>
  <c r="AB409" i="1"/>
  <c r="AA409" i="1"/>
  <c r="AU409" i="1" s="1"/>
  <c r="AV409" i="1" s="1"/>
  <c r="AW409" i="1" s="1"/>
  <c r="Z409" i="1"/>
  <c r="U409" i="1"/>
  <c r="AT408" i="1"/>
  <c r="AQ408" i="1"/>
  <c r="AI408" i="1"/>
  <c r="AJ408" i="1" s="1"/>
  <c r="AH408" i="1"/>
  <c r="AF408" i="1"/>
  <c r="AA408" i="1"/>
  <c r="Z408" i="1"/>
  <c r="U408" i="1"/>
  <c r="AV407" i="1"/>
  <c r="AW407" i="1" s="1"/>
  <c r="AT407" i="1"/>
  <c r="AQ407" i="1"/>
  <c r="AH407" i="1"/>
  <c r="AI407" i="1" s="1"/>
  <c r="AJ407" i="1" s="1"/>
  <c r="AF407" i="1"/>
  <c r="AA407" i="1"/>
  <c r="AU407" i="1" s="1"/>
  <c r="Z407" i="1"/>
  <c r="U407" i="1"/>
  <c r="AV406" i="1"/>
  <c r="AW406" i="1" s="1"/>
  <c r="AT406" i="1"/>
  <c r="AQ406" i="1"/>
  <c r="AH406" i="1"/>
  <c r="AI406" i="1" s="1"/>
  <c r="AJ406" i="1" s="1"/>
  <c r="AF406" i="1"/>
  <c r="AA406" i="1"/>
  <c r="AU406" i="1" s="1"/>
  <c r="Z406" i="1"/>
  <c r="U406" i="1"/>
  <c r="AW405" i="1"/>
  <c r="AT405" i="1"/>
  <c r="AQ405" i="1"/>
  <c r="AI405" i="1"/>
  <c r="AJ405" i="1" s="1"/>
  <c r="AH405" i="1"/>
  <c r="AF405" i="1"/>
  <c r="AA405" i="1"/>
  <c r="AU405" i="1" s="1"/>
  <c r="AV405" i="1" s="1"/>
  <c r="Z405" i="1"/>
  <c r="U405" i="1"/>
  <c r="AT404" i="1"/>
  <c r="AQ404" i="1"/>
  <c r="AH404" i="1"/>
  <c r="AI404" i="1" s="1"/>
  <c r="AJ404" i="1" s="1"/>
  <c r="AF404" i="1"/>
  <c r="AB404" i="1"/>
  <c r="AA404" i="1"/>
  <c r="AU404" i="1" s="1"/>
  <c r="Z404" i="1"/>
  <c r="U404" i="1"/>
  <c r="AT403" i="1"/>
  <c r="AQ403" i="1"/>
  <c r="AI403" i="1"/>
  <c r="AJ403" i="1" s="1"/>
  <c r="AH403" i="1"/>
  <c r="AF403" i="1"/>
  <c r="AB403" i="1"/>
  <c r="AA403" i="1"/>
  <c r="AU403" i="1" s="1"/>
  <c r="AV403" i="1" s="1"/>
  <c r="AW403" i="1" s="1"/>
  <c r="Z403" i="1"/>
  <c r="U403" i="1"/>
  <c r="AU402" i="1"/>
  <c r="AV402" i="1" s="1"/>
  <c r="AW402" i="1" s="1"/>
  <c r="AT402" i="1"/>
  <c r="AQ402" i="1"/>
  <c r="AI402" i="1"/>
  <c r="AJ402" i="1" s="1"/>
  <c r="AH402" i="1"/>
  <c r="AF402" i="1"/>
  <c r="AB402" i="1"/>
  <c r="AA402" i="1"/>
  <c r="Z402" i="1"/>
  <c r="U402" i="1"/>
  <c r="AU401" i="1"/>
  <c r="AT401" i="1"/>
  <c r="AV401" i="1" s="1"/>
  <c r="AW401" i="1" s="1"/>
  <c r="AQ401" i="1"/>
  <c r="AJ401" i="1"/>
  <c r="AH401" i="1"/>
  <c r="AI401" i="1" s="1"/>
  <c r="AF401" i="1"/>
  <c r="AA401" i="1"/>
  <c r="Z401" i="1"/>
  <c r="AB401" i="1" s="1"/>
  <c r="U401" i="1"/>
  <c r="AT400" i="1"/>
  <c r="AQ400" i="1"/>
  <c r="AH400" i="1"/>
  <c r="AI400" i="1" s="1"/>
  <c r="AJ400" i="1" s="1"/>
  <c r="AF400" i="1"/>
  <c r="AA400" i="1"/>
  <c r="Z400" i="1"/>
  <c r="U400" i="1"/>
  <c r="AT399" i="1"/>
  <c r="AQ399" i="1"/>
  <c r="AJ399" i="1"/>
  <c r="AI399" i="1"/>
  <c r="AH399" i="1"/>
  <c r="AF399" i="1"/>
  <c r="AA399" i="1"/>
  <c r="AU399" i="1" s="1"/>
  <c r="AV399" i="1" s="1"/>
  <c r="AW399" i="1" s="1"/>
  <c r="Z399" i="1"/>
  <c r="U399" i="1"/>
  <c r="AT398" i="1"/>
  <c r="AQ398" i="1"/>
  <c r="AJ398" i="1"/>
  <c r="AI398" i="1"/>
  <c r="AH398" i="1"/>
  <c r="AF398" i="1"/>
  <c r="AB398" i="1"/>
  <c r="AA398" i="1"/>
  <c r="AU398" i="1" s="1"/>
  <c r="AV398" i="1" s="1"/>
  <c r="AW398" i="1" s="1"/>
  <c r="Z398" i="1"/>
  <c r="U398" i="1"/>
  <c r="AT397" i="1"/>
  <c r="AQ397" i="1"/>
  <c r="AH397" i="1"/>
  <c r="AI397" i="1" s="1"/>
  <c r="AJ397" i="1" s="1"/>
  <c r="AF397" i="1"/>
  <c r="AB397" i="1"/>
  <c r="AA397" i="1"/>
  <c r="AU397" i="1" s="1"/>
  <c r="AV397" i="1" s="1"/>
  <c r="AW397" i="1" s="1"/>
  <c r="Z397" i="1"/>
  <c r="U397" i="1"/>
  <c r="AT396" i="1"/>
  <c r="AQ396" i="1"/>
  <c r="AH396" i="1"/>
  <c r="AI396" i="1" s="1"/>
  <c r="AJ396" i="1" s="1"/>
  <c r="AF396" i="1"/>
  <c r="AA396" i="1"/>
  <c r="AU396" i="1" s="1"/>
  <c r="AV396" i="1" s="1"/>
  <c r="AW396" i="1" s="1"/>
  <c r="Z396" i="1"/>
  <c r="U396" i="1"/>
  <c r="AT395" i="1"/>
  <c r="AQ395" i="1"/>
  <c r="AH395" i="1"/>
  <c r="AI395" i="1" s="1"/>
  <c r="AJ395" i="1" s="1"/>
  <c r="AF395" i="1"/>
  <c r="AA395" i="1"/>
  <c r="AU395" i="1" s="1"/>
  <c r="AV395" i="1" s="1"/>
  <c r="AW395" i="1" s="1"/>
  <c r="Z395" i="1"/>
  <c r="U395" i="1"/>
  <c r="AT394" i="1"/>
  <c r="AQ394" i="1"/>
  <c r="AH394" i="1"/>
  <c r="AI394" i="1" s="1"/>
  <c r="AJ394" i="1" s="1"/>
  <c r="AF394" i="1"/>
  <c r="AA394" i="1"/>
  <c r="AU394" i="1" s="1"/>
  <c r="AV394" i="1" s="1"/>
  <c r="AW394" i="1" s="1"/>
  <c r="Z394" i="1"/>
  <c r="U394" i="1"/>
  <c r="AT393" i="1"/>
  <c r="AQ393" i="1"/>
  <c r="AH393" i="1"/>
  <c r="AI393" i="1" s="1"/>
  <c r="AJ393" i="1" s="1"/>
  <c r="AF393" i="1"/>
  <c r="AA393" i="1"/>
  <c r="AU393" i="1" s="1"/>
  <c r="Z393" i="1"/>
  <c r="AB393" i="1" s="1"/>
  <c r="U393" i="1"/>
  <c r="AU392" i="1"/>
  <c r="AT392" i="1"/>
  <c r="AQ392" i="1"/>
  <c r="AJ392" i="1"/>
  <c r="AI392" i="1"/>
  <c r="AH392" i="1"/>
  <c r="AF392" i="1"/>
  <c r="AA392" i="1"/>
  <c r="AB392" i="1" s="1"/>
  <c r="Z392" i="1"/>
  <c r="U392" i="1"/>
  <c r="AU391" i="1"/>
  <c r="AT391" i="1"/>
  <c r="AQ391" i="1"/>
  <c r="AJ391" i="1"/>
  <c r="AI391" i="1"/>
  <c r="AH391" i="1"/>
  <c r="AF391" i="1"/>
  <c r="AA391" i="1"/>
  <c r="AB391" i="1" s="1"/>
  <c r="Z391" i="1"/>
  <c r="U391" i="1"/>
  <c r="AU390" i="1"/>
  <c r="AT390" i="1"/>
  <c r="AQ390" i="1"/>
  <c r="AV390" i="1" s="1"/>
  <c r="AW390" i="1" s="1"/>
  <c r="AJ390" i="1"/>
  <c r="AH390" i="1"/>
  <c r="AI390" i="1" s="1"/>
  <c r="AF390" i="1"/>
  <c r="AA390" i="1"/>
  <c r="Z390" i="1"/>
  <c r="U390" i="1"/>
  <c r="AB390" i="1" s="1"/>
  <c r="AU389" i="1"/>
  <c r="AV389" i="1" s="1"/>
  <c r="AW389" i="1" s="1"/>
  <c r="AT389" i="1"/>
  <c r="AQ389" i="1"/>
  <c r="AH389" i="1"/>
  <c r="AI389" i="1" s="1"/>
  <c r="AJ389" i="1" s="1"/>
  <c r="AF389" i="1"/>
  <c r="AA389" i="1"/>
  <c r="Z389" i="1"/>
  <c r="U389" i="1"/>
  <c r="AT388" i="1"/>
  <c r="AQ388" i="1"/>
  <c r="AH388" i="1"/>
  <c r="AI388" i="1" s="1"/>
  <c r="AJ388" i="1" s="1"/>
  <c r="AF388" i="1"/>
  <c r="AA388" i="1"/>
  <c r="AB388" i="1" s="1"/>
  <c r="Z388" i="1"/>
  <c r="U388" i="1"/>
  <c r="AT387" i="1"/>
  <c r="AQ387" i="1"/>
  <c r="AI387" i="1"/>
  <c r="AJ387" i="1" s="1"/>
  <c r="AH387" i="1"/>
  <c r="AF387" i="1"/>
  <c r="AB387" i="1"/>
  <c r="AA387" i="1"/>
  <c r="AU387" i="1" s="1"/>
  <c r="AV387" i="1" s="1"/>
  <c r="AW387" i="1" s="1"/>
  <c r="Z387" i="1"/>
  <c r="U387" i="1"/>
  <c r="AU386" i="1"/>
  <c r="AT386" i="1"/>
  <c r="AV386" i="1" s="1"/>
  <c r="AW386" i="1" s="1"/>
  <c r="AQ386" i="1"/>
  <c r="AJ386" i="1"/>
  <c r="AI386" i="1"/>
  <c r="AH386" i="1"/>
  <c r="AF386" i="1"/>
  <c r="AB386" i="1"/>
  <c r="AA386" i="1"/>
  <c r="Z386" i="1"/>
  <c r="U386" i="1"/>
  <c r="AT385" i="1"/>
  <c r="AQ385" i="1"/>
  <c r="AH385" i="1"/>
  <c r="AI385" i="1" s="1"/>
  <c r="AJ385" i="1" s="1"/>
  <c r="AF385" i="1"/>
  <c r="AB385" i="1"/>
  <c r="AA385" i="1"/>
  <c r="AU385" i="1" s="1"/>
  <c r="AV385" i="1" s="1"/>
  <c r="AW385" i="1" s="1"/>
  <c r="Z385" i="1"/>
  <c r="U385" i="1"/>
  <c r="AT384" i="1"/>
  <c r="AQ384" i="1"/>
  <c r="AH384" i="1"/>
  <c r="AI384" i="1" s="1"/>
  <c r="AJ384" i="1" s="1"/>
  <c r="AF384" i="1"/>
  <c r="AA384" i="1"/>
  <c r="AU384" i="1" s="1"/>
  <c r="AV384" i="1" s="1"/>
  <c r="AW384" i="1" s="1"/>
  <c r="Z384" i="1"/>
  <c r="U384" i="1"/>
  <c r="AT383" i="1"/>
  <c r="AQ383" i="1"/>
  <c r="AH383" i="1"/>
  <c r="AI383" i="1" s="1"/>
  <c r="AJ383" i="1" s="1"/>
  <c r="AF383" i="1"/>
  <c r="AA383" i="1"/>
  <c r="Z383" i="1"/>
  <c r="U383" i="1"/>
  <c r="AT382" i="1"/>
  <c r="AQ382" i="1"/>
  <c r="AH382" i="1"/>
  <c r="AI382" i="1" s="1"/>
  <c r="AJ382" i="1" s="1"/>
  <c r="AF382" i="1"/>
  <c r="AA382" i="1"/>
  <c r="AU382" i="1" s="1"/>
  <c r="AV382" i="1" s="1"/>
  <c r="AW382" i="1" s="1"/>
  <c r="Z382" i="1"/>
  <c r="U382" i="1"/>
  <c r="AT381" i="1"/>
  <c r="AQ381" i="1"/>
  <c r="AH381" i="1"/>
  <c r="AI381" i="1" s="1"/>
  <c r="AJ381" i="1" s="1"/>
  <c r="AF381" i="1"/>
  <c r="AA381" i="1"/>
  <c r="AU381" i="1" s="1"/>
  <c r="AV381" i="1" s="1"/>
  <c r="AW381" i="1" s="1"/>
  <c r="Z381" i="1"/>
  <c r="U381" i="1"/>
  <c r="AU380" i="1"/>
  <c r="AT380" i="1"/>
  <c r="AQ380" i="1"/>
  <c r="AH380" i="1"/>
  <c r="AI380" i="1" s="1"/>
  <c r="AJ380" i="1" s="1"/>
  <c r="AF380" i="1"/>
  <c r="AA380" i="1"/>
  <c r="Z380" i="1"/>
  <c r="AB380" i="1" s="1"/>
  <c r="U380" i="1"/>
  <c r="AU379" i="1"/>
  <c r="AV379" i="1" s="1"/>
  <c r="AW379" i="1" s="1"/>
  <c r="AT379" i="1"/>
  <c r="AQ379" i="1"/>
  <c r="AJ379" i="1"/>
  <c r="AH379" i="1"/>
  <c r="AI379" i="1" s="1"/>
  <c r="AF379" i="1"/>
  <c r="AA379" i="1"/>
  <c r="AB379" i="1" s="1"/>
  <c r="Z379" i="1"/>
  <c r="U379" i="1"/>
  <c r="AV378" i="1"/>
  <c r="AW378" i="1" s="1"/>
  <c r="AU378" i="1"/>
  <c r="AT378" i="1"/>
  <c r="AQ378" i="1"/>
  <c r="AI378" i="1"/>
  <c r="AJ378" i="1" s="1"/>
  <c r="AH378" i="1"/>
  <c r="AF378" i="1"/>
  <c r="AA378" i="1"/>
  <c r="AB378" i="1" s="1"/>
  <c r="Z378" i="1"/>
  <c r="U378" i="1"/>
  <c r="AU377" i="1"/>
  <c r="AV377" i="1" s="1"/>
  <c r="AW377" i="1" s="1"/>
  <c r="AT377" i="1"/>
  <c r="AQ377" i="1"/>
  <c r="AH377" i="1"/>
  <c r="AI377" i="1" s="1"/>
  <c r="AJ377" i="1" s="1"/>
  <c r="AF377" i="1"/>
  <c r="AA377" i="1"/>
  <c r="Z377" i="1"/>
  <c r="AB377" i="1" s="1"/>
  <c r="U377" i="1"/>
  <c r="AU376" i="1"/>
  <c r="AV376" i="1" s="1"/>
  <c r="AW376" i="1" s="1"/>
  <c r="AT376" i="1"/>
  <c r="AQ376" i="1"/>
  <c r="AH376" i="1"/>
  <c r="AI376" i="1" s="1"/>
  <c r="AJ376" i="1" s="1"/>
  <c r="AF376" i="1"/>
  <c r="AA376" i="1"/>
  <c r="Z376" i="1"/>
  <c r="U376" i="1"/>
  <c r="AU375" i="1"/>
  <c r="AV375" i="1" s="1"/>
  <c r="AW375" i="1" s="1"/>
  <c r="AT375" i="1"/>
  <c r="AQ375" i="1"/>
  <c r="AH375" i="1"/>
  <c r="AI375" i="1" s="1"/>
  <c r="AJ375" i="1" s="1"/>
  <c r="AF375" i="1"/>
  <c r="AA375" i="1"/>
  <c r="AB375" i="1" s="1"/>
  <c r="Z375" i="1"/>
  <c r="U375" i="1"/>
  <c r="AT374" i="1"/>
  <c r="AV374" i="1" s="1"/>
  <c r="AW374" i="1" s="1"/>
  <c r="AQ374" i="1"/>
  <c r="AI374" i="1"/>
  <c r="AJ374" i="1" s="1"/>
  <c r="AH374" i="1"/>
  <c r="AF374" i="1"/>
  <c r="AA374" i="1"/>
  <c r="AU374" i="1" s="1"/>
  <c r="Z374" i="1"/>
  <c r="U374" i="1"/>
  <c r="AU373" i="1"/>
  <c r="AT373" i="1"/>
  <c r="AQ373" i="1"/>
  <c r="AH373" i="1"/>
  <c r="AI373" i="1" s="1"/>
  <c r="AJ373" i="1" s="1"/>
  <c r="AF373" i="1"/>
  <c r="AA373" i="1"/>
  <c r="Z373" i="1"/>
  <c r="AB373" i="1" s="1"/>
  <c r="U373" i="1"/>
  <c r="AU372" i="1"/>
  <c r="AT372" i="1"/>
  <c r="AQ372" i="1"/>
  <c r="AI372" i="1"/>
  <c r="AJ372" i="1" s="1"/>
  <c r="AH372" i="1"/>
  <c r="AF372" i="1"/>
  <c r="AA372" i="1"/>
  <c r="AB372" i="1" s="1"/>
  <c r="Z372" i="1"/>
  <c r="U372" i="1"/>
  <c r="AU371" i="1"/>
  <c r="AT371" i="1"/>
  <c r="AQ371" i="1"/>
  <c r="AJ371" i="1"/>
  <c r="AI371" i="1"/>
  <c r="AH371" i="1"/>
  <c r="AF371" i="1"/>
  <c r="AA371" i="1"/>
  <c r="AB371" i="1" s="1"/>
  <c r="Z371" i="1"/>
  <c r="U371" i="1"/>
  <c r="AU370" i="1"/>
  <c r="AT370" i="1"/>
  <c r="AQ370" i="1"/>
  <c r="AJ370" i="1"/>
  <c r="AI370" i="1"/>
  <c r="AH370" i="1"/>
  <c r="AF370" i="1"/>
  <c r="AA370" i="1"/>
  <c r="AB370" i="1" s="1"/>
  <c r="Z370" i="1"/>
  <c r="U370" i="1"/>
  <c r="AT369" i="1"/>
  <c r="AV369" i="1" s="1"/>
  <c r="AW369" i="1" s="1"/>
  <c r="AQ369" i="1"/>
  <c r="AJ369" i="1"/>
  <c r="AI369" i="1"/>
  <c r="AH369" i="1"/>
  <c r="AF369" i="1"/>
  <c r="AA369" i="1"/>
  <c r="AU369" i="1" s="1"/>
  <c r="Z369" i="1"/>
  <c r="U369" i="1"/>
  <c r="AU368" i="1"/>
  <c r="AT368" i="1"/>
  <c r="AQ368" i="1"/>
  <c r="AJ368" i="1"/>
  <c r="AI368" i="1"/>
  <c r="AH368" i="1"/>
  <c r="AF368" i="1"/>
  <c r="AA368" i="1"/>
  <c r="AB368" i="1" s="1"/>
  <c r="Z368" i="1"/>
  <c r="U368" i="1"/>
  <c r="AU367" i="1"/>
  <c r="AV367" i="1" s="1"/>
  <c r="AW367" i="1" s="1"/>
  <c r="AT367" i="1"/>
  <c r="AQ367" i="1"/>
  <c r="AJ367" i="1"/>
  <c r="AI367" i="1"/>
  <c r="AH367" i="1"/>
  <c r="AF367" i="1"/>
  <c r="AA367" i="1"/>
  <c r="AB367" i="1" s="1"/>
  <c r="Z367" i="1"/>
  <c r="U367" i="1"/>
  <c r="AU366" i="1"/>
  <c r="AT366" i="1"/>
  <c r="AQ366" i="1"/>
  <c r="AH366" i="1"/>
  <c r="AI366" i="1" s="1"/>
  <c r="AJ366" i="1" s="1"/>
  <c r="AF366" i="1"/>
  <c r="AA366" i="1"/>
  <c r="Z366" i="1"/>
  <c r="U366" i="1"/>
  <c r="AB366" i="1" s="1"/>
  <c r="AU365" i="1"/>
  <c r="AV365" i="1" s="1"/>
  <c r="AW365" i="1" s="1"/>
  <c r="AT365" i="1"/>
  <c r="AQ365" i="1"/>
  <c r="AH365" i="1"/>
  <c r="AI365" i="1" s="1"/>
  <c r="AJ365" i="1" s="1"/>
  <c r="AF365" i="1"/>
  <c r="AA365" i="1"/>
  <c r="Z365" i="1"/>
  <c r="U365" i="1"/>
  <c r="AU364" i="1"/>
  <c r="AV364" i="1" s="1"/>
  <c r="AW364" i="1" s="1"/>
  <c r="AT364" i="1"/>
  <c r="AQ364" i="1"/>
  <c r="AH364" i="1"/>
  <c r="AI364" i="1" s="1"/>
  <c r="AJ364" i="1" s="1"/>
  <c r="AF364" i="1"/>
  <c r="AA364" i="1"/>
  <c r="Z364" i="1"/>
  <c r="U364" i="1"/>
  <c r="AU363" i="1"/>
  <c r="AV363" i="1" s="1"/>
  <c r="AW363" i="1" s="1"/>
  <c r="AT363" i="1"/>
  <c r="AQ363" i="1"/>
  <c r="AH363" i="1"/>
  <c r="AI363" i="1" s="1"/>
  <c r="AJ363" i="1" s="1"/>
  <c r="AF363" i="1"/>
  <c r="AA363" i="1"/>
  <c r="Z363" i="1"/>
  <c r="U363" i="1"/>
  <c r="AU362" i="1"/>
  <c r="AV362" i="1" s="1"/>
  <c r="AW362" i="1" s="1"/>
  <c r="AT362" i="1"/>
  <c r="AQ362" i="1"/>
  <c r="AI362" i="1"/>
  <c r="AJ362" i="1" s="1"/>
  <c r="AH362" i="1"/>
  <c r="AF362" i="1"/>
  <c r="AA362" i="1"/>
  <c r="AB362" i="1" s="1"/>
  <c r="Z362" i="1"/>
  <c r="U362" i="1"/>
  <c r="AT361" i="1"/>
  <c r="AQ361" i="1"/>
  <c r="AH361" i="1"/>
  <c r="AI361" i="1" s="1"/>
  <c r="AJ361" i="1" s="1"/>
  <c r="AF361" i="1"/>
  <c r="AA361" i="1"/>
  <c r="Z361" i="1"/>
  <c r="U361" i="1"/>
  <c r="AT360" i="1"/>
  <c r="AQ360" i="1"/>
  <c r="AH360" i="1"/>
  <c r="AI360" i="1" s="1"/>
  <c r="AJ360" i="1" s="1"/>
  <c r="AF360" i="1"/>
  <c r="AA360" i="1"/>
  <c r="Z360" i="1"/>
  <c r="U360" i="1"/>
  <c r="AT359" i="1"/>
  <c r="AQ359" i="1"/>
  <c r="AI359" i="1"/>
  <c r="AJ359" i="1" s="1"/>
  <c r="AH359" i="1"/>
  <c r="AF359" i="1"/>
  <c r="AA359" i="1"/>
  <c r="Z359" i="1"/>
  <c r="U359" i="1"/>
  <c r="AT358" i="1"/>
  <c r="AQ358" i="1"/>
  <c r="AJ358" i="1"/>
  <c r="AH358" i="1"/>
  <c r="AI358" i="1" s="1"/>
  <c r="AF358" i="1"/>
  <c r="AA358" i="1"/>
  <c r="Z358" i="1"/>
  <c r="U358" i="1"/>
  <c r="AW357" i="1"/>
  <c r="AT357" i="1"/>
  <c r="AQ357" i="1"/>
  <c r="AH357" i="1"/>
  <c r="AI357" i="1" s="1"/>
  <c r="AJ357" i="1" s="1"/>
  <c r="AF357" i="1"/>
  <c r="AA357" i="1"/>
  <c r="AU357" i="1" s="1"/>
  <c r="AV357" i="1" s="1"/>
  <c r="Z357" i="1"/>
  <c r="U357" i="1"/>
  <c r="AW356" i="1"/>
  <c r="AU356" i="1"/>
  <c r="AV356" i="1" s="1"/>
  <c r="AT356" i="1"/>
  <c r="AQ356" i="1"/>
  <c r="AH356" i="1"/>
  <c r="AI356" i="1" s="1"/>
  <c r="AJ356" i="1" s="1"/>
  <c r="AF356" i="1"/>
  <c r="AA356" i="1"/>
  <c r="Z356" i="1"/>
  <c r="U356" i="1"/>
  <c r="AU355" i="1"/>
  <c r="AV355" i="1" s="1"/>
  <c r="AW355" i="1" s="1"/>
  <c r="AT355" i="1"/>
  <c r="AQ355" i="1"/>
  <c r="AH355" i="1"/>
  <c r="AI355" i="1" s="1"/>
  <c r="AJ355" i="1" s="1"/>
  <c r="AF355" i="1"/>
  <c r="AA355" i="1"/>
  <c r="Z355" i="1"/>
  <c r="AB355" i="1" s="1"/>
  <c r="U355" i="1"/>
  <c r="AU354" i="1"/>
  <c r="AV354" i="1" s="1"/>
  <c r="AW354" i="1" s="1"/>
  <c r="AT354" i="1"/>
  <c r="AQ354" i="1"/>
  <c r="AH354" i="1"/>
  <c r="AI354" i="1" s="1"/>
  <c r="AJ354" i="1" s="1"/>
  <c r="AF354" i="1"/>
  <c r="AA354" i="1"/>
  <c r="Z354" i="1"/>
  <c r="U354" i="1"/>
  <c r="AB354" i="1" s="1"/>
  <c r="AU353" i="1"/>
  <c r="AV353" i="1" s="1"/>
  <c r="AW353" i="1" s="1"/>
  <c r="AT353" i="1"/>
  <c r="AQ353" i="1"/>
  <c r="AH353" i="1"/>
  <c r="AI353" i="1" s="1"/>
  <c r="AJ353" i="1" s="1"/>
  <c r="AF353" i="1"/>
  <c r="AA353" i="1"/>
  <c r="Z353" i="1"/>
  <c r="U353" i="1"/>
  <c r="AW352" i="1"/>
  <c r="AV352" i="1"/>
  <c r="AU352" i="1"/>
  <c r="AT352" i="1"/>
  <c r="AQ352" i="1"/>
  <c r="AH352" i="1"/>
  <c r="AI352" i="1" s="1"/>
  <c r="AJ352" i="1" s="1"/>
  <c r="AF352" i="1"/>
  <c r="AA352" i="1"/>
  <c r="Z352" i="1"/>
  <c r="U352" i="1"/>
  <c r="AU351" i="1"/>
  <c r="AV351" i="1" s="1"/>
  <c r="AW351" i="1" s="1"/>
  <c r="AT351" i="1"/>
  <c r="AQ351" i="1"/>
  <c r="AH351" i="1"/>
  <c r="AI351" i="1" s="1"/>
  <c r="AJ351" i="1" s="1"/>
  <c r="AF351" i="1"/>
  <c r="AA351" i="1"/>
  <c r="Z351" i="1"/>
  <c r="U351" i="1"/>
  <c r="AV350" i="1"/>
  <c r="AW350" i="1" s="1"/>
  <c r="AT350" i="1"/>
  <c r="AQ350" i="1"/>
  <c r="AI350" i="1"/>
  <c r="AJ350" i="1" s="1"/>
  <c r="AH350" i="1"/>
  <c r="AF350" i="1"/>
  <c r="AA350" i="1"/>
  <c r="AU350" i="1" s="1"/>
  <c r="Z350" i="1"/>
  <c r="U350" i="1"/>
  <c r="AW349" i="1"/>
  <c r="AU349" i="1"/>
  <c r="AV349" i="1" s="1"/>
  <c r="AT349" i="1"/>
  <c r="AQ349" i="1"/>
  <c r="AH349" i="1"/>
  <c r="AI349" i="1" s="1"/>
  <c r="AJ349" i="1" s="1"/>
  <c r="AF349" i="1"/>
  <c r="AA349" i="1"/>
  <c r="AB349" i="1" s="1"/>
  <c r="Z349" i="1"/>
  <c r="U349" i="1"/>
  <c r="AU348" i="1"/>
  <c r="AT348" i="1"/>
  <c r="AQ348" i="1"/>
  <c r="AH348" i="1"/>
  <c r="AI348" i="1" s="1"/>
  <c r="AJ348" i="1" s="1"/>
  <c r="AF348" i="1"/>
  <c r="AA348" i="1"/>
  <c r="Z348" i="1"/>
  <c r="AB348" i="1" s="1"/>
  <c r="U348" i="1"/>
  <c r="AU347" i="1"/>
  <c r="AV347" i="1" s="1"/>
  <c r="AW347" i="1" s="1"/>
  <c r="AT347" i="1"/>
  <c r="AQ347" i="1"/>
  <c r="AH347" i="1"/>
  <c r="AI347" i="1" s="1"/>
  <c r="AJ347" i="1" s="1"/>
  <c r="AF347" i="1"/>
  <c r="AA347" i="1"/>
  <c r="Z347" i="1"/>
  <c r="AB347" i="1" s="1"/>
  <c r="U347" i="1"/>
  <c r="AU346" i="1"/>
  <c r="AV346" i="1" s="1"/>
  <c r="AW346" i="1" s="1"/>
  <c r="AT346" i="1"/>
  <c r="AQ346" i="1"/>
  <c r="AH346" i="1"/>
  <c r="AI346" i="1" s="1"/>
  <c r="AJ346" i="1" s="1"/>
  <c r="AF346" i="1"/>
  <c r="AA346" i="1"/>
  <c r="Z346" i="1"/>
  <c r="U346" i="1"/>
  <c r="AT345" i="1"/>
  <c r="AV345" i="1" s="1"/>
  <c r="AW345" i="1" s="1"/>
  <c r="AQ345" i="1"/>
  <c r="AH345" i="1"/>
  <c r="AI345" i="1" s="1"/>
  <c r="AJ345" i="1" s="1"/>
  <c r="AF345" i="1"/>
  <c r="AA345" i="1"/>
  <c r="AU345" i="1" s="1"/>
  <c r="Z345" i="1"/>
  <c r="U345" i="1"/>
  <c r="AU344" i="1"/>
  <c r="AT344" i="1"/>
  <c r="AQ344" i="1"/>
  <c r="AH344" i="1"/>
  <c r="AI344" i="1" s="1"/>
  <c r="AJ344" i="1" s="1"/>
  <c r="AF344" i="1"/>
  <c r="AA344" i="1"/>
  <c r="AB344" i="1" s="1"/>
  <c r="Z344" i="1"/>
  <c r="U344" i="1"/>
  <c r="AV343" i="1"/>
  <c r="AW343" i="1" s="1"/>
  <c r="AU343" i="1"/>
  <c r="AT343" i="1"/>
  <c r="AQ343" i="1"/>
  <c r="AH343" i="1"/>
  <c r="AI343" i="1" s="1"/>
  <c r="AJ343" i="1" s="1"/>
  <c r="AF343" i="1"/>
  <c r="AA343" i="1"/>
  <c r="AB343" i="1" s="1"/>
  <c r="Z343" i="1"/>
  <c r="U343" i="1"/>
  <c r="AU342" i="1"/>
  <c r="AV342" i="1" s="1"/>
  <c r="AW342" i="1" s="1"/>
  <c r="AT342" i="1"/>
  <c r="AQ342" i="1"/>
  <c r="AH342" i="1"/>
  <c r="AI342" i="1" s="1"/>
  <c r="AJ342" i="1" s="1"/>
  <c r="AF342" i="1"/>
  <c r="AA342" i="1"/>
  <c r="Z342" i="1"/>
  <c r="U342" i="1"/>
  <c r="AV341" i="1"/>
  <c r="AW341" i="1" s="1"/>
  <c r="AU341" i="1"/>
  <c r="AT341" i="1"/>
  <c r="AQ341" i="1"/>
  <c r="AI341" i="1"/>
  <c r="AJ341" i="1" s="1"/>
  <c r="AH341" i="1"/>
  <c r="AF341" i="1"/>
  <c r="AA341" i="1"/>
  <c r="Z341" i="1"/>
  <c r="U341" i="1"/>
  <c r="AT340" i="1"/>
  <c r="AQ340" i="1"/>
  <c r="AH340" i="1"/>
  <c r="AI340" i="1" s="1"/>
  <c r="AJ340" i="1" s="1"/>
  <c r="AF340" i="1"/>
  <c r="AA340" i="1"/>
  <c r="Z340" i="1"/>
  <c r="U340" i="1"/>
  <c r="AT339" i="1"/>
  <c r="AQ339" i="1"/>
  <c r="AH339" i="1"/>
  <c r="AI339" i="1" s="1"/>
  <c r="AJ339" i="1" s="1"/>
  <c r="AF339" i="1"/>
  <c r="AA339" i="1"/>
  <c r="AU339" i="1" s="1"/>
  <c r="AV339" i="1" s="1"/>
  <c r="AW339" i="1" s="1"/>
  <c r="Z339" i="1"/>
  <c r="U339" i="1"/>
  <c r="AT338" i="1"/>
  <c r="AQ338" i="1"/>
  <c r="AI338" i="1"/>
  <c r="AJ338" i="1" s="1"/>
  <c r="AH338" i="1"/>
  <c r="AF338" i="1"/>
  <c r="AA338" i="1"/>
  <c r="AU338" i="1" s="1"/>
  <c r="AV338" i="1" s="1"/>
  <c r="AW338" i="1" s="1"/>
  <c r="Z338" i="1"/>
  <c r="U338" i="1"/>
  <c r="AT337" i="1"/>
  <c r="AQ337" i="1"/>
  <c r="AH337" i="1"/>
  <c r="AI337" i="1" s="1"/>
  <c r="AJ337" i="1" s="1"/>
  <c r="AF337" i="1"/>
  <c r="AB337" i="1"/>
  <c r="AA337" i="1"/>
  <c r="AU337" i="1" s="1"/>
  <c r="AV337" i="1" s="1"/>
  <c r="AW337" i="1" s="1"/>
  <c r="Z337" i="1"/>
  <c r="U337" i="1"/>
  <c r="AT336" i="1"/>
  <c r="AQ336" i="1"/>
  <c r="AH336" i="1"/>
  <c r="AI336" i="1" s="1"/>
  <c r="AJ336" i="1" s="1"/>
  <c r="AF336" i="1"/>
  <c r="AA336" i="1"/>
  <c r="Z336" i="1"/>
  <c r="U336" i="1"/>
  <c r="AT335" i="1"/>
  <c r="AQ335" i="1"/>
  <c r="AH335" i="1"/>
  <c r="AI335" i="1" s="1"/>
  <c r="AJ335" i="1" s="1"/>
  <c r="AF335" i="1"/>
  <c r="AA335" i="1"/>
  <c r="AU335" i="1" s="1"/>
  <c r="AV335" i="1" s="1"/>
  <c r="AW335" i="1" s="1"/>
  <c r="Z335" i="1"/>
  <c r="U335" i="1"/>
  <c r="AT334" i="1"/>
  <c r="AQ334" i="1"/>
  <c r="AH334" i="1"/>
  <c r="AI334" i="1" s="1"/>
  <c r="AJ334" i="1" s="1"/>
  <c r="AF334" i="1"/>
  <c r="AB334" i="1"/>
  <c r="AA334" i="1"/>
  <c r="AU334" i="1" s="1"/>
  <c r="AV334" i="1" s="1"/>
  <c r="AW334" i="1" s="1"/>
  <c r="Z334" i="1"/>
  <c r="U334" i="1"/>
  <c r="AT333" i="1"/>
  <c r="AQ333" i="1"/>
  <c r="AH333" i="1"/>
  <c r="AI333" i="1" s="1"/>
  <c r="AJ333" i="1" s="1"/>
  <c r="AF333" i="1"/>
  <c r="AB333" i="1"/>
  <c r="AA333" i="1"/>
  <c r="AU333" i="1" s="1"/>
  <c r="AV333" i="1" s="1"/>
  <c r="AW333" i="1" s="1"/>
  <c r="Z333" i="1"/>
  <c r="U333" i="1"/>
  <c r="AU332" i="1"/>
  <c r="AT332" i="1"/>
  <c r="AV332" i="1" s="1"/>
  <c r="AW332" i="1" s="1"/>
  <c r="AQ332" i="1"/>
  <c r="AH332" i="1"/>
  <c r="AI332" i="1" s="1"/>
  <c r="AJ332" i="1" s="1"/>
  <c r="AF332" i="1"/>
  <c r="AB332" i="1"/>
  <c r="AA332" i="1"/>
  <c r="Z332" i="1"/>
  <c r="U332" i="1"/>
  <c r="AU331" i="1"/>
  <c r="AV331" i="1" s="1"/>
  <c r="AW331" i="1" s="1"/>
  <c r="AT331" i="1"/>
  <c r="AQ331" i="1"/>
  <c r="AI331" i="1"/>
  <c r="AJ331" i="1" s="1"/>
  <c r="AH331" i="1"/>
  <c r="AF331" i="1"/>
  <c r="AA331" i="1"/>
  <c r="AB331" i="1" s="1"/>
  <c r="Z331" i="1"/>
  <c r="U331" i="1"/>
  <c r="AU330" i="1"/>
  <c r="AT330" i="1"/>
  <c r="AQ330" i="1"/>
  <c r="AI330" i="1"/>
  <c r="AJ330" i="1" s="1"/>
  <c r="AH330" i="1"/>
  <c r="AF330" i="1"/>
  <c r="AA330" i="1"/>
  <c r="AB330" i="1" s="1"/>
  <c r="Z330" i="1"/>
  <c r="U330" i="1"/>
  <c r="AU329" i="1"/>
  <c r="AV329" i="1" s="1"/>
  <c r="AW329" i="1" s="1"/>
  <c r="AT329" i="1"/>
  <c r="AQ329" i="1"/>
  <c r="AJ329" i="1"/>
  <c r="AI329" i="1"/>
  <c r="AH329" i="1"/>
  <c r="AF329" i="1"/>
  <c r="AA329" i="1"/>
  <c r="Z329" i="1"/>
  <c r="U329" i="1"/>
  <c r="AB329" i="1" s="1"/>
  <c r="AU328" i="1"/>
  <c r="AV328" i="1" s="1"/>
  <c r="AW328" i="1" s="1"/>
  <c r="AT328" i="1"/>
  <c r="AQ328" i="1"/>
  <c r="AH328" i="1"/>
  <c r="AI328" i="1" s="1"/>
  <c r="AJ328" i="1" s="1"/>
  <c r="AF328" i="1"/>
  <c r="AA328" i="1"/>
  <c r="Z328" i="1"/>
  <c r="AB328" i="1" s="1"/>
  <c r="U328" i="1"/>
  <c r="AV327" i="1"/>
  <c r="AW327" i="1" s="1"/>
  <c r="AU327" i="1"/>
  <c r="AT327" i="1"/>
  <c r="AQ327" i="1"/>
  <c r="AH327" i="1"/>
  <c r="AI327" i="1" s="1"/>
  <c r="AJ327" i="1" s="1"/>
  <c r="AF327" i="1"/>
  <c r="AA327" i="1"/>
  <c r="AB327" i="1" s="1"/>
  <c r="Z327" i="1"/>
  <c r="U327" i="1"/>
  <c r="AU326" i="1"/>
  <c r="AV326" i="1" s="1"/>
  <c r="AW326" i="1" s="1"/>
  <c r="AT326" i="1"/>
  <c r="AQ326" i="1"/>
  <c r="AI326" i="1"/>
  <c r="AJ326" i="1" s="1"/>
  <c r="AH326" i="1"/>
  <c r="AF326" i="1"/>
  <c r="AA326" i="1"/>
  <c r="Z326" i="1"/>
  <c r="U326" i="1"/>
  <c r="AT325" i="1"/>
  <c r="AQ325" i="1"/>
  <c r="AJ325" i="1"/>
  <c r="AI325" i="1"/>
  <c r="AH325" i="1"/>
  <c r="AF325" i="1"/>
  <c r="AA325" i="1"/>
  <c r="Z325" i="1"/>
  <c r="U325" i="1"/>
  <c r="AW324" i="1"/>
  <c r="AT324" i="1"/>
  <c r="AQ324" i="1"/>
  <c r="AH324" i="1"/>
  <c r="AI324" i="1" s="1"/>
  <c r="AJ324" i="1" s="1"/>
  <c r="AF324" i="1"/>
  <c r="AA324" i="1"/>
  <c r="AU324" i="1" s="1"/>
  <c r="AV324" i="1" s="1"/>
  <c r="Z324" i="1"/>
  <c r="U324" i="1"/>
  <c r="AB324" i="1" s="1"/>
  <c r="AT323" i="1"/>
  <c r="AQ323" i="1"/>
  <c r="AH323" i="1"/>
  <c r="AI323" i="1" s="1"/>
  <c r="AJ323" i="1" s="1"/>
  <c r="AF323" i="1"/>
  <c r="AB323" i="1"/>
  <c r="AA323" i="1"/>
  <c r="AU323" i="1" s="1"/>
  <c r="AV323" i="1" s="1"/>
  <c r="AW323" i="1" s="1"/>
  <c r="Z323" i="1"/>
  <c r="U323" i="1"/>
  <c r="AT322" i="1"/>
  <c r="AQ322" i="1"/>
  <c r="AH322" i="1"/>
  <c r="AI322" i="1" s="1"/>
  <c r="AJ322" i="1" s="1"/>
  <c r="AF322" i="1"/>
  <c r="AA322" i="1"/>
  <c r="AU322" i="1" s="1"/>
  <c r="AV322" i="1" s="1"/>
  <c r="AW322" i="1" s="1"/>
  <c r="Z322" i="1"/>
  <c r="U322" i="1"/>
  <c r="AT321" i="1"/>
  <c r="AQ321" i="1"/>
  <c r="AH321" i="1"/>
  <c r="AI321" i="1" s="1"/>
  <c r="AJ321" i="1" s="1"/>
  <c r="AF321" i="1"/>
  <c r="AB321" i="1"/>
  <c r="AA321" i="1"/>
  <c r="AU321" i="1" s="1"/>
  <c r="AV321" i="1" s="1"/>
  <c r="AW321" i="1" s="1"/>
  <c r="Z321" i="1"/>
  <c r="U321" i="1"/>
  <c r="AU320" i="1"/>
  <c r="AT320" i="1"/>
  <c r="AV320" i="1" s="1"/>
  <c r="AW320" i="1" s="1"/>
  <c r="AQ320" i="1"/>
  <c r="AH320" i="1"/>
  <c r="AI320" i="1" s="1"/>
  <c r="AJ320" i="1" s="1"/>
  <c r="AF320" i="1"/>
  <c r="AB320" i="1"/>
  <c r="AA320" i="1"/>
  <c r="Z320" i="1"/>
  <c r="U320" i="1"/>
  <c r="AU319" i="1"/>
  <c r="AT319" i="1"/>
  <c r="AQ319" i="1"/>
  <c r="AJ319" i="1"/>
  <c r="AI319" i="1"/>
  <c r="AH319" i="1"/>
  <c r="AF319" i="1"/>
  <c r="AA319" i="1"/>
  <c r="AB319" i="1" s="1"/>
  <c r="Z319" i="1"/>
  <c r="U319" i="1"/>
  <c r="AU318" i="1"/>
  <c r="AT318" i="1"/>
  <c r="AQ318" i="1"/>
  <c r="AI318" i="1"/>
  <c r="AJ318" i="1" s="1"/>
  <c r="AH318" i="1"/>
  <c r="AF318" i="1"/>
  <c r="AA318" i="1"/>
  <c r="AB318" i="1" s="1"/>
  <c r="Z318" i="1"/>
  <c r="U318" i="1"/>
  <c r="AU317" i="1"/>
  <c r="AV317" i="1" s="1"/>
  <c r="AW317" i="1" s="1"/>
  <c r="AT317" i="1"/>
  <c r="AQ317" i="1"/>
  <c r="AJ317" i="1"/>
  <c r="AI317" i="1"/>
  <c r="AH317" i="1"/>
  <c r="AF317" i="1"/>
  <c r="AA317" i="1"/>
  <c r="Z317" i="1"/>
  <c r="U317" i="1"/>
  <c r="AB317" i="1" s="1"/>
  <c r="AU316" i="1"/>
  <c r="AV316" i="1" s="1"/>
  <c r="AW316" i="1" s="1"/>
  <c r="AT316" i="1"/>
  <c r="AQ316" i="1"/>
  <c r="AH316" i="1"/>
  <c r="AI316" i="1" s="1"/>
  <c r="AJ316" i="1" s="1"/>
  <c r="AF316" i="1"/>
  <c r="AA316" i="1"/>
  <c r="Z316" i="1"/>
  <c r="AB316" i="1" s="1"/>
  <c r="U316" i="1"/>
  <c r="AW315" i="1"/>
  <c r="AV315" i="1"/>
  <c r="AU315" i="1"/>
  <c r="AT315" i="1"/>
  <c r="AQ315" i="1"/>
  <c r="AH315" i="1"/>
  <c r="AI315" i="1" s="1"/>
  <c r="AJ315" i="1" s="1"/>
  <c r="AF315" i="1"/>
  <c r="AA315" i="1"/>
  <c r="Z315" i="1"/>
  <c r="U315" i="1"/>
  <c r="AU314" i="1"/>
  <c r="AV314" i="1" s="1"/>
  <c r="AW314" i="1" s="1"/>
  <c r="AT314" i="1"/>
  <c r="AQ314" i="1"/>
  <c r="AI314" i="1"/>
  <c r="AJ314" i="1" s="1"/>
  <c r="AH314" i="1"/>
  <c r="AF314" i="1"/>
  <c r="AA314" i="1"/>
  <c r="Z314" i="1"/>
  <c r="U314" i="1"/>
  <c r="AT313" i="1"/>
  <c r="AQ313" i="1"/>
  <c r="AJ313" i="1"/>
  <c r="AI313" i="1"/>
  <c r="AH313" i="1"/>
  <c r="AF313" i="1"/>
  <c r="AA313" i="1"/>
  <c r="Z313" i="1"/>
  <c r="U313" i="1"/>
  <c r="AW312" i="1"/>
  <c r="AT312" i="1"/>
  <c r="AQ312" i="1"/>
  <c r="AH312" i="1"/>
  <c r="AI312" i="1" s="1"/>
  <c r="AJ312" i="1" s="1"/>
  <c r="AF312" i="1"/>
  <c r="AB312" i="1"/>
  <c r="AA312" i="1"/>
  <c r="AU312" i="1" s="1"/>
  <c r="AV312" i="1" s="1"/>
  <c r="Z312" i="1"/>
  <c r="U312" i="1"/>
  <c r="AT311" i="1"/>
  <c r="AQ311" i="1"/>
  <c r="AH311" i="1"/>
  <c r="AI311" i="1" s="1"/>
  <c r="AJ311" i="1" s="1"/>
  <c r="AF311" i="1"/>
  <c r="AA311" i="1"/>
  <c r="AU311" i="1" s="1"/>
  <c r="AV311" i="1" s="1"/>
  <c r="AW311" i="1" s="1"/>
  <c r="Z311" i="1"/>
  <c r="U311" i="1"/>
  <c r="AT310" i="1"/>
  <c r="AQ310" i="1"/>
  <c r="AH310" i="1"/>
  <c r="AI310" i="1" s="1"/>
  <c r="AJ310" i="1" s="1"/>
  <c r="AF310" i="1"/>
  <c r="AB310" i="1"/>
  <c r="AA310" i="1"/>
  <c r="AU310" i="1" s="1"/>
  <c r="AV310" i="1" s="1"/>
  <c r="AW310" i="1" s="1"/>
  <c r="Z310" i="1"/>
  <c r="U310" i="1"/>
  <c r="AT309" i="1"/>
  <c r="AQ309" i="1"/>
  <c r="AH309" i="1"/>
  <c r="AI309" i="1" s="1"/>
  <c r="AJ309" i="1" s="1"/>
  <c r="AF309" i="1"/>
  <c r="AB309" i="1"/>
  <c r="AA309" i="1"/>
  <c r="AU309" i="1" s="1"/>
  <c r="AV309" i="1" s="1"/>
  <c r="AW309" i="1" s="1"/>
  <c r="Z309" i="1"/>
  <c r="U309" i="1"/>
  <c r="AU308" i="1"/>
  <c r="AT308" i="1"/>
  <c r="AV308" i="1" s="1"/>
  <c r="AW308" i="1" s="1"/>
  <c r="AQ308" i="1"/>
  <c r="AH308" i="1"/>
  <c r="AI308" i="1" s="1"/>
  <c r="AJ308" i="1" s="1"/>
  <c r="AF308" i="1"/>
  <c r="AB308" i="1"/>
  <c r="AA308" i="1"/>
  <c r="Z308" i="1"/>
  <c r="U308" i="1"/>
  <c r="AU307" i="1"/>
  <c r="AV307" i="1" s="1"/>
  <c r="AW307" i="1" s="1"/>
  <c r="AT307" i="1"/>
  <c r="AQ307" i="1"/>
  <c r="AI307" i="1"/>
  <c r="AJ307" i="1" s="1"/>
  <c r="AH307" i="1"/>
  <c r="AF307" i="1"/>
  <c r="AA307" i="1"/>
  <c r="AB307" i="1" s="1"/>
  <c r="Z307" i="1"/>
  <c r="U307" i="1"/>
  <c r="AU306" i="1"/>
  <c r="AT306" i="1"/>
  <c r="AQ306" i="1"/>
  <c r="AI306" i="1"/>
  <c r="AJ306" i="1" s="1"/>
  <c r="AH306" i="1"/>
  <c r="AF306" i="1"/>
  <c r="AA306" i="1"/>
  <c r="AB306" i="1" s="1"/>
  <c r="Z306" i="1"/>
  <c r="U306" i="1"/>
  <c r="AU305" i="1"/>
  <c r="AV305" i="1" s="1"/>
  <c r="AW305" i="1" s="1"/>
  <c r="AT305" i="1"/>
  <c r="AQ305" i="1"/>
  <c r="AJ305" i="1"/>
  <c r="AI305" i="1"/>
  <c r="AH305" i="1"/>
  <c r="AF305" i="1"/>
  <c r="AA305" i="1"/>
  <c r="Z305" i="1"/>
  <c r="U305" i="1"/>
  <c r="AB305" i="1" s="1"/>
  <c r="AU304" i="1"/>
  <c r="AV304" i="1" s="1"/>
  <c r="AW304" i="1" s="1"/>
  <c r="AT304" i="1"/>
  <c r="AQ304" i="1"/>
  <c r="AH304" i="1"/>
  <c r="AI304" i="1" s="1"/>
  <c r="AJ304" i="1" s="1"/>
  <c r="AF304" i="1"/>
  <c r="AA304" i="1"/>
  <c r="Z304" i="1"/>
  <c r="AB304" i="1" s="1"/>
  <c r="U304" i="1"/>
  <c r="AV303" i="1"/>
  <c r="AW303" i="1" s="1"/>
  <c r="AU303" i="1"/>
  <c r="AT303" i="1"/>
  <c r="AQ303" i="1"/>
  <c r="AH303" i="1"/>
  <c r="AI303" i="1" s="1"/>
  <c r="AJ303" i="1" s="1"/>
  <c r="AF303" i="1"/>
  <c r="AA303" i="1"/>
  <c r="Z303" i="1"/>
  <c r="U303" i="1"/>
  <c r="AU302" i="1"/>
  <c r="AV302" i="1" s="1"/>
  <c r="AW302" i="1" s="1"/>
  <c r="AT302" i="1"/>
  <c r="AQ302" i="1"/>
  <c r="AI302" i="1"/>
  <c r="AJ302" i="1" s="1"/>
  <c r="AH302" i="1"/>
  <c r="AF302" i="1"/>
  <c r="AA302" i="1"/>
  <c r="Z302" i="1"/>
  <c r="U302" i="1"/>
  <c r="AT301" i="1"/>
  <c r="AQ301" i="1"/>
  <c r="AH301" i="1"/>
  <c r="AI301" i="1" s="1"/>
  <c r="AJ301" i="1" s="1"/>
  <c r="AF301" i="1"/>
  <c r="AA301" i="1"/>
  <c r="Z301" i="1"/>
  <c r="U301" i="1"/>
  <c r="AT300" i="1"/>
  <c r="AQ300" i="1"/>
  <c r="AH300" i="1"/>
  <c r="AI300" i="1" s="1"/>
  <c r="AJ300" i="1" s="1"/>
  <c r="AF300" i="1"/>
  <c r="AA300" i="1"/>
  <c r="AU300" i="1" s="1"/>
  <c r="AV300" i="1" s="1"/>
  <c r="AW300" i="1" s="1"/>
  <c r="Z300" i="1"/>
  <c r="U300" i="1"/>
  <c r="AT299" i="1"/>
  <c r="AQ299" i="1"/>
  <c r="AH299" i="1"/>
  <c r="AI299" i="1" s="1"/>
  <c r="AJ299" i="1" s="1"/>
  <c r="AF299" i="1"/>
  <c r="AA299" i="1"/>
  <c r="AU299" i="1" s="1"/>
  <c r="AV299" i="1" s="1"/>
  <c r="AW299" i="1" s="1"/>
  <c r="Z299" i="1"/>
  <c r="U299" i="1"/>
  <c r="AT298" i="1"/>
  <c r="AQ298" i="1"/>
  <c r="AH298" i="1"/>
  <c r="AI298" i="1" s="1"/>
  <c r="AJ298" i="1" s="1"/>
  <c r="AF298" i="1"/>
  <c r="AA298" i="1"/>
  <c r="AU298" i="1" s="1"/>
  <c r="AV298" i="1" s="1"/>
  <c r="AW298" i="1" s="1"/>
  <c r="Z298" i="1"/>
  <c r="U298" i="1"/>
  <c r="AT297" i="1"/>
  <c r="AQ297" i="1"/>
  <c r="AH297" i="1"/>
  <c r="AI297" i="1" s="1"/>
  <c r="AJ297" i="1" s="1"/>
  <c r="AF297" i="1"/>
  <c r="AA297" i="1"/>
  <c r="AU297" i="1" s="1"/>
  <c r="AV297" i="1" s="1"/>
  <c r="AW297" i="1" s="1"/>
  <c r="Z297" i="1"/>
  <c r="U297" i="1"/>
  <c r="AU296" i="1"/>
  <c r="AT296" i="1"/>
  <c r="AQ296" i="1"/>
  <c r="AI296" i="1"/>
  <c r="AJ296" i="1" s="1"/>
  <c r="AH296" i="1"/>
  <c r="AF296" i="1"/>
  <c r="AB296" i="1"/>
  <c r="AA296" i="1"/>
  <c r="Z296" i="1"/>
  <c r="U296" i="1"/>
  <c r="AU295" i="1"/>
  <c r="AV295" i="1" s="1"/>
  <c r="AW295" i="1" s="1"/>
  <c r="AT295" i="1"/>
  <c r="AQ295" i="1"/>
  <c r="AH295" i="1"/>
  <c r="AI295" i="1" s="1"/>
  <c r="AJ295" i="1" s="1"/>
  <c r="AF295" i="1"/>
  <c r="AA295" i="1"/>
  <c r="AB295" i="1" s="1"/>
  <c r="Z295" i="1"/>
  <c r="U295" i="1"/>
  <c r="AV294" i="1"/>
  <c r="AW294" i="1" s="1"/>
  <c r="AU294" i="1"/>
  <c r="AT294" i="1"/>
  <c r="AQ294" i="1"/>
  <c r="AH294" i="1"/>
  <c r="AI294" i="1" s="1"/>
  <c r="AJ294" i="1" s="1"/>
  <c r="AF294" i="1"/>
  <c r="AA294" i="1"/>
  <c r="AB294" i="1" s="1"/>
  <c r="Z294" i="1"/>
  <c r="U294" i="1"/>
  <c r="AU293" i="1"/>
  <c r="AV293" i="1" s="1"/>
  <c r="AW293" i="1" s="1"/>
  <c r="AT293" i="1"/>
  <c r="AQ293" i="1"/>
  <c r="AI293" i="1"/>
  <c r="AJ293" i="1" s="1"/>
  <c r="AH293" i="1"/>
  <c r="AF293" i="1"/>
  <c r="AA293" i="1"/>
  <c r="Z293" i="1"/>
  <c r="U293" i="1"/>
  <c r="AB293" i="1" s="1"/>
  <c r="AU292" i="1"/>
  <c r="AT292" i="1"/>
  <c r="AV292" i="1" s="1"/>
  <c r="AW292" i="1" s="1"/>
  <c r="AQ292" i="1"/>
  <c r="AH292" i="1"/>
  <c r="AI292" i="1" s="1"/>
  <c r="AJ292" i="1" s="1"/>
  <c r="AF292" i="1"/>
  <c r="AA292" i="1"/>
  <c r="Z292" i="1"/>
  <c r="U292" i="1"/>
  <c r="AU291" i="1"/>
  <c r="AV291" i="1" s="1"/>
  <c r="AW291" i="1" s="1"/>
  <c r="AT291" i="1"/>
  <c r="AQ291" i="1"/>
  <c r="AH291" i="1"/>
  <c r="AI291" i="1" s="1"/>
  <c r="AJ291" i="1" s="1"/>
  <c r="AF291" i="1"/>
  <c r="AA291" i="1"/>
  <c r="Z291" i="1"/>
  <c r="U291" i="1"/>
  <c r="AU290" i="1"/>
  <c r="AT290" i="1"/>
  <c r="AQ290" i="1"/>
  <c r="AI290" i="1"/>
  <c r="AJ290" i="1" s="1"/>
  <c r="AH290" i="1"/>
  <c r="AF290" i="1"/>
  <c r="AA290" i="1"/>
  <c r="AB290" i="1" s="1"/>
  <c r="Z290" i="1"/>
  <c r="U290" i="1"/>
  <c r="AU289" i="1"/>
  <c r="AV289" i="1" s="1"/>
  <c r="AW289" i="1" s="1"/>
  <c r="AT289" i="1"/>
  <c r="AQ289" i="1"/>
  <c r="AJ289" i="1"/>
  <c r="AI289" i="1"/>
  <c r="AH289" i="1"/>
  <c r="AF289" i="1"/>
  <c r="AA289" i="1"/>
  <c r="AB289" i="1" s="1"/>
  <c r="Z289" i="1"/>
  <c r="U289" i="1"/>
  <c r="AV288" i="1"/>
  <c r="AW288" i="1" s="1"/>
  <c r="AT288" i="1"/>
  <c r="AQ288" i="1"/>
  <c r="AH288" i="1"/>
  <c r="AI288" i="1" s="1"/>
  <c r="AJ288" i="1" s="1"/>
  <c r="AF288" i="1"/>
  <c r="AB288" i="1"/>
  <c r="AA288" i="1"/>
  <c r="AU288" i="1" s="1"/>
  <c r="Z288" i="1"/>
  <c r="U288" i="1"/>
  <c r="AT287" i="1"/>
  <c r="AQ287" i="1"/>
  <c r="AH287" i="1"/>
  <c r="AI287" i="1" s="1"/>
  <c r="AJ287" i="1" s="1"/>
  <c r="AF287" i="1"/>
  <c r="AB287" i="1"/>
  <c r="AA287" i="1"/>
  <c r="AU287" i="1" s="1"/>
  <c r="AV287" i="1" s="1"/>
  <c r="AW287" i="1" s="1"/>
  <c r="Z287" i="1"/>
  <c r="U287" i="1"/>
  <c r="AT286" i="1"/>
  <c r="AQ286" i="1"/>
  <c r="AH286" i="1"/>
  <c r="AI286" i="1" s="1"/>
  <c r="AJ286" i="1" s="1"/>
  <c r="AF286" i="1"/>
  <c r="AA286" i="1"/>
  <c r="AU286" i="1" s="1"/>
  <c r="AV286" i="1" s="1"/>
  <c r="AW286" i="1" s="1"/>
  <c r="Z286" i="1"/>
  <c r="U286" i="1"/>
  <c r="AT285" i="1"/>
  <c r="AQ285" i="1"/>
  <c r="AH285" i="1"/>
  <c r="AI285" i="1" s="1"/>
  <c r="AJ285" i="1" s="1"/>
  <c r="AF285" i="1"/>
  <c r="AA285" i="1"/>
  <c r="AU285" i="1" s="1"/>
  <c r="AV285" i="1" s="1"/>
  <c r="AW285" i="1" s="1"/>
  <c r="Z285" i="1"/>
  <c r="U285" i="1"/>
  <c r="AU284" i="1"/>
  <c r="AT284" i="1"/>
  <c r="AQ284" i="1"/>
  <c r="AH284" i="1"/>
  <c r="AI284" i="1" s="1"/>
  <c r="AJ284" i="1" s="1"/>
  <c r="AF284" i="1"/>
  <c r="AB284" i="1"/>
  <c r="AA284" i="1"/>
  <c r="Z284" i="1"/>
  <c r="U284" i="1"/>
  <c r="AU283" i="1"/>
  <c r="AT283" i="1"/>
  <c r="AQ283" i="1"/>
  <c r="AH283" i="1"/>
  <c r="AI283" i="1" s="1"/>
  <c r="AJ283" i="1" s="1"/>
  <c r="AF283" i="1"/>
  <c r="AA283" i="1"/>
  <c r="AB283" i="1" s="1"/>
  <c r="Z283" i="1"/>
  <c r="U283" i="1"/>
  <c r="AU282" i="1"/>
  <c r="AV282" i="1" s="1"/>
  <c r="AW282" i="1" s="1"/>
  <c r="AT282" i="1"/>
  <c r="AQ282" i="1"/>
  <c r="AJ282" i="1"/>
  <c r="AI282" i="1"/>
  <c r="AH282" i="1"/>
  <c r="AF282" i="1"/>
  <c r="AA282" i="1"/>
  <c r="AB282" i="1" s="1"/>
  <c r="Z282" i="1"/>
  <c r="U282" i="1"/>
  <c r="AU281" i="1"/>
  <c r="AT281" i="1"/>
  <c r="AQ281" i="1"/>
  <c r="AJ281" i="1"/>
  <c r="AI281" i="1"/>
  <c r="AH281" i="1"/>
  <c r="AF281" i="1"/>
  <c r="AA281" i="1"/>
  <c r="Z281" i="1"/>
  <c r="U281" i="1"/>
  <c r="AB281" i="1" s="1"/>
  <c r="AU280" i="1"/>
  <c r="AT280" i="1"/>
  <c r="AQ280" i="1"/>
  <c r="AJ280" i="1"/>
  <c r="AH280" i="1"/>
  <c r="AI280" i="1" s="1"/>
  <c r="AF280" i="1"/>
  <c r="AA280" i="1"/>
  <c r="Z280" i="1"/>
  <c r="U280" i="1"/>
  <c r="AT279" i="1"/>
  <c r="AQ279" i="1"/>
  <c r="AH279" i="1"/>
  <c r="AI279" i="1" s="1"/>
  <c r="AJ279" i="1" s="1"/>
  <c r="AF279" i="1"/>
  <c r="AA279" i="1"/>
  <c r="AB279" i="1" s="1"/>
  <c r="Z279" i="1"/>
  <c r="U279" i="1"/>
  <c r="AT278" i="1"/>
  <c r="AQ278" i="1"/>
  <c r="AI278" i="1"/>
  <c r="AJ278" i="1" s="1"/>
  <c r="AH278" i="1"/>
  <c r="AF278" i="1"/>
  <c r="AB278" i="1"/>
  <c r="AA278" i="1"/>
  <c r="AU278" i="1" s="1"/>
  <c r="AV278" i="1" s="1"/>
  <c r="AW278" i="1" s="1"/>
  <c r="Z278" i="1"/>
  <c r="U278" i="1"/>
  <c r="AT277" i="1"/>
  <c r="AQ277" i="1"/>
  <c r="AH277" i="1"/>
  <c r="AI277" i="1" s="1"/>
  <c r="AJ277" i="1" s="1"/>
  <c r="AF277" i="1"/>
  <c r="AB277" i="1"/>
  <c r="AA277" i="1"/>
  <c r="AU277" i="1" s="1"/>
  <c r="AV277" i="1" s="1"/>
  <c r="AW277" i="1" s="1"/>
  <c r="Z277" i="1"/>
  <c r="U277" i="1"/>
  <c r="AT276" i="1"/>
  <c r="AQ276" i="1"/>
  <c r="AH276" i="1"/>
  <c r="AI276" i="1" s="1"/>
  <c r="AJ276" i="1" s="1"/>
  <c r="AF276" i="1"/>
  <c r="AA276" i="1"/>
  <c r="AU276" i="1" s="1"/>
  <c r="AV276" i="1" s="1"/>
  <c r="AW276" i="1" s="1"/>
  <c r="Z276" i="1"/>
  <c r="U276" i="1"/>
  <c r="AW275" i="1"/>
  <c r="AT275" i="1"/>
  <c r="AQ275" i="1"/>
  <c r="AH275" i="1"/>
  <c r="AI275" i="1" s="1"/>
  <c r="AJ275" i="1" s="1"/>
  <c r="AF275" i="1"/>
  <c r="AA275" i="1"/>
  <c r="AU275" i="1" s="1"/>
  <c r="AV275" i="1" s="1"/>
  <c r="Z275" i="1"/>
  <c r="U275" i="1"/>
  <c r="AT274" i="1"/>
  <c r="AQ274" i="1"/>
  <c r="AH274" i="1"/>
  <c r="AI274" i="1" s="1"/>
  <c r="AJ274" i="1" s="1"/>
  <c r="AF274" i="1"/>
  <c r="AB274" i="1"/>
  <c r="AA274" i="1"/>
  <c r="AU274" i="1" s="1"/>
  <c r="AV274" i="1" s="1"/>
  <c r="AW274" i="1" s="1"/>
  <c r="Z274" i="1"/>
  <c r="U274" i="1"/>
  <c r="AT273" i="1"/>
  <c r="AQ273" i="1"/>
  <c r="AI273" i="1"/>
  <c r="AJ273" i="1" s="1"/>
  <c r="AH273" i="1"/>
  <c r="AF273" i="1"/>
  <c r="AA273" i="1"/>
  <c r="AU273" i="1" s="1"/>
  <c r="Z273" i="1"/>
  <c r="U273" i="1"/>
  <c r="AU272" i="1"/>
  <c r="AT272" i="1"/>
  <c r="AQ272" i="1"/>
  <c r="AI272" i="1"/>
  <c r="AJ272" i="1" s="1"/>
  <c r="AH272" i="1"/>
  <c r="AF272" i="1"/>
  <c r="AB272" i="1"/>
  <c r="AA272" i="1"/>
  <c r="Z272" i="1"/>
  <c r="U272" i="1"/>
  <c r="AU271" i="1"/>
  <c r="AT271" i="1"/>
  <c r="AQ271" i="1"/>
  <c r="AH271" i="1"/>
  <c r="AI271" i="1" s="1"/>
  <c r="AJ271" i="1" s="1"/>
  <c r="AF271" i="1"/>
  <c r="AA271" i="1"/>
  <c r="AB271" i="1" s="1"/>
  <c r="Z271" i="1"/>
  <c r="U271" i="1"/>
  <c r="AU270" i="1"/>
  <c r="AV270" i="1" s="1"/>
  <c r="AW270" i="1" s="1"/>
  <c r="AT270" i="1"/>
  <c r="AQ270" i="1"/>
  <c r="AI270" i="1"/>
  <c r="AJ270" i="1" s="1"/>
  <c r="AH270" i="1"/>
  <c r="AF270" i="1"/>
  <c r="AA270" i="1"/>
  <c r="AB270" i="1" s="1"/>
  <c r="Z270" i="1"/>
  <c r="U270" i="1"/>
  <c r="AU269" i="1"/>
  <c r="AV269" i="1" s="1"/>
  <c r="AW269" i="1" s="1"/>
  <c r="AT269" i="1"/>
  <c r="AQ269" i="1"/>
  <c r="AI269" i="1"/>
  <c r="AJ269" i="1" s="1"/>
  <c r="AH269" i="1"/>
  <c r="AF269" i="1"/>
  <c r="AA269" i="1"/>
  <c r="Z269" i="1"/>
  <c r="U269" i="1"/>
  <c r="AB269" i="1" s="1"/>
  <c r="AU268" i="1"/>
  <c r="AV268" i="1" s="1"/>
  <c r="AW268" i="1" s="1"/>
  <c r="AT268" i="1"/>
  <c r="AQ268" i="1"/>
  <c r="AH268" i="1"/>
  <c r="AI268" i="1" s="1"/>
  <c r="AJ268" i="1" s="1"/>
  <c r="AF268" i="1"/>
  <c r="AA268" i="1"/>
  <c r="Z268" i="1"/>
  <c r="AB268" i="1" s="1"/>
  <c r="U268" i="1"/>
  <c r="AT267" i="1"/>
  <c r="AQ267" i="1"/>
  <c r="AH267" i="1"/>
  <c r="AI267" i="1" s="1"/>
  <c r="AJ267" i="1" s="1"/>
  <c r="AF267" i="1"/>
  <c r="AA267" i="1"/>
  <c r="Z267" i="1"/>
  <c r="U267" i="1"/>
  <c r="AT266" i="1"/>
  <c r="AQ266" i="1"/>
  <c r="AI266" i="1"/>
  <c r="AJ266" i="1" s="1"/>
  <c r="AH266" i="1"/>
  <c r="AF266" i="1"/>
  <c r="AA266" i="1"/>
  <c r="Z266" i="1"/>
  <c r="U266" i="1"/>
  <c r="AT265" i="1"/>
  <c r="AQ265" i="1"/>
  <c r="AJ265" i="1"/>
  <c r="AI265" i="1"/>
  <c r="AH265" i="1"/>
  <c r="AF265" i="1"/>
  <c r="AB265" i="1"/>
  <c r="AA265" i="1"/>
  <c r="AU265" i="1" s="1"/>
  <c r="AV265" i="1" s="1"/>
  <c r="AW265" i="1" s="1"/>
  <c r="Z265" i="1"/>
  <c r="U265" i="1"/>
  <c r="AT264" i="1"/>
  <c r="AQ264" i="1"/>
  <c r="AH264" i="1"/>
  <c r="AI264" i="1" s="1"/>
  <c r="AJ264" i="1" s="1"/>
  <c r="AF264" i="1"/>
  <c r="AA264" i="1"/>
  <c r="AU264" i="1" s="1"/>
  <c r="AV264" i="1" s="1"/>
  <c r="AW264" i="1" s="1"/>
  <c r="Z264" i="1"/>
  <c r="U264" i="1"/>
  <c r="AW263" i="1"/>
  <c r="AT263" i="1"/>
  <c r="AQ263" i="1"/>
  <c r="AH263" i="1"/>
  <c r="AI263" i="1" s="1"/>
  <c r="AJ263" i="1" s="1"/>
  <c r="AF263" i="1"/>
  <c r="AA263" i="1"/>
  <c r="AU263" i="1" s="1"/>
  <c r="AV263" i="1" s="1"/>
  <c r="Z263" i="1"/>
  <c r="U263" i="1"/>
  <c r="AB263" i="1" s="1"/>
  <c r="AT262" i="1"/>
  <c r="AQ262" i="1"/>
  <c r="AI262" i="1"/>
  <c r="AJ262" i="1" s="1"/>
  <c r="AH262" i="1"/>
  <c r="AF262" i="1"/>
  <c r="AA262" i="1"/>
  <c r="AU262" i="1" s="1"/>
  <c r="AV262" i="1" s="1"/>
  <c r="AW262" i="1" s="1"/>
  <c r="Z262" i="1"/>
  <c r="U262" i="1"/>
  <c r="AT261" i="1"/>
  <c r="AQ261" i="1"/>
  <c r="AH261" i="1"/>
  <c r="AI261" i="1" s="1"/>
  <c r="AJ261" i="1" s="1"/>
  <c r="AF261" i="1"/>
  <c r="AB261" i="1"/>
  <c r="AA261" i="1"/>
  <c r="AU261" i="1" s="1"/>
  <c r="Z261" i="1"/>
  <c r="U261" i="1"/>
  <c r="AU260" i="1"/>
  <c r="AV260" i="1" s="1"/>
  <c r="AW260" i="1" s="1"/>
  <c r="AT260" i="1"/>
  <c r="AQ260" i="1"/>
  <c r="AH260" i="1"/>
  <c r="AI260" i="1" s="1"/>
  <c r="AJ260" i="1" s="1"/>
  <c r="AF260" i="1"/>
  <c r="AB260" i="1"/>
  <c r="AA260" i="1"/>
  <c r="Z260" i="1"/>
  <c r="U260" i="1"/>
  <c r="AU259" i="1"/>
  <c r="AT259" i="1"/>
  <c r="AQ259" i="1"/>
  <c r="AH259" i="1"/>
  <c r="AI259" i="1" s="1"/>
  <c r="AJ259" i="1" s="1"/>
  <c r="AF259" i="1"/>
  <c r="AA259" i="1"/>
  <c r="AB259" i="1" s="1"/>
  <c r="Z259" i="1"/>
  <c r="U259" i="1"/>
  <c r="AU258" i="1"/>
  <c r="AV258" i="1" s="1"/>
  <c r="AW258" i="1" s="1"/>
  <c r="AT258" i="1"/>
  <c r="AQ258" i="1"/>
  <c r="AH258" i="1"/>
  <c r="AI258" i="1" s="1"/>
  <c r="AJ258" i="1" s="1"/>
  <c r="AF258" i="1"/>
  <c r="AA258" i="1"/>
  <c r="AB258" i="1" s="1"/>
  <c r="Z258" i="1"/>
  <c r="U258" i="1"/>
  <c r="AU257" i="1"/>
  <c r="AV257" i="1" s="1"/>
  <c r="AW257" i="1" s="1"/>
  <c r="AT257" i="1"/>
  <c r="AQ257" i="1"/>
  <c r="AI257" i="1"/>
  <c r="AJ257" i="1" s="1"/>
  <c r="AH257" i="1"/>
  <c r="AF257" i="1"/>
  <c r="AA257" i="1"/>
  <c r="Z257" i="1"/>
  <c r="U257" i="1"/>
  <c r="AB257" i="1" s="1"/>
  <c r="AU256" i="1"/>
  <c r="AV256" i="1" s="1"/>
  <c r="AW256" i="1" s="1"/>
  <c r="AT256" i="1"/>
  <c r="AQ256" i="1"/>
  <c r="AH256" i="1"/>
  <c r="AI256" i="1" s="1"/>
  <c r="AJ256" i="1" s="1"/>
  <c r="AF256" i="1"/>
  <c r="AA256" i="1"/>
  <c r="Z256" i="1"/>
  <c r="U256" i="1"/>
  <c r="AT255" i="1"/>
  <c r="AQ255" i="1"/>
  <c r="AH255" i="1"/>
  <c r="AI255" i="1" s="1"/>
  <c r="AJ255" i="1" s="1"/>
  <c r="AF255" i="1"/>
  <c r="AA255" i="1"/>
  <c r="Z255" i="1"/>
  <c r="U255" i="1"/>
  <c r="AV254" i="1"/>
  <c r="AW254" i="1" s="1"/>
  <c r="AU254" i="1"/>
  <c r="AT254" i="1"/>
  <c r="AQ254" i="1"/>
  <c r="AI254" i="1"/>
  <c r="AJ254" i="1" s="1"/>
  <c r="AH254" i="1"/>
  <c r="AF254" i="1"/>
  <c r="AA254" i="1"/>
  <c r="AB254" i="1" s="1"/>
  <c r="Z254" i="1"/>
  <c r="U254" i="1"/>
  <c r="AU253" i="1"/>
  <c r="AV253" i="1" s="1"/>
  <c r="AW253" i="1" s="1"/>
  <c r="AT253" i="1"/>
  <c r="AQ253" i="1"/>
  <c r="AH253" i="1"/>
  <c r="AI253" i="1" s="1"/>
  <c r="AJ253" i="1" s="1"/>
  <c r="AF253" i="1"/>
  <c r="AA253" i="1"/>
  <c r="AB253" i="1" s="1"/>
  <c r="Z253" i="1"/>
  <c r="U253" i="1"/>
  <c r="AW252" i="1"/>
  <c r="AV252" i="1"/>
  <c r="AT252" i="1"/>
  <c r="AQ252" i="1"/>
  <c r="AH252" i="1"/>
  <c r="AI252" i="1" s="1"/>
  <c r="AJ252" i="1" s="1"/>
  <c r="AF252" i="1"/>
  <c r="AA252" i="1"/>
  <c r="AU252" i="1" s="1"/>
  <c r="Z252" i="1"/>
  <c r="U252" i="1"/>
  <c r="AT251" i="1"/>
  <c r="AQ251" i="1"/>
  <c r="AI251" i="1"/>
  <c r="AJ251" i="1" s="1"/>
  <c r="AH251" i="1"/>
  <c r="AF251" i="1"/>
  <c r="AA251" i="1"/>
  <c r="AU251" i="1" s="1"/>
  <c r="Z251" i="1"/>
  <c r="U251" i="1"/>
  <c r="AU250" i="1"/>
  <c r="AT250" i="1"/>
  <c r="AQ250" i="1"/>
  <c r="AH250" i="1"/>
  <c r="AI250" i="1" s="1"/>
  <c r="AJ250" i="1" s="1"/>
  <c r="AF250" i="1"/>
  <c r="AB250" i="1"/>
  <c r="AA250" i="1"/>
  <c r="Z250" i="1"/>
  <c r="U250" i="1"/>
  <c r="AU249" i="1"/>
  <c r="AT249" i="1"/>
  <c r="AQ249" i="1"/>
  <c r="AV249" i="1" s="1"/>
  <c r="AW249" i="1" s="1"/>
  <c r="AI249" i="1"/>
  <c r="AJ249" i="1" s="1"/>
  <c r="AH249" i="1"/>
  <c r="AF249" i="1"/>
  <c r="AB249" i="1"/>
  <c r="AA249" i="1"/>
  <c r="Z249" i="1"/>
  <c r="U249" i="1"/>
  <c r="AU248" i="1"/>
  <c r="AT248" i="1"/>
  <c r="AQ248" i="1"/>
  <c r="AH248" i="1"/>
  <c r="AI248" i="1" s="1"/>
  <c r="AJ248" i="1" s="1"/>
  <c r="AF248" i="1"/>
  <c r="AA248" i="1"/>
  <c r="Z248" i="1"/>
  <c r="U248" i="1"/>
  <c r="AB248" i="1" s="1"/>
  <c r="AU247" i="1"/>
  <c r="AT247" i="1"/>
  <c r="AQ247" i="1"/>
  <c r="AJ247" i="1"/>
  <c r="AI247" i="1"/>
  <c r="AH247" i="1"/>
  <c r="AF247" i="1"/>
  <c r="AA247" i="1"/>
  <c r="Z247" i="1"/>
  <c r="U247" i="1"/>
  <c r="AU246" i="1"/>
  <c r="AV246" i="1" s="1"/>
  <c r="AW246" i="1" s="1"/>
  <c r="AT246" i="1"/>
  <c r="AQ246" i="1"/>
  <c r="AI246" i="1"/>
  <c r="AJ246" i="1" s="1"/>
  <c r="AH246" i="1"/>
  <c r="AF246" i="1"/>
  <c r="AA246" i="1"/>
  <c r="Z246" i="1"/>
  <c r="U246" i="1"/>
  <c r="AU245" i="1"/>
  <c r="AT245" i="1"/>
  <c r="AQ245" i="1"/>
  <c r="AJ245" i="1"/>
  <c r="AI245" i="1"/>
  <c r="AH245" i="1"/>
  <c r="AF245" i="1"/>
  <c r="AA245" i="1"/>
  <c r="AB245" i="1" s="1"/>
  <c r="Z245" i="1"/>
  <c r="U245" i="1"/>
  <c r="AU244" i="1"/>
  <c r="AT244" i="1"/>
  <c r="AQ244" i="1"/>
  <c r="AJ244" i="1"/>
  <c r="AH244" i="1"/>
  <c r="AI244" i="1" s="1"/>
  <c r="AF244" i="1"/>
  <c r="AA244" i="1"/>
  <c r="AB244" i="1" s="1"/>
  <c r="Z244" i="1"/>
  <c r="U244" i="1"/>
  <c r="AU243" i="1"/>
  <c r="AT243" i="1"/>
  <c r="AQ243" i="1"/>
  <c r="AH243" i="1"/>
  <c r="AI243" i="1" s="1"/>
  <c r="AJ243" i="1" s="1"/>
  <c r="AF243" i="1"/>
  <c r="AA243" i="1"/>
  <c r="AB243" i="1" s="1"/>
  <c r="Z243" i="1"/>
  <c r="U243" i="1"/>
  <c r="AU242" i="1"/>
  <c r="AV242" i="1" s="1"/>
  <c r="AW242" i="1" s="1"/>
  <c r="AT242" i="1"/>
  <c r="AQ242" i="1"/>
  <c r="AH242" i="1"/>
  <c r="AI242" i="1" s="1"/>
  <c r="AJ242" i="1" s="1"/>
  <c r="AF242" i="1"/>
  <c r="AA242" i="1"/>
  <c r="AB242" i="1" s="1"/>
  <c r="Z242" i="1"/>
  <c r="U242" i="1"/>
  <c r="AU241" i="1"/>
  <c r="AV241" i="1" s="1"/>
  <c r="AW241" i="1" s="1"/>
  <c r="AT241" i="1"/>
  <c r="AQ241" i="1"/>
  <c r="AJ241" i="1"/>
  <c r="AI241" i="1"/>
  <c r="AH241" i="1"/>
  <c r="AF241" i="1"/>
  <c r="AA241" i="1"/>
  <c r="AB241" i="1" s="1"/>
  <c r="Z241" i="1"/>
  <c r="U241" i="1"/>
  <c r="AT240" i="1"/>
  <c r="AQ240" i="1"/>
  <c r="AV240" i="1" s="1"/>
  <c r="AW240" i="1" s="1"/>
  <c r="AI240" i="1"/>
  <c r="AJ240" i="1" s="1"/>
  <c r="AH240" i="1"/>
  <c r="AF240" i="1"/>
  <c r="AA240" i="1"/>
  <c r="AU240" i="1" s="1"/>
  <c r="Z240" i="1"/>
  <c r="U240" i="1"/>
  <c r="AT239" i="1"/>
  <c r="AQ239" i="1"/>
  <c r="AH239" i="1"/>
  <c r="AI239" i="1" s="1"/>
  <c r="AJ239" i="1" s="1"/>
  <c r="AF239" i="1"/>
  <c r="AA239" i="1"/>
  <c r="AU239" i="1" s="1"/>
  <c r="Z239" i="1"/>
  <c r="U239" i="1"/>
  <c r="AU238" i="1"/>
  <c r="AT238" i="1"/>
  <c r="AQ238" i="1"/>
  <c r="AH238" i="1"/>
  <c r="AI238" i="1" s="1"/>
  <c r="AJ238" i="1" s="1"/>
  <c r="AF238" i="1"/>
  <c r="AB238" i="1"/>
  <c r="AA238" i="1"/>
  <c r="Z238" i="1"/>
  <c r="U238" i="1"/>
  <c r="AU237" i="1"/>
  <c r="AT237" i="1"/>
  <c r="AQ237" i="1"/>
  <c r="AV237" i="1" s="1"/>
  <c r="AW237" i="1" s="1"/>
  <c r="AI237" i="1"/>
  <c r="AJ237" i="1" s="1"/>
  <c r="AH237" i="1"/>
  <c r="AF237" i="1"/>
  <c r="AB237" i="1"/>
  <c r="AA237" i="1"/>
  <c r="Z237" i="1"/>
  <c r="U237" i="1"/>
  <c r="AU236" i="1"/>
  <c r="AV236" i="1" s="1"/>
  <c r="AW236" i="1" s="1"/>
  <c r="AT236" i="1"/>
  <c r="AQ236" i="1"/>
  <c r="AH236" i="1"/>
  <c r="AI236" i="1" s="1"/>
  <c r="AJ236" i="1" s="1"/>
  <c r="AF236" i="1"/>
  <c r="AA236" i="1"/>
  <c r="Z236" i="1"/>
  <c r="U236" i="1"/>
  <c r="AB236" i="1" s="1"/>
  <c r="AU235" i="1"/>
  <c r="AT235" i="1"/>
  <c r="AQ235" i="1"/>
  <c r="AH235" i="1"/>
  <c r="AI235" i="1" s="1"/>
  <c r="AJ235" i="1" s="1"/>
  <c r="AF235" i="1"/>
  <c r="AA235" i="1"/>
  <c r="Z235" i="1"/>
  <c r="U235" i="1"/>
  <c r="AU234" i="1"/>
  <c r="AT234" i="1"/>
  <c r="AQ234" i="1"/>
  <c r="AJ234" i="1"/>
  <c r="AI234" i="1"/>
  <c r="AH234" i="1"/>
  <c r="AF234" i="1"/>
  <c r="AA234" i="1"/>
  <c r="Z234" i="1"/>
  <c r="U234" i="1"/>
  <c r="AU233" i="1"/>
  <c r="AT233" i="1"/>
  <c r="AQ233" i="1"/>
  <c r="AJ233" i="1"/>
  <c r="AI233" i="1"/>
  <c r="AH233" i="1"/>
  <c r="AF233" i="1"/>
  <c r="AA233" i="1"/>
  <c r="AB233" i="1" s="1"/>
  <c r="Z233" i="1"/>
  <c r="U233" i="1"/>
  <c r="AU232" i="1"/>
  <c r="AV232" i="1" s="1"/>
  <c r="AW232" i="1" s="1"/>
  <c r="AT232" i="1"/>
  <c r="AQ232" i="1"/>
  <c r="AH232" i="1"/>
  <c r="AI232" i="1" s="1"/>
  <c r="AJ232" i="1" s="1"/>
  <c r="AF232" i="1"/>
  <c r="AA232" i="1"/>
  <c r="AB232" i="1" s="1"/>
  <c r="Z232" i="1"/>
  <c r="U232" i="1"/>
  <c r="AU231" i="1"/>
  <c r="AV231" i="1" s="1"/>
  <c r="AW231" i="1" s="1"/>
  <c r="AT231" i="1"/>
  <c r="AQ231" i="1"/>
  <c r="AH231" i="1"/>
  <c r="AI231" i="1" s="1"/>
  <c r="AJ231" i="1" s="1"/>
  <c r="AF231" i="1"/>
  <c r="AA231" i="1"/>
  <c r="AB231" i="1" s="1"/>
  <c r="Z231" i="1"/>
  <c r="U231" i="1"/>
  <c r="AU230" i="1"/>
  <c r="AV230" i="1" s="1"/>
  <c r="AW230" i="1" s="1"/>
  <c r="AT230" i="1"/>
  <c r="AQ230" i="1"/>
  <c r="AH230" i="1"/>
  <c r="AI230" i="1" s="1"/>
  <c r="AJ230" i="1" s="1"/>
  <c r="AF230" i="1"/>
  <c r="AA230" i="1"/>
  <c r="AB230" i="1" s="1"/>
  <c r="Z230" i="1"/>
  <c r="U230" i="1"/>
  <c r="AU229" i="1"/>
  <c r="AV229" i="1" s="1"/>
  <c r="AW229" i="1" s="1"/>
  <c r="AT229" i="1"/>
  <c r="AQ229" i="1"/>
  <c r="AJ229" i="1"/>
  <c r="AI229" i="1"/>
  <c r="AH229" i="1"/>
  <c r="AF229" i="1"/>
  <c r="AA229" i="1"/>
  <c r="AB229" i="1" s="1"/>
  <c r="Z229" i="1"/>
  <c r="U229" i="1"/>
  <c r="AT228" i="1"/>
  <c r="AQ228" i="1"/>
  <c r="AV228" i="1" s="1"/>
  <c r="AW228" i="1" s="1"/>
  <c r="AH228" i="1"/>
  <c r="AI228" i="1" s="1"/>
  <c r="AJ228" i="1" s="1"/>
  <c r="AF228" i="1"/>
  <c r="AA228" i="1"/>
  <c r="AU228" i="1" s="1"/>
  <c r="Z228" i="1"/>
  <c r="U228" i="1"/>
  <c r="AT227" i="1"/>
  <c r="AQ227" i="1"/>
  <c r="AH227" i="1"/>
  <c r="AI227" i="1" s="1"/>
  <c r="AJ227" i="1" s="1"/>
  <c r="AF227" i="1"/>
  <c r="AA227" i="1"/>
  <c r="AU227" i="1" s="1"/>
  <c r="Z227" i="1"/>
  <c r="U227" i="1"/>
  <c r="AU226" i="1"/>
  <c r="AT226" i="1"/>
  <c r="AQ226" i="1"/>
  <c r="AI226" i="1"/>
  <c r="AJ226" i="1" s="1"/>
  <c r="AH226" i="1"/>
  <c r="AF226" i="1"/>
  <c r="AB226" i="1"/>
  <c r="AA226" i="1"/>
  <c r="Z226" i="1"/>
  <c r="U226" i="1"/>
  <c r="AU225" i="1"/>
  <c r="AT225" i="1"/>
  <c r="AQ225" i="1"/>
  <c r="AV225" i="1" s="1"/>
  <c r="AW225" i="1" s="1"/>
  <c r="AH225" i="1"/>
  <c r="AI225" i="1" s="1"/>
  <c r="AJ225" i="1" s="1"/>
  <c r="AF225" i="1"/>
  <c r="AB225" i="1"/>
  <c r="AA225" i="1"/>
  <c r="Z225" i="1"/>
  <c r="U225" i="1"/>
  <c r="AU224" i="1"/>
  <c r="AV224" i="1" s="1"/>
  <c r="AW224" i="1" s="1"/>
  <c r="AT224" i="1"/>
  <c r="AQ224" i="1"/>
  <c r="AH224" i="1"/>
  <c r="AI224" i="1" s="1"/>
  <c r="AJ224" i="1" s="1"/>
  <c r="AF224" i="1"/>
  <c r="AA224" i="1"/>
  <c r="Z224" i="1"/>
  <c r="U224" i="1"/>
  <c r="AB224" i="1" s="1"/>
  <c r="AU223" i="1"/>
  <c r="AT223" i="1"/>
  <c r="AQ223" i="1"/>
  <c r="AJ223" i="1"/>
  <c r="AI223" i="1"/>
  <c r="AH223" i="1"/>
  <c r="AF223" i="1"/>
  <c r="AA223" i="1"/>
  <c r="Z223" i="1"/>
  <c r="U223" i="1"/>
  <c r="AU222" i="1"/>
  <c r="AT222" i="1"/>
  <c r="AQ222" i="1"/>
  <c r="AI222" i="1"/>
  <c r="AJ222" i="1" s="1"/>
  <c r="AH222" i="1"/>
  <c r="AF222" i="1"/>
  <c r="AA222" i="1"/>
  <c r="Z222" i="1"/>
  <c r="U222" i="1"/>
  <c r="AU221" i="1"/>
  <c r="AT221" i="1"/>
  <c r="AQ221" i="1"/>
  <c r="AI221" i="1"/>
  <c r="AJ221" i="1" s="1"/>
  <c r="AH221" i="1"/>
  <c r="AF221" i="1"/>
  <c r="AA221" i="1"/>
  <c r="AB221" i="1" s="1"/>
  <c r="Z221" i="1"/>
  <c r="U221" i="1"/>
  <c r="AU220" i="1"/>
  <c r="AV220" i="1" s="1"/>
  <c r="AW220" i="1" s="1"/>
  <c r="AT220" i="1"/>
  <c r="AQ220" i="1"/>
  <c r="AH220" i="1"/>
  <c r="AI220" i="1" s="1"/>
  <c r="AJ220" i="1" s="1"/>
  <c r="AF220" i="1"/>
  <c r="AA220" i="1"/>
  <c r="AB220" i="1" s="1"/>
  <c r="Z220" i="1"/>
  <c r="U220" i="1"/>
  <c r="AU219" i="1"/>
  <c r="AT219" i="1"/>
  <c r="AV219" i="1" s="1"/>
  <c r="AW219" i="1" s="1"/>
  <c r="AQ219" i="1"/>
  <c r="AH219" i="1"/>
  <c r="AI219" i="1" s="1"/>
  <c r="AJ219" i="1" s="1"/>
  <c r="AF219" i="1"/>
  <c r="AA219" i="1"/>
  <c r="AB219" i="1" s="1"/>
  <c r="Z219" i="1"/>
  <c r="U219" i="1"/>
  <c r="AU218" i="1"/>
  <c r="AT218" i="1"/>
  <c r="AQ218" i="1"/>
  <c r="AI218" i="1"/>
  <c r="AJ218" i="1" s="1"/>
  <c r="AH218" i="1"/>
  <c r="AF218" i="1"/>
  <c r="AA218" i="1"/>
  <c r="AB218" i="1" s="1"/>
  <c r="Z218" i="1"/>
  <c r="U218" i="1"/>
  <c r="AU217" i="1"/>
  <c r="AV217" i="1" s="1"/>
  <c r="AW217" i="1" s="1"/>
  <c r="AT217" i="1"/>
  <c r="AQ217" i="1"/>
  <c r="AI217" i="1"/>
  <c r="AJ217" i="1" s="1"/>
  <c r="AH217" i="1"/>
  <c r="AF217" i="1"/>
  <c r="AA217" i="1"/>
  <c r="AB217" i="1" s="1"/>
  <c r="Z217" i="1"/>
  <c r="U217" i="1"/>
  <c r="AT216" i="1"/>
  <c r="AQ216" i="1"/>
  <c r="AV216" i="1" s="1"/>
  <c r="AW216" i="1" s="1"/>
  <c r="AI216" i="1"/>
  <c r="AJ216" i="1" s="1"/>
  <c r="AH216" i="1"/>
  <c r="AF216" i="1"/>
  <c r="AA216" i="1"/>
  <c r="AU216" i="1" s="1"/>
  <c r="Z216" i="1"/>
  <c r="U216" i="1"/>
  <c r="AT215" i="1"/>
  <c r="AQ215" i="1"/>
  <c r="AH215" i="1"/>
  <c r="AI215" i="1" s="1"/>
  <c r="AJ215" i="1" s="1"/>
  <c r="AF215" i="1"/>
  <c r="AA215" i="1"/>
  <c r="AU215" i="1" s="1"/>
  <c r="Z215" i="1"/>
  <c r="U215" i="1"/>
  <c r="AU214" i="1"/>
  <c r="AT214" i="1"/>
  <c r="AQ214" i="1"/>
  <c r="AH214" i="1"/>
  <c r="AI214" i="1" s="1"/>
  <c r="AJ214" i="1" s="1"/>
  <c r="AF214" i="1"/>
  <c r="AB214" i="1"/>
  <c r="AA214" i="1"/>
  <c r="Z214" i="1"/>
  <c r="U214" i="1"/>
  <c r="AU213" i="1"/>
  <c r="AT213" i="1"/>
  <c r="AQ213" i="1"/>
  <c r="AV213" i="1" s="1"/>
  <c r="AW213" i="1" s="1"/>
  <c r="AH213" i="1"/>
  <c r="AI213" i="1" s="1"/>
  <c r="AJ213" i="1" s="1"/>
  <c r="AF213" i="1"/>
  <c r="AB213" i="1"/>
  <c r="AA213" i="1"/>
  <c r="Z213" i="1"/>
  <c r="U213" i="1"/>
  <c r="AW212" i="1"/>
  <c r="AU212" i="1"/>
  <c r="AT212" i="1"/>
  <c r="AV212" i="1" s="1"/>
  <c r="AQ212" i="1"/>
  <c r="AH212" i="1"/>
  <c r="AI212" i="1" s="1"/>
  <c r="AJ212" i="1" s="1"/>
  <c r="AF212" i="1"/>
  <c r="AA212" i="1"/>
  <c r="Z212" i="1"/>
  <c r="U212" i="1"/>
  <c r="AB212" i="1" s="1"/>
  <c r="AU211" i="1"/>
  <c r="AT211" i="1"/>
  <c r="AQ211" i="1"/>
  <c r="AJ211" i="1"/>
  <c r="AI211" i="1"/>
  <c r="AH211" i="1"/>
  <c r="AF211" i="1"/>
  <c r="AA211" i="1"/>
  <c r="Z211" i="1"/>
  <c r="U211" i="1"/>
  <c r="AU210" i="1"/>
  <c r="AT210" i="1"/>
  <c r="AQ210" i="1"/>
  <c r="AI210" i="1"/>
  <c r="AJ210" i="1" s="1"/>
  <c r="AH210" i="1"/>
  <c r="AF210" i="1"/>
  <c r="AA210" i="1"/>
  <c r="Z210" i="1"/>
  <c r="U210" i="1"/>
  <c r="AU209" i="1"/>
  <c r="AT209" i="1"/>
  <c r="AQ209" i="1"/>
  <c r="AI209" i="1"/>
  <c r="AJ209" i="1" s="1"/>
  <c r="AH209" i="1"/>
  <c r="AF209" i="1"/>
  <c r="AA209" i="1"/>
  <c r="AB209" i="1" s="1"/>
  <c r="Z209" i="1"/>
  <c r="U209" i="1"/>
  <c r="AU208" i="1"/>
  <c r="AV208" i="1" s="1"/>
  <c r="AW208" i="1" s="1"/>
  <c r="AT208" i="1"/>
  <c r="AQ208" i="1"/>
  <c r="AH208" i="1"/>
  <c r="AI208" i="1" s="1"/>
  <c r="AJ208" i="1" s="1"/>
  <c r="AF208" i="1"/>
  <c r="AA208" i="1"/>
  <c r="Z208" i="1"/>
  <c r="U208" i="1"/>
  <c r="AU207" i="1"/>
  <c r="AT207" i="1"/>
  <c r="AV207" i="1" s="1"/>
  <c r="AW207" i="1" s="1"/>
  <c r="AQ207" i="1"/>
  <c r="AH207" i="1"/>
  <c r="AI207" i="1" s="1"/>
  <c r="AJ207" i="1" s="1"/>
  <c r="AF207" i="1"/>
  <c r="AA207" i="1"/>
  <c r="Z207" i="1"/>
  <c r="U207" i="1"/>
  <c r="AU206" i="1"/>
  <c r="AT206" i="1"/>
  <c r="AQ206" i="1"/>
  <c r="AI206" i="1"/>
  <c r="AJ206" i="1" s="1"/>
  <c r="AH206" i="1"/>
  <c r="AF206" i="1"/>
  <c r="AA206" i="1"/>
  <c r="Z206" i="1"/>
  <c r="U206" i="1"/>
  <c r="AU205" i="1"/>
  <c r="AV205" i="1" s="1"/>
  <c r="AW205" i="1" s="1"/>
  <c r="AT205" i="1"/>
  <c r="AQ205" i="1"/>
  <c r="AI205" i="1"/>
  <c r="AJ205" i="1" s="1"/>
  <c r="AH205" i="1"/>
  <c r="AF205" i="1"/>
  <c r="AA205" i="1"/>
  <c r="Z205" i="1"/>
  <c r="U205" i="1"/>
  <c r="AT204" i="1"/>
  <c r="AQ204" i="1"/>
  <c r="AV204" i="1" s="1"/>
  <c r="AW204" i="1" s="1"/>
  <c r="AI204" i="1"/>
  <c r="AJ204" i="1" s="1"/>
  <c r="AH204" i="1"/>
  <c r="AF204" i="1"/>
  <c r="AA204" i="1"/>
  <c r="AU204" i="1" s="1"/>
  <c r="Z204" i="1"/>
  <c r="U204" i="1"/>
  <c r="AT203" i="1"/>
  <c r="AQ203" i="1"/>
  <c r="AH203" i="1"/>
  <c r="AI203" i="1" s="1"/>
  <c r="AJ203" i="1" s="1"/>
  <c r="AF203" i="1"/>
  <c r="AA203" i="1"/>
  <c r="AU203" i="1" s="1"/>
  <c r="Z203" i="1"/>
  <c r="U203" i="1"/>
  <c r="AU202" i="1"/>
  <c r="AT202" i="1"/>
  <c r="AQ202" i="1"/>
  <c r="AH202" i="1"/>
  <c r="AI202" i="1" s="1"/>
  <c r="AJ202" i="1" s="1"/>
  <c r="AF202" i="1"/>
  <c r="AB202" i="1"/>
  <c r="AA202" i="1"/>
  <c r="Z202" i="1"/>
  <c r="U202" i="1"/>
  <c r="AV201" i="1"/>
  <c r="AW201" i="1" s="1"/>
  <c r="AU201" i="1"/>
  <c r="AT201" i="1"/>
  <c r="AQ201" i="1"/>
  <c r="AH201" i="1"/>
  <c r="AI201" i="1" s="1"/>
  <c r="AJ201" i="1" s="1"/>
  <c r="AF201" i="1"/>
  <c r="AB201" i="1"/>
  <c r="AA201" i="1"/>
  <c r="Z201" i="1"/>
  <c r="U201" i="1"/>
  <c r="AW200" i="1"/>
  <c r="AU200" i="1"/>
  <c r="AV200" i="1" s="1"/>
  <c r="AT200" i="1"/>
  <c r="AQ200" i="1"/>
  <c r="AH200" i="1"/>
  <c r="AI200" i="1" s="1"/>
  <c r="AJ200" i="1" s="1"/>
  <c r="AF200" i="1"/>
  <c r="AA200" i="1"/>
  <c r="Z200" i="1"/>
  <c r="U200" i="1"/>
  <c r="AB200" i="1" s="1"/>
  <c r="AU199" i="1"/>
  <c r="AT199" i="1"/>
  <c r="AQ199" i="1"/>
  <c r="AH199" i="1"/>
  <c r="AI199" i="1" s="1"/>
  <c r="AJ199" i="1" s="1"/>
  <c r="AF199" i="1"/>
  <c r="AA199" i="1"/>
  <c r="Z199" i="1"/>
  <c r="U199" i="1"/>
  <c r="AU198" i="1"/>
  <c r="AT198" i="1"/>
  <c r="AQ198" i="1"/>
  <c r="AJ198" i="1"/>
  <c r="AI198" i="1"/>
  <c r="AH198" i="1"/>
  <c r="AF198" i="1"/>
  <c r="AA198" i="1"/>
  <c r="Z198" i="1"/>
  <c r="U198" i="1"/>
  <c r="AU197" i="1"/>
  <c r="AT197" i="1"/>
  <c r="AQ197" i="1"/>
  <c r="AJ197" i="1"/>
  <c r="AI197" i="1"/>
  <c r="AH197" i="1"/>
  <c r="AF197" i="1"/>
  <c r="AA197" i="1"/>
  <c r="AB197" i="1" s="1"/>
  <c r="Z197" i="1"/>
  <c r="U197" i="1"/>
  <c r="AU196" i="1"/>
  <c r="AV196" i="1" s="1"/>
  <c r="AW196" i="1" s="1"/>
  <c r="AT196" i="1"/>
  <c r="AQ196" i="1"/>
  <c r="AH196" i="1"/>
  <c r="AI196" i="1" s="1"/>
  <c r="AJ196" i="1" s="1"/>
  <c r="AF196" i="1"/>
  <c r="AA196" i="1"/>
  <c r="AB196" i="1" s="1"/>
  <c r="Z196" i="1"/>
  <c r="U196" i="1"/>
  <c r="AU195" i="1"/>
  <c r="AV195" i="1" s="1"/>
  <c r="AW195" i="1" s="1"/>
  <c r="AT195" i="1"/>
  <c r="AQ195" i="1"/>
  <c r="AH195" i="1"/>
  <c r="AI195" i="1" s="1"/>
  <c r="AJ195" i="1" s="1"/>
  <c r="AF195" i="1"/>
  <c r="AA195" i="1"/>
  <c r="AB195" i="1" s="1"/>
  <c r="Z195" i="1"/>
  <c r="U195" i="1"/>
  <c r="AU194" i="1"/>
  <c r="AV194" i="1" s="1"/>
  <c r="AW194" i="1" s="1"/>
  <c r="AT194" i="1"/>
  <c r="AQ194" i="1"/>
  <c r="AH194" i="1"/>
  <c r="AI194" i="1" s="1"/>
  <c r="AJ194" i="1" s="1"/>
  <c r="AF194" i="1"/>
  <c r="AA194" i="1"/>
  <c r="Z194" i="1"/>
  <c r="U194" i="1"/>
  <c r="AU193" i="1"/>
  <c r="AV193" i="1" s="1"/>
  <c r="AW193" i="1" s="1"/>
  <c r="AT193" i="1"/>
  <c r="AQ193" i="1"/>
  <c r="AJ193" i="1"/>
  <c r="AI193" i="1"/>
  <c r="AH193" i="1"/>
  <c r="AF193" i="1"/>
  <c r="AA193" i="1"/>
  <c r="Z193" i="1"/>
  <c r="U193" i="1"/>
  <c r="AT192" i="1"/>
  <c r="AQ192" i="1"/>
  <c r="AV192" i="1" s="1"/>
  <c r="AW192" i="1" s="1"/>
  <c r="AH192" i="1"/>
  <c r="AI192" i="1" s="1"/>
  <c r="AJ192" i="1" s="1"/>
  <c r="AF192" i="1"/>
  <c r="AA192" i="1"/>
  <c r="AU192" i="1" s="1"/>
  <c r="Z192" i="1"/>
  <c r="U192" i="1"/>
  <c r="AT191" i="1"/>
  <c r="AQ191" i="1"/>
  <c r="AH191" i="1"/>
  <c r="AI191" i="1" s="1"/>
  <c r="AJ191" i="1" s="1"/>
  <c r="AF191" i="1"/>
  <c r="AA191" i="1"/>
  <c r="AU191" i="1" s="1"/>
  <c r="Z191" i="1"/>
  <c r="U191" i="1"/>
  <c r="AU190" i="1"/>
  <c r="AT190" i="1"/>
  <c r="AQ190" i="1"/>
  <c r="AI190" i="1"/>
  <c r="AJ190" i="1" s="1"/>
  <c r="AH190" i="1"/>
  <c r="AF190" i="1"/>
  <c r="AB190" i="1"/>
  <c r="AA190" i="1"/>
  <c r="Z190" i="1"/>
  <c r="U190" i="1"/>
  <c r="AV189" i="1"/>
  <c r="AW189" i="1" s="1"/>
  <c r="AU189" i="1"/>
  <c r="AT189" i="1"/>
  <c r="AQ189" i="1"/>
  <c r="AI189" i="1"/>
  <c r="AJ189" i="1" s="1"/>
  <c r="AH189" i="1"/>
  <c r="AF189" i="1"/>
  <c r="AB189" i="1"/>
  <c r="AA189" i="1"/>
  <c r="Z189" i="1"/>
  <c r="U189" i="1"/>
  <c r="AU188" i="1"/>
  <c r="AT188" i="1"/>
  <c r="AQ188" i="1"/>
  <c r="AI188" i="1"/>
  <c r="AJ188" i="1" s="1"/>
  <c r="AH188" i="1"/>
  <c r="AF188" i="1"/>
  <c r="AA188" i="1"/>
  <c r="Z188" i="1"/>
  <c r="U188" i="1"/>
  <c r="AB188" i="1" s="1"/>
  <c r="AU187" i="1"/>
  <c r="AV187" i="1" s="1"/>
  <c r="AW187" i="1" s="1"/>
  <c r="AT187" i="1"/>
  <c r="AQ187" i="1"/>
  <c r="AH187" i="1"/>
  <c r="AI187" i="1" s="1"/>
  <c r="AJ187" i="1" s="1"/>
  <c r="AF187" i="1"/>
  <c r="AA187" i="1"/>
  <c r="Z187" i="1"/>
  <c r="U187" i="1"/>
  <c r="AU186" i="1"/>
  <c r="AV186" i="1" s="1"/>
  <c r="AW186" i="1" s="1"/>
  <c r="AT186" i="1"/>
  <c r="AQ186" i="1"/>
  <c r="AJ186" i="1"/>
  <c r="AI186" i="1"/>
  <c r="AH186" i="1"/>
  <c r="AF186" i="1"/>
  <c r="AA186" i="1"/>
  <c r="Z186" i="1"/>
  <c r="U186" i="1"/>
  <c r="AU185" i="1"/>
  <c r="AT185" i="1"/>
  <c r="AQ185" i="1"/>
  <c r="AI185" i="1"/>
  <c r="AJ185" i="1" s="1"/>
  <c r="AH185" i="1"/>
  <c r="AF185" i="1"/>
  <c r="AA185" i="1"/>
  <c r="Z185" i="1"/>
  <c r="U185" i="1"/>
  <c r="AU184" i="1"/>
  <c r="AT184" i="1"/>
  <c r="AQ184" i="1"/>
  <c r="AH184" i="1"/>
  <c r="AI184" i="1" s="1"/>
  <c r="AJ184" i="1" s="1"/>
  <c r="AF184" i="1"/>
  <c r="AA184" i="1"/>
  <c r="AB184" i="1" s="1"/>
  <c r="Z184" i="1"/>
  <c r="U184" i="1"/>
  <c r="AU183" i="1"/>
  <c r="AV183" i="1" s="1"/>
  <c r="AW183" i="1" s="1"/>
  <c r="AT183" i="1"/>
  <c r="AQ183" i="1"/>
  <c r="AH183" i="1"/>
  <c r="AI183" i="1" s="1"/>
  <c r="AJ183" i="1" s="1"/>
  <c r="AF183" i="1"/>
  <c r="AA183" i="1"/>
  <c r="Z183" i="1"/>
  <c r="U183" i="1"/>
  <c r="AU182" i="1"/>
  <c r="AV182" i="1" s="1"/>
  <c r="AW182" i="1" s="1"/>
  <c r="AT182" i="1"/>
  <c r="AQ182" i="1"/>
  <c r="AH182" i="1"/>
  <c r="AI182" i="1" s="1"/>
  <c r="AJ182" i="1" s="1"/>
  <c r="AF182" i="1"/>
  <c r="AA182" i="1"/>
  <c r="Z182" i="1"/>
  <c r="U182" i="1"/>
  <c r="AU181" i="1"/>
  <c r="AV181" i="1" s="1"/>
  <c r="AW181" i="1" s="1"/>
  <c r="AT181" i="1"/>
  <c r="AQ181" i="1"/>
  <c r="AJ181" i="1"/>
  <c r="AI181" i="1"/>
  <c r="AH181" i="1"/>
  <c r="AF181" i="1"/>
  <c r="AA181" i="1"/>
  <c r="Z181" i="1"/>
  <c r="U181" i="1"/>
  <c r="AT180" i="1"/>
  <c r="AQ180" i="1"/>
  <c r="AV180" i="1" s="1"/>
  <c r="AW180" i="1" s="1"/>
  <c r="AI180" i="1"/>
  <c r="AJ180" i="1" s="1"/>
  <c r="AH180" i="1"/>
  <c r="AF180" i="1"/>
  <c r="AA180" i="1"/>
  <c r="AU180" i="1" s="1"/>
  <c r="Z180" i="1"/>
  <c r="U180" i="1"/>
  <c r="AT179" i="1"/>
  <c r="AQ179" i="1"/>
  <c r="AI179" i="1"/>
  <c r="AJ179" i="1" s="1"/>
  <c r="AH179" i="1"/>
  <c r="AF179" i="1"/>
  <c r="AA179" i="1"/>
  <c r="AU179" i="1" s="1"/>
  <c r="Z179" i="1"/>
  <c r="U179" i="1"/>
  <c r="AU178" i="1"/>
  <c r="AT178" i="1"/>
  <c r="AQ178" i="1"/>
  <c r="AH178" i="1"/>
  <c r="AI178" i="1" s="1"/>
  <c r="AJ178" i="1" s="1"/>
  <c r="AF178" i="1"/>
  <c r="AB178" i="1"/>
  <c r="AA178" i="1"/>
  <c r="Z178" i="1"/>
  <c r="U178" i="1"/>
  <c r="AU177" i="1"/>
  <c r="AT177" i="1"/>
  <c r="AV177" i="1" s="1"/>
  <c r="AW177" i="1" s="1"/>
  <c r="AQ177" i="1"/>
  <c r="AH177" i="1"/>
  <c r="AI177" i="1" s="1"/>
  <c r="AJ177" i="1" s="1"/>
  <c r="AF177" i="1"/>
  <c r="AB177" i="1"/>
  <c r="AA177" i="1"/>
  <c r="Z177" i="1"/>
  <c r="U177" i="1"/>
  <c r="AU176" i="1"/>
  <c r="AV176" i="1" s="1"/>
  <c r="AW176" i="1" s="1"/>
  <c r="AT176" i="1"/>
  <c r="AQ176" i="1"/>
  <c r="AH176" i="1"/>
  <c r="AI176" i="1" s="1"/>
  <c r="AJ176" i="1" s="1"/>
  <c r="AF176" i="1"/>
  <c r="AA176" i="1"/>
  <c r="Z176" i="1"/>
  <c r="U176" i="1"/>
  <c r="AB176" i="1" s="1"/>
  <c r="AU175" i="1"/>
  <c r="AV175" i="1" s="1"/>
  <c r="AW175" i="1" s="1"/>
  <c r="AT175" i="1"/>
  <c r="AQ175" i="1"/>
  <c r="AH175" i="1"/>
  <c r="AI175" i="1" s="1"/>
  <c r="AJ175" i="1" s="1"/>
  <c r="AF175" i="1"/>
  <c r="AA175" i="1"/>
  <c r="Z175" i="1"/>
  <c r="U175" i="1"/>
  <c r="AU174" i="1"/>
  <c r="AV174" i="1" s="1"/>
  <c r="AW174" i="1" s="1"/>
  <c r="AT174" i="1"/>
  <c r="AQ174" i="1"/>
  <c r="AH174" i="1"/>
  <c r="AI174" i="1" s="1"/>
  <c r="AJ174" i="1" s="1"/>
  <c r="AF174" i="1"/>
  <c r="AA174" i="1"/>
  <c r="Z174" i="1"/>
  <c r="U174" i="1"/>
  <c r="AU173" i="1"/>
  <c r="AV173" i="1" s="1"/>
  <c r="AW173" i="1" s="1"/>
  <c r="AT173" i="1"/>
  <c r="AQ173" i="1"/>
  <c r="AI173" i="1"/>
  <c r="AJ173" i="1" s="1"/>
  <c r="AH173" i="1"/>
  <c r="AF173" i="1"/>
  <c r="AA173" i="1"/>
  <c r="AB173" i="1" s="1"/>
  <c r="Z173" i="1"/>
  <c r="U173" i="1"/>
  <c r="AU172" i="1"/>
  <c r="AV172" i="1" s="1"/>
  <c r="AW172" i="1" s="1"/>
  <c r="AT172" i="1"/>
  <c r="AQ172" i="1"/>
  <c r="AH172" i="1"/>
  <c r="AI172" i="1" s="1"/>
  <c r="AJ172" i="1" s="1"/>
  <c r="AF172" i="1"/>
  <c r="AA172" i="1"/>
  <c r="Z172" i="1"/>
  <c r="U172" i="1"/>
  <c r="AU171" i="1"/>
  <c r="AT171" i="1"/>
  <c r="AV171" i="1" s="1"/>
  <c r="AW171" i="1" s="1"/>
  <c r="AQ171" i="1"/>
  <c r="AH171" i="1"/>
  <c r="AI171" i="1" s="1"/>
  <c r="AJ171" i="1" s="1"/>
  <c r="AF171" i="1"/>
  <c r="AA171" i="1"/>
  <c r="Z171" i="1"/>
  <c r="U171" i="1"/>
  <c r="AV170" i="1"/>
  <c r="AW170" i="1" s="1"/>
  <c r="AU170" i="1"/>
  <c r="AT170" i="1"/>
  <c r="AQ170" i="1"/>
  <c r="AH170" i="1"/>
  <c r="AI170" i="1" s="1"/>
  <c r="AJ170" i="1" s="1"/>
  <c r="AF170" i="1"/>
  <c r="AA170" i="1"/>
  <c r="Z170" i="1"/>
  <c r="U170" i="1"/>
  <c r="AW169" i="1"/>
  <c r="AV169" i="1"/>
  <c r="AU169" i="1"/>
  <c r="AT169" i="1"/>
  <c r="AQ169" i="1"/>
  <c r="AH169" i="1"/>
  <c r="AI169" i="1" s="1"/>
  <c r="AJ169" i="1" s="1"/>
  <c r="AF169" i="1"/>
  <c r="AA169" i="1"/>
  <c r="Z169" i="1"/>
  <c r="U169" i="1"/>
  <c r="AV168" i="1"/>
  <c r="AW168" i="1" s="1"/>
  <c r="AT168" i="1"/>
  <c r="AQ168" i="1"/>
  <c r="AH168" i="1"/>
  <c r="AI168" i="1" s="1"/>
  <c r="AJ168" i="1" s="1"/>
  <c r="AF168" i="1"/>
  <c r="AA168" i="1"/>
  <c r="AU168" i="1" s="1"/>
  <c r="Z168" i="1"/>
  <c r="U168" i="1"/>
  <c r="AT167" i="1"/>
  <c r="AQ167" i="1"/>
  <c r="AJ167" i="1"/>
  <c r="AI167" i="1"/>
  <c r="AH167" i="1"/>
  <c r="AF167" i="1"/>
  <c r="AA167" i="1"/>
  <c r="AU167" i="1" s="1"/>
  <c r="Z167" i="1"/>
  <c r="U167" i="1"/>
  <c r="AU166" i="1"/>
  <c r="AT166" i="1"/>
  <c r="AQ166" i="1"/>
  <c r="AH166" i="1"/>
  <c r="AI166" i="1" s="1"/>
  <c r="AJ166" i="1" s="1"/>
  <c r="AF166" i="1"/>
  <c r="AB166" i="1"/>
  <c r="AA166" i="1"/>
  <c r="Z166" i="1"/>
  <c r="U166" i="1"/>
  <c r="AU165" i="1"/>
  <c r="AT165" i="1"/>
  <c r="AQ165" i="1"/>
  <c r="AH165" i="1"/>
  <c r="AI165" i="1" s="1"/>
  <c r="AJ165" i="1" s="1"/>
  <c r="AF165" i="1"/>
  <c r="AB165" i="1"/>
  <c r="AA165" i="1"/>
  <c r="Z165" i="1"/>
  <c r="U165" i="1"/>
  <c r="AU164" i="1"/>
  <c r="AT164" i="1"/>
  <c r="AQ164" i="1"/>
  <c r="AI164" i="1"/>
  <c r="AJ164" i="1" s="1"/>
  <c r="AH164" i="1"/>
  <c r="AF164" i="1"/>
  <c r="AA164" i="1"/>
  <c r="Z164" i="1"/>
  <c r="U164" i="1"/>
  <c r="AB164" i="1" s="1"/>
  <c r="AU163" i="1"/>
  <c r="AV163" i="1" s="1"/>
  <c r="AW163" i="1" s="1"/>
  <c r="AT163" i="1"/>
  <c r="AQ163" i="1"/>
  <c r="AI163" i="1"/>
  <c r="AJ163" i="1" s="1"/>
  <c r="AH163" i="1"/>
  <c r="AF163" i="1"/>
  <c r="AA163" i="1"/>
  <c r="Z163" i="1"/>
  <c r="U163" i="1"/>
  <c r="AU162" i="1"/>
  <c r="AV162" i="1" s="1"/>
  <c r="AW162" i="1" s="1"/>
  <c r="AT162" i="1"/>
  <c r="AQ162" i="1"/>
  <c r="AJ162" i="1"/>
  <c r="AI162" i="1"/>
  <c r="AH162" i="1"/>
  <c r="AF162" i="1"/>
  <c r="AA162" i="1"/>
  <c r="Z162" i="1"/>
  <c r="U162" i="1"/>
  <c r="AU161" i="1"/>
  <c r="AT161" i="1"/>
  <c r="AQ161" i="1"/>
  <c r="AJ161" i="1"/>
  <c r="AI161" i="1"/>
  <c r="AH161" i="1"/>
  <c r="AF161" i="1"/>
  <c r="AA161" i="1"/>
  <c r="Z161" i="1"/>
  <c r="U161" i="1"/>
  <c r="AU160" i="1"/>
  <c r="AV160" i="1" s="1"/>
  <c r="AW160" i="1" s="1"/>
  <c r="AT160" i="1"/>
  <c r="AQ160" i="1"/>
  <c r="AH160" i="1"/>
  <c r="AI160" i="1" s="1"/>
  <c r="AJ160" i="1" s="1"/>
  <c r="AF160" i="1"/>
  <c r="AA160" i="1"/>
  <c r="Z160" i="1"/>
  <c r="U160" i="1"/>
  <c r="AU159" i="1"/>
  <c r="AT159" i="1"/>
  <c r="AV159" i="1" s="1"/>
  <c r="AW159" i="1" s="1"/>
  <c r="AQ159" i="1"/>
  <c r="AH159" i="1"/>
  <c r="AI159" i="1" s="1"/>
  <c r="AJ159" i="1" s="1"/>
  <c r="AF159" i="1"/>
  <c r="AA159" i="1"/>
  <c r="AB159" i="1" s="1"/>
  <c r="Z159" i="1"/>
  <c r="U159" i="1"/>
  <c r="AU158" i="1"/>
  <c r="AV158" i="1" s="1"/>
  <c r="AW158" i="1" s="1"/>
  <c r="AT158" i="1"/>
  <c r="AQ158" i="1"/>
  <c r="AH158" i="1"/>
  <c r="AI158" i="1" s="1"/>
  <c r="AJ158" i="1" s="1"/>
  <c r="AF158" i="1"/>
  <c r="AA158" i="1"/>
  <c r="AB158" i="1" s="1"/>
  <c r="Z158" i="1"/>
  <c r="U158" i="1"/>
  <c r="AU157" i="1"/>
  <c r="AV157" i="1" s="1"/>
  <c r="AW157" i="1" s="1"/>
  <c r="AT157" i="1"/>
  <c r="AQ157" i="1"/>
  <c r="AH157" i="1"/>
  <c r="AI157" i="1" s="1"/>
  <c r="AJ157" i="1" s="1"/>
  <c r="AF157" i="1"/>
  <c r="AA157" i="1"/>
  <c r="AB157" i="1" s="1"/>
  <c r="Z157" i="1"/>
  <c r="U157" i="1"/>
  <c r="AT156" i="1"/>
  <c r="AQ156" i="1"/>
  <c r="AV156" i="1" s="1"/>
  <c r="AW156" i="1" s="1"/>
  <c r="AH156" i="1"/>
  <c r="AI156" i="1" s="1"/>
  <c r="AJ156" i="1" s="1"/>
  <c r="AF156" i="1"/>
  <c r="AA156" i="1"/>
  <c r="AU156" i="1" s="1"/>
  <c r="Z156" i="1"/>
  <c r="U156" i="1"/>
  <c r="AT155" i="1"/>
  <c r="AQ155" i="1"/>
  <c r="AH155" i="1"/>
  <c r="AI155" i="1" s="1"/>
  <c r="AJ155" i="1" s="1"/>
  <c r="AF155" i="1"/>
  <c r="AA155" i="1"/>
  <c r="AU155" i="1" s="1"/>
  <c r="Z155" i="1"/>
  <c r="U155" i="1"/>
  <c r="AU154" i="1"/>
  <c r="AT154" i="1"/>
  <c r="AQ154" i="1"/>
  <c r="AH154" i="1"/>
  <c r="AI154" i="1" s="1"/>
  <c r="AJ154" i="1" s="1"/>
  <c r="AF154" i="1"/>
  <c r="AB154" i="1"/>
  <c r="AA154" i="1"/>
  <c r="Z154" i="1"/>
  <c r="U154" i="1"/>
  <c r="AU153" i="1"/>
  <c r="AT153" i="1"/>
  <c r="AV153" i="1" s="1"/>
  <c r="AW153" i="1" s="1"/>
  <c r="AQ153" i="1"/>
  <c r="AH153" i="1"/>
  <c r="AI153" i="1" s="1"/>
  <c r="AJ153" i="1" s="1"/>
  <c r="AF153" i="1"/>
  <c r="AB153" i="1"/>
  <c r="AA153" i="1"/>
  <c r="Z153" i="1"/>
  <c r="U153" i="1"/>
  <c r="AU152" i="1"/>
  <c r="AV152" i="1" s="1"/>
  <c r="AW152" i="1" s="1"/>
  <c r="AT152" i="1"/>
  <c r="AQ152" i="1"/>
  <c r="AH152" i="1"/>
  <c r="AI152" i="1" s="1"/>
  <c r="AJ152" i="1" s="1"/>
  <c r="AF152" i="1"/>
  <c r="AA152" i="1"/>
  <c r="Z152" i="1"/>
  <c r="U152" i="1"/>
  <c r="AB152" i="1" s="1"/>
  <c r="AW151" i="1"/>
  <c r="AV151" i="1"/>
  <c r="AU151" i="1"/>
  <c r="AT151" i="1"/>
  <c r="AQ151" i="1"/>
  <c r="AH151" i="1"/>
  <c r="AI151" i="1" s="1"/>
  <c r="AJ151" i="1" s="1"/>
  <c r="AF151" i="1"/>
  <c r="AA151" i="1"/>
  <c r="Z151" i="1"/>
  <c r="U151" i="1"/>
  <c r="AU150" i="1"/>
  <c r="AV150" i="1" s="1"/>
  <c r="AW150" i="1" s="1"/>
  <c r="AT150" i="1"/>
  <c r="AQ150" i="1"/>
  <c r="AH150" i="1"/>
  <c r="AI150" i="1" s="1"/>
  <c r="AJ150" i="1" s="1"/>
  <c r="AF150" i="1"/>
  <c r="AA150" i="1"/>
  <c r="Z150" i="1"/>
  <c r="U150" i="1"/>
  <c r="AU149" i="1"/>
  <c r="AV149" i="1" s="1"/>
  <c r="AW149" i="1" s="1"/>
  <c r="AT149" i="1"/>
  <c r="AQ149" i="1"/>
  <c r="AI149" i="1"/>
  <c r="AJ149" i="1" s="1"/>
  <c r="AH149" i="1"/>
  <c r="AF149" i="1"/>
  <c r="AA149" i="1"/>
  <c r="Z149" i="1"/>
  <c r="U149" i="1"/>
  <c r="AV148" i="1"/>
  <c r="AW148" i="1" s="1"/>
  <c r="AU148" i="1"/>
  <c r="AT148" i="1"/>
  <c r="AQ148" i="1"/>
  <c r="AH148" i="1"/>
  <c r="AI148" i="1" s="1"/>
  <c r="AJ148" i="1" s="1"/>
  <c r="AF148" i="1"/>
  <c r="AA148" i="1"/>
  <c r="Z148" i="1"/>
  <c r="U148" i="1"/>
  <c r="AU147" i="1"/>
  <c r="AT147" i="1"/>
  <c r="AV147" i="1" s="1"/>
  <c r="AW147" i="1" s="1"/>
  <c r="AQ147" i="1"/>
  <c r="AH147" i="1"/>
  <c r="AI147" i="1" s="1"/>
  <c r="AJ147" i="1" s="1"/>
  <c r="AF147" i="1"/>
  <c r="AA147" i="1"/>
  <c r="Z147" i="1"/>
  <c r="U147" i="1"/>
  <c r="AU146" i="1"/>
  <c r="AT146" i="1"/>
  <c r="AQ146" i="1"/>
  <c r="AI146" i="1"/>
  <c r="AJ146" i="1" s="1"/>
  <c r="AH146" i="1"/>
  <c r="AF146" i="1"/>
  <c r="AA146" i="1"/>
  <c r="Z146" i="1"/>
  <c r="U146" i="1"/>
  <c r="AU145" i="1"/>
  <c r="AV145" i="1" s="1"/>
  <c r="AW145" i="1" s="1"/>
  <c r="AT145" i="1"/>
  <c r="AQ145" i="1"/>
  <c r="AI145" i="1"/>
  <c r="AJ145" i="1" s="1"/>
  <c r="AH145" i="1"/>
  <c r="AF145" i="1"/>
  <c r="AA145" i="1"/>
  <c r="Z145" i="1"/>
  <c r="U145" i="1"/>
  <c r="AT144" i="1"/>
  <c r="AQ144" i="1"/>
  <c r="AV144" i="1" s="1"/>
  <c r="AW144" i="1" s="1"/>
  <c r="AJ144" i="1"/>
  <c r="AI144" i="1"/>
  <c r="AH144" i="1"/>
  <c r="AF144" i="1"/>
  <c r="AA144" i="1"/>
  <c r="AU144" i="1" s="1"/>
  <c r="Z144" i="1"/>
  <c r="U144" i="1"/>
  <c r="AT143" i="1"/>
  <c r="AQ143" i="1"/>
  <c r="AH143" i="1"/>
  <c r="AI143" i="1" s="1"/>
  <c r="AJ143" i="1" s="1"/>
  <c r="AF143" i="1"/>
  <c r="AA143" i="1"/>
  <c r="AU143" i="1" s="1"/>
  <c r="Z143" i="1"/>
  <c r="U143" i="1"/>
  <c r="AU142" i="1"/>
  <c r="AV142" i="1" s="1"/>
  <c r="AW142" i="1" s="1"/>
  <c r="AT142" i="1"/>
  <c r="AQ142" i="1"/>
  <c r="AH142" i="1"/>
  <c r="AI142" i="1" s="1"/>
  <c r="AJ142" i="1" s="1"/>
  <c r="AF142" i="1"/>
  <c r="AA142" i="1"/>
  <c r="AB142" i="1" s="1"/>
  <c r="Z142" i="1"/>
  <c r="U142" i="1"/>
  <c r="AU141" i="1"/>
  <c r="AV141" i="1" s="1"/>
  <c r="AW141" i="1" s="1"/>
  <c r="AT141" i="1"/>
  <c r="AQ141" i="1"/>
  <c r="AH141" i="1"/>
  <c r="AI141" i="1" s="1"/>
  <c r="AJ141" i="1" s="1"/>
  <c r="AF141" i="1"/>
  <c r="AA141" i="1"/>
  <c r="AB141" i="1" s="1"/>
  <c r="Z141" i="1"/>
  <c r="U141" i="1"/>
  <c r="AU140" i="1"/>
  <c r="AV140" i="1" s="1"/>
  <c r="AW140" i="1" s="1"/>
  <c r="AT140" i="1"/>
  <c r="AQ140" i="1"/>
  <c r="AI140" i="1"/>
  <c r="AJ140" i="1" s="1"/>
  <c r="AH140" i="1"/>
  <c r="AF140" i="1"/>
  <c r="AA140" i="1"/>
  <c r="Z140" i="1"/>
  <c r="AB140" i="1" s="1"/>
  <c r="U140" i="1"/>
  <c r="AT139" i="1"/>
  <c r="AQ139" i="1"/>
  <c r="AH139" i="1"/>
  <c r="AI139" i="1" s="1"/>
  <c r="AJ139" i="1" s="1"/>
  <c r="AF139" i="1"/>
  <c r="AA139" i="1"/>
  <c r="Z139" i="1"/>
  <c r="U139" i="1"/>
  <c r="AT138" i="1"/>
  <c r="AQ138" i="1"/>
  <c r="AJ138" i="1"/>
  <c r="AH138" i="1"/>
  <c r="AI138" i="1" s="1"/>
  <c r="AF138" i="1"/>
  <c r="AA138" i="1"/>
  <c r="AU138" i="1" s="1"/>
  <c r="AV138" i="1" s="1"/>
  <c r="AW138" i="1" s="1"/>
  <c r="Z138" i="1"/>
  <c r="AB138" i="1" s="1"/>
  <c r="U138" i="1"/>
  <c r="AT137" i="1"/>
  <c r="AQ137" i="1"/>
  <c r="AI137" i="1"/>
  <c r="AJ137" i="1" s="1"/>
  <c r="AH137" i="1"/>
  <c r="AF137" i="1"/>
  <c r="AA137" i="1"/>
  <c r="AU137" i="1" s="1"/>
  <c r="AV137" i="1" s="1"/>
  <c r="AW137" i="1" s="1"/>
  <c r="Z137" i="1"/>
  <c r="U137" i="1"/>
  <c r="AT136" i="1"/>
  <c r="AQ136" i="1"/>
  <c r="AH136" i="1"/>
  <c r="AI136" i="1" s="1"/>
  <c r="AJ136" i="1" s="1"/>
  <c r="AF136" i="1"/>
  <c r="AA136" i="1"/>
  <c r="Z136" i="1"/>
  <c r="U136" i="1"/>
  <c r="AW135" i="1"/>
  <c r="AT135" i="1"/>
  <c r="AQ135" i="1"/>
  <c r="AH135" i="1"/>
  <c r="AI135" i="1" s="1"/>
  <c r="AJ135" i="1" s="1"/>
  <c r="AF135" i="1"/>
  <c r="AA135" i="1"/>
  <c r="AU135" i="1" s="1"/>
  <c r="AV135" i="1" s="1"/>
  <c r="Z135" i="1"/>
  <c r="U135" i="1"/>
  <c r="AW134" i="1"/>
  <c r="AV134" i="1"/>
  <c r="AU134" i="1"/>
  <c r="AT134" i="1"/>
  <c r="AQ134" i="1"/>
  <c r="AH134" i="1"/>
  <c r="AI134" i="1" s="1"/>
  <c r="AJ134" i="1" s="1"/>
  <c r="AF134" i="1"/>
  <c r="AA134" i="1"/>
  <c r="Z134" i="1"/>
  <c r="U134" i="1"/>
  <c r="AU133" i="1"/>
  <c r="AV133" i="1" s="1"/>
  <c r="AW133" i="1" s="1"/>
  <c r="AT133" i="1"/>
  <c r="AQ133" i="1"/>
  <c r="AH133" i="1"/>
  <c r="AI133" i="1" s="1"/>
  <c r="AJ133" i="1" s="1"/>
  <c r="AF133" i="1"/>
  <c r="AA133" i="1"/>
  <c r="Z133" i="1"/>
  <c r="AB133" i="1" s="1"/>
  <c r="U133" i="1"/>
  <c r="AV132" i="1"/>
  <c r="AW132" i="1" s="1"/>
  <c r="AT132" i="1"/>
  <c r="AQ132" i="1"/>
  <c r="AI132" i="1"/>
  <c r="AJ132" i="1" s="1"/>
  <c r="AH132" i="1"/>
  <c r="AF132" i="1"/>
  <c r="AA132" i="1"/>
  <c r="AU132" i="1" s="1"/>
  <c r="Z132" i="1"/>
  <c r="U132" i="1"/>
  <c r="AW131" i="1"/>
  <c r="AU131" i="1"/>
  <c r="AV131" i="1" s="1"/>
  <c r="AT131" i="1"/>
  <c r="AQ131" i="1"/>
  <c r="AI131" i="1"/>
  <c r="AJ131" i="1" s="1"/>
  <c r="AH131" i="1"/>
  <c r="AF131" i="1"/>
  <c r="AA131" i="1"/>
  <c r="AB131" i="1" s="1"/>
  <c r="Z131" i="1"/>
  <c r="U131" i="1"/>
  <c r="AU130" i="1"/>
  <c r="AV130" i="1" s="1"/>
  <c r="AW130" i="1" s="1"/>
  <c r="AT130" i="1"/>
  <c r="AQ130" i="1"/>
  <c r="AI130" i="1"/>
  <c r="AJ130" i="1" s="1"/>
  <c r="AH130" i="1"/>
  <c r="AF130" i="1"/>
  <c r="AA130" i="1"/>
  <c r="AB130" i="1" s="1"/>
  <c r="Z130" i="1"/>
  <c r="U130" i="1"/>
  <c r="AV129" i="1"/>
  <c r="AW129" i="1" s="1"/>
  <c r="AT129" i="1"/>
  <c r="AQ129" i="1"/>
  <c r="AJ129" i="1"/>
  <c r="AI129" i="1"/>
  <c r="AH129" i="1"/>
  <c r="AF129" i="1"/>
  <c r="AA129" i="1"/>
  <c r="AU129" i="1" s="1"/>
  <c r="Z129" i="1"/>
  <c r="U129" i="1"/>
  <c r="AU128" i="1"/>
  <c r="AT128" i="1"/>
  <c r="AQ128" i="1"/>
  <c r="AI128" i="1"/>
  <c r="AJ128" i="1" s="1"/>
  <c r="AH128" i="1"/>
  <c r="AF128" i="1"/>
  <c r="AA128" i="1"/>
  <c r="Z128" i="1"/>
  <c r="AB128" i="1" s="1"/>
  <c r="U128" i="1"/>
  <c r="AT127" i="1"/>
  <c r="AQ127" i="1"/>
  <c r="AI127" i="1"/>
  <c r="AJ127" i="1" s="1"/>
  <c r="AH127" i="1"/>
  <c r="AF127" i="1"/>
  <c r="AA127" i="1"/>
  <c r="Z127" i="1"/>
  <c r="U127" i="1"/>
  <c r="AT126" i="1"/>
  <c r="AQ126" i="1"/>
  <c r="AH126" i="1"/>
  <c r="AI126" i="1" s="1"/>
  <c r="AJ126" i="1" s="1"/>
  <c r="AF126" i="1"/>
  <c r="AA126" i="1"/>
  <c r="AU126" i="1" s="1"/>
  <c r="AV126" i="1" s="1"/>
  <c r="AW126" i="1" s="1"/>
  <c r="Z126" i="1"/>
  <c r="AB126" i="1" s="1"/>
  <c r="U126" i="1"/>
  <c r="AT125" i="1"/>
  <c r="AQ125" i="1"/>
  <c r="AI125" i="1"/>
  <c r="AJ125" i="1" s="1"/>
  <c r="AH125" i="1"/>
  <c r="AF125" i="1"/>
  <c r="AB125" i="1"/>
  <c r="AA125" i="1"/>
  <c r="AU125" i="1" s="1"/>
  <c r="AV125" i="1" s="1"/>
  <c r="AW125" i="1" s="1"/>
  <c r="Z125" i="1"/>
  <c r="U125" i="1"/>
  <c r="AV124" i="1"/>
  <c r="AW124" i="1" s="1"/>
  <c r="AU124" i="1"/>
  <c r="AT124" i="1"/>
  <c r="AQ124" i="1"/>
  <c r="AI124" i="1"/>
  <c r="AJ124" i="1" s="1"/>
  <c r="AH124" i="1"/>
  <c r="AF124" i="1"/>
  <c r="AB124" i="1"/>
  <c r="AA124" i="1"/>
  <c r="Z124" i="1"/>
  <c r="U124" i="1"/>
  <c r="AU123" i="1"/>
  <c r="AT123" i="1"/>
  <c r="AV123" i="1" s="1"/>
  <c r="AW123" i="1" s="1"/>
  <c r="AQ123" i="1"/>
  <c r="AH123" i="1"/>
  <c r="AI123" i="1" s="1"/>
  <c r="AJ123" i="1" s="1"/>
  <c r="AF123" i="1"/>
  <c r="AA123" i="1"/>
  <c r="Z123" i="1"/>
  <c r="U123" i="1"/>
  <c r="AT122" i="1"/>
  <c r="AQ122" i="1"/>
  <c r="AH122" i="1"/>
  <c r="AI122" i="1" s="1"/>
  <c r="AJ122" i="1" s="1"/>
  <c r="AF122" i="1"/>
  <c r="AA122" i="1"/>
  <c r="Z122" i="1"/>
  <c r="U122" i="1"/>
  <c r="AT121" i="1"/>
  <c r="AQ121" i="1"/>
  <c r="AJ121" i="1"/>
  <c r="AI121" i="1"/>
  <c r="AH121" i="1"/>
  <c r="AF121" i="1"/>
  <c r="AA121" i="1"/>
  <c r="AU121" i="1" s="1"/>
  <c r="AV121" i="1" s="1"/>
  <c r="AW121" i="1" s="1"/>
  <c r="Z121" i="1"/>
  <c r="U121" i="1"/>
  <c r="AT120" i="1"/>
  <c r="AQ120" i="1"/>
  <c r="AH120" i="1"/>
  <c r="AI120" i="1" s="1"/>
  <c r="AJ120" i="1" s="1"/>
  <c r="AF120" i="1"/>
  <c r="AA120" i="1"/>
  <c r="AU120" i="1" s="1"/>
  <c r="AV120" i="1" s="1"/>
  <c r="AW120" i="1" s="1"/>
  <c r="Z120" i="1"/>
  <c r="U120" i="1"/>
  <c r="AT119" i="1"/>
  <c r="AQ119" i="1"/>
  <c r="AH119" i="1"/>
  <c r="AI119" i="1" s="1"/>
  <c r="AJ119" i="1" s="1"/>
  <c r="AF119" i="1"/>
  <c r="AA119" i="1"/>
  <c r="AU119" i="1" s="1"/>
  <c r="AV119" i="1" s="1"/>
  <c r="AW119" i="1" s="1"/>
  <c r="Z119" i="1"/>
  <c r="U119" i="1"/>
  <c r="AT118" i="1"/>
  <c r="AQ118" i="1"/>
  <c r="AI118" i="1"/>
  <c r="AJ118" i="1" s="1"/>
  <c r="AH118" i="1"/>
  <c r="AF118" i="1"/>
  <c r="AA118" i="1"/>
  <c r="AU118" i="1" s="1"/>
  <c r="AV118" i="1" s="1"/>
  <c r="AW118" i="1" s="1"/>
  <c r="Z118" i="1"/>
  <c r="AB118" i="1" s="1"/>
  <c r="U118" i="1"/>
  <c r="AT117" i="1"/>
  <c r="AQ117" i="1"/>
  <c r="AH117" i="1"/>
  <c r="AI117" i="1" s="1"/>
  <c r="AJ117" i="1" s="1"/>
  <c r="AF117" i="1"/>
  <c r="AB117" i="1"/>
  <c r="AA117" i="1"/>
  <c r="AU117" i="1" s="1"/>
  <c r="AV117" i="1" s="1"/>
  <c r="AW117" i="1" s="1"/>
  <c r="Z117" i="1"/>
  <c r="U117" i="1"/>
  <c r="AT116" i="1"/>
  <c r="AQ116" i="1"/>
  <c r="AH116" i="1"/>
  <c r="AI116" i="1" s="1"/>
  <c r="AJ116" i="1" s="1"/>
  <c r="AF116" i="1"/>
  <c r="AB116" i="1"/>
  <c r="AA116" i="1"/>
  <c r="AU116" i="1" s="1"/>
  <c r="AV116" i="1" s="1"/>
  <c r="AW116" i="1" s="1"/>
  <c r="Z116" i="1"/>
  <c r="U116" i="1"/>
  <c r="AT115" i="1"/>
  <c r="AQ115" i="1"/>
  <c r="AI115" i="1"/>
  <c r="AJ115" i="1" s="1"/>
  <c r="AH115" i="1"/>
  <c r="AF115" i="1"/>
  <c r="AA115" i="1"/>
  <c r="AU115" i="1" s="1"/>
  <c r="AV115" i="1" s="1"/>
  <c r="AW115" i="1" s="1"/>
  <c r="Z115" i="1"/>
  <c r="U115" i="1"/>
  <c r="AT114" i="1"/>
  <c r="AQ114" i="1"/>
  <c r="AH114" i="1"/>
  <c r="AI114" i="1" s="1"/>
  <c r="AJ114" i="1" s="1"/>
  <c r="AF114" i="1"/>
  <c r="AA114" i="1"/>
  <c r="Z114" i="1"/>
  <c r="U114" i="1"/>
  <c r="AT113" i="1"/>
  <c r="AQ113" i="1"/>
  <c r="AH113" i="1"/>
  <c r="AI113" i="1" s="1"/>
  <c r="AJ113" i="1" s="1"/>
  <c r="AF113" i="1"/>
  <c r="AA113" i="1"/>
  <c r="Z113" i="1"/>
  <c r="U113" i="1"/>
  <c r="AW112" i="1"/>
  <c r="AV112" i="1"/>
  <c r="AU112" i="1"/>
  <c r="AT112" i="1"/>
  <c r="AQ112" i="1"/>
  <c r="AI112" i="1"/>
  <c r="AJ112" i="1" s="1"/>
  <c r="AH112" i="1"/>
  <c r="AF112" i="1"/>
  <c r="AA112" i="1"/>
  <c r="Z112" i="1"/>
  <c r="U112" i="1"/>
  <c r="AB112" i="1" s="1"/>
  <c r="AU111" i="1"/>
  <c r="AT111" i="1"/>
  <c r="AV111" i="1" s="1"/>
  <c r="AW111" i="1" s="1"/>
  <c r="AQ111" i="1"/>
  <c r="AH111" i="1"/>
  <c r="AI111" i="1" s="1"/>
  <c r="AJ111" i="1" s="1"/>
  <c r="AF111" i="1"/>
  <c r="AA111" i="1"/>
  <c r="Z111" i="1"/>
  <c r="U111" i="1"/>
  <c r="AT110" i="1"/>
  <c r="AQ110" i="1"/>
  <c r="AH110" i="1"/>
  <c r="AI110" i="1" s="1"/>
  <c r="AJ110" i="1" s="1"/>
  <c r="AF110" i="1"/>
  <c r="AA110" i="1"/>
  <c r="Z110" i="1"/>
  <c r="U110" i="1"/>
  <c r="AT109" i="1"/>
  <c r="AQ109" i="1"/>
  <c r="AJ109" i="1"/>
  <c r="AI109" i="1"/>
  <c r="AH109" i="1"/>
  <c r="AF109" i="1"/>
  <c r="AA109" i="1"/>
  <c r="AU109" i="1" s="1"/>
  <c r="AV109" i="1" s="1"/>
  <c r="AW109" i="1" s="1"/>
  <c r="Z109" i="1"/>
  <c r="AB109" i="1" s="1"/>
  <c r="U109" i="1"/>
  <c r="AT108" i="1"/>
  <c r="AQ108" i="1"/>
  <c r="AH108" i="1"/>
  <c r="AI108" i="1" s="1"/>
  <c r="AJ108" i="1" s="1"/>
  <c r="AF108" i="1"/>
  <c r="AA108" i="1"/>
  <c r="AU108" i="1" s="1"/>
  <c r="AV108" i="1" s="1"/>
  <c r="AW108" i="1" s="1"/>
  <c r="Z108" i="1"/>
  <c r="U108" i="1"/>
  <c r="AT107" i="1"/>
  <c r="AQ107" i="1"/>
  <c r="AH107" i="1"/>
  <c r="AI107" i="1" s="1"/>
  <c r="AJ107" i="1" s="1"/>
  <c r="AF107" i="1"/>
  <c r="AB107" i="1"/>
  <c r="AA107" i="1"/>
  <c r="AU107" i="1" s="1"/>
  <c r="AV107" i="1" s="1"/>
  <c r="AW107" i="1" s="1"/>
  <c r="Z107" i="1"/>
  <c r="U107" i="1"/>
  <c r="AT106" i="1"/>
  <c r="AQ106" i="1"/>
  <c r="AI106" i="1"/>
  <c r="AJ106" i="1" s="1"/>
  <c r="AH106" i="1"/>
  <c r="AF106" i="1"/>
  <c r="AA106" i="1"/>
  <c r="AU106" i="1" s="1"/>
  <c r="AV106" i="1" s="1"/>
  <c r="AW106" i="1" s="1"/>
  <c r="Z106" i="1"/>
  <c r="U106" i="1"/>
  <c r="AT105" i="1"/>
  <c r="AQ105" i="1"/>
  <c r="AH105" i="1"/>
  <c r="AI105" i="1" s="1"/>
  <c r="AJ105" i="1" s="1"/>
  <c r="AF105" i="1"/>
  <c r="AB105" i="1"/>
  <c r="AA105" i="1"/>
  <c r="AU105" i="1" s="1"/>
  <c r="AV105" i="1" s="1"/>
  <c r="AW105" i="1" s="1"/>
  <c r="Z105" i="1"/>
  <c r="U105" i="1"/>
  <c r="AT104" i="1"/>
  <c r="AQ104" i="1"/>
  <c r="AH104" i="1"/>
  <c r="AI104" i="1" s="1"/>
  <c r="AJ104" i="1" s="1"/>
  <c r="AF104" i="1"/>
  <c r="AB104" i="1"/>
  <c r="AA104" i="1"/>
  <c r="AU104" i="1" s="1"/>
  <c r="AV104" i="1" s="1"/>
  <c r="AW104" i="1" s="1"/>
  <c r="Z104" i="1"/>
  <c r="U104" i="1"/>
  <c r="AT103" i="1"/>
  <c r="AQ103" i="1"/>
  <c r="AI103" i="1"/>
  <c r="AJ103" i="1" s="1"/>
  <c r="AH103" i="1"/>
  <c r="AF103" i="1"/>
  <c r="AA103" i="1"/>
  <c r="AU103" i="1" s="1"/>
  <c r="AV103" i="1" s="1"/>
  <c r="AW103" i="1" s="1"/>
  <c r="Z103" i="1"/>
  <c r="U103" i="1"/>
  <c r="AT102" i="1"/>
  <c r="AQ102" i="1"/>
  <c r="AH102" i="1"/>
  <c r="AI102" i="1" s="1"/>
  <c r="AJ102" i="1" s="1"/>
  <c r="AF102" i="1"/>
  <c r="AA102" i="1"/>
  <c r="Z102" i="1"/>
  <c r="U102" i="1"/>
  <c r="AT101" i="1"/>
  <c r="AQ101" i="1"/>
  <c r="AH101" i="1"/>
  <c r="AI101" i="1" s="1"/>
  <c r="AJ101" i="1" s="1"/>
  <c r="AF101" i="1"/>
  <c r="AA101" i="1"/>
  <c r="Z101" i="1"/>
  <c r="U101" i="1"/>
  <c r="AW100" i="1"/>
  <c r="AV100" i="1"/>
  <c r="AU100" i="1"/>
  <c r="AT100" i="1"/>
  <c r="AQ100" i="1"/>
  <c r="AI100" i="1"/>
  <c r="AJ100" i="1" s="1"/>
  <c r="AH100" i="1"/>
  <c r="AF100" i="1"/>
  <c r="AB100" i="1"/>
  <c r="AA100" i="1"/>
  <c r="Z100" i="1"/>
  <c r="U100" i="1"/>
  <c r="AU99" i="1"/>
  <c r="AT99" i="1"/>
  <c r="AV99" i="1" s="1"/>
  <c r="AW99" i="1" s="1"/>
  <c r="AQ99" i="1"/>
  <c r="AH99" i="1"/>
  <c r="AI99" i="1" s="1"/>
  <c r="AJ99" i="1" s="1"/>
  <c r="AF99" i="1"/>
  <c r="AA99" i="1"/>
  <c r="Z99" i="1"/>
  <c r="U99" i="1"/>
  <c r="AT98" i="1"/>
  <c r="AQ98" i="1"/>
  <c r="AH98" i="1"/>
  <c r="AI98" i="1" s="1"/>
  <c r="AJ98" i="1" s="1"/>
  <c r="AF98" i="1"/>
  <c r="AA98" i="1"/>
  <c r="Z98" i="1"/>
  <c r="U98" i="1"/>
  <c r="AT97" i="1"/>
  <c r="AQ97" i="1"/>
  <c r="AJ97" i="1"/>
  <c r="AI97" i="1"/>
  <c r="AH97" i="1"/>
  <c r="AF97" i="1"/>
  <c r="AA97" i="1"/>
  <c r="AU97" i="1" s="1"/>
  <c r="AV97" i="1" s="1"/>
  <c r="AW97" i="1" s="1"/>
  <c r="Z97" i="1"/>
  <c r="AB97" i="1" s="1"/>
  <c r="U97" i="1"/>
  <c r="AT96" i="1"/>
  <c r="AQ96" i="1"/>
  <c r="AH96" i="1"/>
  <c r="AI96" i="1" s="1"/>
  <c r="AJ96" i="1" s="1"/>
  <c r="AF96" i="1"/>
  <c r="AA96" i="1"/>
  <c r="AU96" i="1" s="1"/>
  <c r="AV96" i="1" s="1"/>
  <c r="AW96" i="1" s="1"/>
  <c r="Z96" i="1"/>
  <c r="U96" i="1"/>
  <c r="AT95" i="1"/>
  <c r="AQ95" i="1"/>
  <c r="AH95" i="1"/>
  <c r="AI95" i="1" s="1"/>
  <c r="AJ95" i="1" s="1"/>
  <c r="AF95" i="1"/>
  <c r="AA95" i="1"/>
  <c r="AU95" i="1" s="1"/>
  <c r="AV95" i="1" s="1"/>
  <c r="AW95" i="1" s="1"/>
  <c r="Z95" i="1"/>
  <c r="U95" i="1"/>
  <c r="AT94" i="1"/>
  <c r="AQ94" i="1"/>
  <c r="AI94" i="1"/>
  <c r="AJ94" i="1" s="1"/>
  <c r="AH94" i="1"/>
  <c r="AF94" i="1"/>
  <c r="AA94" i="1"/>
  <c r="AU94" i="1" s="1"/>
  <c r="AV94" i="1" s="1"/>
  <c r="AW94" i="1" s="1"/>
  <c r="Z94" i="1"/>
  <c r="U94" i="1"/>
  <c r="AT93" i="1"/>
  <c r="AQ93" i="1"/>
  <c r="AH93" i="1"/>
  <c r="AI93" i="1" s="1"/>
  <c r="AJ93" i="1" s="1"/>
  <c r="AF93" i="1"/>
  <c r="AB93" i="1"/>
  <c r="AA93" i="1"/>
  <c r="AU93" i="1" s="1"/>
  <c r="AV93" i="1" s="1"/>
  <c r="AW93" i="1" s="1"/>
  <c r="Z93" i="1"/>
  <c r="U93" i="1"/>
  <c r="AT92" i="1"/>
  <c r="AQ92" i="1"/>
  <c r="AH92" i="1"/>
  <c r="AI92" i="1" s="1"/>
  <c r="AJ92" i="1" s="1"/>
  <c r="AF92" i="1"/>
  <c r="AB92" i="1"/>
  <c r="AA92" i="1"/>
  <c r="AU92" i="1" s="1"/>
  <c r="AV92" i="1" s="1"/>
  <c r="AW92" i="1" s="1"/>
  <c r="Z92" i="1"/>
  <c r="U92" i="1"/>
  <c r="AT91" i="1"/>
  <c r="AQ91" i="1"/>
  <c r="AI91" i="1"/>
  <c r="AJ91" i="1" s="1"/>
  <c r="AH91" i="1"/>
  <c r="AF91" i="1"/>
  <c r="AA91" i="1"/>
  <c r="AU91" i="1" s="1"/>
  <c r="AV91" i="1" s="1"/>
  <c r="AW91" i="1" s="1"/>
  <c r="Z91" i="1"/>
  <c r="U91" i="1"/>
  <c r="AT90" i="1"/>
  <c r="AQ90" i="1"/>
  <c r="AH90" i="1"/>
  <c r="AI90" i="1" s="1"/>
  <c r="AJ90" i="1" s="1"/>
  <c r="AF90" i="1"/>
  <c r="AA90" i="1"/>
  <c r="Z90" i="1"/>
  <c r="U90" i="1"/>
  <c r="AT89" i="1"/>
  <c r="AQ89" i="1"/>
  <c r="AH89" i="1"/>
  <c r="AI89" i="1" s="1"/>
  <c r="AJ89" i="1" s="1"/>
  <c r="AF89" i="1"/>
  <c r="AA89" i="1"/>
  <c r="Z89" i="1"/>
  <c r="U89" i="1"/>
  <c r="AW88" i="1"/>
  <c r="AV88" i="1"/>
  <c r="AU88" i="1"/>
  <c r="AT88" i="1"/>
  <c r="AQ88" i="1"/>
  <c r="AI88" i="1"/>
  <c r="AJ88" i="1" s="1"/>
  <c r="AH88" i="1"/>
  <c r="AF88" i="1"/>
  <c r="AA88" i="1"/>
  <c r="Z88" i="1"/>
  <c r="U88" i="1"/>
  <c r="AB88" i="1" s="1"/>
  <c r="AT87" i="1"/>
  <c r="AQ87" i="1"/>
  <c r="AH87" i="1"/>
  <c r="AI87" i="1" s="1"/>
  <c r="AJ87" i="1" s="1"/>
  <c r="AF87" i="1"/>
  <c r="AA87" i="1"/>
  <c r="Z87" i="1"/>
  <c r="U87" i="1"/>
  <c r="AT86" i="1"/>
  <c r="AQ86" i="1"/>
  <c r="AH86" i="1"/>
  <c r="AI86" i="1" s="1"/>
  <c r="AJ86" i="1" s="1"/>
  <c r="AF86" i="1"/>
  <c r="AA86" i="1"/>
  <c r="AU86" i="1" s="1"/>
  <c r="AV86" i="1" s="1"/>
  <c r="AW86" i="1" s="1"/>
  <c r="Z86" i="1"/>
  <c r="U86" i="1"/>
  <c r="AT85" i="1"/>
  <c r="AQ85" i="1"/>
  <c r="AI85" i="1"/>
  <c r="AJ85" i="1" s="1"/>
  <c r="AH85" i="1"/>
  <c r="AF85" i="1"/>
  <c r="AB85" i="1"/>
  <c r="AA85" i="1"/>
  <c r="AU85" i="1" s="1"/>
  <c r="AV85" i="1" s="1"/>
  <c r="AW85" i="1" s="1"/>
  <c r="Z85" i="1"/>
  <c r="U85" i="1"/>
  <c r="AT84" i="1"/>
  <c r="AQ84" i="1"/>
  <c r="AH84" i="1"/>
  <c r="AI84" i="1" s="1"/>
  <c r="AJ84" i="1" s="1"/>
  <c r="AF84" i="1"/>
  <c r="AA84" i="1"/>
  <c r="AU84" i="1" s="1"/>
  <c r="AV84" i="1" s="1"/>
  <c r="AW84" i="1" s="1"/>
  <c r="Z84" i="1"/>
  <c r="U84" i="1"/>
  <c r="AT83" i="1"/>
  <c r="AQ83" i="1"/>
  <c r="AH83" i="1"/>
  <c r="AI83" i="1" s="1"/>
  <c r="AJ83" i="1" s="1"/>
  <c r="AF83" i="1"/>
  <c r="AB83" i="1"/>
  <c r="AA83" i="1"/>
  <c r="AU83" i="1" s="1"/>
  <c r="AV83" i="1" s="1"/>
  <c r="AW83" i="1" s="1"/>
  <c r="Z83" i="1"/>
  <c r="U83" i="1"/>
  <c r="AT82" i="1"/>
  <c r="AQ82" i="1"/>
  <c r="AI82" i="1"/>
  <c r="AJ82" i="1" s="1"/>
  <c r="AH82" i="1"/>
  <c r="AF82" i="1"/>
  <c r="AB82" i="1"/>
  <c r="AA82" i="1"/>
  <c r="AU82" i="1" s="1"/>
  <c r="AV82" i="1" s="1"/>
  <c r="AW82" i="1" s="1"/>
  <c r="Z82" i="1"/>
  <c r="U82" i="1"/>
  <c r="AU81" i="1"/>
  <c r="AV81" i="1" s="1"/>
  <c r="AW81" i="1" s="1"/>
  <c r="AT81" i="1"/>
  <c r="AQ81" i="1"/>
  <c r="AH81" i="1"/>
  <c r="AI81" i="1" s="1"/>
  <c r="AJ81" i="1" s="1"/>
  <c r="AF81" i="1"/>
  <c r="AB81" i="1"/>
  <c r="AA81" i="1"/>
  <c r="Z81" i="1"/>
  <c r="U81" i="1"/>
  <c r="AT80" i="1"/>
  <c r="AQ80" i="1"/>
  <c r="AV80" i="1" s="1"/>
  <c r="AW80" i="1" s="1"/>
  <c r="AH80" i="1"/>
  <c r="AI80" i="1" s="1"/>
  <c r="AJ80" i="1" s="1"/>
  <c r="AF80" i="1"/>
  <c r="AB80" i="1"/>
  <c r="AA80" i="1"/>
  <c r="AU80" i="1" s="1"/>
  <c r="Z80" i="1"/>
  <c r="U80" i="1"/>
  <c r="AU79" i="1"/>
  <c r="AT79" i="1"/>
  <c r="AQ79" i="1"/>
  <c r="AJ79" i="1"/>
  <c r="AI79" i="1"/>
  <c r="AH79" i="1"/>
  <c r="AF79" i="1"/>
  <c r="AB79" i="1"/>
  <c r="AA79" i="1"/>
  <c r="Z79" i="1"/>
  <c r="U79" i="1"/>
  <c r="AU78" i="1"/>
  <c r="AV78" i="1" s="1"/>
  <c r="AW78" i="1" s="1"/>
  <c r="AT78" i="1"/>
  <c r="AQ78" i="1"/>
  <c r="AJ78" i="1"/>
  <c r="AI78" i="1"/>
  <c r="AH78" i="1"/>
  <c r="AF78" i="1"/>
  <c r="AB78" i="1"/>
  <c r="AA78" i="1"/>
  <c r="Z78" i="1"/>
  <c r="U78" i="1"/>
  <c r="AU77" i="1"/>
  <c r="AT77" i="1"/>
  <c r="AV77" i="1" s="1"/>
  <c r="AW77" i="1" s="1"/>
  <c r="AQ77" i="1"/>
  <c r="AI77" i="1"/>
  <c r="AJ77" i="1" s="1"/>
  <c r="AH77" i="1"/>
  <c r="AF77" i="1"/>
  <c r="AA77" i="1"/>
  <c r="Z77" i="1"/>
  <c r="U77" i="1"/>
  <c r="AB77" i="1" s="1"/>
  <c r="AU76" i="1"/>
  <c r="AV76" i="1" s="1"/>
  <c r="AW76" i="1" s="1"/>
  <c r="AT76" i="1"/>
  <c r="AQ76" i="1"/>
  <c r="AJ76" i="1"/>
  <c r="AI76" i="1"/>
  <c r="AH76" i="1"/>
  <c r="AF76" i="1"/>
  <c r="AA76" i="1"/>
  <c r="Z76" i="1"/>
  <c r="AB76" i="1" s="1"/>
  <c r="U76" i="1"/>
  <c r="AU75" i="1"/>
  <c r="AT75" i="1"/>
  <c r="AQ75" i="1"/>
  <c r="AJ75" i="1"/>
  <c r="AI75" i="1"/>
  <c r="AH75" i="1"/>
  <c r="AF75" i="1"/>
  <c r="AA75" i="1"/>
  <c r="Z75" i="1"/>
  <c r="U75" i="1"/>
  <c r="AU74" i="1"/>
  <c r="AV74" i="1" s="1"/>
  <c r="AW74" i="1" s="1"/>
  <c r="AT74" i="1"/>
  <c r="AQ74" i="1"/>
  <c r="AJ74" i="1"/>
  <c r="AI74" i="1"/>
  <c r="AH74" i="1"/>
  <c r="AF74" i="1"/>
  <c r="AA74" i="1"/>
  <c r="AB74" i="1" s="1"/>
  <c r="Z74" i="1"/>
  <c r="U74" i="1"/>
  <c r="AV73" i="1"/>
  <c r="AW73" i="1" s="1"/>
  <c r="AU73" i="1"/>
  <c r="AT73" i="1"/>
  <c r="AQ73" i="1"/>
  <c r="AJ73" i="1"/>
  <c r="AI73" i="1"/>
  <c r="AH73" i="1"/>
  <c r="AF73" i="1"/>
  <c r="AA73" i="1"/>
  <c r="AB73" i="1" s="1"/>
  <c r="Z73" i="1"/>
  <c r="U73" i="1"/>
  <c r="AV72" i="1"/>
  <c r="AW72" i="1" s="1"/>
  <c r="AU72" i="1"/>
  <c r="AT72" i="1"/>
  <c r="AQ72" i="1"/>
  <c r="AJ72" i="1"/>
  <c r="AH72" i="1"/>
  <c r="AI72" i="1" s="1"/>
  <c r="AF72" i="1"/>
  <c r="AA72" i="1"/>
  <c r="AB72" i="1" s="1"/>
  <c r="Z72" i="1"/>
  <c r="U72" i="1"/>
  <c r="AU71" i="1"/>
  <c r="AV71" i="1" s="1"/>
  <c r="AW71" i="1" s="1"/>
  <c r="AT71" i="1"/>
  <c r="AQ71" i="1"/>
  <c r="AI71" i="1"/>
  <c r="AJ71" i="1" s="1"/>
  <c r="AH71" i="1"/>
  <c r="AF71" i="1"/>
  <c r="AA71" i="1"/>
  <c r="AB71" i="1" s="1"/>
  <c r="Z71" i="1"/>
  <c r="U71" i="1"/>
  <c r="AU70" i="1"/>
  <c r="AV70" i="1" s="1"/>
  <c r="AW70" i="1" s="1"/>
  <c r="AT70" i="1"/>
  <c r="AQ70" i="1"/>
  <c r="AH70" i="1"/>
  <c r="AI70" i="1" s="1"/>
  <c r="AJ70" i="1" s="1"/>
  <c r="AF70" i="1"/>
  <c r="AA70" i="1"/>
  <c r="Z70" i="1"/>
  <c r="U70" i="1"/>
  <c r="AU69" i="1"/>
  <c r="AV69" i="1" s="1"/>
  <c r="AW69" i="1" s="1"/>
  <c r="AT69" i="1"/>
  <c r="AQ69" i="1"/>
  <c r="AH69" i="1"/>
  <c r="AI69" i="1" s="1"/>
  <c r="AJ69" i="1" s="1"/>
  <c r="AF69" i="1"/>
  <c r="AA69" i="1"/>
  <c r="AB69" i="1" s="1"/>
  <c r="Z69" i="1"/>
  <c r="U69" i="1"/>
  <c r="AV68" i="1"/>
  <c r="AW68" i="1" s="1"/>
  <c r="AT68" i="1"/>
  <c r="AQ68" i="1"/>
  <c r="AH68" i="1"/>
  <c r="AI68" i="1" s="1"/>
  <c r="AJ68" i="1" s="1"/>
  <c r="AF68" i="1"/>
  <c r="AA68" i="1"/>
  <c r="AU68" i="1" s="1"/>
  <c r="Z68" i="1"/>
  <c r="U68" i="1"/>
  <c r="AW67" i="1"/>
  <c r="AU67" i="1"/>
  <c r="AV67" i="1" s="1"/>
  <c r="AT67" i="1"/>
  <c r="AQ67" i="1"/>
  <c r="AH67" i="1"/>
  <c r="AI67" i="1" s="1"/>
  <c r="AJ67" i="1" s="1"/>
  <c r="AF67" i="1"/>
  <c r="AA67" i="1"/>
  <c r="AB67" i="1" s="1"/>
  <c r="Z67" i="1"/>
  <c r="U67" i="1"/>
  <c r="AU66" i="1"/>
  <c r="AV66" i="1" s="1"/>
  <c r="AW66" i="1" s="1"/>
  <c r="AT66" i="1"/>
  <c r="AQ66" i="1"/>
  <c r="AH66" i="1"/>
  <c r="AI66" i="1" s="1"/>
  <c r="AJ66" i="1" s="1"/>
  <c r="AF66" i="1"/>
  <c r="AA66" i="1"/>
  <c r="Z66" i="1"/>
  <c r="U66" i="1"/>
  <c r="AT65" i="1"/>
  <c r="AQ65" i="1"/>
  <c r="AI65" i="1"/>
  <c r="AJ65" i="1" s="1"/>
  <c r="AH65" i="1"/>
  <c r="AF65" i="1"/>
  <c r="AA65" i="1"/>
  <c r="Z65" i="1"/>
  <c r="U65" i="1"/>
  <c r="AW64" i="1"/>
  <c r="AV64" i="1"/>
  <c r="AU64" i="1"/>
  <c r="AT64" i="1"/>
  <c r="AQ64" i="1"/>
  <c r="AH64" i="1"/>
  <c r="AI64" i="1" s="1"/>
  <c r="AJ64" i="1" s="1"/>
  <c r="AF64" i="1"/>
  <c r="AB64" i="1"/>
  <c r="AA64" i="1"/>
  <c r="Z64" i="1"/>
  <c r="U64" i="1"/>
  <c r="AT63" i="1"/>
  <c r="AQ63" i="1"/>
  <c r="AH63" i="1"/>
  <c r="AI63" i="1" s="1"/>
  <c r="AJ63" i="1" s="1"/>
  <c r="AF63" i="1"/>
  <c r="AA63" i="1"/>
  <c r="Z63" i="1"/>
  <c r="U63" i="1"/>
  <c r="AT62" i="1"/>
  <c r="AQ62" i="1"/>
  <c r="AH62" i="1"/>
  <c r="AI62" i="1" s="1"/>
  <c r="AJ62" i="1" s="1"/>
  <c r="AF62" i="1"/>
  <c r="AA62" i="1"/>
  <c r="AU62" i="1" s="1"/>
  <c r="AV62" i="1" s="1"/>
  <c r="AW62" i="1" s="1"/>
  <c r="Z62" i="1"/>
  <c r="AB62" i="1" s="1"/>
  <c r="U62" i="1"/>
  <c r="AT61" i="1"/>
  <c r="AQ61" i="1"/>
  <c r="AI61" i="1"/>
  <c r="AJ61" i="1" s="1"/>
  <c r="AH61" i="1"/>
  <c r="AF61" i="1"/>
  <c r="AB61" i="1"/>
  <c r="AA61" i="1"/>
  <c r="AU61" i="1" s="1"/>
  <c r="AV61" i="1" s="1"/>
  <c r="AW61" i="1" s="1"/>
  <c r="Z61" i="1"/>
  <c r="U61" i="1"/>
  <c r="AT60" i="1"/>
  <c r="AQ60" i="1"/>
  <c r="AH60" i="1"/>
  <c r="AI60" i="1" s="1"/>
  <c r="AJ60" i="1" s="1"/>
  <c r="AF60" i="1"/>
  <c r="AB60" i="1"/>
  <c r="AA60" i="1"/>
  <c r="AU60" i="1" s="1"/>
  <c r="AV60" i="1" s="1"/>
  <c r="AW60" i="1" s="1"/>
  <c r="Z60" i="1"/>
  <c r="U60" i="1"/>
  <c r="AT59" i="1"/>
  <c r="AQ59" i="1"/>
  <c r="AH59" i="1"/>
  <c r="AI59" i="1" s="1"/>
  <c r="AJ59" i="1" s="1"/>
  <c r="AF59" i="1"/>
  <c r="AA59" i="1"/>
  <c r="AU59" i="1" s="1"/>
  <c r="AV59" i="1" s="1"/>
  <c r="AW59" i="1" s="1"/>
  <c r="Z59" i="1"/>
  <c r="U59" i="1"/>
  <c r="AT58" i="1"/>
  <c r="AQ58" i="1"/>
  <c r="AH58" i="1"/>
  <c r="AI58" i="1" s="1"/>
  <c r="AJ58" i="1" s="1"/>
  <c r="AF58" i="1"/>
  <c r="AB58" i="1"/>
  <c r="AA58" i="1"/>
  <c r="AU58" i="1" s="1"/>
  <c r="AV58" i="1" s="1"/>
  <c r="AW58" i="1" s="1"/>
  <c r="Z58" i="1"/>
  <c r="U58" i="1"/>
  <c r="AU57" i="1"/>
  <c r="AT57" i="1"/>
  <c r="AQ57" i="1"/>
  <c r="AV57" i="1" s="1"/>
  <c r="AW57" i="1" s="1"/>
  <c r="AH57" i="1"/>
  <c r="AI57" i="1" s="1"/>
  <c r="AJ57" i="1" s="1"/>
  <c r="AF57" i="1"/>
  <c r="AB57" i="1"/>
  <c r="AA57" i="1"/>
  <c r="Z57" i="1"/>
  <c r="U57" i="1"/>
  <c r="AT56" i="1"/>
  <c r="AV56" i="1" s="1"/>
  <c r="AW56" i="1" s="1"/>
  <c r="AQ56" i="1"/>
  <c r="AH56" i="1"/>
  <c r="AI56" i="1" s="1"/>
  <c r="AJ56" i="1" s="1"/>
  <c r="AF56" i="1"/>
  <c r="AB56" i="1"/>
  <c r="AA56" i="1"/>
  <c r="AU56" i="1" s="1"/>
  <c r="Z56" i="1"/>
  <c r="U56" i="1"/>
  <c r="AU55" i="1"/>
  <c r="AT55" i="1"/>
  <c r="AQ55" i="1"/>
  <c r="AH55" i="1"/>
  <c r="AI55" i="1" s="1"/>
  <c r="AJ55" i="1" s="1"/>
  <c r="AF55" i="1"/>
  <c r="AB55" i="1"/>
  <c r="AA55" i="1"/>
  <c r="Z55" i="1"/>
  <c r="U55" i="1"/>
  <c r="AU54" i="1"/>
  <c r="AV54" i="1" s="1"/>
  <c r="AW54" i="1" s="1"/>
  <c r="AT54" i="1"/>
  <c r="AQ54" i="1"/>
  <c r="AI54" i="1"/>
  <c r="AJ54" i="1" s="1"/>
  <c r="AH54" i="1"/>
  <c r="AF54" i="1"/>
  <c r="AB54" i="1"/>
  <c r="AA54" i="1"/>
  <c r="Z54" i="1"/>
  <c r="U54" i="1"/>
  <c r="AU53" i="1"/>
  <c r="AV53" i="1" s="1"/>
  <c r="AW53" i="1" s="1"/>
  <c r="AT53" i="1"/>
  <c r="AQ53" i="1"/>
  <c r="AH53" i="1"/>
  <c r="AI53" i="1" s="1"/>
  <c r="AJ53" i="1" s="1"/>
  <c r="AF53" i="1"/>
  <c r="AA53" i="1"/>
  <c r="Z53" i="1"/>
  <c r="U53" i="1"/>
  <c r="AB53" i="1" s="1"/>
  <c r="AU52" i="1"/>
  <c r="AT52" i="1"/>
  <c r="AQ52" i="1"/>
  <c r="AJ52" i="1"/>
  <c r="AI52" i="1"/>
  <c r="AH52" i="1"/>
  <c r="AF52" i="1"/>
  <c r="AA52" i="1"/>
  <c r="Z52" i="1"/>
  <c r="AB52" i="1" s="1"/>
  <c r="U52" i="1"/>
  <c r="AU51" i="1"/>
  <c r="AT51" i="1"/>
  <c r="AQ51" i="1"/>
  <c r="AJ51" i="1"/>
  <c r="AI51" i="1"/>
  <c r="AH51" i="1"/>
  <c r="AF51" i="1"/>
  <c r="AA51" i="1"/>
  <c r="Z51" i="1"/>
  <c r="U51" i="1"/>
  <c r="AU50" i="1"/>
  <c r="AV50" i="1" s="1"/>
  <c r="AW50" i="1" s="1"/>
  <c r="AT50" i="1"/>
  <c r="AQ50" i="1"/>
  <c r="AJ50" i="1"/>
  <c r="AI50" i="1"/>
  <c r="AH50" i="1"/>
  <c r="AF50" i="1"/>
  <c r="AA50" i="1"/>
  <c r="AB50" i="1" s="1"/>
  <c r="Z50" i="1"/>
  <c r="U50" i="1"/>
  <c r="AU49" i="1"/>
  <c r="AV49" i="1" s="1"/>
  <c r="AW49" i="1" s="1"/>
  <c r="AT49" i="1"/>
  <c r="AQ49" i="1"/>
  <c r="AJ49" i="1"/>
  <c r="AI49" i="1"/>
  <c r="AH49" i="1"/>
  <c r="AF49" i="1"/>
  <c r="AA49" i="1"/>
  <c r="AB49" i="1" s="1"/>
  <c r="Z49" i="1"/>
  <c r="U49" i="1"/>
  <c r="AU48" i="1"/>
  <c r="AV48" i="1" s="1"/>
  <c r="AW48" i="1" s="1"/>
  <c r="AT48" i="1"/>
  <c r="AQ48" i="1"/>
  <c r="AJ48" i="1"/>
  <c r="AH48" i="1"/>
  <c r="AI48" i="1" s="1"/>
  <c r="AF48" i="1"/>
  <c r="AA48" i="1"/>
  <c r="AB48" i="1" s="1"/>
  <c r="Z48" i="1"/>
  <c r="U48" i="1"/>
  <c r="AU47" i="1"/>
  <c r="AV47" i="1" s="1"/>
  <c r="AW47" i="1" s="1"/>
  <c r="AT47" i="1"/>
  <c r="AQ47" i="1"/>
  <c r="AI47" i="1"/>
  <c r="AJ47" i="1" s="1"/>
  <c r="AH47" i="1"/>
  <c r="AF47" i="1"/>
  <c r="AA47" i="1"/>
  <c r="AB47" i="1" s="1"/>
  <c r="Z47" i="1"/>
  <c r="U47" i="1"/>
  <c r="AW46" i="1"/>
  <c r="AV46" i="1"/>
  <c r="AU46" i="1"/>
  <c r="AT46" i="1"/>
  <c r="AQ46" i="1"/>
  <c r="AH46" i="1"/>
  <c r="AI46" i="1" s="1"/>
  <c r="AJ46" i="1" s="1"/>
  <c r="AF46" i="1"/>
  <c r="AA46" i="1"/>
  <c r="Z46" i="1"/>
  <c r="U46" i="1"/>
  <c r="AU45" i="1"/>
  <c r="AV45" i="1" s="1"/>
  <c r="AW45" i="1" s="1"/>
  <c r="AT45" i="1"/>
  <c r="AQ45" i="1"/>
  <c r="AH45" i="1"/>
  <c r="AI45" i="1" s="1"/>
  <c r="AJ45" i="1" s="1"/>
  <c r="AF45" i="1"/>
  <c r="AA45" i="1"/>
  <c r="AB45" i="1" s="1"/>
  <c r="Z45" i="1"/>
  <c r="U45" i="1"/>
  <c r="AV44" i="1"/>
  <c r="AW44" i="1" s="1"/>
  <c r="AT44" i="1"/>
  <c r="AQ44" i="1"/>
  <c r="AH44" i="1"/>
  <c r="AI44" i="1" s="1"/>
  <c r="AJ44" i="1" s="1"/>
  <c r="AF44" i="1"/>
  <c r="AA44" i="1"/>
  <c r="AU44" i="1" s="1"/>
  <c r="Z44" i="1"/>
  <c r="U44" i="1"/>
  <c r="AW43" i="1"/>
  <c r="AU43" i="1"/>
  <c r="AV43" i="1" s="1"/>
  <c r="AT43" i="1"/>
  <c r="AQ43" i="1"/>
  <c r="AH43" i="1"/>
  <c r="AI43" i="1" s="1"/>
  <c r="AJ43" i="1" s="1"/>
  <c r="AF43" i="1"/>
  <c r="AA43" i="1"/>
  <c r="Z43" i="1"/>
  <c r="U43" i="1"/>
  <c r="AU42" i="1"/>
  <c r="AV42" i="1" s="1"/>
  <c r="AW42" i="1" s="1"/>
  <c r="AT42" i="1"/>
  <c r="AQ42" i="1"/>
  <c r="AH42" i="1"/>
  <c r="AI42" i="1" s="1"/>
  <c r="AJ42" i="1" s="1"/>
  <c r="AF42" i="1"/>
  <c r="AA42" i="1"/>
  <c r="Z42" i="1"/>
  <c r="U42" i="1"/>
  <c r="AT41" i="1"/>
  <c r="AQ41" i="1"/>
  <c r="AI41" i="1"/>
  <c r="AJ41" i="1" s="1"/>
  <c r="AH41" i="1"/>
  <c r="AF41" i="1"/>
  <c r="AA41" i="1"/>
  <c r="Z41" i="1"/>
  <c r="U41" i="1"/>
  <c r="AW40" i="1"/>
  <c r="AV40" i="1"/>
  <c r="AU40" i="1"/>
  <c r="AT40" i="1"/>
  <c r="AQ40" i="1"/>
  <c r="AJ40" i="1"/>
  <c r="AI40" i="1"/>
  <c r="AH40" i="1"/>
  <c r="AF40" i="1"/>
  <c r="AA40" i="1"/>
  <c r="Z40" i="1"/>
  <c r="U40" i="1"/>
  <c r="AB40" i="1" s="1"/>
  <c r="AT39" i="1"/>
  <c r="AQ39" i="1"/>
  <c r="AH39" i="1"/>
  <c r="AI39" i="1" s="1"/>
  <c r="AJ39" i="1" s="1"/>
  <c r="AF39" i="1"/>
  <c r="AA39" i="1"/>
  <c r="Z39" i="1"/>
  <c r="U39" i="1"/>
  <c r="AT38" i="1"/>
  <c r="AQ38" i="1"/>
  <c r="AH38" i="1"/>
  <c r="AI38" i="1" s="1"/>
  <c r="AJ38" i="1" s="1"/>
  <c r="AF38" i="1"/>
  <c r="AB38" i="1"/>
  <c r="AA38" i="1"/>
  <c r="AU38" i="1" s="1"/>
  <c r="AV38" i="1" s="1"/>
  <c r="AW38" i="1" s="1"/>
  <c r="Z38" i="1"/>
  <c r="U38" i="1"/>
  <c r="AT37" i="1"/>
  <c r="AQ37" i="1"/>
  <c r="AI37" i="1"/>
  <c r="AJ37" i="1" s="1"/>
  <c r="AH37" i="1"/>
  <c r="AF37" i="1"/>
  <c r="AB37" i="1"/>
  <c r="AA37" i="1"/>
  <c r="AU37" i="1" s="1"/>
  <c r="AV37" i="1" s="1"/>
  <c r="AW37" i="1" s="1"/>
  <c r="Z37" i="1"/>
  <c r="U37" i="1"/>
  <c r="AT36" i="1"/>
  <c r="AQ36" i="1"/>
  <c r="AH36" i="1"/>
  <c r="AI36" i="1" s="1"/>
  <c r="AJ36" i="1" s="1"/>
  <c r="AF36" i="1"/>
  <c r="AA36" i="1"/>
  <c r="AU36" i="1" s="1"/>
  <c r="AV36" i="1" s="1"/>
  <c r="AW36" i="1" s="1"/>
  <c r="Z36" i="1"/>
  <c r="U36" i="1"/>
  <c r="AT35" i="1"/>
  <c r="AQ35" i="1"/>
  <c r="AH35" i="1"/>
  <c r="AI35" i="1" s="1"/>
  <c r="AJ35" i="1" s="1"/>
  <c r="AF35" i="1"/>
  <c r="AB35" i="1"/>
  <c r="AA35" i="1"/>
  <c r="AU35" i="1" s="1"/>
  <c r="AV35" i="1" s="1"/>
  <c r="AW35" i="1" s="1"/>
  <c r="Z35" i="1"/>
  <c r="U35" i="1"/>
  <c r="AT34" i="1"/>
  <c r="AQ34" i="1"/>
  <c r="AI34" i="1"/>
  <c r="AJ34" i="1" s="1"/>
  <c r="AH34" i="1"/>
  <c r="AF34" i="1"/>
  <c r="AB34" i="1"/>
  <c r="AA34" i="1"/>
  <c r="AU34" i="1" s="1"/>
  <c r="AV34" i="1" s="1"/>
  <c r="AW34" i="1" s="1"/>
  <c r="Z34" i="1"/>
  <c r="U34" i="1"/>
  <c r="AU33" i="1"/>
  <c r="AT33" i="1"/>
  <c r="AQ33" i="1"/>
  <c r="AV33" i="1" s="1"/>
  <c r="AW33" i="1" s="1"/>
  <c r="AH33" i="1"/>
  <c r="AI33" i="1" s="1"/>
  <c r="AJ33" i="1" s="1"/>
  <c r="AF33" i="1"/>
  <c r="AB33" i="1"/>
  <c r="AA33" i="1"/>
  <c r="Z33" i="1"/>
  <c r="U33" i="1"/>
  <c r="AT32" i="1"/>
  <c r="AQ32" i="1"/>
  <c r="AV32" i="1" s="1"/>
  <c r="AW32" i="1" s="1"/>
  <c r="AJ32" i="1"/>
  <c r="AI32" i="1"/>
  <c r="AH32" i="1"/>
  <c r="AF32" i="1"/>
  <c r="AB32" i="1"/>
  <c r="AA32" i="1"/>
  <c r="AU32" i="1" s="1"/>
  <c r="Z32" i="1"/>
  <c r="U32" i="1"/>
  <c r="AU31" i="1"/>
  <c r="AT31" i="1"/>
  <c r="AQ31" i="1"/>
  <c r="AJ31" i="1"/>
  <c r="AI31" i="1"/>
  <c r="AH31" i="1"/>
  <c r="AF31" i="1"/>
  <c r="AB31" i="1"/>
  <c r="AA31" i="1"/>
  <c r="Z31" i="1"/>
  <c r="U31" i="1"/>
  <c r="AU30" i="1"/>
  <c r="AV30" i="1" s="1"/>
  <c r="AW30" i="1" s="1"/>
  <c r="AT30" i="1"/>
  <c r="AQ30" i="1"/>
  <c r="AI30" i="1"/>
  <c r="AJ30" i="1" s="1"/>
  <c r="AH30" i="1"/>
  <c r="AF30" i="1"/>
  <c r="AB30" i="1"/>
  <c r="AA30" i="1"/>
  <c r="Z30" i="1"/>
  <c r="U30" i="1"/>
  <c r="AU29" i="1"/>
  <c r="AT29" i="1"/>
  <c r="AV29" i="1" s="1"/>
  <c r="AW29" i="1" s="1"/>
  <c r="AQ29" i="1"/>
  <c r="AH29" i="1"/>
  <c r="AI29" i="1" s="1"/>
  <c r="AJ29" i="1" s="1"/>
  <c r="AF29" i="1"/>
  <c r="AA29" i="1"/>
  <c r="Z29" i="1"/>
  <c r="AB29" i="1" s="1"/>
  <c r="U29" i="1"/>
  <c r="AU28" i="1"/>
  <c r="AV28" i="1" s="1"/>
  <c r="AW28" i="1" s="1"/>
  <c r="AT28" i="1"/>
  <c r="AQ28" i="1"/>
  <c r="AJ28" i="1"/>
  <c r="AI28" i="1"/>
  <c r="AH28" i="1"/>
  <c r="AF28" i="1"/>
  <c r="AA28" i="1"/>
  <c r="AB28" i="1" s="1"/>
  <c r="Z28" i="1"/>
  <c r="U28" i="1"/>
  <c r="AU27" i="1"/>
  <c r="AT27" i="1"/>
  <c r="AQ27" i="1"/>
  <c r="AJ27" i="1"/>
  <c r="AI27" i="1"/>
  <c r="AH27" i="1"/>
  <c r="AF27" i="1"/>
  <c r="AA27" i="1"/>
  <c r="AB27" i="1" s="1"/>
  <c r="Z27" i="1"/>
  <c r="U27" i="1"/>
  <c r="AV26" i="1"/>
  <c r="AW26" i="1" s="1"/>
  <c r="AU26" i="1"/>
  <c r="AT26" i="1"/>
  <c r="AQ26" i="1"/>
  <c r="AJ26" i="1"/>
  <c r="AI26" i="1"/>
  <c r="AH26" i="1"/>
  <c r="AF26" i="1"/>
  <c r="AA26" i="1"/>
  <c r="AB26" i="1" s="1"/>
  <c r="Z26" i="1"/>
  <c r="U26" i="1"/>
  <c r="AV25" i="1"/>
  <c r="AW25" i="1" s="1"/>
  <c r="AU25" i="1"/>
  <c r="AT25" i="1"/>
  <c r="AQ25" i="1"/>
  <c r="AH25" i="1"/>
  <c r="AI25" i="1" s="1"/>
  <c r="AJ25" i="1" s="1"/>
  <c r="AF25" i="1"/>
  <c r="AA25" i="1"/>
  <c r="Z25" i="1"/>
  <c r="AB25" i="1" s="1"/>
  <c r="U25" i="1"/>
  <c r="AU24" i="1"/>
  <c r="AV24" i="1" s="1"/>
  <c r="AW24" i="1" s="1"/>
  <c r="AT24" i="1"/>
  <c r="AQ24" i="1"/>
  <c r="AH24" i="1"/>
  <c r="AI24" i="1" s="1"/>
  <c r="AJ24" i="1" s="1"/>
  <c r="AF24" i="1"/>
  <c r="AA24" i="1"/>
  <c r="AB24" i="1" s="1"/>
  <c r="Z24" i="1"/>
  <c r="U24" i="1"/>
  <c r="AU23" i="1"/>
  <c r="AV23" i="1" s="1"/>
  <c r="AW23" i="1" s="1"/>
  <c r="AT23" i="1"/>
  <c r="AQ23" i="1"/>
  <c r="AH23" i="1"/>
  <c r="AI23" i="1" s="1"/>
  <c r="AJ23" i="1" s="1"/>
  <c r="AF23" i="1"/>
  <c r="AA23" i="1"/>
  <c r="Z23" i="1"/>
  <c r="U23" i="1"/>
  <c r="AT22" i="1"/>
  <c r="AQ22" i="1"/>
  <c r="AH22" i="1"/>
  <c r="AI22" i="1" s="1"/>
  <c r="AJ22" i="1" s="1"/>
  <c r="AF22" i="1"/>
  <c r="AA22" i="1"/>
  <c r="AU22" i="1" s="1"/>
  <c r="AV22" i="1" s="1"/>
  <c r="AW22" i="1" s="1"/>
  <c r="Z22" i="1"/>
  <c r="U22" i="1"/>
  <c r="AT21" i="1"/>
  <c r="AQ21" i="1"/>
  <c r="AH21" i="1"/>
  <c r="AI21" i="1" s="1"/>
  <c r="AJ21" i="1" s="1"/>
  <c r="AF21" i="1"/>
  <c r="AA21" i="1"/>
  <c r="AU21" i="1" s="1"/>
  <c r="AV21" i="1" s="1"/>
  <c r="AW21" i="1" s="1"/>
  <c r="Z21" i="1"/>
  <c r="U21" i="1"/>
  <c r="AT20" i="1"/>
  <c r="AQ20" i="1"/>
  <c r="AH20" i="1"/>
  <c r="AI20" i="1" s="1"/>
  <c r="AJ20" i="1" s="1"/>
  <c r="AF20" i="1"/>
  <c r="AB20" i="1"/>
  <c r="AA20" i="1"/>
  <c r="AU20" i="1" s="1"/>
  <c r="AV20" i="1" s="1"/>
  <c r="AW20" i="1" s="1"/>
  <c r="Z20" i="1"/>
  <c r="U20" i="1"/>
  <c r="AT19" i="1"/>
  <c r="AQ19" i="1"/>
  <c r="AH19" i="1"/>
  <c r="AI19" i="1" s="1"/>
  <c r="AJ19" i="1" s="1"/>
  <c r="AF19" i="1"/>
  <c r="AA19" i="1"/>
  <c r="AU19" i="1" s="1"/>
  <c r="AV19" i="1" s="1"/>
  <c r="AW19" i="1" s="1"/>
  <c r="Z19" i="1"/>
  <c r="U19" i="1"/>
  <c r="AU18" i="1"/>
  <c r="AV18" i="1" s="1"/>
  <c r="AW18" i="1" s="1"/>
  <c r="AT18" i="1"/>
  <c r="AQ18" i="1"/>
  <c r="AH18" i="1"/>
  <c r="AI18" i="1" s="1"/>
  <c r="AJ18" i="1" s="1"/>
  <c r="AF18" i="1"/>
  <c r="AB18" i="1"/>
  <c r="AA18" i="1"/>
  <c r="Z18" i="1"/>
  <c r="U18" i="1"/>
  <c r="AU17" i="1"/>
  <c r="AV17" i="1" s="1"/>
  <c r="AW17" i="1" s="1"/>
  <c r="AT17" i="1"/>
  <c r="AQ17" i="1"/>
  <c r="AH17" i="1"/>
  <c r="AI17" i="1" s="1"/>
  <c r="AJ17" i="1" s="1"/>
  <c r="AF17" i="1"/>
  <c r="AA17" i="1"/>
  <c r="Z17" i="1"/>
  <c r="AB17" i="1" s="1"/>
  <c r="U17" i="1"/>
  <c r="AU16" i="1"/>
  <c r="AT16" i="1"/>
  <c r="AQ16" i="1"/>
  <c r="AH16" i="1"/>
  <c r="AI16" i="1" s="1"/>
  <c r="AJ16" i="1" s="1"/>
  <c r="AF16" i="1"/>
  <c r="AA16" i="1"/>
  <c r="AB16" i="1" s="1"/>
  <c r="Z16" i="1"/>
  <c r="U16" i="1"/>
  <c r="AT15" i="1"/>
  <c r="AQ15" i="1"/>
  <c r="AJ15" i="1"/>
  <c r="AI15" i="1"/>
  <c r="AH15" i="1"/>
  <c r="AF15" i="1"/>
  <c r="AA15" i="1"/>
  <c r="AB15" i="1" s="1"/>
  <c r="Z15" i="1"/>
  <c r="U15" i="1"/>
  <c r="AT14" i="1"/>
  <c r="AQ14" i="1"/>
  <c r="AJ14" i="1"/>
  <c r="AI14" i="1"/>
  <c r="AH14" i="1"/>
  <c r="AF14" i="1"/>
  <c r="AB14" i="1"/>
  <c r="AA14" i="1"/>
  <c r="AU14" i="1" s="1"/>
  <c r="AV14" i="1" s="1"/>
  <c r="AW14" i="1" s="1"/>
  <c r="Z14" i="1"/>
  <c r="U14" i="1"/>
  <c r="AT13" i="1"/>
  <c r="AQ13" i="1"/>
  <c r="AH13" i="1"/>
  <c r="AI13" i="1" s="1"/>
  <c r="AJ13" i="1" s="1"/>
  <c r="AF13" i="1"/>
  <c r="AA13" i="1"/>
  <c r="AU13" i="1" s="1"/>
  <c r="AV13" i="1" s="1"/>
  <c r="AW13" i="1" s="1"/>
  <c r="Z13" i="1"/>
  <c r="U13" i="1"/>
  <c r="AT12" i="1"/>
  <c r="AQ12" i="1"/>
  <c r="AH12" i="1"/>
  <c r="AI12" i="1" s="1"/>
  <c r="AJ12" i="1" s="1"/>
  <c r="AF12" i="1"/>
  <c r="AA12" i="1"/>
  <c r="AU12" i="1" s="1"/>
  <c r="AV12" i="1" s="1"/>
  <c r="AW12" i="1" s="1"/>
  <c r="Z12" i="1"/>
  <c r="AB12" i="1" s="1"/>
  <c r="U12" i="1"/>
  <c r="AT11" i="1"/>
  <c r="AQ11" i="1"/>
  <c r="AI11" i="1"/>
  <c r="AJ11" i="1" s="1"/>
  <c r="AH11" i="1"/>
  <c r="AF11" i="1"/>
  <c r="AA11" i="1"/>
  <c r="AU11" i="1" s="1"/>
  <c r="AV11" i="1" s="1"/>
  <c r="AW11" i="1" s="1"/>
  <c r="Z11" i="1"/>
  <c r="AB11" i="1" s="1"/>
  <c r="U11" i="1"/>
  <c r="AV10" i="1"/>
  <c r="AW10" i="1" s="1"/>
  <c r="AT10" i="1"/>
  <c r="AQ10" i="1"/>
  <c r="AI10" i="1"/>
  <c r="AJ10" i="1" s="1"/>
  <c r="AH10" i="1"/>
  <c r="AF10" i="1"/>
  <c r="AA10" i="1"/>
  <c r="AU10" i="1" s="1"/>
  <c r="Z10" i="1"/>
  <c r="AB10" i="1" s="1"/>
  <c r="U10" i="1"/>
  <c r="AW9" i="1"/>
  <c r="AT9" i="1"/>
  <c r="AQ9" i="1"/>
  <c r="AH9" i="1"/>
  <c r="AI9" i="1" s="1"/>
  <c r="AJ9" i="1" s="1"/>
  <c r="AF9" i="1"/>
  <c r="AA9" i="1"/>
  <c r="AU9" i="1" s="1"/>
  <c r="AV9" i="1" s="1"/>
  <c r="Z9" i="1"/>
  <c r="U9" i="1"/>
  <c r="AT8" i="1"/>
  <c r="AQ8" i="1"/>
  <c r="AH8" i="1"/>
  <c r="AI8" i="1" s="1"/>
  <c r="AJ8" i="1" s="1"/>
  <c r="AF8" i="1"/>
  <c r="AB8" i="1"/>
  <c r="AA8" i="1"/>
  <c r="AU8" i="1" s="1"/>
  <c r="Z8" i="1"/>
  <c r="U8" i="1"/>
  <c r="AT7" i="1"/>
  <c r="AQ7" i="1"/>
  <c r="AI7" i="1"/>
  <c r="AJ7" i="1" s="1"/>
  <c r="AH7" i="1"/>
  <c r="AF7" i="1"/>
  <c r="AA7" i="1"/>
  <c r="AB7" i="1" s="1"/>
  <c r="Z7" i="1"/>
  <c r="U7" i="1"/>
  <c r="AU6" i="1"/>
  <c r="AT6" i="1"/>
  <c r="AV6" i="1" s="1"/>
  <c r="AW6" i="1" s="1"/>
  <c r="AQ6" i="1"/>
  <c r="AI6" i="1"/>
  <c r="AJ6" i="1" s="1"/>
  <c r="AH6" i="1"/>
  <c r="AF6" i="1"/>
  <c r="AB6" i="1"/>
  <c r="AA6" i="1"/>
  <c r="Z6" i="1"/>
  <c r="U6" i="1"/>
  <c r="AU5" i="1"/>
  <c r="AV5" i="1" s="1"/>
  <c r="AW5" i="1" s="1"/>
  <c r="AT5" i="1"/>
  <c r="AQ5" i="1"/>
  <c r="AH5" i="1"/>
  <c r="AI5" i="1" s="1"/>
  <c r="AJ5" i="1" s="1"/>
  <c r="AF5" i="1"/>
  <c r="AA5" i="1"/>
  <c r="Z5" i="1"/>
  <c r="AB5" i="1" s="1"/>
  <c r="U5" i="1"/>
  <c r="AU4" i="1"/>
  <c r="AV4" i="1" s="1"/>
  <c r="AW4" i="1" s="1"/>
  <c r="AT4" i="1"/>
  <c r="AQ4" i="1"/>
  <c r="AH4" i="1"/>
  <c r="AI4" i="1" s="1"/>
  <c r="AJ4" i="1" s="1"/>
  <c r="AF4" i="1"/>
  <c r="AA4" i="1"/>
  <c r="AB4" i="1" s="1"/>
  <c r="Z4" i="1"/>
  <c r="U4" i="1"/>
  <c r="AU3" i="1"/>
  <c r="AV3" i="1" s="1"/>
  <c r="AW3" i="1" s="1"/>
  <c r="AT3" i="1"/>
  <c r="AQ3" i="1"/>
  <c r="AJ3" i="1"/>
  <c r="AI3" i="1"/>
  <c r="AH3" i="1"/>
  <c r="AF3" i="1"/>
  <c r="AA3" i="1"/>
  <c r="AB3" i="1" s="1"/>
  <c r="Z3" i="1"/>
  <c r="U3" i="1"/>
  <c r="AU2" i="1"/>
  <c r="AV2" i="1" s="1"/>
  <c r="AW2" i="1" s="1"/>
  <c r="AT2" i="1"/>
  <c r="AQ2" i="1"/>
  <c r="AJ2" i="1"/>
  <c r="AI2" i="1"/>
  <c r="AH2" i="1"/>
  <c r="AF2" i="1"/>
  <c r="AB2" i="1"/>
  <c r="AA2" i="1"/>
  <c r="Z2" i="1"/>
  <c r="U2" i="1"/>
  <c r="AB22" i="1" l="1"/>
  <c r="AB43" i="1"/>
  <c r="AB90" i="1"/>
  <c r="AU90" i="1"/>
  <c r="AV90" i="1" s="1"/>
  <c r="AW90" i="1" s="1"/>
  <c r="AB114" i="1"/>
  <c r="AU114" i="1"/>
  <c r="AV114" i="1" s="1"/>
  <c r="AW114" i="1" s="1"/>
  <c r="AB137" i="1"/>
  <c r="AB110" i="1"/>
  <c r="AU110" i="1"/>
  <c r="AV110" i="1" s="1"/>
  <c r="AW110" i="1" s="1"/>
  <c r="AV52" i="1"/>
  <c r="AW52" i="1" s="1"/>
  <c r="AB86" i="1"/>
  <c r="AB96" i="1"/>
  <c r="AB99" i="1"/>
  <c r="AB103" i="1"/>
  <c r="AB120" i="1"/>
  <c r="AB123" i="1"/>
  <c r="AU7" i="1"/>
  <c r="AV7" i="1" s="1"/>
  <c r="AW7" i="1" s="1"/>
  <c r="AB13" i="1"/>
  <c r="AB21" i="1"/>
  <c r="AB42" i="1"/>
  <c r="AB106" i="1"/>
  <c r="AV161" i="1"/>
  <c r="AW161" i="1" s="1"/>
  <c r="AB46" i="1"/>
  <c r="AV51" i="1"/>
  <c r="AW51" i="1" s="1"/>
  <c r="AB63" i="1"/>
  <c r="AU63" i="1"/>
  <c r="AV63" i="1" s="1"/>
  <c r="AW63" i="1" s="1"/>
  <c r="AB89" i="1"/>
  <c r="AU89" i="1"/>
  <c r="AV89" i="1" s="1"/>
  <c r="AW89" i="1" s="1"/>
  <c r="AB113" i="1"/>
  <c r="AU113" i="1"/>
  <c r="AV113" i="1" s="1"/>
  <c r="AW113" i="1" s="1"/>
  <c r="AU136" i="1"/>
  <c r="AV136" i="1" s="1"/>
  <c r="AW136" i="1" s="1"/>
  <c r="AB136" i="1"/>
  <c r="AB9" i="1"/>
  <c r="AB41" i="1"/>
  <c r="AU41" i="1"/>
  <c r="AV41" i="1" s="1"/>
  <c r="AW41" i="1" s="1"/>
  <c r="AB139" i="1"/>
  <c r="AU139" i="1"/>
  <c r="AV139" i="1" s="1"/>
  <c r="AW139" i="1" s="1"/>
  <c r="AV8" i="1"/>
  <c r="AW8" i="1" s="1"/>
  <c r="AB95" i="1"/>
  <c r="AB102" i="1"/>
  <c r="AU102" i="1"/>
  <c r="AV102" i="1" s="1"/>
  <c r="AW102" i="1" s="1"/>
  <c r="AB119" i="1"/>
  <c r="AV154" i="1"/>
  <c r="AW154" i="1" s="1"/>
  <c r="AB98" i="1"/>
  <c r="AU98" i="1"/>
  <c r="AV98" i="1" s="1"/>
  <c r="AW98" i="1" s="1"/>
  <c r="AB122" i="1"/>
  <c r="AU122" i="1"/>
  <c r="AV122" i="1" s="1"/>
  <c r="AW122" i="1" s="1"/>
  <c r="AV165" i="1"/>
  <c r="AW165" i="1" s="1"/>
  <c r="AB183" i="1"/>
  <c r="AB59" i="1"/>
  <c r="AB66" i="1"/>
  <c r="AB91" i="1"/>
  <c r="AB108" i="1"/>
  <c r="AB111" i="1"/>
  <c r="AB115" i="1"/>
  <c r="AV184" i="1"/>
  <c r="AW184" i="1" s="1"/>
  <c r="AU15" i="1"/>
  <c r="AV15" i="1" s="1"/>
  <c r="AW15" i="1" s="1"/>
  <c r="AV16" i="1"/>
  <c r="AW16" i="1" s="1"/>
  <c r="AB23" i="1"/>
  <c r="AV27" i="1"/>
  <c r="AW27" i="1" s="1"/>
  <c r="AB36" i="1"/>
  <c r="AB39" i="1"/>
  <c r="AU39" i="1"/>
  <c r="AV39" i="1" s="1"/>
  <c r="AW39" i="1" s="1"/>
  <c r="AB70" i="1"/>
  <c r="AV75" i="1"/>
  <c r="AW75" i="1" s="1"/>
  <c r="AB84" i="1"/>
  <c r="AB87" i="1"/>
  <c r="AU87" i="1"/>
  <c r="AV87" i="1" s="1"/>
  <c r="AW87" i="1" s="1"/>
  <c r="AB94" i="1"/>
  <c r="AB134" i="1"/>
  <c r="AV164" i="1"/>
  <c r="AW164" i="1" s="1"/>
  <c r="AB172" i="1"/>
  <c r="AB19" i="1"/>
  <c r="AB65" i="1"/>
  <c r="AU65" i="1"/>
  <c r="AV65" i="1" s="1"/>
  <c r="AW65" i="1" s="1"/>
  <c r="AB101" i="1"/>
  <c r="AU101" i="1"/>
  <c r="AV101" i="1" s="1"/>
  <c r="AW101" i="1" s="1"/>
  <c r="AB121" i="1"/>
  <c r="AV146" i="1"/>
  <c r="AW146" i="1" s="1"/>
  <c r="AB127" i="1"/>
  <c r="AU127" i="1"/>
  <c r="AV127" i="1" s="1"/>
  <c r="AW127" i="1" s="1"/>
  <c r="AV199" i="1"/>
  <c r="AW199" i="1" s="1"/>
  <c r="AV206" i="1"/>
  <c r="AW206" i="1" s="1"/>
  <c r="AB208" i="1"/>
  <c r="AV218" i="1"/>
  <c r="AW218" i="1" s="1"/>
  <c r="AV235" i="1"/>
  <c r="AW235" i="1" s="1"/>
  <c r="AV245" i="1"/>
  <c r="AW245" i="1" s="1"/>
  <c r="AB326" i="1"/>
  <c r="AV211" i="1"/>
  <c r="AW211" i="1" s="1"/>
  <c r="AV223" i="1"/>
  <c r="AW223" i="1" s="1"/>
  <c r="AV281" i="1"/>
  <c r="AW281" i="1" s="1"/>
  <c r="AB301" i="1"/>
  <c r="AU301" i="1"/>
  <c r="AV301" i="1" s="1"/>
  <c r="AW301" i="1" s="1"/>
  <c r="AV198" i="1"/>
  <c r="AW198" i="1" s="1"/>
  <c r="AV234" i="1"/>
  <c r="AW234" i="1" s="1"/>
  <c r="AV244" i="1"/>
  <c r="AW244" i="1" s="1"/>
  <c r="AB276" i="1"/>
  <c r="AV128" i="1"/>
  <c r="AW128" i="1" s="1"/>
  <c r="AB171" i="1"/>
  <c r="AV185" i="1"/>
  <c r="AW185" i="1" s="1"/>
  <c r="AB207" i="1"/>
  <c r="AV210" i="1"/>
  <c r="AW210" i="1" s="1"/>
  <c r="AV222" i="1"/>
  <c r="AW222" i="1" s="1"/>
  <c r="AV280" i="1"/>
  <c r="AW280" i="1" s="1"/>
  <c r="AB286" i="1"/>
  <c r="AB325" i="1"/>
  <c r="AU325" i="1"/>
  <c r="AV325" i="1" s="1"/>
  <c r="AW325" i="1" s="1"/>
  <c r="AU336" i="1"/>
  <c r="AV336" i="1" s="1"/>
  <c r="AW336" i="1" s="1"/>
  <c r="AB336" i="1"/>
  <c r="AB353" i="1"/>
  <c r="AV417" i="1"/>
  <c r="AW417" i="1" s="1"/>
  <c r="AB44" i="1"/>
  <c r="AB68" i="1"/>
  <c r="AB135" i="1"/>
  <c r="AB149" i="1"/>
  <c r="AV166" i="1"/>
  <c r="AW166" i="1" s="1"/>
  <c r="AB169" i="1"/>
  <c r="AB170" i="1"/>
  <c r="AB182" i="1"/>
  <c r="AV197" i="1"/>
  <c r="AW197" i="1" s="1"/>
  <c r="AV233" i="1"/>
  <c r="AW233" i="1" s="1"/>
  <c r="AV284" i="1"/>
  <c r="AW284" i="1" s="1"/>
  <c r="AB298" i="1"/>
  <c r="AB322" i="1"/>
  <c r="AV31" i="1"/>
  <c r="AW31" i="1" s="1"/>
  <c r="AV55" i="1"/>
  <c r="AW55" i="1" s="1"/>
  <c r="AV79" i="1"/>
  <c r="AW79" i="1" s="1"/>
  <c r="AB148" i="1"/>
  <c r="AB194" i="1"/>
  <c r="AV209" i="1"/>
  <c r="AW209" i="1" s="1"/>
  <c r="AV221" i="1"/>
  <c r="AW221" i="1" s="1"/>
  <c r="AV243" i="1"/>
  <c r="AW243" i="1" s="1"/>
  <c r="AB256" i="1"/>
  <c r="AB132" i="1"/>
  <c r="AB181" i="1"/>
  <c r="AB206" i="1"/>
  <c r="AV248" i="1"/>
  <c r="AW248" i="1" s="1"/>
  <c r="AB267" i="1"/>
  <c r="AU267" i="1"/>
  <c r="AV267" i="1" s="1"/>
  <c r="AW267" i="1" s="1"/>
  <c r="AV330" i="1"/>
  <c r="AW330" i="1" s="1"/>
  <c r="AU383" i="1"/>
  <c r="AV383" i="1" s="1"/>
  <c r="AW383" i="1" s="1"/>
  <c r="AB383" i="1"/>
  <c r="AB51" i="1"/>
  <c r="AB75" i="1"/>
  <c r="AB147" i="1"/>
  <c r="AB193" i="1"/>
  <c r="AV283" i="1"/>
  <c r="AW283" i="1" s="1"/>
  <c r="AV290" i="1"/>
  <c r="AW290" i="1" s="1"/>
  <c r="AV319" i="1"/>
  <c r="AW319" i="1" s="1"/>
  <c r="AB129" i="1"/>
  <c r="AB145" i="1"/>
  <c r="AB146" i="1"/>
  <c r="AB161" i="1"/>
  <c r="AB185" i="1"/>
  <c r="AB205" i="1"/>
  <c r="AV247" i="1"/>
  <c r="AW247" i="1" s="1"/>
  <c r="AB297" i="1"/>
  <c r="AB311" i="1"/>
  <c r="AV366" i="1"/>
  <c r="AW366" i="1" s="1"/>
  <c r="AB160" i="1"/>
  <c r="AV188" i="1"/>
  <c r="AW188" i="1" s="1"/>
  <c r="AU266" i="1"/>
  <c r="AV266" i="1" s="1"/>
  <c r="AW266" i="1" s="1"/>
  <c r="AB266" i="1"/>
  <c r="AB340" i="1"/>
  <c r="AU340" i="1"/>
  <c r="AV340" i="1" s="1"/>
  <c r="AW340" i="1" s="1"/>
  <c r="AU358" i="1"/>
  <c r="AV358" i="1" s="1"/>
  <c r="AW358" i="1" s="1"/>
  <c r="AB358" i="1"/>
  <c r="AB359" i="1"/>
  <c r="AU359" i="1"/>
  <c r="AV359" i="1" s="1"/>
  <c r="AW359" i="1" s="1"/>
  <c r="AV372" i="1"/>
  <c r="AW372" i="1" s="1"/>
  <c r="AB394" i="1"/>
  <c r="AV496" i="1"/>
  <c r="AW496" i="1" s="1"/>
  <c r="AV506" i="1"/>
  <c r="AW506" i="1" s="1"/>
  <c r="AV392" i="1"/>
  <c r="AW392" i="1" s="1"/>
  <c r="AU408" i="1"/>
  <c r="AV408" i="1" s="1"/>
  <c r="AW408" i="1" s="1"/>
  <c r="AB408" i="1"/>
  <c r="AU279" i="1"/>
  <c r="AV279" i="1" s="1"/>
  <c r="AW279" i="1" s="1"/>
  <c r="AV318" i="1"/>
  <c r="AW318" i="1" s="1"/>
  <c r="AV371" i="1"/>
  <c r="AW371" i="1" s="1"/>
  <c r="AV420" i="1"/>
  <c r="AW420" i="1" s="1"/>
  <c r="AV472" i="1"/>
  <c r="AW472" i="1" s="1"/>
  <c r="AV480" i="1"/>
  <c r="AW480" i="1" s="1"/>
  <c r="AV504" i="1"/>
  <c r="AW504" i="1" s="1"/>
  <c r="AB255" i="1"/>
  <c r="AB264" i="1"/>
  <c r="AV272" i="1"/>
  <c r="AW272" i="1" s="1"/>
  <c r="AB275" i="1"/>
  <c r="AB285" i="1"/>
  <c r="AB300" i="1"/>
  <c r="AB315" i="1"/>
  <c r="AB339" i="1"/>
  <c r="AB382" i="1"/>
  <c r="AV391" i="1"/>
  <c r="AW391" i="1" s="1"/>
  <c r="AB400" i="1"/>
  <c r="AU400" i="1"/>
  <c r="AV400" i="1" s="1"/>
  <c r="AW400" i="1" s="1"/>
  <c r="AV441" i="1"/>
  <c r="AW441" i="1" s="1"/>
  <c r="AV662" i="1"/>
  <c r="AW662" i="1" s="1"/>
  <c r="AV178" i="1"/>
  <c r="AW178" i="1" s="1"/>
  <c r="AV190" i="1"/>
  <c r="AW190" i="1" s="1"/>
  <c r="AV202" i="1"/>
  <c r="AW202" i="1" s="1"/>
  <c r="AV214" i="1"/>
  <c r="AW214" i="1" s="1"/>
  <c r="AV226" i="1"/>
  <c r="AW226" i="1" s="1"/>
  <c r="AV238" i="1"/>
  <c r="AW238" i="1" s="1"/>
  <c r="AV250" i="1"/>
  <c r="AW250" i="1" s="1"/>
  <c r="AV271" i="1"/>
  <c r="AW271" i="1" s="1"/>
  <c r="AB292" i="1"/>
  <c r="AB314" i="1"/>
  <c r="AB361" i="1"/>
  <c r="AV370" i="1"/>
  <c r="AW370" i="1" s="1"/>
  <c r="AV380" i="1"/>
  <c r="AW380" i="1" s="1"/>
  <c r="AB396" i="1"/>
  <c r="AV428" i="1"/>
  <c r="AW428" i="1" s="1"/>
  <c r="AV456" i="1"/>
  <c r="AW456" i="1" s="1"/>
  <c r="AB313" i="1"/>
  <c r="AU313" i="1"/>
  <c r="AV313" i="1" s="1"/>
  <c r="AW313" i="1" s="1"/>
  <c r="AV635" i="1"/>
  <c r="AW635" i="1" s="1"/>
  <c r="AB252" i="1"/>
  <c r="AV259" i="1"/>
  <c r="AW259" i="1" s="1"/>
  <c r="AV273" i="1"/>
  <c r="AW273" i="1" s="1"/>
  <c r="AB335" i="1"/>
  <c r="AB338" i="1"/>
  <c r="AB341" i="1"/>
  <c r="AB342" i="1"/>
  <c r="AV344" i="1"/>
  <c r="AW344" i="1" s="1"/>
  <c r="AB351" i="1"/>
  <c r="AB399" i="1"/>
  <c r="AV439" i="1"/>
  <c r="AW439" i="1" s="1"/>
  <c r="AV470" i="1"/>
  <c r="AW470" i="1" s="1"/>
  <c r="AV143" i="1"/>
  <c r="AW143" i="1" s="1"/>
  <c r="AB144" i="1"/>
  <c r="AB150" i="1"/>
  <c r="AB151" i="1"/>
  <c r="AV155" i="1"/>
  <c r="AW155" i="1" s="1"/>
  <c r="AB156" i="1"/>
  <c r="AB162" i="1"/>
  <c r="AB163" i="1"/>
  <c r="AV167" i="1"/>
  <c r="AW167" i="1" s="1"/>
  <c r="AB168" i="1"/>
  <c r="AB174" i="1"/>
  <c r="AB175" i="1"/>
  <c r="AV179" i="1"/>
  <c r="AW179" i="1" s="1"/>
  <c r="AB180" i="1"/>
  <c r="AB186" i="1"/>
  <c r="AB187" i="1"/>
  <c r="AV191" i="1"/>
  <c r="AW191" i="1" s="1"/>
  <c r="AB192" i="1"/>
  <c r="AB198" i="1"/>
  <c r="AB199" i="1"/>
  <c r="AV203" i="1"/>
  <c r="AW203" i="1" s="1"/>
  <c r="AB204" i="1"/>
  <c r="AB210" i="1"/>
  <c r="AB211" i="1"/>
  <c r="AV215" i="1"/>
  <c r="AW215" i="1" s="1"/>
  <c r="AB216" i="1"/>
  <c r="AB222" i="1"/>
  <c r="AB223" i="1"/>
  <c r="AV227" i="1"/>
  <c r="AW227" i="1" s="1"/>
  <c r="AB228" i="1"/>
  <c r="AB234" i="1"/>
  <c r="AB235" i="1"/>
  <c r="AV239" i="1"/>
  <c r="AW239" i="1" s="1"/>
  <c r="AB240" i="1"/>
  <c r="AB246" i="1"/>
  <c r="AB247" i="1"/>
  <c r="AV251" i="1"/>
  <c r="AW251" i="1" s="1"/>
  <c r="AB262" i="1"/>
  <c r="AB273" i="1"/>
  <c r="AB280" i="1"/>
  <c r="AB291" i="1"/>
  <c r="AB299" i="1"/>
  <c r="AB303" i="1"/>
  <c r="AV306" i="1"/>
  <c r="AW306" i="1" s="1"/>
  <c r="AB346" i="1"/>
  <c r="AV348" i="1"/>
  <c r="AW348" i="1" s="1"/>
  <c r="AB356" i="1"/>
  <c r="AB360" i="1"/>
  <c r="AB365" i="1"/>
  <c r="AB384" i="1"/>
  <c r="AB143" i="1"/>
  <c r="AB155" i="1"/>
  <c r="AB167" i="1"/>
  <c r="AB179" i="1"/>
  <c r="AB191" i="1"/>
  <c r="AB203" i="1"/>
  <c r="AB215" i="1"/>
  <c r="AB227" i="1"/>
  <c r="AB239" i="1"/>
  <c r="AB251" i="1"/>
  <c r="AU255" i="1"/>
  <c r="AV255" i="1" s="1"/>
  <c r="AW255" i="1" s="1"/>
  <c r="AV261" i="1"/>
  <c r="AW261" i="1" s="1"/>
  <c r="AV296" i="1"/>
  <c r="AW296" i="1" s="1"/>
  <c r="AB302" i="1"/>
  <c r="AV368" i="1"/>
  <c r="AW368" i="1" s="1"/>
  <c r="AV373" i="1"/>
  <c r="AW373" i="1" s="1"/>
  <c r="AB395" i="1"/>
  <c r="AV411" i="1"/>
  <c r="AW411" i="1" s="1"/>
  <c r="AT463" i="1"/>
  <c r="AV463" i="1" s="1"/>
  <c r="AW463" i="1" s="1"/>
  <c r="AT482" i="1"/>
  <c r="AV482" i="1" s="1"/>
  <c r="AW482" i="1" s="1"/>
  <c r="AU360" i="1"/>
  <c r="AV360" i="1" s="1"/>
  <c r="AW360" i="1" s="1"/>
  <c r="AU361" i="1"/>
  <c r="AV361" i="1" s="1"/>
  <c r="AW361" i="1" s="1"/>
  <c r="AV425" i="1"/>
  <c r="AW425" i="1" s="1"/>
  <c r="AT428" i="1"/>
  <c r="AT465" i="1"/>
  <c r="AV465" i="1" s="1"/>
  <c r="AW465" i="1" s="1"/>
  <c r="AT493" i="1"/>
  <c r="AV493" i="1" s="1"/>
  <c r="AW493" i="1" s="1"/>
  <c r="AT511" i="1"/>
  <c r="AV511" i="1" s="1"/>
  <c r="AW511" i="1" s="1"/>
  <c r="AV724" i="1"/>
  <c r="AW724" i="1" s="1"/>
  <c r="AV450" i="1"/>
  <c r="AW450" i="1" s="1"/>
  <c r="AT476" i="1"/>
  <c r="AV476" i="1" s="1"/>
  <c r="AW476" i="1" s="1"/>
  <c r="AV491" i="1"/>
  <c r="AW491" i="1" s="1"/>
  <c r="AV533" i="1"/>
  <c r="AW533" i="1" s="1"/>
  <c r="AV671" i="1"/>
  <c r="AW671" i="1" s="1"/>
  <c r="AV679" i="1"/>
  <c r="AW679" i="1" s="1"/>
  <c r="AT692" i="1"/>
  <c r="AV692" i="1" s="1"/>
  <c r="AW692" i="1" s="1"/>
  <c r="AV631" i="1"/>
  <c r="AW631" i="1" s="1"/>
  <c r="AV638" i="1"/>
  <c r="AW638" i="1" s="1"/>
  <c r="AV686" i="1"/>
  <c r="AW686" i="1" s="1"/>
  <c r="AU388" i="1"/>
  <c r="AV388" i="1" s="1"/>
  <c r="AW388" i="1" s="1"/>
  <c r="AB421" i="1"/>
  <c r="AV448" i="1"/>
  <c r="AW448" i="1" s="1"/>
  <c r="AV498" i="1"/>
  <c r="AW498" i="1" s="1"/>
  <c r="AV616" i="1"/>
  <c r="AW616" i="1" s="1"/>
  <c r="AB350" i="1"/>
  <c r="AB352" i="1"/>
  <c r="AB357" i="1"/>
  <c r="AB363" i="1"/>
  <c r="AB381" i="1"/>
  <c r="AV422" i="1"/>
  <c r="AW422" i="1" s="1"/>
  <c r="AV485" i="1"/>
  <c r="AW485" i="1" s="1"/>
  <c r="AV531" i="1"/>
  <c r="AW531" i="1" s="1"/>
  <c r="AV611" i="1"/>
  <c r="AW611" i="1" s="1"/>
  <c r="AV626" i="1"/>
  <c r="AW626" i="1" s="1"/>
  <c r="AV677" i="1"/>
  <c r="AW677" i="1" s="1"/>
  <c r="AB345" i="1"/>
  <c r="AB374" i="1"/>
  <c r="AB376" i="1"/>
  <c r="AV393" i="1"/>
  <c r="AW393" i="1" s="1"/>
  <c r="AB406" i="1"/>
  <c r="AB407" i="1"/>
  <c r="AB414" i="1"/>
  <c r="AT427" i="1"/>
  <c r="AV427" i="1" s="1"/>
  <c r="AW427" i="1" s="1"/>
  <c r="AV446" i="1"/>
  <c r="AW446" i="1" s="1"/>
  <c r="AV526" i="1"/>
  <c r="AW526" i="1" s="1"/>
  <c r="AV672" i="1"/>
  <c r="AW672" i="1" s="1"/>
  <c r="AV483" i="1"/>
  <c r="AW483" i="1" s="1"/>
  <c r="AV614" i="1"/>
  <c r="AW614" i="1" s="1"/>
  <c r="AV639" i="1"/>
  <c r="AW639" i="1" s="1"/>
  <c r="AV700" i="1"/>
  <c r="AW700" i="1" s="1"/>
  <c r="AB369" i="1"/>
  <c r="AB389" i="1"/>
  <c r="AB405" i="1"/>
  <c r="AV474" i="1"/>
  <c r="AW474" i="1" s="1"/>
  <c r="AV587" i="1"/>
  <c r="AW587" i="1" s="1"/>
  <c r="AV544" i="1"/>
  <c r="AW544" i="1" s="1"/>
  <c r="AV627" i="1"/>
  <c r="AW627" i="1" s="1"/>
  <c r="AV404" i="1"/>
  <c r="AW404" i="1" s="1"/>
  <c r="AT475" i="1"/>
  <c r="AV475" i="1" s="1"/>
  <c r="AW475" i="1" s="1"/>
  <c r="AV556" i="1"/>
  <c r="AW556" i="1" s="1"/>
  <c r="AV568" i="1"/>
  <c r="AW568" i="1" s="1"/>
  <c r="AV592" i="1"/>
  <c r="AW592" i="1" s="1"/>
  <c r="AV612" i="1"/>
  <c r="AW612" i="1" s="1"/>
  <c r="AV698" i="1"/>
  <c r="AW698" i="1" s="1"/>
  <c r="AV543" i="1"/>
  <c r="AW543" i="1" s="1"/>
  <c r="AT548" i="1"/>
  <c r="AV548" i="1" s="1"/>
  <c r="AW548" i="1" s="1"/>
  <c r="AV583" i="1"/>
  <c r="AW583" i="1" s="1"/>
  <c r="AT596" i="1"/>
  <c r="AV596" i="1" s="1"/>
  <c r="AW596" i="1" s="1"/>
  <c r="AV629" i="1"/>
  <c r="AW629" i="1" s="1"/>
  <c r="AV652" i="1"/>
  <c r="AW652" i="1" s="1"/>
  <c r="AV591" i="1"/>
  <c r="AW591" i="1" s="1"/>
  <c r="AV650" i="1"/>
  <c r="AW650" i="1" s="1"/>
  <c r="AV703" i="1"/>
  <c r="AW703" i="1" s="1"/>
  <c r="AV722" i="1"/>
  <c r="AW722" i="1" s="1"/>
  <c r="AT571" i="1"/>
  <c r="AV571" i="1" s="1"/>
  <c r="AW571" i="1" s="1"/>
  <c r="AV581" i="1"/>
  <c r="AW581" i="1" s="1"/>
  <c r="AV604" i="1"/>
  <c r="AW604" i="1" s="1"/>
  <c r="AV711" i="1"/>
  <c r="AW711" i="1" s="1"/>
  <c r="AV602" i="1"/>
  <c r="AW602" i="1" s="1"/>
  <c r="AV655" i="1"/>
  <c r="AW655" i="1" s="1"/>
  <c r="AV701" i="1"/>
  <c r="AW701" i="1" s="1"/>
  <c r="AV554" i="1"/>
  <c r="AW554" i="1" s="1"/>
  <c r="AV546" i="1"/>
  <c r="AW546" i="1" s="1"/>
  <c r="AV607" i="1"/>
  <c r="AW607" i="1" s="1"/>
  <c r="AV653" i="1"/>
  <c r="AW653" i="1" s="1"/>
  <c r="AV676" i="1"/>
  <c r="AW676" i="1" s="1"/>
  <c r="AB420" i="1"/>
  <c r="AV436" i="1"/>
  <c r="AW436" i="1" s="1"/>
  <c r="AV495" i="1"/>
  <c r="AW495" i="1" s="1"/>
  <c r="AV532" i="1"/>
  <c r="AW532" i="1" s="1"/>
  <c r="AV615" i="1"/>
  <c r="AW615" i="1" s="1"/>
  <c r="AV674" i="1"/>
  <c r="AW674" i="1" s="1"/>
  <c r="AB364" i="1"/>
  <c r="AB417" i="1"/>
  <c r="AV426" i="1"/>
  <c r="AW426" i="1" s="1"/>
  <c r="AV434" i="1"/>
  <c r="AW434" i="1" s="1"/>
  <c r="AT451" i="1"/>
  <c r="AV451" i="1" s="1"/>
  <c r="AW451" i="1" s="1"/>
  <c r="AV530" i="1"/>
  <c r="AW530" i="1" s="1"/>
  <c r="AT547" i="1"/>
  <c r="AV547" i="1" s="1"/>
  <c r="AW547" i="1" s="1"/>
  <c r="AV559" i="1"/>
  <c r="AW559" i="1" s="1"/>
  <c r="AT572" i="1"/>
  <c r="AV572" i="1" s="1"/>
  <c r="AW572" i="1" s="1"/>
  <c r="AT595" i="1"/>
  <c r="AV595" i="1" s="1"/>
  <c r="AW595" i="1" s="1"/>
  <c r="AV605" i="1"/>
  <c r="AW605" i="1" s="1"/>
  <c r="AV628" i="1"/>
  <c r="AW628" i="1" s="1"/>
  <c r="AV570" i="1"/>
  <c r="AW570" i="1" s="1"/>
  <c r="AV594" i="1"/>
  <c r="AW594" i="1" s="1"/>
  <c r="AV618" i="1"/>
  <c r="AW618" i="1" s="1"/>
  <c r="AV642" i="1"/>
  <c r="AW642" i="1" s="1"/>
  <c r="AV666" i="1"/>
  <c r="AW666" i="1" s="1"/>
  <c r="AV690" i="1"/>
  <c r="AW690" i="1" s="1"/>
  <c r="AV714" i="1"/>
  <c r="AW714" i="1" s="1"/>
  <c r="AV438" i="1"/>
  <c r="AW438" i="1" s="1"/>
  <c r="AV462" i="1"/>
  <c r="AW462" i="1" s="1"/>
  <c r="AV486" i="1"/>
  <c r="AW486" i="1" s="1"/>
  <c r="AV510" i="1"/>
  <c r="AW510" i="1" s="1"/>
  <c r="AV534" i="1"/>
  <c r="AW534" i="1" s="1"/>
  <c r="AV558" i="1"/>
  <c r="AW558" i="1" s="1"/>
  <c r="AV582" i="1"/>
  <c r="AW582" i="1" s="1"/>
  <c r="AV606" i="1"/>
  <c r="AW606" i="1" s="1"/>
  <c r="AV630" i="1"/>
  <c r="AW630" i="1" s="1"/>
  <c r="AV654" i="1"/>
  <c r="AW654" i="1" s="1"/>
  <c r="AV678" i="1"/>
  <c r="AW678" i="1" s="1"/>
  <c r="AV702" i="1"/>
  <c r="AW702" i="1" s="1"/>
  <c r="AV726" i="1"/>
  <c r="AW726" i="1" s="1"/>
</calcChain>
</file>

<file path=xl/sharedStrings.xml><?xml version="1.0" encoding="utf-8"?>
<sst xmlns="http://schemas.openxmlformats.org/spreadsheetml/2006/main" count="3254" uniqueCount="811">
  <si>
    <t>Location</t>
  </si>
  <si>
    <t>Site</t>
  </si>
  <si>
    <t>Section</t>
  </si>
  <si>
    <t>Sample_ID</t>
  </si>
  <si>
    <t>Core_section</t>
  </si>
  <si>
    <t>Sample</t>
  </si>
  <si>
    <t>Radius_1_cm</t>
  </si>
  <si>
    <t>Radius_2_cm</t>
  </si>
  <si>
    <t>Thickness_cm</t>
  </si>
  <si>
    <t>section_depth_top</t>
  </si>
  <si>
    <t>section_depth_bottom</t>
  </si>
  <si>
    <t>section_depth_mid</t>
  </si>
  <si>
    <t>section_cut_loss</t>
  </si>
  <si>
    <t>field_depth_top</t>
  </si>
  <si>
    <t>field_depth_bottom</t>
  </si>
  <si>
    <t>field_depth_mid</t>
  </si>
  <si>
    <t>strat_depth_top</t>
  </si>
  <si>
    <t>strat_depth_bottom</t>
  </si>
  <si>
    <t>strat_depth_mid</t>
  </si>
  <si>
    <t>depth</t>
  </si>
  <si>
    <t>depth_err</t>
  </si>
  <si>
    <t>SH20_min_age_95CI</t>
  </si>
  <si>
    <t>SH20_max_age_95CI</t>
  </si>
  <si>
    <t>SH20_median_age</t>
  </si>
  <si>
    <t>SH20_mean_age</t>
  </si>
  <si>
    <t>accrate</t>
  </si>
  <si>
    <t>Wet_bag_g</t>
  </si>
  <si>
    <t>Dry_bag_g</t>
  </si>
  <si>
    <t>Wet_mass_g</t>
  </si>
  <si>
    <t>Dry_mass_g</t>
  </si>
  <si>
    <t>Water_Content_pc</t>
  </si>
  <si>
    <t>Dry_mass_pc</t>
  </si>
  <si>
    <t xml:space="preserve">Ash_Mass </t>
  </si>
  <si>
    <t>LOI550_pc</t>
  </si>
  <si>
    <t>LOI550_err</t>
  </si>
  <si>
    <t>C_org</t>
  </si>
  <si>
    <t>C_org_err</t>
  </si>
  <si>
    <t>Volume_cm3</t>
  </si>
  <si>
    <t>Volume_err_cm3</t>
  </si>
  <si>
    <t>Wet_density_g_cm3</t>
  </si>
  <si>
    <t>Dry_density_g_cm3</t>
  </si>
  <si>
    <t>Dry_density_err_g_cm3</t>
  </si>
  <si>
    <t>DMAR_g_cm2_yr</t>
  </si>
  <si>
    <t>DMAR_err_g_cm2_yr-1</t>
  </si>
  <si>
    <t>DMAR_err_pc</t>
  </si>
  <si>
    <t>Bird Island</t>
  </si>
  <si>
    <t>BI10</t>
  </si>
  <si>
    <t>BI10.1</t>
  </si>
  <si>
    <t>BI10.1_1</t>
  </si>
  <si>
    <t>BI10.1_2</t>
  </si>
  <si>
    <t>BI10.1_3</t>
  </si>
  <si>
    <t>BI10.1_4</t>
  </si>
  <si>
    <t>BI10.1_5</t>
  </si>
  <si>
    <t>BI10.1_6</t>
  </si>
  <si>
    <t>BI10.1_7</t>
  </si>
  <si>
    <t>BI10.1_8</t>
  </si>
  <si>
    <t>BI10.1_9</t>
  </si>
  <si>
    <t>BI10.1_10</t>
  </si>
  <si>
    <t>BI10.1_11</t>
  </si>
  <si>
    <t>BI10.1_12</t>
  </si>
  <si>
    <t>BI10.1_13</t>
  </si>
  <si>
    <t>BI10.1_14</t>
  </si>
  <si>
    <t>BI10.1_15</t>
  </si>
  <si>
    <t>BI10.1_16</t>
  </si>
  <si>
    <t>BI10.1_17</t>
  </si>
  <si>
    <t>BI10.1_18</t>
  </si>
  <si>
    <t>BI10.1_19</t>
  </si>
  <si>
    <t>BI10.1_20</t>
  </si>
  <si>
    <t>BI10.1_21</t>
  </si>
  <si>
    <t>BI10.1_22</t>
  </si>
  <si>
    <t>BI10.1_23</t>
  </si>
  <si>
    <t>BI10.1_24</t>
  </si>
  <si>
    <t>BI10.1_25</t>
  </si>
  <si>
    <t>BI10.1_26</t>
  </si>
  <si>
    <t>BI10.1_27</t>
  </si>
  <si>
    <t>BI10.1_28</t>
  </si>
  <si>
    <t>BI10.1_29</t>
  </si>
  <si>
    <t>BI10.1_30</t>
  </si>
  <si>
    <t>BI10.1_31</t>
  </si>
  <si>
    <t>BI10.1_32</t>
  </si>
  <si>
    <t>BI10.1_33</t>
  </si>
  <si>
    <t>BI10.1_34</t>
  </si>
  <si>
    <t>BI10.1_35</t>
  </si>
  <si>
    <t>BI10.1_36</t>
  </si>
  <si>
    <t>BI10.2</t>
  </si>
  <si>
    <t>BI10.2_49</t>
  </si>
  <si>
    <t>BI10.2_50</t>
  </si>
  <si>
    <t>BI10.2_51</t>
  </si>
  <si>
    <t>BI10.2_52</t>
  </si>
  <si>
    <t>BI10.2_53</t>
  </si>
  <si>
    <t>BI10.2_54</t>
  </si>
  <si>
    <t>BI10.2_55</t>
  </si>
  <si>
    <t>BI10.2_56</t>
  </si>
  <si>
    <t>BI10.2_57</t>
  </si>
  <si>
    <t>BI10.2_58</t>
  </si>
  <si>
    <t>BI10.2_59</t>
  </si>
  <si>
    <t>BI10.2_60</t>
  </si>
  <si>
    <t>BI10.2_61</t>
  </si>
  <si>
    <t>BI10.2_62</t>
  </si>
  <si>
    <t>BI10.2_63</t>
  </si>
  <si>
    <t>BI10.2_64</t>
  </si>
  <si>
    <t>BI10.2_65</t>
  </si>
  <si>
    <t>BI10.2_66</t>
  </si>
  <si>
    <t>BI10.2_67</t>
  </si>
  <si>
    <t>BI10.2_68</t>
  </si>
  <si>
    <t>BI10.2_69</t>
  </si>
  <si>
    <t>BI10.2_70</t>
  </si>
  <si>
    <t>BI10.2_71</t>
  </si>
  <si>
    <t>BI10.2_72</t>
  </si>
  <si>
    <t>BI10.2_73</t>
  </si>
  <si>
    <t>BI10.2_74</t>
  </si>
  <si>
    <t>BI10.2_75</t>
  </si>
  <si>
    <t>BI10.2_76</t>
  </si>
  <si>
    <t>BI10.2_77</t>
  </si>
  <si>
    <t>BI10.2_78</t>
  </si>
  <si>
    <t>BI10.2_79</t>
  </si>
  <si>
    <t>BI10.3</t>
  </si>
  <si>
    <t>BI10.3_84</t>
  </si>
  <si>
    <t>BI10.3_85</t>
  </si>
  <si>
    <t>BI10.3_86</t>
  </si>
  <si>
    <t>BI10.3_87</t>
  </si>
  <si>
    <t>BI10.3_88</t>
  </si>
  <si>
    <t>BI10.3_89</t>
  </si>
  <si>
    <t>BI10.3_90</t>
  </si>
  <si>
    <t>BI10.3_91</t>
  </si>
  <si>
    <t>BI10.3_92</t>
  </si>
  <si>
    <t>BI10.3_93</t>
  </si>
  <si>
    <t>BI10.3_94</t>
  </si>
  <si>
    <t>BI10.3_95</t>
  </si>
  <si>
    <t>BI10.3_96</t>
  </si>
  <si>
    <t>BI10.3_97</t>
  </si>
  <si>
    <t>BI10.3_98</t>
  </si>
  <si>
    <t>BI10.3_99</t>
  </si>
  <si>
    <t>BI10.3_100</t>
  </si>
  <si>
    <t>BI10.3_101</t>
  </si>
  <si>
    <t>BI10.3_102</t>
  </si>
  <si>
    <t>BI10.3_103</t>
  </si>
  <si>
    <t>BI10.3_104</t>
  </si>
  <si>
    <t>BI10.3_105</t>
  </si>
  <si>
    <t>BI10.3_106</t>
  </si>
  <si>
    <t>BI10.3_107</t>
  </si>
  <si>
    <t>BI10.3_108</t>
  </si>
  <si>
    <t>BI10.3_109</t>
  </si>
  <si>
    <t>BI10.3_110</t>
  </si>
  <si>
    <t>BI10.3_111</t>
  </si>
  <si>
    <t>BI10.3_112</t>
  </si>
  <si>
    <t>BI10.3_113</t>
  </si>
  <si>
    <t>BI10.3_114</t>
  </si>
  <si>
    <t>BI10.3_115</t>
  </si>
  <si>
    <t>BI10.3_116</t>
  </si>
  <si>
    <t>BI10.3_117</t>
  </si>
  <si>
    <t>BI10.3_118</t>
  </si>
  <si>
    <t>BI10.3_119</t>
  </si>
  <si>
    <t>BI10.3_120</t>
  </si>
  <si>
    <t>BI10.3_121</t>
  </si>
  <si>
    <t>BI10.4</t>
  </si>
  <si>
    <t>BI10.4_138</t>
  </si>
  <si>
    <t>BI10.4_139</t>
  </si>
  <si>
    <t>BI10.4_140</t>
  </si>
  <si>
    <t>BI10.4_141</t>
  </si>
  <si>
    <t>BI10.4_142</t>
  </si>
  <si>
    <t>BI10.4_143</t>
  </si>
  <si>
    <t>BI10.4_144</t>
  </si>
  <si>
    <t>BI10.4_145</t>
  </si>
  <si>
    <t>BI10.4_146</t>
  </si>
  <si>
    <t>BI10.4_147</t>
  </si>
  <si>
    <t>BI10.4_148</t>
  </si>
  <si>
    <t>BI10.4_149</t>
  </si>
  <si>
    <t>BI10.4_150</t>
  </si>
  <si>
    <t>BI10.4_151</t>
  </si>
  <si>
    <t>BI10.4_152</t>
  </si>
  <si>
    <t>BI10.4_153</t>
  </si>
  <si>
    <t>BI10.4_154</t>
  </si>
  <si>
    <t>BI10.4_155</t>
  </si>
  <si>
    <t>BI10.4_156</t>
  </si>
  <si>
    <t>BI10.4_157</t>
  </si>
  <si>
    <t>BI10.4_158</t>
  </si>
  <si>
    <t>BI10.4_159</t>
  </si>
  <si>
    <t>BI10.4_160</t>
  </si>
  <si>
    <t>BI10.4_161</t>
  </si>
  <si>
    <t>BI10.4_162</t>
  </si>
  <si>
    <t>BI10.4_163</t>
  </si>
  <si>
    <t>BI10.5</t>
  </si>
  <si>
    <t>BI10.5_170</t>
  </si>
  <si>
    <t>BI10.5_171</t>
  </si>
  <si>
    <t>BI10.5_172</t>
  </si>
  <si>
    <t>BI10.5_173</t>
  </si>
  <si>
    <t>BI10.5_174</t>
  </si>
  <si>
    <t>BI10.5_175</t>
  </si>
  <si>
    <t>BI10.5_176</t>
  </si>
  <si>
    <t>BI10.5_177</t>
  </si>
  <si>
    <t>BI10.5_178</t>
  </si>
  <si>
    <t>BI10.5_179</t>
  </si>
  <si>
    <t>BI10.5_180</t>
  </si>
  <si>
    <t>BI10.5_181</t>
  </si>
  <si>
    <t>BI10.5_182</t>
  </si>
  <si>
    <t>BI10.5_183</t>
  </si>
  <si>
    <t>BI10.5_184</t>
  </si>
  <si>
    <t>BI10.5_185</t>
  </si>
  <si>
    <t>BI10.5_186</t>
  </si>
  <si>
    <t>BI10.5_187</t>
  </si>
  <si>
    <t>BI10.5_188</t>
  </si>
  <si>
    <t>BI10.5_189</t>
  </si>
  <si>
    <t>BI10.5_190</t>
  </si>
  <si>
    <t>BI10.5_191</t>
  </si>
  <si>
    <t>BI10.5_192</t>
  </si>
  <si>
    <t>BI10.5_193</t>
  </si>
  <si>
    <t>BI10.5_194</t>
  </si>
  <si>
    <t>BI10.5_195</t>
  </si>
  <si>
    <t>BI10.5_196</t>
  </si>
  <si>
    <t>BI10.5_197</t>
  </si>
  <si>
    <t>BI10.5_198</t>
  </si>
  <si>
    <t>BI10.5_199</t>
  </si>
  <si>
    <t>BI10.5_200</t>
  </si>
  <si>
    <t>BI10.5_201</t>
  </si>
  <si>
    <t>BI10.5_202</t>
  </si>
  <si>
    <t>BI10.5_203</t>
  </si>
  <si>
    <t>BI10.5_204</t>
  </si>
  <si>
    <t>BI10.5_205</t>
  </si>
  <si>
    <t>BI10.5_206</t>
  </si>
  <si>
    <t>BI10.5_207</t>
  </si>
  <si>
    <t>BI10.5_208</t>
  </si>
  <si>
    <t>BI10.6</t>
  </si>
  <si>
    <t>BI10.6_216</t>
  </si>
  <si>
    <t>BI10.6_217</t>
  </si>
  <si>
    <t>BI10.6_218</t>
  </si>
  <si>
    <t>BI10.6_219</t>
  </si>
  <si>
    <t>BI10.6_220</t>
  </si>
  <si>
    <t>BI10.6_221</t>
  </si>
  <si>
    <t>BI10.6_222</t>
  </si>
  <si>
    <t>BI10.6_223</t>
  </si>
  <si>
    <t>BI10.6_224</t>
  </si>
  <si>
    <t>BI10.6_225</t>
  </si>
  <si>
    <t>BI10.6_226</t>
  </si>
  <si>
    <t>BI10.6_227</t>
  </si>
  <si>
    <t>BI10.6_228</t>
  </si>
  <si>
    <t>BI10.6_229</t>
  </si>
  <si>
    <t>BI10.6_230</t>
  </si>
  <si>
    <t>BI10.6_231</t>
  </si>
  <si>
    <t>BI10.6_232</t>
  </si>
  <si>
    <t>BI10.6_233</t>
  </si>
  <si>
    <t>BI10.6_234</t>
  </si>
  <si>
    <t>BI10.6_235</t>
  </si>
  <si>
    <t>BI10.6_236</t>
  </si>
  <si>
    <t>BI10.6_237</t>
  </si>
  <si>
    <t>BI10.6_238</t>
  </si>
  <si>
    <t>BI10.6_239</t>
  </si>
  <si>
    <t>BI10.6_240</t>
  </si>
  <si>
    <t>BI10.6_241</t>
  </si>
  <si>
    <t>BI10.6_242</t>
  </si>
  <si>
    <t>BI10.6_243</t>
  </si>
  <si>
    <t>BI10.6_244</t>
  </si>
  <si>
    <t>BI10.6_245</t>
  </si>
  <si>
    <t>BI10.6_246</t>
  </si>
  <si>
    <t>BI10.6_247</t>
  </si>
  <si>
    <t>BI10.6_248</t>
  </si>
  <si>
    <t>BI10.6_249</t>
  </si>
  <si>
    <t>BI10.6_250</t>
  </si>
  <si>
    <t>BI10.7</t>
  </si>
  <si>
    <t>BI10.7_251</t>
  </si>
  <si>
    <t>BI10.7_252</t>
  </si>
  <si>
    <t>BI10.7_253</t>
  </si>
  <si>
    <t>BI10.7_254</t>
  </si>
  <si>
    <t>BI10.7_255</t>
  </si>
  <si>
    <t>BI10.7_256</t>
  </si>
  <si>
    <t>BI10.7_257</t>
  </si>
  <si>
    <t>BI10.7_258</t>
  </si>
  <si>
    <t>BI10.7_259</t>
  </si>
  <si>
    <t>BI10.7_260</t>
  </si>
  <si>
    <t>BI10.7_261</t>
  </si>
  <si>
    <t>BI10.7_262</t>
  </si>
  <si>
    <t>BI10.7_263</t>
  </si>
  <si>
    <t>BI10.7_264</t>
  </si>
  <si>
    <t>BI10.7_265</t>
  </si>
  <si>
    <t>BI10.7_266</t>
  </si>
  <si>
    <t>BI10.7_267</t>
  </si>
  <si>
    <t>BI10.7_268</t>
  </si>
  <si>
    <t>BI10.7_269</t>
  </si>
  <si>
    <t>BI10.7_270</t>
  </si>
  <si>
    <t>BI10.7_271</t>
  </si>
  <si>
    <t>BI10.7_272</t>
  </si>
  <si>
    <t>BI10.7_273</t>
  </si>
  <si>
    <t>BI10.7_274</t>
  </si>
  <si>
    <t>BI10.7_275</t>
  </si>
  <si>
    <t>BI10.7_276</t>
  </si>
  <si>
    <t>BI10.7_277</t>
  </si>
  <si>
    <t>BI10.7_278</t>
  </si>
  <si>
    <t>BI10.7_279</t>
  </si>
  <si>
    <t>BI10.7_280</t>
  </si>
  <si>
    <t>BI10.7_281</t>
  </si>
  <si>
    <t>BI10.7_282</t>
  </si>
  <si>
    <t>BI10.7_283</t>
  </si>
  <si>
    <t>BI10.7_284</t>
  </si>
  <si>
    <t>BI10.7_285</t>
  </si>
  <si>
    <t>BI10.7_286</t>
  </si>
  <si>
    <t>BI10.7_287</t>
  </si>
  <si>
    <t>BI10.8</t>
  </si>
  <si>
    <t>BI10.8_295</t>
  </si>
  <si>
    <t>BI10.8_296</t>
  </si>
  <si>
    <t>BI10.8_297</t>
  </si>
  <si>
    <t>BI10.8_298</t>
  </si>
  <si>
    <t>BI10.8_299</t>
  </si>
  <si>
    <t>BI10.8_300</t>
  </si>
  <si>
    <t>BI10.8_301</t>
  </si>
  <si>
    <t>BI10.8_302</t>
  </si>
  <si>
    <t>BI10.8_303</t>
  </si>
  <si>
    <t>BI10.8_304</t>
  </si>
  <si>
    <t>BI10.8_305</t>
  </si>
  <si>
    <t>BI10.8_306</t>
  </si>
  <si>
    <t>BI10.8_307</t>
  </si>
  <si>
    <t>BI10.8_308</t>
  </si>
  <si>
    <t>BI10.8_309</t>
  </si>
  <si>
    <t>BI10.8_310</t>
  </si>
  <si>
    <t>BI10.8_311</t>
  </si>
  <si>
    <t>BI10.8_312</t>
  </si>
  <si>
    <t>BI10.8_313</t>
  </si>
  <si>
    <t>BI10.8_314</t>
  </si>
  <si>
    <t>BI10.8_315</t>
  </si>
  <si>
    <t>BI10.8_316</t>
  </si>
  <si>
    <t>BI10.8_317</t>
  </si>
  <si>
    <t>BI10.8_318</t>
  </si>
  <si>
    <t>BI10.8_319</t>
  </si>
  <si>
    <t>BI10.8_320</t>
  </si>
  <si>
    <t>BI10.8_321</t>
  </si>
  <si>
    <t>BI10.8_322</t>
  </si>
  <si>
    <t>BI10.8_323</t>
  </si>
  <si>
    <t>BI10.8_324</t>
  </si>
  <si>
    <t>BI10.8_325</t>
  </si>
  <si>
    <t>BI10.9</t>
  </si>
  <si>
    <t>BI10.9_337</t>
  </si>
  <si>
    <t>BI10.9_338</t>
  </si>
  <si>
    <t>BI10.9_339</t>
  </si>
  <si>
    <t>BI10.9_340</t>
  </si>
  <si>
    <t>BI10.9_341</t>
  </si>
  <si>
    <t>BI10.9_342</t>
  </si>
  <si>
    <t>BI10.9_343</t>
  </si>
  <si>
    <t>BI10.9_344</t>
  </si>
  <si>
    <t>BI10.9_345</t>
  </si>
  <si>
    <t>BI10.9_346</t>
  </si>
  <si>
    <t>BI10.9_347</t>
  </si>
  <si>
    <t>BI10.9_348</t>
  </si>
  <si>
    <t>BI10.9_349</t>
  </si>
  <si>
    <t>BI10.9_350</t>
  </si>
  <si>
    <t>BI10.9_351</t>
  </si>
  <si>
    <t>BI10.9_352</t>
  </si>
  <si>
    <t>BI10.9_353</t>
  </si>
  <si>
    <t>BI10.9_354</t>
  </si>
  <si>
    <t>BI10.9_355</t>
  </si>
  <si>
    <t>BI10.9_356</t>
  </si>
  <si>
    <t>BI10.9_357</t>
  </si>
  <si>
    <t>BI10.9_358</t>
  </si>
  <si>
    <t>BI10.9_359</t>
  </si>
  <si>
    <t>BI10.9_360</t>
  </si>
  <si>
    <t>BI10.9_361</t>
  </si>
  <si>
    <t>BI10.9_362</t>
  </si>
  <si>
    <t>BI10.9_363</t>
  </si>
  <si>
    <t>BI10.9_364</t>
  </si>
  <si>
    <t>BI10.9_365</t>
  </si>
  <si>
    <t>BI10.9_366</t>
  </si>
  <si>
    <t>BI10.9_367</t>
  </si>
  <si>
    <t>BI10.9_368</t>
  </si>
  <si>
    <t>BI10.9_369</t>
  </si>
  <si>
    <t>BI10.9_370</t>
  </si>
  <si>
    <t>BI10.10</t>
  </si>
  <si>
    <t>BI10.10_380</t>
  </si>
  <si>
    <t>BI10.10_381</t>
  </si>
  <si>
    <t>BI10.10_382</t>
  </si>
  <si>
    <t>BI10.10_383</t>
  </si>
  <si>
    <t>BI10.10_384</t>
  </si>
  <si>
    <t>BI10.10_385</t>
  </si>
  <si>
    <t>BI10.10_386</t>
  </si>
  <si>
    <t>BI10.10_387</t>
  </si>
  <si>
    <t>BI10.10_388</t>
  </si>
  <si>
    <t>BI10.10_389</t>
  </si>
  <si>
    <t>BI10.10_390</t>
  </si>
  <si>
    <t>BI10.10_391</t>
  </si>
  <si>
    <t>BI10.10_392</t>
  </si>
  <si>
    <t>BI10.10_393</t>
  </si>
  <si>
    <t>BI10.10_394</t>
  </si>
  <si>
    <t>BI10.10_395</t>
  </si>
  <si>
    <t>BI10.10_396</t>
  </si>
  <si>
    <t>BI10.10_397</t>
  </si>
  <si>
    <t>BI10.10_398</t>
  </si>
  <si>
    <t>BI10.10_399</t>
  </si>
  <si>
    <t>BI10.10_400</t>
  </si>
  <si>
    <t>BI10.10_401</t>
  </si>
  <si>
    <t>BI10.10_402</t>
  </si>
  <si>
    <t>BI10.10_403</t>
  </si>
  <si>
    <t>BI10.10_404</t>
  </si>
  <si>
    <t>BI10.10_405</t>
  </si>
  <si>
    <t>BI10.10_406</t>
  </si>
  <si>
    <t>BI10.10_407</t>
  </si>
  <si>
    <t>BI10.10_408</t>
  </si>
  <si>
    <t>BI10.10_409</t>
  </si>
  <si>
    <t>BI10.10_410</t>
  </si>
  <si>
    <t>BI10.10_411</t>
  </si>
  <si>
    <t>BI10.10_412</t>
  </si>
  <si>
    <t>BI10.10_413</t>
  </si>
  <si>
    <t>BI10.11</t>
  </si>
  <si>
    <t>BI10.11_418</t>
  </si>
  <si>
    <t>BI10.11_419</t>
  </si>
  <si>
    <t>BI10.11_420</t>
  </si>
  <si>
    <t>BI10.11_421</t>
  </si>
  <si>
    <t>BI10.11_422</t>
  </si>
  <si>
    <t>BI10.11_423</t>
  </si>
  <si>
    <t>BI10.11_424</t>
  </si>
  <si>
    <t>BI10.11_425</t>
  </si>
  <si>
    <t>BI10.11_426</t>
  </si>
  <si>
    <t>BI10.11_427</t>
  </si>
  <si>
    <t>BI10.11_428</t>
  </si>
  <si>
    <t>BI10.11_429</t>
  </si>
  <si>
    <t>BI10.11_430</t>
  </si>
  <si>
    <t>BI10.11_431</t>
  </si>
  <si>
    <t>BI10.11_432</t>
  </si>
  <si>
    <t>BI10.11_433</t>
  </si>
  <si>
    <t>BI10.11_434</t>
  </si>
  <si>
    <t>BI10.11_435</t>
  </si>
  <si>
    <t>BI10.11_436</t>
  </si>
  <si>
    <t>BI10.11_437</t>
  </si>
  <si>
    <t>BI10.11_438</t>
  </si>
  <si>
    <t>BI10.11_439</t>
  </si>
  <si>
    <t>BI10.11_440</t>
  </si>
  <si>
    <t>BI10.11_441</t>
  </si>
  <si>
    <t>BI10.11_442</t>
  </si>
  <si>
    <t>BI10.11_443</t>
  </si>
  <si>
    <t>BI10.11_444</t>
  </si>
  <si>
    <t>BI10.11_445</t>
  </si>
  <si>
    <t>BI10.11_446</t>
  </si>
  <si>
    <t>BI10.11_447</t>
  </si>
  <si>
    <t>BI10.11_448</t>
  </si>
  <si>
    <t>BI10.11_449</t>
  </si>
  <si>
    <t>BI10.11_450</t>
  </si>
  <si>
    <t>BI10.11_451</t>
  </si>
  <si>
    <t>BI10.11_452</t>
  </si>
  <si>
    <t>BI10.12</t>
  </si>
  <si>
    <t>BI10.12_459</t>
  </si>
  <si>
    <t>BI10.12_460</t>
  </si>
  <si>
    <t>BI10.12_461</t>
  </si>
  <si>
    <t>BI10.12_462</t>
  </si>
  <si>
    <t>BI10.12_463</t>
  </si>
  <si>
    <t>BI10.12_464</t>
  </si>
  <si>
    <t>BI10.12_465</t>
  </si>
  <si>
    <t>BI10.12_466</t>
  </si>
  <si>
    <t>BI10.12_467</t>
  </si>
  <si>
    <t>BI10.12_468</t>
  </si>
  <si>
    <t>BI10.12_469</t>
  </si>
  <si>
    <t>BI10.12_470</t>
  </si>
  <si>
    <t>BI10.12_471</t>
  </si>
  <si>
    <t>BI10.12_472</t>
  </si>
  <si>
    <t>BI10.12_473</t>
  </si>
  <si>
    <t>BI10.12_474</t>
  </si>
  <si>
    <t>BI10.12_475</t>
  </si>
  <si>
    <t>BI10.12_476</t>
  </si>
  <si>
    <t>BI10.12_477</t>
  </si>
  <si>
    <t>BI10.12_478</t>
  </si>
  <si>
    <t>BI10.12_479</t>
  </si>
  <si>
    <t>BI10.12_480</t>
  </si>
  <si>
    <t>BI10.12_481</t>
  </si>
  <si>
    <t>BI10.12_482</t>
  </si>
  <si>
    <t>BI10.13</t>
  </si>
  <si>
    <t>BI10.13_511</t>
  </si>
  <si>
    <t>BI10.13_512</t>
  </si>
  <si>
    <t>BI10.13_513</t>
  </si>
  <si>
    <t>BI10.13_514</t>
  </si>
  <si>
    <t>BI10.13_515</t>
  </si>
  <si>
    <t>BI10.13_516</t>
  </si>
  <si>
    <t>BI10.13_517</t>
  </si>
  <si>
    <t>BI10.13_518</t>
  </si>
  <si>
    <t>BI10.13_519</t>
  </si>
  <si>
    <t>BI10.13_520</t>
  </si>
  <si>
    <t>BI10.13_521</t>
  </si>
  <si>
    <t>BI10.13_522</t>
  </si>
  <si>
    <t>BI10.13_523</t>
  </si>
  <si>
    <t>BI10.13_524</t>
  </si>
  <si>
    <t>BI10.13_525</t>
  </si>
  <si>
    <t>BI10.13_526</t>
  </si>
  <si>
    <t>BI10.13_527</t>
  </si>
  <si>
    <t>BI10.13_528</t>
  </si>
  <si>
    <t>BI10.13_529</t>
  </si>
  <si>
    <t>BI10.13_530</t>
  </si>
  <si>
    <t>Isla Hermite</t>
  </si>
  <si>
    <t>HER42PB</t>
  </si>
  <si>
    <t>HER42PB1A</t>
  </si>
  <si>
    <t>HER42PB1A_1</t>
  </si>
  <si>
    <t>A</t>
  </si>
  <si>
    <t>HER42PB1A_2</t>
  </si>
  <si>
    <t>HER42PB1A_3</t>
  </si>
  <si>
    <t>HER42PB1A_4</t>
  </si>
  <si>
    <t>HER42PB1A_5</t>
  </si>
  <si>
    <t>HER42PB1A_6</t>
  </si>
  <si>
    <t>HER42PB1A_7</t>
  </si>
  <si>
    <t>HER42PB1A_8</t>
  </si>
  <si>
    <t>HER42PB1A_9</t>
  </si>
  <si>
    <t>HER42PB1A_10</t>
  </si>
  <si>
    <t>HER42PB1A_11</t>
  </si>
  <si>
    <t>HER42PB1A_12</t>
  </si>
  <si>
    <t>HER42PB1A_13</t>
  </si>
  <si>
    <t>HER42PB1A_14</t>
  </si>
  <si>
    <t>HER42PB1A_15</t>
  </si>
  <si>
    <t>HER42PB1A_16</t>
  </si>
  <si>
    <t>HER42PB1A_17</t>
  </si>
  <si>
    <t>HER42PB1A_18</t>
  </si>
  <si>
    <t>HER42PB1A_19</t>
  </si>
  <si>
    <t>HER42PB1A_20</t>
  </si>
  <si>
    <t>HER42PB1A_21</t>
  </si>
  <si>
    <t>HER42PB1A_22</t>
  </si>
  <si>
    <t>HER42PB1A_23</t>
  </si>
  <si>
    <t>HER42PB1A_24</t>
  </si>
  <si>
    <t>HER42PB1A_25</t>
  </si>
  <si>
    <t>HER42PB1A_26</t>
  </si>
  <si>
    <t>HER42PB1A_27</t>
  </si>
  <si>
    <t>HER42PB1A_28</t>
  </si>
  <si>
    <t>HER42PB1A_29</t>
  </si>
  <si>
    <t>HER42PB1A_30</t>
  </si>
  <si>
    <t>HER42PB1A_31</t>
  </si>
  <si>
    <t>HER42PB1A_32</t>
  </si>
  <si>
    <t>HER42PB1A_33</t>
  </si>
  <si>
    <t>HER42PB1A_34</t>
  </si>
  <si>
    <t>HER42PB1B</t>
  </si>
  <si>
    <t>HER42PB1B_42</t>
  </si>
  <si>
    <t>B</t>
  </si>
  <si>
    <t>HER42PB1B_43</t>
  </si>
  <si>
    <t>HER42PB1B_44</t>
  </si>
  <si>
    <t>HER42PB1B_45</t>
  </si>
  <si>
    <t>HER42PB1B_46</t>
  </si>
  <si>
    <t>HER42PB1B_47</t>
  </si>
  <si>
    <t>HER42PB1B_48</t>
  </si>
  <si>
    <t>HER42PB1B_49</t>
  </si>
  <si>
    <t>HER42PB1B_50</t>
  </si>
  <si>
    <t>HER42PB1B_51</t>
  </si>
  <si>
    <t>HER42PB1B_52</t>
  </si>
  <si>
    <t>HER42PB1B_53</t>
  </si>
  <si>
    <t>HER42PB1B_54</t>
  </si>
  <si>
    <t>HER42PB1B_55</t>
  </si>
  <si>
    <t>HER42PB1B_56</t>
  </si>
  <si>
    <t>HER42PB1B_57</t>
  </si>
  <si>
    <t>HER42PB1B_58</t>
  </si>
  <si>
    <t>HER42PB1B_59</t>
  </si>
  <si>
    <t>HER42PB1B_60</t>
  </si>
  <si>
    <t>HER42PB1B_61</t>
  </si>
  <si>
    <t>HER42PB1B_62</t>
  </si>
  <si>
    <t>HER42PB1B_63</t>
  </si>
  <si>
    <t>HER42PB1B_64</t>
  </si>
  <si>
    <t>HER42PB1B_65</t>
  </si>
  <si>
    <t>HER42PB1B_66</t>
  </si>
  <si>
    <t>HER42PB1B_67</t>
  </si>
  <si>
    <t>HER42PB1B_68</t>
  </si>
  <si>
    <t>HER42PB1B_69</t>
  </si>
  <si>
    <t>HER42PB1B_70</t>
  </si>
  <si>
    <t>HER42PB1B_71</t>
  </si>
  <si>
    <t>HER42PB1B_72</t>
  </si>
  <si>
    <t>HER42PB1C</t>
  </si>
  <si>
    <t>HER42PB1C_80</t>
  </si>
  <si>
    <t>C</t>
  </si>
  <si>
    <t>HER42PB1C_81</t>
  </si>
  <si>
    <t>HER42PB1C_82</t>
  </si>
  <si>
    <t>HER42PB1C_83</t>
  </si>
  <si>
    <t>HER42PB1C_84</t>
  </si>
  <si>
    <t>HER42PB1C_85</t>
  </si>
  <si>
    <t>HER42PB1C_86</t>
  </si>
  <si>
    <t>HER42PB1C_87</t>
  </si>
  <si>
    <t>HER42PB1C_88</t>
  </si>
  <si>
    <t>HER42PB1C_89</t>
  </si>
  <si>
    <t>HER42PB1C_90</t>
  </si>
  <si>
    <t>HER42PB1C_91</t>
  </si>
  <si>
    <t>HER42PB1C_92</t>
  </si>
  <si>
    <t>HER42PB1C_93</t>
  </si>
  <si>
    <t>HER42PB1C_94</t>
  </si>
  <si>
    <t>HER42PB1C_95</t>
  </si>
  <si>
    <t>HER42PB1C_96</t>
  </si>
  <si>
    <t>HER42PB1C_97</t>
  </si>
  <si>
    <t>HER42PB1C_98</t>
  </si>
  <si>
    <t>HER42PB1C_99</t>
  </si>
  <si>
    <t>HER42PB1C_100</t>
  </si>
  <si>
    <t>HER42PB1C_101</t>
  </si>
  <si>
    <t>HER42PB1C_102</t>
  </si>
  <si>
    <t>HER42PB1C_103</t>
  </si>
  <si>
    <t>HER42PB1C_104</t>
  </si>
  <si>
    <t>HER42PB1C_105</t>
  </si>
  <si>
    <t>HER42PB1C_106</t>
  </si>
  <si>
    <t>HER42PB1C_107</t>
  </si>
  <si>
    <t>HER42PB1C_108</t>
  </si>
  <si>
    <t>HER42PB1C_109</t>
  </si>
  <si>
    <t>HER42PB1D</t>
  </si>
  <si>
    <t>HER42PB1D_117</t>
  </si>
  <si>
    <t>D</t>
  </si>
  <si>
    <t>HER42PB1D_118</t>
  </si>
  <si>
    <t>HER42PB1D_119</t>
  </si>
  <si>
    <t>HER42PB1D_120</t>
  </si>
  <si>
    <t>HER42PB1D_121</t>
  </si>
  <si>
    <t>HER42PB1D_122</t>
  </si>
  <si>
    <t>HER42PB1D_123</t>
  </si>
  <si>
    <t>HER42PB1D_124</t>
  </si>
  <si>
    <t>HER42PB1D_125</t>
  </si>
  <si>
    <t>HER42PB1D_126</t>
  </si>
  <si>
    <t>HER42PB1D_127</t>
  </si>
  <si>
    <t>HER42PB1D_128</t>
  </si>
  <si>
    <t>HER42PB1D_129</t>
  </si>
  <si>
    <t>HER42PB1D_130</t>
  </si>
  <si>
    <t>HER42PB1D_131</t>
  </si>
  <si>
    <t>HER42PB1D_132</t>
  </si>
  <si>
    <t>HER42PB1D_133</t>
  </si>
  <si>
    <t>HER42PB1D_134</t>
  </si>
  <si>
    <t>HER42PB1D_135</t>
  </si>
  <si>
    <t>HER42PB1D_136</t>
  </si>
  <si>
    <t>HER42PB1D_137</t>
  </si>
  <si>
    <t>HER42PB1D_138</t>
  </si>
  <si>
    <t>HER42PB1D_139</t>
  </si>
  <si>
    <t>HER42PB1D_140</t>
  </si>
  <si>
    <t>HER42PB1D_141</t>
  </si>
  <si>
    <t>HER42PB1D_142</t>
  </si>
  <si>
    <t>HER42PB1D_143</t>
  </si>
  <si>
    <t>HER42PB1D_144</t>
  </si>
  <si>
    <t>HER42PB1D_145</t>
  </si>
  <si>
    <t>HER42PB1D_146</t>
  </si>
  <si>
    <t>HER42PB1D_147</t>
  </si>
  <si>
    <t>HER42PB1D_148</t>
  </si>
  <si>
    <t>HER42PB1D_149</t>
  </si>
  <si>
    <t>HER42PB1E</t>
  </si>
  <si>
    <t>HER42PB1E_156</t>
  </si>
  <si>
    <t>E</t>
  </si>
  <si>
    <t>HER42PB1E_157</t>
  </si>
  <si>
    <t>HER42PB1E_158</t>
  </si>
  <si>
    <t>HER42PB1E_159</t>
  </si>
  <si>
    <t>HER42PB1E_160</t>
  </si>
  <si>
    <t>HER42PB1E_161</t>
  </si>
  <si>
    <t>HER42PB1E_162</t>
  </si>
  <si>
    <t>HER42PB1E_163</t>
  </si>
  <si>
    <t>HER42PB1E_164</t>
  </si>
  <si>
    <t>HER42PB1E_165</t>
  </si>
  <si>
    <t>HER42PB1E_166</t>
  </si>
  <si>
    <t>HER42PB1E_167</t>
  </si>
  <si>
    <t>HER42PB1E_168</t>
  </si>
  <si>
    <t>HER42PB1E_169</t>
  </si>
  <si>
    <t>HER42PB1E_170</t>
  </si>
  <si>
    <t>HER42PB1E_171</t>
  </si>
  <si>
    <t>HER42PB1E_172</t>
  </si>
  <si>
    <t>HER42PB1E_173</t>
  </si>
  <si>
    <t>HER42PB1E_174</t>
  </si>
  <si>
    <t>HER42PB1E_175</t>
  </si>
  <si>
    <t>HER42PB1E_176</t>
  </si>
  <si>
    <t>HER42PB1E_177</t>
  </si>
  <si>
    <t>HER42PB1E_178</t>
  </si>
  <si>
    <t>HER42PB1E_179</t>
  </si>
  <si>
    <t>HER42PB1E_180</t>
  </si>
  <si>
    <t>HER42PB1E_181</t>
  </si>
  <si>
    <t>HER42PB1F</t>
  </si>
  <si>
    <t>HER42PB1F_188</t>
  </si>
  <si>
    <t>F</t>
  </si>
  <si>
    <t>HER42PB1F_189</t>
  </si>
  <si>
    <t>HER42PB1F_190</t>
  </si>
  <si>
    <t>HER42PB1F_191</t>
  </si>
  <si>
    <t>HER42PB1F_192</t>
  </si>
  <si>
    <t>HER42PB1F_193</t>
  </si>
  <si>
    <t>HER42PB1F_194</t>
  </si>
  <si>
    <t>HER42PB1F_195</t>
  </si>
  <si>
    <t>HER42PB1F_196</t>
  </si>
  <si>
    <t>HER42PB1F_197</t>
  </si>
  <si>
    <t>HER42PB1F_198</t>
  </si>
  <si>
    <t>HER42PB1F_199</t>
  </si>
  <si>
    <t>HER42PB1F_200</t>
  </si>
  <si>
    <t>HER42PB1F_201</t>
  </si>
  <si>
    <t>HER42PB1F_202</t>
  </si>
  <si>
    <t>HER42PB1F_203</t>
  </si>
  <si>
    <t>HER42PB1F_204</t>
  </si>
  <si>
    <t>HER42PB1F_205</t>
  </si>
  <si>
    <t>HER42PB1F_206</t>
  </si>
  <si>
    <t>HER42PB1F_207</t>
  </si>
  <si>
    <t>HER42PB1F_208</t>
  </si>
  <si>
    <t>HER42PB1F_209</t>
  </si>
  <si>
    <t>HER42PB1F_210</t>
  </si>
  <si>
    <t>HER42PB1F_211</t>
  </si>
  <si>
    <t>HER42PB1F_212</t>
  </si>
  <si>
    <t>HER42PB1F_213</t>
  </si>
  <si>
    <t>HER42PB1G</t>
  </si>
  <si>
    <t>HER42PB1G_220</t>
  </si>
  <si>
    <t>G</t>
  </si>
  <si>
    <t>HER42PB1G_221</t>
  </si>
  <si>
    <t>HER42PB1G_222</t>
  </si>
  <si>
    <t>HER42PB1G_223</t>
  </si>
  <si>
    <t>HER42PB1G_224</t>
  </si>
  <si>
    <t>HER42PB1G_225</t>
  </si>
  <si>
    <t>HER42PB1G_226</t>
  </si>
  <si>
    <t>HER42PB1G_227</t>
  </si>
  <si>
    <t>HER42PB1G_228</t>
  </si>
  <si>
    <t>HER42PB1G_229</t>
  </si>
  <si>
    <t>HER42PB1G_230</t>
  </si>
  <si>
    <t>HER42PB1G_231</t>
  </si>
  <si>
    <t>HER42PB1G_232</t>
  </si>
  <si>
    <t>HER42PB1G_233</t>
  </si>
  <si>
    <t>HER42PB1G_234</t>
  </si>
  <si>
    <t>HER42PB1G_235</t>
  </si>
  <si>
    <t>HER42PB1G_236</t>
  </si>
  <si>
    <t>HER42PB1G_237</t>
  </si>
  <si>
    <t>HER42PB1G_238</t>
  </si>
  <si>
    <t>HER42PB1G_239</t>
  </si>
  <si>
    <t>HER42PB1G_240</t>
  </si>
  <si>
    <t>HER42PB1G_241</t>
  </si>
  <si>
    <t>HER42PB1G_242</t>
  </si>
  <si>
    <t>HER42PB1G_243</t>
  </si>
  <si>
    <t>HER42PB1G_244</t>
  </si>
  <si>
    <t>HER42PB1G_245</t>
  </si>
  <si>
    <t>HER42PB1G_246</t>
  </si>
  <si>
    <t>HER42PB1G_247</t>
  </si>
  <si>
    <t>HER42PB1G_248</t>
  </si>
  <si>
    <t>HER42PB1G_249</t>
  </si>
  <si>
    <t>HER42PB1G_250</t>
  </si>
  <si>
    <t>HER42PB1G_251</t>
  </si>
  <si>
    <t>HER42PB1H</t>
  </si>
  <si>
    <t>HER42PB1H_259</t>
  </si>
  <si>
    <t>H</t>
  </si>
  <si>
    <t>HER42PB1H_260</t>
  </si>
  <si>
    <t>HER42PB1H_261</t>
  </si>
  <si>
    <t>HER42PB1H_262</t>
  </si>
  <si>
    <t>HER42PB1H_263</t>
  </si>
  <si>
    <t>HER42PB1H_264</t>
  </si>
  <si>
    <t>HER42PB1H_265</t>
  </si>
  <si>
    <t>HER42PB1H_266</t>
  </si>
  <si>
    <t>HER42PB1H_267</t>
  </si>
  <si>
    <t>HER42PB1H_268</t>
  </si>
  <si>
    <t>HER42PB1H_269</t>
  </si>
  <si>
    <t>HER42PB1H_270</t>
  </si>
  <si>
    <t>HER42PB1H_271</t>
  </si>
  <si>
    <t>HER42PB1H_272</t>
  </si>
  <si>
    <t>HER42PB1H_273</t>
  </si>
  <si>
    <t>HER42PB1H_274</t>
  </si>
  <si>
    <t>HER42PB1H_275</t>
  </si>
  <si>
    <t>HER42PB1H_276</t>
  </si>
  <si>
    <t>HER42PB1H_277</t>
  </si>
  <si>
    <t>HER42PB1H_278</t>
  </si>
  <si>
    <t>HER42PB1H_279</t>
  </si>
  <si>
    <t>HER42PB1H_280</t>
  </si>
  <si>
    <t>HER42PB1H_281</t>
  </si>
  <si>
    <t>HER42PB1H_282</t>
  </si>
  <si>
    <t>HER42PB1H_283</t>
  </si>
  <si>
    <t>HER42PB1H_284</t>
  </si>
  <si>
    <t>HER42PB1H_285</t>
  </si>
  <si>
    <t>HER42PB1I</t>
  </si>
  <si>
    <t>HER42PB1I_292</t>
  </si>
  <si>
    <t>I</t>
  </si>
  <si>
    <t>HER42PB1I_293</t>
  </si>
  <si>
    <t>HER42PB1I_294</t>
  </si>
  <si>
    <t>HER42PB1I_295</t>
  </si>
  <si>
    <t>HER42PB1I_296</t>
  </si>
  <si>
    <t>HER42PB1I_297</t>
  </si>
  <si>
    <t>HER42PB1I_298</t>
  </si>
  <si>
    <t>HER42PB1I_299</t>
  </si>
  <si>
    <t>HER42PB1I_300</t>
  </si>
  <si>
    <t>HER42PB1I_301</t>
  </si>
  <si>
    <t>HER42PB1I_302</t>
  </si>
  <si>
    <t>HER42PB1I_303</t>
  </si>
  <si>
    <t>HER42PB1I_304</t>
  </si>
  <si>
    <t>HER42PB1I_305</t>
  </si>
  <si>
    <t>HER42PB1I_306</t>
  </si>
  <si>
    <t>HER42PB1I_307</t>
  </si>
  <si>
    <t>HER42PB1I_308</t>
  </si>
  <si>
    <t>HER42PB1I_309</t>
  </si>
  <si>
    <t>HER42PB1I_310</t>
  </si>
  <si>
    <t>HER42PB1I_311</t>
  </si>
  <si>
    <t>HER42PB1I_312</t>
  </si>
  <si>
    <t>HER42PB1I_313</t>
  </si>
  <si>
    <t>HER42PB1I_314</t>
  </si>
  <si>
    <t>HER42PB1I_315</t>
  </si>
  <si>
    <t>HER42PB1I_316</t>
  </si>
  <si>
    <t>HER42PB1I_317</t>
  </si>
  <si>
    <t>HER42PB1I_318</t>
  </si>
  <si>
    <t>HER42PB1I_319</t>
  </si>
  <si>
    <t>HER42PB1I_320</t>
  </si>
  <si>
    <t>HER42PB1I_321</t>
  </si>
  <si>
    <t>HER42PB1J</t>
  </si>
  <si>
    <t>HER42PB1J_328</t>
  </si>
  <si>
    <t>J</t>
  </si>
  <si>
    <t>HER42PB1J_329</t>
  </si>
  <si>
    <t>HER42PB1J_330</t>
  </si>
  <si>
    <t>HER42PB1J_331</t>
  </si>
  <si>
    <t>HER42PB1J_332</t>
  </si>
  <si>
    <t>HER42PB1J_333</t>
  </si>
  <si>
    <t>HER42PB1J_334</t>
  </si>
  <si>
    <t>HER42PB1J_335</t>
  </si>
  <si>
    <t>HER42PB1J_336</t>
  </si>
  <si>
    <t>HER42PB1J_337</t>
  </si>
  <si>
    <t>HER42PB1J_338</t>
  </si>
  <si>
    <t>HER42PB1J_339</t>
  </si>
  <si>
    <t>HER42PB1J_340</t>
  </si>
  <si>
    <t>HER42PB1J_341</t>
  </si>
  <si>
    <t>HER42PB1J_342</t>
  </si>
  <si>
    <t>HER42PB1J_343</t>
  </si>
  <si>
    <t>HER42PB1J_344</t>
  </si>
  <si>
    <t>HER42PB1J_345</t>
  </si>
  <si>
    <t>HER42PB1J_346</t>
  </si>
  <si>
    <t>HER42PB1J_347</t>
  </si>
  <si>
    <t>HER42PB1J_348</t>
  </si>
  <si>
    <t>HER42PB1J_349</t>
  </si>
  <si>
    <t>HER42PB1J_350</t>
  </si>
  <si>
    <t>HER42PB1J_351</t>
  </si>
  <si>
    <t>HER42PB1J_352</t>
  </si>
  <si>
    <t>HER42PB1J_353</t>
  </si>
  <si>
    <t>HER42PB1J_354</t>
  </si>
  <si>
    <t>HER42PB1J_355</t>
  </si>
  <si>
    <t>HER42PB1J_356</t>
  </si>
  <si>
    <t>HER42PB1J_357</t>
  </si>
  <si>
    <t>HER42PB1J_358</t>
  </si>
  <si>
    <t>HER42PB1J_359</t>
  </si>
  <si>
    <t>HER42PB1J_360</t>
  </si>
  <si>
    <t>HER42PB1J_361</t>
  </si>
  <si>
    <t>HER42PB1J_362</t>
  </si>
  <si>
    <t>HER42PB1J_363</t>
  </si>
  <si>
    <t>Dry_mass_pc_err</t>
  </si>
  <si>
    <t>accrate_err</t>
  </si>
  <si>
    <t>SH20_mean_95CI</t>
  </si>
  <si>
    <t>Bag_mass_g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</si>
</sst>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0.00000"/>
    <numFmt numFmtId="167" formatCode="0.0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17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8" fillId="0" borderId="0" xfId="0" applyFont="1"/>
    <xf numFmtId="0" fontId="0" fillId="0" borderId="0" xfId="0" applyAlignment="1">
      <alignment horizontal="center"/>
    </xf>
    <xf numFmtId="167" fontId="0" fillId="0" borderId="0" xfId="0" applyNumberFormat="1"/>
    <xf numFmtId="164" fontId="0" fillId="0" borderId="0" xfId="42" applyNumberFormat="1" applyFont="1"/>
    <xf numFmtId="2" fontId="0" fillId="0" borderId="0" xfId="42" applyNumberFormat="1" applyFont="1"/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8" fillId="0" borderId="0" xfId="0" applyFont="1" applyAlignment="1">
      <alignment horizontal="right"/>
    </xf>
    <xf numFmtId="165" fontId="18" fillId="0" borderId="0" xfId="0" applyNumberFormat="1" applyFont="1"/>
    <xf numFmtId="164" fontId="18" fillId="0" borderId="0" xfId="0" applyNumberFormat="1" applyFont="1"/>
    <xf numFmtId="2" fontId="18" fillId="0" borderId="0" xfId="0" applyNumberFormat="1" applyFont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2" xr:uid="{66B537B1-A653-D34B-9DD2-50378935344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13959-11CE-104C-942E-4389835BB2C2}">
  <dimension ref="A1:AW726"/>
  <sheetViews>
    <sheetView tabSelected="1" topLeftCell="R1" workbookViewId="0">
      <pane ySplit="1" topLeftCell="A317" activePane="bottomLeft" state="frozen"/>
      <selection pane="bottomLeft" activeCell="AG329" sqref="AG329"/>
    </sheetView>
  </sheetViews>
  <sheetFormatPr baseColWidth="10" defaultRowHeight="16" x14ac:dyDescent="0.2"/>
  <cols>
    <col min="2" max="2" width="10.83203125" customWidth="1"/>
    <col min="34" max="36" width="10.83203125" style="1"/>
    <col min="37" max="37" width="10.83203125" style="2"/>
    <col min="38" max="41" width="10.83203125" style="1"/>
  </cols>
  <sheetData>
    <row r="1" spans="1:4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809</v>
      </c>
      <c r="AA1" t="s">
        <v>25</v>
      </c>
      <c r="AB1" t="s">
        <v>808</v>
      </c>
      <c r="AC1" t="s">
        <v>810</v>
      </c>
      <c r="AD1" t="s">
        <v>26</v>
      </c>
      <c r="AE1" t="s">
        <v>27</v>
      </c>
      <c r="AF1" t="s">
        <v>28</v>
      </c>
      <c r="AG1" t="s">
        <v>29</v>
      </c>
      <c r="AH1" s="1" t="s">
        <v>30</v>
      </c>
      <c r="AI1" s="1" t="s">
        <v>31</v>
      </c>
      <c r="AJ1" s="1" t="s">
        <v>807</v>
      </c>
      <c r="AK1" s="2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</row>
    <row r="2" spans="1:49" x14ac:dyDescent="0.2">
      <c r="A2" t="s">
        <v>45</v>
      </c>
      <c r="B2" s="5" t="s">
        <v>46</v>
      </c>
      <c r="C2" s="5" t="s">
        <v>47</v>
      </c>
      <c r="D2" s="5" t="s">
        <v>48</v>
      </c>
      <c r="E2">
        <v>1</v>
      </c>
      <c r="F2" s="6">
        <v>1</v>
      </c>
      <c r="G2" s="3">
        <v>2.2999999999999998</v>
      </c>
      <c r="H2" s="3">
        <v>2</v>
      </c>
      <c r="I2" s="3">
        <v>1.1000000000000001</v>
      </c>
      <c r="J2" s="3">
        <v>0</v>
      </c>
      <c r="K2" s="3">
        <v>1.1000000000000001</v>
      </c>
      <c r="L2" s="3">
        <v>0.55000000000000004</v>
      </c>
      <c r="M2" s="1">
        <v>0.21</v>
      </c>
      <c r="N2" s="3">
        <v>0</v>
      </c>
      <c r="O2" s="3">
        <v>1.1000000000000001</v>
      </c>
      <c r="P2" s="3">
        <v>0.55000000000000004</v>
      </c>
      <c r="Q2" s="3">
        <v>0</v>
      </c>
      <c r="R2" s="3">
        <v>1.1000000000000001</v>
      </c>
      <c r="S2" s="3">
        <v>0.6</v>
      </c>
      <c r="T2" s="3">
        <v>0.6</v>
      </c>
      <c r="U2" s="7">
        <f>((R2-S2)+(S2-Q2))/2</f>
        <v>0.55000000000000004</v>
      </c>
      <c r="V2" s="3">
        <v>-67.05</v>
      </c>
      <c r="W2" s="3">
        <v>-52.07</v>
      </c>
      <c r="X2" s="3">
        <v>-61.26</v>
      </c>
      <c r="Y2" s="3">
        <v>-60.69</v>
      </c>
      <c r="Z2" s="3">
        <f>((W2-Y2)+(Y2-V2))/2</f>
        <v>7.4899999999999984</v>
      </c>
      <c r="AA2" s="4">
        <f>(T3-T2)/(Y3-Y2)</f>
        <v>9.5168374816983911E-2</v>
      </c>
      <c r="AB2" s="4">
        <f>AA2*((Z2/Y2)+(U2/T2))</f>
        <v>7.5492560300323752E-2</v>
      </c>
      <c r="AC2">
        <v>1.1476266666666668</v>
      </c>
      <c r="AD2" s="2">
        <v>4.5571000000000002</v>
      </c>
      <c r="AE2" s="2">
        <v>1.5743</v>
      </c>
      <c r="AF2" s="2">
        <f>AD2-AE2</f>
        <v>2.9828000000000001</v>
      </c>
      <c r="AG2" s="2">
        <v>0.42667333333333324</v>
      </c>
      <c r="AH2" s="1">
        <f>((AD2-AC2)-(AE2-AC2))/(AD2-AC2)*100</f>
        <v>87.485652720557042</v>
      </c>
      <c r="AI2" s="1">
        <f>100-AH2</f>
        <v>12.514347279442958</v>
      </c>
      <c r="AJ2" s="1">
        <f>AI2*0.05</f>
        <v>0.62571736397214794</v>
      </c>
      <c r="AK2" s="8">
        <v>1.3399999999999856E-2</v>
      </c>
      <c r="AL2" s="9">
        <v>90.556730091613886</v>
      </c>
      <c r="AM2" s="10">
        <v>4.5278365045806943</v>
      </c>
      <c r="AN2" s="10">
        <v>52.344930688794157</v>
      </c>
      <c r="AO2" s="11">
        <v>4.5287308831739512</v>
      </c>
      <c r="AP2" s="2">
        <v>3.9915287500000001</v>
      </c>
      <c r="AQ2" s="2">
        <f>AP2*((G2*0.01)+(H2*0.01)+(I2*0.01))</f>
        <v>0.21554255250000001</v>
      </c>
      <c r="AR2" s="2">
        <v>0.85417732074041397</v>
      </c>
      <c r="AS2" s="2">
        <v>0.10689471629969675</v>
      </c>
      <c r="AT2" s="2">
        <f>AS2*0.1</f>
        <v>1.0689471629969676E-2</v>
      </c>
      <c r="AU2" s="2">
        <f>AS2*AA2</f>
        <v>1.01729964267647E-2</v>
      </c>
      <c r="AV2" s="2">
        <f>AU2*((AT2/AS2)+(AQ2/AP2))</f>
        <v>1.5666414497217639E-3</v>
      </c>
      <c r="AW2" s="3">
        <f>(AV2/AU2)*100</f>
        <v>15.4</v>
      </c>
    </row>
    <row r="3" spans="1:49" x14ac:dyDescent="0.2">
      <c r="A3" t="s">
        <v>45</v>
      </c>
      <c r="B3" s="5" t="s">
        <v>46</v>
      </c>
      <c r="C3" s="5" t="s">
        <v>47</v>
      </c>
      <c r="D3" s="5" t="s">
        <v>49</v>
      </c>
      <c r="E3">
        <v>1</v>
      </c>
      <c r="F3" s="6">
        <v>2</v>
      </c>
      <c r="G3" s="3">
        <v>2</v>
      </c>
      <c r="H3" s="3">
        <v>2.4500000000000002</v>
      </c>
      <c r="I3" s="3">
        <v>1.1000000000000001</v>
      </c>
      <c r="J3" s="3">
        <v>1.3055555555555554</v>
      </c>
      <c r="K3" s="3">
        <v>2.4055555555555554</v>
      </c>
      <c r="L3" s="3">
        <v>1.8555555555555554</v>
      </c>
      <c r="M3" s="1">
        <v>0.21</v>
      </c>
      <c r="N3" s="3">
        <v>1.3055555555555554</v>
      </c>
      <c r="O3" s="3">
        <v>2.4055555555555554</v>
      </c>
      <c r="P3" s="3">
        <v>1.8555555555555554</v>
      </c>
      <c r="Q3" s="3">
        <v>1.3055555555555554</v>
      </c>
      <c r="R3" s="3">
        <v>2.4055555555555554</v>
      </c>
      <c r="S3" s="3">
        <v>1.9</v>
      </c>
      <c r="T3" s="3">
        <v>1.9</v>
      </c>
      <c r="U3" s="7">
        <f t="shared" ref="U3:U66" si="0">((R3-S3)+(S3-Q3))/2</f>
        <v>0.55000000000000004</v>
      </c>
      <c r="V3" s="3">
        <v>-65.150000000000006</v>
      </c>
      <c r="W3" s="3">
        <v>-21.29</v>
      </c>
      <c r="X3" s="3">
        <v>-49.04</v>
      </c>
      <c r="Y3" s="3">
        <v>-47.03</v>
      </c>
      <c r="Z3" s="3">
        <f t="shared" ref="Z3:Z66" si="1">((W3-Y3)+(Y3-V3))/2</f>
        <v>21.930000000000003</v>
      </c>
      <c r="AA3" s="4">
        <f t="shared" ref="AA3:AA66" si="2">(T4-T3)/(Y4-Y3)</f>
        <v>9.5168374816983883E-2</v>
      </c>
      <c r="AB3" s="4">
        <f t="shared" ref="AB3:AB66" si="3">AA3*((Z3/Y3)+(U3/T3))</f>
        <v>-1.6828093001060397E-2</v>
      </c>
      <c r="AC3">
        <v>1.1476266666666668</v>
      </c>
      <c r="AD3" s="2">
        <v>5.6410999999999998</v>
      </c>
      <c r="AE3" s="2">
        <v>1.6565000000000001</v>
      </c>
      <c r="AF3" s="2">
        <f t="shared" ref="AF3:AF66" si="4">AD3-AE3</f>
        <v>3.9845999999999995</v>
      </c>
      <c r="AG3" s="2">
        <v>0.50887333333333329</v>
      </c>
      <c r="AH3" s="1">
        <f t="shared" ref="AH3:AH66" si="5">((AD3-AC3)-(AE3-AC3))/(AD3-AC3)*100</f>
        <v>88.675278663424436</v>
      </c>
      <c r="AI3" s="1">
        <f t="shared" ref="AI3:AI66" si="6">100-AH3</f>
        <v>11.324721336575564</v>
      </c>
      <c r="AJ3" s="1">
        <f t="shared" ref="AJ3:AJ66" si="7">AI3*0.05</f>
        <v>0.56623606682877825</v>
      </c>
      <c r="AK3" s="8">
        <v>2.2000000000000242E-2</v>
      </c>
      <c r="AL3" s="9">
        <v>91.379310344827502</v>
      </c>
      <c r="AM3" s="10">
        <v>4.5689655172413755</v>
      </c>
      <c r="AN3" s="9">
        <v>45.689655172413751</v>
      </c>
      <c r="AO3" s="11">
        <v>4.5698518463666575</v>
      </c>
      <c r="AP3" s="2">
        <v>4.2748646875000009</v>
      </c>
      <c r="AQ3" s="2">
        <f t="shared" ref="AQ3:AQ66" si="8">AP3*((G3*0.01)+(H3*0.01)+(I3*0.01))</f>
        <v>0.23725499015625007</v>
      </c>
      <c r="AR3" s="2">
        <v>1.0511381439680556</v>
      </c>
      <c r="AS3" s="2">
        <v>0.11903846566683479</v>
      </c>
      <c r="AT3" s="2">
        <f t="shared" ref="AT3:AT66" si="9">AS3*0.1</f>
        <v>1.1903846566683481E-2</v>
      </c>
      <c r="AU3" s="2">
        <f t="shared" ref="AU3:AU66" si="10">AS3*AA3</f>
        <v>1.1328697318220001E-2</v>
      </c>
      <c r="AV3" s="2">
        <f t="shared" ref="AV3:AV66" si="11">AU3*((AT3/AS3)+(AQ3/AP3))</f>
        <v>1.7616124329832101E-3</v>
      </c>
      <c r="AW3" s="3">
        <f t="shared" ref="AW3:AW66" si="12">(AV3/AU3)*100</f>
        <v>15.55</v>
      </c>
    </row>
    <row r="4" spans="1:49" x14ac:dyDescent="0.2">
      <c r="A4" t="s">
        <v>45</v>
      </c>
      <c r="B4" s="5" t="s">
        <v>46</v>
      </c>
      <c r="C4" s="5" t="s">
        <v>47</v>
      </c>
      <c r="D4" s="5" t="s">
        <v>50</v>
      </c>
      <c r="E4">
        <v>1</v>
      </c>
      <c r="F4" s="6">
        <v>3</v>
      </c>
      <c r="G4" s="3">
        <v>2.65</v>
      </c>
      <c r="H4" s="3">
        <v>2.4</v>
      </c>
      <c r="I4" s="3">
        <v>1.1000000000000001</v>
      </c>
      <c r="J4" s="3">
        <v>2.6111111111111107</v>
      </c>
      <c r="K4" s="3">
        <v>3.7111111111111108</v>
      </c>
      <c r="L4" s="3">
        <v>3.1611111111111105</v>
      </c>
      <c r="M4" s="1">
        <v>0.21</v>
      </c>
      <c r="N4" s="3">
        <v>2.6111111111111107</v>
      </c>
      <c r="O4" s="3">
        <v>3.7111111111111108</v>
      </c>
      <c r="P4" s="3">
        <v>3.1611111111111105</v>
      </c>
      <c r="Q4" s="3">
        <v>2.6111111111111107</v>
      </c>
      <c r="R4" s="3">
        <v>3.7111111111111108</v>
      </c>
      <c r="S4" s="3">
        <v>3.2</v>
      </c>
      <c r="T4" s="3">
        <v>3.2</v>
      </c>
      <c r="U4" s="7">
        <f t="shared" si="0"/>
        <v>0.55000000000000004</v>
      </c>
      <c r="V4" s="3">
        <v>-63.55</v>
      </c>
      <c r="W4" s="3">
        <v>9.98</v>
      </c>
      <c r="X4" s="3">
        <v>-36.619999999999997</v>
      </c>
      <c r="Y4" s="3">
        <v>-33.369999999999997</v>
      </c>
      <c r="Z4" s="3">
        <f t="shared" si="1"/>
        <v>36.765000000000001</v>
      </c>
      <c r="AA4" s="4">
        <f t="shared" si="2"/>
        <v>9.5168374816983911E-2</v>
      </c>
      <c r="AB4" s="4">
        <f t="shared" si="3"/>
        <v>-8.8493558897072694E-2</v>
      </c>
      <c r="AC4">
        <v>1.1476266666666668</v>
      </c>
      <c r="AD4" s="2">
        <v>6.9157000000000002</v>
      </c>
      <c r="AE4" s="2">
        <v>1.7762</v>
      </c>
      <c r="AF4" s="2">
        <f t="shared" si="4"/>
        <v>5.1395</v>
      </c>
      <c r="AG4" s="2">
        <v>0.62857333333333321</v>
      </c>
      <c r="AH4" s="1">
        <f t="shared" si="5"/>
        <v>89.102542616772084</v>
      </c>
      <c r="AI4" s="1">
        <f t="shared" si="6"/>
        <v>10.897457383227916</v>
      </c>
      <c r="AJ4" s="1">
        <f t="shared" si="7"/>
        <v>0.54487286916139588</v>
      </c>
      <c r="AK4" s="8">
        <v>1.6599999999999504E-2</v>
      </c>
      <c r="AL4" s="9">
        <v>87.979724837074912</v>
      </c>
      <c r="AM4" s="10">
        <v>4.3989862418537458</v>
      </c>
      <c r="AN4" s="9">
        <v>43.989862418537456</v>
      </c>
      <c r="AO4" s="11">
        <v>4.399906812197111</v>
      </c>
      <c r="AP4" s="2">
        <v>5.5053521875000007</v>
      </c>
      <c r="AQ4" s="2">
        <f t="shared" si="8"/>
        <v>0.33857915953125006</v>
      </c>
      <c r="AR4" s="2">
        <v>1.0477210425211025</v>
      </c>
      <c r="AS4" s="2">
        <v>0.11417495410384826</v>
      </c>
      <c r="AT4" s="2">
        <f t="shared" si="9"/>
        <v>1.1417495410384827E-2</v>
      </c>
      <c r="AU4" s="2">
        <f t="shared" si="10"/>
        <v>1.0865844826866967E-2</v>
      </c>
      <c r="AV4" s="2">
        <f t="shared" si="11"/>
        <v>1.7548339395390151E-3</v>
      </c>
      <c r="AW4" s="3">
        <f t="shared" si="12"/>
        <v>16.150000000000002</v>
      </c>
    </row>
    <row r="5" spans="1:49" x14ac:dyDescent="0.2">
      <c r="A5" t="s">
        <v>45</v>
      </c>
      <c r="B5" s="5" t="s">
        <v>46</v>
      </c>
      <c r="C5" s="5" t="s">
        <v>47</v>
      </c>
      <c r="D5" s="5" t="s">
        <v>51</v>
      </c>
      <c r="E5">
        <v>1</v>
      </c>
      <c r="F5" s="6">
        <v>4</v>
      </c>
      <c r="G5" s="3">
        <v>1.8</v>
      </c>
      <c r="H5" s="3">
        <v>2.35</v>
      </c>
      <c r="I5" s="3">
        <v>1.1000000000000001</v>
      </c>
      <c r="J5" s="3">
        <v>3.9166666666666661</v>
      </c>
      <c r="K5" s="3">
        <v>5.0166666666666657</v>
      </c>
      <c r="L5" s="3">
        <v>4.4666666666666659</v>
      </c>
      <c r="M5" s="1">
        <v>0.21</v>
      </c>
      <c r="N5" s="3">
        <v>3.9166666666666661</v>
      </c>
      <c r="O5" s="3">
        <v>5.0166666666666657</v>
      </c>
      <c r="P5" s="3">
        <v>4.4666666666666659</v>
      </c>
      <c r="Q5" s="3">
        <v>3.9166666666666661</v>
      </c>
      <c r="R5" s="3">
        <v>5.0166666666666657</v>
      </c>
      <c r="S5" s="3">
        <v>4.5</v>
      </c>
      <c r="T5" s="3">
        <v>4.5</v>
      </c>
      <c r="U5" s="7">
        <f t="shared" si="0"/>
        <v>0.54999999999999982</v>
      </c>
      <c r="V5" s="3">
        <v>-61.9</v>
      </c>
      <c r="W5" s="3">
        <v>41.18</v>
      </c>
      <c r="X5" s="3">
        <v>-24.18</v>
      </c>
      <c r="Y5" s="3">
        <v>-19.71</v>
      </c>
      <c r="Z5" s="3">
        <f t="shared" si="1"/>
        <v>51.54</v>
      </c>
      <c r="AA5" s="4">
        <f t="shared" si="2"/>
        <v>9.5238095238095205E-2</v>
      </c>
      <c r="AB5" s="4">
        <f t="shared" si="3"/>
        <v>-0.23739943465970853</v>
      </c>
      <c r="AC5">
        <v>1.1476266666666668</v>
      </c>
      <c r="AD5" s="2">
        <v>7.3775000000000004</v>
      </c>
      <c r="AE5" s="2">
        <v>1.8008999999999999</v>
      </c>
      <c r="AF5" s="2">
        <f t="shared" si="4"/>
        <v>5.5766000000000009</v>
      </c>
      <c r="AG5" s="2">
        <v>0.65327333333333315</v>
      </c>
      <c r="AH5" s="1">
        <f t="shared" si="5"/>
        <v>89.513858494715265</v>
      </c>
      <c r="AI5" s="1">
        <f t="shared" si="6"/>
        <v>10.486141505284735</v>
      </c>
      <c r="AJ5" s="1">
        <f t="shared" si="7"/>
        <v>0.52430707526423681</v>
      </c>
      <c r="AK5" s="8">
        <v>2.4099999999999788E-2</v>
      </c>
      <c r="AL5" s="9">
        <v>90.305711987127992</v>
      </c>
      <c r="AM5" s="10">
        <v>4.5152855993563996</v>
      </c>
      <c r="AN5" s="9">
        <v>45.152855993563996</v>
      </c>
      <c r="AO5" s="11">
        <v>4.5161824635144319</v>
      </c>
      <c r="AP5" s="2">
        <v>3.7179071875000012</v>
      </c>
      <c r="AQ5" s="2">
        <f t="shared" si="8"/>
        <v>0.19519012734375008</v>
      </c>
      <c r="AR5" s="2">
        <v>1.6756398207784287</v>
      </c>
      <c r="AS5" s="2">
        <v>0.17570996272572578</v>
      </c>
      <c r="AT5" s="2">
        <f t="shared" si="9"/>
        <v>1.7570996272572578E-2</v>
      </c>
      <c r="AU5" s="2">
        <f t="shared" si="10"/>
        <v>1.6734282164354831E-2</v>
      </c>
      <c r="AV5" s="2">
        <f t="shared" si="11"/>
        <v>2.5519780300641117E-3</v>
      </c>
      <c r="AW5" s="3">
        <f t="shared" si="12"/>
        <v>15.25</v>
      </c>
    </row>
    <row r="6" spans="1:49" x14ac:dyDescent="0.2">
      <c r="A6" t="s">
        <v>45</v>
      </c>
      <c r="B6" s="5" t="s">
        <v>46</v>
      </c>
      <c r="C6" s="5" t="s">
        <v>47</v>
      </c>
      <c r="D6" s="5" t="s">
        <v>52</v>
      </c>
      <c r="E6">
        <v>1</v>
      </c>
      <c r="F6" s="6">
        <v>5</v>
      </c>
      <c r="G6" s="3">
        <v>2.2000000000000002</v>
      </c>
      <c r="H6" s="3">
        <v>2.7</v>
      </c>
      <c r="I6" s="3">
        <v>1.1000000000000001</v>
      </c>
      <c r="J6" s="3">
        <v>5.2222222222222214</v>
      </c>
      <c r="K6" s="3">
        <v>6.3222222222222211</v>
      </c>
      <c r="L6" s="3">
        <v>5.7722222222222213</v>
      </c>
      <c r="M6" s="1">
        <v>0.21</v>
      </c>
      <c r="N6" s="3">
        <v>5.2222222222222214</v>
      </c>
      <c r="O6" s="3">
        <v>6.3222222222222211</v>
      </c>
      <c r="P6" s="3">
        <v>5.7722222222222213</v>
      </c>
      <c r="Q6" s="3">
        <v>5.2222222222222214</v>
      </c>
      <c r="R6" s="3">
        <v>6.3222222222222211</v>
      </c>
      <c r="S6" s="3">
        <v>5.8</v>
      </c>
      <c r="T6" s="3">
        <v>5.8</v>
      </c>
      <c r="U6" s="7">
        <f t="shared" si="0"/>
        <v>0.54999999999999982</v>
      </c>
      <c r="V6" s="3">
        <v>-60.26</v>
      </c>
      <c r="W6" s="3">
        <v>72.39</v>
      </c>
      <c r="X6" s="3">
        <v>-11.8</v>
      </c>
      <c r="Y6" s="3">
        <v>-6.06</v>
      </c>
      <c r="Z6" s="3">
        <f t="shared" si="1"/>
        <v>66.325000000000003</v>
      </c>
      <c r="AA6" s="4">
        <f t="shared" si="2"/>
        <v>9.5168374816983883E-2</v>
      </c>
      <c r="AB6" s="4">
        <f t="shared" si="3"/>
        <v>-1.0325665777058848</v>
      </c>
      <c r="AC6">
        <v>1.1476266666666668</v>
      </c>
      <c r="AD6" s="2">
        <v>5.7076000000000002</v>
      </c>
      <c r="AE6" s="2">
        <v>1.5954999999999999</v>
      </c>
      <c r="AF6" s="2">
        <f t="shared" si="4"/>
        <v>4.1120999999999999</v>
      </c>
      <c r="AG6" s="2">
        <v>0.44787333333333312</v>
      </c>
      <c r="AH6" s="1">
        <f t="shared" si="5"/>
        <v>90.178158936601989</v>
      </c>
      <c r="AI6" s="1">
        <f t="shared" si="6"/>
        <v>9.8218410633980113</v>
      </c>
      <c r="AJ6" s="1">
        <f t="shared" si="7"/>
        <v>0.49109205316990057</v>
      </c>
      <c r="AK6" s="8">
        <v>2.1500000000000519E-2</v>
      </c>
      <c r="AL6" s="9">
        <v>93.270735524256494</v>
      </c>
      <c r="AM6" s="10">
        <v>4.6635367762128253</v>
      </c>
      <c r="AN6" s="9">
        <v>46.635367762128247</v>
      </c>
      <c r="AO6" s="11">
        <v>4.6644051349651772</v>
      </c>
      <c r="AP6" s="2">
        <v>5.1831587500000005</v>
      </c>
      <c r="AQ6" s="2">
        <f t="shared" si="8"/>
        <v>0.31098952500000004</v>
      </c>
      <c r="AR6" s="2">
        <v>0.87976725261083955</v>
      </c>
      <c r="AS6" s="2">
        <v>8.6409341279260074E-2</v>
      </c>
      <c r="AT6" s="2">
        <f t="shared" si="9"/>
        <v>8.6409341279260077E-3</v>
      </c>
      <c r="AU6" s="2">
        <f t="shared" si="10"/>
        <v>8.2234365785532997E-3</v>
      </c>
      <c r="AV6" s="2">
        <f t="shared" si="11"/>
        <v>1.3157498525685279E-3</v>
      </c>
      <c r="AW6" s="3">
        <f t="shared" si="12"/>
        <v>16</v>
      </c>
    </row>
    <row r="7" spans="1:49" x14ac:dyDescent="0.2">
      <c r="A7" t="s">
        <v>45</v>
      </c>
      <c r="B7" s="5" t="s">
        <v>46</v>
      </c>
      <c r="C7" s="5" t="s">
        <v>47</v>
      </c>
      <c r="D7" s="5" t="s">
        <v>53</v>
      </c>
      <c r="E7">
        <v>1</v>
      </c>
      <c r="F7" s="6">
        <v>6</v>
      </c>
      <c r="G7" s="3">
        <v>2.4</v>
      </c>
      <c r="H7" s="3">
        <v>2.7</v>
      </c>
      <c r="I7" s="3">
        <v>1.1000000000000001</v>
      </c>
      <c r="J7" s="3">
        <v>6.5277777777777768</v>
      </c>
      <c r="K7" s="3">
        <v>7.6277777777777764</v>
      </c>
      <c r="L7" s="3">
        <v>7.0777777777777766</v>
      </c>
      <c r="M7" s="1">
        <v>0.21</v>
      </c>
      <c r="N7" s="3">
        <v>6.5277777777777768</v>
      </c>
      <c r="O7" s="3">
        <v>7.6277777777777764</v>
      </c>
      <c r="P7" s="3">
        <v>7.0777777777777766</v>
      </c>
      <c r="Q7" s="3">
        <v>6.5277777777777768</v>
      </c>
      <c r="R7" s="3">
        <v>7.6277777777777764</v>
      </c>
      <c r="S7" s="3">
        <v>7.1</v>
      </c>
      <c r="T7" s="3">
        <v>7.1</v>
      </c>
      <c r="U7" s="7">
        <f t="shared" si="0"/>
        <v>0.54999999999999982</v>
      </c>
      <c r="V7" s="3">
        <v>-58.65</v>
      </c>
      <c r="W7" s="3">
        <v>103.6</v>
      </c>
      <c r="X7" s="3">
        <v>0.59</v>
      </c>
      <c r="Y7" s="3">
        <v>7.6</v>
      </c>
      <c r="Z7" s="3">
        <f t="shared" si="1"/>
        <v>81.125</v>
      </c>
      <c r="AA7" s="4">
        <f t="shared" si="2"/>
        <v>9.5168374816983939E-2</v>
      </c>
      <c r="AB7" s="4">
        <f t="shared" si="3"/>
        <v>1.0232319884476007</v>
      </c>
      <c r="AC7">
        <v>1.1476266666666668</v>
      </c>
      <c r="AD7" s="2">
        <v>6.6115000000000004</v>
      </c>
      <c r="AE7" s="2">
        <v>1.7121999999999999</v>
      </c>
      <c r="AF7" s="2">
        <f t="shared" si="4"/>
        <v>4.8993000000000002</v>
      </c>
      <c r="AG7" s="2">
        <v>0.56457333333333315</v>
      </c>
      <c r="AH7" s="1">
        <f t="shared" si="5"/>
        <v>89.667159194759279</v>
      </c>
      <c r="AI7" s="1">
        <f t="shared" si="6"/>
        <v>10.332840805240721</v>
      </c>
      <c r="AJ7" s="1">
        <f t="shared" si="7"/>
        <v>0.51664204026203608</v>
      </c>
      <c r="AK7" s="8">
        <v>1.2299999999999756E-2</v>
      </c>
      <c r="AL7" s="9">
        <v>92.902481246393691</v>
      </c>
      <c r="AM7" s="10">
        <v>4.6451240623196846</v>
      </c>
      <c r="AN7" s="9">
        <v>46.451240623196846</v>
      </c>
      <c r="AO7" s="11">
        <v>4.645995862497224</v>
      </c>
      <c r="AP7" s="2">
        <v>5.6149087499999997</v>
      </c>
      <c r="AQ7" s="2">
        <f t="shared" si="8"/>
        <v>0.34812434250000002</v>
      </c>
      <c r="AR7" s="2">
        <v>0.97310100245766851</v>
      </c>
      <c r="AS7" s="2">
        <v>0.10054897745815249</v>
      </c>
      <c r="AT7" s="2">
        <f t="shared" si="9"/>
        <v>1.005489774581525E-2</v>
      </c>
      <c r="AU7" s="2">
        <f t="shared" si="10"/>
        <v>9.5690827742019244E-3</v>
      </c>
      <c r="AV7" s="2">
        <f t="shared" si="11"/>
        <v>1.550191409420712E-3</v>
      </c>
      <c r="AW7" s="3">
        <f t="shared" si="12"/>
        <v>16.200000000000003</v>
      </c>
    </row>
    <row r="8" spans="1:49" x14ac:dyDescent="0.2">
      <c r="A8" t="s">
        <v>45</v>
      </c>
      <c r="B8" s="5" t="s">
        <v>46</v>
      </c>
      <c r="C8" s="5" t="s">
        <v>47</v>
      </c>
      <c r="D8" s="5" t="s">
        <v>54</v>
      </c>
      <c r="E8">
        <v>1</v>
      </c>
      <c r="F8" s="6">
        <v>7</v>
      </c>
      <c r="G8" s="3">
        <v>2.8</v>
      </c>
      <c r="H8" s="3">
        <v>2.2000000000000002</v>
      </c>
      <c r="I8" s="3">
        <v>1.1000000000000001</v>
      </c>
      <c r="J8" s="3">
        <v>7.8333333333333321</v>
      </c>
      <c r="K8" s="3">
        <v>8.9333333333333318</v>
      </c>
      <c r="L8" s="3">
        <v>8.3833333333333329</v>
      </c>
      <c r="M8" s="1">
        <v>0.21</v>
      </c>
      <c r="N8" s="3">
        <v>7.8333333333333321</v>
      </c>
      <c r="O8" s="3">
        <v>8.9333333333333318</v>
      </c>
      <c r="P8" s="3">
        <v>8.3833333333333329</v>
      </c>
      <c r="Q8" s="3">
        <v>7.8333333333333321</v>
      </c>
      <c r="R8" s="3">
        <v>8.9333333333333318</v>
      </c>
      <c r="S8" s="3">
        <v>8.4</v>
      </c>
      <c r="T8" s="3">
        <v>8.4</v>
      </c>
      <c r="U8" s="7">
        <f t="shared" si="0"/>
        <v>0.54999999999999982</v>
      </c>
      <c r="V8" s="3">
        <v>-57.11</v>
      </c>
      <c r="W8" s="3">
        <v>134.99</v>
      </c>
      <c r="X8" s="3">
        <v>13.06</v>
      </c>
      <c r="Y8" s="3">
        <v>21.26</v>
      </c>
      <c r="Z8" s="3">
        <f t="shared" si="1"/>
        <v>96.050000000000011</v>
      </c>
      <c r="AA8" s="4">
        <f t="shared" si="2"/>
        <v>9.5168374816983814E-2</v>
      </c>
      <c r="AB8" s="4">
        <f t="shared" si="3"/>
        <v>0.43618998329398984</v>
      </c>
      <c r="AC8">
        <v>1.1476266666666668</v>
      </c>
      <c r="AD8" s="2">
        <v>6.4619</v>
      </c>
      <c r="AE8" s="2">
        <v>1.7310000000000001</v>
      </c>
      <c r="AF8" s="2">
        <f t="shared" si="4"/>
        <v>4.7309000000000001</v>
      </c>
      <c r="AG8" s="2">
        <v>0.5833733333333333</v>
      </c>
      <c r="AH8" s="1">
        <f t="shared" si="5"/>
        <v>89.022519228091397</v>
      </c>
      <c r="AI8" s="1">
        <f t="shared" si="6"/>
        <v>10.977480771908603</v>
      </c>
      <c r="AJ8" s="1">
        <f t="shared" si="7"/>
        <v>0.54887403859543016</v>
      </c>
      <c r="AK8" s="8">
        <v>8.3999999999999631E-3</v>
      </c>
      <c r="AL8" s="9">
        <v>93.759286775631523</v>
      </c>
      <c r="AM8" s="10">
        <v>4.6879643387815761</v>
      </c>
      <c r="AN8" s="9">
        <v>46.879643387815761</v>
      </c>
      <c r="AO8" s="11">
        <v>4.6888281736152138</v>
      </c>
      <c r="AP8" s="2">
        <v>5.3968750000000014</v>
      </c>
      <c r="AQ8" s="2">
        <f t="shared" si="8"/>
        <v>0.32920937500000014</v>
      </c>
      <c r="AR8" s="2">
        <v>0.98469453773402793</v>
      </c>
      <c r="AS8" s="2">
        <v>0.10809465354178727</v>
      </c>
      <c r="AT8" s="2">
        <f t="shared" si="9"/>
        <v>1.0809465354178727E-2</v>
      </c>
      <c r="AU8" s="2">
        <f t="shared" si="10"/>
        <v>1.0287192503976817E-2</v>
      </c>
      <c r="AV8" s="2">
        <f t="shared" si="11"/>
        <v>1.656237993140268E-3</v>
      </c>
      <c r="AW8" s="3">
        <f t="shared" si="12"/>
        <v>16.100000000000001</v>
      </c>
    </row>
    <row r="9" spans="1:49" x14ac:dyDescent="0.2">
      <c r="A9" t="s">
        <v>45</v>
      </c>
      <c r="B9" s="5" t="s">
        <v>46</v>
      </c>
      <c r="C9" s="5" t="s">
        <v>47</v>
      </c>
      <c r="D9" s="5" t="s">
        <v>55</v>
      </c>
      <c r="E9">
        <v>1</v>
      </c>
      <c r="F9" s="6">
        <v>8</v>
      </c>
      <c r="G9" s="3">
        <v>2.2000000000000002</v>
      </c>
      <c r="H9" s="3">
        <v>2.65</v>
      </c>
      <c r="I9" s="3">
        <v>1.1000000000000001</v>
      </c>
      <c r="J9" s="3">
        <v>9.1388888888888875</v>
      </c>
      <c r="K9" s="3">
        <v>10.238888888888887</v>
      </c>
      <c r="L9" s="3">
        <v>9.6888888888888864</v>
      </c>
      <c r="M9" s="1">
        <v>0.21</v>
      </c>
      <c r="N9" s="3">
        <v>9.1388888888888875</v>
      </c>
      <c r="O9" s="3">
        <v>10.238888888888887</v>
      </c>
      <c r="P9" s="3">
        <v>9.6888888888888864</v>
      </c>
      <c r="Q9" s="3">
        <v>9.1388888888888875</v>
      </c>
      <c r="R9" s="3">
        <v>10.238888888888887</v>
      </c>
      <c r="S9" s="3">
        <v>9.6999999999999993</v>
      </c>
      <c r="T9" s="3">
        <v>9.6999999999999993</v>
      </c>
      <c r="U9" s="7">
        <f t="shared" si="0"/>
        <v>0.54999999999999982</v>
      </c>
      <c r="V9" s="3">
        <v>-55.59</v>
      </c>
      <c r="W9" s="3">
        <v>166.2</v>
      </c>
      <c r="X9" s="3">
        <v>25.36</v>
      </c>
      <c r="Y9" s="3">
        <v>34.92</v>
      </c>
      <c r="Z9" s="3">
        <f t="shared" si="1"/>
        <v>110.89499999999998</v>
      </c>
      <c r="AA9" s="4">
        <f t="shared" si="2"/>
        <v>0.1030927835051547</v>
      </c>
      <c r="AB9" s="4">
        <f t="shared" si="3"/>
        <v>0.3332359088815674</v>
      </c>
      <c r="AC9">
        <v>1.1476266666666668</v>
      </c>
      <c r="AD9" s="2">
        <v>6.4409000000000001</v>
      </c>
      <c r="AE9" s="2">
        <v>1.7326999999999999</v>
      </c>
      <c r="AF9" s="2">
        <f t="shared" si="4"/>
        <v>4.7081999999999997</v>
      </c>
      <c r="AG9" s="2">
        <v>0.58507333333333311</v>
      </c>
      <c r="AH9" s="1">
        <f t="shared" si="5"/>
        <v>88.946852042403506</v>
      </c>
      <c r="AI9" s="1">
        <f t="shared" si="6"/>
        <v>11.053147957596494</v>
      </c>
      <c r="AJ9" s="1">
        <f t="shared" si="7"/>
        <v>0.55265739787982471</v>
      </c>
      <c r="AK9" s="8">
        <v>3.0899999999999928E-2</v>
      </c>
      <c r="AL9" s="9">
        <v>89.119718309859181</v>
      </c>
      <c r="AM9" s="10">
        <v>4.4559859154929589</v>
      </c>
      <c r="AN9" s="9">
        <v>44.55985915492959</v>
      </c>
      <c r="AO9" s="11">
        <v>4.4568947125853917</v>
      </c>
      <c r="AP9" s="2">
        <v>5.0779196874999997</v>
      </c>
      <c r="AQ9" s="2">
        <f t="shared" si="8"/>
        <v>0.30213622140625002</v>
      </c>
      <c r="AR9" s="2">
        <v>1.042409817225636</v>
      </c>
      <c r="AS9" s="2">
        <v>0.11521909942246071</v>
      </c>
      <c r="AT9" s="2">
        <f t="shared" si="9"/>
        <v>1.1521909942246071E-2</v>
      </c>
      <c r="AU9" s="2">
        <f t="shared" si="10"/>
        <v>1.1878257672418638E-2</v>
      </c>
      <c r="AV9" s="2">
        <f t="shared" si="11"/>
        <v>1.8945820987507729E-3</v>
      </c>
      <c r="AW9" s="3">
        <f t="shared" si="12"/>
        <v>15.950000000000001</v>
      </c>
    </row>
    <row r="10" spans="1:49" x14ac:dyDescent="0.2">
      <c r="A10" t="s">
        <v>45</v>
      </c>
      <c r="B10" s="5" t="s">
        <v>46</v>
      </c>
      <c r="C10" s="5" t="s">
        <v>47</v>
      </c>
      <c r="D10" s="5" t="s">
        <v>56</v>
      </c>
      <c r="E10">
        <v>1</v>
      </c>
      <c r="F10" s="6">
        <v>9</v>
      </c>
      <c r="G10" s="3">
        <v>2</v>
      </c>
      <c r="H10" s="3">
        <v>2.8</v>
      </c>
      <c r="I10" s="3">
        <v>1.05</v>
      </c>
      <c r="J10" s="3">
        <v>10.444444444444443</v>
      </c>
      <c r="K10" s="3">
        <v>11.494444444444444</v>
      </c>
      <c r="L10" s="3">
        <v>10.969444444444443</v>
      </c>
      <c r="M10" s="1">
        <v>0.21</v>
      </c>
      <c r="N10" s="3">
        <v>10.444444444444443</v>
      </c>
      <c r="O10" s="3">
        <v>11.494444444444444</v>
      </c>
      <c r="P10" s="3">
        <v>10.969444444444443</v>
      </c>
      <c r="Q10" s="3">
        <v>10.444444444444443</v>
      </c>
      <c r="R10" s="3">
        <v>11.494444444444444</v>
      </c>
      <c r="S10" s="3">
        <v>11</v>
      </c>
      <c r="T10" s="3">
        <v>11</v>
      </c>
      <c r="U10" s="7">
        <f t="shared" si="0"/>
        <v>0.52500000000000036</v>
      </c>
      <c r="V10" s="3">
        <v>-43</v>
      </c>
      <c r="W10" s="3">
        <v>180.11</v>
      </c>
      <c r="X10" s="3">
        <v>37.31</v>
      </c>
      <c r="Y10" s="3">
        <v>47.53</v>
      </c>
      <c r="Z10" s="3">
        <f t="shared" si="1"/>
        <v>111.55500000000001</v>
      </c>
      <c r="AA10" s="4">
        <f t="shared" si="2"/>
        <v>0.10569105691056918</v>
      </c>
      <c r="AB10" s="4">
        <f t="shared" si="3"/>
        <v>0.2531059039383694</v>
      </c>
      <c r="AC10">
        <v>1.1476266666666668</v>
      </c>
      <c r="AD10" s="2">
        <v>6.1464999999999996</v>
      </c>
      <c r="AE10" s="2">
        <v>1.7430000000000001</v>
      </c>
      <c r="AF10" s="2">
        <f t="shared" si="4"/>
        <v>4.4034999999999993</v>
      </c>
      <c r="AG10" s="2">
        <v>0.59537333333333331</v>
      </c>
      <c r="AH10" s="1">
        <f t="shared" si="5"/>
        <v>88.089849579438564</v>
      </c>
      <c r="AI10" s="1">
        <f t="shared" si="6"/>
        <v>11.910150420561436</v>
      </c>
      <c r="AJ10" s="1">
        <f t="shared" si="7"/>
        <v>0.59550752102807181</v>
      </c>
      <c r="AK10" s="8">
        <v>2.4000000000000021E-2</v>
      </c>
      <c r="AL10" s="9">
        <v>91.845056065239532</v>
      </c>
      <c r="AM10" s="10">
        <v>4.5922528032619772</v>
      </c>
      <c r="AN10" s="9">
        <v>45.922528032619766</v>
      </c>
      <c r="AO10" s="11">
        <v>4.5931346386827689</v>
      </c>
      <c r="AP10" s="2">
        <v>4.7476799999999999</v>
      </c>
      <c r="AQ10" s="2">
        <f t="shared" si="8"/>
        <v>0.27773928000000003</v>
      </c>
      <c r="AR10" s="2">
        <v>1.0529086487154427</v>
      </c>
      <c r="AS10" s="2">
        <v>0.12540300385311001</v>
      </c>
      <c r="AT10" s="2">
        <f t="shared" si="9"/>
        <v>1.2540300385311003E-2</v>
      </c>
      <c r="AU10" s="2">
        <f t="shared" si="10"/>
        <v>1.3253976016995376E-2</v>
      </c>
      <c r="AV10" s="2">
        <f t="shared" si="11"/>
        <v>2.1007551986937673E-3</v>
      </c>
      <c r="AW10" s="3">
        <f t="shared" si="12"/>
        <v>15.85</v>
      </c>
    </row>
    <row r="11" spans="1:49" x14ac:dyDescent="0.2">
      <c r="A11" t="s">
        <v>45</v>
      </c>
      <c r="B11" s="5" t="s">
        <v>46</v>
      </c>
      <c r="C11" s="5" t="s">
        <v>47</v>
      </c>
      <c r="D11" s="5" t="s">
        <v>57</v>
      </c>
      <c r="E11">
        <v>1</v>
      </c>
      <c r="F11" s="6">
        <v>10</v>
      </c>
      <c r="G11" s="3">
        <v>2.1</v>
      </c>
      <c r="H11" s="3">
        <v>2.6</v>
      </c>
      <c r="I11" s="3">
        <v>1.1000000000000001</v>
      </c>
      <c r="J11" s="3">
        <v>11.7</v>
      </c>
      <c r="K11" s="3">
        <v>12.799999999999999</v>
      </c>
      <c r="L11" s="3">
        <v>12.25</v>
      </c>
      <c r="M11" s="1">
        <v>0.21</v>
      </c>
      <c r="N11" s="3">
        <v>11.7</v>
      </c>
      <c r="O11" s="3">
        <v>12.799999999999999</v>
      </c>
      <c r="P11" s="3">
        <v>12.25</v>
      </c>
      <c r="Q11" s="3">
        <v>11.7</v>
      </c>
      <c r="R11" s="3">
        <v>12.799999999999999</v>
      </c>
      <c r="S11" s="3">
        <v>12.3</v>
      </c>
      <c r="T11" s="3">
        <v>12.3</v>
      </c>
      <c r="U11" s="7">
        <f t="shared" si="0"/>
        <v>0.54999999999999982</v>
      </c>
      <c r="V11" s="3">
        <v>-32.590000000000003</v>
      </c>
      <c r="W11" s="3">
        <v>189.31</v>
      </c>
      <c r="X11" s="3">
        <v>50.14</v>
      </c>
      <c r="Y11" s="3">
        <v>59.83</v>
      </c>
      <c r="Z11" s="3">
        <f t="shared" si="1"/>
        <v>110.95000000000002</v>
      </c>
      <c r="AA11" s="4">
        <f t="shared" si="2"/>
        <v>0.10577705451586641</v>
      </c>
      <c r="AB11" s="4">
        <f t="shared" si="3"/>
        <v>0.20088504459982354</v>
      </c>
      <c r="AC11">
        <v>1.1476266666666668</v>
      </c>
      <c r="AD11" s="2">
        <v>6.2342000000000004</v>
      </c>
      <c r="AE11" s="2">
        <v>1.8402000000000001</v>
      </c>
      <c r="AF11" s="2">
        <f t="shared" si="4"/>
        <v>4.3940000000000001</v>
      </c>
      <c r="AG11" s="2">
        <v>0.69257333333333326</v>
      </c>
      <c r="AH11" s="1">
        <f t="shared" si="5"/>
        <v>86.384284901688886</v>
      </c>
      <c r="AI11" s="1">
        <f t="shared" si="6"/>
        <v>13.615715098311114</v>
      </c>
      <c r="AJ11" s="1">
        <f t="shared" si="7"/>
        <v>0.68078575491555571</v>
      </c>
      <c r="AK11" s="8">
        <v>3.0499999999999972E-2</v>
      </c>
      <c r="AL11" s="9">
        <v>90.681332111212967</v>
      </c>
      <c r="AM11" s="10">
        <v>4.5340666055606489</v>
      </c>
      <c r="AN11" s="9">
        <v>45.340666055606484</v>
      </c>
      <c r="AO11" s="11">
        <v>4.5349597554620331</v>
      </c>
      <c r="AP11" s="2">
        <v>4.7686787500000012</v>
      </c>
      <c r="AQ11" s="2">
        <f t="shared" si="8"/>
        <v>0.27658336750000007</v>
      </c>
      <c r="AR11" s="2">
        <v>1.0666630318373476</v>
      </c>
      <c r="AS11" s="2">
        <v>0.14523379947398074</v>
      </c>
      <c r="AT11" s="2">
        <f t="shared" si="9"/>
        <v>1.4523379947398074E-2</v>
      </c>
      <c r="AU11" s="2">
        <f t="shared" si="10"/>
        <v>1.5362403524505672E-2</v>
      </c>
      <c r="AV11" s="2">
        <f t="shared" si="11"/>
        <v>2.4272597568718961E-3</v>
      </c>
      <c r="AW11" s="3">
        <f t="shared" si="12"/>
        <v>15.8</v>
      </c>
    </row>
    <row r="12" spans="1:49" x14ac:dyDescent="0.2">
      <c r="A12" t="s">
        <v>45</v>
      </c>
      <c r="B12" s="5" t="s">
        <v>46</v>
      </c>
      <c r="C12" s="5" t="s">
        <v>47</v>
      </c>
      <c r="D12" s="5" t="s">
        <v>58</v>
      </c>
      <c r="E12">
        <v>1</v>
      </c>
      <c r="F12" s="6">
        <v>11</v>
      </c>
      <c r="G12" s="3">
        <v>2.5499999999999998</v>
      </c>
      <c r="H12" s="3">
        <v>2.5</v>
      </c>
      <c r="I12" s="3">
        <v>1.1000000000000001</v>
      </c>
      <c r="J12" s="3">
        <v>13.005555555555555</v>
      </c>
      <c r="K12" s="3">
        <v>14.105555555555554</v>
      </c>
      <c r="L12" s="3">
        <v>13.555555555555554</v>
      </c>
      <c r="M12" s="1">
        <v>0.21</v>
      </c>
      <c r="N12" s="3">
        <v>13.005555555555555</v>
      </c>
      <c r="O12" s="3">
        <v>14.105555555555554</v>
      </c>
      <c r="P12" s="3">
        <v>13.555555555555554</v>
      </c>
      <c r="Q12" s="3">
        <v>13.005555555555555</v>
      </c>
      <c r="R12" s="3">
        <v>14.105555555555554</v>
      </c>
      <c r="S12" s="3">
        <v>13.6</v>
      </c>
      <c r="T12" s="3">
        <v>13.6</v>
      </c>
      <c r="U12" s="7">
        <f t="shared" si="0"/>
        <v>0.54999999999999982</v>
      </c>
      <c r="V12" s="3">
        <v>-24.96</v>
      </c>
      <c r="W12" s="3">
        <v>197.78</v>
      </c>
      <c r="X12" s="3">
        <v>64.59</v>
      </c>
      <c r="Y12" s="3">
        <v>72.12</v>
      </c>
      <c r="Z12" s="3">
        <f t="shared" si="1"/>
        <v>111.37</v>
      </c>
      <c r="AA12" s="4">
        <f t="shared" si="2"/>
        <v>0.10572687224669618</v>
      </c>
      <c r="AB12" s="4">
        <f t="shared" si="3"/>
        <v>0.16754252112420412</v>
      </c>
      <c r="AC12">
        <v>1.1476266666666668</v>
      </c>
      <c r="AD12" s="2">
        <v>6.8930999999999996</v>
      </c>
      <c r="AE12" s="2">
        <v>1.8527</v>
      </c>
      <c r="AF12" s="2">
        <f t="shared" si="4"/>
        <v>5.0404</v>
      </c>
      <c r="AG12" s="2">
        <v>0.70507333333333322</v>
      </c>
      <c r="AH12" s="1">
        <f t="shared" si="5"/>
        <v>87.72819413776179</v>
      </c>
      <c r="AI12" s="1">
        <f t="shared" si="6"/>
        <v>12.27180586223821</v>
      </c>
      <c r="AJ12" s="1">
        <f t="shared" si="7"/>
        <v>0.6135902931119106</v>
      </c>
      <c r="AK12" s="8">
        <v>1.0600000000000165E-2</v>
      </c>
      <c r="AL12" s="9">
        <v>94.254742547425408</v>
      </c>
      <c r="AM12" s="10">
        <v>4.7127371273712706</v>
      </c>
      <c r="AN12" s="9">
        <v>47.127371273712704</v>
      </c>
      <c r="AO12" s="11">
        <v>4.7135964222346844</v>
      </c>
      <c r="AP12" s="2">
        <v>5.5053521875000007</v>
      </c>
      <c r="AQ12" s="2">
        <f t="shared" si="8"/>
        <v>0.33857915953125006</v>
      </c>
      <c r="AR12" s="2">
        <v>1.0436159463836903</v>
      </c>
      <c r="AS12" s="2">
        <v>0.12807052288756651</v>
      </c>
      <c r="AT12" s="2">
        <f t="shared" si="9"/>
        <v>1.2807052288756652E-2</v>
      </c>
      <c r="AU12" s="2">
        <f t="shared" si="10"/>
        <v>1.3540495811901324E-2</v>
      </c>
      <c r="AV12" s="2">
        <f t="shared" si="11"/>
        <v>2.1867900736220638E-3</v>
      </c>
      <c r="AW12" s="3">
        <f t="shared" si="12"/>
        <v>16.150000000000002</v>
      </c>
    </row>
    <row r="13" spans="1:49" x14ac:dyDescent="0.2">
      <c r="A13" t="s">
        <v>45</v>
      </c>
      <c r="B13" s="5" t="s">
        <v>46</v>
      </c>
      <c r="C13" s="5" t="s">
        <v>47</v>
      </c>
      <c r="D13" s="5" t="s">
        <v>59</v>
      </c>
      <c r="E13">
        <v>1</v>
      </c>
      <c r="F13" s="6">
        <v>12</v>
      </c>
      <c r="G13" s="3">
        <v>2.25</v>
      </c>
      <c r="H13" s="3">
        <v>2.5</v>
      </c>
      <c r="I13" s="3">
        <v>1.05</v>
      </c>
      <c r="J13" s="3">
        <v>14.31111111111111</v>
      </c>
      <c r="K13" s="3">
        <v>15.361111111111111</v>
      </c>
      <c r="L13" s="3">
        <v>14.83611111111111</v>
      </c>
      <c r="M13" s="1">
        <v>0.21</v>
      </c>
      <c r="N13" s="3">
        <v>14.31111111111111</v>
      </c>
      <c r="O13" s="3">
        <v>15.361111111111111</v>
      </c>
      <c r="P13" s="3">
        <v>14.83611111111111</v>
      </c>
      <c r="Q13" s="3">
        <v>14.31111111111111</v>
      </c>
      <c r="R13" s="3">
        <v>15.361111111111111</v>
      </c>
      <c r="S13" s="3">
        <v>14.8</v>
      </c>
      <c r="T13" s="3">
        <v>14.8</v>
      </c>
      <c r="U13" s="7">
        <f t="shared" si="0"/>
        <v>0.52500000000000036</v>
      </c>
      <c r="V13" s="3">
        <v>-18.87</v>
      </c>
      <c r="W13" s="3">
        <v>207.95</v>
      </c>
      <c r="X13" s="3">
        <v>79.760000000000005</v>
      </c>
      <c r="Y13" s="3">
        <v>83.47</v>
      </c>
      <c r="Z13" s="3">
        <f t="shared" si="1"/>
        <v>113.41</v>
      </c>
      <c r="AA13" s="4">
        <f t="shared" si="2"/>
        <v>0.10569105691056918</v>
      </c>
      <c r="AB13" s="4">
        <f t="shared" si="3"/>
        <v>0.14735074260677891</v>
      </c>
      <c r="AC13">
        <v>1.1476266666666668</v>
      </c>
      <c r="AD13" s="2">
        <v>6.0769000000000002</v>
      </c>
      <c r="AE13" s="2">
        <v>1.7847</v>
      </c>
      <c r="AF13" s="2">
        <f t="shared" si="4"/>
        <v>4.2922000000000002</v>
      </c>
      <c r="AG13" s="2">
        <v>0.63707333333333316</v>
      </c>
      <c r="AH13" s="1">
        <f t="shared" si="5"/>
        <v>87.075715014112959</v>
      </c>
      <c r="AI13" s="1">
        <f t="shared" si="6"/>
        <v>12.924284985887041</v>
      </c>
      <c r="AJ13" s="1">
        <f t="shared" si="7"/>
        <v>0.64621424929435212</v>
      </c>
      <c r="AK13" s="8">
        <v>1.3700000000000045E-2</v>
      </c>
      <c r="AL13" s="9">
        <v>91.543209876543173</v>
      </c>
      <c r="AM13" s="10">
        <v>4.5771604938271588</v>
      </c>
      <c r="AN13" s="9">
        <v>45.771604938271587</v>
      </c>
      <c r="AO13" s="11">
        <v>4.5780452363702215</v>
      </c>
      <c r="AP13" s="2">
        <v>4.6492851562500004</v>
      </c>
      <c r="AQ13" s="2">
        <f t="shared" si="8"/>
        <v>0.26965853906250004</v>
      </c>
      <c r="AR13" s="2">
        <v>1.0602217690835649</v>
      </c>
      <c r="AS13" s="2">
        <v>0.13702608291877302</v>
      </c>
      <c r="AT13" s="2">
        <f t="shared" si="9"/>
        <v>1.3702608291877303E-2</v>
      </c>
      <c r="AU13" s="2">
        <f t="shared" si="10"/>
        <v>1.4482431528000411E-2</v>
      </c>
      <c r="AV13" s="2">
        <f t="shared" si="11"/>
        <v>2.2882241814240652E-3</v>
      </c>
      <c r="AW13" s="3">
        <f t="shared" si="12"/>
        <v>15.8</v>
      </c>
    </row>
    <row r="14" spans="1:49" x14ac:dyDescent="0.2">
      <c r="A14" t="s">
        <v>45</v>
      </c>
      <c r="B14" s="5" t="s">
        <v>46</v>
      </c>
      <c r="C14" s="5" t="s">
        <v>47</v>
      </c>
      <c r="D14" s="5" t="s">
        <v>60</v>
      </c>
      <c r="E14">
        <v>1</v>
      </c>
      <c r="F14" s="6">
        <v>13</v>
      </c>
      <c r="G14" s="3">
        <v>2.2999999999999998</v>
      </c>
      <c r="H14" s="3">
        <v>2.5</v>
      </c>
      <c r="I14" s="3">
        <v>1</v>
      </c>
      <c r="J14" s="3">
        <v>15.566666666666666</v>
      </c>
      <c r="K14" s="3">
        <v>16.566666666666666</v>
      </c>
      <c r="L14" s="3">
        <v>16.066666666666666</v>
      </c>
      <c r="M14" s="1">
        <v>0.21</v>
      </c>
      <c r="N14" s="3">
        <v>15.566666666666666</v>
      </c>
      <c r="O14" s="3">
        <v>16.566666666666666</v>
      </c>
      <c r="P14" s="3">
        <v>16.066666666666666</v>
      </c>
      <c r="Q14" s="3">
        <v>15.566666666666666</v>
      </c>
      <c r="R14" s="3">
        <v>16.566666666666666</v>
      </c>
      <c r="S14" s="3">
        <v>16.100000000000001</v>
      </c>
      <c r="T14" s="3">
        <v>16.100000000000001</v>
      </c>
      <c r="U14" s="7">
        <f t="shared" si="0"/>
        <v>0.5</v>
      </c>
      <c r="V14" s="3">
        <v>-15.02</v>
      </c>
      <c r="W14" s="3">
        <v>225.8</v>
      </c>
      <c r="X14" s="3">
        <v>93.49</v>
      </c>
      <c r="Y14" s="3">
        <v>95.77</v>
      </c>
      <c r="Z14" s="3">
        <f t="shared" si="1"/>
        <v>120.41000000000001</v>
      </c>
      <c r="AA14" s="4">
        <f t="shared" si="2"/>
        <v>0.1057268722466959</v>
      </c>
      <c r="AB14" s="4">
        <f t="shared" si="3"/>
        <v>0.1362120501835401</v>
      </c>
      <c r="AC14">
        <v>1.1476266666666668</v>
      </c>
      <c r="AD14" s="2">
        <v>6.1780999999999997</v>
      </c>
      <c r="AE14" s="2">
        <v>1.8001</v>
      </c>
      <c r="AF14" s="2">
        <f t="shared" si="4"/>
        <v>4.3780000000000001</v>
      </c>
      <c r="AG14" s="2">
        <v>0.65247333333333324</v>
      </c>
      <c r="AH14" s="1">
        <f t="shared" si="5"/>
        <v>87.029583697226641</v>
      </c>
      <c r="AI14" s="1">
        <f t="shared" si="6"/>
        <v>12.970416302773359</v>
      </c>
      <c r="AJ14" s="1">
        <f t="shared" si="7"/>
        <v>0.64852081513866799</v>
      </c>
      <c r="AK14" s="8">
        <v>5.5699999999999861E-2</v>
      </c>
      <c r="AL14" s="9">
        <v>82.620904836193489</v>
      </c>
      <c r="AM14" s="10">
        <v>4.1310452418096748</v>
      </c>
      <c r="AN14" s="9">
        <v>41.310452418096745</v>
      </c>
      <c r="AO14" s="11">
        <v>4.1320255069249461</v>
      </c>
      <c r="AP14" s="2">
        <v>4.5215999999999994</v>
      </c>
      <c r="AQ14" s="2">
        <f t="shared" si="8"/>
        <v>0.26225279999999995</v>
      </c>
      <c r="AR14" s="2">
        <v>1.1125427577258789</v>
      </c>
      <c r="AS14" s="2">
        <v>0.14430142722340175</v>
      </c>
      <c r="AT14" s="2">
        <f t="shared" si="9"/>
        <v>1.4430142722340175E-2</v>
      </c>
      <c r="AU14" s="2">
        <f t="shared" si="10"/>
        <v>1.5256538561064483E-2</v>
      </c>
      <c r="AV14" s="2">
        <f t="shared" si="11"/>
        <v>2.4105330926481885E-3</v>
      </c>
      <c r="AW14" s="3">
        <f t="shared" si="12"/>
        <v>15.8</v>
      </c>
    </row>
    <row r="15" spans="1:49" x14ac:dyDescent="0.2">
      <c r="A15" t="s">
        <v>45</v>
      </c>
      <c r="B15" s="5" t="s">
        <v>46</v>
      </c>
      <c r="C15" s="5" t="s">
        <v>47</v>
      </c>
      <c r="D15" s="5" t="s">
        <v>61</v>
      </c>
      <c r="E15">
        <v>1</v>
      </c>
      <c r="F15" s="6">
        <v>14</v>
      </c>
      <c r="G15" s="3">
        <v>2.6</v>
      </c>
      <c r="H15" s="3">
        <v>2.6</v>
      </c>
      <c r="I15" s="3">
        <v>1</v>
      </c>
      <c r="J15" s="3">
        <v>16.772222222222222</v>
      </c>
      <c r="K15" s="3">
        <v>17.772222222222222</v>
      </c>
      <c r="L15" s="3">
        <v>17.272222222222222</v>
      </c>
      <c r="M15" s="1">
        <v>0.21</v>
      </c>
      <c r="N15" s="3">
        <v>16.772222222222222</v>
      </c>
      <c r="O15" s="3">
        <v>17.772222222222222</v>
      </c>
      <c r="P15" s="3">
        <v>17.272222222222222</v>
      </c>
      <c r="Q15" s="3">
        <v>16.772222222222222</v>
      </c>
      <c r="R15" s="3">
        <v>17.772222222222222</v>
      </c>
      <c r="S15" s="3">
        <v>17.3</v>
      </c>
      <c r="T15" s="3">
        <v>17.3</v>
      </c>
      <c r="U15" s="7">
        <f t="shared" si="0"/>
        <v>0.5</v>
      </c>
      <c r="V15" s="3">
        <v>-11.85</v>
      </c>
      <c r="W15" s="3">
        <v>245.64</v>
      </c>
      <c r="X15" s="3">
        <v>104.59</v>
      </c>
      <c r="Y15" s="3">
        <v>107.12</v>
      </c>
      <c r="Z15" s="3">
        <f t="shared" si="1"/>
        <v>128.745</v>
      </c>
      <c r="AA15" s="4">
        <f t="shared" si="2"/>
        <v>0.10563380281690135</v>
      </c>
      <c r="AB15" s="4">
        <f t="shared" si="3"/>
        <v>0.13001177476085662</v>
      </c>
      <c r="AC15">
        <v>1.1476266666666668</v>
      </c>
      <c r="AD15" s="2">
        <v>7.2066999999999997</v>
      </c>
      <c r="AE15" s="2">
        <v>1.9126000000000001</v>
      </c>
      <c r="AF15" s="2">
        <f t="shared" si="4"/>
        <v>5.2940999999999994</v>
      </c>
      <c r="AG15" s="2">
        <v>0.76497333333333328</v>
      </c>
      <c r="AH15" s="1">
        <f t="shared" si="5"/>
        <v>87.374747073534905</v>
      </c>
      <c r="AI15" s="1">
        <f t="shared" si="6"/>
        <v>12.625252926465095</v>
      </c>
      <c r="AJ15" s="1">
        <f t="shared" si="7"/>
        <v>0.63126264632325479</v>
      </c>
      <c r="AK15" s="8">
        <v>4.129999999999967E-2</v>
      </c>
      <c r="AL15" s="9">
        <v>83.650039588281956</v>
      </c>
      <c r="AM15" s="10">
        <v>4.1825019794140976</v>
      </c>
      <c r="AN15" s="9">
        <v>41.825019794140978</v>
      </c>
      <c r="AO15" s="11">
        <v>4.1834701872731017</v>
      </c>
      <c r="AP15" s="2">
        <v>5.3066000000000013</v>
      </c>
      <c r="AQ15" s="2">
        <f t="shared" si="8"/>
        <v>0.32900920000000011</v>
      </c>
      <c r="AR15" s="2">
        <v>1.1417995200944733</v>
      </c>
      <c r="AS15" s="2">
        <v>0.14415507732509197</v>
      </c>
      <c r="AT15" s="2">
        <f t="shared" si="9"/>
        <v>1.4415507732509198E-2</v>
      </c>
      <c r="AU15" s="2">
        <f t="shared" si="10"/>
        <v>1.5227649013213933E-2</v>
      </c>
      <c r="AV15" s="2">
        <f t="shared" si="11"/>
        <v>2.4668791401406573E-3</v>
      </c>
      <c r="AW15" s="3">
        <f t="shared" si="12"/>
        <v>16.2</v>
      </c>
    </row>
    <row r="16" spans="1:49" x14ac:dyDescent="0.2">
      <c r="A16" t="s">
        <v>45</v>
      </c>
      <c r="B16" s="5" t="s">
        <v>46</v>
      </c>
      <c r="C16" s="5" t="s">
        <v>47</v>
      </c>
      <c r="D16" s="5" t="s">
        <v>62</v>
      </c>
      <c r="E16">
        <v>1</v>
      </c>
      <c r="F16" s="6">
        <v>15</v>
      </c>
      <c r="G16" s="3">
        <v>2.6</v>
      </c>
      <c r="H16" s="3">
        <v>2.2999999999999998</v>
      </c>
      <c r="I16" s="3">
        <v>1.05</v>
      </c>
      <c r="J16" s="3">
        <v>17.977777777777778</v>
      </c>
      <c r="K16" s="3">
        <v>19.027777777777779</v>
      </c>
      <c r="L16" s="3">
        <v>18.50277777777778</v>
      </c>
      <c r="M16" s="1">
        <v>0.21</v>
      </c>
      <c r="N16" s="3">
        <v>17.977777777777778</v>
      </c>
      <c r="O16" s="3">
        <v>19.027777777777779</v>
      </c>
      <c r="P16" s="3">
        <v>18.50277777777778</v>
      </c>
      <c r="Q16" s="3">
        <v>17.977777777777778</v>
      </c>
      <c r="R16" s="3">
        <v>19.027777777777779</v>
      </c>
      <c r="S16" s="3">
        <v>18.5</v>
      </c>
      <c r="T16" s="3">
        <v>18.5</v>
      </c>
      <c r="U16" s="7">
        <f t="shared" si="0"/>
        <v>0.52500000000000036</v>
      </c>
      <c r="V16" s="3">
        <v>-8.51</v>
      </c>
      <c r="W16" s="3">
        <v>265.54000000000002</v>
      </c>
      <c r="X16" s="3">
        <v>115.72</v>
      </c>
      <c r="Y16" s="3">
        <v>118.48</v>
      </c>
      <c r="Z16" s="3">
        <f t="shared" si="1"/>
        <v>137.02500000000001</v>
      </c>
      <c r="AA16" s="4">
        <f t="shared" si="2"/>
        <v>0.10577705451586657</v>
      </c>
      <c r="AB16" s="4">
        <f t="shared" si="3"/>
        <v>0.12533551604247192</v>
      </c>
      <c r="AC16">
        <v>1.1476266666666668</v>
      </c>
      <c r="AD16" s="2">
        <v>6.3783000000000003</v>
      </c>
      <c r="AE16" s="2">
        <v>1.8856999999999999</v>
      </c>
      <c r="AF16" s="2">
        <f t="shared" si="4"/>
        <v>4.4926000000000004</v>
      </c>
      <c r="AG16" s="2">
        <v>0.73807333333333314</v>
      </c>
      <c r="AH16" s="1">
        <f t="shared" si="5"/>
        <v>85.889515817593903</v>
      </c>
      <c r="AI16" s="1">
        <f t="shared" si="6"/>
        <v>14.110484182406097</v>
      </c>
      <c r="AJ16" s="1">
        <f t="shared" si="7"/>
        <v>0.70552420912030489</v>
      </c>
      <c r="AK16" s="8">
        <v>0.15749999999999975</v>
      </c>
      <c r="AL16" s="9">
        <v>65.63386428103864</v>
      </c>
      <c r="AM16" s="10">
        <v>3.2816932140519324</v>
      </c>
      <c r="AN16" s="9">
        <v>32.81693214051932</v>
      </c>
      <c r="AO16" s="11">
        <v>3.2829271011026884</v>
      </c>
      <c r="AP16" s="2">
        <v>4.9475606250000004</v>
      </c>
      <c r="AQ16" s="2">
        <f t="shared" si="8"/>
        <v>0.29437985718750004</v>
      </c>
      <c r="AR16" s="2">
        <v>1.0572226860450715</v>
      </c>
      <c r="AS16" s="2">
        <v>0.14917923988719856</v>
      </c>
      <c r="AT16" s="2">
        <f t="shared" si="9"/>
        <v>1.4917923988719856E-2</v>
      </c>
      <c r="AU16" s="2">
        <f t="shared" si="10"/>
        <v>1.5779740590183739E-2</v>
      </c>
      <c r="AV16" s="2">
        <f t="shared" si="11"/>
        <v>2.5168686241343065E-3</v>
      </c>
      <c r="AW16" s="3">
        <f t="shared" si="12"/>
        <v>15.950000000000001</v>
      </c>
    </row>
    <row r="17" spans="1:49" x14ac:dyDescent="0.2">
      <c r="A17" t="s">
        <v>45</v>
      </c>
      <c r="B17" s="5" t="s">
        <v>46</v>
      </c>
      <c r="C17" s="5" t="s">
        <v>47</v>
      </c>
      <c r="D17" s="5" t="s">
        <v>63</v>
      </c>
      <c r="E17">
        <v>1</v>
      </c>
      <c r="F17" s="6">
        <v>16</v>
      </c>
      <c r="G17" s="3">
        <v>2.2999999999999998</v>
      </c>
      <c r="H17" s="3">
        <v>2.7</v>
      </c>
      <c r="I17" s="3">
        <v>1.05</v>
      </c>
      <c r="J17" s="3">
        <v>19.233333333333334</v>
      </c>
      <c r="K17" s="3">
        <v>20.283333333333335</v>
      </c>
      <c r="L17" s="3">
        <v>19.758333333333333</v>
      </c>
      <c r="M17" s="1">
        <v>0.21</v>
      </c>
      <c r="N17" s="3">
        <v>19.233333333333334</v>
      </c>
      <c r="O17" s="3">
        <v>20.283333333333335</v>
      </c>
      <c r="P17" s="3">
        <v>19.758333333333333</v>
      </c>
      <c r="Q17" s="3">
        <v>19.233333333333334</v>
      </c>
      <c r="R17" s="3">
        <v>20.283333333333335</v>
      </c>
      <c r="S17" s="3">
        <v>19.8</v>
      </c>
      <c r="T17" s="3">
        <v>19.8</v>
      </c>
      <c r="U17" s="7">
        <f t="shared" si="0"/>
        <v>0.52500000000000036</v>
      </c>
      <c r="V17" s="3">
        <v>-4.88</v>
      </c>
      <c r="W17" s="3">
        <v>284.37</v>
      </c>
      <c r="X17" s="3">
        <v>129.05000000000001</v>
      </c>
      <c r="Y17" s="3">
        <v>130.77000000000001</v>
      </c>
      <c r="Z17" s="3">
        <f t="shared" si="1"/>
        <v>144.625</v>
      </c>
      <c r="AA17" s="4">
        <f t="shared" si="2"/>
        <v>9.0497737556561098E-2</v>
      </c>
      <c r="AB17" s="4">
        <f t="shared" si="3"/>
        <v>0.10248547767271707</v>
      </c>
      <c r="AC17">
        <v>1.1476266666666668</v>
      </c>
      <c r="AD17" s="2">
        <v>6.7462</v>
      </c>
      <c r="AE17" s="2">
        <v>2.0247000000000002</v>
      </c>
      <c r="AF17" s="2">
        <f t="shared" si="4"/>
        <v>4.7214999999999998</v>
      </c>
      <c r="AG17" s="2">
        <v>0.87707333333333337</v>
      </c>
      <c r="AH17" s="1">
        <f t="shared" si="5"/>
        <v>84.333985086676847</v>
      </c>
      <c r="AI17" s="1">
        <f t="shared" si="6"/>
        <v>15.666014913323153</v>
      </c>
      <c r="AJ17" s="1">
        <f t="shared" si="7"/>
        <v>0.78330074566615771</v>
      </c>
      <c r="AK17" s="8">
        <v>0.16410000000000036</v>
      </c>
      <c r="AL17" s="9">
        <v>61.978683966635728</v>
      </c>
      <c r="AM17" s="10">
        <v>3.0989341983317864</v>
      </c>
      <c r="AN17" s="9">
        <v>30.989341983317864</v>
      </c>
      <c r="AO17" s="11">
        <v>3.1002408238055108</v>
      </c>
      <c r="AP17" s="2">
        <v>5.1515625000000007</v>
      </c>
      <c r="AQ17" s="2">
        <f t="shared" si="8"/>
        <v>0.31166953125000008</v>
      </c>
      <c r="AR17" s="2">
        <v>1.0867718936406834</v>
      </c>
      <c r="AS17" s="2">
        <v>0.17025384693155393</v>
      </c>
      <c r="AT17" s="2">
        <f t="shared" si="9"/>
        <v>1.7025384693155395E-2</v>
      </c>
      <c r="AU17" s="2">
        <f t="shared" si="10"/>
        <v>1.5407587957606692E-2</v>
      </c>
      <c r="AV17" s="2">
        <f t="shared" si="11"/>
        <v>2.472917867195874E-3</v>
      </c>
      <c r="AW17" s="3">
        <f t="shared" si="12"/>
        <v>16.05</v>
      </c>
    </row>
    <row r="18" spans="1:49" x14ac:dyDescent="0.2">
      <c r="A18" t="s">
        <v>45</v>
      </c>
      <c r="B18" s="5" t="s">
        <v>46</v>
      </c>
      <c r="C18" s="5" t="s">
        <v>47</v>
      </c>
      <c r="D18" s="5" t="s">
        <v>64</v>
      </c>
      <c r="E18">
        <v>1</v>
      </c>
      <c r="F18" s="6">
        <v>17</v>
      </c>
      <c r="G18" s="3">
        <v>2.5</v>
      </c>
      <c r="H18" s="3">
        <v>2.65</v>
      </c>
      <c r="I18" s="3">
        <v>1.05</v>
      </c>
      <c r="J18" s="3">
        <v>20.488888888888891</v>
      </c>
      <c r="K18" s="3">
        <v>21.538888888888891</v>
      </c>
      <c r="L18" s="3">
        <v>21.013888888888893</v>
      </c>
      <c r="M18" s="1">
        <v>0.21</v>
      </c>
      <c r="N18" s="3">
        <v>20.488888888888891</v>
      </c>
      <c r="O18" s="3">
        <v>21.538888888888891</v>
      </c>
      <c r="P18" s="3">
        <v>21.013888888888893</v>
      </c>
      <c r="Q18" s="3">
        <v>20.488888888888891</v>
      </c>
      <c r="R18" s="3">
        <v>21.538888888888891</v>
      </c>
      <c r="S18" s="3">
        <v>21</v>
      </c>
      <c r="T18" s="3">
        <v>21</v>
      </c>
      <c r="U18" s="7">
        <f t="shared" si="0"/>
        <v>0.52500000000000036</v>
      </c>
      <c r="V18" s="3">
        <v>12.98</v>
      </c>
      <c r="W18" s="3">
        <v>297.48</v>
      </c>
      <c r="X18" s="3">
        <v>141.63999999999999</v>
      </c>
      <c r="Y18" s="3">
        <v>144.03</v>
      </c>
      <c r="Z18" s="3">
        <f t="shared" si="1"/>
        <v>142.25</v>
      </c>
      <c r="AA18" s="4">
        <f t="shared" si="2"/>
        <v>8.8041085840058667E-2</v>
      </c>
      <c r="AB18" s="4">
        <f t="shared" si="3"/>
        <v>8.9154054020599435E-2</v>
      </c>
      <c r="AC18">
        <v>1.1476266666666668</v>
      </c>
      <c r="AD18" s="2">
        <v>7.3048999999999999</v>
      </c>
      <c r="AE18" s="2">
        <v>2.1065999999999998</v>
      </c>
      <c r="AF18" s="2">
        <f t="shared" si="4"/>
        <v>5.1982999999999997</v>
      </c>
      <c r="AG18" s="2">
        <v>0.95897333333333301</v>
      </c>
      <c r="AH18" s="1">
        <f t="shared" si="5"/>
        <v>84.42535711153532</v>
      </c>
      <c r="AI18" s="1">
        <f t="shared" si="6"/>
        <v>15.57464288846468</v>
      </c>
      <c r="AJ18" s="1">
        <f t="shared" si="7"/>
        <v>0.77873214442323402</v>
      </c>
      <c r="AK18" s="8">
        <v>0.10109999999999975</v>
      </c>
      <c r="AL18" s="9">
        <v>75.726290516206546</v>
      </c>
      <c r="AM18" s="10">
        <v>3.7863145258103277</v>
      </c>
      <c r="AN18" s="9">
        <v>37.863145258103273</v>
      </c>
      <c r="AO18" s="11">
        <v>3.7873840164897841</v>
      </c>
      <c r="AP18" s="2">
        <v>5.4652926562500017</v>
      </c>
      <c r="AQ18" s="2">
        <f t="shared" si="8"/>
        <v>0.33884814468750013</v>
      </c>
      <c r="AR18" s="2">
        <v>1.1266136546762955</v>
      </c>
      <c r="AS18" s="2">
        <v>0.17546605344851385</v>
      </c>
      <c r="AT18" s="2">
        <f t="shared" si="9"/>
        <v>1.7546605344851387E-2</v>
      </c>
      <c r="AU18" s="2">
        <f t="shared" si="10"/>
        <v>1.5448221873676929E-2</v>
      </c>
      <c r="AV18" s="2">
        <f t="shared" si="11"/>
        <v>2.5026119435356624E-3</v>
      </c>
      <c r="AW18" s="3">
        <f t="shared" si="12"/>
        <v>16.2</v>
      </c>
    </row>
    <row r="19" spans="1:49" x14ac:dyDescent="0.2">
      <c r="A19" t="s">
        <v>45</v>
      </c>
      <c r="B19" s="5" t="s">
        <v>46</v>
      </c>
      <c r="C19" s="5" t="s">
        <v>47</v>
      </c>
      <c r="D19" s="5" t="s">
        <v>65</v>
      </c>
      <c r="E19">
        <v>1</v>
      </c>
      <c r="F19" s="6">
        <v>18</v>
      </c>
      <c r="G19" s="3">
        <v>2.4</v>
      </c>
      <c r="H19" s="3">
        <v>2.7</v>
      </c>
      <c r="I19" s="3">
        <v>1</v>
      </c>
      <c r="J19" s="3">
        <v>21.744444444444447</v>
      </c>
      <c r="K19" s="3">
        <v>22.744444444444447</v>
      </c>
      <c r="L19" s="3">
        <v>22.244444444444447</v>
      </c>
      <c r="M19" s="1">
        <v>0.21</v>
      </c>
      <c r="N19" s="3">
        <v>21.744444444444447</v>
      </c>
      <c r="O19" s="3">
        <v>22.744444444444447</v>
      </c>
      <c r="P19" s="3">
        <v>22.244444444444447</v>
      </c>
      <c r="Q19" s="3">
        <v>21.744444444444447</v>
      </c>
      <c r="R19" s="3">
        <v>22.744444444444447</v>
      </c>
      <c r="S19" s="3">
        <v>22.2</v>
      </c>
      <c r="T19" s="3">
        <v>22.2</v>
      </c>
      <c r="U19" s="7">
        <f t="shared" si="0"/>
        <v>0.5</v>
      </c>
      <c r="V19" s="3">
        <v>32.65</v>
      </c>
      <c r="W19" s="3">
        <v>308.58999999999997</v>
      </c>
      <c r="X19" s="3">
        <v>154.47</v>
      </c>
      <c r="Y19" s="3">
        <v>157.66</v>
      </c>
      <c r="Z19" s="3">
        <f t="shared" si="1"/>
        <v>137.96999999999997</v>
      </c>
      <c r="AA19" s="4">
        <f t="shared" si="2"/>
        <v>8.8016249153689899E-2</v>
      </c>
      <c r="AB19" s="4">
        <f t="shared" si="3"/>
        <v>7.9006335621897433E-2</v>
      </c>
      <c r="AC19">
        <v>1.1476266666666668</v>
      </c>
      <c r="AD19" s="2">
        <v>7.2195</v>
      </c>
      <c r="AE19" s="2">
        <v>2.1017000000000001</v>
      </c>
      <c r="AF19" s="2">
        <f t="shared" si="4"/>
        <v>5.1177999999999999</v>
      </c>
      <c r="AG19" s="2">
        <v>0.95407333333333333</v>
      </c>
      <c r="AH19" s="1">
        <f t="shared" si="5"/>
        <v>84.287002034517627</v>
      </c>
      <c r="AI19" s="1">
        <f t="shared" si="6"/>
        <v>15.712997965482373</v>
      </c>
      <c r="AJ19" s="1">
        <f t="shared" si="7"/>
        <v>0.78564989827411869</v>
      </c>
      <c r="AK19" s="8">
        <v>0.20000000000000018</v>
      </c>
      <c r="AL19" s="9">
        <v>65.606190885640558</v>
      </c>
      <c r="AM19" s="10">
        <v>3.2803095442820283</v>
      </c>
      <c r="AN19" s="9">
        <v>32.803095442820279</v>
      </c>
      <c r="AO19" s="11">
        <v>3.2815439516038434</v>
      </c>
      <c r="AP19" s="2">
        <v>5.1044624999999995</v>
      </c>
      <c r="AQ19" s="2">
        <f t="shared" si="8"/>
        <v>0.31137221250000002</v>
      </c>
      <c r="AR19" s="2">
        <v>1.1895225664471694</v>
      </c>
      <c r="AS19" s="2">
        <v>0.18690965666479742</v>
      </c>
      <c r="AT19" s="2">
        <f t="shared" si="9"/>
        <v>1.8690965666479743E-2</v>
      </c>
      <c r="AU19" s="2">
        <f t="shared" si="10"/>
        <v>1.6451086910239446E-2</v>
      </c>
      <c r="AV19" s="2">
        <f t="shared" si="11"/>
        <v>2.6486249925485516E-3</v>
      </c>
      <c r="AW19" s="3">
        <f t="shared" si="12"/>
        <v>16.100000000000001</v>
      </c>
    </row>
    <row r="20" spans="1:49" x14ac:dyDescent="0.2">
      <c r="A20" t="s">
        <v>45</v>
      </c>
      <c r="B20" s="5" t="s">
        <v>46</v>
      </c>
      <c r="C20" s="5" t="s">
        <v>47</v>
      </c>
      <c r="D20" s="5" t="s">
        <v>66</v>
      </c>
      <c r="E20">
        <v>1</v>
      </c>
      <c r="F20" s="6">
        <v>19</v>
      </c>
      <c r="G20" s="3">
        <v>2.4500000000000002</v>
      </c>
      <c r="H20" s="3">
        <v>2.5</v>
      </c>
      <c r="I20" s="3">
        <v>1.05</v>
      </c>
      <c r="J20" s="3">
        <v>22.950000000000003</v>
      </c>
      <c r="K20" s="3">
        <v>24.000000000000004</v>
      </c>
      <c r="L20" s="3">
        <v>23.475000000000001</v>
      </c>
      <c r="M20" s="1">
        <v>0.21</v>
      </c>
      <c r="N20" s="3">
        <v>22.950000000000003</v>
      </c>
      <c r="O20" s="3">
        <v>24.000000000000004</v>
      </c>
      <c r="P20" s="3">
        <v>23.475000000000001</v>
      </c>
      <c r="Q20" s="3">
        <v>22.950000000000003</v>
      </c>
      <c r="R20" s="3">
        <v>24.000000000000004</v>
      </c>
      <c r="S20" s="3">
        <v>23.5</v>
      </c>
      <c r="T20" s="3">
        <v>23.5</v>
      </c>
      <c r="U20" s="7">
        <f t="shared" si="0"/>
        <v>0.52500000000000036</v>
      </c>
      <c r="V20" s="3">
        <v>47.3</v>
      </c>
      <c r="W20" s="3">
        <v>325.7</v>
      </c>
      <c r="X20" s="3">
        <v>169.11</v>
      </c>
      <c r="Y20" s="3">
        <v>172.43</v>
      </c>
      <c r="Z20" s="3">
        <f t="shared" si="1"/>
        <v>139.19999999999999</v>
      </c>
      <c r="AA20" s="4">
        <f t="shared" si="2"/>
        <v>8.8041085840058667E-2</v>
      </c>
      <c r="AB20" s="4">
        <f t="shared" si="3"/>
        <v>7.3041045413799882E-2</v>
      </c>
      <c r="AC20">
        <v>1.1476266666666668</v>
      </c>
      <c r="AD20" s="2">
        <v>7.4071999999999996</v>
      </c>
      <c r="AE20" s="2">
        <v>2.04</v>
      </c>
      <c r="AF20" s="2">
        <f t="shared" si="4"/>
        <v>5.3671999999999995</v>
      </c>
      <c r="AG20" s="2">
        <v>0.89237333333333324</v>
      </c>
      <c r="AH20" s="1">
        <f t="shared" si="5"/>
        <v>85.743863266505912</v>
      </c>
      <c r="AI20" s="1">
        <f t="shared" si="6"/>
        <v>14.256136733494088</v>
      </c>
      <c r="AJ20" s="1">
        <f t="shared" si="7"/>
        <v>0.71280683667470446</v>
      </c>
      <c r="AK20" s="8">
        <v>8.6700000000000443E-2</v>
      </c>
      <c r="AL20" s="9">
        <v>75.432133748937247</v>
      </c>
      <c r="AM20" s="10">
        <v>3.7716066874468623</v>
      </c>
      <c r="AN20" s="9">
        <v>37.716066874468623</v>
      </c>
      <c r="AO20" s="11">
        <v>3.7726803475505175</v>
      </c>
      <c r="AP20" s="2">
        <v>5.0490464062500005</v>
      </c>
      <c r="AQ20" s="2">
        <f t="shared" si="8"/>
        <v>0.30294278437500005</v>
      </c>
      <c r="AR20" s="2">
        <v>1.2397535751671589</v>
      </c>
      <c r="AS20" s="2">
        <v>0.17674096483421151</v>
      </c>
      <c r="AT20" s="2">
        <f t="shared" si="9"/>
        <v>1.7674096483421151E-2</v>
      </c>
      <c r="AU20" s="2">
        <f t="shared" si="10"/>
        <v>1.5560466456423606E-2</v>
      </c>
      <c r="AV20" s="2">
        <f t="shared" si="11"/>
        <v>2.4896746330277768E-3</v>
      </c>
      <c r="AW20" s="3">
        <f t="shared" si="12"/>
        <v>16</v>
      </c>
    </row>
    <row r="21" spans="1:49" x14ac:dyDescent="0.2">
      <c r="A21" t="s">
        <v>45</v>
      </c>
      <c r="B21" s="5" t="s">
        <v>46</v>
      </c>
      <c r="C21" s="5" t="s">
        <v>47</v>
      </c>
      <c r="D21" s="5" t="s">
        <v>67</v>
      </c>
      <c r="E21">
        <v>1</v>
      </c>
      <c r="F21" s="6">
        <v>20</v>
      </c>
      <c r="G21" s="3">
        <v>2.7</v>
      </c>
      <c r="H21" s="3">
        <v>2.6</v>
      </c>
      <c r="I21" s="3">
        <v>1.05</v>
      </c>
      <c r="J21" s="3">
        <v>24.205555555555559</v>
      </c>
      <c r="K21" s="3">
        <v>25.25555555555556</v>
      </c>
      <c r="L21" s="3">
        <v>24.730555555555561</v>
      </c>
      <c r="M21" s="1">
        <v>0.21</v>
      </c>
      <c r="N21" s="3">
        <v>24.205555555555559</v>
      </c>
      <c r="O21" s="3">
        <v>25.25555555555556</v>
      </c>
      <c r="P21" s="3">
        <v>24.730555555555561</v>
      </c>
      <c r="Q21" s="3">
        <v>24.205555555555559</v>
      </c>
      <c r="R21" s="3">
        <v>25.25555555555556</v>
      </c>
      <c r="S21" s="3">
        <v>24.7</v>
      </c>
      <c r="T21" s="3">
        <v>24.7</v>
      </c>
      <c r="U21" s="7">
        <f t="shared" si="0"/>
        <v>0.52500000000000036</v>
      </c>
      <c r="V21" s="3">
        <v>61.1</v>
      </c>
      <c r="W21" s="3">
        <v>343.15</v>
      </c>
      <c r="X21" s="3">
        <v>182.46</v>
      </c>
      <c r="Y21" s="3">
        <v>186.06</v>
      </c>
      <c r="Z21" s="3">
        <f t="shared" si="1"/>
        <v>141.02499999999998</v>
      </c>
      <c r="AA21" s="4">
        <f t="shared" si="2"/>
        <v>8.8016249153689899E-2</v>
      </c>
      <c r="AB21" s="4">
        <f t="shared" si="3"/>
        <v>6.8583096089571541E-2</v>
      </c>
      <c r="AC21">
        <v>1.1476266666666668</v>
      </c>
      <c r="AD21" s="2">
        <v>7.1406999999999998</v>
      </c>
      <c r="AE21" s="2">
        <v>2.1362999999999999</v>
      </c>
      <c r="AF21" s="2">
        <f t="shared" si="4"/>
        <v>5.0044000000000004</v>
      </c>
      <c r="AG21" s="2">
        <v>0.98867333333333307</v>
      </c>
      <c r="AH21" s="1">
        <f t="shared" si="5"/>
        <v>83.503066317671184</v>
      </c>
      <c r="AI21" s="1">
        <f t="shared" si="6"/>
        <v>16.496933682328816</v>
      </c>
      <c r="AJ21" s="1">
        <f t="shared" si="7"/>
        <v>0.8248466841164408</v>
      </c>
      <c r="AK21" s="8">
        <v>0.24270000000000014</v>
      </c>
      <c r="AL21" s="9">
        <v>57.98130193905817</v>
      </c>
      <c r="AM21" s="10">
        <v>2.8990650969529086</v>
      </c>
      <c r="AN21" s="9">
        <v>28.990650969529085</v>
      </c>
      <c r="AO21" s="11">
        <v>2.9004617626113567</v>
      </c>
      <c r="AP21" s="2">
        <v>5.7882956250000017</v>
      </c>
      <c r="AQ21" s="2">
        <f t="shared" si="8"/>
        <v>0.3675567721875001</v>
      </c>
      <c r="AR21" s="2">
        <v>1.0353778938741283</v>
      </c>
      <c r="AS21" s="2">
        <v>0.1708056045139078</v>
      </c>
      <c r="AT21" s="2">
        <f t="shared" si="9"/>
        <v>1.708056045139078E-2</v>
      </c>
      <c r="AU21" s="2">
        <f t="shared" si="10"/>
        <v>1.5033668643742729E-2</v>
      </c>
      <c r="AV21" s="2">
        <f t="shared" si="11"/>
        <v>2.4580048232519364E-3</v>
      </c>
      <c r="AW21" s="3">
        <f t="shared" si="12"/>
        <v>16.350000000000001</v>
      </c>
    </row>
    <row r="22" spans="1:49" x14ac:dyDescent="0.2">
      <c r="A22" t="s">
        <v>45</v>
      </c>
      <c r="B22" s="5" t="s">
        <v>46</v>
      </c>
      <c r="C22" s="5" t="s">
        <v>47</v>
      </c>
      <c r="D22" s="5" t="s">
        <v>68</v>
      </c>
      <c r="E22">
        <v>1</v>
      </c>
      <c r="F22" s="6">
        <v>21</v>
      </c>
      <c r="G22" s="3">
        <v>2.5</v>
      </c>
      <c r="H22" s="3">
        <v>2.65</v>
      </c>
      <c r="I22" s="3">
        <v>1.05</v>
      </c>
      <c r="J22" s="3">
        <v>25.461111111111116</v>
      </c>
      <c r="K22" s="3">
        <v>26.511111111111116</v>
      </c>
      <c r="L22" s="3">
        <v>25.986111111111114</v>
      </c>
      <c r="M22" s="1">
        <v>0.21</v>
      </c>
      <c r="N22" s="3">
        <v>25.461111111111116</v>
      </c>
      <c r="O22" s="3">
        <v>26.511111111111116</v>
      </c>
      <c r="P22" s="3">
        <v>25.986111111111114</v>
      </c>
      <c r="Q22" s="3">
        <v>25.461111111111116</v>
      </c>
      <c r="R22" s="3">
        <v>26.511111111111116</v>
      </c>
      <c r="S22" s="3">
        <v>26</v>
      </c>
      <c r="T22" s="3">
        <v>26</v>
      </c>
      <c r="U22" s="7">
        <f t="shared" si="0"/>
        <v>0.52500000000000036</v>
      </c>
      <c r="V22" s="3">
        <v>72.959999999999994</v>
      </c>
      <c r="W22" s="3">
        <v>357.13</v>
      </c>
      <c r="X22" s="3">
        <v>197.65</v>
      </c>
      <c r="Y22" s="3">
        <v>200.83</v>
      </c>
      <c r="Z22" s="3">
        <f t="shared" si="1"/>
        <v>142.08500000000001</v>
      </c>
      <c r="AA22" s="4">
        <f t="shared" si="2"/>
        <v>8.7976539589442848E-2</v>
      </c>
      <c r="AB22" s="4">
        <f t="shared" si="3"/>
        <v>6.4018876422602608E-2</v>
      </c>
      <c r="AC22">
        <v>1.1476266666666668</v>
      </c>
      <c r="AD22" s="2">
        <v>7.1624999999999996</v>
      </c>
      <c r="AE22" s="2">
        <v>2.2225000000000001</v>
      </c>
      <c r="AF22" s="2">
        <f t="shared" si="4"/>
        <v>4.9399999999999995</v>
      </c>
      <c r="AG22" s="2">
        <v>1.0748733333333333</v>
      </c>
      <c r="AH22" s="1">
        <f t="shared" si="5"/>
        <v>82.129742826393681</v>
      </c>
      <c r="AI22" s="1">
        <f t="shared" si="6"/>
        <v>17.870257173606319</v>
      </c>
      <c r="AJ22" s="1">
        <f t="shared" si="7"/>
        <v>0.89351285868031605</v>
      </c>
      <c r="AK22" s="8">
        <v>0.17720000000000002</v>
      </c>
      <c r="AL22" s="9">
        <v>67.166944598851202</v>
      </c>
      <c r="AM22" s="10">
        <v>3.3583472299425603</v>
      </c>
      <c r="AN22" s="9">
        <v>33.583472299425601</v>
      </c>
      <c r="AO22" s="11">
        <v>3.3595529638424915</v>
      </c>
      <c r="AP22" s="2">
        <v>5.4652926562500017</v>
      </c>
      <c r="AQ22" s="2">
        <f t="shared" si="8"/>
        <v>0.33884814468750013</v>
      </c>
      <c r="AR22" s="2">
        <v>1.100558325354241</v>
      </c>
      <c r="AS22" s="2">
        <v>0.1966726030863378</v>
      </c>
      <c r="AT22" s="2">
        <f t="shared" si="9"/>
        <v>1.9667260308633781E-2</v>
      </c>
      <c r="AU22" s="2">
        <f t="shared" si="10"/>
        <v>1.7302575051583977E-2</v>
      </c>
      <c r="AV22" s="2">
        <f t="shared" si="11"/>
        <v>2.8030171583566044E-3</v>
      </c>
      <c r="AW22" s="3">
        <f t="shared" si="12"/>
        <v>16.2</v>
      </c>
    </row>
    <row r="23" spans="1:49" x14ac:dyDescent="0.2">
      <c r="A23" t="s">
        <v>45</v>
      </c>
      <c r="B23" s="5" t="s">
        <v>46</v>
      </c>
      <c r="C23" s="5" t="s">
        <v>47</v>
      </c>
      <c r="D23" s="5" t="s">
        <v>69</v>
      </c>
      <c r="E23">
        <v>1</v>
      </c>
      <c r="F23" s="6">
        <v>22</v>
      </c>
      <c r="G23" s="3">
        <v>2.6</v>
      </c>
      <c r="H23" s="3">
        <v>2.65</v>
      </c>
      <c r="I23" s="3">
        <v>1.05</v>
      </c>
      <c r="J23" s="3">
        <v>26.716666666666672</v>
      </c>
      <c r="K23" s="3">
        <v>27.766666666666673</v>
      </c>
      <c r="L23" s="3">
        <v>27.241666666666674</v>
      </c>
      <c r="M23" s="1">
        <v>0.21</v>
      </c>
      <c r="N23" s="3">
        <v>26.716666666666672</v>
      </c>
      <c r="O23" s="3">
        <v>27.766666666666673</v>
      </c>
      <c r="P23" s="3">
        <v>27.241666666666674</v>
      </c>
      <c r="Q23" s="3">
        <v>26.716666666666672</v>
      </c>
      <c r="R23" s="3">
        <v>27.766666666666673</v>
      </c>
      <c r="S23" s="3">
        <v>27.2</v>
      </c>
      <c r="T23" s="3">
        <v>27.2</v>
      </c>
      <c r="U23" s="7">
        <f t="shared" si="0"/>
        <v>0.52500000000000036</v>
      </c>
      <c r="V23" s="3">
        <v>82.02</v>
      </c>
      <c r="W23" s="3">
        <v>371.93</v>
      </c>
      <c r="X23" s="3">
        <v>211.76</v>
      </c>
      <c r="Y23" s="3">
        <v>214.47</v>
      </c>
      <c r="Z23" s="3">
        <f t="shared" si="1"/>
        <v>144.95499999999998</v>
      </c>
      <c r="AA23" s="4">
        <f t="shared" si="2"/>
        <v>8.8016249153689899E-2</v>
      </c>
      <c r="AB23" s="4">
        <f t="shared" si="3"/>
        <v>6.1186861863150428E-2</v>
      </c>
      <c r="AC23">
        <v>1.1476266666666668</v>
      </c>
      <c r="AD23" s="2">
        <v>7.3369999999999997</v>
      </c>
      <c r="AE23" s="2">
        <v>2.3641999999999999</v>
      </c>
      <c r="AF23" s="2">
        <f t="shared" si="4"/>
        <v>4.9727999999999994</v>
      </c>
      <c r="AG23" s="2">
        <v>1.2165733333333331</v>
      </c>
      <c r="AH23" s="1">
        <f t="shared" si="5"/>
        <v>80.344159774926055</v>
      </c>
      <c r="AI23" s="1">
        <f t="shared" si="6"/>
        <v>19.655840225073945</v>
      </c>
      <c r="AJ23" s="1">
        <f t="shared" si="7"/>
        <v>0.98279201125369731</v>
      </c>
      <c r="AK23" s="8">
        <v>0.1272000000000002</v>
      </c>
      <c r="AL23" s="9">
        <v>72.698003863490001</v>
      </c>
      <c r="AM23" s="10">
        <v>3.6349001931745004</v>
      </c>
      <c r="AN23" s="9">
        <v>36.349001931745001</v>
      </c>
      <c r="AO23" s="11">
        <v>3.6360142208660324</v>
      </c>
      <c r="AP23" s="2">
        <v>5.6795976562499995</v>
      </c>
      <c r="AQ23" s="2">
        <f t="shared" si="8"/>
        <v>0.35781465234374998</v>
      </c>
      <c r="AR23" s="2">
        <v>1.0897555967758317</v>
      </c>
      <c r="AS23" s="2">
        <v>0.21420061894605849</v>
      </c>
      <c r="AT23" s="2">
        <f t="shared" si="9"/>
        <v>2.1420061894605852E-2</v>
      </c>
      <c r="AU23" s="2">
        <f t="shared" si="10"/>
        <v>1.8853135046030874E-2</v>
      </c>
      <c r="AV23" s="2">
        <f t="shared" si="11"/>
        <v>3.0730610125030331E-3</v>
      </c>
      <c r="AW23" s="3">
        <f t="shared" si="12"/>
        <v>16.300000000000004</v>
      </c>
    </row>
    <row r="24" spans="1:49" x14ac:dyDescent="0.2">
      <c r="A24" t="s">
        <v>45</v>
      </c>
      <c r="B24" s="5" t="s">
        <v>46</v>
      </c>
      <c r="C24" s="5" t="s">
        <v>47</v>
      </c>
      <c r="D24" s="5" t="s">
        <v>70</v>
      </c>
      <c r="E24">
        <v>1</v>
      </c>
      <c r="F24" s="6">
        <v>23</v>
      </c>
      <c r="G24" s="3">
        <v>2.8</v>
      </c>
      <c r="H24" s="3">
        <v>2.7</v>
      </c>
      <c r="I24" s="3">
        <v>1.1000000000000001</v>
      </c>
      <c r="J24" s="3">
        <v>27.972222222222229</v>
      </c>
      <c r="K24" s="3">
        <v>29.07222222222223</v>
      </c>
      <c r="L24" s="3">
        <v>28.522222222222229</v>
      </c>
      <c r="M24" s="1">
        <v>0.21</v>
      </c>
      <c r="N24" s="3">
        <v>27.972222222222229</v>
      </c>
      <c r="O24" s="3">
        <v>29.07222222222223</v>
      </c>
      <c r="P24" s="3">
        <v>28.522222222222229</v>
      </c>
      <c r="Q24" s="3">
        <v>27.972222222222229</v>
      </c>
      <c r="R24" s="3">
        <v>29.07222222222223</v>
      </c>
      <c r="S24" s="3">
        <v>28.5</v>
      </c>
      <c r="T24" s="3">
        <v>28.5</v>
      </c>
      <c r="U24" s="7">
        <f t="shared" si="0"/>
        <v>0.55000000000000071</v>
      </c>
      <c r="V24" s="3">
        <v>91.64</v>
      </c>
      <c r="W24" s="3">
        <v>393.93</v>
      </c>
      <c r="X24" s="3">
        <v>226.67</v>
      </c>
      <c r="Y24" s="3">
        <v>229.24</v>
      </c>
      <c r="Z24" s="3">
        <f t="shared" si="1"/>
        <v>151.14500000000001</v>
      </c>
      <c r="AA24" s="4">
        <f t="shared" si="2"/>
        <v>8.8016249153690065E-2</v>
      </c>
      <c r="AB24" s="4">
        <f t="shared" si="3"/>
        <v>5.9730386005982919E-2</v>
      </c>
      <c r="AC24">
        <v>1.1476266666666668</v>
      </c>
      <c r="AD24" s="2">
        <v>7.6753999999999998</v>
      </c>
      <c r="AE24" s="2">
        <v>2.1013000000000002</v>
      </c>
      <c r="AF24" s="2">
        <f t="shared" si="4"/>
        <v>5.5740999999999996</v>
      </c>
      <c r="AG24" s="2">
        <v>0.95367333333333337</v>
      </c>
      <c r="AH24" s="1">
        <f t="shared" si="5"/>
        <v>85.390526223337005</v>
      </c>
      <c r="AI24" s="1">
        <f t="shared" si="6"/>
        <v>14.609473776662995</v>
      </c>
      <c r="AJ24" s="1">
        <f t="shared" si="7"/>
        <v>0.73047368883314978</v>
      </c>
      <c r="AK24" s="8">
        <v>0.10050000000000026</v>
      </c>
      <c r="AL24" s="9">
        <v>76.491228070175382</v>
      </c>
      <c r="AM24" s="10">
        <v>3.8245614035087692</v>
      </c>
      <c r="AN24" s="9">
        <v>38.245614035087691</v>
      </c>
      <c r="AO24" s="11">
        <v>3.8256202019030807</v>
      </c>
      <c r="AP24" s="2">
        <v>6.5302187499999995</v>
      </c>
      <c r="AQ24" s="2">
        <f t="shared" si="8"/>
        <v>0.43099443749999999</v>
      </c>
      <c r="AR24" s="2">
        <v>0.99962552300921526</v>
      </c>
      <c r="AS24" s="2">
        <v>0.14604002864886165</v>
      </c>
      <c r="AT24" s="2">
        <f t="shared" si="9"/>
        <v>1.4604002864886166E-2</v>
      </c>
      <c r="AU24" s="2">
        <f t="shared" si="10"/>
        <v>1.2853895547970243E-2</v>
      </c>
      <c r="AV24" s="2">
        <f t="shared" si="11"/>
        <v>2.1337466609630605E-3</v>
      </c>
      <c r="AW24" s="3">
        <f t="shared" si="12"/>
        <v>16.600000000000001</v>
      </c>
    </row>
    <row r="25" spans="1:49" x14ac:dyDescent="0.2">
      <c r="A25" t="s">
        <v>45</v>
      </c>
      <c r="B25" s="5" t="s">
        <v>46</v>
      </c>
      <c r="C25" s="5" t="s">
        <v>47</v>
      </c>
      <c r="D25" s="5" t="s">
        <v>71</v>
      </c>
      <c r="E25">
        <v>1</v>
      </c>
      <c r="F25" s="6">
        <v>24</v>
      </c>
      <c r="G25" s="3">
        <v>2.65</v>
      </c>
      <c r="H25" s="3">
        <v>3.3</v>
      </c>
      <c r="I25" s="3">
        <v>1</v>
      </c>
      <c r="J25" s="3">
        <v>29.277777777777786</v>
      </c>
      <c r="K25" s="3">
        <v>30.277777777777786</v>
      </c>
      <c r="L25" s="3">
        <v>29.777777777777786</v>
      </c>
      <c r="M25" s="1">
        <v>0.21</v>
      </c>
      <c r="N25" s="3">
        <v>29.277777777777786</v>
      </c>
      <c r="O25" s="3">
        <v>30.277777777777786</v>
      </c>
      <c r="P25" s="3">
        <v>29.777777777777786</v>
      </c>
      <c r="Q25" s="3">
        <v>29.277777777777786</v>
      </c>
      <c r="R25" s="3">
        <v>30.277777777777786</v>
      </c>
      <c r="S25" s="3">
        <v>29.8</v>
      </c>
      <c r="T25" s="3">
        <v>29.8</v>
      </c>
      <c r="U25" s="7">
        <f t="shared" si="0"/>
        <v>0.5</v>
      </c>
      <c r="V25" s="3">
        <v>98.58</v>
      </c>
      <c r="W25" s="3">
        <v>417.4</v>
      </c>
      <c r="X25" s="3">
        <v>240.47</v>
      </c>
      <c r="Y25" s="3">
        <v>244.01</v>
      </c>
      <c r="Z25" s="3">
        <f t="shared" si="1"/>
        <v>159.41</v>
      </c>
      <c r="AA25" s="4">
        <f t="shared" si="2"/>
        <v>7.3619631901840399E-2</v>
      </c>
      <c r="AB25" s="4">
        <f t="shared" si="3"/>
        <v>4.9330411385667836E-2</v>
      </c>
      <c r="AC25">
        <v>1.1476266666666668</v>
      </c>
      <c r="AD25" s="2">
        <v>8.0690000000000008</v>
      </c>
      <c r="AE25" s="2">
        <v>2.1833999999999998</v>
      </c>
      <c r="AF25" s="2">
        <f t="shared" si="4"/>
        <v>5.8856000000000011</v>
      </c>
      <c r="AG25" s="2">
        <v>1.035773333333333</v>
      </c>
      <c r="AH25" s="1">
        <f t="shared" si="5"/>
        <v>85.035147167325178</v>
      </c>
      <c r="AI25" s="1">
        <f t="shared" si="6"/>
        <v>14.964852832674822</v>
      </c>
      <c r="AJ25" s="1">
        <f t="shared" si="7"/>
        <v>0.7482426416337411</v>
      </c>
      <c r="AK25" s="8">
        <v>6.0200000000000031E-2</v>
      </c>
      <c r="AL25" s="9">
        <v>80.549273021001596</v>
      </c>
      <c r="AM25" s="10">
        <v>4.0274636510500796</v>
      </c>
      <c r="AN25" s="9">
        <v>40.274636510500798</v>
      </c>
      <c r="AO25" s="11">
        <v>4.0284691212084072</v>
      </c>
      <c r="AP25" s="2">
        <v>6.9477406249999989</v>
      </c>
      <c r="AQ25" s="2">
        <f t="shared" si="8"/>
        <v>0.48286797343749988</v>
      </c>
      <c r="AR25" s="2">
        <v>0.99620491133883327</v>
      </c>
      <c r="AS25" s="2">
        <v>0.14908059889373507</v>
      </c>
      <c r="AT25" s="2">
        <f t="shared" si="9"/>
        <v>1.4908059889373507E-2</v>
      </c>
      <c r="AU25" s="2">
        <f t="shared" si="10"/>
        <v>1.097525881426269E-2</v>
      </c>
      <c r="AV25" s="2">
        <f t="shared" si="11"/>
        <v>1.8603063690175259E-3</v>
      </c>
      <c r="AW25" s="3">
        <f t="shared" si="12"/>
        <v>16.95</v>
      </c>
    </row>
    <row r="26" spans="1:49" x14ac:dyDescent="0.2">
      <c r="A26" t="s">
        <v>45</v>
      </c>
      <c r="B26" s="5" t="s">
        <v>46</v>
      </c>
      <c r="C26" s="5" t="s">
        <v>47</v>
      </c>
      <c r="D26" s="5" t="s">
        <v>72</v>
      </c>
      <c r="E26">
        <v>1</v>
      </c>
      <c r="F26" s="6">
        <v>25</v>
      </c>
      <c r="G26" s="3">
        <v>2.7</v>
      </c>
      <c r="H26" s="3">
        <v>2.4500000000000002</v>
      </c>
      <c r="I26" s="3">
        <v>1</v>
      </c>
      <c r="J26" s="3">
        <v>30.483333333333341</v>
      </c>
      <c r="K26" s="3">
        <v>31.483333333333341</v>
      </c>
      <c r="L26" s="3">
        <v>30.983333333333341</v>
      </c>
      <c r="M26" s="1">
        <v>0.21</v>
      </c>
      <c r="N26" s="3">
        <v>30.483333333333341</v>
      </c>
      <c r="O26" s="3">
        <v>31.483333333333341</v>
      </c>
      <c r="P26" s="3">
        <v>30.983333333333341</v>
      </c>
      <c r="Q26" s="3">
        <v>30.483333333333341</v>
      </c>
      <c r="R26" s="3">
        <v>31.483333333333341</v>
      </c>
      <c r="S26" s="3">
        <v>31</v>
      </c>
      <c r="T26" s="3">
        <v>31</v>
      </c>
      <c r="U26" s="7">
        <f t="shared" si="0"/>
        <v>0.5</v>
      </c>
      <c r="V26" s="3">
        <v>121.34</v>
      </c>
      <c r="W26" s="3">
        <v>426.17</v>
      </c>
      <c r="X26" s="3">
        <v>255.85</v>
      </c>
      <c r="Y26" s="3">
        <v>260.31</v>
      </c>
      <c r="Z26" s="3">
        <f t="shared" si="1"/>
        <v>152.41500000000002</v>
      </c>
      <c r="AA26" s="4">
        <f t="shared" si="2"/>
        <v>7.1258907363420707E-2</v>
      </c>
      <c r="AB26" s="4">
        <f t="shared" si="3"/>
        <v>4.2872384220247917E-2</v>
      </c>
      <c r="AC26">
        <v>1.1476266666666668</v>
      </c>
      <c r="AD26" s="2">
        <v>7.7588999999999997</v>
      </c>
      <c r="AE26" s="2">
        <v>2.1141000000000001</v>
      </c>
      <c r="AF26" s="2">
        <f t="shared" si="4"/>
        <v>5.6448</v>
      </c>
      <c r="AG26" s="2">
        <v>0.9664733333333333</v>
      </c>
      <c r="AH26" s="1">
        <f t="shared" si="5"/>
        <v>85.381434337913731</v>
      </c>
      <c r="AI26" s="1">
        <f t="shared" si="6"/>
        <v>14.618565662086269</v>
      </c>
      <c r="AJ26" s="1">
        <f t="shared" si="7"/>
        <v>0.73092828310431346</v>
      </c>
      <c r="AK26" s="8">
        <v>0.19489999999999963</v>
      </c>
      <c r="AL26" s="9">
        <v>66.603838245373595</v>
      </c>
      <c r="AM26" s="10">
        <v>3.3301919122686798</v>
      </c>
      <c r="AN26" s="9">
        <v>33.301919122686797</v>
      </c>
      <c r="AO26" s="11">
        <v>3.3314078364168696</v>
      </c>
      <c r="AP26" s="2">
        <v>5.2050406250000014</v>
      </c>
      <c r="AQ26" s="2">
        <f t="shared" si="8"/>
        <v>0.3201099984375001</v>
      </c>
      <c r="AR26" s="2">
        <v>1.2701674798807803</v>
      </c>
      <c r="AS26" s="2">
        <v>0.18568026706483834</v>
      </c>
      <c r="AT26" s="2">
        <f t="shared" si="9"/>
        <v>1.8568026706483835E-2</v>
      </c>
      <c r="AU26" s="2">
        <f t="shared" si="10"/>
        <v>1.3231372949988532E-2</v>
      </c>
      <c r="AV26" s="2">
        <f t="shared" si="11"/>
        <v>2.136866731423148E-3</v>
      </c>
      <c r="AW26" s="3">
        <f t="shared" si="12"/>
        <v>16.150000000000002</v>
      </c>
    </row>
    <row r="27" spans="1:49" x14ac:dyDescent="0.2">
      <c r="A27" t="s">
        <v>45</v>
      </c>
      <c r="B27" s="5" t="s">
        <v>46</v>
      </c>
      <c r="C27" s="5" t="s">
        <v>47</v>
      </c>
      <c r="D27" s="5" t="s">
        <v>73</v>
      </c>
      <c r="E27">
        <v>1</v>
      </c>
      <c r="F27" s="6">
        <v>26</v>
      </c>
      <c r="G27" s="3">
        <v>2.7</v>
      </c>
      <c r="H27" s="3">
        <v>2.6</v>
      </c>
      <c r="I27" s="3">
        <v>0.95</v>
      </c>
      <c r="J27" s="3">
        <v>31.688888888888897</v>
      </c>
      <c r="K27" s="3">
        <v>32.6388888888889</v>
      </c>
      <c r="L27" s="3">
        <v>32.163888888888899</v>
      </c>
      <c r="M27" s="1">
        <v>0.21</v>
      </c>
      <c r="N27" s="3">
        <v>31.688888888888897</v>
      </c>
      <c r="O27" s="3">
        <v>32.6388888888889</v>
      </c>
      <c r="P27" s="3">
        <v>32.163888888888899</v>
      </c>
      <c r="Q27" s="3">
        <v>31.688888888888897</v>
      </c>
      <c r="R27" s="3">
        <v>32.6388888888889</v>
      </c>
      <c r="S27" s="3">
        <v>32.200000000000003</v>
      </c>
      <c r="T27" s="3">
        <v>32.200000000000003</v>
      </c>
      <c r="U27" s="7">
        <f t="shared" si="0"/>
        <v>0.47500000000000142</v>
      </c>
      <c r="V27" s="3">
        <v>136.91</v>
      </c>
      <c r="W27" s="3">
        <v>432.05</v>
      </c>
      <c r="X27" s="3">
        <v>272.77</v>
      </c>
      <c r="Y27" s="3">
        <v>277.14999999999998</v>
      </c>
      <c r="Z27" s="3">
        <f t="shared" si="1"/>
        <v>147.57</v>
      </c>
      <c r="AA27" s="4">
        <f t="shared" si="2"/>
        <v>7.1289695398573813E-2</v>
      </c>
      <c r="AB27" s="4">
        <f t="shared" si="3"/>
        <v>3.9010213355305641E-2</v>
      </c>
      <c r="AC27">
        <v>1.1476266666666668</v>
      </c>
      <c r="AD27" s="2">
        <v>6.9016999999999999</v>
      </c>
      <c r="AE27" s="2">
        <v>2.294</v>
      </c>
      <c r="AF27" s="2">
        <f t="shared" si="4"/>
        <v>4.6076999999999995</v>
      </c>
      <c r="AG27" s="2">
        <v>1.1463733333333332</v>
      </c>
      <c r="AH27" s="1">
        <f t="shared" si="5"/>
        <v>80.077185900770587</v>
      </c>
      <c r="AI27" s="1">
        <f t="shared" si="6"/>
        <v>19.922814099229413</v>
      </c>
      <c r="AJ27" s="1">
        <f t="shared" si="7"/>
        <v>0.99614070496147067</v>
      </c>
      <c r="AK27" s="8">
        <v>0.6897000000000002</v>
      </c>
      <c r="AL27" s="9">
        <v>26.98496718187593</v>
      </c>
      <c r="AM27" s="10">
        <v>1.3492483590937967</v>
      </c>
      <c r="AN27" s="9">
        <v>13.492483590937965</v>
      </c>
      <c r="AO27" s="11">
        <v>1.3522466988376429</v>
      </c>
      <c r="AP27" s="2">
        <v>5.2370293750000014</v>
      </c>
      <c r="AQ27" s="2">
        <f t="shared" si="8"/>
        <v>0.32731433593750009</v>
      </c>
      <c r="AR27" s="2">
        <v>1.0987284816085898</v>
      </c>
      <c r="AS27" s="2">
        <v>0.21889763284616537</v>
      </c>
      <c r="AT27" s="2">
        <f t="shared" si="9"/>
        <v>2.1889763284616538E-2</v>
      </c>
      <c r="AU27" s="2">
        <f t="shared" si="10"/>
        <v>1.5605145569071974E-2</v>
      </c>
      <c r="AV27" s="2">
        <f t="shared" si="11"/>
        <v>2.5358361549741959E-3</v>
      </c>
      <c r="AW27" s="3">
        <f t="shared" si="12"/>
        <v>16.25</v>
      </c>
    </row>
    <row r="28" spans="1:49" x14ac:dyDescent="0.2">
      <c r="A28" t="s">
        <v>45</v>
      </c>
      <c r="B28" s="5" t="s">
        <v>46</v>
      </c>
      <c r="C28" s="5" t="s">
        <v>47</v>
      </c>
      <c r="D28" s="5" t="s">
        <v>74</v>
      </c>
      <c r="E28">
        <v>1</v>
      </c>
      <c r="F28" s="6">
        <v>27</v>
      </c>
      <c r="G28" s="3">
        <v>2.7</v>
      </c>
      <c r="H28" s="3">
        <v>2.85</v>
      </c>
      <c r="I28" s="3">
        <v>1</v>
      </c>
      <c r="J28" s="3">
        <v>32.844444444444456</v>
      </c>
      <c r="K28" s="3">
        <v>33.844444444444456</v>
      </c>
      <c r="L28" s="3">
        <v>33.344444444444456</v>
      </c>
      <c r="M28" s="1">
        <v>0.21</v>
      </c>
      <c r="N28" s="3">
        <v>32.844444444444456</v>
      </c>
      <c r="O28" s="3">
        <v>33.844444444444456</v>
      </c>
      <c r="P28" s="3">
        <v>33.344444444444456</v>
      </c>
      <c r="Q28" s="3">
        <v>32.844444444444456</v>
      </c>
      <c r="R28" s="3">
        <v>33.844444444444456</v>
      </c>
      <c r="S28" s="3">
        <v>33.299999999999997</v>
      </c>
      <c r="T28" s="3">
        <v>33.299999999999997</v>
      </c>
      <c r="U28" s="7">
        <f t="shared" si="0"/>
        <v>0.5</v>
      </c>
      <c r="V28" s="3">
        <v>150.05000000000001</v>
      </c>
      <c r="W28" s="3">
        <v>438.65</v>
      </c>
      <c r="X28" s="3">
        <v>290.72000000000003</v>
      </c>
      <c r="Y28" s="3">
        <v>292.58</v>
      </c>
      <c r="Z28" s="3">
        <f t="shared" si="1"/>
        <v>144.29999999999998</v>
      </c>
      <c r="AA28" s="4">
        <f t="shared" si="2"/>
        <v>7.1258907363420457E-2</v>
      </c>
      <c r="AB28" s="4">
        <f t="shared" si="3"/>
        <v>3.6214735615220366E-2</v>
      </c>
      <c r="AC28">
        <v>1.1476266666666668</v>
      </c>
      <c r="AD28" s="2">
        <v>7.5430000000000001</v>
      </c>
      <c r="AE28" s="2">
        <v>2.2118000000000002</v>
      </c>
      <c r="AF28" s="2">
        <f t="shared" si="4"/>
        <v>5.3311999999999999</v>
      </c>
      <c r="AG28" s="2">
        <v>1.0641733333333334</v>
      </c>
      <c r="AH28" s="1">
        <f t="shared" si="5"/>
        <v>83.360262523115665</v>
      </c>
      <c r="AI28" s="1">
        <f t="shared" si="6"/>
        <v>16.639737476884335</v>
      </c>
      <c r="AJ28" s="1">
        <f t="shared" si="7"/>
        <v>0.83198687384421677</v>
      </c>
      <c r="AK28" s="8">
        <v>0.15750000000000064</v>
      </c>
      <c r="AL28" s="9">
        <v>61.378126532613955</v>
      </c>
      <c r="AM28" s="10">
        <v>3.0689063266306977</v>
      </c>
      <c r="AN28" s="9">
        <v>30.689063266306977</v>
      </c>
      <c r="AO28" s="11">
        <v>3.0702257313809884</v>
      </c>
      <c r="AP28" s="2">
        <v>6.0449906250000023</v>
      </c>
      <c r="AQ28" s="2">
        <f t="shared" si="8"/>
        <v>0.39594688593750016</v>
      </c>
      <c r="AR28" s="2">
        <v>1.0579624899473408</v>
      </c>
      <c r="AS28" s="2">
        <v>0.17604218093114626</v>
      </c>
      <c r="AT28" s="2">
        <f t="shared" si="9"/>
        <v>1.7604218093114628E-2</v>
      </c>
      <c r="AU28" s="2">
        <f t="shared" si="10"/>
        <v>1.2544573463027054E-2</v>
      </c>
      <c r="AV28" s="2">
        <f t="shared" si="11"/>
        <v>2.0761269081309777E-3</v>
      </c>
      <c r="AW28" s="3">
        <f t="shared" si="12"/>
        <v>16.550000000000004</v>
      </c>
    </row>
    <row r="29" spans="1:49" x14ac:dyDescent="0.2">
      <c r="A29" t="s">
        <v>45</v>
      </c>
      <c r="B29" s="5" t="s">
        <v>46</v>
      </c>
      <c r="C29" s="5" t="s">
        <v>47</v>
      </c>
      <c r="D29" s="5" t="s">
        <v>75</v>
      </c>
      <c r="E29">
        <v>1</v>
      </c>
      <c r="F29" s="6">
        <v>28</v>
      </c>
      <c r="G29" s="3">
        <v>2.4</v>
      </c>
      <c r="H29" s="3">
        <v>2.6</v>
      </c>
      <c r="I29" s="3">
        <v>0.9</v>
      </c>
      <c r="J29" s="3">
        <v>34.050000000000011</v>
      </c>
      <c r="K29" s="3">
        <v>34.95000000000001</v>
      </c>
      <c r="L29" s="3">
        <v>34.500000000000014</v>
      </c>
      <c r="M29" s="1">
        <v>0.21</v>
      </c>
      <c r="N29" s="3">
        <v>34.050000000000011</v>
      </c>
      <c r="O29" s="3">
        <v>34.95000000000001</v>
      </c>
      <c r="P29" s="3">
        <v>34.500000000000014</v>
      </c>
      <c r="Q29" s="3">
        <v>34.050000000000011</v>
      </c>
      <c r="R29" s="3">
        <v>34.95000000000001</v>
      </c>
      <c r="S29" s="3">
        <v>34.5</v>
      </c>
      <c r="T29" s="3">
        <v>34.5</v>
      </c>
      <c r="U29" s="7">
        <f t="shared" si="0"/>
        <v>0.44999999999999929</v>
      </c>
      <c r="V29" s="3">
        <v>162.49</v>
      </c>
      <c r="W29" s="3">
        <v>446.87</v>
      </c>
      <c r="X29" s="3">
        <v>310.54000000000002</v>
      </c>
      <c r="Y29" s="3">
        <v>309.42</v>
      </c>
      <c r="Z29" s="3">
        <f t="shared" si="1"/>
        <v>142.19</v>
      </c>
      <c r="AA29" s="4">
        <f t="shared" si="2"/>
        <v>7.1243523316062277E-2</v>
      </c>
      <c r="AB29" s="4">
        <f t="shared" si="3"/>
        <v>3.3668312472773375E-2</v>
      </c>
      <c r="AC29">
        <v>1.1476266666666668</v>
      </c>
      <c r="AD29" s="2">
        <v>6.3602999999999996</v>
      </c>
      <c r="AE29" s="2">
        <v>2.0217999999999998</v>
      </c>
      <c r="AF29" s="2">
        <f t="shared" si="4"/>
        <v>4.3384999999999998</v>
      </c>
      <c r="AG29" s="2">
        <v>0.87417333333333302</v>
      </c>
      <c r="AH29" s="1">
        <f t="shared" si="5"/>
        <v>83.229846233730356</v>
      </c>
      <c r="AI29" s="1">
        <f t="shared" si="6"/>
        <v>16.770153766269644</v>
      </c>
      <c r="AJ29" s="1">
        <f t="shared" si="7"/>
        <v>0.83850768831348221</v>
      </c>
      <c r="AK29" s="8">
        <v>0.11329999999999973</v>
      </c>
      <c r="AL29" s="9">
        <v>76.316889632107063</v>
      </c>
      <c r="AM29" s="10">
        <v>3.8158444816053532</v>
      </c>
      <c r="AN29" s="9">
        <v>38.158444816053532</v>
      </c>
      <c r="AO29" s="11">
        <v>3.8169056980488825</v>
      </c>
      <c r="AP29" s="2">
        <v>4.4156250000000004</v>
      </c>
      <c r="AQ29" s="2">
        <f t="shared" si="8"/>
        <v>0.26052187500000001</v>
      </c>
      <c r="AR29" s="2">
        <v>1.1805063458362819</v>
      </c>
      <c r="AS29" s="2">
        <v>0.19797272941731531</v>
      </c>
      <c r="AT29" s="2">
        <f t="shared" si="9"/>
        <v>1.9797272941731531E-2</v>
      </c>
      <c r="AU29" s="2">
        <f t="shared" si="10"/>
        <v>1.4104274764186991E-2</v>
      </c>
      <c r="AV29" s="2">
        <f t="shared" si="11"/>
        <v>2.2425796875057318E-3</v>
      </c>
      <c r="AW29" s="3">
        <f t="shared" si="12"/>
        <v>15.9</v>
      </c>
    </row>
    <row r="30" spans="1:49" x14ac:dyDescent="0.2">
      <c r="A30" t="s">
        <v>45</v>
      </c>
      <c r="B30" s="5" t="s">
        <v>46</v>
      </c>
      <c r="C30" s="5" t="s">
        <v>47</v>
      </c>
      <c r="D30" s="5" t="s">
        <v>76</v>
      </c>
      <c r="E30">
        <v>1</v>
      </c>
      <c r="F30" s="6">
        <v>29</v>
      </c>
      <c r="G30" s="3">
        <v>2.6</v>
      </c>
      <c r="H30" s="3">
        <v>2.8</v>
      </c>
      <c r="I30" s="3">
        <v>0.9</v>
      </c>
      <c r="J30" s="3">
        <v>35.155555555555566</v>
      </c>
      <c r="K30" s="3">
        <v>36.055555555555564</v>
      </c>
      <c r="L30" s="3">
        <v>35.605555555555569</v>
      </c>
      <c r="M30" s="1">
        <v>0.21</v>
      </c>
      <c r="N30" s="3">
        <v>35.155555555555566</v>
      </c>
      <c r="O30" s="3">
        <v>36.055555555555564</v>
      </c>
      <c r="P30" s="3">
        <v>35.605555555555569</v>
      </c>
      <c r="Q30" s="3">
        <v>35.155555555555566</v>
      </c>
      <c r="R30" s="3">
        <v>36.055555555555564</v>
      </c>
      <c r="S30" s="3">
        <v>35.6</v>
      </c>
      <c r="T30" s="3">
        <v>35.6</v>
      </c>
      <c r="U30" s="7">
        <f t="shared" si="0"/>
        <v>0.44999999999999929</v>
      </c>
      <c r="V30" s="3">
        <v>172.83</v>
      </c>
      <c r="W30" s="3">
        <v>456.5</v>
      </c>
      <c r="X30" s="3">
        <v>328.01</v>
      </c>
      <c r="Y30" s="3">
        <v>324.86</v>
      </c>
      <c r="Z30" s="3">
        <f t="shared" si="1"/>
        <v>141.83499999999998</v>
      </c>
      <c r="AA30" s="4">
        <f t="shared" si="2"/>
        <v>7.1289695398574271E-2</v>
      </c>
      <c r="AB30" s="4">
        <f t="shared" si="3"/>
        <v>3.2026461460090735E-2</v>
      </c>
      <c r="AC30">
        <v>1.1476266666666668</v>
      </c>
      <c r="AD30" s="2">
        <v>7.5545999999999998</v>
      </c>
      <c r="AE30" s="2">
        <v>2.3418000000000001</v>
      </c>
      <c r="AF30" s="2">
        <f t="shared" si="4"/>
        <v>5.2127999999999997</v>
      </c>
      <c r="AG30" s="2">
        <v>1.1941733333333333</v>
      </c>
      <c r="AH30" s="1">
        <f t="shared" si="5"/>
        <v>81.361350029030859</v>
      </c>
      <c r="AI30" s="1">
        <f t="shared" si="6"/>
        <v>18.638649970969141</v>
      </c>
      <c r="AJ30" s="1">
        <f t="shared" si="7"/>
        <v>0.93193249854845706</v>
      </c>
      <c r="AK30" s="8">
        <v>9.7500000000000142E-2</v>
      </c>
      <c r="AL30" s="9">
        <v>73.986125933831318</v>
      </c>
      <c r="AM30" s="10">
        <v>3.699306296691566</v>
      </c>
      <c r="AN30" s="9">
        <v>36.993062966915659</v>
      </c>
      <c r="AO30" s="11">
        <v>3.7004009345936919</v>
      </c>
      <c r="AP30" s="2">
        <v>5.1503850000000009</v>
      </c>
      <c r="AQ30" s="2">
        <f t="shared" si="8"/>
        <v>0.32447425500000004</v>
      </c>
      <c r="AR30" s="2">
        <v>1.2439794953840018</v>
      </c>
      <c r="AS30" s="2">
        <v>0.2318609838552522</v>
      </c>
      <c r="AT30" s="2">
        <f t="shared" si="9"/>
        <v>2.3186098385525222E-2</v>
      </c>
      <c r="AU30" s="2">
        <f t="shared" si="10"/>
        <v>1.6529298913854677E-2</v>
      </c>
      <c r="AV30" s="2">
        <f t="shared" si="11"/>
        <v>2.6942757229583125E-3</v>
      </c>
      <c r="AW30" s="3">
        <f t="shared" si="12"/>
        <v>16.3</v>
      </c>
    </row>
    <row r="31" spans="1:49" x14ac:dyDescent="0.2">
      <c r="A31" t="s">
        <v>45</v>
      </c>
      <c r="B31" s="5" t="s">
        <v>46</v>
      </c>
      <c r="C31" s="5" t="s">
        <v>47</v>
      </c>
      <c r="D31" s="5" t="s">
        <v>77</v>
      </c>
      <c r="E31">
        <v>1</v>
      </c>
      <c r="F31" s="6">
        <v>30</v>
      </c>
      <c r="G31" s="3">
        <v>2.4</v>
      </c>
      <c r="H31" s="3">
        <v>2.6</v>
      </c>
      <c r="I31" s="3">
        <v>0.95</v>
      </c>
      <c r="J31" s="3">
        <v>36.26111111111112</v>
      </c>
      <c r="K31" s="3">
        <v>37.211111111111123</v>
      </c>
      <c r="L31" s="3">
        <v>36.736111111111121</v>
      </c>
      <c r="M31" s="1">
        <v>0.21</v>
      </c>
      <c r="N31" s="3">
        <v>36.26111111111112</v>
      </c>
      <c r="O31" s="3">
        <v>37.211111111111123</v>
      </c>
      <c r="P31" s="3">
        <v>36.736111111111121</v>
      </c>
      <c r="Q31" s="3">
        <v>36.26111111111112</v>
      </c>
      <c r="R31" s="3">
        <v>37.211111111111123</v>
      </c>
      <c r="S31" s="3">
        <v>36.700000000000003</v>
      </c>
      <c r="T31" s="3">
        <v>36.700000000000003</v>
      </c>
      <c r="U31" s="7">
        <f t="shared" si="0"/>
        <v>0.47500000000000142</v>
      </c>
      <c r="V31" s="3">
        <v>182.24</v>
      </c>
      <c r="W31" s="3">
        <v>467.62</v>
      </c>
      <c r="X31" s="3">
        <v>346.78</v>
      </c>
      <c r="Y31" s="3">
        <v>340.29</v>
      </c>
      <c r="Z31" s="3">
        <f t="shared" si="1"/>
        <v>142.69</v>
      </c>
      <c r="AA31" s="4">
        <f t="shared" si="2"/>
        <v>7.1258907363420276E-2</v>
      </c>
      <c r="AB31" s="4">
        <f t="shared" si="3"/>
        <v>3.0802488997289299E-2</v>
      </c>
      <c r="AC31">
        <v>1.1476266666666668</v>
      </c>
      <c r="AD31" s="2">
        <v>7.6462000000000003</v>
      </c>
      <c r="AE31" s="2">
        <v>2.5636999999999999</v>
      </c>
      <c r="AF31" s="2">
        <f t="shared" si="4"/>
        <v>5.0825000000000005</v>
      </c>
      <c r="AG31" s="2">
        <v>1.4160733333333331</v>
      </c>
      <c r="AH31" s="1">
        <f t="shared" si="5"/>
        <v>78.209473669092503</v>
      </c>
      <c r="AI31" s="1">
        <f t="shared" si="6"/>
        <v>21.790526330907497</v>
      </c>
      <c r="AJ31" s="1">
        <f t="shared" si="7"/>
        <v>1.0895263165453748</v>
      </c>
      <c r="AK31" s="8">
        <v>0.18430000000000035</v>
      </c>
      <c r="AL31" s="9">
        <v>61.98432343234316</v>
      </c>
      <c r="AM31" s="10">
        <v>3.099216171617158</v>
      </c>
      <c r="AN31" s="9">
        <v>30.99216171617158</v>
      </c>
      <c r="AO31" s="11">
        <v>3.1005226782614113</v>
      </c>
      <c r="AP31" s="2">
        <v>4.6609375000000002</v>
      </c>
      <c r="AQ31" s="2">
        <f t="shared" si="8"/>
        <v>0.27732578125000001</v>
      </c>
      <c r="AR31" s="2">
        <v>1.394263135545871</v>
      </c>
      <c r="AS31" s="2">
        <v>0.3038172756732595</v>
      </c>
      <c r="AT31" s="2">
        <f t="shared" si="9"/>
        <v>3.0381727567325951E-2</v>
      </c>
      <c r="AU31" s="2">
        <f t="shared" si="10"/>
        <v>2.164968710260752E-2</v>
      </c>
      <c r="AV31" s="2">
        <f t="shared" si="11"/>
        <v>3.4531250928658995E-3</v>
      </c>
      <c r="AW31" s="3">
        <f t="shared" si="12"/>
        <v>15.950000000000001</v>
      </c>
    </row>
    <row r="32" spans="1:49" x14ac:dyDescent="0.2">
      <c r="A32" t="s">
        <v>45</v>
      </c>
      <c r="B32" s="5" t="s">
        <v>46</v>
      </c>
      <c r="C32" s="5" t="s">
        <v>47</v>
      </c>
      <c r="D32" s="5" t="s">
        <v>78</v>
      </c>
      <c r="E32">
        <v>1</v>
      </c>
      <c r="F32" s="6">
        <v>31</v>
      </c>
      <c r="G32" s="3">
        <v>2.6</v>
      </c>
      <c r="H32" s="3">
        <v>2.7</v>
      </c>
      <c r="I32" s="3">
        <v>1</v>
      </c>
      <c r="J32" s="3">
        <v>37.416666666666679</v>
      </c>
      <c r="K32" s="3">
        <v>38.416666666666679</v>
      </c>
      <c r="L32" s="3">
        <v>37.916666666666679</v>
      </c>
      <c r="M32" s="1">
        <v>0.21</v>
      </c>
      <c r="N32" s="3">
        <v>37.416666666666679</v>
      </c>
      <c r="O32" s="3">
        <v>38.416666666666679</v>
      </c>
      <c r="P32" s="3">
        <v>37.916666666666679</v>
      </c>
      <c r="Q32" s="3">
        <v>37.416666666666679</v>
      </c>
      <c r="R32" s="3">
        <v>38.416666666666679</v>
      </c>
      <c r="S32" s="3">
        <v>37.9</v>
      </c>
      <c r="T32" s="3">
        <v>37.9</v>
      </c>
      <c r="U32" s="7">
        <f t="shared" si="0"/>
        <v>0.5</v>
      </c>
      <c r="V32" s="3">
        <v>189.4</v>
      </c>
      <c r="W32" s="3">
        <v>481.54</v>
      </c>
      <c r="X32" s="3">
        <v>364.99</v>
      </c>
      <c r="Y32" s="3">
        <v>357.13</v>
      </c>
      <c r="Z32" s="3">
        <f t="shared" si="1"/>
        <v>146.07</v>
      </c>
      <c r="AA32" s="4">
        <f t="shared" si="2"/>
        <v>7.1258907363420457E-2</v>
      </c>
      <c r="AB32" s="4">
        <f t="shared" si="3"/>
        <v>3.0085748445839517E-2</v>
      </c>
      <c r="AC32">
        <v>1.1476266666666668</v>
      </c>
      <c r="AD32" s="2">
        <v>8.3172999999999995</v>
      </c>
      <c r="AE32" s="2">
        <v>2.7164000000000001</v>
      </c>
      <c r="AF32" s="2">
        <f t="shared" si="4"/>
        <v>5.6008999999999993</v>
      </c>
      <c r="AG32" s="2">
        <v>1.5687733333333334</v>
      </c>
      <c r="AH32" s="1">
        <f t="shared" si="5"/>
        <v>78.11931924374052</v>
      </c>
      <c r="AI32" s="1">
        <f t="shared" si="6"/>
        <v>21.88068075625948</v>
      </c>
      <c r="AJ32" s="1">
        <f t="shared" si="7"/>
        <v>1.094034037812974</v>
      </c>
      <c r="AK32" s="8">
        <v>0.43789999999999996</v>
      </c>
      <c r="AL32" s="9">
        <v>40.607622406076182</v>
      </c>
      <c r="AM32" s="10">
        <v>2.0303811203038094</v>
      </c>
      <c r="AN32" s="9">
        <v>20.303811203038091</v>
      </c>
      <c r="AO32" s="11">
        <v>2.0323748408416571</v>
      </c>
      <c r="AP32" s="2">
        <v>5.512662500000002</v>
      </c>
      <c r="AQ32" s="2">
        <f t="shared" si="8"/>
        <v>0.34729773750000015</v>
      </c>
      <c r="AR32" s="2">
        <v>1.3005826736777972</v>
      </c>
      <c r="AS32" s="2">
        <v>0.28457634279866267</v>
      </c>
      <c r="AT32" s="2">
        <f t="shared" si="9"/>
        <v>2.8457634279866268E-2</v>
      </c>
      <c r="AU32" s="2">
        <f t="shared" si="10"/>
        <v>2.0278599249310889E-2</v>
      </c>
      <c r="AV32" s="2">
        <f t="shared" si="11"/>
        <v>3.305411677637675E-3</v>
      </c>
      <c r="AW32" s="3">
        <f t="shared" si="12"/>
        <v>16.3</v>
      </c>
    </row>
    <row r="33" spans="1:49" x14ac:dyDescent="0.2">
      <c r="A33" t="s">
        <v>45</v>
      </c>
      <c r="B33" s="5" t="s">
        <v>46</v>
      </c>
      <c r="C33" s="5" t="s">
        <v>47</v>
      </c>
      <c r="D33" s="5" t="s">
        <v>79</v>
      </c>
      <c r="E33">
        <v>1</v>
      </c>
      <c r="F33" s="6">
        <v>32</v>
      </c>
      <c r="G33" s="3">
        <v>2.6</v>
      </c>
      <c r="H33" s="3">
        <v>2.75</v>
      </c>
      <c r="I33" s="3">
        <v>1</v>
      </c>
      <c r="J33" s="3">
        <v>38.622222222222234</v>
      </c>
      <c r="K33" s="3">
        <v>39.622222222222234</v>
      </c>
      <c r="L33" s="3">
        <v>39.122222222222234</v>
      </c>
      <c r="M33" s="1">
        <v>0.21</v>
      </c>
      <c r="N33" s="3">
        <v>38.622222222222234</v>
      </c>
      <c r="O33" s="3">
        <v>39.622222222222234</v>
      </c>
      <c r="P33" s="3">
        <v>39.122222222222234</v>
      </c>
      <c r="Q33" s="3">
        <v>38.622222222222234</v>
      </c>
      <c r="R33" s="3">
        <v>39.622222222222234</v>
      </c>
      <c r="S33" s="3">
        <v>39.1</v>
      </c>
      <c r="T33" s="3">
        <v>39.1</v>
      </c>
      <c r="U33" s="7">
        <f t="shared" si="0"/>
        <v>0.5</v>
      </c>
      <c r="V33" s="3">
        <v>195.57</v>
      </c>
      <c r="W33" s="3">
        <v>499.18</v>
      </c>
      <c r="X33" s="3">
        <v>382.99</v>
      </c>
      <c r="Y33" s="3">
        <v>373.97</v>
      </c>
      <c r="Z33" s="3">
        <f t="shared" si="1"/>
        <v>151.80500000000001</v>
      </c>
      <c r="AA33" s="4">
        <f t="shared" si="2"/>
        <v>7.3260073260073014E-2</v>
      </c>
      <c r="AB33" s="4">
        <f t="shared" si="3"/>
        <v>3.0675165333517888E-2</v>
      </c>
      <c r="AC33">
        <v>1.1476266666666668</v>
      </c>
      <c r="AD33" s="2">
        <v>8.2612000000000005</v>
      </c>
      <c r="AE33" s="2">
        <v>2.3517000000000001</v>
      </c>
      <c r="AF33" s="2">
        <f t="shared" si="4"/>
        <v>5.9095000000000004</v>
      </c>
      <c r="AG33" s="2">
        <v>1.2040733333333333</v>
      </c>
      <c r="AH33" s="1">
        <f t="shared" si="5"/>
        <v>83.073579523090118</v>
      </c>
      <c r="AI33" s="1">
        <f t="shared" si="6"/>
        <v>16.926420476909882</v>
      </c>
      <c r="AJ33" s="1">
        <f t="shared" si="7"/>
        <v>0.84632102384549412</v>
      </c>
      <c r="AK33" s="8">
        <v>6.9300000000000139E-2</v>
      </c>
      <c r="AL33" s="9">
        <v>75.641476274165115</v>
      </c>
      <c r="AM33" s="10">
        <v>3.7820738137082559</v>
      </c>
      <c r="AN33" s="9">
        <v>37.820738137082557</v>
      </c>
      <c r="AO33" s="11">
        <v>3.7831445032324251</v>
      </c>
      <c r="AP33" s="2">
        <v>5.6171656249999993</v>
      </c>
      <c r="AQ33" s="2">
        <f t="shared" si="8"/>
        <v>0.35669001718749999</v>
      </c>
      <c r="AR33" s="2">
        <v>1.2663990717441833</v>
      </c>
      <c r="AS33" s="2">
        <v>0.21435603179910392</v>
      </c>
      <c r="AT33" s="2">
        <f t="shared" si="9"/>
        <v>2.1435603179910393E-2</v>
      </c>
      <c r="AU33" s="2">
        <f t="shared" si="10"/>
        <v>1.5703738593340896E-2</v>
      </c>
      <c r="AV33" s="2">
        <f t="shared" si="11"/>
        <v>2.5675612600112364E-3</v>
      </c>
      <c r="AW33" s="3">
        <f t="shared" si="12"/>
        <v>16.350000000000001</v>
      </c>
    </row>
    <row r="34" spans="1:49" x14ac:dyDescent="0.2">
      <c r="A34" t="s">
        <v>45</v>
      </c>
      <c r="B34" s="5" t="s">
        <v>46</v>
      </c>
      <c r="C34" s="5" t="s">
        <v>47</v>
      </c>
      <c r="D34" s="5" t="s">
        <v>80</v>
      </c>
      <c r="E34">
        <v>1</v>
      </c>
      <c r="F34" s="6">
        <v>33</v>
      </c>
      <c r="G34" s="3">
        <v>2.2999999999999998</v>
      </c>
      <c r="H34" s="3">
        <v>2.7</v>
      </c>
      <c r="I34" s="3">
        <v>0.9</v>
      </c>
      <c r="J34" s="3">
        <v>39.82777777777779</v>
      </c>
      <c r="K34" s="3">
        <v>40.727777777777789</v>
      </c>
      <c r="L34" s="3">
        <v>40.277777777777786</v>
      </c>
      <c r="M34" s="1">
        <v>0.21</v>
      </c>
      <c r="N34" s="3">
        <v>39.82777777777779</v>
      </c>
      <c r="O34" s="3">
        <v>40.727777777777789</v>
      </c>
      <c r="P34" s="3">
        <v>40.277777777777786</v>
      </c>
      <c r="Q34" s="3">
        <v>39.82777777777779</v>
      </c>
      <c r="R34" s="3">
        <v>40.727777777777789</v>
      </c>
      <c r="S34" s="3">
        <v>40.299999999999997</v>
      </c>
      <c r="T34" s="3">
        <v>40.299999999999997</v>
      </c>
      <c r="U34" s="7">
        <f t="shared" si="0"/>
        <v>0.44999999999999929</v>
      </c>
      <c r="V34" s="3">
        <v>209.74</v>
      </c>
      <c r="W34" s="3">
        <v>517.11</v>
      </c>
      <c r="X34" s="3">
        <v>398.88</v>
      </c>
      <c r="Y34" s="3">
        <v>390.35</v>
      </c>
      <c r="Z34" s="3">
        <f t="shared" si="1"/>
        <v>153.685</v>
      </c>
      <c r="AA34" s="4">
        <f t="shared" si="2"/>
        <v>7.9825834542815929E-2</v>
      </c>
      <c r="AB34" s="4">
        <f t="shared" si="3"/>
        <v>3.2319646446592597E-2</v>
      </c>
      <c r="AC34">
        <v>1.1476266666666668</v>
      </c>
      <c r="AD34" s="2">
        <v>6.6294000000000004</v>
      </c>
      <c r="AE34" s="2">
        <v>1.9587000000000001</v>
      </c>
      <c r="AF34" s="2">
        <f t="shared" si="4"/>
        <v>4.6707000000000001</v>
      </c>
      <c r="AG34" s="2">
        <v>0.81107333333333331</v>
      </c>
      <c r="AH34" s="1">
        <f t="shared" si="5"/>
        <v>85.204179669352726</v>
      </c>
      <c r="AI34" s="1">
        <f t="shared" si="6"/>
        <v>14.795820330647274</v>
      </c>
      <c r="AJ34" s="1">
        <f t="shared" si="7"/>
        <v>0.73979101653236379</v>
      </c>
      <c r="AK34" s="8">
        <v>0.15940000000000065</v>
      </c>
      <c r="AL34" s="9">
        <v>70.048853814355411</v>
      </c>
      <c r="AM34" s="10">
        <v>3.5024426907177708</v>
      </c>
      <c r="AN34" s="9">
        <v>35.024426907177705</v>
      </c>
      <c r="AO34" s="11">
        <v>3.5035988357348131</v>
      </c>
      <c r="AP34" s="2">
        <v>4.4156250000000004</v>
      </c>
      <c r="AQ34" s="2">
        <f t="shared" si="8"/>
        <v>0.26052187500000001</v>
      </c>
      <c r="AR34" s="2">
        <v>1.2414490209955178</v>
      </c>
      <c r="AS34" s="2">
        <v>0.18368256664307617</v>
      </c>
      <c r="AT34" s="2">
        <f t="shared" si="9"/>
        <v>1.8368256664307619E-2</v>
      </c>
      <c r="AU34" s="2">
        <f t="shared" si="10"/>
        <v>1.4662614173249959E-2</v>
      </c>
      <c r="AV34" s="2">
        <f t="shared" si="11"/>
        <v>2.3313556535467434E-3</v>
      </c>
      <c r="AW34" s="3">
        <f t="shared" si="12"/>
        <v>15.9</v>
      </c>
    </row>
    <row r="35" spans="1:49" x14ac:dyDescent="0.2">
      <c r="A35" t="s">
        <v>45</v>
      </c>
      <c r="B35" s="5" t="s">
        <v>46</v>
      </c>
      <c r="C35" s="5" t="s">
        <v>47</v>
      </c>
      <c r="D35" s="5" t="s">
        <v>81</v>
      </c>
      <c r="E35">
        <v>1</v>
      </c>
      <c r="F35" s="6">
        <v>34</v>
      </c>
      <c r="G35" s="3">
        <v>2.4</v>
      </c>
      <c r="H35" s="3">
        <v>2.6</v>
      </c>
      <c r="I35" s="3">
        <v>1</v>
      </c>
      <c r="J35" s="3">
        <v>40.933333333333344</v>
      </c>
      <c r="K35" s="3">
        <v>41.933333333333344</v>
      </c>
      <c r="L35" s="3">
        <v>41.433333333333344</v>
      </c>
      <c r="M35" s="1">
        <v>0.21</v>
      </c>
      <c r="N35" s="3">
        <v>40.933333333333344</v>
      </c>
      <c r="O35" s="3">
        <v>41.933333333333344</v>
      </c>
      <c r="P35" s="3">
        <v>41.433333333333344</v>
      </c>
      <c r="Q35" s="3">
        <v>40.933333333333344</v>
      </c>
      <c r="R35" s="3">
        <v>41.933333333333344</v>
      </c>
      <c r="S35" s="3">
        <v>41.4</v>
      </c>
      <c r="T35" s="3">
        <v>41.4</v>
      </c>
      <c r="U35" s="7">
        <f t="shared" si="0"/>
        <v>0.5</v>
      </c>
      <c r="V35" s="3">
        <v>243.66</v>
      </c>
      <c r="W35" s="3">
        <v>519.97</v>
      </c>
      <c r="X35" s="3">
        <v>411.26</v>
      </c>
      <c r="Y35" s="3">
        <v>404.13</v>
      </c>
      <c r="Z35" s="3">
        <f t="shared" si="1"/>
        <v>138.15500000000003</v>
      </c>
      <c r="AA35" s="4">
        <f t="shared" si="2"/>
        <v>7.9787234042553265E-2</v>
      </c>
      <c r="AB35" s="4">
        <f t="shared" si="3"/>
        <v>2.8239503674056608E-2</v>
      </c>
      <c r="AC35">
        <v>1.1476266666666668</v>
      </c>
      <c r="AD35" s="2">
        <v>7.6886999999999999</v>
      </c>
      <c r="AE35" s="2">
        <v>2.4214000000000002</v>
      </c>
      <c r="AF35" s="2">
        <f t="shared" si="4"/>
        <v>5.2672999999999996</v>
      </c>
      <c r="AG35" s="2">
        <v>1.2737733333333334</v>
      </c>
      <c r="AH35" s="1">
        <f t="shared" si="5"/>
        <v>80.526539477211173</v>
      </c>
      <c r="AI35" s="1">
        <f t="shared" si="6"/>
        <v>19.473460522788827</v>
      </c>
      <c r="AJ35" s="1">
        <f t="shared" si="7"/>
        <v>0.9736730261394414</v>
      </c>
      <c r="AK35" s="8">
        <v>0.31620000000000026</v>
      </c>
      <c r="AL35" s="9">
        <v>46.973000167700803</v>
      </c>
      <c r="AM35" s="10">
        <v>2.3486500083850403</v>
      </c>
      <c r="AN35" s="9">
        <v>23.486500083850402</v>
      </c>
      <c r="AO35" s="11">
        <v>2.3503737706771344</v>
      </c>
      <c r="AP35" s="2">
        <v>4.90625</v>
      </c>
      <c r="AQ35" s="2">
        <f t="shared" si="8"/>
        <v>0.294375</v>
      </c>
      <c r="AR35" s="2">
        <v>1.3332123991507432</v>
      </c>
      <c r="AS35" s="2">
        <v>0.25962259023354567</v>
      </c>
      <c r="AT35" s="2">
        <f t="shared" si="9"/>
        <v>2.596225902335457E-2</v>
      </c>
      <c r="AU35" s="2">
        <f t="shared" si="10"/>
        <v>2.0714568369697813E-2</v>
      </c>
      <c r="AV35" s="2">
        <f t="shared" si="11"/>
        <v>3.31433093915165E-3</v>
      </c>
      <c r="AW35" s="3">
        <f t="shared" si="12"/>
        <v>16</v>
      </c>
    </row>
    <row r="36" spans="1:49" x14ac:dyDescent="0.2">
      <c r="A36" t="s">
        <v>45</v>
      </c>
      <c r="B36" s="5" t="s">
        <v>46</v>
      </c>
      <c r="C36" s="5" t="s">
        <v>47</v>
      </c>
      <c r="D36" s="5" t="s">
        <v>82</v>
      </c>
      <c r="E36">
        <v>1</v>
      </c>
      <c r="F36" s="6">
        <v>35</v>
      </c>
      <c r="G36" s="3">
        <v>2.4</v>
      </c>
      <c r="H36" s="3">
        <v>2.5</v>
      </c>
      <c r="I36" s="3">
        <v>0.95</v>
      </c>
      <c r="J36" s="3">
        <v>42.1388888888889</v>
      </c>
      <c r="K36" s="3">
        <v>43.088888888888903</v>
      </c>
      <c r="L36" s="3">
        <v>42.613888888888901</v>
      </c>
      <c r="M36" s="1">
        <v>0.21</v>
      </c>
      <c r="N36" s="3">
        <v>42.1388888888889</v>
      </c>
      <c r="O36" s="3">
        <v>43.088888888888903</v>
      </c>
      <c r="P36" s="3">
        <v>42.613888888888901</v>
      </c>
      <c r="Q36" s="3">
        <v>42.1388888888889</v>
      </c>
      <c r="R36" s="3">
        <v>43.088888888888903</v>
      </c>
      <c r="S36" s="3">
        <v>42.6</v>
      </c>
      <c r="T36" s="3">
        <v>42.6</v>
      </c>
      <c r="U36" s="7">
        <f t="shared" si="0"/>
        <v>0.47500000000000142</v>
      </c>
      <c r="V36" s="3">
        <v>276.58999999999997</v>
      </c>
      <c r="W36" s="3">
        <v>524.22</v>
      </c>
      <c r="X36" s="3">
        <v>425.28</v>
      </c>
      <c r="Y36" s="3">
        <v>419.17</v>
      </c>
      <c r="Z36" s="3">
        <f t="shared" si="1"/>
        <v>123.81500000000003</v>
      </c>
      <c r="AA36" s="4">
        <f t="shared" si="2"/>
        <v>7.9840319361277307E-2</v>
      </c>
      <c r="AB36" s="4">
        <f t="shared" si="3"/>
        <v>2.447357952877096E-2</v>
      </c>
      <c r="AC36">
        <v>1.1476266666666668</v>
      </c>
      <c r="AD36" s="2">
        <v>7.1139000000000001</v>
      </c>
      <c r="AE36" s="2">
        <v>2.0874000000000001</v>
      </c>
      <c r="AF36" s="2">
        <f t="shared" si="4"/>
        <v>5.0265000000000004</v>
      </c>
      <c r="AG36" s="2">
        <v>0.93977333333333335</v>
      </c>
      <c r="AH36" s="1">
        <f t="shared" si="5"/>
        <v>84.248570576160887</v>
      </c>
      <c r="AI36" s="1">
        <f t="shared" si="6"/>
        <v>15.751429423839113</v>
      </c>
      <c r="AJ36" s="1">
        <f t="shared" si="7"/>
        <v>0.7875714711919557</v>
      </c>
      <c r="AK36" s="8">
        <v>7.0199999999999818E-2</v>
      </c>
      <c r="AL36" s="9">
        <v>76.560934891485871</v>
      </c>
      <c r="AM36" s="10">
        <v>3.8280467445742938</v>
      </c>
      <c r="AN36" s="9">
        <v>38.280467445742936</v>
      </c>
      <c r="AO36" s="11">
        <v>3.8291045792255205</v>
      </c>
      <c r="AP36" s="2">
        <v>4.4763643750000002</v>
      </c>
      <c r="AQ36" s="2">
        <f t="shared" si="8"/>
        <v>0.26186731593750001</v>
      </c>
      <c r="AR36" s="2">
        <v>1.3328390706204147</v>
      </c>
      <c r="AS36" s="2">
        <v>0.20994120554212778</v>
      </c>
      <c r="AT36" s="2">
        <f t="shared" si="9"/>
        <v>2.0994120554212778E-2</v>
      </c>
      <c r="AU36" s="2">
        <f t="shared" si="10"/>
        <v>1.6761772897575043E-2</v>
      </c>
      <c r="AV36" s="2">
        <f t="shared" si="11"/>
        <v>2.6567410042656445E-3</v>
      </c>
      <c r="AW36" s="3">
        <f t="shared" si="12"/>
        <v>15.85</v>
      </c>
    </row>
    <row r="37" spans="1:49" x14ac:dyDescent="0.2">
      <c r="A37" t="s">
        <v>45</v>
      </c>
      <c r="B37" s="5" t="s">
        <v>46</v>
      </c>
      <c r="C37" s="5" t="s">
        <v>47</v>
      </c>
      <c r="D37" s="5" t="s">
        <v>83</v>
      </c>
      <c r="E37">
        <v>1</v>
      </c>
      <c r="F37" s="6">
        <v>36</v>
      </c>
      <c r="G37" s="3">
        <v>2.5</v>
      </c>
      <c r="H37" s="3">
        <v>2.4500000000000002</v>
      </c>
      <c r="I37" s="3">
        <v>0.95</v>
      </c>
      <c r="J37" s="3">
        <v>43.294444444444458</v>
      </c>
      <c r="K37" s="3">
        <v>44.244444444444461</v>
      </c>
      <c r="L37" s="3">
        <v>43.76944444444446</v>
      </c>
      <c r="M37" s="1">
        <v>0.21</v>
      </c>
      <c r="N37" s="3">
        <v>43.294444444444458</v>
      </c>
      <c r="O37" s="3">
        <v>44.244444444444461</v>
      </c>
      <c r="P37" s="3">
        <v>43.76944444444446</v>
      </c>
      <c r="Q37" s="3">
        <v>43.294444444444458</v>
      </c>
      <c r="R37" s="3">
        <v>44.244444444444461</v>
      </c>
      <c r="S37" s="3">
        <v>43.8</v>
      </c>
      <c r="T37" s="3">
        <v>43.8</v>
      </c>
      <c r="U37" s="7">
        <f t="shared" si="0"/>
        <v>0.47500000000000142</v>
      </c>
      <c r="V37" s="3">
        <v>311.69</v>
      </c>
      <c r="W37" s="3">
        <v>528.11</v>
      </c>
      <c r="X37" s="3">
        <v>439.65</v>
      </c>
      <c r="Y37" s="3">
        <v>434.2</v>
      </c>
      <c r="Z37" s="3">
        <f t="shared" si="1"/>
        <v>108.21000000000001</v>
      </c>
      <c r="AA37" s="4">
        <f t="shared" si="2"/>
        <v>7.9840319361278722E-2</v>
      </c>
      <c r="AB37" s="4">
        <f t="shared" si="3"/>
        <v>2.0763409147497674E-2</v>
      </c>
      <c r="AC37">
        <v>1.1476266666666668</v>
      </c>
      <c r="AD37" s="2">
        <v>6.8640999999999996</v>
      </c>
      <c r="AE37" s="2">
        <v>2.1029</v>
      </c>
      <c r="AF37" s="2">
        <f t="shared" si="4"/>
        <v>4.7611999999999997</v>
      </c>
      <c r="AG37" s="2">
        <v>0.9552733333333332</v>
      </c>
      <c r="AH37" s="1">
        <f t="shared" si="5"/>
        <v>83.289114150799264</v>
      </c>
      <c r="AI37" s="1">
        <f t="shared" si="6"/>
        <v>16.710885849200736</v>
      </c>
      <c r="AJ37" s="1">
        <f t="shared" si="7"/>
        <v>0.83554429246003681</v>
      </c>
      <c r="AK37" s="8">
        <v>0.12869999999999937</v>
      </c>
      <c r="AL37" s="9">
        <v>61.900532859680432</v>
      </c>
      <c r="AM37" s="10">
        <v>3.0950266429840219</v>
      </c>
      <c r="AN37" s="9">
        <v>30.950266429840216</v>
      </c>
      <c r="AO37" s="11">
        <v>3.0963349174113812</v>
      </c>
      <c r="AP37" s="2">
        <v>4.5681848437500001</v>
      </c>
      <c r="AQ37" s="2">
        <f t="shared" si="8"/>
        <v>0.26952290578125004</v>
      </c>
      <c r="AR37" s="2">
        <v>1.2513664680522667</v>
      </c>
      <c r="AS37" s="2">
        <v>0.20911442203138919</v>
      </c>
      <c r="AT37" s="2">
        <f t="shared" si="9"/>
        <v>2.0911442203138921E-2</v>
      </c>
      <c r="AU37" s="2">
        <f t="shared" si="10"/>
        <v>1.6695762238035334E-2</v>
      </c>
      <c r="AV37" s="2">
        <f t="shared" si="11"/>
        <v>2.6546261958476187E-3</v>
      </c>
      <c r="AW37" s="3">
        <f t="shared" si="12"/>
        <v>15.900000000000002</v>
      </c>
    </row>
    <row r="38" spans="1:49" x14ac:dyDescent="0.2">
      <c r="A38" t="s">
        <v>45</v>
      </c>
      <c r="B38" s="5" t="s">
        <v>46</v>
      </c>
      <c r="C38" s="5" t="s">
        <v>84</v>
      </c>
      <c r="D38" s="5" t="s">
        <v>85</v>
      </c>
      <c r="E38">
        <v>2</v>
      </c>
      <c r="F38" s="6">
        <v>49</v>
      </c>
      <c r="G38" s="3">
        <v>2.7</v>
      </c>
      <c r="H38" s="3">
        <v>2.7</v>
      </c>
      <c r="I38" s="3">
        <v>1</v>
      </c>
      <c r="J38" s="3">
        <v>9.6560975609756312</v>
      </c>
      <c r="K38" s="3">
        <v>10.656097560975631</v>
      </c>
      <c r="L38" s="3">
        <v>10.156097560975631</v>
      </c>
      <c r="M38" s="1">
        <v>0.14000000000000001</v>
      </c>
      <c r="N38" s="3">
        <v>49.656097560975631</v>
      </c>
      <c r="O38" s="3">
        <v>50.656097560975631</v>
      </c>
      <c r="P38" s="3">
        <v>50.156097560975631</v>
      </c>
      <c r="Q38" s="3">
        <v>43.656097560975631</v>
      </c>
      <c r="R38" s="3">
        <v>44.656097560975631</v>
      </c>
      <c r="S38" s="3">
        <v>44.2</v>
      </c>
      <c r="T38" s="3">
        <v>44.2</v>
      </c>
      <c r="U38" s="7">
        <f t="shared" si="0"/>
        <v>0.5</v>
      </c>
      <c r="V38" s="3">
        <v>322.20999999999998</v>
      </c>
      <c r="W38" s="3">
        <v>531.25</v>
      </c>
      <c r="X38" s="3">
        <v>444.08</v>
      </c>
      <c r="Y38" s="3">
        <v>439.21</v>
      </c>
      <c r="Z38" s="3">
        <f t="shared" si="1"/>
        <v>104.52000000000001</v>
      </c>
      <c r="AA38" s="4">
        <f t="shared" si="2"/>
        <v>7.9825834542815097E-2</v>
      </c>
      <c r="AB38" s="4">
        <f t="shared" si="3"/>
        <v>1.9899378450177023E-2</v>
      </c>
      <c r="AC38">
        <v>1.1476266666666668</v>
      </c>
      <c r="AD38" s="2">
        <v>7.7412000000000001</v>
      </c>
      <c r="AE38" s="2">
        <v>2.2183999999999999</v>
      </c>
      <c r="AF38" s="2">
        <f t="shared" si="4"/>
        <v>5.5228000000000002</v>
      </c>
      <c r="AG38" s="2">
        <v>1.0707733333333331</v>
      </c>
      <c r="AH38" s="1">
        <f t="shared" si="5"/>
        <v>83.760348460521143</v>
      </c>
      <c r="AI38" s="1">
        <f t="shared" si="6"/>
        <v>16.239651539478857</v>
      </c>
      <c r="AJ38" s="1">
        <f t="shared" si="7"/>
        <v>0.81198257697394283</v>
      </c>
      <c r="AK38" s="8">
        <v>5.8699999999999974E-2</v>
      </c>
      <c r="AL38" s="9">
        <v>84.152267818574529</v>
      </c>
      <c r="AM38" s="10">
        <v>4.207613390928727</v>
      </c>
      <c r="AN38" s="9">
        <v>42.076133909287265</v>
      </c>
      <c r="AO38" s="11">
        <v>4.2085758217623619</v>
      </c>
      <c r="AP38" s="2">
        <v>5.7226500000000016</v>
      </c>
      <c r="AQ38" s="2">
        <f t="shared" si="8"/>
        <v>0.36624960000000012</v>
      </c>
      <c r="AR38" s="2">
        <v>1.1521888169525187</v>
      </c>
      <c r="AS38" s="2">
        <v>0.18711144894993278</v>
      </c>
      <c r="AT38" s="2">
        <f t="shared" si="9"/>
        <v>1.871114489499328E-2</v>
      </c>
      <c r="AU38" s="2">
        <f t="shared" si="10"/>
        <v>1.4936327564943728E-2</v>
      </c>
      <c r="AV38" s="2">
        <f t="shared" si="11"/>
        <v>2.4495577206507715E-3</v>
      </c>
      <c r="AW38" s="3">
        <f t="shared" si="12"/>
        <v>16.400000000000002</v>
      </c>
    </row>
    <row r="39" spans="1:49" x14ac:dyDescent="0.2">
      <c r="A39" t="s">
        <v>45</v>
      </c>
      <c r="B39" s="5" t="s">
        <v>46</v>
      </c>
      <c r="C39" s="5" t="s">
        <v>84</v>
      </c>
      <c r="D39" s="5" t="s">
        <v>86</v>
      </c>
      <c r="E39">
        <v>2</v>
      </c>
      <c r="F39" s="6">
        <v>50</v>
      </c>
      <c r="G39" s="3">
        <v>3</v>
      </c>
      <c r="H39" s="3">
        <v>2.7</v>
      </c>
      <c r="I39" s="3">
        <v>1</v>
      </c>
      <c r="J39" s="3">
        <v>10.792682926829293</v>
      </c>
      <c r="K39" s="3">
        <v>11.792682926829293</v>
      </c>
      <c r="L39" s="3">
        <v>11.292682926829293</v>
      </c>
      <c r="M39" s="1">
        <v>0.14000000000000001</v>
      </c>
      <c r="N39" s="3">
        <v>50.792682926829293</v>
      </c>
      <c r="O39" s="3">
        <v>51.792682926829293</v>
      </c>
      <c r="P39" s="3">
        <v>51.292682926829293</v>
      </c>
      <c r="Q39" s="3">
        <v>44.792682926829293</v>
      </c>
      <c r="R39" s="3">
        <v>45.792682926829293</v>
      </c>
      <c r="S39" s="3">
        <v>45.3</v>
      </c>
      <c r="T39" s="3">
        <v>45.3</v>
      </c>
      <c r="U39" s="7">
        <f t="shared" si="0"/>
        <v>0.5</v>
      </c>
      <c r="V39" s="3">
        <v>347.95</v>
      </c>
      <c r="W39" s="3">
        <v>535.22</v>
      </c>
      <c r="X39" s="3">
        <v>457.22</v>
      </c>
      <c r="Y39" s="3">
        <v>452.99</v>
      </c>
      <c r="Z39" s="3">
        <f t="shared" si="1"/>
        <v>93.635000000000019</v>
      </c>
      <c r="AA39" s="4">
        <f t="shared" si="2"/>
        <v>7.9825834542815929E-2</v>
      </c>
      <c r="AB39" s="4">
        <f t="shared" si="3"/>
        <v>1.7381426475931334E-2</v>
      </c>
      <c r="AC39">
        <v>1.1476266666666668</v>
      </c>
      <c r="AD39" s="2">
        <v>8.1473999999999993</v>
      </c>
      <c r="AE39" s="2">
        <v>2.1345000000000001</v>
      </c>
      <c r="AF39" s="2">
        <f t="shared" si="4"/>
        <v>6.0128999999999992</v>
      </c>
      <c r="AG39" s="2">
        <v>0.98687333333333327</v>
      </c>
      <c r="AH39" s="1">
        <f t="shared" si="5"/>
        <v>85.901352996192259</v>
      </c>
      <c r="AI39" s="1">
        <f t="shared" si="6"/>
        <v>14.098647003807741</v>
      </c>
      <c r="AJ39" s="1">
        <f t="shared" si="7"/>
        <v>0.70493235019038714</v>
      </c>
      <c r="AK39" s="8">
        <v>3.7700000000000067E-2</v>
      </c>
      <c r="AL39" s="9">
        <v>85.880149812734075</v>
      </c>
      <c r="AM39" s="10">
        <v>4.2940074906367043</v>
      </c>
      <c r="AN39" s="9">
        <v>42.940074906367037</v>
      </c>
      <c r="AO39" s="11">
        <v>4.2949505619557629</v>
      </c>
      <c r="AP39" s="2">
        <v>6.3761625000000004</v>
      </c>
      <c r="AQ39" s="2">
        <f t="shared" si="8"/>
        <v>0.42720288750000007</v>
      </c>
      <c r="AR39" s="2">
        <v>1.0978034724386858</v>
      </c>
      <c r="AS39" s="2">
        <v>0.15477543637467414</v>
      </c>
      <c r="AT39" s="2">
        <f t="shared" si="9"/>
        <v>1.5477543637467416E-2</v>
      </c>
      <c r="AU39" s="2">
        <f t="shared" si="10"/>
        <v>1.2355078375336873E-2</v>
      </c>
      <c r="AV39" s="2">
        <f t="shared" si="11"/>
        <v>2.063298088681258E-3</v>
      </c>
      <c r="AW39" s="3">
        <f t="shared" si="12"/>
        <v>16.7</v>
      </c>
    </row>
    <row r="40" spans="1:49" x14ac:dyDescent="0.2">
      <c r="A40" t="s">
        <v>45</v>
      </c>
      <c r="B40" s="5" t="s">
        <v>46</v>
      </c>
      <c r="C40" s="5" t="s">
        <v>84</v>
      </c>
      <c r="D40" s="5" t="s">
        <v>87</v>
      </c>
      <c r="E40">
        <v>2</v>
      </c>
      <c r="F40" s="6">
        <v>51</v>
      </c>
      <c r="G40" s="3">
        <v>2.65</v>
      </c>
      <c r="H40" s="3">
        <v>2.8</v>
      </c>
      <c r="I40" s="3">
        <v>1</v>
      </c>
      <c r="J40" s="3">
        <v>11.929268292682956</v>
      </c>
      <c r="K40" s="3">
        <v>12.929268292682956</v>
      </c>
      <c r="L40" s="3">
        <v>12.429268292682956</v>
      </c>
      <c r="M40" s="1">
        <v>0.14000000000000001</v>
      </c>
      <c r="N40" s="3">
        <v>51.929268292682956</v>
      </c>
      <c r="O40" s="3">
        <v>52.929268292682956</v>
      </c>
      <c r="P40" s="3">
        <v>52.429268292682956</v>
      </c>
      <c r="Q40" s="3">
        <v>45.929268292682956</v>
      </c>
      <c r="R40" s="3">
        <v>46.929268292682956</v>
      </c>
      <c r="S40" s="3">
        <v>46.4</v>
      </c>
      <c r="T40" s="3">
        <v>46.4</v>
      </c>
      <c r="U40" s="7">
        <f t="shared" si="0"/>
        <v>0.5</v>
      </c>
      <c r="V40" s="3">
        <v>374.29</v>
      </c>
      <c r="W40" s="3">
        <v>543.73</v>
      </c>
      <c r="X40" s="3">
        <v>470.16</v>
      </c>
      <c r="Y40" s="3">
        <v>466.77</v>
      </c>
      <c r="Z40" s="3">
        <f t="shared" si="1"/>
        <v>84.72</v>
      </c>
      <c r="AA40" s="4">
        <f t="shared" si="2"/>
        <v>7.9840319361277473E-2</v>
      </c>
      <c r="AB40" s="4">
        <f t="shared" si="3"/>
        <v>1.5351579188463031E-2</v>
      </c>
      <c r="AC40">
        <v>1.1476266666666668</v>
      </c>
      <c r="AD40" s="2">
        <v>8.0279000000000007</v>
      </c>
      <c r="AE40" s="2">
        <v>2.1890999999999998</v>
      </c>
      <c r="AF40" s="2">
        <f t="shared" si="4"/>
        <v>5.8388000000000009</v>
      </c>
      <c r="AG40" s="2">
        <v>1.041473333333333</v>
      </c>
      <c r="AH40" s="1">
        <f t="shared" si="5"/>
        <v>84.862907578284194</v>
      </c>
      <c r="AI40" s="1">
        <f t="shared" si="6"/>
        <v>15.137092421715806</v>
      </c>
      <c r="AJ40" s="1">
        <f t="shared" si="7"/>
        <v>0.75685462108579038</v>
      </c>
      <c r="AK40" s="8">
        <v>4.0399999999999991E-2</v>
      </c>
      <c r="AL40" s="9">
        <v>86.81892332789559</v>
      </c>
      <c r="AM40" s="10">
        <v>4.3409461663947795</v>
      </c>
      <c r="AN40" s="9">
        <v>43.409461663947795</v>
      </c>
      <c r="AO40" s="11">
        <v>4.3418790424812075</v>
      </c>
      <c r="AP40" s="2">
        <v>5.8291156249999991</v>
      </c>
      <c r="AQ40" s="2">
        <f t="shared" si="8"/>
        <v>0.37597795781249987</v>
      </c>
      <c r="AR40" s="2">
        <v>1.1803288484834842</v>
      </c>
      <c r="AS40" s="2">
        <v>0.17866746867511882</v>
      </c>
      <c r="AT40" s="2">
        <f t="shared" si="9"/>
        <v>1.7866746867511881E-2</v>
      </c>
      <c r="AU40" s="2">
        <f t="shared" si="10"/>
        <v>1.4264867758492526E-2</v>
      </c>
      <c r="AV40" s="2">
        <f t="shared" si="11"/>
        <v>2.3465707462720204E-3</v>
      </c>
      <c r="AW40" s="3">
        <f t="shared" si="12"/>
        <v>16.45</v>
      </c>
    </row>
    <row r="41" spans="1:49" x14ac:dyDescent="0.2">
      <c r="A41" t="s">
        <v>45</v>
      </c>
      <c r="B41" s="5" t="s">
        <v>46</v>
      </c>
      <c r="C41" s="5" t="s">
        <v>84</v>
      </c>
      <c r="D41" s="5" t="s">
        <v>88</v>
      </c>
      <c r="E41">
        <v>2</v>
      </c>
      <c r="F41" s="6">
        <v>52</v>
      </c>
      <c r="G41" s="3">
        <v>2.6</v>
      </c>
      <c r="H41" s="3">
        <v>2.85</v>
      </c>
      <c r="I41" s="3">
        <v>1</v>
      </c>
      <c r="J41" s="3">
        <v>13.065853658536618</v>
      </c>
      <c r="K41" s="3">
        <v>14.065853658536618</v>
      </c>
      <c r="L41" s="3">
        <v>13.565853658536618</v>
      </c>
      <c r="M41" s="1">
        <v>0.14000000000000001</v>
      </c>
      <c r="N41" s="3">
        <v>53.065853658536618</v>
      </c>
      <c r="O41" s="3">
        <v>54.065853658536618</v>
      </c>
      <c r="P41" s="3">
        <v>53.565853658536618</v>
      </c>
      <c r="Q41" s="3">
        <v>47.065853658536618</v>
      </c>
      <c r="R41" s="3">
        <v>48.065853658536618</v>
      </c>
      <c r="S41" s="3">
        <v>47.6</v>
      </c>
      <c r="T41" s="3">
        <v>47.6</v>
      </c>
      <c r="U41" s="7">
        <f t="shared" si="0"/>
        <v>0.5</v>
      </c>
      <c r="V41" s="3">
        <v>397.3</v>
      </c>
      <c r="W41" s="3">
        <v>564.86</v>
      </c>
      <c r="X41" s="3">
        <v>483.62</v>
      </c>
      <c r="Y41" s="3">
        <v>481.8</v>
      </c>
      <c r="Z41" s="3">
        <f t="shared" si="1"/>
        <v>83.78</v>
      </c>
      <c r="AA41" s="4">
        <f t="shared" si="2"/>
        <v>7.9825834542815929E-2</v>
      </c>
      <c r="AB41" s="4">
        <f t="shared" si="3"/>
        <v>1.4719387566148439E-2</v>
      </c>
      <c r="AC41">
        <v>1.1476266666666668</v>
      </c>
      <c r="AD41" s="2">
        <v>7.8719000000000001</v>
      </c>
      <c r="AE41" s="2">
        <v>2.1192000000000002</v>
      </c>
      <c r="AF41" s="2">
        <f t="shared" si="4"/>
        <v>5.7526999999999999</v>
      </c>
      <c r="AG41" s="2">
        <v>0.9715733333333334</v>
      </c>
      <c r="AH41" s="1">
        <f t="shared" si="5"/>
        <v>85.551251634625203</v>
      </c>
      <c r="AI41" s="1">
        <f t="shared" si="6"/>
        <v>14.448748365374797</v>
      </c>
      <c r="AJ41" s="1">
        <f t="shared" si="7"/>
        <v>0.72243741826873986</v>
      </c>
      <c r="AK41" s="8">
        <v>6.7899999999999849E-2</v>
      </c>
      <c r="AL41" s="9">
        <v>81.133648235621024</v>
      </c>
      <c r="AM41" s="10">
        <v>4.0566824117810514</v>
      </c>
      <c r="AN41" s="9">
        <v>40.566824117810512</v>
      </c>
      <c r="AO41" s="11">
        <v>4.0576806417033024</v>
      </c>
      <c r="AP41" s="2">
        <v>5.829115625</v>
      </c>
      <c r="AQ41" s="2">
        <f t="shared" si="8"/>
        <v>0.37597795781249999</v>
      </c>
      <c r="AR41" s="2">
        <v>1.1535666413090466</v>
      </c>
      <c r="AS41" s="2">
        <v>0.16667594122964979</v>
      </c>
      <c r="AT41" s="2">
        <f t="shared" si="9"/>
        <v>1.6667594122964979E-2</v>
      </c>
      <c r="AU41" s="2">
        <f t="shared" si="10"/>
        <v>1.3305046106866137E-2</v>
      </c>
      <c r="AV41" s="2">
        <f t="shared" si="11"/>
        <v>2.1886800845794794E-3</v>
      </c>
      <c r="AW41" s="3">
        <f t="shared" si="12"/>
        <v>16.45</v>
      </c>
    </row>
    <row r="42" spans="1:49" x14ac:dyDescent="0.2">
      <c r="A42" t="s">
        <v>45</v>
      </c>
      <c r="B42" s="5" t="s">
        <v>46</v>
      </c>
      <c r="C42" s="5" t="s">
        <v>84</v>
      </c>
      <c r="D42" s="5" t="s">
        <v>89</v>
      </c>
      <c r="E42">
        <v>2</v>
      </c>
      <c r="F42" s="6">
        <v>53</v>
      </c>
      <c r="G42" s="3">
        <v>2.5499999999999998</v>
      </c>
      <c r="H42" s="3">
        <v>2.8</v>
      </c>
      <c r="I42" s="3">
        <v>1</v>
      </c>
      <c r="J42" s="3">
        <v>14.20243902439028</v>
      </c>
      <c r="K42" s="3">
        <v>15.20243902439028</v>
      </c>
      <c r="L42" s="3">
        <v>14.70243902439028</v>
      </c>
      <c r="M42" s="1">
        <v>0.14000000000000001</v>
      </c>
      <c r="N42" s="3">
        <v>54.20243902439028</v>
      </c>
      <c r="O42" s="3">
        <v>55.20243902439028</v>
      </c>
      <c r="P42" s="3">
        <v>54.70243902439028</v>
      </c>
      <c r="Q42" s="3">
        <v>48.20243902439028</v>
      </c>
      <c r="R42" s="3">
        <v>49.20243902439028</v>
      </c>
      <c r="S42" s="3">
        <v>48.7</v>
      </c>
      <c r="T42" s="3">
        <v>48.7</v>
      </c>
      <c r="U42" s="7">
        <f t="shared" si="0"/>
        <v>0.5</v>
      </c>
      <c r="V42" s="3">
        <v>414.61</v>
      </c>
      <c r="W42" s="3">
        <v>590.16999999999996</v>
      </c>
      <c r="X42" s="3">
        <v>496.08</v>
      </c>
      <c r="Y42" s="3">
        <v>495.58</v>
      </c>
      <c r="Z42" s="3">
        <f t="shared" si="1"/>
        <v>87.779999999999973</v>
      </c>
      <c r="AA42" s="4">
        <f t="shared" si="2"/>
        <v>7.9825834542815097E-2</v>
      </c>
      <c r="AB42" s="4">
        <f t="shared" si="3"/>
        <v>1.4958781255322127E-2</v>
      </c>
      <c r="AC42">
        <v>1.1476266666666668</v>
      </c>
      <c r="AD42" s="2">
        <v>7.4650999999999996</v>
      </c>
      <c r="AE42" s="2">
        <v>2.1854</v>
      </c>
      <c r="AF42" s="2">
        <f t="shared" si="4"/>
        <v>5.2797000000000001</v>
      </c>
      <c r="AG42" s="2">
        <v>1.0377733333333332</v>
      </c>
      <c r="AH42" s="1">
        <f t="shared" si="5"/>
        <v>83.572968518004558</v>
      </c>
      <c r="AI42" s="1">
        <f t="shared" si="6"/>
        <v>16.427031481995442</v>
      </c>
      <c r="AJ42" s="1">
        <f t="shared" si="7"/>
        <v>0.82135157409977211</v>
      </c>
      <c r="AK42" s="8">
        <v>0.16640000000000033</v>
      </c>
      <c r="AL42" s="9">
        <v>60.200908873475157</v>
      </c>
      <c r="AM42" s="10">
        <v>3.010045443673758</v>
      </c>
      <c r="AN42" s="9">
        <v>30.100454436737579</v>
      </c>
      <c r="AO42" s="11">
        <v>3.0113906377255595</v>
      </c>
      <c r="AP42" s="2">
        <v>5.6171656249999993</v>
      </c>
      <c r="AQ42" s="2">
        <f t="shared" si="8"/>
        <v>0.35669001718749987</v>
      </c>
      <c r="AR42" s="2">
        <v>1.1246727896390512</v>
      </c>
      <c r="AS42" s="2">
        <v>0.18475035322344324</v>
      </c>
      <c r="AT42" s="2">
        <f t="shared" si="9"/>
        <v>1.8475035322344326E-2</v>
      </c>
      <c r="AU42" s="2">
        <f t="shared" si="10"/>
        <v>1.4747851128141226E-2</v>
      </c>
      <c r="AV42" s="2">
        <f t="shared" si="11"/>
        <v>2.4112736594510903E-3</v>
      </c>
      <c r="AW42" s="3">
        <f t="shared" si="12"/>
        <v>16.349999999999998</v>
      </c>
    </row>
    <row r="43" spans="1:49" x14ac:dyDescent="0.2">
      <c r="A43" t="s">
        <v>45</v>
      </c>
      <c r="B43" s="5" t="s">
        <v>46</v>
      </c>
      <c r="C43" s="5" t="s">
        <v>84</v>
      </c>
      <c r="D43" s="5" t="s">
        <v>90</v>
      </c>
      <c r="E43">
        <v>2</v>
      </c>
      <c r="F43" s="6">
        <v>54</v>
      </c>
      <c r="G43" s="3">
        <v>2.6</v>
      </c>
      <c r="H43" s="3">
        <v>2.8</v>
      </c>
      <c r="I43" s="3">
        <v>1</v>
      </c>
      <c r="J43" s="3">
        <v>15.339024390243942</v>
      </c>
      <c r="K43" s="3">
        <v>16.339024390243942</v>
      </c>
      <c r="L43" s="3">
        <v>15.839024390243942</v>
      </c>
      <c r="M43" s="1">
        <v>0.14000000000000001</v>
      </c>
      <c r="N43" s="3">
        <v>55.339024390243942</v>
      </c>
      <c r="O43" s="3">
        <v>56.339024390243942</v>
      </c>
      <c r="P43" s="3">
        <v>55.839024390243942</v>
      </c>
      <c r="Q43" s="3">
        <v>49.339024390243942</v>
      </c>
      <c r="R43" s="3">
        <v>50.339024390243942</v>
      </c>
      <c r="S43" s="3">
        <v>49.8</v>
      </c>
      <c r="T43" s="3">
        <v>49.8</v>
      </c>
      <c r="U43" s="7">
        <f t="shared" si="0"/>
        <v>0.5</v>
      </c>
      <c r="V43" s="3">
        <v>431.13</v>
      </c>
      <c r="W43" s="3">
        <v>612.49</v>
      </c>
      <c r="X43" s="3">
        <v>508.79</v>
      </c>
      <c r="Y43" s="3">
        <v>509.36</v>
      </c>
      <c r="Z43" s="3">
        <f t="shared" si="1"/>
        <v>90.68</v>
      </c>
      <c r="AA43" s="4">
        <f t="shared" si="2"/>
        <v>4.431314623338261E-2</v>
      </c>
      <c r="AB43" s="4">
        <f t="shared" si="3"/>
        <v>8.3338621442257971E-3</v>
      </c>
      <c r="AC43">
        <v>1.1476266666666668</v>
      </c>
      <c r="AD43" s="2">
        <v>8.2327999999999992</v>
      </c>
      <c r="AE43" s="2">
        <v>2.7323</v>
      </c>
      <c r="AF43" s="2">
        <f t="shared" si="4"/>
        <v>5.5004999999999988</v>
      </c>
      <c r="AG43" s="2">
        <v>1.5846733333333332</v>
      </c>
      <c r="AH43" s="1">
        <f t="shared" si="5"/>
        <v>77.63395108658834</v>
      </c>
      <c r="AI43" s="1">
        <f t="shared" si="6"/>
        <v>22.36604891341166</v>
      </c>
      <c r="AJ43" s="1">
        <f t="shared" si="7"/>
        <v>1.118302445670583</v>
      </c>
      <c r="AK43" s="8">
        <v>0.33460000000000001</v>
      </c>
      <c r="AL43" s="9">
        <v>49.272286234081278</v>
      </c>
      <c r="AM43" s="10">
        <v>2.4636143117040641</v>
      </c>
      <c r="AN43" s="9">
        <v>24.636143117040639</v>
      </c>
      <c r="AO43" s="11">
        <v>2.465257689742208</v>
      </c>
      <c r="AP43" s="2">
        <v>5.7226500000000016</v>
      </c>
      <c r="AQ43" s="2">
        <f t="shared" si="8"/>
        <v>0.36624960000000012</v>
      </c>
      <c r="AR43" s="2">
        <v>1.238093074595394</v>
      </c>
      <c r="AS43" s="2">
        <v>0.27691250265756823</v>
      </c>
      <c r="AT43" s="2">
        <f t="shared" si="9"/>
        <v>2.7691250265756823E-2</v>
      </c>
      <c r="AU43" s="2">
        <f t="shared" si="10"/>
        <v>1.2270864224116771E-2</v>
      </c>
      <c r="AV43" s="2">
        <f t="shared" si="11"/>
        <v>2.0124217327551507E-3</v>
      </c>
      <c r="AW43" s="3">
        <f t="shared" si="12"/>
        <v>16.400000000000002</v>
      </c>
    </row>
    <row r="44" spans="1:49" x14ac:dyDescent="0.2">
      <c r="A44" t="s">
        <v>45</v>
      </c>
      <c r="B44" s="5" t="s">
        <v>46</v>
      </c>
      <c r="C44" s="5" t="s">
        <v>84</v>
      </c>
      <c r="D44" s="5" t="s">
        <v>91</v>
      </c>
      <c r="E44">
        <v>2</v>
      </c>
      <c r="F44" s="6">
        <v>55</v>
      </c>
      <c r="G44" s="3">
        <v>2.7</v>
      </c>
      <c r="H44" s="3">
        <v>2.8</v>
      </c>
      <c r="I44" s="3">
        <v>1</v>
      </c>
      <c r="J44" s="3">
        <v>16.475609756097604</v>
      </c>
      <c r="K44" s="3">
        <v>17.475609756097604</v>
      </c>
      <c r="L44" s="3">
        <v>16.975609756097604</v>
      </c>
      <c r="M44" s="1">
        <v>0.14000000000000001</v>
      </c>
      <c r="N44" s="3">
        <v>56.475609756097604</v>
      </c>
      <c r="O44" s="3">
        <v>57.475609756097604</v>
      </c>
      <c r="P44" s="3">
        <v>56.975609756097604</v>
      </c>
      <c r="Q44" s="3">
        <v>50.475609756097604</v>
      </c>
      <c r="R44" s="3">
        <v>51.475609756097604</v>
      </c>
      <c r="S44" s="3">
        <v>51</v>
      </c>
      <c r="T44" s="3">
        <v>51</v>
      </c>
      <c r="U44" s="7">
        <f t="shared" si="0"/>
        <v>0.5</v>
      </c>
      <c r="V44" s="3">
        <v>454.93</v>
      </c>
      <c r="W44" s="3">
        <v>635.74</v>
      </c>
      <c r="X44" s="3">
        <v>535.41999999999996</v>
      </c>
      <c r="Y44" s="3">
        <v>536.44000000000005</v>
      </c>
      <c r="Z44" s="3">
        <f t="shared" si="1"/>
        <v>90.405000000000001</v>
      </c>
      <c r="AA44" s="4">
        <f t="shared" si="2"/>
        <v>4.0710584752035608E-2</v>
      </c>
      <c r="AB44" s="4">
        <f t="shared" si="3"/>
        <v>7.2599846402824023E-3</v>
      </c>
      <c r="AC44">
        <v>1.1476266666666668</v>
      </c>
      <c r="AD44" s="2">
        <v>8.2140000000000004</v>
      </c>
      <c r="AE44" s="2">
        <v>2.1236000000000002</v>
      </c>
      <c r="AF44" s="2">
        <f t="shared" si="4"/>
        <v>6.0904000000000007</v>
      </c>
      <c r="AG44" s="2">
        <v>0.97597333333333336</v>
      </c>
      <c r="AH44" s="1">
        <f t="shared" si="5"/>
        <v>86.188483295533018</v>
      </c>
      <c r="AI44" s="1">
        <f t="shared" si="6"/>
        <v>13.811516704466982</v>
      </c>
      <c r="AJ44" s="1">
        <f t="shared" si="7"/>
        <v>0.69057583522334909</v>
      </c>
      <c r="AK44" s="8">
        <v>0.17839999999999989</v>
      </c>
      <c r="AL44" s="9">
        <v>61.692076444062728</v>
      </c>
      <c r="AM44" s="10">
        <v>3.0846038222031367</v>
      </c>
      <c r="AN44" s="9">
        <v>30.846038222031364</v>
      </c>
      <c r="AO44" s="11">
        <v>3.0859165153889374</v>
      </c>
      <c r="AP44" s="2">
        <v>5.9365625</v>
      </c>
      <c r="AQ44" s="2">
        <f t="shared" si="8"/>
        <v>0.38587656250000002</v>
      </c>
      <c r="AR44" s="2">
        <v>1.1903139794002562</v>
      </c>
      <c r="AS44" s="2">
        <v>0.16440041410047201</v>
      </c>
      <c r="AT44" s="2">
        <f t="shared" si="9"/>
        <v>1.6440041410047204E-2</v>
      </c>
      <c r="AU44" s="2">
        <f t="shared" si="10"/>
        <v>6.692836991507016E-3</v>
      </c>
      <c r="AV44" s="2">
        <f t="shared" si="11"/>
        <v>1.1043181035986578E-3</v>
      </c>
      <c r="AW44" s="3">
        <f t="shared" si="12"/>
        <v>16.500000000000004</v>
      </c>
    </row>
    <row r="45" spans="1:49" x14ac:dyDescent="0.2">
      <c r="A45" t="s">
        <v>45</v>
      </c>
      <c r="B45" s="5" t="s">
        <v>46</v>
      </c>
      <c r="C45" s="5" t="s">
        <v>84</v>
      </c>
      <c r="D45" s="5" t="s">
        <v>92</v>
      </c>
      <c r="E45">
        <v>2</v>
      </c>
      <c r="F45" s="6">
        <v>56</v>
      </c>
      <c r="G45" s="3">
        <v>2.5499999999999998</v>
      </c>
      <c r="H45" s="3">
        <v>2.9</v>
      </c>
      <c r="I45" s="3">
        <v>1</v>
      </c>
      <c r="J45" s="3">
        <v>17.612195121951267</v>
      </c>
      <c r="K45" s="3">
        <v>18.612195121951267</v>
      </c>
      <c r="L45" s="3">
        <v>18.112195121951267</v>
      </c>
      <c r="M45" s="1">
        <v>0.14000000000000001</v>
      </c>
      <c r="N45" s="3">
        <v>57.612195121951267</v>
      </c>
      <c r="O45" s="3">
        <v>58.612195121951267</v>
      </c>
      <c r="P45" s="3">
        <v>58.112195121951267</v>
      </c>
      <c r="Q45" s="3">
        <v>51.612195121951267</v>
      </c>
      <c r="R45" s="3">
        <v>52.612195121951267</v>
      </c>
      <c r="S45" s="3">
        <v>52.1</v>
      </c>
      <c r="T45" s="3">
        <v>52.1</v>
      </c>
      <c r="U45" s="7">
        <f t="shared" si="0"/>
        <v>0.5</v>
      </c>
      <c r="V45" s="3">
        <v>470.8</v>
      </c>
      <c r="W45" s="3">
        <v>657.46</v>
      </c>
      <c r="X45" s="3">
        <v>562.16</v>
      </c>
      <c r="Y45" s="3">
        <v>563.46</v>
      </c>
      <c r="Z45" s="3">
        <f t="shared" si="1"/>
        <v>93.330000000000013</v>
      </c>
      <c r="AA45" s="4">
        <f t="shared" si="2"/>
        <v>4.0695523492415925E-2</v>
      </c>
      <c r="AB45" s="4">
        <f t="shared" si="3"/>
        <v>7.1312491836232278E-3</v>
      </c>
      <c r="AC45">
        <v>1.1476266666666668</v>
      </c>
      <c r="AD45" s="2">
        <v>8.2333999999999996</v>
      </c>
      <c r="AE45" s="2">
        <v>2.0825</v>
      </c>
      <c r="AF45" s="2">
        <f t="shared" si="4"/>
        <v>6.1509</v>
      </c>
      <c r="AG45" s="2">
        <v>0.93487333333333322</v>
      </c>
      <c r="AH45" s="1">
        <f t="shared" si="5"/>
        <v>86.80633306550402</v>
      </c>
      <c r="AI45" s="1">
        <f t="shared" si="6"/>
        <v>13.19366693449598</v>
      </c>
      <c r="AJ45" s="1">
        <f t="shared" si="7"/>
        <v>0.659683346724799</v>
      </c>
      <c r="AK45" s="8">
        <v>6.5699999999999648E-2</v>
      </c>
      <c r="AL45" s="9">
        <v>82.845953002611054</v>
      </c>
      <c r="AM45" s="10">
        <v>4.1422976501305531</v>
      </c>
      <c r="AN45" s="9">
        <v>41.422976501305527</v>
      </c>
      <c r="AO45" s="11">
        <v>4.1432752530186914</v>
      </c>
      <c r="AP45" s="2">
        <v>5.8291156249999991</v>
      </c>
      <c r="AQ45" s="2">
        <f t="shared" si="8"/>
        <v>0.37597795781249987</v>
      </c>
      <c r="AR45" s="2">
        <v>1.2155829098575024</v>
      </c>
      <c r="AS45" s="2">
        <v>0.16037996043925332</v>
      </c>
      <c r="AT45" s="2">
        <f t="shared" si="9"/>
        <v>1.6037996043925331E-2</v>
      </c>
      <c r="AU45" s="2">
        <f t="shared" si="10"/>
        <v>6.5267464477683701E-3</v>
      </c>
      <c r="AV45" s="2">
        <f t="shared" si="11"/>
        <v>1.0736497906578967E-3</v>
      </c>
      <c r="AW45" s="3">
        <f t="shared" si="12"/>
        <v>16.45</v>
      </c>
    </row>
    <row r="46" spans="1:49" x14ac:dyDescent="0.2">
      <c r="A46" t="s">
        <v>45</v>
      </c>
      <c r="B46" s="5" t="s">
        <v>46</v>
      </c>
      <c r="C46" s="5" t="s">
        <v>84</v>
      </c>
      <c r="D46" s="5" t="s">
        <v>93</v>
      </c>
      <c r="E46">
        <v>2</v>
      </c>
      <c r="F46" s="6">
        <v>57</v>
      </c>
      <c r="G46" s="3">
        <v>2.85</v>
      </c>
      <c r="H46" s="3">
        <v>1.9</v>
      </c>
      <c r="I46" s="3">
        <v>1</v>
      </c>
      <c r="J46" s="3">
        <v>18.748780487804929</v>
      </c>
      <c r="K46" s="3">
        <v>19.748780487804929</v>
      </c>
      <c r="L46" s="3">
        <v>19.248780487804929</v>
      </c>
      <c r="M46" s="1">
        <v>0.14000000000000001</v>
      </c>
      <c r="N46" s="3">
        <v>58.748780487804929</v>
      </c>
      <c r="O46" s="3">
        <v>59.748780487804929</v>
      </c>
      <c r="P46" s="3">
        <v>59.248780487804929</v>
      </c>
      <c r="Q46" s="3">
        <v>52.748780487804929</v>
      </c>
      <c r="R46" s="3">
        <v>53.748780487804929</v>
      </c>
      <c r="S46" s="3">
        <v>53.2</v>
      </c>
      <c r="T46" s="3">
        <v>53.2</v>
      </c>
      <c r="U46" s="7">
        <f t="shared" si="0"/>
        <v>0.5</v>
      </c>
      <c r="V46" s="3">
        <v>483.34</v>
      </c>
      <c r="W46" s="3">
        <v>707.22</v>
      </c>
      <c r="X46" s="3">
        <v>588.16999999999996</v>
      </c>
      <c r="Y46" s="3">
        <v>590.49</v>
      </c>
      <c r="Z46" s="3">
        <f t="shared" si="1"/>
        <v>111.94000000000003</v>
      </c>
      <c r="AA46" s="4">
        <f t="shared" si="2"/>
        <v>4.0705563093622624E-2</v>
      </c>
      <c r="AB46" s="4">
        <f t="shared" si="3"/>
        <v>8.0991805631547894E-3</v>
      </c>
      <c r="AC46">
        <v>1.1476266666666668</v>
      </c>
      <c r="AD46" s="2">
        <v>8.7914999999999992</v>
      </c>
      <c r="AE46" s="2">
        <v>2.1829999999999998</v>
      </c>
      <c r="AF46" s="2">
        <f t="shared" si="4"/>
        <v>6.6084999999999994</v>
      </c>
      <c r="AG46" s="2">
        <v>1.035373333333333</v>
      </c>
      <c r="AH46" s="1">
        <f t="shared" si="5"/>
        <v>86.454860145074804</v>
      </c>
      <c r="AI46" s="1">
        <f t="shared" si="6"/>
        <v>13.545139854925196</v>
      </c>
      <c r="AJ46" s="1">
        <f t="shared" si="7"/>
        <v>0.67725699274625983</v>
      </c>
      <c r="AK46" s="8">
        <v>3.4099999999999575E-2</v>
      </c>
      <c r="AL46" s="9">
        <v>88.549361987911482</v>
      </c>
      <c r="AM46" s="10">
        <v>4.4274680993955746</v>
      </c>
      <c r="AN46" s="9">
        <v>44.274680993955741</v>
      </c>
      <c r="AO46" s="11">
        <v>4.4283827489463308</v>
      </c>
      <c r="AP46" s="2">
        <v>4.4278906249999999</v>
      </c>
      <c r="AQ46" s="2">
        <f t="shared" si="8"/>
        <v>0.25460371093750001</v>
      </c>
      <c r="AR46" s="2">
        <v>1.7263012979986001</v>
      </c>
      <c r="AS46" s="2">
        <v>0.23382992513129952</v>
      </c>
      <c r="AT46" s="2">
        <f t="shared" si="9"/>
        <v>2.3382992513129953E-2</v>
      </c>
      <c r="AU46" s="2">
        <f t="shared" si="10"/>
        <v>9.5181787706091672E-3</v>
      </c>
      <c r="AV46" s="2">
        <f t="shared" si="11"/>
        <v>1.4991131563709438E-3</v>
      </c>
      <c r="AW46" s="3">
        <f t="shared" si="12"/>
        <v>15.75</v>
      </c>
    </row>
    <row r="47" spans="1:49" x14ac:dyDescent="0.2">
      <c r="A47" t="s">
        <v>45</v>
      </c>
      <c r="B47" s="5" t="s">
        <v>46</v>
      </c>
      <c r="C47" s="5" t="s">
        <v>84</v>
      </c>
      <c r="D47" s="5" t="s">
        <v>94</v>
      </c>
      <c r="E47">
        <v>2</v>
      </c>
      <c r="F47" s="6">
        <v>58</v>
      </c>
      <c r="G47" s="3">
        <v>2.7</v>
      </c>
      <c r="H47" s="3">
        <v>2.95</v>
      </c>
      <c r="I47" s="3">
        <v>1</v>
      </c>
      <c r="J47" s="3">
        <v>19.885365853658591</v>
      </c>
      <c r="K47" s="3">
        <v>20.885365853658591</v>
      </c>
      <c r="L47" s="3">
        <v>20.385365853658591</v>
      </c>
      <c r="M47" s="1">
        <v>0.14000000000000001</v>
      </c>
      <c r="N47" s="3">
        <v>59.885365853658591</v>
      </c>
      <c r="O47" s="3">
        <v>60.885365853658591</v>
      </c>
      <c r="P47" s="3">
        <v>60.385365853658591</v>
      </c>
      <c r="Q47" s="3">
        <v>53.885365853658591</v>
      </c>
      <c r="R47" s="3">
        <v>54.885365853658591</v>
      </c>
      <c r="S47" s="3">
        <v>54.4</v>
      </c>
      <c r="T47" s="3">
        <v>54.4</v>
      </c>
      <c r="U47" s="7">
        <f t="shared" si="0"/>
        <v>0.5</v>
      </c>
      <c r="V47" s="3">
        <v>498.29</v>
      </c>
      <c r="W47" s="3">
        <v>763.24</v>
      </c>
      <c r="X47" s="3">
        <v>617.36</v>
      </c>
      <c r="Y47" s="3">
        <v>619.97</v>
      </c>
      <c r="Z47" s="3">
        <f t="shared" si="1"/>
        <v>132.47499999999999</v>
      </c>
      <c r="AA47" s="4">
        <f t="shared" si="2"/>
        <v>4.0695523492415925E-2</v>
      </c>
      <c r="AB47" s="4">
        <f t="shared" si="3"/>
        <v>9.0698467522853585E-3</v>
      </c>
      <c r="AC47">
        <v>1.1476266666666668</v>
      </c>
      <c r="AD47" s="2">
        <v>9.0463000000000005</v>
      </c>
      <c r="AE47" s="2">
        <v>2.1648000000000001</v>
      </c>
      <c r="AF47" s="2">
        <f t="shared" si="4"/>
        <v>6.8815000000000008</v>
      </c>
      <c r="AG47" s="2">
        <v>1.0171733333333333</v>
      </c>
      <c r="AH47" s="1">
        <f t="shared" si="5"/>
        <v>87.122225588938576</v>
      </c>
      <c r="AI47" s="1">
        <f t="shared" si="6"/>
        <v>12.877774411061424</v>
      </c>
      <c r="AJ47" s="1">
        <f t="shared" si="7"/>
        <v>0.64388872055307123</v>
      </c>
      <c r="AK47" s="8">
        <v>2.8000000000000469E-2</v>
      </c>
      <c r="AL47" s="9">
        <v>89.437947944171853</v>
      </c>
      <c r="AM47" s="10">
        <v>4.4718973972085925</v>
      </c>
      <c r="AN47" s="9">
        <v>44.718973972085927</v>
      </c>
      <c r="AO47" s="11">
        <v>4.4728029613611398</v>
      </c>
      <c r="AP47" s="2">
        <v>6.2647906250000016</v>
      </c>
      <c r="AQ47" s="2">
        <f t="shared" si="8"/>
        <v>0.41660857656250011</v>
      </c>
      <c r="AR47" s="2">
        <v>1.260804040571321</v>
      </c>
      <c r="AS47" s="2">
        <v>0.16236350011032219</v>
      </c>
      <c r="AT47" s="2">
        <f t="shared" si="9"/>
        <v>1.623635001103222E-2</v>
      </c>
      <c r="AU47" s="2">
        <f t="shared" si="10"/>
        <v>6.6074676330504919E-3</v>
      </c>
      <c r="AV47" s="2">
        <f t="shared" si="11"/>
        <v>1.100143360902907E-3</v>
      </c>
      <c r="AW47" s="3">
        <f t="shared" si="12"/>
        <v>16.650000000000002</v>
      </c>
    </row>
    <row r="48" spans="1:49" x14ac:dyDescent="0.2">
      <c r="A48" t="s">
        <v>45</v>
      </c>
      <c r="B48" s="5" t="s">
        <v>46</v>
      </c>
      <c r="C48" s="5" t="s">
        <v>84</v>
      </c>
      <c r="D48" s="5" t="s">
        <v>95</v>
      </c>
      <c r="E48">
        <v>2</v>
      </c>
      <c r="F48" s="6">
        <v>59</v>
      </c>
      <c r="G48" s="3">
        <v>2.5</v>
      </c>
      <c r="H48" s="3">
        <v>2.95</v>
      </c>
      <c r="I48" s="3">
        <v>1</v>
      </c>
      <c r="J48" s="3">
        <v>21.021951219512253</v>
      </c>
      <c r="K48" s="3">
        <v>22.021951219512253</v>
      </c>
      <c r="L48" s="3">
        <v>21.521951219512253</v>
      </c>
      <c r="M48" s="1">
        <v>0.14000000000000001</v>
      </c>
      <c r="N48" s="3">
        <v>61.021951219512253</v>
      </c>
      <c r="O48" s="3">
        <v>62.021951219512253</v>
      </c>
      <c r="P48" s="3">
        <v>61.521951219512253</v>
      </c>
      <c r="Q48" s="3">
        <v>55.021951219512253</v>
      </c>
      <c r="R48" s="3">
        <v>56.021951219512253</v>
      </c>
      <c r="S48" s="3">
        <v>55.5</v>
      </c>
      <c r="T48" s="3">
        <v>55.5</v>
      </c>
      <c r="U48" s="7">
        <f t="shared" si="0"/>
        <v>0.5</v>
      </c>
      <c r="V48" s="3">
        <v>504.63</v>
      </c>
      <c r="W48" s="3">
        <v>819.48</v>
      </c>
      <c r="X48" s="3">
        <v>643.03</v>
      </c>
      <c r="Y48" s="3">
        <v>647</v>
      </c>
      <c r="Z48" s="3">
        <f t="shared" si="1"/>
        <v>157.42500000000001</v>
      </c>
      <c r="AA48" s="4">
        <f t="shared" si="2"/>
        <v>4.0705563093622867E-2</v>
      </c>
      <c r="AB48" s="4">
        <f t="shared" si="3"/>
        <v>1.0271003137043896E-2</v>
      </c>
      <c r="AC48">
        <v>1.1476266666666668</v>
      </c>
      <c r="AD48" s="2">
        <v>8.4303000000000008</v>
      </c>
      <c r="AE48" s="2">
        <v>2.0956999999999999</v>
      </c>
      <c r="AF48" s="2">
        <f t="shared" si="4"/>
        <v>6.3346000000000009</v>
      </c>
      <c r="AG48" s="2">
        <v>0.9480733333333331</v>
      </c>
      <c r="AH48" s="1">
        <f t="shared" si="5"/>
        <v>86.981795146654022</v>
      </c>
      <c r="AI48" s="1">
        <f t="shared" si="6"/>
        <v>13.018204853345978</v>
      </c>
      <c r="AJ48" s="1">
        <f t="shared" si="7"/>
        <v>0.65091024266729891</v>
      </c>
      <c r="AK48" s="8">
        <v>6.109999999999971E-2</v>
      </c>
      <c r="AL48" s="9">
        <v>85.876098012020407</v>
      </c>
      <c r="AM48" s="10">
        <v>4.2938049006010202</v>
      </c>
      <c r="AN48" s="9">
        <v>42.938049006010203</v>
      </c>
      <c r="AO48" s="11">
        <v>4.2947480164062402</v>
      </c>
      <c r="AP48" s="2">
        <v>5.829115625</v>
      </c>
      <c r="AQ48" s="2">
        <f t="shared" si="8"/>
        <v>0.37597795781249999</v>
      </c>
      <c r="AR48" s="2">
        <v>1.249361618784725</v>
      </c>
      <c r="AS48" s="2">
        <v>0.16264445489247489</v>
      </c>
      <c r="AT48" s="2">
        <f t="shared" si="9"/>
        <v>1.6264445489247489E-2</v>
      </c>
      <c r="AU48" s="2">
        <f t="shared" si="10"/>
        <v>6.6205341204535351E-3</v>
      </c>
      <c r="AV48" s="2">
        <f t="shared" si="11"/>
        <v>1.0890778628146064E-3</v>
      </c>
      <c r="AW48" s="3">
        <f t="shared" si="12"/>
        <v>16.45</v>
      </c>
    </row>
    <row r="49" spans="1:49" x14ac:dyDescent="0.2">
      <c r="A49" t="s">
        <v>45</v>
      </c>
      <c r="B49" s="5" t="s">
        <v>46</v>
      </c>
      <c r="C49" s="5" t="s">
        <v>84</v>
      </c>
      <c r="D49" s="5" t="s">
        <v>96</v>
      </c>
      <c r="E49">
        <v>2</v>
      </c>
      <c r="F49" s="6">
        <v>60</v>
      </c>
      <c r="G49" s="3">
        <v>2.6</v>
      </c>
      <c r="H49" s="3">
        <v>3</v>
      </c>
      <c r="I49" s="3">
        <v>1</v>
      </c>
      <c r="J49" s="3">
        <v>22.158536585365916</v>
      </c>
      <c r="K49" s="3">
        <v>23.158536585365916</v>
      </c>
      <c r="L49" s="3">
        <v>22.658536585365916</v>
      </c>
      <c r="M49" s="1">
        <v>0.14000000000000001</v>
      </c>
      <c r="N49" s="3">
        <v>62.158536585365916</v>
      </c>
      <c r="O49" s="3">
        <v>63.158536585365916</v>
      </c>
      <c r="P49" s="3">
        <v>62.658536585365916</v>
      </c>
      <c r="Q49" s="3">
        <v>56.158536585365916</v>
      </c>
      <c r="R49" s="3">
        <v>57.158536585365916</v>
      </c>
      <c r="S49" s="3">
        <v>56.7</v>
      </c>
      <c r="T49" s="3">
        <v>56.7</v>
      </c>
      <c r="U49" s="7">
        <f t="shared" si="0"/>
        <v>0.5</v>
      </c>
      <c r="V49" s="3">
        <v>509.8</v>
      </c>
      <c r="W49" s="3">
        <v>880.83</v>
      </c>
      <c r="X49" s="3">
        <v>670.76</v>
      </c>
      <c r="Y49" s="3">
        <v>676.48</v>
      </c>
      <c r="Z49" s="3">
        <f t="shared" si="1"/>
        <v>185.51500000000001</v>
      </c>
      <c r="AA49" s="4">
        <f t="shared" si="2"/>
        <v>4.0695523492415668E-2</v>
      </c>
      <c r="AB49" s="4">
        <f t="shared" si="3"/>
        <v>1.1519034447157659E-2</v>
      </c>
      <c r="AC49">
        <v>1.1476266666666668</v>
      </c>
      <c r="AD49" s="2">
        <v>8.9312000000000005</v>
      </c>
      <c r="AE49" s="2">
        <v>2.1713</v>
      </c>
      <c r="AF49" s="2">
        <f t="shared" si="4"/>
        <v>6.7599</v>
      </c>
      <c r="AG49" s="2">
        <v>1.0236733333333332</v>
      </c>
      <c r="AH49" s="1">
        <f t="shared" si="5"/>
        <v>86.848285620314925</v>
      </c>
      <c r="AI49" s="1">
        <f t="shared" si="6"/>
        <v>13.151714379685075</v>
      </c>
      <c r="AJ49" s="1">
        <f t="shared" si="7"/>
        <v>0.65758571898425378</v>
      </c>
      <c r="AK49" s="8">
        <v>2.9399999999999871E-2</v>
      </c>
      <c r="AL49" s="9">
        <v>90.702087286527572</v>
      </c>
      <c r="AM49" s="10">
        <v>4.5351043643263784</v>
      </c>
      <c r="AN49" s="9">
        <v>45.351043643263786</v>
      </c>
      <c r="AO49" s="11">
        <v>4.5359973098903144</v>
      </c>
      <c r="AP49" s="2">
        <v>6.1543999999999999</v>
      </c>
      <c r="AQ49" s="2">
        <f t="shared" si="8"/>
        <v>0.40619040000000001</v>
      </c>
      <c r="AR49" s="2">
        <v>1.2647168421508732</v>
      </c>
      <c r="AS49" s="2">
        <v>0.16633194679145541</v>
      </c>
      <c r="AT49" s="2">
        <f t="shared" si="9"/>
        <v>1.6633194679145542E-2</v>
      </c>
      <c r="AU49" s="2">
        <f t="shared" si="10"/>
        <v>6.7689656481909064E-3</v>
      </c>
      <c r="AV49" s="2">
        <f t="shared" si="11"/>
        <v>1.1236482975996904E-3</v>
      </c>
      <c r="AW49" s="3">
        <f t="shared" si="12"/>
        <v>16.600000000000001</v>
      </c>
    </row>
    <row r="50" spans="1:49" x14ac:dyDescent="0.2">
      <c r="A50" t="s">
        <v>45</v>
      </c>
      <c r="B50" s="5" t="s">
        <v>46</v>
      </c>
      <c r="C50" s="5" t="s">
        <v>84</v>
      </c>
      <c r="D50" s="5" t="s">
        <v>97</v>
      </c>
      <c r="E50">
        <v>2</v>
      </c>
      <c r="F50" s="6">
        <v>61</v>
      </c>
      <c r="G50" s="3">
        <v>2.5</v>
      </c>
      <c r="H50" s="3">
        <v>3</v>
      </c>
      <c r="I50" s="3">
        <v>1</v>
      </c>
      <c r="J50" s="3">
        <v>23.295121951219578</v>
      </c>
      <c r="K50" s="3">
        <v>24.295121951219585</v>
      </c>
      <c r="L50" s="3">
        <v>23.795121951219585</v>
      </c>
      <c r="M50" s="1">
        <v>0.14000000000000001</v>
      </c>
      <c r="N50" s="3">
        <v>63.295121951219578</v>
      </c>
      <c r="O50" s="3">
        <v>64.295121951219585</v>
      </c>
      <c r="P50" s="3">
        <v>63.795121951219585</v>
      </c>
      <c r="Q50" s="3">
        <v>57.295121951219578</v>
      </c>
      <c r="R50" s="3">
        <v>58.295121951219578</v>
      </c>
      <c r="S50" s="3">
        <v>57.8</v>
      </c>
      <c r="T50" s="3">
        <v>57.8</v>
      </c>
      <c r="U50" s="7">
        <f t="shared" si="0"/>
        <v>0.5</v>
      </c>
      <c r="V50" s="3">
        <v>513.49</v>
      </c>
      <c r="W50" s="3">
        <v>939.15</v>
      </c>
      <c r="X50" s="3">
        <v>696.89</v>
      </c>
      <c r="Y50" s="3">
        <v>703.51</v>
      </c>
      <c r="Z50" s="3">
        <f t="shared" si="1"/>
        <v>212.82999999999998</v>
      </c>
      <c r="AA50" s="4">
        <f t="shared" si="2"/>
        <v>4.0710584752035608E-2</v>
      </c>
      <c r="AB50" s="4">
        <f t="shared" si="3"/>
        <v>1.2668174216539469E-2</v>
      </c>
      <c r="AC50">
        <v>1.1476266666666668</v>
      </c>
      <c r="AD50" s="2">
        <v>8.5927000000000007</v>
      </c>
      <c r="AE50" s="2">
        <v>2.1480999999999999</v>
      </c>
      <c r="AF50" s="2">
        <f t="shared" si="4"/>
        <v>6.4446000000000012</v>
      </c>
      <c r="AG50" s="2">
        <v>1.0004733333333331</v>
      </c>
      <c r="AH50" s="1">
        <f t="shared" si="5"/>
        <v>86.561941185267045</v>
      </c>
      <c r="AI50" s="1">
        <f t="shared" si="6"/>
        <v>13.438058814732955</v>
      </c>
      <c r="AJ50" s="1">
        <f t="shared" si="7"/>
        <v>0.6719029407366478</v>
      </c>
      <c r="AK50" s="8">
        <v>3.5499999999999865E-2</v>
      </c>
      <c r="AL50" s="9">
        <v>89.903299203640557</v>
      </c>
      <c r="AM50" s="10">
        <v>4.495164960182028</v>
      </c>
      <c r="AN50" s="9">
        <v>44.951649601820279</v>
      </c>
      <c r="AO50" s="11">
        <v>4.4960658379574792</v>
      </c>
      <c r="AP50" s="2">
        <v>5.9365625</v>
      </c>
      <c r="AQ50" s="2">
        <f t="shared" si="8"/>
        <v>0.38587656250000002</v>
      </c>
      <c r="AR50" s="2">
        <v>1.2541051043147164</v>
      </c>
      <c r="AS50" s="2">
        <v>0.16852738151637975</v>
      </c>
      <c r="AT50" s="2">
        <f t="shared" si="9"/>
        <v>1.6852738151637976E-2</v>
      </c>
      <c r="AU50" s="2">
        <f t="shared" si="10"/>
        <v>6.8608482482612173E-3</v>
      </c>
      <c r="AV50" s="2">
        <f t="shared" si="11"/>
        <v>1.1320399609631008E-3</v>
      </c>
      <c r="AW50" s="3">
        <f t="shared" si="12"/>
        <v>16.5</v>
      </c>
    </row>
    <row r="51" spans="1:49" x14ac:dyDescent="0.2">
      <c r="A51" t="s">
        <v>45</v>
      </c>
      <c r="B51" s="5" t="s">
        <v>46</v>
      </c>
      <c r="C51" s="5" t="s">
        <v>84</v>
      </c>
      <c r="D51" s="5" t="s">
        <v>98</v>
      </c>
      <c r="E51">
        <v>2</v>
      </c>
      <c r="F51" s="6">
        <v>62</v>
      </c>
      <c r="G51" s="3">
        <v>2.5</v>
      </c>
      <c r="H51" s="3">
        <v>2.9</v>
      </c>
      <c r="I51" s="3">
        <v>1</v>
      </c>
      <c r="J51" s="3">
        <v>24.431707317073247</v>
      </c>
      <c r="K51" s="3">
        <v>25.431707317073247</v>
      </c>
      <c r="L51" s="3">
        <v>24.931707317073247</v>
      </c>
      <c r="M51" s="1">
        <v>0.14000000000000001</v>
      </c>
      <c r="N51" s="3">
        <v>64.431707317073247</v>
      </c>
      <c r="O51" s="3">
        <v>65.431707317073247</v>
      </c>
      <c r="P51" s="3">
        <v>64.931707317073247</v>
      </c>
      <c r="Q51" s="3">
        <v>58.431707317073247</v>
      </c>
      <c r="R51" s="3">
        <v>59.431707317073247</v>
      </c>
      <c r="S51" s="3">
        <v>58.9</v>
      </c>
      <c r="T51" s="3">
        <v>58.9</v>
      </c>
      <c r="U51" s="7">
        <f t="shared" si="0"/>
        <v>0.5</v>
      </c>
      <c r="V51" s="3">
        <v>516.79999999999995</v>
      </c>
      <c r="W51" s="3">
        <v>999.94</v>
      </c>
      <c r="X51" s="3">
        <v>723.09</v>
      </c>
      <c r="Y51" s="3">
        <v>730.53</v>
      </c>
      <c r="Z51" s="3">
        <f t="shared" si="1"/>
        <v>241.57000000000005</v>
      </c>
      <c r="AA51" s="4">
        <f t="shared" si="2"/>
        <v>4.0106951871657755E-2</v>
      </c>
      <c r="AB51" s="4">
        <f t="shared" si="3"/>
        <v>1.3602942171496046E-2</v>
      </c>
      <c r="AC51">
        <v>1.1476266666666668</v>
      </c>
      <c r="AD51" s="2">
        <v>7.8857999999999997</v>
      </c>
      <c r="AE51" s="2">
        <v>1.9702999999999999</v>
      </c>
      <c r="AF51" s="2">
        <f t="shared" si="4"/>
        <v>5.9154999999999998</v>
      </c>
      <c r="AG51" s="2">
        <v>0.82267333333333315</v>
      </c>
      <c r="AH51" s="1">
        <f t="shared" si="5"/>
        <v>87.790855286200227</v>
      </c>
      <c r="AI51" s="1">
        <f t="shared" si="6"/>
        <v>12.209144713799773</v>
      </c>
      <c r="AJ51" s="1">
        <f t="shared" si="7"/>
        <v>0.61045723568998866</v>
      </c>
      <c r="AK51" s="8">
        <v>4.129999999999967E-2</v>
      </c>
      <c r="AL51" s="9">
        <v>89.033457249070707</v>
      </c>
      <c r="AM51" s="10">
        <v>4.4516728624535356</v>
      </c>
      <c r="AN51" s="9">
        <v>44.516728624535354</v>
      </c>
      <c r="AO51" s="11">
        <v>4.4525825398643937</v>
      </c>
      <c r="AP51" s="2">
        <v>5.7226500000000016</v>
      </c>
      <c r="AQ51" s="2">
        <f t="shared" si="8"/>
        <v>0.36624960000000012</v>
      </c>
      <c r="AR51" s="2">
        <v>1.1774568308971074</v>
      </c>
      <c r="AS51" s="2">
        <v>0.14375740842674861</v>
      </c>
      <c r="AT51" s="2">
        <f t="shared" si="9"/>
        <v>1.4375740842674862E-2</v>
      </c>
      <c r="AU51" s="2">
        <f t="shared" si="10"/>
        <v>5.7656714609658532E-3</v>
      </c>
      <c r="AV51" s="2">
        <f t="shared" si="11"/>
        <v>9.4557011959839994E-4</v>
      </c>
      <c r="AW51" s="3">
        <f t="shared" si="12"/>
        <v>16.400000000000002</v>
      </c>
    </row>
    <row r="52" spans="1:49" x14ac:dyDescent="0.2">
      <c r="A52" t="s">
        <v>45</v>
      </c>
      <c r="B52" s="5" t="s">
        <v>46</v>
      </c>
      <c r="C52" s="5" t="s">
        <v>84</v>
      </c>
      <c r="D52" s="5" t="s">
        <v>99</v>
      </c>
      <c r="E52">
        <v>2</v>
      </c>
      <c r="F52" s="6">
        <v>63</v>
      </c>
      <c r="G52" s="3">
        <v>2.4</v>
      </c>
      <c r="H52" s="3">
        <v>2.95</v>
      </c>
      <c r="I52" s="3">
        <v>1</v>
      </c>
      <c r="J52" s="3">
        <v>25.568292682926909</v>
      </c>
      <c r="K52" s="3">
        <v>26.568292682926909</v>
      </c>
      <c r="L52" s="3">
        <v>26.068292682926909</v>
      </c>
      <c r="M52" s="1">
        <v>0.14000000000000001</v>
      </c>
      <c r="N52" s="3">
        <v>65.568292682926909</v>
      </c>
      <c r="O52" s="3">
        <v>66.568292682926909</v>
      </c>
      <c r="P52" s="3">
        <v>66.068292682926909</v>
      </c>
      <c r="Q52" s="3">
        <v>59.568292682926909</v>
      </c>
      <c r="R52" s="3">
        <v>60.568292682926909</v>
      </c>
      <c r="S52" s="3">
        <v>60.1</v>
      </c>
      <c r="T52" s="3">
        <v>60.1</v>
      </c>
      <c r="U52" s="7">
        <f t="shared" si="0"/>
        <v>0.5</v>
      </c>
      <c r="V52" s="3">
        <v>523.96</v>
      </c>
      <c r="W52" s="3">
        <v>1059.57</v>
      </c>
      <c r="X52" s="3">
        <v>751.7</v>
      </c>
      <c r="Y52" s="3">
        <v>760.45</v>
      </c>
      <c r="Z52" s="3">
        <f t="shared" si="1"/>
        <v>267.80499999999995</v>
      </c>
      <c r="AA52" s="4">
        <f t="shared" si="2"/>
        <v>3.4569453174104453E-2</v>
      </c>
      <c r="AB52" s="4">
        <f t="shared" si="3"/>
        <v>1.2461802096803734E-2</v>
      </c>
      <c r="AC52">
        <v>1.1476266666666668</v>
      </c>
      <c r="AD52" s="2">
        <v>8.2562999999999995</v>
      </c>
      <c r="AE52" s="2">
        <v>2.1089000000000002</v>
      </c>
      <c r="AF52" s="2">
        <f t="shared" si="4"/>
        <v>6.1473999999999993</v>
      </c>
      <c r="AG52" s="2">
        <v>0.96127333333333342</v>
      </c>
      <c r="AH52" s="1">
        <f t="shared" si="5"/>
        <v>86.47745805358899</v>
      </c>
      <c r="AI52" s="1">
        <f t="shared" si="6"/>
        <v>13.52254194641101</v>
      </c>
      <c r="AJ52" s="1">
        <f t="shared" si="7"/>
        <v>0.67612709732055054</v>
      </c>
      <c r="AK52" s="8">
        <v>0.17169999999999952</v>
      </c>
      <c r="AL52" s="9">
        <v>67.050470159278518</v>
      </c>
      <c r="AM52" s="10">
        <v>3.3525235079639262</v>
      </c>
      <c r="AN52" s="9">
        <v>33.525235079639259</v>
      </c>
      <c r="AO52" s="11">
        <v>3.3537313356097487</v>
      </c>
      <c r="AP52" s="2">
        <v>5.6171656249999993</v>
      </c>
      <c r="AQ52" s="2">
        <f t="shared" si="8"/>
        <v>0.35669001718749999</v>
      </c>
      <c r="AR52" s="2">
        <v>1.2655267456767101</v>
      </c>
      <c r="AS52" s="2">
        <v>0.17113138502718328</v>
      </c>
      <c r="AT52" s="2">
        <f t="shared" si="9"/>
        <v>1.7113138502718329E-2</v>
      </c>
      <c r="AU52" s="2">
        <f t="shared" si="10"/>
        <v>5.9159184013168522E-3</v>
      </c>
      <c r="AV52" s="2">
        <f t="shared" si="11"/>
        <v>9.6725265861530535E-4</v>
      </c>
      <c r="AW52" s="3">
        <f t="shared" si="12"/>
        <v>16.350000000000001</v>
      </c>
    </row>
    <row r="53" spans="1:49" x14ac:dyDescent="0.2">
      <c r="A53" t="s">
        <v>45</v>
      </c>
      <c r="B53" s="5" t="s">
        <v>46</v>
      </c>
      <c r="C53" s="5" t="s">
        <v>84</v>
      </c>
      <c r="D53" s="5" t="s">
        <v>100</v>
      </c>
      <c r="E53">
        <v>2</v>
      </c>
      <c r="F53" s="6">
        <v>64</v>
      </c>
      <c r="G53" s="3">
        <v>2.9</v>
      </c>
      <c r="H53" s="3">
        <v>2.4500000000000002</v>
      </c>
      <c r="I53" s="3">
        <v>1</v>
      </c>
      <c r="J53" s="3">
        <v>26.704878048780571</v>
      </c>
      <c r="K53" s="3">
        <v>27.704878048780571</v>
      </c>
      <c r="L53" s="3">
        <v>27.204878048780571</v>
      </c>
      <c r="M53" s="1">
        <v>0.14000000000000001</v>
      </c>
      <c r="N53" s="3">
        <v>66.704878048780571</v>
      </c>
      <c r="O53" s="3">
        <v>67.704878048780571</v>
      </c>
      <c r="P53" s="3">
        <v>67.204878048780571</v>
      </c>
      <c r="Q53" s="3">
        <v>60.704878048780571</v>
      </c>
      <c r="R53" s="3">
        <v>61.704878048780571</v>
      </c>
      <c r="S53" s="3">
        <v>61.2</v>
      </c>
      <c r="T53" s="3">
        <v>61.2</v>
      </c>
      <c r="U53" s="7">
        <f t="shared" si="0"/>
        <v>0.5</v>
      </c>
      <c r="V53" s="3">
        <v>576.69000000000005</v>
      </c>
      <c r="W53" s="3">
        <v>1070.31</v>
      </c>
      <c r="X53" s="3">
        <v>782.23</v>
      </c>
      <c r="Y53" s="3">
        <v>792.27</v>
      </c>
      <c r="Z53" s="3">
        <f t="shared" si="1"/>
        <v>246.80999999999995</v>
      </c>
      <c r="AA53" s="4">
        <f t="shared" si="2"/>
        <v>3.4558592522777029E-2</v>
      </c>
      <c r="AB53" s="4">
        <f t="shared" si="3"/>
        <v>1.1048123587845293E-2</v>
      </c>
      <c r="AC53">
        <v>1.1476266666666668</v>
      </c>
      <c r="AD53" s="2">
        <v>8.4381000000000004</v>
      </c>
      <c r="AE53" s="2">
        <v>2.1945999999999999</v>
      </c>
      <c r="AF53" s="2">
        <f t="shared" si="4"/>
        <v>6.2435000000000009</v>
      </c>
      <c r="AG53" s="2">
        <v>1.0469733333333331</v>
      </c>
      <c r="AH53" s="1">
        <f t="shared" si="5"/>
        <v>85.639158317109732</v>
      </c>
      <c r="AI53" s="1">
        <f t="shared" si="6"/>
        <v>14.360841682890268</v>
      </c>
      <c r="AJ53" s="1">
        <f t="shared" si="7"/>
        <v>0.71804208414451343</v>
      </c>
      <c r="AK53" s="8">
        <v>8.3899999999999864E-2</v>
      </c>
      <c r="AL53" s="9">
        <v>83.306804615996839</v>
      </c>
      <c r="AM53" s="10">
        <v>4.1653402307998419</v>
      </c>
      <c r="AN53" s="9">
        <v>41.653402307998419</v>
      </c>
      <c r="AO53" s="11">
        <v>4.1663124268733949</v>
      </c>
      <c r="AP53" s="2">
        <v>5.6171656249999993</v>
      </c>
      <c r="AQ53" s="2">
        <f t="shared" si="8"/>
        <v>0.35669001718749999</v>
      </c>
      <c r="AR53" s="2">
        <v>1.297891823037234</v>
      </c>
      <c r="AS53" s="2">
        <v>0.18638818992155554</v>
      </c>
      <c r="AT53" s="2">
        <f t="shared" si="9"/>
        <v>1.8638818992155554E-2</v>
      </c>
      <c r="AU53" s="2">
        <f t="shared" si="10"/>
        <v>6.4413135065570139E-3</v>
      </c>
      <c r="AV53" s="2">
        <f t="shared" si="11"/>
        <v>1.0531547583220717E-3</v>
      </c>
      <c r="AW53" s="3">
        <f t="shared" si="12"/>
        <v>16.350000000000001</v>
      </c>
    </row>
    <row r="54" spans="1:49" x14ac:dyDescent="0.2">
      <c r="A54" t="s">
        <v>45</v>
      </c>
      <c r="B54" s="5" t="s">
        <v>46</v>
      </c>
      <c r="C54" s="5" t="s">
        <v>84</v>
      </c>
      <c r="D54" s="5" t="s">
        <v>101</v>
      </c>
      <c r="E54">
        <v>2</v>
      </c>
      <c r="F54" s="6">
        <v>65</v>
      </c>
      <c r="G54" s="3">
        <v>2.6</v>
      </c>
      <c r="H54" s="3">
        <v>2.85</v>
      </c>
      <c r="I54" s="3">
        <v>1</v>
      </c>
      <c r="J54" s="3">
        <v>27.841463414634234</v>
      </c>
      <c r="K54" s="3">
        <v>28.841463414634234</v>
      </c>
      <c r="L54" s="3">
        <v>28.341463414634234</v>
      </c>
      <c r="M54" s="1">
        <v>0.14000000000000001</v>
      </c>
      <c r="N54" s="3">
        <v>67.841463414634234</v>
      </c>
      <c r="O54" s="3">
        <v>68.841463414634234</v>
      </c>
      <c r="P54" s="3">
        <v>68.341463414634234</v>
      </c>
      <c r="Q54" s="3">
        <v>61.841463414634234</v>
      </c>
      <c r="R54" s="3">
        <v>62.841463414634234</v>
      </c>
      <c r="S54" s="3">
        <v>62.3</v>
      </c>
      <c r="T54" s="3">
        <v>62.3</v>
      </c>
      <c r="U54" s="7">
        <f t="shared" si="0"/>
        <v>0.5</v>
      </c>
      <c r="V54" s="3">
        <v>626.39</v>
      </c>
      <c r="W54" s="3">
        <v>1084.47</v>
      </c>
      <c r="X54" s="3">
        <v>812.72</v>
      </c>
      <c r="Y54" s="3">
        <v>824.1</v>
      </c>
      <c r="Z54" s="3">
        <f t="shared" si="1"/>
        <v>229.04000000000002</v>
      </c>
      <c r="AA54" s="4">
        <f t="shared" si="2"/>
        <v>3.4572169403630233E-2</v>
      </c>
      <c r="AB54" s="4">
        <f t="shared" si="3"/>
        <v>9.8860196429996442E-3</v>
      </c>
      <c r="AC54">
        <v>1.1476266666666668</v>
      </c>
      <c r="AD54" s="2">
        <v>8.5229999999999997</v>
      </c>
      <c r="AE54" s="2">
        <v>2.1594000000000002</v>
      </c>
      <c r="AF54" s="2">
        <f t="shared" si="4"/>
        <v>6.3635999999999999</v>
      </c>
      <c r="AG54" s="2">
        <v>1.0117733333333334</v>
      </c>
      <c r="AH54" s="1">
        <f t="shared" si="5"/>
        <v>86.28173398679931</v>
      </c>
      <c r="AI54" s="1">
        <f t="shared" si="6"/>
        <v>13.71826601320069</v>
      </c>
      <c r="AJ54" s="1">
        <f t="shared" si="7"/>
        <v>0.68591330066003453</v>
      </c>
      <c r="AK54" s="8">
        <v>7.6299999999999812E-2</v>
      </c>
      <c r="AL54" s="9">
        <v>82.084996478046548</v>
      </c>
      <c r="AM54" s="10">
        <v>4.104249823902328</v>
      </c>
      <c r="AN54" s="9">
        <v>41.042498239023274</v>
      </c>
      <c r="AO54" s="11">
        <v>4.1052364873417817</v>
      </c>
      <c r="AP54" s="2">
        <v>5.829115625</v>
      </c>
      <c r="AQ54" s="2">
        <f t="shared" si="8"/>
        <v>0.37597795781249999</v>
      </c>
      <c r="AR54" s="2">
        <v>1.265264545740304</v>
      </c>
      <c r="AS54" s="2">
        <v>0.1735723561553702</v>
      </c>
      <c r="AT54" s="2">
        <f t="shared" si="9"/>
        <v>1.7357235615537019E-2</v>
      </c>
      <c r="AU54" s="2">
        <f t="shared" si="10"/>
        <v>6.0007729007906995E-3</v>
      </c>
      <c r="AV54" s="2">
        <f t="shared" si="11"/>
        <v>9.8712714218006999E-4</v>
      </c>
      <c r="AW54" s="3">
        <f t="shared" si="12"/>
        <v>16.45</v>
      </c>
    </row>
    <row r="55" spans="1:49" x14ac:dyDescent="0.2">
      <c r="A55" t="s">
        <v>45</v>
      </c>
      <c r="B55" s="5" t="s">
        <v>46</v>
      </c>
      <c r="C55" s="5" t="s">
        <v>84</v>
      </c>
      <c r="D55" s="5" t="s">
        <v>102</v>
      </c>
      <c r="E55">
        <v>2</v>
      </c>
      <c r="F55" s="6">
        <v>66</v>
      </c>
      <c r="G55" s="3">
        <v>2.75</v>
      </c>
      <c r="H55" s="3">
        <v>2.4</v>
      </c>
      <c r="I55" s="3">
        <v>1</v>
      </c>
      <c r="J55" s="3">
        <v>28.978048780487896</v>
      </c>
      <c r="K55" s="3">
        <v>29.978048780487896</v>
      </c>
      <c r="L55" s="3">
        <v>29.478048780487896</v>
      </c>
      <c r="M55" s="1">
        <v>0.14000000000000001</v>
      </c>
      <c r="N55" s="3">
        <v>68.978048780487896</v>
      </c>
      <c r="O55" s="3">
        <v>69.978048780487896</v>
      </c>
      <c r="P55" s="3">
        <v>69.478048780487896</v>
      </c>
      <c r="Q55" s="3">
        <v>62.978048780487896</v>
      </c>
      <c r="R55" s="3">
        <v>63.978048780487896</v>
      </c>
      <c r="S55" s="3">
        <v>63.5</v>
      </c>
      <c r="T55" s="3">
        <v>63.5</v>
      </c>
      <c r="U55" s="7">
        <f t="shared" si="0"/>
        <v>0.5</v>
      </c>
      <c r="V55" s="3">
        <v>672.9</v>
      </c>
      <c r="W55" s="3">
        <v>1098.24</v>
      </c>
      <c r="X55" s="3">
        <v>849.13</v>
      </c>
      <c r="Y55" s="3">
        <v>858.81</v>
      </c>
      <c r="Z55" s="3">
        <f t="shared" si="1"/>
        <v>212.67000000000002</v>
      </c>
      <c r="AA55" s="4">
        <f t="shared" si="2"/>
        <v>3.4569453174104106E-2</v>
      </c>
      <c r="AB55" s="4">
        <f t="shared" si="3"/>
        <v>8.8327500240042451E-3</v>
      </c>
      <c r="AC55">
        <v>1.1476266666666668</v>
      </c>
      <c r="AD55" s="2">
        <v>8.2345000000000006</v>
      </c>
      <c r="AE55" s="2">
        <v>2.2597999999999998</v>
      </c>
      <c r="AF55" s="2">
        <f t="shared" si="4"/>
        <v>5.9747000000000003</v>
      </c>
      <c r="AG55" s="2">
        <v>1.112173333333333</v>
      </c>
      <c r="AH55" s="1">
        <f t="shared" si="5"/>
        <v>84.306572432977035</v>
      </c>
      <c r="AI55" s="1">
        <f t="shared" si="6"/>
        <v>15.693427567022965</v>
      </c>
      <c r="AJ55" s="1">
        <f t="shared" si="7"/>
        <v>0.78467137835114831</v>
      </c>
      <c r="AK55" s="8">
        <v>6.5999999999999837E-2</v>
      </c>
      <c r="AL55" s="9">
        <v>85.307212822796103</v>
      </c>
      <c r="AM55" s="10">
        <v>4.2653606411398055</v>
      </c>
      <c r="AN55" s="9">
        <v>42.653606411398052</v>
      </c>
      <c r="AO55" s="11">
        <v>4.2663100448730367</v>
      </c>
      <c r="AP55" s="2">
        <v>5.2050406250000014</v>
      </c>
      <c r="AQ55" s="2">
        <f t="shared" si="8"/>
        <v>0.3201099984375001</v>
      </c>
      <c r="AR55" s="2">
        <v>1.3615404458698788</v>
      </c>
      <c r="AS55" s="2">
        <v>0.21367236366831099</v>
      </c>
      <c r="AT55" s="2">
        <f t="shared" si="9"/>
        <v>2.1367236366831101E-2</v>
      </c>
      <c r="AU55" s="2">
        <f t="shared" si="10"/>
        <v>7.3865367704318207E-3</v>
      </c>
      <c r="AV55" s="2">
        <f t="shared" si="11"/>
        <v>1.1929256884247392E-3</v>
      </c>
      <c r="AW55" s="3">
        <f t="shared" si="12"/>
        <v>16.150000000000002</v>
      </c>
    </row>
    <row r="56" spans="1:49" x14ac:dyDescent="0.2">
      <c r="A56" t="s">
        <v>45</v>
      </c>
      <c r="B56" s="5" t="s">
        <v>46</v>
      </c>
      <c r="C56" s="5" t="s">
        <v>84</v>
      </c>
      <c r="D56" s="5" t="s">
        <v>103</v>
      </c>
      <c r="E56">
        <v>2</v>
      </c>
      <c r="F56" s="6">
        <v>67</v>
      </c>
      <c r="G56" s="3">
        <v>2.5</v>
      </c>
      <c r="H56" s="3">
        <v>2.7</v>
      </c>
      <c r="I56" s="3">
        <v>1.05</v>
      </c>
      <c r="J56" s="3">
        <v>30.114634146341558</v>
      </c>
      <c r="K56" s="3">
        <v>31.164634146341555</v>
      </c>
      <c r="L56" s="3">
        <v>30.639634146341564</v>
      </c>
      <c r="M56" s="1">
        <v>0.14000000000000001</v>
      </c>
      <c r="N56" s="3">
        <v>70.114634146341558</v>
      </c>
      <c r="O56" s="3">
        <v>71.164634146341555</v>
      </c>
      <c r="P56" s="3">
        <v>70.639634146341564</v>
      </c>
      <c r="Q56" s="3">
        <v>64.114634146341558</v>
      </c>
      <c r="R56" s="3">
        <v>65.164634146341555</v>
      </c>
      <c r="S56" s="3">
        <v>64.599999999999994</v>
      </c>
      <c r="T56" s="3">
        <v>64.599999999999994</v>
      </c>
      <c r="U56" s="7">
        <f t="shared" si="0"/>
        <v>0.52499999999999858</v>
      </c>
      <c r="V56" s="3">
        <v>706.66</v>
      </c>
      <c r="W56" s="3">
        <v>1112.06</v>
      </c>
      <c r="X56" s="3">
        <v>882.56</v>
      </c>
      <c r="Y56" s="3">
        <v>890.63</v>
      </c>
      <c r="Z56" s="3">
        <f t="shared" si="1"/>
        <v>202.7</v>
      </c>
      <c r="AA56" s="4">
        <f t="shared" si="2"/>
        <v>3.4562211981566872E-2</v>
      </c>
      <c r="AB56" s="4">
        <f t="shared" si="3"/>
        <v>8.1469575944531566E-3</v>
      </c>
      <c r="AC56">
        <v>1.1476266666666668</v>
      </c>
      <c r="AD56" s="2">
        <v>8.7416999999999998</v>
      </c>
      <c r="AE56" s="2">
        <v>2.8931</v>
      </c>
      <c r="AF56" s="2">
        <f t="shared" si="4"/>
        <v>5.8485999999999994</v>
      </c>
      <c r="AG56" s="2">
        <v>1.7454733333333332</v>
      </c>
      <c r="AH56" s="1">
        <f t="shared" si="5"/>
        <v>77.015321597280689</v>
      </c>
      <c r="AI56" s="1">
        <f t="shared" si="6"/>
        <v>22.984678402719311</v>
      </c>
      <c r="AJ56" s="1">
        <f t="shared" si="7"/>
        <v>1.1492339201359656</v>
      </c>
      <c r="AK56" s="8">
        <v>6.9999999999999396E-2</v>
      </c>
      <c r="AL56" s="9">
        <v>80.566352026652027</v>
      </c>
      <c r="AM56" s="10">
        <v>4.0283176013326019</v>
      </c>
      <c r="AN56" s="9">
        <v>40.283176013326013</v>
      </c>
      <c r="AO56" s="11">
        <v>4.0293228583976797</v>
      </c>
      <c r="AP56" s="2">
        <v>5.5719300000000018</v>
      </c>
      <c r="AQ56" s="2">
        <f t="shared" si="8"/>
        <v>0.34824562500000011</v>
      </c>
      <c r="AR56" s="2">
        <v>1.3629161409661159</v>
      </c>
      <c r="AS56" s="2">
        <v>0.31326189189981435</v>
      </c>
      <c r="AT56" s="2">
        <f t="shared" si="9"/>
        <v>3.1326189189981438E-2</v>
      </c>
      <c r="AU56" s="2">
        <f t="shared" si="10"/>
        <v>1.082702391358807E-2</v>
      </c>
      <c r="AV56" s="2">
        <f t="shared" si="11"/>
        <v>1.7593913859580614E-3</v>
      </c>
      <c r="AW56" s="3">
        <f t="shared" si="12"/>
        <v>16.25</v>
      </c>
    </row>
    <row r="57" spans="1:49" x14ac:dyDescent="0.2">
      <c r="A57" t="s">
        <v>45</v>
      </c>
      <c r="B57" s="5" t="s">
        <v>46</v>
      </c>
      <c r="C57" s="5" t="s">
        <v>84</v>
      </c>
      <c r="D57" s="5" t="s">
        <v>104</v>
      </c>
      <c r="E57">
        <v>2</v>
      </c>
      <c r="F57" s="6">
        <v>68</v>
      </c>
      <c r="G57" s="3">
        <v>2.5</v>
      </c>
      <c r="H57" s="3">
        <v>2.9</v>
      </c>
      <c r="I57" s="3">
        <v>0.95</v>
      </c>
      <c r="J57" s="3">
        <v>31.301219512195217</v>
      </c>
      <c r="K57" s="3">
        <v>32.25121951219522</v>
      </c>
      <c r="L57" s="3">
        <v>31.776219512195212</v>
      </c>
      <c r="M57" s="1">
        <v>0.14000000000000001</v>
      </c>
      <c r="N57" s="3">
        <v>71.301219512195217</v>
      </c>
      <c r="O57" s="3">
        <v>72.25121951219522</v>
      </c>
      <c r="P57" s="3">
        <v>71.776219512195212</v>
      </c>
      <c r="Q57" s="3">
        <v>65.301219512195217</v>
      </c>
      <c r="R57" s="3">
        <v>66.25121951219522</v>
      </c>
      <c r="S57" s="3">
        <v>65.8</v>
      </c>
      <c r="T57" s="3">
        <v>65.8</v>
      </c>
      <c r="U57" s="7">
        <f t="shared" si="0"/>
        <v>0.47500000000000142</v>
      </c>
      <c r="V57" s="3">
        <v>745.76</v>
      </c>
      <c r="W57" s="3">
        <v>1127.98</v>
      </c>
      <c r="X57" s="3">
        <v>918.36</v>
      </c>
      <c r="Y57" s="3">
        <v>925.35</v>
      </c>
      <c r="Z57" s="3">
        <f t="shared" si="1"/>
        <v>191.11</v>
      </c>
      <c r="AA57" s="4">
        <f t="shared" si="2"/>
        <v>3.4569453174104675E-2</v>
      </c>
      <c r="AB57" s="4">
        <f t="shared" si="3"/>
        <v>7.3890859658877033E-3</v>
      </c>
      <c r="AC57">
        <v>1.1476266666666668</v>
      </c>
      <c r="AD57" s="2">
        <v>7.9497</v>
      </c>
      <c r="AE57" s="2">
        <v>2.4584999999999999</v>
      </c>
      <c r="AF57" s="2">
        <f t="shared" si="4"/>
        <v>5.4912000000000001</v>
      </c>
      <c r="AG57" s="2">
        <v>1.3108733333333331</v>
      </c>
      <c r="AH57" s="1">
        <f t="shared" si="5"/>
        <v>80.728326951292303</v>
      </c>
      <c r="AI57" s="1">
        <f t="shared" si="6"/>
        <v>19.271673048707697</v>
      </c>
      <c r="AJ57" s="1">
        <f t="shared" si="7"/>
        <v>0.96358365243538491</v>
      </c>
      <c r="AK57" s="8">
        <v>0.24800000000000022</v>
      </c>
      <c r="AL57" s="9">
        <v>52.453987730061336</v>
      </c>
      <c r="AM57" s="10">
        <v>2.6226993865030668</v>
      </c>
      <c r="AN57" s="9">
        <v>26.226993865030668</v>
      </c>
      <c r="AO57" s="11">
        <v>2.6242431426915385</v>
      </c>
      <c r="AP57" s="2">
        <v>5.4365175000000017</v>
      </c>
      <c r="AQ57" s="2">
        <f t="shared" si="8"/>
        <v>0.34521886125000012</v>
      </c>
      <c r="AR57" s="2">
        <v>1.2511820909862483</v>
      </c>
      <c r="AS57" s="2">
        <v>0.24112372181885419</v>
      </c>
      <c r="AT57" s="2">
        <f t="shared" si="9"/>
        <v>2.411237218188542E-2</v>
      </c>
      <c r="AU57" s="2">
        <f t="shared" si="10"/>
        <v>8.3355152105827213E-3</v>
      </c>
      <c r="AV57" s="2">
        <f t="shared" si="11"/>
        <v>1.362856736930275E-3</v>
      </c>
      <c r="AW57" s="3">
        <f t="shared" si="12"/>
        <v>16.350000000000001</v>
      </c>
    </row>
    <row r="58" spans="1:49" x14ac:dyDescent="0.2">
      <c r="A58" t="s">
        <v>45</v>
      </c>
      <c r="B58" s="5" t="s">
        <v>46</v>
      </c>
      <c r="C58" s="5" t="s">
        <v>84</v>
      </c>
      <c r="D58" s="5" t="s">
        <v>105</v>
      </c>
      <c r="E58">
        <v>2</v>
      </c>
      <c r="F58" s="6">
        <v>69</v>
      </c>
      <c r="G58" s="3">
        <v>2.65</v>
      </c>
      <c r="H58" s="3">
        <v>2.2999999999999998</v>
      </c>
      <c r="I58" s="3">
        <v>1</v>
      </c>
      <c r="J58" s="3">
        <v>32.387804878048883</v>
      </c>
      <c r="K58" s="3">
        <v>33.387804878048883</v>
      </c>
      <c r="L58" s="3">
        <v>32.887804878048883</v>
      </c>
      <c r="M58" s="1">
        <v>0.14000000000000001</v>
      </c>
      <c r="N58" s="3">
        <v>72.387804878048883</v>
      </c>
      <c r="O58" s="3">
        <v>73.387804878048883</v>
      </c>
      <c r="P58" s="3">
        <v>72.887804878048883</v>
      </c>
      <c r="Q58" s="3">
        <v>66.387804878048883</v>
      </c>
      <c r="R58" s="3">
        <v>67.387804878048883</v>
      </c>
      <c r="S58" s="3">
        <v>66.900000000000006</v>
      </c>
      <c r="T58" s="3">
        <v>66.900000000000006</v>
      </c>
      <c r="U58" s="7">
        <f t="shared" si="0"/>
        <v>0.5</v>
      </c>
      <c r="V58" s="3">
        <v>773.02</v>
      </c>
      <c r="W58" s="3">
        <v>1143.8399999999999</v>
      </c>
      <c r="X58" s="3">
        <v>953.9</v>
      </c>
      <c r="Y58" s="3">
        <v>957.17</v>
      </c>
      <c r="Z58" s="3">
        <f t="shared" si="1"/>
        <v>185.40999999999997</v>
      </c>
      <c r="AA58" s="4">
        <f t="shared" si="2"/>
        <v>3.4558592522777029E-2</v>
      </c>
      <c r="AB58" s="4">
        <f t="shared" si="3"/>
        <v>6.9525076202851905E-3</v>
      </c>
      <c r="AC58">
        <v>1.1476266666666668</v>
      </c>
      <c r="AD58" s="2">
        <v>7.5240999999999998</v>
      </c>
      <c r="AE58" s="2">
        <v>2.4952999999999999</v>
      </c>
      <c r="AF58" s="2">
        <f t="shared" si="4"/>
        <v>5.0288000000000004</v>
      </c>
      <c r="AG58" s="2">
        <v>1.3476733333333331</v>
      </c>
      <c r="AH58" s="1">
        <f t="shared" si="5"/>
        <v>78.864910697762923</v>
      </c>
      <c r="AI58" s="1">
        <f t="shared" si="6"/>
        <v>21.135089302237077</v>
      </c>
      <c r="AJ58" s="1">
        <f t="shared" si="7"/>
        <v>1.0567544651118539</v>
      </c>
      <c r="AK58" s="8">
        <v>0.47720000000000073</v>
      </c>
      <c r="AL58" s="9">
        <v>40.498753117206924</v>
      </c>
      <c r="AM58" s="10">
        <v>2.0249376558603465</v>
      </c>
      <c r="AN58" s="9">
        <v>20.249376558603462</v>
      </c>
      <c r="AO58" s="11">
        <v>2.0269367306655615</v>
      </c>
      <c r="AP58" s="2">
        <v>4.8086156249999989</v>
      </c>
      <c r="AQ58" s="2">
        <f t="shared" si="8"/>
        <v>0.28611262968749995</v>
      </c>
      <c r="AR58" s="2">
        <v>1.3260517850880074</v>
      </c>
      <c r="AS58" s="2">
        <v>0.28026222897225922</v>
      </c>
      <c r="AT58" s="2">
        <f t="shared" si="9"/>
        <v>2.8026222897225922E-2</v>
      </c>
      <c r="AU58" s="2">
        <f t="shared" si="10"/>
        <v>9.6854681705775408E-3</v>
      </c>
      <c r="AV58" s="2">
        <f t="shared" si="11"/>
        <v>1.5448321732071178E-3</v>
      </c>
      <c r="AW58" s="3">
        <f t="shared" si="12"/>
        <v>15.950000000000001</v>
      </c>
    </row>
    <row r="59" spans="1:49" x14ac:dyDescent="0.2">
      <c r="A59" t="s">
        <v>45</v>
      </c>
      <c r="B59" s="5" t="s">
        <v>46</v>
      </c>
      <c r="C59" s="5" t="s">
        <v>84</v>
      </c>
      <c r="D59" s="5" t="s">
        <v>106</v>
      </c>
      <c r="E59">
        <v>2</v>
      </c>
      <c r="F59" s="6">
        <v>70</v>
      </c>
      <c r="G59" s="3">
        <v>2.7</v>
      </c>
      <c r="H59" s="3">
        <v>2.4</v>
      </c>
      <c r="I59" s="3">
        <v>1</v>
      </c>
      <c r="J59" s="3">
        <v>33.524390243902545</v>
      </c>
      <c r="K59" s="3">
        <v>34.524390243902545</v>
      </c>
      <c r="L59" s="3">
        <v>34.024390243902545</v>
      </c>
      <c r="M59" s="1">
        <v>0.14000000000000001</v>
      </c>
      <c r="N59" s="3">
        <v>73.524390243902545</v>
      </c>
      <c r="O59" s="3">
        <v>74.524390243902545</v>
      </c>
      <c r="P59" s="3">
        <v>74.024390243902545</v>
      </c>
      <c r="Q59" s="3">
        <v>67.524390243902545</v>
      </c>
      <c r="R59" s="3">
        <v>68.524390243902545</v>
      </c>
      <c r="S59" s="3">
        <v>68</v>
      </c>
      <c r="T59" s="3">
        <v>68</v>
      </c>
      <c r="U59" s="7">
        <f t="shared" si="0"/>
        <v>0.5</v>
      </c>
      <c r="V59" s="3">
        <v>798.91</v>
      </c>
      <c r="W59" s="3">
        <v>1162.45</v>
      </c>
      <c r="X59" s="3">
        <v>988.54</v>
      </c>
      <c r="Y59" s="3">
        <v>989</v>
      </c>
      <c r="Z59" s="3">
        <f t="shared" si="1"/>
        <v>181.77000000000004</v>
      </c>
      <c r="AA59" s="4">
        <f t="shared" si="2"/>
        <v>3.4572169403630122E-2</v>
      </c>
      <c r="AB59" s="4">
        <f t="shared" si="3"/>
        <v>6.6082852194722661E-3</v>
      </c>
      <c r="AC59">
        <v>1.1476266666666668</v>
      </c>
      <c r="AD59" s="2">
        <v>7.5479000000000003</v>
      </c>
      <c r="AE59" s="2">
        <v>2.3012000000000001</v>
      </c>
      <c r="AF59" s="2">
        <f t="shared" si="4"/>
        <v>5.2467000000000006</v>
      </c>
      <c r="AG59" s="2">
        <v>1.1535733333333333</v>
      </c>
      <c r="AH59" s="1">
        <f t="shared" si="5"/>
        <v>81.976186433704399</v>
      </c>
      <c r="AI59" s="1">
        <f t="shared" si="6"/>
        <v>18.023813566295601</v>
      </c>
      <c r="AJ59" s="1">
        <f t="shared" si="7"/>
        <v>0.90119067831478006</v>
      </c>
      <c r="AK59" s="8">
        <v>9.6499999999999808E-2</v>
      </c>
      <c r="AL59" s="9">
        <v>77.416335127545082</v>
      </c>
      <c r="AM59" s="10">
        <v>3.8708167563772542</v>
      </c>
      <c r="AN59" s="9">
        <v>38.708167563772541</v>
      </c>
      <c r="AO59" s="11">
        <v>3.8718629058181966</v>
      </c>
      <c r="AP59" s="2">
        <v>5.1044624999999995</v>
      </c>
      <c r="AQ59" s="2">
        <f t="shared" si="8"/>
        <v>0.31137221250000002</v>
      </c>
      <c r="AR59" s="2">
        <v>1.2538584294298047</v>
      </c>
      <c r="AS59" s="2">
        <v>0.22599310570571016</v>
      </c>
      <c r="AT59" s="2">
        <f t="shared" si="9"/>
        <v>2.2599310570571018E-2</v>
      </c>
      <c r="AU59" s="2">
        <f t="shared" si="10"/>
        <v>7.8130719345103003E-3</v>
      </c>
      <c r="AV59" s="2">
        <f t="shared" si="11"/>
        <v>1.2579045814561586E-3</v>
      </c>
      <c r="AW59" s="3">
        <f t="shared" si="12"/>
        <v>16.100000000000001</v>
      </c>
    </row>
    <row r="60" spans="1:49" x14ac:dyDescent="0.2">
      <c r="A60" t="s">
        <v>45</v>
      </c>
      <c r="B60" s="5" t="s">
        <v>46</v>
      </c>
      <c r="C60" s="5" t="s">
        <v>84</v>
      </c>
      <c r="D60" s="5" t="s">
        <v>107</v>
      </c>
      <c r="E60">
        <v>2</v>
      </c>
      <c r="F60" s="6">
        <v>71</v>
      </c>
      <c r="G60" s="3">
        <v>2.4500000000000002</v>
      </c>
      <c r="H60" s="3">
        <v>2.7</v>
      </c>
      <c r="I60" s="3">
        <v>1.1000000000000001</v>
      </c>
      <c r="J60" s="3">
        <v>34.660975609756207</v>
      </c>
      <c r="K60" s="3">
        <v>35.760975609756201</v>
      </c>
      <c r="L60" s="3">
        <v>35.210975609756204</v>
      </c>
      <c r="M60" s="1">
        <v>0.14000000000000001</v>
      </c>
      <c r="N60" s="3">
        <v>74.660975609756207</v>
      </c>
      <c r="O60" s="3">
        <v>75.760975609756201</v>
      </c>
      <c r="P60" s="3">
        <v>75.210975609756204</v>
      </c>
      <c r="Q60" s="3">
        <v>68.660975609756207</v>
      </c>
      <c r="R60" s="3">
        <v>69.760975609756201</v>
      </c>
      <c r="S60" s="3">
        <v>69.2</v>
      </c>
      <c r="T60" s="3">
        <v>69.2</v>
      </c>
      <c r="U60" s="7">
        <f t="shared" si="0"/>
        <v>0.54999999999999716</v>
      </c>
      <c r="V60" s="3">
        <v>826.48</v>
      </c>
      <c r="W60" s="3">
        <v>1194.3699999999999</v>
      </c>
      <c r="X60" s="3">
        <v>1026.77</v>
      </c>
      <c r="Y60" s="3">
        <v>1023.71</v>
      </c>
      <c r="Z60" s="3">
        <f t="shared" si="1"/>
        <v>183.94499999999994</v>
      </c>
      <c r="AA60" s="4">
        <f t="shared" si="2"/>
        <v>3.9695666556400999E-2</v>
      </c>
      <c r="AB60" s="4">
        <f t="shared" si="3"/>
        <v>7.4482032366376162E-3</v>
      </c>
      <c r="AC60">
        <v>1.1476266666666668</v>
      </c>
      <c r="AD60" s="2">
        <v>8.6515000000000004</v>
      </c>
      <c r="AE60" s="2">
        <v>2.8852000000000002</v>
      </c>
      <c r="AF60" s="2">
        <f t="shared" si="4"/>
        <v>5.7663000000000002</v>
      </c>
      <c r="AG60" s="2">
        <v>1.7375733333333334</v>
      </c>
      <c r="AH60" s="1">
        <f t="shared" si="5"/>
        <v>76.844314180854155</v>
      </c>
      <c r="AI60" s="1">
        <f t="shared" si="6"/>
        <v>23.155685819145845</v>
      </c>
      <c r="AJ60" s="1">
        <f t="shared" si="7"/>
        <v>1.1577842909572922</v>
      </c>
      <c r="AK60" s="8">
        <v>0.19640000000000057</v>
      </c>
      <c r="AL60" s="9">
        <v>65.269672855879662</v>
      </c>
      <c r="AM60" s="10">
        <v>3.2634836427939833</v>
      </c>
      <c r="AN60" s="9">
        <v>32.634836427939831</v>
      </c>
      <c r="AO60" s="11">
        <v>3.264724412072769</v>
      </c>
      <c r="AP60" s="2">
        <v>5.7255446875000011</v>
      </c>
      <c r="AQ60" s="2">
        <f t="shared" si="8"/>
        <v>0.35784654296875007</v>
      </c>
      <c r="AR60" s="2">
        <v>1.3105955403187712</v>
      </c>
      <c r="AS60" s="2">
        <v>0.30347738567595156</v>
      </c>
      <c r="AT60" s="2">
        <f t="shared" si="9"/>
        <v>3.0347738567595157E-2</v>
      </c>
      <c r="AU60" s="2">
        <f t="shared" si="10"/>
        <v>1.2046737109200878E-2</v>
      </c>
      <c r="AV60" s="2">
        <f t="shared" si="11"/>
        <v>1.9575947802451428E-3</v>
      </c>
      <c r="AW60" s="3">
        <f t="shared" si="12"/>
        <v>16.25</v>
      </c>
    </row>
    <row r="61" spans="1:49" x14ac:dyDescent="0.2">
      <c r="A61" t="s">
        <v>45</v>
      </c>
      <c r="B61" s="5" t="s">
        <v>46</v>
      </c>
      <c r="C61" s="5" t="s">
        <v>84</v>
      </c>
      <c r="D61" s="5" t="s">
        <v>108</v>
      </c>
      <c r="E61">
        <v>2</v>
      </c>
      <c r="F61" s="6">
        <v>72</v>
      </c>
      <c r="G61" s="3">
        <v>2.5</v>
      </c>
      <c r="H61" s="3">
        <v>2.75</v>
      </c>
      <c r="I61" s="3">
        <v>1</v>
      </c>
      <c r="J61" s="3">
        <v>35.897560975609863</v>
      </c>
      <c r="K61" s="3">
        <v>36.897560975609863</v>
      </c>
      <c r="L61" s="3">
        <v>36.397560975609863</v>
      </c>
      <c r="M61" s="1">
        <v>0.14000000000000001</v>
      </c>
      <c r="N61" s="3">
        <v>75.897560975609863</v>
      </c>
      <c r="O61" s="3">
        <v>76.897560975609863</v>
      </c>
      <c r="P61" s="3">
        <v>76.397560975609863</v>
      </c>
      <c r="Q61" s="3">
        <v>69.897560975609863</v>
      </c>
      <c r="R61" s="3">
        <v>70.897560975609863</v>
      </c>
      <c r="S61" s="3">
        <v>70.400000000000006</v>
      </c>
      <c r="T61" s="3">
        <v>70.400000000000006</v>
      </c>
      <c r="U61" s="7">
        <f t="shared" si="0"/>
        <v>0.5</v>
      </c>
      <c r="V61" s="3">
        <v>858.91</v>
      </c>
      <c r="W61" s="3">
        <v>1223.45</v>
      </c>
      <c r="X61" s="3">
        <v>1058.05</v>
      </c>
      <c r="Y61" s="3">
        <v>1053.94</v>
      </c>
      <c r="Z61" s="3">
        <f t="shared" si="1"/>
        <v>182.27000000000004</v>
      </c>
      <c r="AA61" s="4">
        <f t="shared" si="2"/>
        <v>5.6497175141242376E-2</v>
      </c>
      <c r="AB61" s="4">
        <f t="shared" si="3"/>
        <v>1.017196646332851E-2</v>
      </c>
      <c r="AC61">
        <v>1.1476266666666668</v>
      </c>
      <c r="AD61" s="2">
        <v>8.0909999999999993</v>
      </c>
      <c r="AE61" s="2">
        <v>2.3662000000000001</v>
      </c>
      <c r="AF61" s="2">
        <f t="shared" si="4"/>
        <v>5.7247999999999992</v>
      </c>
      <c r="AG61" s="2">
        <v>1.2185733333333333</v>
      </c>
      <c r="AH61" s="1">
        <f t="shared" si="5"/>
        <v>82.449837062868568</v>
      </c>
      <c r="AI61" s="1">
        <f t="shared" si="6"/>
        <v>17.550162937131432</v>
      </c>
      <c r="AJ61" s="1">
        <f t="shared" si="7"/>
        <v>0.87750814685657164</v>
      </c>
      <c r="AK61" s="8">
        <v>6.2199999999999811E-2</v>
      </c>
      <c r="AL61" s="9">
        <v>86.371603856266489</v>
      </c>
      <c r="AM61" s="10">
        <v>4.3185801928133243</v>
      </c>
      <c r="AN61" s="9">
        <v>43.185801928133245</v>
      </c>
      <c r="AO61" s="11">
        <v>4.3195178992289831</v>
      </c>
      <c r="AP61" s="2">
        <v>5.409140625</v>
      </c>
      <c r="AQ61" s="2">
        <f t="shared" si="8"/>
        <v>0.3380712890625</v>
      </c>
      <c r="AR61" s="2">
        <v>1.283637053405934</v>
      </c>
      <c r="AS61" s="2">
        <v>0.22528039439413414</v>
      </c>
      <c r="AT61" s="2">
        <f t="shared" si="9"/>
        <v>2.2528039439413415E-2</v>
      </c>
      <c r="AU61" s="2">
        <f t="shared" si="10"/>
        <v>1.2727705897973554E-2</v>
      </c>
      <c r="AV61" s="2">
        <f t="shared" si="11"/>
        <v>2.0682522084207026E-3</v>
      </c>
      <c r="AW61" s="3">
        <f t="shared" si="12"/>
        <v>16.25</v>
      </c>
    </row>
    <row r="62" spans="1:49" x14ac:dyDescent="0.2">
      <c r="A62" t="s">
        <v>45</v>
      </c>
      <c r="B62" s="5" t="s">
        <v>46</v>
      </c>
      <c r="C62" s="5" t="s">
        <v>84</v>
      </c>
      <c r="D62" s="5" t="s">
        <v>109</v>
      </c>
      <c r="E62">
        <v>2</v>
      </c>
      <c r="F62" s="6">
        <v>73</v>
      </c>
      <c r="G62" s="3">
        <v>2.6</v>
      </c>
      <c r="H62" s="3">
        <v>2.7</v>
      </c>
      <c r="I62" s="3">
        <v>1.1000000000000001</v>
      </c>
      <c r="J62" s="3">
        <v>37.034146341463526</v>
      </c>
      <c r="K62" s="3">
        <v>38.13414634146352</v>
      </c>
      <c r="L62" s="3">
        <v>37.584146341463523</v>
      </c>
      <c r="M62" s="1">
        <v>0.14000000000000001</v>
      </c>
      <c r="N62" s="3">
        <v>77.034146341463526</v>
      </c>
      <c r="O62" s="3">
        <v>78.13414634146352</v>
      </c>
      <c r="P62" s="3">
        <v>77.584146341463523</v>
      </c>
      <c r="Q62" s="3">
        <v>71.034146341463526</v>
      </c>
      <c r="R62" s="3">
        <v>72.13414634146352</v>
      </c>
      <c r="S62" s="3">
        <v>71.599999999999994</v>
      </c>
      <c r="T62" s="3">
        <v>71.599999999999994</v>
      </c>
      <c r="U62" s="7">
        <f t="shared" si="0"/>
        <v>0.54999999999999716</v>
      </c>
      <c r="V62" s="3">
        <v>908.65</v>
      </c>
      <c r="W62" s="3">
        <v>1230.42</v>
      </c>
      <c r="X62" s="3">
        <v>1074.5</v>
      </c>
      <c r="Y62" s="3">
        <v>1075.18</v>
      </c>
      <c r="Z62" s="3">
        <f t="shared" si="1"/>
        <v>160.88500000000005</v>
      </c>
      <c r="AA62" s="4">
        <f t="shared" si="2"/>
        <v>5.6470588235294251E-2</v>
      </c>
      <c r="AB62" s="4">
        <f t="shared" si="3"/>
        <v>8.8837820685553071E-3</v>
      </c>
      <c r="AC62">
        <v>1.1476266666666668</v>
      </c>
      <c r="AD62" s="2">
        <v>8.3576999999999995</v>
      </c>
      <c r="AE62" s="2">
        <v>2.3052000000000001</v>
      </c>
      <c r="AF62" s="2">
        <f t="shared" si="4"/>
        <v>6.0524999999999993</v>
      </c>
      <c r="AG62" s="2">
        <v>1.1575733333333333</v>
      </c>
      <c r="AH62" s="1">
        <f t="shared" si="5"/>
        <v>83.94505465039191</v>
      </c>
      <c r="AI62" s="1">
        <f t="shared" si="6"/>
        <v>16.05494534960809</v>
      </c>
      <c r="AJ62" s="1">
        <f t="shared" si="7"/>
        <v>0.80274726748040459</v>
      </c>
      <c r="AK62" s="8">
        <v>6.8200000000000038E-2</v>
      </c>
      <c r="AL62" s="9">
        <v>84.443430656934311</v>
      </c>
      <c r="AM62" s="10">
        <v>4.2221715328467155</v>
      </c>
      <c r="AN62" s="9">
        <v>42.221715328467155</v>
      </c>
      <c r="AO62" s="11">
        <v>4.2231306459522635</v>
      </c>
      <c r="AP62" s="2">
        <v>6.0639287500000023</v>
      </c>
      <c r="AQ62" s="2">
        <f t="shared" si="8"/>
        <v>0.38809144000000018</v>
      </c>
      <c r="AR62" s="2">
        <v>1.1890102325713061</v>
      </c>
      <c r="AS62" s="2">
        <v>0.19089494304057134</v>
      </c>
      <c r="AT62" s="2">
        <f t="shared" si="9"/>
        <v>1.9089494304057136E-2</v>
      </c>
      <c r="AU62" s="2">
        <f t="shared" si="10"/>
        <v>1.0779949724644054E-2</v>
      </c>
      <c r="AV62" s="2">
        <f t="shared" si="11"/>
        <v>1.7679117548416248E-3</v>
      </c>
      <c r="AW62" s="3">
        <f t="shared" si="12"/>
        <v>16.400000000000002</v>
      </c>
    </row>
    <row r="63" spans="1:49" x14ac:dyDescent="0.2">
      <c r="A63" t="s">
        <v>45</v>
      </c>
      <c r="B63" s="5" t="s">
        <v>46</v>
      </c>
      <c r="C63" s="5" t="s">
        <v>84</v>
      </c>
      <c r="D63" s="5" t="s">
        <v>110</v>
      </c>
      <c r="E63">
        <v>2</v>
      </c>
      <c r="F63" s="6">
        <v>74</v>
      </c>
      <c r="G63" s="3">
        <v>2.4</v>
      </c>
      <c r="H63" s="3">
        <v>2.7</v>
      </c>
      <c r="I63" s="3">
        <v>1.05</v>
      </c>
      <c r="J63" s="3">
        <v>38.270731707317182</v>
      </c>
      <c r="K63" s="3">
        <v>39.320731707317179</v>
      </c>
      <c r="L63" s="3">
        <v>38.795731707317174</v>
      </c>
      <c r="M63" s="1">
        <v>0.14000000000000001</v>
      </c>
      <c r="N63" s="3">
        <v>78.270731707317182</v>
      </c>
      <c r="O63" s="3">
        <v>79.320731707317179</v>
      </c>
      <c r="P63" s="3">
        <v>78.795731707317174</v>
      </c>
      <c r="Q63" s="3">
        <v>72.270731707317182</v>
      </c>
      <c r="R63" s="3">
        <v>73.320731707317179</v>
      </c>
      <c r="S63" s="3">
        <v>72.8</v>
      </c>
      <c r="T63" s="3">
        <v>72.8</v>
      </c>
      <c r="U63" s="7">
        <f t="shared" si="0"/>
        <v>0.52499999999999858</v>
      </c>
      <c r="V63" s="3">
        <v>945.66</v>
      </c>
      <c r="W63" s="3">
        <v>1238.8399999999999</v>
      </c>
      <c r="X63" s="3">
        <v>1091.9100000000001</v>
      </c>
      <c r="Y63" s="3">
        <v>1096.43</v>
      </c>
      <c r="Z63" s="3">
        <f t="shared" si="1"/>
        <v>146.58999999999997</v>
      </c>
      <c r="AA63" s="4">
        <f t="shared" si="2"/>
        <v>5.6470588235294251E-2</v>
      </c>
      <c r="AB63" s="4">
        <f t="shared" si="3"/>
        <v>7.9572188686582029E-3</v>
      </c>
      <c r="AC63">
        <v>1.1476266666666668</v>
      </c>
      <c r="AD63" s="2">
        <v>7.5580999999999996</v>
      </c>
      <c r="AE63" s="2">
        <v>2.0998999999999999</v>
      </c>
      <c r="AF63" s="2">
        <f t="shared" si="4"/>
        <v>5.4581999999999997</v>
      </c>
      <c r="AG63" s="2">
        <v>0.95227333333333308</v>
      </c>
      <c r="AH63" s="1">
        <f t="shared" si="5"/>
        <v>85.145038691890662</v>
      </c>
      <c r="AI63" s="1">
        <f t="shared" si="6"/>
        <v>14.854961308109338</v>
      </c>
      <c r="AJ63" s="1">
        <f t="shared" si="7"/>
        <v>0.74274806540546701</v>
      </c>
      <c r="AK63" s="8">
        <v>0.15230000000000032</v>
      </c>
      <c r="AL63" s="9">
        <v>69.509509509509456</v>
      </c>
      <c r="AM63" s="10">
        <v>3.4754754754754731</v>
      </c>
      <c r="AN63" s="9">
        <v>34.754754754754728</v>
      </c>
      <c r="AO63" s="11">
        <v>3.4766405883598992</v>
      </c>
      <c r="AP63" s="2">
        <v>5.3596856249999991</v>
      </c>
      <c r="AQ63" s="2">
        <f t="shared" si="8"/>
        <v>0.3296206659375</v>
      </c>
      <c r="AR63" s="2">
        <v>1.1960539818663962</v>
      </c>
      <c r="AS63" s="2">
        <v>0.17767335623035413</v>
      </c>
      <c r="AT63" s="2">
        <f t="shared" si="9"/>
        <v>1.7767335623035414E-2</v>
      </c>
      <c r="AU63" s="2">
        <f t="shared" si="10"/>
        <v>1.0033318940067081E-2</v>
      </c>
      <c r="AV63" s="2">
        <f t="shared" si="11"/>
        <v>1.620381008820834E-3</v>
      </c>
      <c r="AW63" s="3">
        <f t="shared" si="12"/>
        <v>16.150000000000002</v>
      </c>
    </row>
    <row r="64" spans="1:49" x14ac:dyDescent="0.2">
      <c r="A64" t="s">
        <v>45</v>
      </c>
      <c r="B64" s="5" t="s">
        <v>46</v>
      </c>
      <c r="C64" s="5" t="s">
        <v>84</v>
      </c>
      <c r="D64" s="5" t="s">
        <v>111</v>
      </c>
      <c r="E64">
        <v>2</v>
      </c>
      <c r="F64" s="6">
        <v>75</v>
      </c>
      <c r="G64" s="3">
        <v>2.6</v>
      </c>
      <c r="H64" s="3">
        <v>2.7</v>
      </c>
      <c r="I64" s="3">
        <v>1.05</v>
      </c>
      <c r="J64" s="3">
        <v>39.457317073170842</v>
      </c>
      <c r="K64" s="3">
        <v>40.507317073170839</v>
      </c>
      <c r="L64" s="3">
        <v>39.982317073170833</v>
      </c>
      <c r="M64" s="1">
        <v>0.14000000000000001</v>
      </c>
      <c r="N64" s="3">
        <v>79.457317073170842</v>
      </c>
      <c r="O64" s="3">
        <v>80.507317073170839</v>
      </c>
      <c r="P64" s="3">
        <v>79.982317073170833</v>
      </c>
      <c r="Q64" s="3">
        <v>73.457317073170842</v>
      </c>
      <c r="R64" s="3">
        <v>74.507317073170839</v>
      </c>
      <c r="S64" s="3">
        <v>74</v>
      </c>
      <c r="T64" s="3">
        <v>74</v>
      </c>
      <c r="U64" s="7">
        <f t="shared" si="0"/>
        <v>0.52499999999999858</v>
      </c>
      <c r="V64" s="3">
        <v>976.88</v>
      </c>
      <c r="W64" s="3">
        <v>1247.8800000000001</v>
      </c>
      <c r="X64" s="3">
        <v>1109.6400000000001</v>
      </c>
      <c r="Y64" s="3">
        <v>1117.68</v>
      </c>
      <c r="Z64" s="3">
        <f t="shared" si="1"/>
        <v>135.50000000000006</v>
      </c>
      <c r="AA64" s="4">
        <f t="shared" si="2"/>
        <v>5.649717514124257E-2</v>
      </c>
      <c r="AB64" s="4">
        <f t="shared" si="3"/>
        <v>7.2501617801566751E-3</v>
      </c>
      <c r="AC64">
        <v>1.1476266666666668</v>
      </c>
      <c r="AD64" s="2">
        <v>8.6340000000000003</v>
      </c>
      <c r="AE64" s="2">
        <v>2.3174999999999999</v>
      </c>
      <c r="AF64" s="2">
        <f t="shared" si="4"/>
        <v>6.3165000000000004</v>
      </c>
      <c r="AG64" s="2">
        <v>1.1698733333333331</v>
      </c>
      <c r="AH64" s="1">
        <f t="shared" si="5"/>
        <v>84.373296905666834</v>
      </c>
      <c r="AI64" s="1">
        <f t="shared" si="6"/>
        <v>15.626703094333166</v>
      </c>
      <c r="AJ64" s="1">
        <f t="shared" si="7"/>
        <v>0.78133515471665838</v>
      </c>
      <c r="AK64" s="8">
        <v>4.7399999999999665E-2</v>
      </c>
      <c r="AL64" s="9">
        <v>84.045775833052971</v>
      </c>
      <c r="AM64" s="10">
        <v>4.2022887916526486</v>
      </c>
      <c r="AN64" s="9">
        <v>42.022887916526486</v>
      </c>
      <c r="AO64" s="11">
        <v>4.2032524416753123</v>
      </c>
      <c r="AP64" s="2">
        <v>5.7882956250000017</v>
      </c>
      <c r="AQ64" s="2">
        <f t="shared" si="8"/>
        <v>0.3675567721875001</v>
      </c>
      <c r="AR64" s="2">
        <v>1.2933640260181651</v>
      </c>
      <c r="AS64" s="2">
        <v>0.20211015627477263</v>
      </c>
      <c r="AT64" s="2">
        <f t="shared" si="9"/>
        <v>2.0211015627477263E-2</v>
      </c>
      <c r="AU64" s="2">
        <f t="shared" si="10"/>
        <v>1.1418652896879735E-2</v>
      </c>
      <c r="AV64" s="2">
        <f t="shared" si="11"/>
        <v>1.8669497486398367E-3</v>
      </c>
      <c r="AW64" s="3">
        <f t="shared" si="12"/>
        <v>16.350000000000001</v>
      </c>
    </row>
    <row r="65" spans="1:49" x14ac:dyDescent="0.2">
      <c r="A65" t="s">
        <v>45</v>
      </c>
      <c r="B65" s="5" t="s">
        <v>46</v>
      </c>
      <c r="C65" s="5" t="s">
        <v>84</v>
      </c>
      <c r="D65" s="5" t="s">
        <v>112</v>
      </c>
      <c r="E65">
        <v>2</v>
      </c>
      <c r="F65" s="6">
        <v>76</v>
      </c>
      <c r="G65" s="3">
        <v>2.25</v>
      </c>
      <c r="H65" s="3">
        <v>2.5</v>
      </c>
      <c r="I65" s="3">
        <v>1</v>
      </c>
      <c r="J65" s="3">
        <v>40.643902439024501</v>
      </c>
      <c r="K65" s="3">
        <v>41.643902439024501</v>
      </c>
      <c r="L65" s="3">
        <v>41.143902439024501</v>
      </c>
      <c r="M65" s="1">
        <v>0.14000000000000001</v>
      </c>
      <c r="N65" s="3">
        <v>80.643902439024501</v>
      </c>
      <c r="O65" s="3">
        <v>81.643902439024501</v>
      </c>
      <c r="P65" s="3">
        <v>81.143902439024501</v>
      </c>
      <c r="Q65" s="3">
        <v>74.643902439024501</v>
      </c>
      <c r="R65" s="3">
        <v>75.643902439024501</v>
      </c>
      <c r="S65" s="3">
        <v>75.099999999999994</v>
      </c>
      <c r="T65" s="3">
        <v>75.099999999999994</v>
      </c>
      <c r="U65" s="7">
        <f t="shared" si="0"/>
        <v>0.5</v>
      </c>
      <c r="V65" s="3">
        <v>996.36</v>
      </c>
      <c r="W65" s="3">
        <v>1259.57</v>
      </c>
      <c r="X65" s="3">
        <v>1126.55</v>
      </c>
      <c r="Y65" s="3">
        <v>1137.1500000000001</v>
      </c>
      <c r="Z65" s="3">
        <f t="shared" si="1"/>
        <v>131.60499999999996</v>
      </c>
      <c r="AA65" s="4">
        <f t="shared" si="2"/>
        <v>5.6470588235294251E-2</v>
      </c>
      <c r="AB65" s="4">
        <f t="shared" si="3"/>
        <v>6.9114411022919665E-3</v>
      </c>
      <c r="AC65">
        <v>1.1476266666666668</v>
      </c>
      <c r="AD65" s="2">
        <v>7.3739999999999997</v>
      </c>
      <c r="AE65" s="2">
        <v>2.1371000000000002</v>
      </c>
      <c r="AF65" s="2">
        <f t="shared" si="4"/>
        <v>5.2368999999999994</v>
      </c>
      <c r="AG65" s="2">
        <v>0.98947333333333343</v>
      </c>
      <c r="AH65" s="1">
        <f t="shared" si="5"/>
        <v>84.108351999451799</v>
      </c>
      <c r="AI65" s="1">
        <f t="shared" si="6"/>
        <v>15.891648000548201</v>
      </c>
      <c r="AJ65" s="1">
        <f t="shared" si="7"/>
        <v>0.7945824000274101</v>
      </c>
      <c r="AK65" s="8">
        <v>7.5999999999999623E-2</v>
      </c>
      <c r="AL65" s="9">
        <v>79.553403282216934</v>
      </c>
      <c r="AM65" s="10">
        <v>3.977670164110847</v>
      </c>
      <c r="AN65" s="9">
        <v>39.776701641108467</v>
      </c>
      <c r="AO65" s="11">
        <v>3.9786882177996321</v>
      </c>
      <c r="AP65" s="2">
        <v>4.4278906249999999</v>
      </c>
      <c r="AQ65" s="2">
        <f t="shared" si="8"/>
        <v>0.25460371093750001</v>
      </c>
      <c r="AR65" s="2">
        <v>1.40617143932577</v>
      </c>
      <c r="AS65" s="2">
        <v>0.2234638154218937</v>
      </c>
      <c r="AT65" s="2">
        <f t="shared" si="9"/>
        <v>2.2346381542189372E-2</v>
      </c>
      <c r="AU65" s="2">
        <f t="shared" si="10"/>
        <v>1.2619133106177556E-2</v>
      </c>
      <c r="AV65" s="2">
        <f t="shared" si="11"/>
        <v>1.987513464222965E-3</v>
      </c>
      <c r="AW65" s="3">
        <f t="shared" si="12"/>
        <v>15.75</v>
      </c>
    </row>
    <row r="66" spans="1:49" x14ac:dyDescent="0.2">
      <c r="A66" t="s">
        <v>45</v>
      </c>
      <c r="B66" s="5" t="s">
        <v>46</v>
      </c>
      <c r="C66" s="5" t="s">
        <v>84</v>
      </c>
      <c r="D66" s="5" t="s">
        <v>113</v>
      </c>
      <c r="E66">
        <v>2</v>
      </c>
      <c r="F66" s="6">
        <v>77</v>
      </c>
      <c r="G66" s="3">
        <v>2.35</v>
      </c>
      <c r="H66" s="3">
        <v>2.5499999999999998</v>
      </c>
      <c r="I66" s="3">
        <v>1</v>
      </c>
      <c r="J66" s="3">
        <v>41.780487804878163</v>
      </c>
      <c r="K66" s="3">
        <v>42.780487804878163</v>
      </c>
      <c r="L66" s="3">
        <v>42.280487804878163</v>
      </c>
      <c r="M66" s="1">
        <v>0.14000000000000001</v>
      </c>
      <c r="N66" s="3">
        <v>81.780487804878163</v>
      </c>
      <c r="O66" s="3">
        <v>82.780487804878163</v>
      </c>
      <c r="P66" s="3">
        <v>82.280487804878163</v>
      </c>
      <c r="Q66" s="3">
        <v>75.780487804878163</v>
      </c>
      <c r="R66" s="3">
        <v>76.780487804878163</v>
      </c>
      <c r="S66" s="3">
        <v>76.3</v>
      </c>
      <c r="T66" s="3">
        <v>76.3</v>
      </c>
      <c r="U66" s="7">
        <f t="shared" si="0"/>
        <v>0.5</v>
      </c>
      <c r="V66" s="3">
        <v>1016.53</v>
      </c>
      <c r="W66" s="3">
        <v>1276.6400000000001</v>
      </c>
      <c r="X66" s="3">
        <v>1149.6600000000001</v>
      </c>
      <c r="Y66" s="3">
        <v>1158.4000000000001</v>
      </c>
      <c r="Z66" s="3">
        <f t="shared" si="1"/>
        <v>130.05500000000006</v>
      </c>
      <c r="AA66" s="4">
        <f t="shared" si="2"/>
        <v>5.6468172484599975E-2</v>
      </c>
      <c r="AB66" s="4">
        <f t="shared" si="3"/>
        <v>6.7097919788995722E-3</v>
      </c>
      <c r="AC66">
        <v>1.1476266666666668</v>
      </c>
      <c r="AD66" s="2">
        <v>7.4817</v>
      </c>
      <c r="AE66" s="2">
        <v>2.1311</v>
      </c>
      <c r="AF66" s="2">
        <f t="shared" si="4"/>
        <v>5.3506</v>
      </c>
      <c r="AG66" s="2">
        <v>0.9834733333333332</v>
      </c>
      <c r="AH66" s="1">
        <f t="shared" si="5"/>
        <v>84.473287857945024</v>
      </c>
      <c r="AI66" s="1">
        <f t="shared" si="6"/>
        <v>15.526712142054976</v>
      </c>
      <c r="AJ66" s="1">
        <f t="shared" si="7"/>
        <v>0.77633560710274885</v>
      </c>
      <c r="AK66" s="8">
        <v>0.17060000000000031</v>
      </c>
      <c r="AL66" s="9">
        <v>58.960789030550821</v>
      </c>
      <c r="AM66" s="10">
        <v>2.9480394515275412</v>
      </c>
      <c r="AN66" s="9">
        <v>29.48039451527541</v>
      </c>
      <c r="AO66" s="11">
        <v>2.9494129259503166</v>
      </c>
      <c r="AP66" s="2">
        <v>4.7119625000000003</v>
      </c>
      <c r="AQ66" s="2">
        <f t="shared" si="8"/>
        <v>0.27800578750000005</v>
      </c>
      <c r="AR66" s="2">
        <v>1.3442537654604283</v>
      </c>
      <c r="AS66" s="2">
        <v>0.20871841262177557</v>
      </c>
      <c r="AT66" s="2">
        <f t="shared" si="9"/>
        <v>2.087184126217756E-2</v>
      </c>
      <c r="AU66" s="2">
        <f t="shared" si="10"/>
        <v>1.1785947324638332E-2</v>
      </c>
      <c r="AV66" s="2">
        <f t="shared" si="11"/>
        <v>1.8739656246174951E-3</v>
      </c>
      <c r="AW66" s="3">
        <f t="shared" si="12"/>
        <v>15.900000000000002</v>
      </c>
    </row>
    <row r="67" spans="1:49" x14ac:dyDescent="0.2">
      <c r="A67" t="s">
        <v>45</v>
      </c>
      <c r="B67" s="5" t="s">
        <v>46</v>
      </c>
      <c r="C67" s="5" t="s">
        <v>84</v>
      </c>
      <c r="D67" s="5" t="s">
        <v>114</v>
      </c>
      <c r="E67">
        <v>2</v>
      </c>
      <c r="F67" s="6">
        <v>78</v>
      </c>
      <c r="G67" s="3">
        <v>2.2000000000000002</v>
      </c>
      <c r="H67" s="3">
        <v>2.5</v>
      </c>
      <c r="I67" s="3">
        <v>1</v>
      </c>
      <c r="J67" s="3">
        <v>42.917073170731825</v>
      </c>
      <c r="K67" s="3">
        <v>43.917073170731825</v>
      </c>
      <c r="L67" s="3">
        <v>43.417073170731825</v>
      </c>
      <c r="M67" s="1">
        <v>0.14000000000000001</v>
      </c>
      <c r="N67" s="3">
        <v>82.917073170731825</v>
      </c>
      <c r="O67" s="3">
        <v>83.917073170731825</v>
      </c>
      <c r="P67" s="3">
        <v>83.417073170731825</v>
      </c>
      <c r="Q67" s="3">
        <v>76.917073170731825</v>
      </c>
      <c r="R67" s="3">
        <v>77.917073170731825</v>
      </c>
      <c r="S67" s="3">
        <v>77.400000000000006</v>
      </c>
      <c r="T67" s="3">
        <v>77.400000000000006</v>
      </c>
      <c r="U67" s="7">
        <f t="shared" ref="U67:U130" si="13">((R67-S67)+(S67-Q67))/2</f>
        <v>0.5</v>
      </c>
      <c r="V67" s="3">
        <v>1032.07</v>
      </c>
      <c r="W67" s="3">
        <v>1302.48</v>
      </c>
      <c r="X67" s="3">
        <v>1173.67</v>
      </c>
      <c r="Y67" s="3">
        <v>1177.8800000000001</v>
      </c>
      <c r="Z67" s="3">
        <f t="shared" ref="Z67:Z130" si="14">((W67-Y67)+(Y67-V67))/2</f>
        <v>135.20500000000004</v>
      </c>
      <c r="AA67" s="4">
        <f t="shared" ref="AA67:AA130" si="15">(T68-T67)/(Y68-Y67)</f>
        <v>5.6497175141242986E-2</v>
      </c>
      <c r="AB67" s="4">
        <f t="shared" ref="AB67:AB130" si="16">AA67*((Z67/Y67)+(U67/T67))</f>
        <v>6.8500951305816658E-3</v>
      </c>
      <c r="AC67">
        <v>1.1476266666666668</v>
      </c>
      <c r="AD67" s="2">
        <v>6.64</v>
      </c>
      <c r="AE67" s="2">
        <v>2.1059999999999999</v>
      </c>
      <c r="AF67" s="2">
        <f t="shared" ref="AF67:AF130" si="17">AD67-AE67</f>
        <v>4.5339999999999998</v>
      </c>
      <c r="AG67" s="2">
        <v>0.95837333333333308</v>
      </c>
      <c r="AH67" s="1">
        <f t="shared" ref="AH67:AH130" si="18">((AD67-AC67)-(AE67-AC67))/(AD67-AC67)*100</f>
        <v>82.550834126352186</v>
      </c>
      <c r="AI67" s="1">
        <f t="shared" ref="AI67:AI130" si="19">100-AH67</f>
        <v>17.449165873647814</v>
      </c>
      <c r="AJ67" s="1">
        <f t="shared" ref="AJ67:AJ130" si="20">AI67*0.05</f>
        <v>0.87245829368239081</v>
      </c>
      <c r="AK67" s="8">
        <v>0.12159999999999993</v>
      </c>
      <c r="AL67" s="9">
        <v>73.286467486818978</v>
      </c>
      <c r="AM67" s="10">
        <v>3.6643233743409489</v>
      </c>
      <c r="AN67" s="9">
        <v>36.643233743409489</v>
      </c>
      <c r="AO67" s="11">
        <v>3.6654284595039415</v>
      </c>
      <c r="AP67" s="2">
        <v>4.3351625</v>
      </c>
      <c r="AQ67" s="2">
        <f t="shared" ref="AQ67:AQ130" si="21">AP67*((G67*0.01)+(H67*0.01)+(I67*0.01))</f>
        <v>0.2471042625</v>
      </c>
      <c r="AR67" s="2">
        <v>1.2669359760639498</v>
      </c>
      <c r="AS67" s="2">
        <v>0.22106975997631761</v>
      </c>
      <c r="AT67" s="2">
        <f t="shared" ref="AT67:AT130" si="22">AS67*0.1</f>
        <v>2.2106975997631763E-2</v>
      </c>
      <c r="AU67" s="2">
        <f t="shared" ref="AU67:AU130" si="23">AS67*AA67</f>
        <v>1.2489816947814565E-2</v>
      </c>
      <c r="AV67" s="2">
        <f t="shared" ref="AV67:AV130" si="24">AU67*((AT67/AS67)+(AQ67/AP67))</f>
        <v>1.9609012608068866E-3</v>
      </c>
      <c r="AW67" s="3">
        <f t="shared" ref="AW67:AW130" si="25">(AV67/AU67)*100</f>
        <v>15.7</v>
      </c>
    </row>
    <row r="68" spans="1:49" x14ac:dyDescent="0.2">
      <c r="A68" t="s">
        <v>45</v>
      </c>
      <c r="B68" s="5" t="s">
        <v>46</v>
      </c>
      <c r="C68" s="5" t="s">
        <v>84</v>
      </c>
      <c r="D68" s="5" t="s">
        <v>115</v>
      </c>
      <c r="E68">
        <v>2</v>
      </c>
      <c r="F68" s="6">
        <v>79</v>
      </c>
      <c r="G68" s="3">
        <v>2.0499999999999998</v>
      </c>
      <c r="H68" s="3">
        <v>2.2999999999999998</v>
      </c>
      <c r="I68" s="3">
        <v>1.05</v>
      </c>
      <c r="J68" s="3">
        <v>44.053658536585488</v>
      </c>
      <c r="K68" s="3">
        <v>45.103658536585485</v>
      </c>
      <c r="L68" s="3">
        <v>44.578658536585493</v>
      </c>
      <c r="M68" s="1">
        <v>0.14000000000000001</v>
      </c>
      <c r="N68" s="3">
        <v>84.053658536585488</v>
      </c>
      <c r="O68" s="3">
        <v>85.103658536585485</v>
      </c>
      <c r="P68" s="3">
        <v>84.578658536585493</v>
      </c>
      <c r="Q68" s="3">
        <v>78.053658536585488</v>
      </c>
      <c r="R68" s="3">
        <v>79.103658536585485</v>
      </c>
      <c r="S68" s="3">
        <v>78.599999999999994</v>
      </c>
      <c r="T68" s="3">
        <v>78.599999999999994</v>
      </c>
      <c r="U68" s="7">
        <f t="shared" si="13"/>
        <v>0.52499999999999858</v>
      </c>
      <c r="V68" s="3">
        <v>1049.18</v>
      </c>
      <c r="W68" s="3">
        <v>1334.14</v>
      </c>
      <c r="X68" s="3">
        <v>1199.17</v>
      </c>
      <c r="Y68" s="3">
        <v>1199.1199999999999</v>
      </c>
      <c r="Z68" s="3">
        <f t="shared" si="14"/>
        <v>142.48000000000002</v>
      </c>
      <c r="AA68" s="4">
        <f t="shared" si="15"/>
        <v>6.5247252747252682E-2</v>
      </c>
      <c r="AB68" s="4">
        <f t="shared" si="16"/>
        <v>8.188520932253255E-3</v>
      </c>
      <c r="AC68">
        <v>1.1476266666666668</v>
      </c>
      <c r="AD68" s="2">
        <v>6.0677000000000003</v>
      </c>
      <c r="AE68" s="2">
        <v>1.9668000000000001</v>
      </c>
      <c r="AF68" s="2">
        <f t="shared" si="17"/>
        <v>4.1009000000000002</v>
      </c>
      <c r="AG68" s="2">
        <v>0.81917333333333331</v>
      </c>
      <c r="AH68" s="1">
        <f t="shared" si="18"/>
        <v>83.350383666368117</v>
      </c>
      <c r="AI68" s="1">
        <f t="shared" si="19"/>
        <v>16.649616333631883</v>
      </c>
      <c r="AJ68" s="1">
        <f t="shared" si="20"/>
        <v>0.83248081668159424</v>
      </c>
      <c r="AK68" s="8">
        <v>9.470000000000045E-2</v>
      </c>
      <c r="AL68" s="9">
        <v>74.933827421916277</v>
      </c>
      <c r="AM68" s="10">
        <v>3.7466913710958138</v>
      </c>
      <c r="AN68" s="9">
        <v>37.466913710958138</v>
      </c>
      <c r="AO68" s="11">
        <v>3.7477721689350103</v>
      </c>
      <c r="AP68" s="2">
        <v>3.8992176562499994</v>
      </c>
      <c r="AQ68" s="2">
        <f t="shared" si="21"/>
        <v>0.21055775343749997</v>
      </c>
      <c r="AR68" s="2">
        <v>1.2618103853338425</v>
      </c>
      <c r="AS68" s="2">
        <v>0.21008658801600683</v>
      </c>
      <c r="AT68" s="2">
        <f t="shared" si="22"/>
        <v>2.1008658801600685E-2</v>
      </c>
      <c r="AU68" s="2">
        <f t="shared" si="23"/>
        <v>1.3707572707088344E-2</v>
      </c>
      <c r="AV68" s="2">
        <f t="shared" si="24"/>
        <v>2.1109661968916047E-3</v>
      </c>
      <c r="AW68" s="3">
        <f t="shared" si="25"/>
        <v>15.399999999999997</v>
      </c>
    </row>
    <row r="69" spans="1:49" x14ac:dyDescent="0.2">
      <c r="A69" t="s">
        <v>45</v>
      </c>
      <c r="B69" s="5" t="s">
        <v>46</v>
      </c>
      <c r="C69" s="5" t="s">
        <v>116</v>
      </c>
      <c r="D69" s="5" t="s">
        <v>117</v>
      </c>
      <c r="E69">
        <v>3</v>
      </c>
      <c r="F69" s="6">
        <v>84</v>
      </c>
      <c r="G69" s="3">
        <v>2</v>
      </c>
      <c r="H69" s="3">
        <v>2.2999999999999998</v>
      </c>
      <c r="I69" s="3">
        <v>1</v>
      </c>
      <c r="J69" s="3">
        <v>0</v>
      </c>
      <c r="K69" s="3">
        <v>1</v>
      </c>
      <c r="L69" s="3">
        <v>0.5</v>
      </c>
      <c r="M69" s="1">
        <v>0.16</v>
      </c>
      <c r="N69" s="3">
        <v>80</v>
      </c>
      <c r="O69" s="3">
        <v>81</v>
      </c>
      <c r="P69" s="3">
        <v>80.5</v>
      </c>
      <c r="Q69" s="3">
        <v>80</v>
      </c>
      <c r="R69" s="3">
        <v>81</v>
      </c>
      <c r="S69" s="3">
        <v>80.5</v>
      </c>
      <c r="T69" s="3">
        <v>80.5</v>
      </c>
      <c r="U69" s="7">
        <f t="shared" si="13"/>
        <v>0.5</v>
      </c>
      <c r="V69" s="3">
        <v>1077.79</v>
      </c>
      <c r="W69" s="3">
        <v>1382.92</v>
      </c>
      <c r="X69" s="3">
        <v>1228.2</v>
      </c>
      <c r="Y69" s="3">
        <v>1228.24</v>
      </c>
      <c r="Z69" s="3">
        <f t="shared" si="14"/>
        <v>152.56500000000005</v>
      </c>
      <c r="AA69" s="4">
        <f t="shared" si="15"/>
        <v>0.11538461538461466</v>
      </c>
      <c r="AB69" s="4">
        <f t="shared" si="16"/>
        <v>1.5049096506675165E-2</v>
      </c>
      <c r="AC69">
        <v>1.1476266666666668</v>
      </c>
      <c r="AD69" s="2">
        <v>4.9766000000000004</v>
      </c>
      <c r="AE69" s="2">
        <v>1.7699</v>
      </c>
      <c r="AF69" s="2">
        <f t="shared" si="17"/>
        <v>3.2067000000000005</v>
      </c>
      <c r="AG69" s="2">
        <v>0.62227333333333323</v>
      </c>
      <c r="AH69" s="1">
        <f t="shared" si="18"/>
        <v>83.748298064233069</v>
      </c>
      <c r="AI69" s="1">
        <f t="shared" si="19"/>
        <v>16.251701935766931</v>
      </c>
      <c r="AJ69" s="1">
        <f t="shared" si="20"/>
        <v>0.81258509678834656</v>
      </c>
      <c r="AK69" s="8">
        <v>9.2900000000000205E-2</v>
      </c>
      <c r="AL69" s="9">
        <v>72.367638310529372</v>
      </c>
      <c r="AM69" s="10">
        <v>3.6183819155264687</v>
      </c>
      <c r="AN69" s="9">
        <v>36.183819155264686</v>
      </c>
      <c r="AO69" s="11">
        <v>3.6195010272976851</v>
      </c>
      <c r="AP69" s="2">
        <v>3.6286624999999999</v>
      </c>
      <c r="AQ69" s="2">
        <f t="shared" si="21"/>
        <v>0.1923191125</v>
      </c>
      <c r="AR69" s="2">
        <v>1.0552023874728866</v>
      </c>
      <c r="AS69" s="2">
        <v>0.17148834683119007</v>
      </c>
      <c r="AT69" s="2">
        <f t="shared" si="22"/>
        <v>1.7148834683119007E-2</v>
      </c>
      <c r="AU69" s="2">
        <f t="shared" si="23"/>
        <v>1.9787116942060267E-2</v>
      </c>
      <c r="AV69" s="2">
        <f t="shared" si="24"/>
        <v>3.0274288921352207E-3</v>
      </c>
      <c r="AW69" s="3">
        <f t="shared" si="25"/>
        <v>15.299999999999999</v>
      </c>
    </row>
    <row r="70" spans="1:49" x14ac:dyDescent="0.2">
      <c r="A70" t="s">
        <v>45</v>
      </c>
      <c r="B70" s="5" t="s">
        <v>46</v>
      </c>
      <c r="C70" s="5" t="s">
        <v>116</v>
      </c>
      <c r="D70" s="5" t="s">
        <v>118</v>
      </c>
      <c r="E70">
        <v>3</v>
      </c>
      <c r="F70" s="6">
        <v>85</v>
      </c>
      <c r="G70" s="3">
        <v>2.35</v>
      </c>
      <c r="H70" s="3">
        <v>2.35</v>
      </c>
      <c r="I70" s="3">
        <v>1.05</v>
      </c>
      <c r="J70" s="3">
        <v>1.1595238095238045</v>
      </c>
      <c r="K70" s="3">
        <v>2.2095238095238017</v>
      </c>
      <c r="L70" s="3">
        <v>1.684523809523796</v>
      </c>
      <c r="M70" s="1">
        <v>0.16</v>
      </c>
      <c r="N70" s="3">
        <v>81.159523809523805</v>
      </c>
      <c r="O70" s="3">
        <v>82.209523809523802</v>
      </c>
      <c r="P70" s="3">
        <v>81.684523809523796</v>
      </c>
      <c r="Q70" s="3">
        <v>81.159523809523805</v>
      </c>
      <c r="R70" s="3">
        <v>82.209523809523802</v>
      </c>
      <c r="S70" s="3">
        <v>81.7</v>
      </c>
      <c r="T70" s="3">
        <v>81.7</v>
      </c>
      <c r="U70" s="7">
        <f t="shared" si="13"/>
        <v>0.52499999999999858</v>
      </c>
      <c r="V70" s="3">
        <v>1096.0899999999999</v>
      </c>
      <c r="W70" s="3">
        <v>1388.56</v>
      </c>
      <c r="X70" s="3">
        <v>1238.3399999999999</v>
      </c>
      <c r="Y70" s="3">
        <v>1238.6400000000001</v>
      </c>
      <c r="Z70" s="3">
        <f t="shared" si="14"/>
        <v>146.23500000000001</v>
      </c>
      <c r="AA70" s="4">
        <f t="shared" si="15"/>
        <v>0.11538461538461717</v>
      </c>
      <c r="AB70" s="4">
        <f t="shared" si="16"/>
        <v>1.4363871507134375E-2</v>
      </c>
      <c r="AC70">
        <v>1.1476266666666668</v>
      </c>
      <c r="AD70" s="2">
        <v>6.3734000000000002</v>
      </c>
      <c r="AE70" s="2">
        <v>2.0326</v>
      </c>
      <c r="AF70" s="2">
        <f t="shared" si="17"/>
        <v>4.3407999999999998</v>
      </c>
      <c r="AG70" s="2">
        <v>0.88497333333333317</v>
      </c>
      <c r="AH70" s="1">
        <f t="shared" si="18"/>
        <v>83.06521777956948</v>
      </c>
      <c r="AI70" s="1">
        <f t="shared" si="19"/>
        <v>16.93478222043052</v>
      </c>
      <c r="AJ70" s="1">
        <f t="shared" si="20"/>
        <v>0.8467391110215261</v>
      </c>
      <c r="AK70" s="8">
        <v>7.180000000000053E-2</v>
      </c>
      <c r="AL70" s="9">
        <v>78.222626630269772</v>
      </c>
      <c r="AM70" s="10">
        <v>3.9111313315134888</v>
      </c>
      <c r="AN70" s="9">
        <v>39.111313315134886</v>
      </c>
      <c r="AO70" s="11">
        <v>3.9121667004802436</v>
      </c>
      <c r="AP70" s="2">
        <v>4.5519206250000011</v>
      </c>
      <c r="AQ70" s="2">
        <f t="shared" si="21"/>
        <v>0.26173543593750009</v>
      </c>
      <c r="AR70" s="2">
        <v>1.1480370076385795</v>
      </c>
      <c r="AS70" s="2">
        <v>0.19441756705354082</v>
      </c>
      <c r="AT70" s="2">
        <f t="shared" si="22"/>
        <v>1.9441756705354085E-2</v>
      </c>
      <c r="AU70" s="2">
        <f t="shared" si="23"/>
        <v>2.2432796198485826E-2</v>
      </c>
      <c r="AV70" s="2">
        <f t="shared" si="24"/>
        <v>3.5331654012615184E-3</v>
      </c>
      <c r="AW70" s="3">
        <f t="shared" si="25"/>
        <v>15.750000000000004</v>
      </c>
    </row>
    <row r="71" spans="1:49" x14ac:dyDescent="0.2">
      <c r="A71" t="s">
        <v>45</v>
      </c>
      <c r="B71" s="5" t="s">
        <v>46</v>
      </c>
      <c r="C71" s="5" t="s">
        <v>116</v>
      </c>
      <c r="D71" s="5" t="s">
        <v>119</v>
      </c>
      <c r="E71">
        <v>3</v>
      </c>
      <c r="F71" s="6">
        <v>86</v>
      </c>
      <c r="G71" s="3">
        <v>2.2999999999999998</v>
      </c>
      <c r="H71" s="3">
        <v>2.35</v>
      </c>
      <c r="I71" s="3">
        <v>1.05</v>
      </c>
      <c r="J71" s="3">
        <v>2.3690476190476062</v>
      </c>
      <c r="K71" s="3">
        <v>3.4190476190476033</v>
      </c>
      <c r="L71" s="3">
        <v>2.8940476190475977</v>
      </c>
      <c r="M71" s="1">
        <v>0.16</v>
      </c>
      <c r="N71" s="3">
        <v>82.369047619047606</v>
      </c>
      <c r="O71" s="3">
        <v>83.419047619047603</v>
      </c>
      <c r="P71" s="3">
        <v>82.894047619047598</v>
      </c>
      <c r="Q71" s="3">
        <v>82.369047619047606</v>
      </c>
      <c r="R71" s="3">
        <v>83.419047619047603</v>
      </c>
      <c r="S71" s="3">
        <v>82.9</v>
      </c>
      <c r="T71" s="3">
        <v>82.9</v>
      </c>
      <c r="U71" s="7">
        <f t="shared" si="13"/>
        <v>0.52499999999999858</v>
      </c>
      <c r="V71" s="3">
        <v>1114.6400000000001</v>
      </c>
      <c r="W71" s="3">
        <v>1395.54</v>
      </c>
      <c r="X71" s="3">
        <v>1248.4000000000001</v>
      </c>
      <c r="Y71" s="3">
        <v>1249.04</v>
      </c>
      <c r="Z71" s="3">
        <f t="shared" si="14"/>
        <v>140.44999999999993</v>
      </c>
      <c r="AA71" s="4">
        <f t="shared" si="15"/>
        <v>0.11538461538461328</v>
      </c>
      <c r="AB71" s="4">
        <f t="shared" si="16"/>
        <v>1.3705302697617657E-2</v>
      </c>
      <c r="AC71">
        <v>1.1476266666666668</v>
      </c>
      <c r="AD71" s="2">
        <v>5.7134</v>
      </c>
      <c r="AE71" s="2">
        <v>1.9563999999999999</v>
      </c>
      <c r="AF71" s="2">
        <f t="shared" si="17"/>
        <v>3.7570000000000001</v>
      </c>
      <c r="AG71" s="2">
        <v>0.80877333333333312</v>
      </c>
      <c r="AH71" s="1">
        <f t="shared" si="18"/>
        <v>82.286169849284391</v>
      </c>
      <c r="AI71" s="1">
        <f t="shared" si="19"/>
        <v>17.713830150715609</v>
      </c>
      <c r="AJ71" s="1">
        <f t="shared" si="20"/>
        <v>0.88569150753578052</v>
      </c>
      <c r="AK71" s="8">
        <v>8.5499999999999687E-2</v>
      </c>
      <c r="AL71" s="9">
        <v>74.530831099195822</v>
      </c>
      <c r="AM71" s="10">
        <v>3.7265415549597911</v>
      </c>
      <c r="AN71" s="9">
        <v>37.265415549597911</v>
      </c>
      <c r="AO71" s="11">
        <v>3.7276281950916372</v>
      </c>
      <c r="AP71" s="2">
        <v>4.455586406250001</v>
      </c>
      <c r="AQ71" s="2">
        <f t="shared" si="21"/>
        <v>0.25396842515625007</v>
      </c>
      <c r="AR71" s="2">
        <v>1.0247300617778996</v>
      </c>
      <c r="AS71" s="2">
        <v>0.18151894264666027</v>
      </c>
      <c r="AT71" s="2">
        <f t="shared" si="22"/>
        <v>1.8151894264666027E-2</v>
      </c>
      <c r="AU71" s="2">
        <f t="shared" si="23"/>
        <v>2.0944493382306573E-2</v>
      </c>
      <c r="AV71" s="2">
        <f t="shared" si="24"/>
        <v>3.2882854610221321E-3</v>
      </c>
      <c r="AW71" s="3">
        <f t="shared" si="25"/>
        <v>15.7</v>
      </c>
    </row>
    <row r="72" spans="1:49" x14ac:dyDescent="0.2">
      <c r="A72" t="s">
        <v>45</v>
      </c>
      <c r="B72" s="5" t="s">
        <v>46</v>
      </c>
      <c r="C72" s="5" t="s">
        <v>116</v>
      </c>
      <c r="D72" s="5" t="s">
        <v>120</v>
      </c>
      <c r="E72">
        <v>3</v>
      </c>
      <c r="F72" s="6">
        <v>87</v>
      </c>
      <c r="G72" s="3">
        <v>2.65</v>
      </c>
      <c r="H72" s="3">
        <v>2.1</v>
      </c>
      <c r="I72" s="3">
        <v>1.05</v>
      </c>
      <c r="J72" s="3">
        <v>3.5785714285714079</v>
      </c>
      <c r="K72" s="3">
        <v>4.628571428571405</v>
      </c>
      <c r="L72" s="3">
        <v>4.1035714285713993</v>
      </c>
      <c r="M72" s="1">
        <v>0.16</v>
      </c>
      <c r="N72" s="3">
        <v>83.578571428571408</v>
      </c>
      <c r="O72" s="3">
        <v>84.628571428571405</v>
      </c>
      <c r="P72" s="3">
        <v>84.103571428571399</v>
      </c>
      <c r="Q72" s="3">
        <v>83.578571428571408</v>
      </c>
      <c r="R72" s="3">
        <v>84.628571428571405</v>
      </c>
      <c r="S72" s="3">
        <v>84.1</v>
      </c>
      <c r="T72" s="3">
        <v>84.1</v>
      </c>
      <c r="U72" s="7">
        <f t="shared" si="13"/>
        <v>0.52499999999999858</v>
      </c>
      <c r="V72" s="3">
        <v>1127.95</v>
      </c>
      <c r="W72" s="3">
        <v>1404.07</v>
      </c>
      <c r="X72" s="3">
        <v>1257.58</v>
      </c>
      <c r="Y72" s="3">
        <v>1259.44</v>
      </c>
      <c r="Z72" s="3">
        <f t="shared" si="14"/>
        <v>138.05999999999995</v>
      </c>
      <c r="AA72" s="4">
        <f t="shared" si="15"/>
        <v>0.11538461538461717</v>
      </c>
      <c r="AB72" s="4">
        <f t="shared" si="16"/>
        <v>1.3368775039439807E-2</v>
      </c>
      <c r="AC72">
        <v>1.1476266666666668</v>
      </c>
      <c r="AD72" s="2">
        <v>6.9968000000000004</v>
      </c>
      <c r="AE72" s="2">
        <v>2.0939999999999999</v>
      </c>
      <c r="AF72" s="2">
        <f t="shared" si="17"/>
        <v>4.9028000000000009</v>
      </c>
      <c r="AG72" s="2">
        <v>0.94637333333333307</v>
      </c>
      <c r="AH72" s="1">
        <f t="shared" si="18"/>
        <v>83.820391713472901</v>
      </c>
      <c r="AI72" s="1">
        <f t="shared" si="19"/>
        <v>16.179608286527099</v>
      </c>
      <c r="AJ72" s="1">
        <f t="shared" si="20"/>
        <v>0.80898041432635504</v>
      </c>
      <c r="AK72" s="8">
        <v>8.0099999999999838E-2</v>
      </c>
      <c r="AL72" s="9">
        <v>77.525252525252569</v>
      </c>
      <c r="AM72" s="10">
        <v>3.8762626262626285</v>
      </c>
      <c r="AN72" s="9">
        <v>38.762626262626284</v>
      </c>
      <c r="AO72" s="11">
        <v>3.8773073063352164</v>
      </c>
      <c r="AP72" s="2">
        <v>4.6492851562500004</v>
      </c>
      <c r="AQ72" s="2">
        <f t="shared" si="21"/>
        <v>0.26965853906250004</v>
      </c>
      <c r="AR72" s="2">
        <v>1.2580801428086923</v>
      </c>
      <c r="AS72" s="2">
        <v>0.20355243903702708</v>
      </c>
      <c r="AT72" s="2">
        <f t="shared" si="22"/>
        <v>2.0355243903702708E-2</v>
      </c>
      <c r="AU72" s="2">
        <f t="shared" si="23"/>
        <v>2.3486819888888101E-2</v>
      </c>
      <c r="AV72" s="2">
        <f t="shared" si="24"/>
        <v>3.7109175424443201E-3</v>
      </c>
      <c r="AW72" s="3">
        <f t="shared" si="25"/>
        <v>15.8</v>
      </c>
    </row>
    <row r="73" spans="1:49" x14ac:dyDescent="0.2">
      <c r="A73" t="s">
        <v>45</v>
      </c>
      <c r="B73" s="5" t="s">
        <v>46</v>
      </c>
      <c r="C73" s="5" t="s">
        <v>116</v>
      </c>
      <c r="D73" s="5" t="s">
        <v>121</v>
      </c>
      <c r="E73">
        <v>3</v>
      </c>
      <c r="F73" s="6">
        <v>88</v>
      </c>
      <c r="G73" s="3">
        <v>2.4</v>
      </c>
      <c r="H73" s="3">
        <v>2.5</v>
      </c>
      <c r="I73" s="3">
        <v>1.05</v>
      </c>
      <c r="J73" s="3">
        <v>4.7880952380952095</v>
      </c>
      <c r="K73" s="3">
        <v>5.8380952380952067</v>
      </c>
      <c r="L73" s="3">
        <v>5.313095238095201</v>
      </c>
      <c r="M73" s="1">
        <v>0.16</v>
      </c>
      <c r="N73" s="3">
        <v>84.78809523809521</v>
      </c>
      <c r="O73" s="3">
        <v>85.838095238095207</v>
      </c>
      <c r="P73" s="3">
        <v>85.313095238095201</v>
      </c>
      <c r="Q73" s="3">
        <v>84.78809523809521</v>
      </c>
      <c r="R73" s="3">
        <v>85.838095238095207</v>
      </c>
      <c r="S73" s="3">
        <v>85.3</v>
      </c>
      <c r="T73" s="3">
        <v>85.3</v>
      </c>
      <c r="U73" s="7">
        <f t="shared" si="13"/>
        <v>0.52499999999999858</v>
      </c>
      <c r="V73" s="3">
        <v>1139.9100000000001</v>
      </c>
      <c r="W73" s="3">
        <v>1414.01</v>
      </c>
      <c r="X73" s="3">
        <v>1267.44</v>
      </c>
      <c r="Y73" s="3">
        <v>1269.8399999999999</v>
      </c>
      <c r="Z73" s="3">
        <f t="shared" si="14"/>
        <v>137.04999999999995</v>
      </c>
      <c r="AA73" s="4">
        <f t="shared" si="15"/>
        <v>0.11538461538461466</v>
      </c>
      <c r="AB73" s="4">
        <f t="shared" si="16"/>
        <v>1.3163276639469174E-2</v>
      </c>
      <c r="AC73">
        <v>1.1476266666666668</v>
      </c>
      <c r="AD73" s="2">
        <v>6.6314000000000002</v>
      </c>
      <c r="AE73" s="2">
        <v>2.0592000000000001</v>
      </c>
      <c r="AF73" s="2">
        <f t="shared" si="17"/>
        <v>4.5722000000000005</v>
      </c>
      <c r="AG73" s="2">
        <v>0.91157333333333335</v>
      </c>
      <c r="AH73" s="1">
        <f t="shared" si="18"/>
        <v>83.376896200426472</v>
      </c>
      <c r="AI73" s="1">
        <f t="shared" si="19"/>
        <v>16.623103799573528</v>
      </c>
      <c r="AJ73" s="1">
        <f t="shared" si="20"/>
        <v>0.83115518997867643</v>
      </c>
      <c r="AK73" s="8">
        <v>8.1400000000000361E-2</v>
      </c>
      <c r="AL73" s="9">
        <v>73.082010582010497</v>
      </c>
      <c r="AM73" s="10">
        <v>3.6541005291005249</v>
      </c>
      <c r="AN73" s="9">
        <v>36.541005291005249</v>
      </c>
      <c r="AO73" s="11">
        <v>3.6552087049541693</v>
      </c>
      <c r="AP73" s="2">
        <v>4.9475606250000004</v>
      </c>
      <c r="AQ73" s="2">
        <f t="shared" si="21"/>
        <v>0.29437985718750004</v>
      </c>
      <c r="AR73" s="2">
        <v>1.1083792092660478</v>
      </c>
      <c r="AS73" s="2">
        <v>0.18424702644918742</v>
      </c>
      <c r="AT73" s="2">
        <f t="shared" si="22"/>
        <v>1.8424702644918741E-2</v>
      </c>
      <c r="AU73" s="2">
        <f t="shared" si="23"/>
        <v>2.1259272282598413E-2</v>
      </c>
      <c r="AV73" s="2">
        <f t="shared" si="24"/>
        <v>3.3908539290744468E-3</v>
      </c>
      <c r="AW73" s="3">
        <f t="shared" si="25"/>
        <v>15.950000000000001</v>
      </c>
    </row>
    <row r="74" spans="1:49" x14ac:dyDescent="0.2">
      <c r="A74" t="s">
        <v>45</v>
      </c>
      <c r="B74" s="5" t="s">
        <v>46</v>
      </c>
      <c r="C74" s="5" t="s">
        <v>116</v>
      </c>
      <c r="D74" s="5" t="s">
        <v>122</v>
      </c>
      <c r="E74">
        <v>3</v>
      </c>
      <c r="F74" s="6">
        <v>89</v>
      </c>
      <c r="G74" s="3">
        <v>2.2999999999999998</v>
      </c>
      <c r="H74" s="3">
        <v>2.5499999999999998</v>
      </c>
      <c r="I74" s="3">
        <v>1.05</v>
      </c>
      <c r="J74" s="3">
        <v>5.9976190476190112</v>
      </c>
      <c r="K74" s="3">
        <v>7.0476190476190084</v>
      </c>
      <c r="L74" s="3">
        <v>6.5226190476190027</v>
      </c>
      <c r="M74" s="1">
        <v>0.16</v>
      </c>
      <c r="N74" s="3">
        <v>85.997619047619011</v>
      </c>
      <c r="O74" s="3">
        <v>87.047619047619008</v>
      </c>
      <c r="P74" s="3">
        <v>86.522619047619003</v>
      </c>
      <c r="Q74" s="3">
        <v>85.997619047619011</v>
      </c>
      <c r="R74" s="3">
        <v>87.047619047619008</v>
      </c>
      <c r="S74" s="3">
        <v>86.5</v>
      </c>
      <c r="T74" s="3">
        <v>86.5</v>
      </c>
      <c r="U74" s="7">
        <f t="shared" si="13"/>
        <v>0.52499999999999858</v>
      </c>
      <c r="V74" s="3">
        <v>1151.01</v>
      </c>
      <c r="W74" s="3">
        <v>1425.51</v>
      </c>
      <c r="X74" s="3">
        <v>1277.0999999999999</v>
      </c>
      <c r="Y74" s="3">
        <v>1280.24</v>
      </c>
      <c r="Z74" s="3">
        <f t="shared" si="14"/>
        <v>137.25</v>
      </c>
      <c r="AA74" s="4">
        <f t="shared" si="15"/>
        <v>0.11538461538461466</v>
      </c>
      <c r="AB74" s="4">
        <f t="shared" si="16"/>
        <v>1.3070287551964313E-2</v>
      </c>
      <c r="AC74">
        <v>1.1476266666666668</v>
      </c>
      <c r="AD74" s="2">
        <v>6.8352000000000004</v>
      </c>
      <c r="AE74" s="2">
        <v>1.9951000000000001</v>
      </c>
      <c r="AF74" s="2">
        <f t="shared" si="17"/>
        <v>4.8401000000000005</v>
      </c>
      <c r="AG74" s="2">
        <v>0.8474733333333333</v>
      </c>
      <c r="AH74" s="1">
        <f t="shared" si="18"/>
        <v>85.099562086232439</v>
      </c>
      <c r="AI74" s="1">
        <f t="shared" si="19"/>
        <v>14.900437913767561</v>
      </c>
      <c r="AJ74" s="1">
        <f t="shared" si="20"/>
        <v>0.74502189568837807</v>
      </c>
      <c r="AK74" s="8">
        <v>4.4500000000000206E-2</v>
      </c>
      <c r="AL74" s="9">
        <v>86.353879178166153</v>
      </c>
      <c r="AM74" s="10">
        <v>4.3176939589083076</v>
      </c>
      <c r="AN74" s="9">
        <v>43.176939589083076</v>
      </c>
      <c r="AO74" s="11">
        <v>4.3186318577523242</v>
      </c>
      <c r="AP74" s="2">
        <v>4.8471051562499996</v>
      </c>
      <c r="AQ74" s="2">
        <f t="shared" si="21"/>
        <v>0.28597920421875</v>
      </c>
      <c r="AR74" s="2">
        <v>1.1733959033258459</v>
      </c>
      <c r="AS74" s="2">
        <v>0.17484112805775964</v>
      </c>
      <c r="AT74" s="2">
        <f t="shared" si="22"/>
        <v>1.7484112805775966E-2</v>
      </c>
      <c r="AU74" s="2">
        <f t="shared" si="23"/>
        <v>2.0173976314356756E-2</v>
      </c>
      <c r="AV74" s="2">
        <f t="shared" si="24"/>
        <v>3.2076622339827243E-3</v>
      </c>
      <c r="AW74" s="3">
        <f t="shared" si="25"/>
        <v>15.9</v>
      </c>
    </row>
    <row r="75" spans="1:49" x14ac:dyDescent="0.2">
      <c r="A75" t="s">
        <v>45</v>
      </c>
      <c r="B75" s="5" t="s">
        <v>46</v>
      </c>
      <c r="C75" s="5" t="s">
        <v>116</v>
      </c>
      <c r="D75" s="5" t="s">
        <v>123</v>
      </c>
      <c r="E75">
        <v>3</v>
      </c>
      <c r="F75" s="6">
        <v>90</v>
      </c>
      <c r="G75" s="3">
        <v>2.75</v>
      </c>
      <c r="H75" s="3">
        <v>2.6</v>
      </c>
      <c r="I75" s="3">
        <v>1</v>
      </c>
      <c r="J75" s="3">
        <v>7.2071428571428129</v>
      </c>
      <c r="K75" s="3">
        <v>8.2071428571428129</v>
      </c>
      <c r="L75" s="3">
        <v>7.7071428571428129</v>
      </c>
      <c r="M75" s="1">
        <v>0.16</v>
      </c>
      <c r="N75" s="3">
        <v>87.207142857142813</v>
      </c>
      <c r="O75" s="3">
        <v>88.207142857142813</v>
      </c>
      <c r="P75" s="3">
        <v>87.707142857142813</v>
      </c>
      <c r="Q75" s="3">
        <v>87.207142857142813</v>
      </c>
      <c r="R75" s="3">
        <v>88.207142857142813</v>
      </c>
      <c r="S75" s="3">
        <v>87.7</v>
      </c>
      <c r="T75" s="3">
        <v>87.7</v>
      </c>
      <c r="U75" s="7">
        <f t="shared" si="13"/>
        <v>0.5</v>
      </c>
      <c r="V75" s="3">
        <v>1158.5899999999999</v>
      </c>
      <c r="W75" s="3">
        <v>1439.49</v>
      </c>
      <c r="X75" s="3">
        <v>1286.23</v>
      </c>
      <c r="Y75" s="3">
        <v>1290.6400000000001</v>
      </c>
      <c r="Z75" s="3">
        <f t="shared" si="14"/>
        <v>140.45000000000005</v>
      </c>
      <c r="AA75" s="4">
        <f t="shared" si="15"/>
        <v>0.11542497376705114</v>
      </c>
      <c r="AB75" s="4">
        <f t="shared" si="16"/>
        <v>1.3218841288121987E-2</v>
      </c>
      <c r="AC75">
        <v>1.1476266666666668</v>
      </c>
      <c r="AD75" s="2">
        <v>7.6548999999999996</v>
      </c>
      <c r="AE75" s="2">
        <v>2.1202999999999999</v>
      </c>
      <c r="AF75" s="2">
        <f t="shared" si="17"/>
        <v>5.5345999999999993</v>
      </c>
      <c r="AG75" s="2">
        <v>0.97267333333333306</v>
      </c>
      <c r="AH75" s="1">
        <f t="shared" si="18"/>
        <v>85.05252071784291</v>
      </c>
      <c r="AI75" s="1">
        <f t="shared" si="19"/>
        <v>14.94747928215709</v>
      </c>
      <c r="AJ75" s="1">
        <f t="shared" si="20"/>
        <v>0.7473739641078545</v>
      </c>
      <c r="AK75" s="8">
        <v>6.8599999999999994E-2</v>
      </c>
      <c r="AL75" s="9">
        <v>82.477650063856956</v>
      </c>
      <c r="AM75" s="10">
        <v>4.1238825031928483</v>
      </c>
      <c r="AN75" s="9">
        <v>41.238825031928478</v>
      </c>
      <c r="AO75" s="11">
        <v>4.124864470517803</v>
      </c>
      <c r="AP75" s="2">
        <v>5.6171656249999993</v>
      </c>
      <c r="AQ75" s="2">
        <f t="shared" si="21"/>
        <v>0.35669001718749999</v>
      </c>
      <c r="AR75" s="2">
        <v>1.1584620728240205</v>
      </c>
      <c r="AS75" s="2">
        <v>0.17316087832701804</v>
      </c>
      <c r="AT75" s="2">
        <f t="shared" si="22"/>
        <v>1.7316087832701804E-2</v>
      </c>
      <c r="AU75" s="2">
        <f t="shared" si="23"/>
        <v>1.9987089838375594E-2</v>
      </c>
      <c r="AV75" s="2">
        <f t="shared" si="24"/>
        <v>3.2678891885744099E-3</v>
      </c>
      <c r="AW75" s="3">
        <f t="shared" si="25"/>
        <v>16.350000000000001</v>
      </c>
    </row>
    <row r="76" spans="1:49" x14ac:dyDescent="0.2">
      <c r="A76" t="s">
        <v>45</v>
      </c>
      <c r="B76" s="5" t="s">
        <v>46</v>
      </c>
      <c r="C76" s="5" t="s">
        <v>116</v>
      </c>
      <c r="D76" s="5" t="s">
        <v>124</v>
      </c>
      <c r="E76">
        <v>3</v>
      </c>
      <c r="F76" s="6">
        <v>91</v>
      </c>
      <c r="G76" s="3">
        <v>2.65</v>
      </c>
      <c r="H76" s="3">
        <v>2.4</v>
      </c>
      <c r="I76" s="3">
        <v>0.95</v>
      </c>
      <c r="J76" s="3">
        <v>8.3666666666666174</v>
      </c>
      <c r="K76" s="3">
        <v>9.3166666666666202</v>
      </c>
      <c r="L76" s="3">
        <v>8.8416666666666117</v>
      </c>
      <c r="M76" s="1">
        <v>0.16</v>
      </c>
      <c r="N76" s="3">
        <v>88.366666666666617</v>
      </c>
      <c r="O76" s="3">
        <v>89.31666666666662</v>
      </c>
      <c r="P76" s="3">
        <v>88.841666666666612</v>
      </c>
      <c r="Q76" s="3">
        <v>88.366666666666617</v>
      </c>
      <c r="R76" s="3">
        <v>89.31666666666662</v>
      </c>
      <c r="S76" s="3">
        <v>88.8</v>
      </c>
      <c r="T76" s="3">
        <v>88.8</v>
      </c>
      <c r="U76" s="7">
        <f t="shared" si="13"/>
        <v>0.47500000000000142</v>
      </c>
      <c r="V76" s="3">
        <v>1165.0899999999999</v>
      </c>
      <c r="W76" s="3">
        <v>1453</v>
      </c>
      <c r="X76" s="3">
        <v>1295.5999999999999</v>
      </c>
      <c r="Y76" s="3">
        <v>1300.17</v>
      </c>
      <c r="Z76" s="3">
        <f t="shared" si="14"/>
        <v>143.95500000000004</v>
      </c>
      <c r="AA76" s="4">
        <f t="shared" si="15"/>
        <v>0.11538461538461717</v>
      </c>
      <c r="AB76" s="4">
        <f t="shared" si="16"/>
        <v>1.3392604118841092E-2</v>
      </c>
      <c r="AC76">
        <v>1.1476266666666668</v>
      </c>
      <c r="AD76" s="2">
        <v>7.2839999999999998</v>
      </c>
      <c r="AE76" s="2">
        <v>2.0539999999999998</v>
      </c>
      <c r="AF76" s="2">
        <f t="shared" si="17"/>
        <v>5.23</v>
      </c>
      <c r="AG76" s="2">
        <v>0.90637333333333303</v>
      </c>
      <c r="AH76" s="1">
        <f t="shared" si="18"/>
        <v>85.229494945983305</v>
      </c>
      <c r="AI76" s="1">
        <f t="shared" si="19"/>
        <v>14.770505054016695</v>
      </c>
      <c r="AJ76" s="1">
        <f t="shared" si="20"/>
        <v>0.7385252527008348</v>
      </c>
      <c r="AK76" s="8">
        <v>5.4400000000000226E-2</v>
      </c>
      <c r="AL76" s="9">
        <v>79.417328793038166</v>
      </c>
      <c r="AM76" s="10">
        <v>3.9708664396519087</v>
      </c>
      <c r="AN76" s="9">
        <v>39.708664396519083</v>
      </c>
      <c r="AO76" s="11">
        <v>3.9718862372371424</v>
      </c>
      <c r="AP76" s="2">
        <v>4.7546223437499995</v>
      </c>
      <c r="AQ76" s="2">
        <f t="shared" si="21"/>
        <v>0.28527734062499999</v>
      </c>
      <c r="AR76" s="2">
        <v>1.2906121432335547</v>
      </c>
      <c r="AS76" s="2">
        <v>0.19062993184406543</v>
      </c>
      <c r="AT76" s="2">
        <f t="shared" si="22"/>
        <v>1.9062993184406546E-2</v>
      </c>
      <c r="AU76" s="2">
        <f t="shared" si="23"/>
        <v>2.1995761366623272E-2</v>
      </c>
      <c r="AV76" s="2">
        <f t="shared" si="24"/>
        <v>3.5193218186597244E-3</v>
      </c>
      <c r="AW76" s="3">
        <f t="shared" si="25"/>
        <v>16.000000000000004</v>
      </c>
    </row>
    <row r="77" spans="1:49" x14ac:dyDescent="0.2">
      <c r="A77" t="s">
        <v>45</v>
      </c>
      <c r="B77" s="5" t="s">
        <v>46</v>
      </c>
      <c r="C77" s="5" t="s">
        <v>116</v>
      </c>
      <c r="D77" s="5" t="s">
        <v>125</v>
      </c>
      <c r="E77">
        <v>3</v>
      </c>
      <c r="F77" s="6">
        <v>92</v>
      </c>
      <c r="G77" s="3">
        <v>2.4500000000000002</v>
      </c>
      <c r="H77" s="3">
        <v>2.75</v>
      </c>
      <c r="I77" s="3">
        <v>1</v>
      </c>
      <c r="J77" s="3">
        <v>9.4761904761904248</v>
      </c>
      <c r="K77" s="3">
        <v>10.476190476190425</v>
      </c>
      <c r="L77" s="3">
        <v>9.9761904761904248</v>
      </c>
      <c r="M77" s="1">
        <v>0.16</v>
      </c>
      <c r="N77" s="3">
        <v>89.476190476190425</v>
      </c>
      <c r="O77" s="3">
        <v>90.476190476190425</v>
      </c>
      <c r="P77" s="3">
        <v>89.976190476190425</v>
      </c>
      <c r="Q77" s="3">
        <v>89.476190476190425</v>
      </c>
      <c r="R77" s="3">
        <v>90.476190476190425</v>
      </c>
      <c r="S77" s="3">
        <v>90</v>
      </c>
      <c r="T77" s="3">
        <v>90</v>
      </c>
      <c r="U77" s="7">
        <f t="shared" si="13"/>
        <v>0.5</v>
      </c>
      <c r="V77" s="3">
        <v>1170.1500000000001</v>
      </c>
      <c r="W77" s="3">
        <v>1471.89</v>
      </c>
      <c r="X77" s="3">
        <v>1305.73</v>
      </c>
      <c r="Y77" s="3">
        <v>1310.57</v>
      </c>
      <c r="Z77" s="3">
        <f t="shared" si="14"/>
        <v>150.87</v>
      </c>
      <c r="AA77" s="4">
        <f t="shared" si="15"/>
        <v>0.11293634496919849</v>
      </c>
      <c r="AB77" s="4">
        <f t="shared" si="16"/>
        <v>1.362841330030622E-2</v>
      </c>
      <c r="AC77">
        <v>1.1476266666666668</v>
      </c>
      <c r="AD77" s="2">
        <v>6.9668000000000001</v>
      </c>
      <c r="AE77" s="2">
        <v>2.1791999999999998</v>
      </c>
      <c r="AF77" s="2">
        <f t="shared" si="17"/>
        <v>4.7876000000000003</v>
      </c>
      <c r="AG77" s="2">
        <v>1.031573333333333</v>
      </c>
      <c r="AH77" s="1">
        <f t="shared" si="18"/>
        <v>82.272854334407171</v>
      </c>
      <c r="AI77" s="1">
        <f t="shared" si="19"/>
        <v>17.727145665592829</v>
      </c>
      <c r="AJ77" s="1">
        <f t="shared" si="20"/>
        <v>0.88635728327964147</v>
      </c>
      <c r="AK77" s="8">
        <v>5.7100000000000151E-2</v>
      </c>
      <c r="AL77" s="9">
        <v>84.728537041989796</v>
      </c>
      <c r="AM77" s="10">
        <v>4.2364268520994903</v>
      </c>
      <c r="AN77" s="9">
        <v>42.364268520994898</v>
      </c>
      <c r="AO77" s="11">
        <v>4.2373827385769154</v>
      </c>
      <c r="AP77" s="2">
        <v>5.3066000000000013</v>
      </c>
      <c r="AQ77" s="2">
        <f t="shared" si="21"/>
        <v>0.32900920000000011</v>
      </c>
      <c r="AR77" s="2">
        <v>1.0965916657244434</v>
      </c>
      <c r="AS77" s="2">
        <v>0.19439440193972274</v>
      </c>
      <c r="AT77" s="2">
        <f t="shared" si="22"/>
        <v>1.9439440193972275E-2</v>
      </c>
      <c r="AU77" s="2">
        <f t="shared" si="23"/>
        <v>2.1954193237545556E-2</v>
      </c>
      <c r="AV77" s="2">
        <f t="shared" si="24"/>
        <v>3.5565793044823801E-3</v>
      </c>
      <c r="AW77" s="3">
        <f t="shared" si="25"/>
        <v>16.2</v>
      </c>
    </row>
    <row r="78" spans="1:49" x14ac:dyDescent="0.2">
      <c r="A78" t="s">
        <v>45</v>
      </c>
      <c r="B78" s="5" t="s">
        <v>46</v>
      </c>
      <c r="C78" s="5" t="s">
        <v>116</v>
      </c>
      <c r="D78" s="5" t="s">
        <v>126</v>
      </c>
      <c r="E78">
        <v>3</v>
      </c>
      <c r="F78" s="6">
        <v>93</v>
      </c>
      <c r="G78" s="3">
        <v>2.5</v>
      </c>
      <c r="H78" s="3">
        <v>2.85</v>
      </c>
      <c r="I78" s="3">
        <v>1</v>
      </c>
      <c r="J78" s="3">
        <v>10.635714285714229</v>
      </c>
      <c r="K78" s="3">
        <v>11.635714285714229</v>
      </c>
      <c r="L78" s="3">
        <v>11.135714285714229</v>
      </c>
      <c r="M78" s="1">
        <v>0.16</v>
      </c>
      <c r="N78" s="3">
        <v>90.635714285714229</v>
      </c>
      <c r="O78" s="3">
        <v>91.635714285714229</v>
      </c>
      <c r="P78" s="3">
        <v>91.135714285714229</v>
      </c>
      <c r="Q78" s="3">
        <v>90.635714285714229</v>
      </c>
      <c r="R78" s="3">
        <v>91.635714285714229</v>
      </c>
      <c r="S78" s="3">
        <v>91.1</v>
      </c>
      <c r="T78" s="3">
        <v>91.1</v>
      </c>
      <c r="U78" s="7">
        <f t="shared" si="13"/>
        <v>0.5</v>
      </c>
      <c r="V78" s="3">
        <v>1190.31</v>
      </c>
      <c r="W78" s="3">
        <v>1476.19</v>
      </c>
      <c r="X78" s="3">
        <v>1313.64</v>
      </c>
      <c r="Y78" s="3">
        <v>1320.31</v>
      </c>
      <c r="Z78" s="3">
        <f t="shared" si="14"/>
        <v>142.94000000000005</v>
      </c>
      <c r="AA78" s="4">
        <f t="shared" si="15"/>
        <v>0.11288805268109035</v>
      </c>
      <c r="AB78" s="4">
        <f t="shared" si="16"/>
        <v>1.2841120720851393E-2</v>
      </c>
      <c r="AC78">
        <v>1.1476266666666668</v>
      </c>
      <c r="AD78" s="2">
        <v>7.1531000000000002</v>
      </c>
      <c r="AE78" s="2">
        <v>2.1225000000000001</v>
      </c>
      <c r="AF78" s="2">
        <f t="shared" si="17"/>
        <v>5.0305999999999997</v>
      </c>
      <c r="AG78" s="2">
        <v>0.97487333333333326</v>
      </c>
      <c r="AH78" s="1">
        <f t="shared" si="18"/>
        <v>83.766919288071662</v>
      </c>
      <c r="AI78" s="1">
        <f t="shared" si="19"/>
        <v>16.233080711928338</v>
      </c>
      <c r="AJ78" s="1">
        <f t="shared" si="20"/>
        <v>0.81165403559641691</v>
      </c>
      <c r="AK78" s="8">
        <v>7.1299999999999919E-2</v>
      </c>
      <c r="AL78" s="9">
        <v>82.660505836575894</v>
      </c>
      <c r="AM78" s="10">
        <v>4.1330252918287949</v>
      </c>
      <c r="AN78" s="9">
        <v>41.330252918287947</v>
      </c>
      <c r="AO78" s="11">
        <v>4.1340050874299239</v>
      </c>
      <c r="AP78" s="2">
        <v>5.6171656249999993</v>
      </c>
      <c r="AQ78" s="2">
        <f t="shared" si="21"/>
        <v>0.35669001718749999</v>
      </c>
      <c r="AR78" s="2">
        <v>1.0691287624856769</v>
      </c>
      <c r="AS78" s="2">
        <v>0.17355253492874056</v>
      </c>
      <c r="AT78" s="2">
        <f t="shared" si="22"/>
        <v>1.7355253492874059E-2</v>
      </c>
      <c r="AU78" s="2">
        <f t="shared" si="23"/>
        <v>1.9592007705972438E-2</v>
      </c>
      <c r="AV78" s="2">
        <f t="shared" si="24"/>
        <v>3.2032932599264938E-3</v>
      </c>
      <c r="AW78" s="3">
        <f t="shared" si="25"/>
        <v>16.350000000000001</v>
      </c>
    </row>
    <row r="79" spans="1:49" x14ac:dyDescent="0.2">
      <c r="A79" t="s">
        <v>45</v>
      </c>
      <c r="B79" s="5" t="s">
        <v>46</v>
      </c>
      <c r="C79" s="5" t="s">
        <v>116</v>
      </c>
      <c r="D79" s="5" t="s">
        <v>127</v>
      </c>
      <c r="E79">
        <v>3</v>
      </c>
      <c r="F79" s="6">
        <v>94</v>
      </c>
      <c r="G79" s="3">
        <v>2.6</v>
      </c>
      <c r="H79" s="3">
        <v>2.85</v>
      </c>
      <c r="I79" s="3">
        <v>1</v>
      </c>
      <c r="J79" s="3">
        <v>11.795238095238034</v>
      </c>
      <c r="K79" s="3">
        <v>12.795238095238034</v>
      </c>
      <c r="L79" s="3">
        <v>12.295238095238034</v>
      </c>
      <c r="M79" s="1">
        <v>0.16</v>
      </c>
      <c r="N79" s="3">
        <v>91.795238095238034</v>
      </c>
      <c r="O79" s="3">
        <v>92.795238095238034</v>
      </c>
      <c r="P79" s="3">
        <v>92.295238095238034</v>
      </c>
      <c r="Q79" s="3">
        <v>91.795238095238034</v>
      </c>
      <c r="R79" s="3">
        <v>92.795238095238034</v>
      </c>
      <c r="S79" s="3">
        <v>92.3</v>
      </c>
      <c r="T79" s="3">
        <v>92.3</v>
      </c>
      <c r="U79" s="7">
        <f t="shared" si="13"/>
        <v>0.5</v>
      </c>
      <c r="V79" s="3">
        <v>1212.4100000000001</v>
      </c>
      <c r="W79" s="3">
        <v>1481.15</v>
      </c>
      <c r="X79" s="3">
        <v>1323.23</v>
      </c>
      <c r="Y79" s="3">
        <v>1330.94</v>
      </c>
      <c r="Z79" s="3">
        <f t="shared" si="14"/>
        <v>134.37</v>
      </c>
      <c r="AA79" s="4">
        <f t="shared" si="15"/>
        <v>0.1129943502824873</v>
      </c>
      <c r="AB79" s="4">
        <f t="shared" si="16"/>
        <v>1.2019868813242768E-2</v>
      </c>
      <c r="AC79">
        <v>1.1476266666666668</v>
      </c>
      <c r="AD79" s="2">
        <v>7.6083999999999996</v>
      </c>
      <c r="AE79" s="2">
        <v>2.1762999999999999</v>
      </c>
      <c r="AF79" s="2">
        <f t="shared" si="17"/>
        <v>5.4321000000000002</v>
      </c>
      <c r="AG79" s="2">
        <v>1.0286733333333331</v>
      </c>
      <c r="AH79" s="1">
        <f t="shared" si="18"/>
        <v>84.078170208726306</v>
      </c>
      <c r="AI79" s="1">
        <f t="shared" si="19"/>
        <v>15.921829791273694</v>
      </c>
      <c r="AJ79" s="1">
        <f t="shared" si="20"/>
        <v>0.79609148956368481</v>
      </c>
      <c r="AK79" s="8">
        <v>0.59999999999999964</v>
      </c>
      <c r="AL79" s="9">
        <v>23.732045252319836</v>
      </c>
      <c r="AM79" s="10">
        <v>1.1866022626159918</v>
      </c>
      <c r="AN79" s="9">
        <v>11.866022626159918</v>
      </c>
      <c r="AO79" s="11">
        <v>1.190010474594821</v>
      </c>
      <c r="AP79" s="2">
        <v>5.829115625</v>
      </c>
      <c r="AQ79" s="2">
        <f t="shared" si="21"/>
        <v>0.37597795781249999</v>
      </c>
      <c r="AR79" s="2">
        <v>1.1083625285496603</v>
      </c>
      <c r="AS79" s="2">
        <v>0.1764715952659342</v>
      </c>
      <c r="AT79" s="2">
        <f t="shared" si="22"/>
        <v>1.7647159526593421E-2</v>
      </c>
      <c r="AU79" s="2">
        <f t="shared" si="23"/>
        <v>1.9940293250388298E-2</v>
      </c>
      <c r="AV79" s="2">
        <f t="shared" si="24"/>
        <v>3.280178239688875E-3</v>
      </c>
      <c r="AW79" s="3">
        <f t="shared" si="25"/>
        <v>16.45</v>
      </c>
    </row>
    <row r="80" spans="1:49" x14ac:dyDescent="0.2">
      <c r="A80" t="s">
        <v>45</v>
      </c>
      <c r="B80" s="5" t="s">
        <v>46</v>
      </c>
      <c r="C80" s="5" t="s">
        <v>116</v>
      </c>
      <c r="D80" s="5" t="s">
        <v>128</v>
      </c>
      <c r="E80">
        <v>3</v>
      </c>
      <c r="F80" s="6">
        <v>95</v>
      </c>
      <c r="G80" s="3">
        <v>2.4500000000000002</v>
      </c>
      <c r="H80" s="3">
        <v>2.8</v>
      </c>
      <c r="I80" s="3">
        <v>1</v>
      </c>
      <c r="J80" s="3">
        <v>12.954761904761838</v>
      </c>
      <c r="K80" s="3">
        <v>13.954761904761838</v>
      </c>
      <c r="L80" s="3">
        <v>13.454761904761838</v>
      </c>
      <c r="M80" s="1">
        <v>0.16</v>
      </c>
      <c r="N80" s="3">
        <v>92.954761904761838</v>
      </c>
      <c r="O80" s="3">
        <v>93.954761904761838</v>
      </c>
      <c r="P80" s="3">
        <v>93.454761904761838</v>
      </c>
      <c r="Q80" s="3">
        <v>92.954761904761838</v>
      </c>
      <c r="R80" s="3">
        <v>93.954761904761838</v>
      </c>
      <c r="S80" s="3">
        <v>93.5</v>
      </c>
      <c r="T80" s="3">
        <v>93.5</v>
      </c>
      <c r="U80" s="7">
        <f t="shared" si="13"/>
        <v>0.5</v>
      </c>
      <c r="V80" s="3">
        <v>1232.57</v>
      </c>
      <c r="W80" s="3">
        <v>1487.27</v>
      </c>
      <c r="X80" s="3">
        <v>1332.45</v>
      </c>
      <c r="Y80" s="3">
        <v>1341.56</v>
      </c>
      <c r="Z80" s="3">
        <f t="shared" si="14"/>
        <v>127.35000000000002</v>
      </c>
      <c r="AA80" s="4">
        <f t="shared" si="15"/>
        <v>0.11286681715575458</v>
      </c>
      <c r="AB80" s="4">
        <f t="shared" si="16"/>
        <v>1.1317651830339163E-2</v>
      </c>
      <c r="AC80">
        <v>1.1476266666666668</v>
      </c>
      <c r="AD80" s="2">
        <v>7.0746000000000002</v>
      </c>
      <c r="AE80" s="2">
        <v>2.0659000000000001</v>
      </c>
      <c r="AF80" s="2">
        <f t="shared" si="17"/>
        <v>5.0087000000000002</v>
      </c>
      <c r="AG80" s="2">
        <v>0.91827333333333327</v>
      </c>
      <c r="AH80" s="1">
        <f t="shared" si="18"/>
        <v>84.506875909682961</v>
      </c>
      <c r="AI80" s="1">
        <f t="shared" si="19"/>
        <v>15.493124090317039</v>
      </c>
      <c r="AJ80" s="1">
        <f t="shared" si="20"/>
        <v>0.77465620451585204</v>
      </c>
      <c r="AK80" s="8">
        <v>0.1003999999999996</v>
      </c>
      <c r="AL80" s="9">
        <v>71.742189698846133</v>
      </c>
      <c r="AM80" s="10">
        <v>3.5871094849423066</v>
      </c>
      <c r="AN80" s="9">
        <v>35.871094849423066</v>
      </c>
      <c r="AO80" s="11">
        <v>3.5882383500769652</v>
      </c>
      <c r="AP80" s="2">
        <v>5.409140625</v>
      </c>
      <c r="AQ80" s="2">
        <f t="shared" si="21"/>
        <v>0.3380712890625</v>
      </c>
      <c r="AR80" s="2">
        <v>1.0957328981132439</v>
      </c>
      <c r="AS80" s="2">
        <v>0.16976325760311201</v>
      </c>
      <c r="AT80" s="2">
        <f t="shared" si="22"/>
        <v>1.69763257603112E-2</v>
      </c>
      <c r="AU80" s="2">
        <f t="shared" si="23"/>
        <v>1.9160638555655706E-2</v>
      </c>
      <c r="AV80" s="2">
        <f t="shared" si="24"/>
        <v>3.113603765294052E-3</v>
      </c>
      <c r="AW80" s="3">
        <f t="shared" si="25"/>
        <v>16.249999999999996</v>
      </c>
    </row>
    <row r="81" spans="1:49" x14ac:dyDescent="0.2">
      <c r="A81" t="s">
        <v>45</v>
      </c>
      <c r="B81" s="5" t="s">
        <v>46</v>
      </c>
      <c r="C81" s="5" t="s">
        <v>116</v>
      </c>
      <c r="D81" s="5" t="s">
        <v>129</v>
      </c>
      <c r="E81">
        <v>3</v>
      </c>
      <c r="F81" s="6">
        <v>96</v>
      </c>
      <c r="G81" s="3">
        <v>2.5499999999999998</v>
      </c>
      <c r="H81" s="3">
        <v>2.75</v>
      </c>
      <c r="I81" s="3">
        <v>0.85</v>
      </c>
      <c r="J81" s="3">
        <v>14.114285714285643</v>
      </c>
      <c r="K81" s="3">
        <v>14.964285714285637</v>
      </c>
      <c r="L81" s="3">
        <v>14.53928571428564</v>
      </c>
      <c r="M81" s="1">
        <v>0.16</v>
      </c>
      <c r="N81" s="3">
        <v>94.114285714285643</v>
      </c>
      <c r="O81" s="3">
        <v>94.964285714285637</v>
      </c>
      <c r="P81" s="3">
        <v>94.53928571428564</v>
      </c>
      <c r="Q81" s="3">
        <v>94.114285714285643</v>
      </c>
      <c r="R81" s="3">
        <v>94.964285714285637</v>
      </c>
      <c r="S81" s="3">
        <v>94.5</v>
      </c>
      <c r="T81" s="3">
        <v>94.5</v>
      </c>
      <c r="U81" s="7">
        <f t="shared" si="13"/>
        <v>0.42499999999999716</v>
      </c>
      <c r="V81" s="3">
        <v>1249.1099999999999</v>
      </c>
      <c r="W81" s="3">
        <v>1490.92</v>
      </c>
      <c r="X81" s="3">
        <v>1341.33</v>
      </c>
      <c r="Y81" s="3">
        <v>1350.42</v>
      </c>
      <c r="Z81" s="3">
        <f t="shared" si="14"/>
        <v>120.90500000000009</v>
      </c>
      <c r="AA81" s="4">
        <f t="shared" si="15"/>
        <v>0.11293634496919849</v>
      </c>
      <c r="AB81" s="4">
        <f t="shared" si="16"/>
        <v>1.0619264424628499E-2</v>
      </c>
      <c r="AC81">
        <v>1.1476266666666668</v>
      </c>
      <c r="AD81" s="2">
        <v>6.1262999999999996</v>
      </c>
      <c r="AE81" s="2">
        <v>2.2641</v>
      </c>
      <c r="AF81" s="2">
        <f t="shared" si="17"/>
        <v>3.8621999999999996</v>
      </c>
      <c r="AG81" s="2">
        <v>1.1164733333333332</v>
      </c>
      <c r="AH81" s="1">
        <f t="shared" si="18"/>
        <v>77.574882733151128</v>
      </c>
      <c r="AI81" s="1">
        <f t="shared" si="19"/>
        <v>22.425117266848872</v>
      </c>
      <c r="AJ81" s="1">
        <f t="shared" si="20"/>
        <v>1.1212558633424436</v>
      </c>
      <c r="AK81" s="8">
        <v>0.28460000000000019</v>
      </c>
      <c r="AL81" s="9">
        <v>43.396976929196526</v>
      </c>
      <c r="AM81" s="10">
        <v>2.1698488464598262</v>
      </c>
      <c r="AN81" s="9">
        <v>21.698488464598263</v>
      </c>
      <c r="AO81" s="11">
        <v>2.1717145338379624</v>
      </c>
      <c r="AP81" s="2">
        <v>4.6857631249999994</v>
      </c>
      <c r="AQ81" s="2">
        <f t="shared" si="21"/>
        <v>0.28817443218749994</v>
      </c>
      <c r="AR81" s="2">
        <v>1.0625106733992948</v>
      </c>
      <c r="AS81" s="2">
        <v>0.2382692644825774</v>
      </c>
      <c r="AT81" s="2">
        <f t="shared" si="22"/>
        <v>2.3826926448257742E-2</v>
      </c>
      <c r="AU81" s="2">
        <f t="shared" si="23"/>
        <v>2.6909259849161555E-2</v>
      </c>
      <c r="AV81" s="2">
        <f t="shared" si="24"/>
        <v>4.3458454656395912E-3</v>
      </c>
      <c r="AW81" s="3">
        <f t="shared" si="25"/>
        <v>16.150000000000002</v>
      </c>
    </row>
    <row r="82" spans="1:49" x14ac:dyDescent="0.2">
      <c r="A82" t="s">
        <v>45</v>
      </c>
      <c r="B82" s="5" t="s">
        <v>46</v>
      </c>
      <c r="C82" s="5" t="s">
        <v>116</v>
      </c>
      <c r="D82" s="5" t="s">
        <v>130</v>
      </c>
      <c r="E82">
        <v>3</v>
      </c>
      <c r="F82" s="6">
        <v>97</v>
      </c>
      <c r="G82" s="3">
        <v>2.7</v>
      </c>
      <c r="H82" s="3">
        <v>2.85</v>
      </c>
      <c r="I82" s="3">
        <v>1</v>
      </c>
      <c r="J82" s="3">
        <v>15.123809523809442</v>
      </c>
      <c r="K82" s="3">
        <v>16.123809523809442</v>
      </c>
      <c r="L82" s="3">
        <v>15.623809523809442</v>
      </c>
      <c r="M82" s="1">
        <v>0.16</v>
      </c>
      <c r="N82" s="3">
        <v>95.123809523809442</v>
      </c>
      <c r="O82" s="3">
        <v>96.123809523809442</v>
      </c>
      <c r="P82" s="3">
        <v>95.623809523809442</v>
      </c>
      <c r="Q82" s="3">
        <v>95.123809523809442</v>
      </c>
      <c r="R82" s="3">
        <v>96.123809523809442</v>
      </c>
      <c r="S82" s="3">
        <v>95.6</v>
      </c>
      <c r="T82" s="3">
        <v>95.6</v>
      </c>
      <c r="U82" s="7">
        <f t="shared" si="13"/>
        <v>0.5</v>
      </c>
      <c r="V82" s="3">
        <v>1263.57</v>
      </c>
      <c r="W82" s="3">
        <v>1497.4</v>
      </c>
      <c r="X82" s="3">
        <v>1350.17</v>
      </c>
      <c r="Y82" s="3">
        <v>1360.16</v>
      </c>
      <c r="Z82" s="3">
        <f t="shared" si="14"/>
        <v>116.91500000000008</v>
      </c>
      <c r="AA82" s="4">
        <f t="shared" si="15"/>
        <v>0.1129943502824873</v>
      </c>
      <c r="AB82" s="4">
        <f t="shared" si="16"/>
        <v>1.0303607313345522E-2</v>
      </c>
      <c r="AC82">
        <v>1.1476266666666668</v>
      </c>
      <c r="AD82" s="2">
        <v>8.0181000000000004</v>
      </c>
      <c r="AE82" s="2">
        <v>3.1459000000000001</v>
      </c>
      <c r="AF82" s="2">
        <f t="shared" si="17"/>
        <v>4.8722000000000003</v>
      </c>
      <c r="AG82" s="2">
        <v>1.9982733333333333</v>
      </c>
      <c r="AH82" s="1">
        <f t="shared" si="18"/>
        <v>70.915055828273836</v>
      </c>
      <c r="AI82" s="1">
        <f t="shared" si="19"/>
        <v>29.084944171726164</v>
      </c>
      <c r="AJ82" s="1">
        <f t="shared" si="20"/>
        <v>1.4542472085863083</v>
      </c>
      <c r="AK82" s="8">
        <v>0.37819999999999965</v>
      </c>
      <c r="AL82" s="9">
        <v>42.792315837241034</v>
      </c>
      <c r="AM82" s="10">
        <v>2.139615791862052</v>
      </c>
      <c r="AN82" s="9">
        <v>21.396157918620517</v>
      </c>
      <c r="AO82" s="11">
        <v>2.1415078185207439</v>
      </c>
      <c r="AP82" s="2">
        <v>6.0449906250000023</v>
      </c>
      <c r="AQ82" s="2">
        <f t="shared" si="21"/>
        <v>0.39594688593750016</v>
      </c>
      <c r="AR82" s="2">
        <v>1.1365564910753407</v>
      </c>
      <c r="AS82" s="2">
        <v>0.33056682090939266</v>
      </c>
      <c r="AT82" s="2">
        <f t="shared" si="22"/>
        <v>3.3056682090939267E-2</v>
      </c>
      <c r="AU82" s="2">
        <f t="shared" si="23"/>
        <v>3.7352183153604161E-2</v>
      </c>
      <c r="AV82" s="2">
        <f t="shared" si="24"/>
        <v>6.1817863119214894E-3</v>
      </c>
      <c r="AW82" s="3">
        <f t="shared" si="25"/>
        <v>16.55</v>
      </c>
    </row>
    <row r="83" spans="1:49" x14ac:dyDescent="0.2">
      <c r="A83" t="s">
        <v>45</v>
      </c>
      <c r="B83" s="5" t="s">
        <v>46</v>
      </c>
      <c r="C83" s="5" t="s">
        <v>116</v>
      </c>
      <c r="D83" s="5" t="s">
        <v>131</v>
      </c>
      <c r="E83">
        <v>3</v>
      </c>
      <c r="F83" s="6">
        <v>98</v>
      </c>
      <c r="G83" s="3">
        <v>2.65</v>
      </c>
      <c r="H83" s="3">
        <v>2.7</v>
      </c>
      <c r="I83" s="3">
        <v>1</v>
      </c>
      <c r="J83" s="3">
        <v>16.283333333333246</v>
      </c>
      <c r="K83" s="3">
        <v>17.283333333333246</v>
      </c>
      <c r="L83" s="3">
        <v>16.783333333333246</v>
      </c>
      <c r="M83" s="1">
        <v>0.16</v>
      </c>
      <c r="N83" s="3">
        <v>96.283333333333246</v>
      </c>
      <c r="O83" s="3">
        <v>97.283333333333246</v>
      </c>
      <c r="P83" s="3">
        <v>96.783333333333246</v>
      </c>
      <c r="Q83" s="3">
        <v>96.283333333333246</v>
      </c>
      <c r="R83" s="3">
        <v>97.283333333333246</v>
      </c>
      <c r="S83" s="3">
        <v>96.8</v>
      </c>
      <c r="T83" s="3">
        <v>96.8</v>
      </c>
      <c r="U83" s="7">
        <f t="shared" si="13"/>
        <v>0.5</v>
      </c>
      <c r="V83" s="3">
        <v>1277.79</v>
      </c>
      <c r="W83" s="3">
        <v>1505.36</v>
      </c>
      <c r="X83" s="3">
        <v>1359.19</v>
      </c>
      <c r="Y83" s="3">
        <v>1370.78</v>
      </c>
      <c r="Z83" s="3">
        <f t="shared" si="14"/>
        <v>113.78499999999997</v>
      </c>
      <c r="AA83" s="4">
        <f t="shared" si="15"/>
        <v>0.11293634496919995</v>
      </c>
      <c r="AB83" s="4">
        <f t="shared" si="16"/>
        <v>9.9579108265368359E-3</v>
      </c>
      <c r="AC83">
        <v>1.1476266666666668</v>
      </c>
      <c r="AD83" s="2">
        <v>8.2383000000000006</v>
      </c>
      <c r="AE83" s="2">
        <v>3.0863</v>
      </c>
      <c r="AF83" s="2">
        <f t="shared" si="17"/>
        <v>5.152000000000001</v>
      </c>
      <c r="AG83" s="2">
        <v>1.9386733333333332</v>
      </c>
      <c r="AH83" s="1">
        <f t="shared" si="18"/>
        <v>72.658826007121107</v>
      </c>
      <c r="AI83" s="1">
        <f t="shared" si="19"/>
        <v>27.341173992878893</v>
      </c>
      <c r="AJ83" s="1">
        <f t="shared" si="20"/>
        <v>1.3670586996439447</v>
      </c>
      <c r="AK83" s="8">
        <v>7.5199999999999712E-2</v>
      </c>
      <c r="AL83" s="9">
        <v>78.618140460619941</v>
      </c>
      <c r="AM83" s="10">
        <v>3.930907023030997</v>
      </c>
      <c r="AN83" s="9">
        <v>39.30907023030997</v>
      </c>
      <c r="AO83" s="11">
        <v>3.9319371846094411</v>
      </c>
      <c r="AP83" s="2">
        <v>5.6171656249999993</v>
      </c>
      <c r="AQ83" s="2">
        <f t="shared" si="21"/>
        <v>0.35669001718749999</v>
      </c>
      <c r="AR83" s="2">
        <v>1.262322282571708</v>
      </c>
      <c r="AS83" s="2">
        <v>0.34513373162881117</v>
      </c>
      <c r="AT83" s="2">
        <f t="shared" si="22"/>
        <v>3.4513373162881118E-2</v>
      </c>
      <c r="AU83" s="2">
        <f t="shared" si="23"/>
        <v>3.8978142175738695E-2</v>
      </c>
      <c r="AV83" s="2">
        <f t="shared" si="24"/>
        <v>6.3729262457332767E-3</v>
      </c>
      <c r="AW83" s="3">
        <f t="shared" si="25"/>
        <v>16.350000000000001</v>
      </c>
    </row>
    <row r="84" spans="1:49" x14ac:dyDescent="0.2">
      <c r="A84" t="s">
        <v>45</v>
      </c>
      <c r="B84" s="5" t="s">
        <v>46</v>
      </c>
      <c r="C84" s="5" t="s">
        <v>116</v>
      </c>
      <c r="D84" s="5" t="s">
        <v>132</v>
      </c>
      <c r="E84">
        <v>3</v>
      </c>
      <c r="F84" s="6">
        <v>99</v>
      </c>
      <c r="G84" s="3">
        <v>2.5499999999999998</v>
      </c>
      <c r="H84" s="3">
        <v>2.85</v>
      </c>
      <c r="I84" s="3">
        <v>1</v>
      </c>
      <c r="J84" s="3">
        <v>17.442857142857051</v>
      </c>
      <c r="K84" s="3">
        <v>18.442857142857051</v>
      </c>
      <c r="L84" s="3">
        <v>17.942857142857051</v>
      </c>
      <c r="M84" s="1">
        <v>0.16</v>
      </c>
      <c r="N84" s="3">
        <v>97.442857142857051</v>
      </c>
      <c r="O84" s="3">
        <v>98.442857142857051</v>
      </c>
      <c r="P84" s="3">
        <v>97.942857142857051</v>
      </c>
      <c r="Q84" s="3">
        <v>97.442857142857051</v>
      </c>
      <c r="R84" s="3">
        <v>98.442857142857051</v>
      </c>
      <c r="S84" s="3">
        <v>97.9</v>
      </c>
      <c r="T84" s="3">
        <v>97.9</v>
      </c>
      <c r="U84" s="7">
        <f t="shared" si="13"/>
        <v>0.5</v>
      </c>
      <c r="V84" s="3">
        <v>1289.5899999999999</v>
      </c>
      <c r="W84" s="3">
        <v>1512.29</v>
      </c>
      <c r="X84" s="3">
        <v>1368.19</v>
      </c>
      <c r="Y84" s="3">
        <v>1380.52</v>
      </c>
      <c r="Z84" s="3">
        <f t="shared" si="14"/>
        <v>111.35000000000002</v>
      </c>
      <c r="AA84" s="4">
        <f t="shared" si="15"/>
        <v>0.11288805268108902</v>
      </c>
      <c r="AB84" s="4">
        <f t="shared" si="16"/>
        <v>9.6818737784679591E-3</v>
      </c>
      <c r="AC84">
        <v>1.1476266666666668</v>
      </c>
      <c r="AD84" s="2">
        <v>7.8895</v>
      </c>
      <c r="AE84" s="2">
        <v>2.5891000000000002</v>
      </c>
      <c r="AF84" s="2">
        <f t="shared" si="17"/>
        <v>5.3003999999999998</v>
      </c>
      <c r="AG84" s="2">
        <v>1.4414733333333334</v>
      </c>
      <c r="AH84" s="1">
        <f t="shared" si="18"/>
        <v>78.619097955958821</v>
      </c>
      <c r="AI84" s="1">
        <f t="shared" si="19"/>
        <v>21.380902044041179</v>
      </c>
      <c r="AJ84" s="1">
        <f t="shared" si="20"/>
        <v>1.0690451022020591</v>
      </c>
      <c r="AK84" s="8">
        <v>0.32359999999999989</v>
      </c>
      <c r="AL84" s="9">
        <v>53.047011027277989</v>
      </c>
      <c r="AM84" s="10">
        <v>2.6523505513638996</v>
      </c>
      <c r="AN84" s="9">
        <v>26.523505513638995</v>
      </c>
      <c r="AO84" s="11">
        <v>2.6538770595715966</v>
      </c>
      <c r="AP84" s="2">
        <v>5.7226500000000016</v>
      </c>
      <c r="AQ84" s="2">
        <f t="shared" si="21"/>
        <v>0.36624960000000012</v>
      </c>
      <c r="AR84" s="2">
        <v>1.178103384504265</v>
      </c>
      <c r="AS84" s="2">
        <v>0.25188913061839058</v>
      </c>
      <c r="AT84" s="2">
        <f t="shared" si="22"/>
        <v>2.5188913061839058E-2</v>
      </c>
      <c r="AU84" s="2">
        <f t="shared" si="23"/>
        <v>2.8435273447042587E-2</v>
      </c>
      <c r="AV84" s="2">
        <f t="shared" si="24"/>
        <v>4.6633848453149843E-3</v>
      </c>
      <c r="AW84" s="3">
        <f t="shared" si="25"/>
        <v>16.400000000000002</v>
      </c>
    </row>
    <row r="85" spans="1:49" x14ac:dyDescent="0.2">
      <c r="A85" t="s">
        <v>45</v>
      </c>
      <c r="B85" s="5" t="s">
        <v>46</v>
      </c>
      <c r="C85" s="5" t="s">
        <v>116</v>
      </c>
      <c r="D85" s="5" t="s">
        <v>133</v>
      </c>
      <c r="E85">
        <v>3</v>
      </c>
      <c r="F85" s="6">
        <v>100</v>
      </c>
      <c r="G85" s="3">
        <v>2.2000000000000002</v>
      </c>
      <c r="H85" s="3">
        <v>2.75</v>
      </c>
      <c r="I85" s="3">
        <v>1</v>
      </c>
      <c r="J85" s="3">
        <v>18.602380952380855</v>
      </c>
      <c r="K85" s="3">
        <v>19.602380952380855</v>
      </c>
      <c r="L85" s="3">
        <v>19.102380952380855</v>
      </c>
      <c r="M85" s="1">
        <v>0.16</v>
      </c>
      <c r="N85" s="3">
        <v>98.602380952380855</v>
      </c>
      <c r="O85" s="3">
        <v>99.602380952380855</v>
      </c>
      <c r="P85" s="3">
        <v>99.102380952380855</v>
      </c>
      <c r="Q85" s="3">
        <v>98.602380952380855</v>
      </c>
      <c r="R85" s="3">
        <v>99.602380952380855</v>
      </c>
      <c r="S85" s="3">
        <v>99.1</v>
      </c>
      <c r="T85" s="3">
        <v>99.1</v>
      </c>
      <c r="U85" s="7">
        <f t="shared" si="13"/>
        <v>0.5</v>
      </c>
      <c r="V85" s="3">
        <v>1300.22</v>
      </c>
      <c r="W85" s="3">
        <v>1519.44</v>
      </c>
      <c r="X85" s="3">
        <v>1379.78</v>
      </c>
      <c r="Y85" s="3">
        <v>1391.15</v>
      </c>
      <c r="Z85" s="3">
        <f t="shared" si="14"/>
        <v>109.61000000000001</v>
      </c>
      <c r="AA85" s="4">
        <f t="shared" si="15"/>
        <v>7.9365079365080124E-2</v>
      </c>
      <c r="AB85" s="4">
        <f t="shared" si="16"/>
        <v>6.6536775433904466E-3</v>
      </c>
      <c r="AC85">
        <v>1.1476266666666668</v>
      </c>
      <c r="AD85" s="2">
        <v>6.8032000000000004</v>
      </c>
      <c r="AE85" s="2">
        <v>2.1307999999999998</v>
      </c>
      <c r="AF85" s="2">
        <f t="shared" si="17"/>
        <v>4.6724000000000006</v>
      </c>
      <c r="AG85" s="2">
        <v>0.98317333333333301</v>
      </c>
      <c r="AH85" s="1">
        <f t="shared" si="18"/>
        <v>82.615850323456755</v>
      </c>
      <c r="AI85" s="1">
        <f t="shared" si="19"/>
        <v>17.384149676543245</v>
      </c>
      <c r="AJ85" s="1">
        <f t="shared" si="20"/>
        <v>0.86920748382716229</v>
      </c>
      <c r="AK85" s="8">
        <v>7.240000000000002E-2</v>
      </c>
      <c r="AL85" s="9">
        <v>85.248573757131226</v>
      </c>
      <c r="AM85" s="10">
        <v>4.2624286878565618</v>
      </c>
      <c r="AN85" s="9">
        <v>42.624286878565613</v>
      </c>
      <c r="AO85" s="11">
        <v>4.2633787445009634</v>
      </c>
      <c r="AP85" s="2">
        <v>4.8086156250000007</v>
      </c>
      <c r="AQ85" s="2">
        <f t="shared" si="21"/>
        <v>0.28611262968750006</v>
      </c>
      <c r="AR85" s="2">
        <v>1.176133376918296</v>
      </c>
      <c r="AS85" s="2">
        <v>0.20446078663925918</v>
      </c>
      <c r="AT85" s="2">
        <f t="shared" si="22"/>
        <v>2.0446078663925921E-2</v>
      </c>
      <c r="AU85" s="2">
        <f t="shared" si="23"/>
        <v>1.6227046558671517E-2</v>
      </c>
      <c r="AV85" s="2">
        <f t="shared" si="24"/>
        <v>2.5882139261081075E-3</v>
      </c>
      <c r="AW85" s="3">
        <f t="shared" si="25"/>
        <v>15.950000000000003</v>
      </c>
    </row>
    <row r="86" spans="1:49" x14ac:dyDescent="0.2">
      <c r="A86" t="s">
        <v>45</v>
      </c>
      <c r="B86" s="5" t="s">
        <v>46</v>
      </c>
      <c r="C86" s="5" t="s">
        <v>116</v>
      </c>
      <c r="D86" s="5" t="s">
        <v>134</v>
      </c>
      <c r="E86">
        <v>3</v>
      </c>
      <c r="F86" s="6">
        <v>101</v>
      </c>
      <c r="G86" s="3">
        <v>2.5499999999999998</v>
      </c>
      <c r="H86" s="3">
        <v>2.85</v>
      </c>
      <c r="I86" s="3">
        <v>1.05</v>
      </c>
      <c r="J86" s="3">
        <v>19.76190476190466</v>
      </c>
      <c r="K86" s="3">
        <v>20.811904761904657</v>
      </c>
      <c r="L86" s="3">
        <v>20.286904761904651</v>
      </c>
      <c r="M86" s="1">
        <v>0.16</v>
      </c>
      <c r="N86" s="3">
        <v>99.76190476190466</v>
      </c>
      <c r="O86" s="3">
        <v>100.81190476190466</v>
      </c>
      <c r="P86" s="3">
        <v>100.28690476190465</v>
      </c>
      <c r="Q86" s="3">
        <v>99.76190476190466</v>
      </c>
      <c r="R86" s="3">
        <v>100.81190476190466</v>
      </c>
      <c r="S86" s="3">
        <v>100.3</v>
      </c>
      <c r="T86" s="3">
        <v>100.3</v>
      </c>
      <c r="U86" s="7">
        <f t="shared" si="13"/>
        <v>0.52499999999999858</v>
      </c>
      <c r="V86" s="3">
        <v>1315.44</v>
      </c>
      <c r="W86" s="3">
        <v>1533.51</v>
      </c>
      <c r="X86" s="3">
        <v>1394.53</v>
      </c>
      <c r="Y86" s="3">
        <v>1406.27</v>
      </c>
      <c r="Z86" s="3">
        <f t="shared" si="14"/>
        <v>109.03499999999997</v>
      </c>
      <c r="AA86" s="4">
        <f t="shared" si="15"/>
        <v>4.1904761904762229E-2</v>
      </c>
      <c r="AB86" s="4">
        <f t="shared" si="16"/>
        <v>3.4684233839675812E-3</v>
      </c>
      <c r="AC86">
        <v>1.1476266666666668</v>
      </c>
      <c r="AD86" s="2">
        <v>7.6962999999999999</v>
      </c>
      <c r="AE86" s="2">
        <v>2.3028</v>
      </c>
      <c r="AF86" s="2">
        <f t="shared" si="17"/>
        <v>5.3934999999999995</v>
      </c>
      <c r="AG86" s="2">
        <v>1.1551733333333332</v>
      </c>
      <c r="AH86" s="1">
        <f t="shared" si="18"/>
        <v>82.360193056914326</v>
      </c>
      <c r="AI86" s="1">
        <f t="shared" si="19"/>
        <v>17.639806943085674</v>
      </c>
      <c r="AJ86" s="1">
        <f t="shared" si="20"/>
        <v>0.8819903471542837</v>
      </c>
      <c r="AK86" s="8">
        <v>5.1800000000000068E-2</v>
      </c>
      <c r="AL86" s="9">
        <v>85.473920358945591</v>
      </c>
      <c r="AM86" s="10">
        <v>4.2736960179472794</v>
      </c>
      <c r="AN86" s="9">
        <v>42.736960179472796</v>
      </c>
      <c r="AO86" s="11">
        <v>4.2746435703831995</v>
      </c>
      <c r="AP86" s="2">
        <v>6.0087825000000015</v>
      </c>
      <c r="AQ86" s="2">
        <f t="shared" si="21"/>
        <v>0.3875664712500001</v>
      </c>
      <c r="AR86" s="2">
        <v>1.0898502871976696</v>
      </c>
      <c r="AS86" s="2">
        <v>0.19224748663033367</v>
      </c>
      <c r="AT86" s="2">
        <f t="shared" si="22"/>
        <v>1.9224748663033368E-2</v>
      </c>
      <c r="AU86" s="2">
        <f t="shared" si="23"/>
        <v>8.0560851540330929E-3</v>
      </c>
      <c r="AV86" s="2">
        <f t="shared" si="24"/>
        <v>1.3252260078384437E-3</v>
      </c>
      <c r="AW86" s="3">
        <f t="shared" si="25"/>
        <v>16.45</v>
      </c>
    </row>
    <row r="87" spans="1:49" x14ac:dyDescent="0.2">
      <c r="A87" t="s">
        <v>45</v>
      </c>
      <c r="B87" s="5" t="s">
        <v>46</v>
      </c>
      <c r="C87" s="5" t="s">
        <v>116</v>
      </c>
      <c r="D87" s="5" t="s">
        <v>135</v>
      </c>
      <c r="E87">
        <v>3</v>
      </c>
      <c r="F87" s="6">
        <v>102</v>
      </c>
      <c r="G87" s="3">
        <v>2.5</v>
      </c>
      <c r="H87" s="3">
        <v>2.9</v>
      </c>
      <c r="I87" s="3">
        <v>0.95</v>
      </c>
      <c r="J87" s="3">
        <v>20.971428571428461</v>
      </c>
      <c r="K87" s="3">
        <v>21.921428571428464</v>
      </c>
      <c r="L87" s="3">
        <v>21.44642857142847</v>
      </c>
      <c r="M87" s="1">
        <v>0.16</v>
      </c>
      <c r="N87" s="3">
        <v>100.97142857142846</v>
      </c>
      <c r="O87" s="3">
        <v>101.92142857142846</v>
      </c>
      <c r="P87" s="3">
        <v>101.44642857142847</v>
      </c>
      <c r="Q87" s="3">
        <v>100.97142857142846</v>
      </c>
      <c r="R87" s="3">
        <v>101.92142857142846</v>
      </c>
      <c r="S87" s="3">
        <v>101.4</v>
      </c>
      <c r="T87" s="3">
        <v>101.4</v>
      </c>
      <c r="U87" s="7">
        <f t="shared" si="13"/>
        <v>0.47500000000000142</v>
      </c>
      <c r="V87" s="3">
        <v>1335.22</v>
      </c>
      <c r="W87" s="3">
        <v>1562.15</v>
      </c>
      <c r="X87" s="3">
        <v>1419.91</v>
      </c>
      <c r="Y87" s="3">
        <v>1432.52</v>
      </c>
      <c r="Z87" s="3">
        <f t="shared" si="14"/>
        <v>113.46500000000003</v>
      </c>
      <c r="AA87" s="4">
        <f t="shared" si="15"/>
        <v>4.1914076143904438E-2</v>
      </c>
      <c r="AB87" s="4">
        <f t="shared" si="16"/>
        <v>3.5162133920263235E-3</v>
      </c>
      <c r="AC87">
        <v>1.1476266666666668</v>
      </c>
      <c r="AD87" s="2">
        <v>6.9943</v>
      </c>
      <c r="AE87" s="2">
        <v>2.1503000000000001</v>
      </c>
      <c r="AF87" s="2">
        <f t="shared" si="17"/>
        <v>4.8439999999999994</v>
      </c>
      <c r="AG87" s="2">
        <v>1.0026733333333333</v>
      </c>
      <c r="AH87" s="1">
        <f t="shared" si="18"/>
        <v>82.850532667579628</v>
      </c>
      <c r="AI87" s="1">
        <f t="shared" si="19"/>
        <v>17.149467332420372</v>
      </c>
      <c r="AJ87" s="1">
        <f t="shared" si="20"/>
        <v>0.85747336662101858</v>
      </c>
      <c r="AK87" s="8">
        <v>7.3599999999999888E-2</v>
      </c>
      <c r="AL87" s="9">
        <v>78.789625360230602</v>
      </c>
      <c r="AM87" s="10">
        <v>3.9394812680115301</v>
      </c>
      <c r="AN87" s="9">
        <v>39.394812680115301</v>
      </c>
      <c r="AO87" s="11">
        <v>3.940509188038233</v>
      </c>
      <c r="AP87" s="2">
        <v>5.4365175000000017</v>
      </c>
      <c r="AQ87" s="2">
        <f t="shared" si="21"/>
        <v>0.34521886125000012</v>
      </c>
      <c r="AR87" s="2">
        <v>1.0754445899113416</v>
      </c>
      <c r="AS87" s="2">
        <v>0.18443301862512776</v>
      </c>
      <c r="AT87" s="2">
        <f t="shared" si="22"/>
        <v>1.8443301862512775E-2</v>
      </c>
      <c r="AU87" s="2">
        <f t="shared" si="23"/>
        <v>7.7303395861037507E-3</v>
      </c>
      <c r="AV87" s="2">
        <f t="shared" si="24"/>
        <v>1.263910522327963E-3</v>
      </c>
      <c r="AW87" s="3">
        <f t="shared" si="25"/>
        <v>16.349999999999998</v>
      </c>
    </row>
    <row r="88" spans="1:49" x14ac:dyDescent="0.2">
      <c r="A88" t="s">
        <v>45</v>
      </c>
      <c r="B88" s="5" t="s">
        <v>46</v>
      </c>
      <c r="C88" s="5" t="s">
        <v>116</v>
      </c>
      <c r="D88" s="5" t="s">
        <v>136</v>
      </c>
      <c r="E88">
        <v>3</v>
      </c>
      <c r="F88" s="6">
        <v>103</v>
      </c>
      <c r="G88" s="3">
        <v>2.6</v>
      </c>
      <c r="H88" s="3">
        <v>2.9</v>
      </c>
      <c r="I88" s="3">
        <v>1</v>
      </c>
      <c r="J88" s="3">
        <v>22.080952380952269</v>
      </c>
      <c r="K88" s="3">
        <v>23.080952380952269</v>
      </c>
      <c r="L88" s="3">
        <v>22.580952380952269</v>
      </c>
      <c r="M88" s="1">
        <v>0.16</v>
      </c>
      <c r="N88" s="3">
        <v>102.08095238095227</v>
      </c>
      <c r="O88" s="3">
        <v>103.08095238095227</v>
      </c>
      <c r="P88" s="3">
        <v>102.58095238095227</v>
      </c>
      <c r="Q88" s="3">
        <v>102.08095238095227</v>
      </c>
      <c r="R88" s="3">
        <v>103.08095238095227</v>
      </c>
      <c r="S88" s="3">
        <v>102.6</v>
      </c>
      <c r="T88" s="3">
        <v>102.6</v>
      </c>
      <c r="U88" s="7">
        <f t="shared" si="13"/>
        <v>0.5</v>
      </c>
      <c r="V88" s="3">
        <v>1348.36</v>
      </c>
      <c r="W88" s="3">
        <v>1604.31</v>
      </c>
      <c r="X88" s="3">
        <v>1449</v>
      </c>
      <c r="Y88" s="3">
        <v>1461.15</v>
      </c>
      <c r="Z88" s="3">
        <f t="shared" si="14"/>
        <v>127.97500000000002</v>
      </c>
      <c r="AA88" s="4">
        <f t="shared" si="15"/>
        <v>4.1920731707317381E-2</v>
      </c>
      <c r="AB88" s="4">
        <f t="shared" si="16"/>
        <v>3.875924436779395E-3</v>
      </c>
      <c r="AC88">
        <v>1.1476266666666668</v>
      </c>
      <c r="AD88" s="2">
        <v>7.8270999999999997</v>
      </c>
      <c r="AE88" s="2">
        <v>2.1993999999999998</v>
      </c>
      <c r="AF88" s="2">
        <f t="shared" si="17"/>
        <v>5.6276999999999999</v>
      </c>
      <c r="AG88" s="2">
        <v>1.051773333333333</v>
      </c>
      <c r="AH88" s="1">
        <f t="shared" si="18"/>
        <v>84.25364874076898</v>
      </c>
      <c r="AI88" s="1">
        <f t="shared" si="19"/>
        <v>15.74635125923102</v>
      </c>
      <c r="AJ88" s="1">
        <f t="shared" si="20"/>
        <v>0.78731756296155098</v>
      </c>
      <c r="AK88" s="8">
        <v>6.4700000000000202E-2</v>
      </c>
      <c r="AL88" s="9">
        <v>85.187728937728892</v>
      </c>
      <c r="AM88" s="10">
        <v>4.2593864468864444</v>
      </c>
      <c r="AN88" s="9">
        <v>42.593864468864446</v>
      </c>
      <c r="AO88" s="11">
        <v>4.260337181951674</v>
      </c>
      <c r="AP88" s="2">
        <v>5.9365625</v>
      </c>
      <c r="AQ88" s="2">
        <f t="shared" si="21"/>
        <v>0.38587656250000002</v>
      </c>
      <c r="AR88" s="2">
        <v>1.125141583758839</v>
      </c>
      <c r="AS88" s="2">
        <v>0.17716874594234172</v>
      </c>
      <c r="AT88" s="2">
        <f t="shared" si="22"/>
        <v>1.7716874594234173E-2</v>
      </c>
      <c r="AU88" s="2">
        <f t="shared" si="23"/>
        <v>7.4270434655707819E-3</v>
      </c>
      <c r="AV88" s="2">
        <f t="shared" si="24"/>
        <v>1.225462171819179E-3</v>
      </c>
      <c r="AW88" s="3">
        <f t="shared" si="25"/>
        <v>16.499999999999996</v>
      </c>
    </row>
    <row r="89" spans="1:49" x14ac:dyDescent="0.2">
      <c r="A89" t="s">
        <v>45</v>
      </c>
      <c r="B89" s="5" t="s">
        <v>46</v>
      </c>
      <c r="C89" s="5" t="s">
        <v>116</v>
      </c>
      <c r="D89" s="5" t="s">
        <v>137</v>
      </c>
      <c r="E89">
        <v>3</v>
      </c>
      <c r="F89" s="6">
        <v>104</v>
      </c>
      <c r="G89" s="3">
        <v>2.4500000000000002</v>
      </c>
      <c r="H89" s="3">
        <v>2.9</v>
      </c>
      <c r="I89" s="3">
        <v>0.95</v>
      </c>
      <c r="J89" s="3">
        <v>23.240476190476073</v>
      </c>
      <c r="K89" s="3">
        <v>24.190476190476076</v>
      </c>
      <c r="L89" s="3">
        <v>23.715476190476068</v>
      </c>
      <c r="M89" s="1">
        <v>0.16</v>
      </c>
      <c r="N89" s="3">
        <v>103.24047619047607</v>
      </c>
      <c r="O89" s="3">
        <v>104.19047619047608</v>
      </c>
      <c r="P89" s="3">
        <v>103.71547619047607</v>
      </c>
      <c r="Q89" s="3">
        <v>103.24047619047607</v>
      </c>
      <c r="R89" s="3">
        <v>104.19047619047608</v>
      </c>
      <c r="S89" s="3">
        <v>103.7</v>
      </c>
      <c r="T89" s="3">
        <v>103.7</v>
      </c>
      <c r="U89" s="7">
        <f t="shared" si="13"/>
        <v>0.47500000000000142</v>
      </c>
      <c r="V89" s="3">
        <v>1358.42</v>
      </c>
      <c r="W89" s="3">
        <v>1649.18</v>
      </c>
      <c r="X89" s="3">
        <v>1476.55</v>
      </c>
      <c r="Y89" s="3">
        <v>1487.39</v>
      </c>
      <c r="Z89" s="3">
        <f t="shared" si="14"/>
        <v>145.38</v>
      </c>
      <c r="AA89" s="4">
        <f t="shared" si="15"/>
        <v>4.1914076143905264E-2</v>
      </c>
      <c r="AB89" s="4">
        <f t="shared" si="16"/>
        <v>4.2887405855686969E-3</v>
      </c>
      <c r="AC89">
        <v>1.1476266666666668</v>
      </c>
      <c r="AD89" s="2">
        <v>7.2046000000000001</v>
      </c>
      <c r="AE89" s="2">
        <v>2.1669999999999998</v>
      </c>
      <c r="AF89" s="2">
        <f t="shared" si="17"/>
        <v>5.0376000000000003</v>
      </c>
      <c r="AG89" s="2">
        <v>1.019373333333333</v>
      </c>
      <c r="AH89" s="1">
        <f t="shared" si="18"/>
        <v>83.170252249198171</v>
      </c>
      <c r="AI89" s="1">
        <f t="shared" si="19"/>
        <v>16.829747750801829</v>
      </c>
      <c r="AJ89" s="1">
        <f t="shared" si="20"/>
        <v>0.84148738754009145</v>
      </c>
      <c r="AK89" s="8">
        <v>6.0399999999999565E-2</v>
      </c>
      <c r="AL89" s="9">
        <v>84.117801735472071</v>
      </c>
      <c r="AM89" s="10">
        <v>4.2058900867736035</v>
      </c>
      <c r="AN89" s="9">
        <v>42.058900867736035</v>
      </c>
      <c r="AO89" s="11">
        <v>4.2068529118594657</v>
      </c>
      <c r="AP89" s="2">
        <v>5.3363073437499997</v>
      </c>
      <c r="AQ89" s="2">
        <f t="shared" si="21"/>
        <v>0.33618736265624999</v>
      </c>
      <c r="AR89" s="2">
        <v>1.1350495657689945</v>
      </c>
      <c r="AS89" s="2">
        <v>0.19102597876549324</v>
      </c>
      <c r="AT89" s="2">
        <f t="shared" si="22"/>
        <v>1.9102597876549325E-2</v>
      </c>
      <c r="AU89" s="2">
        <f t="shared" si="23"/>
        <v>8.0066774194409145E-3</v>
      </c>
      <c r="AV89" s="2">
        <f t="shared" si="24"/>
        <v>1.3050884193688691E-3</v>
      </c>
      <c r="AW89" s="3">
        <f t="shared" si="25"/>
        <v>16.3</v>
      </c>
    </row>
    <row r="90" spans="1:49" x14ac:dyDescent="0.2">
      <c r="A90" t="s">
        <v>45</v>
      </c>
      <c r="B90" s="5" t="s">
        <v>46</v>
      </c>
      <c r="C90" s="5" t="s">
        <v>116</v>
      </c>
      <c r="D90" s="5" t="s">
        <v>138</v>
      </c>
      <c r="E90">
        <v>3</v>
      </c>
      <c r="F90" s="6">
        <v>105</v>
      </c>
      <c r="G90" s="3">
        <v>2.75</v>
      </c>
      <c r="H90" s="3">
        <v>2.9</v>
      </c>
      <c r="I90" s="3">
        <v>1</v>
      </c>
      <c r="J90" s="3">
        <v>24.349999999999881</v>
      </c>
      <c r="K90" s="3">
        <v>25.349999999999881</v>
      </c>
      <c r="L90" s="3">
        <v>24.849999999999881</v>
      </c>
      <c r="M90" s="1">
        <v>0.16</v>
      </c>
      <c r="N90" s="3">
        <v>104.34999999999988</v>
      </c>
      <c r="O90" s="3">
        <v>105.34999999999988</v>
      </c>
      <c r="P90" s="3">
        <v>104.84999999999988</v>
      </c>
      <c r="Q90" s="3">
        <v>104.34999999999988</v>
      </c>
      <c r="R90" s="3">
        <v>105.34999999999988</v>
      </c>
      <c r="S90" s="3">
        <v>104.9</v>
      </c>
      <c r="T90" s="3">
        <v>104.9</v>
      </c>
      <c r="U90" s="7">
        <f t="shared" si="13"/>
        <v>0.5</v>
      </c>
      <c r="V90" s="3">
        <v>1366.3</v>
      </c>
      <c r="W90" s="3">
        <v>1717.75</v>
      </c>
      <c r="X90" s="3">
        <v>1504.77</v>
      </c>
      <c r="Y90" s="3">
        <v>1516.02</v>
      </c>
      <c r="Z90" s="3">
        <f t="shared" si="14"/>
        <v>175.72500000000002</v>
      </c>
      <c r="AA90" s="4">
        <f t="shared" si="15"/>
        <v>4.1904761904761688E-2</v>
      </c>
      <c r="AB90" s="4">
        <f t="shared" si="16"/>
        <v>5.0570039536872551E-3</v>
      </c>
      <c r="AC90">
        <v>1.1476266666666668</v>
      </c>
      <c r="AD90" s="2">
        <v>8.2735000000000003</v>
      </c>
      <c r="AE90" s="2">
        <v>2.3239000000000001</v>
      </c>
      <c r="AF90" s="2">
        <f t="shared" si="17"/>
        <v>5.9496000000000002</v>
      </c>
      <c r="AG90" s="2">
        <v>1.1762733333333333</v>
      </c>
      <c r="AH90" s="1">
        <f t="shared" si="18"/>
        <v>83.492923908274165</v>
      </c>
      <c r="AI90" s="1">
        <f t="shared" si="19"/>
        <v>16.507076091725835</v>
      </c>
      <c r="AJ90" s="1">
        <f t="shared" si="20"/>
        <v>0.82535380458629182</v>
      </c>
      <c r="AK90" s="8">
        <v>4.2399999999999771E-2</v>
      </c>
      <c r="AL90" s="9">
        <v>87.190332326284036</v>
      </c>
      <c r="AM90" s="10">
        <v>4.3595166163142016</v>
      </c>
      <c r="AN90" s="9">
        <v>43.595166163142018</v>
      </c>
      <c r="AO90" s="11">
        <v>4.3604455194302822</v>
      </c>
      <c r="AP90" s="2">
        <v>6.2647906250000016</v>
      </c>
      <c r="AQ90" s="2">
        <f t="shared" si="21"/>
        <v>0.41660857656250005</v>
      </c>
      <c r="AR90" s="2">
        <v>1.1374479627295337</v>
      </c>
      <c r="AS90" s="2">
        <v>0.1877594007115494</v>
      </c>
      <c r="AT90" s="2">
        <f t="shared" si="22"/>
        <v>1.8775940071154941E-2</v>
      </c>
      <c r="AU90" s="2">
        <f t="shared" si="23"/>
        <v>7.8680129821982192E-3</v>
      </c>
      <c r="AV90" s="2">
        <f t="shared" si="24"/>
        <v>1.3100241615360035E-3</v>
      </c>
      <c r="AW90" s="3">
        <f t="shared" si="25"/>
        <v>16.649999999999999</v>
      </c>
    </row>
    <row r="91" spans="1:49" x14ac:dyDescent="0.2">
      <c r="A91" t="s">
        <v>45</v>
      </c>
      <c r="B91" s="5" t="s">
        <v>46</v>
      </c>
      <c r="C91" s="5" t="s">
        <v>116</v>
      </c>
      <c r="D91" s="5" t="s">
        <v>139</v>
      </c>
      <c r="E91">
        <v>3</v>
      </c>
      <c r="F91" s="6">
        <v>106</v>
      </c>
      <c r="G91" s="3">
        <v>2.9</v>
      </c>
      <c r="H91" s="3">
        <v>2.25</v>
      </c>
      <c r="I91" s="3">
        <v>1</v>
      </c>
      <c r="J91" s="3">
        <v>25.509523809523685</v>
      </c>
      <c r="K91" s="3">
        <v>26.509523809523685</v>
      </c>
      <c r="L91" s="3">
        <v>26.009523809523685</v>
      </c>
      <c r="M91" s="1">
        <v>0.16</v>
      </c>
      <c r="N91" s="3">
        <v>105.50952380952369</v>
      </c>
      <c r="O91" s="3">
        <v>106.50952380952369</v>
      </c>
      <c r="P91" s="3">
        <v>106.00952380952369</v>
      </c>
      <c r="Q91" s="3">
        <v>105.50952380952369</v>
      </c>
      <c r="R91" s="3">
        <v>106.50952380952369</v>
      </c>
      <c r="S91" s="3">
        <v>106</v>
      </c>
      <c r="T91" s="3">
        <v>106</v>
      </c>
      <c r="U91" s="7">
        <f t="shared" si="13"/>
        <v>0.5</v>
      </c>
      <c r="V91" s="3">
        <v>1371.54</v>
      </c>
      <c r="W91" s="3">
        <v>1779.79</v>
      </c>
      <c r="X91" s="3">
        <v>1528.29</v>
      </c>
      <c r="Y91" s="3">
        <v>1542.27</v>
      </c>
      <c r="Z91" s="3">
        <f t="shared" si="14"/>
        <v>204.125</v>
      </c>
      <c r="AA91" s="4">
        <f t="shared" si="15"/>
        <v>4.1914076143904931E-2</v>
      </c>
      <c r="AB91" s="4">
        <f t="shared" si="16"/>
        <v>5.7451871368724748E-3</v>
      </c>
      <c r="AC91">
        <v>1.1476266666666668</v>
      </c>
      <c r="AD91" s="2">
        <v>7.5045999999999999</v>
      </c>
      <c r="AE91" s="2">
        <v>2.1103000000000001</v>
      </c>
      <c r="AF91" s="2">
        <f t="shared" si="17"/>
        <v>5.3942999999999994</v>
      </c>
      <c r="AG91" s="2">
        <v>0.96267333333333327</v>
      </c>
      <c r="AH91" s="1">
        <f t="shared" si="18"/>
        <v>84.85642014124123</v>
      </c>
      <c r="AI91" s="1">
        <f t="shared" si="19"/>
        <v>15.14357985875877</v>
      </c>
      <c r="AJ91" s="1">
        <f t="shared" si="20"/>
        <v>0.75717899293793856</v>
      </c>
      <c r="AK91" s="8">
        <v>8.0799999999999983E-2</v>
      </c>
      <c r="AL91" s="9">
        <v>82.218309859154957</v>
      </c>
      <c r="AM91" s="10">
        <v>4.1109154929577478</v>
      </c>
      <c r="AN91" s="9">
        <v>41.109154929577478</v>
      </c>
      <c r="AO91" s="11">
        <v>4.1119005569493092</v>
      </c>
      <c r="AP91" s="2">
        <v>5.2050406250000014</v>
      </c>
      <c r="AQ91" s="2">
        <f t="shared" si="21"/>
        <v>0.3201099984375001</v>
      </c>
      <c r="AR91" s="2">
        <v>1.2213109928096539</v>
      </c>
      <c r="AS91" s="2">
        <v>0.18495020551992963</v>
      </c>
      <c r="AT91" s="2">
        <f t="shared" si="22"/>
        <v>1.8495020551992963E-2</v>
      </c>
      <c r="AU91" s="2">
        <f t="shared" si="23"/>
        <v>7.7520169969931968E-3</v>
      </c>
      <c r="AV91" s="2">
        <f t="shared" si="24"/>
        <v>1.251950745014401E-3</v>
      </c>
      <c r="AW91" s="3">
        <f t="shared" si="25"/>
        <v>16.149999999999999</v>
      </c>
    </row>
    <row r="92" spans="1:49" x14ac:dyDescent="0.2">
      <c r="A92" t="s">
        <v>45</v>
      </c>
      <c r="B92" s="5" t="s">
        <v>46</v>
      </c>
      <c r="C92" s="5" t="s">
        <v>116</v>
      </c>
      <c r="D92" s="5" t="s">
        <v>140</v>
      </c>
      <c r="E92">
        <v>3</v>
      </c>
      <c r="F92" s="6">
        <v>107</v>
      </c>
      <c r="G92" s="3">
        <v>2.9</v>
      </c>
      <c r="H92" s="3">
        <v>2.7</v>
      </c>
      <c r="I92" s="3">
        <v>1.05</v>
      </c>
      <c r="J92" s="3">
        <v>26.66904761904749</v>
      </c>
      <c r="K92" s="3">
        <v>27.719047619047487</v>
      </c>
      <c r="L92" s="3">
        <v>27.194047619047495</v>
      </c>
      <c r="M92" s="1">
        <v>0.16</v>
      </c>
      <c r="N92" s="3">
        <v>106.66904761904749</v>
      </c>
      <c r="O92" s="3">
        <v>107.71904761904749</v>
      </c>
      <c r="P92" s="3">
        <v>107.1940476190475</v>
      </c>
      <c r="Q92" s="3">
        <v>106.66904761904749</v>
      </c>
      <c r="R92" s="3">
        <v>107.71904761904749</v>
      </c>
      <c r="S92" s="3">
        <v>107.2</v>
      </c>
      <c r="T92" s="3">
        <v>107.2</v>
      </c>
      <c r="U92" s="7">
        <f t="shared" si="13"/>
        <v>0.52499999999999858</v>
      </c>
      <c r="V92" s="3">
        <v>1377.32</v>
      </c>
      <c r="W92" s="3">
        <v>1854.78</v>
      </c>
      <c r="X92" s="3">
        <v>1551.69</v>
      </c>
      <c r="Y92" s="3">
        <v>1570.9</v>
      </c>
      <c r="Z92" s="3">
        <f t="shared" si="14"/>
        <v>238.73000000000002</v>
      </c>
      <c r="AA92" s="4">
        <f t="shared" si="15"/>
        <v>4.1914076143905264E-2</v>
      </c>
      <c r="AB92" s="4">
        <f t="shared" si="16"/>
        <v>6.5749603725028007E-3</v>
      </c>
      <c r="AC92">
        <v>1.1476266666666668</v>
      </c>
      <c r="AD92" s="2">
        <v>9.0616000000000003</v>
      </c>
      <c r="AE92" s="2">
        <v>2.5009000000000001</v>
      </c>
      <c r="AF92" s="2">
        <f t="shared" si="17"/>
        <v>6.5607000000000006</v>
      </c>
      <c r="AG92" s="2">
        <v>1.3532733333333333</v>
      </c>
      <c r="AH92" s="1">
        <f t="shared" si="18"/>
        <v>82.900203521871859</v>
      </c>
      <c r="AI92" s="1">
        <f t="shared" si="19"/>
        <v>17.099796478128141</v>
      </c>
      <c r="AJ92" s="1">
        <f t="shared" si="20"/>
        <v>0.8549898239064071</v>
      </c>
      <c r="AK92" s="8">
        <v>5.0799999999999734E-2</v>
      </c>
      <c r="AL92" s="9">
        <v>87.014314928425406</v>
      </c>
      <c r="AM92" s="10">
        <v>4.3507157464212707</v>
      </c>
      <c r="AN92" s="9">
        <v>43.507157464212703</v>
      </c>
      <c r="AO92" s="11">
        <v>4.351646528172755</v>
      </c>
      <c r="AP92" s="2">
        <v>6.4621199999999996</v>
      </c>
      <c r="AQ92" s="2">
        <f t="shared" si="21"/>
        <v>0.42973097999999998</v>
      </c>
      <c r="AR92" s="2">
        <v>1.2246713668785683</v>
      </c>
      <c r="AS92" s="2">
        <v>0.20941631126214516</v>
      </c>
      <c r="AT92" s="2">
        <f t="shared" si="22"/>
        <v>2.0941631126214517E-2</v>
      </c>
      <c r="AU92" s="2">
        <f t="shared" si="23"/>
        <v>8.777491216017317E-3</v>
      </c>
      <c r="AV92" s="2">
        <f t="shared" si="24"/>
        <v>1.4614522874668834E-3</v>
      </c>
      <c r="AW92" s="3">
        <f t="shared" si="25"/>
        <v>16.650000000000002</v>
      </c>
    </row>
    <row r="93" spans="1:49" x14ac:dyDescent="0.2">
      <c r="A93" t="s">
        <v>45</v>
      </c>
      <c r="B93" s="5" t="s">
        <v>46</v>
      </c>
      <c r="C93" s="5" t="s">
        <v>116</v>
      </c>
      <c r="D93" s="5" t="s">
        <v>141</v>
      </c>
      <c r="E93">
        <v>3</v>
      </c>
      <c r="F93" s="6">
        <v>108</v>
      </c>
      <c r="G93" s="3">
        <v>2.4</v>
      </c>
      <c r="H93" s="3">
        <v>2.9</v>
      </c>
      <c r="I93" s="3">
        <v>1</v>
      </c>
      <c r="J93" s="3">
        <v>27.878571428571291</v>
      </c>
      <c r="K93" s="3">
        <v>28.878571428571291</v>
      </c>
      <c r="L93" s="3">
        <v>28.378571428571291</v>
      </c>
      <c r="M93" s="1">
        <v>0.16</v>
      </c>
      <c r="N93" s="3">
        <v>107.87857142857129</v>
      </c>
      <c r="O93" s="3">
        <v>108.87857142857129</v>
      </c>
      <c r="P93" s="3">
        <v>108.37857142857129</v>
      </c>
      <c r="Q93" s="3">
        <v>107.87857142857129</v>
      </c>
      <c r="R93" s="3">
        <v>108.87857142857129</v>
      </c>
      <c r="S93" s="3">
        <v>108.4</v>
      </c>
      <c r="T93" s="3">
        <v>108.4</v>
      </c>
      <c r="U93" s="7">
        <f t="shared" si="13"/>
        <v>0.5</v>
      </c>
      <c r="V93" s="3">
        <v>1381.87</v>
      </c>
      <c r="W93" s="3">
        <v>1931.12</v>
      </c>
      <c r="X93" s="3">
        <v>1574.42</v>
      </c>
      <c r="Y93" s="3">
        <v>1599.53</v>
      </c>
      <c r="Z93" s="3">
        <f t="shared" si="14"/>
        <v>274.625</v>
      </c>
      <c r="AA93" s="4">
        <f t="shared" si="15"/>
        <v>4.192073170731684E-2</v>
      </c>
      <c r="AB93" s="4">
        <f t="shared" si="16"/>
        <v>7.390776139920961E-3</v>
      </c>
      <c r="AC93">
        <v>1.1476266666666668</v>
      </c>
      <c r="AD93" s="2">
        <v>7.6172000000000004</v>
      </c>
      <c r="AE93" s="2">
        <v>2.2435999999999998</v>
      </c>
      <c r="AF93" s="2">
        <f t="shared" si="17"/>
        <v>5.3736000000000006</v>
      </c>
      <c r="AG93" s="2">
        <v>1.095973333333333</v>
      </c>
      <c r="AH93" s="1">
        <f t="shared" si="18"/>
        <v>83.059573222757606</v>
      </c>
      <c r="AI93" s="1">
        <f t="shared" si="19"/>
        <v>16.940426777242394</v>
      </c>
      <c r="AJ93" s="1">
        <f t="shared" si="20"/>
        <v>0.84702133886211972</v>
      </c>
      <c r="AK93" s="8">
        <v>6.2999999999999723E-2</v>
      </c>
      <c r="AL93" s="9">
        <v>87.189914599430708</v>
      </c>
      <c r="AM93" s="10">
        <v>4.3594957299715356</v>
      </c>
      <c r="AN93" s="9">
        <v>43.594957299715354</v>
      </c>
      <c r="AO93" s="11">
        <v>4.3604246375370428</v>
      </c>
      <c r="AP93" s="2">
        <v>5.5126624999999994</v>
      </c>
      <c r="AQ93" s="2">
        <f t="shared" si="21"/>
        <v>0.34729773749999998</v>
      </c>
      <c r="AR93" s="2">
        <v>1.1735841498247597</v>
      </c>
      <c r="AS93" s="2">
        <v>0.19881016357038603</v>
      </c>
      <c r="AT93" s="2">
        <f t="shared" si="22"/>
        <v>1.9881016357038605E-2</v>
      </c>
      <c r="AU93" s="2">
        <f t="shared" si="23"/>
        <v>8.334267527721928E-3</v>
      </c>
      <c r="AV93" s="2">
        <f t="shared" si="24"/>
        <v>1.3584856070186742E-3</v>
      </c>
      <c r="AW93" s="3">
        <f t="shared" si="25"/>
        <v>16.3</v>
      </c>
    </row>
    <row r="94" spans="1:49" x14ac:dyDescent="0.2">
      <c r="A94" t="s">
        <v>45</v>
      </c>
      <c r="B94" s="5" t="s">
        <v>46</v>
      </c>
      <c r="C94" s="5" t="s">
        <v>116</v>
      </c>
      <c r="D94" s="5" t="s">
        <v>142</v>
      </c>
      <c r="E94">
        <v>3</v>
      </c>
      <c r="F94" s="6">
        <v>109</v>
      </c>
      <c r="G94" s="3">
        <v>2.4</v>
      </c>
      <c r="H94" s="3">
        <v>2.9</v>
      </c>
      <c r="I94" s="3">
        <v>1</v>
      </c>
      <c r="J94" s="3">
        <v>29.038095238095096</v>
      </c>
      <c r="K94" s="3">
        <v>30.038095238095096</v>
      </c>
      <c r="L94" s="3">
        <v>29.538095238095096</v>
      </c>
      <c r="M94" s="1">
        <v>0.16</v>
      </c>
      <c r="N94" s="3">
        <v>109.0380952380951</v>
      </c>
      <c r="O94" s="3">
        <v>110.0380952380951</v>
      </c>
      <c r="P94" s="3">
        <v>109.5380952380951</v>
      </c>
      <c r="Q94" s="3">
        <v>109.0380952380951</v>
      </c>
      <c r="R94" s="3">
        <v>110.0380952380951</v>
      </c>
      <c r="S94" s="3">
        <v>109.5</v>
      </c>
      <c r="T94" s="3">
        <v>109.5</v>
      </c>
      <c r="U94" s="7">
        <f t="shared" si="13"/>
        <v>0.5</v>
      </c>
      <c r="V94" s="3">
        <v>1385.88</v>
      </c>
      <c r="W94" s="3">
        <v>2002.31</v>
      </c>
      <c r="X94" s="3">
        <v>1596.5</v>
      </c>
      <c r="Y94" s="3">
        <v>1625.77</v>
      </c>
      <c r="Z94" s="3">
        <f t="shared" si="14"/>
        <v>308.21499999999992</v>
      </c>
      <c r="AA94" s="4">
        <f t="shared" si="15"/>
        <v>4.1666666666666831E-2</v>
      </c>
      <c r="AB94" s="4">
        <f t="shared" si="16"/>
        <v>8.0894644616073524E-3</v>
      </c>
      <c r="AC94">
        <v>1.1476266666666668</v>
      </c>
      <c r="AD94" s="2">
        <v>7.7778999999999998</v>
      </c>
      <c r="AE94" s="2">
        <v>2.3485</v>
      </c>
      <c r="AF94" s="2">
        <f t="shared" si="17"/>
        <v>5.4293999999999993</v>
      </c>
      <c r="AG94" s="2">
        <v>1.2008733333333332</v>
      </c>
      <c r="AH94" s="1">
        <f t="shared" si="18"/>
        <v>81.888026737962534</v>
      </c>
      <c r="AI94" s="1">
        <f t="shared" si="19"/>
        <v>18.111973262037466</v>
      </c>
      <c r="AJ94" s="1">
        <f t="shared" si="20"/>
        <v>0.90559866310187331</v>
      </c>
      <c r="AK94" s="8">
        <v>7.3799999999999422E-2</v>
      </c>
      <c r="AL94" s="9">
        <v>80.398406374502144</v>
      </c>
      <c r="AM94" s="10">
        <v>4.0199203187251076</v>
      </c>
      <c r="AN94" s="9">
        <v>40.199203187251072</v>
      </c>
      <c r="AO94" s="11">
        <v>4.0209276751639003</v>
      </c>
      <c r="AP94" s="2">
        <v>5.5126624999999994</v>
      </c>
      <c r="AQ94" s="2">
        <f t="shared" si="21"/>
        <v>0.34729773749999998</v>
      </c>
      <c r="AR94" s="2">
        <v>1.2027352179338631</v>
      </c>
      <c r="AS94" s="2">
        <v>0.21783908108528927</v>
      </c>
      <c r="AT94" s="2">
        <f t="shared" si="22"/>
        <v>2.1783908108528927E-2</v>
      </c>
      <c r="AU94" s="2">
        <f t="shared" si="23"/>
        <v>9.0766283785537558E-3</v>
      </c>
      <c r="AV94" s="2">
        <f t="shared" si="24"/>
        <v>1.4794904257042622E-3</v>
      </c>
      <c r="AW94" s="3">
        <f t="shared" si="25"/>
        <v>16.3</v>
      </c>
    </row>
    <row r="95" spans="1:49" x14ac:dyDescent="0.2">
      <c r="A95" t="s">
        <v>45</v>
      </c>
      <c r="B95" s="5" t="s">
        <v>46</v>
      </c>
      <c r="C95" s="5" t="s">
        <v>116</v>
      </c>
      <c r="D95" s="5" t="s">
        <v>143</v>
      </c>
      <c r="E95">
        <v>3</v>
      </c>
      <c r="F95" s="6">
        <v>110</v>
      </c>
      <c r="G95" s="3">
        <v>2.9</v>
      </c>
      <c r="H95" s="3">
        <v>2.4</v>
      </c>
      <c r="I95" s="3">
        <v>1</v>
      </c>
      <c r="J95" s="3">
        <v>30.1976190476189</v>
      </c>
      <c r="K95" s="3">
        <v>31.1976190476189</v>
      </c>
      <c r="L95" s="3">
        <v>30.6976190476189</v>
      </c>
      <c r="M95" s="1">
        <v>0.16</v>
      </c>
      <c r="N95" s="3">
        <v>110.1976190476189</v>
      </c>
      <c r="O95" s="3">
        <v>111.1976190476189</v>
      </c>
      <c r="P95" s="3">
        <v>110.6976190476189</v>
      </c>
      <c r="Q95" s="3">
        <v>110.1976190476189</v>
      </c>
      <c r="R95" s="3">
        <v>111.1976190476189</v>
      </c>
      <c r="S95" s="3">
        <v>110.7</v>
      </c>
      <c r="T95" s="3">
        <v>110.7</v>
      </c>
      <c r="U95" s="7">
        <f t="shared" si="13"/>
        <v>0.5</v>
      </c>
      <c r="V95" s="3">
        <v>1411</v>
      </c>
      <c r="W95" s="3">
        <v>2042.67</v>
      </c>
      <c r="X95" s="3">
        <v>1623.68</v>
      </c>
      <c r="Y95" s="3">
        <v>1654.57</v>
      </c>
      <c r="Z95" s="3">
        <f t="shared" si="14"/>
        <v>315.83500000000004</v>
      </c>
      <c r="AA95" s="4">
        <f t="shared" si="15"/>
        <v>4.149377593360995E-2</v>
      </c>
      <c r="AB95" s="4">
        <f t="shared" si="16"/>
        <v>8.1080151749403553E-3</v>
      </c>
      <c r="AC95">
        <v>1.1476266666666668</v>
      </c>
      <c r="AD95" s="2">
        <v>8.3600999999999992</v>
      </c>
      <c r="AE95" s="2">
        <v>2.3782000000000001</v>
      </c>
      <c r="AF95" s="2">
        <f t="shared" si="17"/>
        <v>5.9818999999999996</v>
      </c>
      <c r="AG95" s="2">
        <v>1.2305733333333333</v>
      </c>
      <c r="AH95" s="1">
        <f t="shared" si="18"/>
        <v>82.93826158571585</v>
      </c>
      <c r="AI95" s="1">
        <f t="shared" si="19"/>
        <v>17.06173841428415</v>
      </c>
      <c r="AJ95" s="1">
        <f t="shared" si="20"/>
        <v>0.85308692071420755</v>
      </c>
      <c r="AK95" s="8">
        <v>0.11569999999999947</v>
      </c>
      <c r="AL95" s="9">
        <v>79.313427498659124</v>
      </c>
      <c r="AM95" s="10">
        <v>3.9656713749329562</v>
      </c>
      <c r="AN95" s="9">
        <v>39.656713749329562</v>
      </c>
      <c r="AO95" s="11">
        <v>3.9666925081184004</v>
      </c>
      <c r="AP95" s="2">
        <v>5.5126624999999994</v>
      </c>
      <c r="AQ95" s="2">
        <f t="shared" si="21"/>
        <v>0.34729773749999998</v>
      </c>
      <c r="AR95" s="2">
        <v>1.308346617144317</v>
      </c>
      <c r="AS95" s="2">
        <v>0.22322667736929905</v>
      </c>
      <c r="AT95" s="2">
        <f t="shared" si="22"/>
        <v>2.2322667736929907E-2</v>
      </c>
      <c r="AU95" s="2">
        <f t="shared" si="23"/>
        <v>9.2625177331659338E-3</v>
      </c>
      <c r="AV95" s="2">
        <f t="shared" si="24"/>
        <v>1.5097903905060472E-3</v>
      </c>
      <c r="AW95" s="3">
        <f t="shared" si="25"/>
        <v>16.3</v>
      </c>
    </row>
    <row r="96" spans="1:49" x14ac:dyDescent="0.2">
      <c r="A96" t="s">
        <v>45</v>
      </c>
      <c r="B96" s="5" t="s">
        <v>46</v>
      </c>
      <c r="C96" s="5" t="s">
        <v>116</v>
      </c>
      <c r="D96" s="5" t="s">
        <v>144</v>
      </c>
      <c r="E96">
        <v>3</v>
      </c>
      <c r="F96" s="6">
        <v>111</v>
      </c>
      <c r="G96" s="3">
        <v>2.1</v>
      </c>
      <c r="H96" s="3">
        <v>2.85</v>
      </c>
      <c r="I96" s="3">
        <v>1</v>
      </c>
      <c r="J96" s="3">
        <v>31.357142857142705</v>
      </c>
      <c r="K96" s="3">
        <v>32.357142857142705</v>
      </c>
      <c r="L96" s="3">
        <v>31.857142857142705</v>
      </c>
      <c r="M96" s="1">
        <v>0.16</v>
      </c>
      <c r="N96" s="3">
        <v>111.3571428571427</v>
      </c>
      <c r="O96" s="3">
        <v>112.3571428571427</v>
      </c>
      <c r="P96" s="3">
        <v>111.8571428571427</v>
      </c>
      <c r="Q96" s="3">
        <v>111.3571428571427</v>
      </c>
      <c r="R96" s="3">
        <v>112.3571428571427</v>
      </c>
      <c r="S96" s="3">
        <v>111.9</v>
      </c>
      <c r="T96" s="3">
        <v>111.9</v>
      </c>
      <c r="U96" s="7">
        <f t="shared" si="13"/>
        <v>0.5</v>
      </c>
      <c r="V96" s="3">
        <v>1439.45</v>
      </c>
      <c r="W96" s="3">
        <v>2053.3200000000002</v>
      </c>
      <c r="X96" s="3">
        <v>1658.22</v>
      </c>
      <c r="Y96" s="3">
        <v>1683.49</v>
      </c>
      <c r="Z96" s="3">
        <f t="shared" si="14"/>
        <v>306.93500000000006</v>
      </c>
      <c r="AA96" s="4">
        <f t="shared" si="15"/>
        <v>4.1493775933609756E-2</v>
      </c>
      <c r="AB96" s="4">
        <f t="shared" si="16"/>
        <v>7.7505780311660612E-3</v>
      </c>
      <c r="AC96">
        <v>1.1476266666666668</v>
      </c>
      <c r="AD96" s="2">
        <v>8.5318000000000005</v>
      </c>
      <c r="AE96" s="2">
        <v>2.3879000000000001</v>
      </c>
      <c r="AF96" s="2">
        <f t="shared" si="17"/>
        <v>6.1439000000000004</v>
      </c>
      <c r="AG96" s="2">
        <v>1.2402733333333333</v>
      </c>
      <c r="AH96" s="1">
        <f t="shared" si="18"/>
        <v>83.203626494863798</v>
      </c>
      <c r="AI96" s="1">
        <f t="shared" si="19"/>
        <v>16.796373505136202</v>
      </c>
      <c r="AJ96" s="1">
        <f t="shared" si="20"/>
        <v>0.8398186752568102</v>
      </c>
      <c r="AK96" s="8">
        <v>8.0499999999999794E-2</v>
      </c>
      <c r="AL96" s="9">
        <v>81.300813008130149</v>
      </c>
      <c r="AM96" s="10">
        <v>4.065040650406508</v>
      </c>
      <c r="AN96" s="9">
        <v>40.650406504065074</v>
      </c>
      <c r="AO96" s="11">
        <v>4.066036828344938</v>
      </c>
      <c r="AP96" s="2">
        <v>4.8086156250000007</v>
      </c>
      <c r="AQ96" s="2">
        <f t="shared" si="21"/>
        <v>0.28611262968750006</v>
      </c>
      <c r="AR96" s="2">
        <v>1.5356131388300209</v>
      </c>
      <c r="AS96" s="2">
        <v>0.25792731839183614</v>
      </c>
      <c r="AT96" s="2">
        <f t="shared" si="22"/>
        <v>2.5792731839183614E-2</v>
      </c>
      <c r="AU96" s="2">
        <f t="shared" si="23"/>
        <v>1.0702378356507671E-2</v>
      </c>
      <c r="AV96" s="2">
        <f t="shared" si="24"/>
        <v>1.7070293478629736E-3</v>
      </c>
      <c r="AW96" s="3">
        <f t="shared" si="25"/>
        <v>15.950000000000001</v>
      </c>
    </row>
    <row r="97" spans="1:49" x14ac:dyDescent="0.2">
      <c r="A97" t="s">
        <v>45</v>
      </c>
      <c r="B97" s="5" t="s">
        <v>46</v>
      </c>
      <c r="C97" s="5" t="s">
        <v>116</v>
      </c>
      <c r="D97" s="5" t="s">
        <v>145</v>
      </c>
      <c r="E97">
        <v>3</v>
      </c>
      <c r="F97" s="6">
        <v>112</v>
      </c>
      <c r="G97" s="3">
        <v>2.5499999999999998</v>
      </c>
      <c r="H97" s="3">
        <v>3.1</v>
      </c>
      <c r="I97" s="3">
        <v>1.05</v>
      </c>
      <c r="J97" s="3">
        <v>32.516666666666509</v>
      </c>
      <c r="K97" s="3">
        <v>33.566666666666507</v>
      </c>
      <c r="L97" s="3">
        <v>33.041666666666515</v>
      </c>
      <c r="M97" s="1">
        <v>0.16</v>
      </c>
      <c r="N97" s="3">
        <v>112.51666666666651</v>
      </c>
      <c r="O97" s="3">
        <v>113.56666666666651</v>
      </c>
      <c r="P97" s="3">
        <v>113.04166666666652</v>
      </c>
      <c r="Q97" s="3">
        <v>112.51666666666651</v>
      </c>
      <c r="R97" s="3">
        <v>113.56666666666651</v>
      </c>
      <c r="S97" s="3">
        <v>113</v>
      </c>
      <c r="T97" s="3">
        <v>113</v>
      </c>
      <c r="U97" s="7">
        <f t="shared" si="13"/>
        <v>0.52499999999999858</v>
      </c>
      <c r="V97" s="3">
        <v>1455.27</v>
      </c>
      <c r="W97" s="3">
        <v>2065.86</v>
      </c>
      <c r="X97" s="3">
        <v>1689.76</v>
      </c>
      <c r="Y97" s="3">
        <v>1710</v>
      </c>
      <c r="Z97" s="3">
        <f t="shared" si="14"/>
        <v>305.29500000000007</v>
      </c>
      <c r="AA97" s="4">
        <f t="shared" si="15"/>
        <v>4.1493775933609964E-2</v>
      </c>
      <c r="AB97" s="4">
        <f t="shared" si="16"/>
        <v>7.6008757435026284E-3</v>
      </c>
      <c r="AC97">
        <v>1.1476266666666668</v>
      </c>
      <c r="AD97" s="2">
        <v>8.8939000000000004</v>
      </c>
      <c r="AE97" s="2">
        <v>2.3734999999999999</v>
      </c>
      <c r="AF97" s="2">
        <f t="shared" si="17"/>
        <v>6.5204000000000004</v>
      </c>
      <c r="AG97" s="2">
        <v>1.2258733333333331</v>
      </c>
      <c r="AH97" s="1">
        <f t="shared" si="18"/>
        <v>84.174669798208342</v>
      </c>
      <c r="AI97" s="1">
        <f t="shared" si="19"/>
        <v>15.825330201791658</v>
      </c>
      <c r="AJ97" s="1">
        <f t="shared" si="20"/>
        <v>0.79126651008958293</v>
      </c>
      <c r="AK97" s="8">
        <v>6.9399999999999906E-2</v>
      </c>
      <c r="AL97" s="9">
        <v>82.65</v>
      </c>
      <c r="AM97" s="10">
        <v>4.1325000000000003</v>
      </c>
      <c r="AN97" s="9">
        <v>41.325000000000003</v>
      </c>
      <c r="AO97" s="11">
        <v>4.1334799201157368</v>
      </c>
      <c r="AP97" s="2">
        <v>6.5780301562500023</v>
      </c>
      <c r="AQ97" s="2">
        <f t="shared" si="21"/>
        <v>0.4407280204687502</v>
      </c>
      <c r="AR97" s="2">
        <v>1.177597722925205</v>
      </c>
      <c r="AS97" s="2">
        <v>0.18635872810169329</v>
      </c>
      <c r="AT97" s="2">
        <f t="shared" si="22"/>
        <v>1.8635872810169329E-2</v>
      </c>
      <c r="AU97" s="2">
        <f t="shared" si="23"/>
        <v>7.7327273071242037E-3</v>
      </c>
      <c r="AV97" s="2">
        <f t="shared" si="24"/>
        <v>1.2913654602897419E-3</v>
      </c>
      <c r="AW97" s="3">
        <f t="shared" si="25"/>
        <v>16.7</v>
      </c>
    </row>
    <row r="98" spans="1:49" x14ac:dyDescent="0.2">
      <c r="A98" t="s">
        <v>45</v>
      </c>
      <c r="B98" s="5" t="s">
        <v>46</v>
      </c>
      <c r="C98" s="5" t="s">
        <v>116</v>
      </c>
      <c r="D98" s="5" t="s">
        <v>146</v>
      </c>
      <c r="E98">
        <v>3</v>
      </c>
      <c r="F98" s="6">
        <v>113</v>
      </c>
      <c r="G98" s="3">
        <v>2.1</v>
      </c>
      <c r="H98" s="3">
        <v>2.6</v>
      </c>
      <c r="I98" s="3">
        <v>1.05</v>
      </c>
      <c r="J98" s="3">
        <v>33.726190476190311</v>
      </c>
      <c r="K98" s="3">
        <v>34.776190476190308</v>
      </c>
      <c r="L98" s="3">
        <v>34.251190476190317</v>
      </c>
      <c r="M98" s="1">
        <v>0.16</v>
      </c>
      <c r="N98" s="3">
        <v>113.72619047619031</v>
      </c>
      <c r="O98" s="3">
        <v>114.77619047619031</v>
      </c>
      <c r="P98" s="3">
        <v>114.25119047619032</v>
      </c>
      <c r="Q98" s="3">
        <v>113.72619047619031</v>
      </c>
      <c r="R98" s="3">
        <v>114.77619047619031</v>
      </c>
      <c r="S98" s="3">
        <v>114.3</v>
      </c>
      <c r="T98" s="3">
        <v>114.3</v>
      </c>
      <c r="U98" s="7">
        <f t="shared" si="13"/>
        <v>0.52499999999999858</v>
      </c>
      <c r="V98" s="3">
        <v>1469.63</v>
      </c>
      <c r="W98" s="3">
        <v>2083.91</v>
      </c>
      <c r="X98" s="3">
        <v>1729.65</v>
      </c>
      <c r="Y98" s="3">
        <v>1741.33</v>
      </c>
      <c r="Z98" s="3">
        <f t="shared" si="14"/>
        <v>307.13999999999987</v>
      </c>
      <c r="AA98" s="4">
        <f t="shared" si="15"/>
        <v>4.1478129713424183E-2</v>
      </c>
      <c r="AB98" s="4">
        <f t="shared" si="16"/>
        <v>7.5065292536045554E-3</v>
      </c>
      <c r="AC98">
        <v>1.1476266666666668</v>
      </c>
      <c r="AD98" s="2">
        <v>8.8384</v>
      </c>
      <c r="AE98" s="2">
        <v>2.2974999999999999</v>
      </c>
      <c r="AF98" s="2">
        <f t="shared" si="17"/>
        <v>6.5409000000000006</v>
      </c>
      <c r="AG98" s="2">
        <v>1.1498733333333331</v>
      </c>
      <c r="AH98" s="1">
        <f t="shared" si="18"/>
        <v>85.048664373587059</v>
      </c>
      <c r="AI98" s="1">
        <f t="shared" si="19"/>
        <v>14.951335626412941</v>
      </c>
      <c r="AJ98" s="1">
        <f t="shared" si="20"/>
        <v>0.74756678132064713</v>
      </c>
      <c r="AK98" s="8">
        <v>6.6500000000000448E-2</v>
      </c>
      <c r="AL98" s="9">
        <v>85.039370078740077</v>
      </c>
      <c r="AM98" s="10">
        <v>4.2519685039370039</v>
      </c>
      <c r="AN98" s="9">
        <v>42.519685039370039</v>
      </c>
      <c r="AO98" s="11">
        <v>4.252920897274282</v>
      </c>
      <c r="AP98" s="2">
        <v>4.5519206250000011</v>
      </c>
      <c r="AQ98" s="2">
        <f t="shared" si="21"/>
        <v>0.26173543593750009</v>
      </c>
      <c r="AR98" s="2">
        <v>1.6895666613987435</v>
      </c>
      <c r="AS98" s="2">
        <v>0.25261278217770611</v>
      </c>
      <c r="AT98" s="2">
        <f t="shared" si="22"/>
        <v>2.5261278217770612E-2</v>
      </c>
      <c r="AU98" s="2">
        <f t="shared" si="23"/>
        <v>1.0477905746435862E-2</v>
      </c>
      <c r="AV98" s="2">
        <f t="shared" si="24"/>
        <v>1.6502701550636485E-3</v>
      </c>
      <c r="AW98" s="3">
        <f t="shared" si="25"/>
        <v>15.750000000000004</v>
      </c>
    </row>
    <row r="99" spans="1:49" x14ac:dyDescent="0.2">
      <c r="A99" t="s">
        <v>45</v>
      </c>
      <c r="B99" s="5" t="s">
        <v>46</v>
      </c>
      <c r="C99" s="5" t="s">
        <v>116</v>
      </c>
      <c r="D99" s="5" t="s">
        <v>147</v>
      </c>
      <c r="E99">
        <v>3</v>
      </c>
      <c r="F99" s="6">
        <v>114</v>
      </c>
      <c r="G99" s="3">
        <v>2</v>
      </c>
      <c r="H99" s="3">
        <v>2.5</v>
      </c>
      <c r="I99" s="3">
        <v>1</v>
      </c>
      <c r="J99" s="3">
        <v>34.935714285714113</v>
      </c>
      <c r="K99" s="3">
        <v>35.935714285714113</v>
      </c>
      <c r="L99" s="3">
        <v>35.435714285714113</v>
      </c>
      <c r="M99" s="1">
        <v>0.16</v>
      </c>
      <c r="N99" s="3">
        <v>114.93571428571411</v>
      </c>
      <c r="O99" s="3">
        <v>115.93571428571411</v>
      </c>
      <c r="P99" s="3">
        <v>115.43571428571411</v>
      </c>
      <c r="Q99" s="3">
        <v>114.93571428571411</v>
      </c>
      <c r="R99" s="3">
        <v>115.93571428571411</v>
      </c>
      <c r="S99" s="3">
        <v>115.4</v>
      </c>
      <c r="T99" s="3">
        <v>115.4</v>
      </c>
      <c r="U99" s="7">
        <f t="shared" si="13"/>
        <v>0.5</v>
      </c>
      <c r="V99" s="3">
        <v>1478.04</v>
      </c>
      <c r="W99" s="3">
        <v>2097.52</v>
      </c>
      <c r="X99" s="3">
        <v>1762.65</v>
      </c>
      <c r="Y99" s="3">
        <v>1767.85</v>
      </c>
      <c r="Z99" s="3">
        <f t="shared" si="14"/>
        <v>309.74</v>
      </c>
      <c r="AA99" s="4">
        <f t="shared" si="15"/>
        <v>4.1493775933609464E-2</v>
      </c>
      <c r="AB99" s="4">
        <f t="shared" si="16"/>
        <v>7.4497895513200296E-3</v>
      </c>
      <c r="AC99">
        <v>1.1476266666666668</v>
      </c>
      <c r="AD99" s="2">
        <v>9.0539000000000005</v>
      </c>
      <c r="AE99" s="2">
        <v>2.2422</v>
      </c>
      <c r="AF99" s="2">
        <f t="shared" si="17"/>
        <v>6.8117000000000001</v>
      </c>
      <c r="AG99" s="2">
        <v>1.0945733333333332</v>
      </c>
      <c r="AH99" s="1">
        <f t="shared" si="18"/>
        <v>86.155635061103382</v>
      </c>
      <c r="AI99" s="1">
        <f t="shared" si="19"/>
        <v>13.844364938896618</v>
      </c>
      <c r="AJ99" s="1">
        <f t="shared" si="20"/>
        <v>0.69221824694483092</v>
      </c>
      <c r="AK99" s="8">
        <v>5.1599999999999646E-2</v>
      </c>
      <c r="AL99" s="9">
        <v>85.000000000000114</v>
      </c>
      <c r="AM99" s="10">
        <v>4.2500000000000062</v>
      </c>
      <c r="AN99" s="9">
        <v>42.500000000000057</v>
      </c>
      <c r="AO99" s="11">
        <v>4.2509528343654965</v>
      </c>
      <c r="AP99" s="2">
        <v>3.9740625000000001</v>
      </c>
      <c r="AQ99" s="2">
        <f t="shared" si="21"/>
        <v>0.2185734375</v>
      </c>
      <c r="AR99" s="2">
        <v>1.989468795051244</v>
      </c>
      <c r="AS99" s="2">
        <v>0.27542932033236345</v>
      </c>
      <c r="AT99" s="2">
        <f t="shared" si="22"/>
        <v>2.7542932033236347E-2</v>
      </c>
      <c r="AU99" s="2">
        <f t="shared" si="23"/>
        <v>1.1428602503417434E-2</v>
      </c>
      <c r="AV99" s="2">
        <f t="shared" si="24"/>
        <v>1.7714333880297023E-3</v>
      </c>
      <c r="AW99" s="3">
        <f t="shared" si="25"/>
        <v>15.5</v>
      </c>
    </row>
    <row r="100" spans="1:49" x14ac:dyDescent="0.2">
      <c r="A100" t="s">
        <v>45</v>
      </c>
      <c r="B100" s="5" t="s">
        <v>46</v>
      </c>
      <c r="C100" s="5" t="s">
        <v>116</v>
      </c>
      <c r="D100" s="5" t="s">
        <v>148</v>
      </c>
      <c r="E100">
        <v>3</v>
      </c>
      <c r="F100" s="6">
        <v>115</v>
      </c>
      <c r="G100" s="3">
        <v>2.6</v>
      </c>
      <c r="H100" s="3">
        <v>2</v>
      </c>
      <c r="I100" s="3">
        <v>1</v>
      </c>
      <c r="J100" s="3">
        <v>36.095238095237917</v>
      </c>
      <c r="K100" s="3">
        <v>37.095238095237917</v>
      </c>
      <c r="L100" s="3">
        <v>36.595238095237917</v>
      </c>
      <c r="M100" s="1">
        <v>0.16</v>
      </c>
      <c r="N100" s="3">
        <v>116.09523809523792</v>
      </c>
      <c r="O100" s="3">
        <v>117.09523809523792</v>
      </c>
      <c r="P100" s="3">
        <v>116.59523809523792</v>
      </c>
      <c r="Q100" s="3">
        <v>116.09523809523792</v>
      </c>
      <c r="R100" s="3">
        <v>117.09523809523792</v>
      </c>
      <c r="S100" s="3">
        <v>116.6</v>
      </c>
      <c r="T100" s="3">
        <v>116.6</v>
      </c>
      <c r="U100" s="7">
        <f t="shared" si="13"/>
        <v>0.5</v>
      </c>
      <c r="V100" s="3">
        <v>1488.89</v>
      </c>
      <c r="W100" s="3">
        <v>2118.29</v>
      </c>
      <c r="X100" s="3">
        <v>1798.06</v>
      </c>
      <c r="Y100" s="3">
        <v>1796.77</v>
      </c>
      <c r="Z100" s="3">
        <f t="shared" si="14"/>
        <v>314.69999999999993</v>
      </c>
      <c r="AA100" s="4">
        <f t="shared" si="15"/>
        <v>4.149377593360995E-2</v>
      </c>
      <c r="AB100" s="4">
        <f t="shared" si="16"/>
        <v>7.4454684930838873E-3</v>
      </c>
      <c r="AC100">
        <v>1.1476266666666668</v>
      </c>
      <c r="AD100" s="2">
        <v>8.8682999999999996</v>
      </c>
      <c r="AE100" s="2">
        <v>2.1758000000000002</v>
      </c>
      <c r="AF100" s="2">
        <f t="shared" si="17"/>
        <v>6.692499999999999</v>
      </c>
      <c r="AG100" s="2">
        <v>1.0281733333333334</v>
      </c>
      <c r="AH100" s="1">
        <f t="shared" si="18"/>
        <v>86.682854086128941</v>
      </c>
      <c r="AI100" s="1">
        <f t="shared" si="19"/>
        <v>13.317145913871059</v>
      </c>
      <c r="AJ100" s="1">
        <f t="shared" si="20"/>
        <v>0.66585729569355301</v>
      </c>
      <c r="AK100" s="8">
        <v>4.6999999999999709E-2</v>
      </c>
      <c r="AL100" s="9">
        <v>88.483214898309299</v>
      </c>
      <c r="AM100" s="10">
        <v>4.424160744915465</v>
      </c>
      <c r="AN100" s="9">
        <v>44.24160744915465</v>
      </c>
      <c r="AO100" s="11">
        <v>4.4250760780862244</v>
      </c>
      <c r="AP100" s="2">
        <v>4.1526499999999995</v>
      </c>
      <c r="AQ100" s="2">
        <f t="shared" si="21"/>
        <v>0.23254839999999999</v>
      </c>
      <c r="AR100" s="2">
        <v>1.859216002632857</v>
      </c>
      <c r="AS100" s="2">
        <v>0.24759450792465859</v>
      </c>
      <c r="AT100" s="2">
        <f t="shared" si="22"/>
        <v>2.4759450792465859E-2</v>
      </c>
      <c r="AU100" s="2">
        <f t="shared" si="23"/>
        <v>1.0273631034218196E-2</v>
      </c>
      <c r="AV100" s="2">
        <f t="shared" si="24"/>
        <v>1.6026864413380387E-3</v>
      </c>
      <c r="AW100" s="3">
        <f t="shared" si="25"/>
        <v>15.6</v>
      </c>
    </row>
    <row r="101" spans="1:49" x14ac:dyDescent="0.2">
      <c r="A101" t="s">
        <v>45</v>
      </c>
      <c r="B101" s="5" t="s">
        <v>46</v>
      </c>
      <c r="C101" s="5" t="s">
        <v>116</v>
      </c>
      <c r="D101" s="5" t="s">
        <v>149</v>
      </c>
      <c r="E101">
        <v>3</v>
      </c>
      <c r="F101" s="6">
        <v>116</v>
      </c>
      <c r="G101" s="3">
        <v>2.4</v>
      </c>
      <c r="H101" s="3">
        <v>3</v>
      </c>
      <c r="I101" s="3">
        <v>1</v>
      </c>
      <c r="J101" s="3">
        <v>37.254761904761722</v>
      </c>
      <c r="K101" s="3">
        <v>38.254761904761722</v>
      </c>
      <c r="L101" s="3">
        <v>37.754761904761722</v>
      </c>
      <c r="M101" s="1">
        <v>0.16</v>
      </c>
      <c r="N101" s="3">
        <v>117.25476190476172</v>
      </c>
      <c r="O101" s="3">
        <v>118.25476190476172</v>
      </c>
      <c r="P101" s="3">
        <v>117.75476190476172</v>
      </c>
      <c r="Q101" s="3">
        <v>117.25476190476172</v>
      </c>
      <c r="R101" s="3">
        <v>118.25476190476172</v>
      </c>
      <c r="S101" s="3">
        <v>117.8</v>
      </c>
      <c r="T101" s="3">
        <v>117.8</v>
      </c>
      <c r="U101" s="7">
        <f t="shared" si="13"/>
        <v>0.5</v>
      </c>
      <c r="V101" s="3">
        <v>1496.06</v>
      </c>
      <c r="W101" s="3">
        <v>2142.2399999999998</v>
      </c>
      <c r="X101" s="3">
        <v>1831.67</v>
      </c>
      <c r="Y101" s="3">
        <v>1825.69</v>
      </c>
      <c r="Z101" s="3">
        <f t="shared" si="14"/>
        <v>323.08999999999992</v>
      </c>
      <c r="AA101" s="4">
        <f t="shared" si="15"/>
        <v>4.1493775933610297E-2</v>
      </c>
      <c r="AB101" s="4">
        <f t="shared" si="16"/>
        <v>7.5192194977029263E-3</v>
      </c>
      <c r="AC101">
        <v>1.1476266666666668</v>
      </c>
      <c r="AD101" s="2">
        <v>7.9572000000000003</v>
      </c>
      <c r="AE101" s="2">
        <v>2.0411000000000001</v>
      </c>
      <c r="AF101" s="2">
        <f t="shared" si="17"/>
        <v>5.9161000000000001</v>
      </c>
      <c r="AG101" s="2">
        <v>0.89347333333333334</v>
      </c>
      <c r="AH101" s="1">
        <f t="shared" si="18"/>
        <v>86.879158361365754</v>
      </c>
      <c r="AI101" s="1">
        <f t="shared" si="19"/>
        <v>13.120841638634246</v>
      </c>
      <c r="AJ101" s="1">
        <f t="shared" si="20"/>
        <v>0.65604208193171232</v>
      </c>
      <c r="AK101" s="8">
        <v>4.9900000000000055E-2</v>
      </c>
      <c r="AL101" s="9">
        <v>88.801615798922782</v>
      </c>
      <c r="AM101" s="10">
        <v>4.4400807899461396</v>
      </c>
      <c r="AN101" s="9">
        <v>44.400807899461391</v>
      </c>
      <c r="AO101" s="11">
        <v>4.4409928418371418</v>
      </c>
      <c r="AP101" s="2">
        <v>5.7226500000000016</v>
      </c>
      <c r="AQ101" s="2">
        <f t="shared" si="21"/>
        <v>0.36624960000000012</v>
      </c>
      <c r="AR101" s="2">
        <v>1.1899335680730661</v>
      </c>
      <c r="AS101" s="2">
        <v>0.15612929907181691</v>
      </c>
      <c r="AT101" s="2">
        <f t="shared" si="22"/>
        <v>1.5612929907181692E-2</v>
      </c>
      <c r="AU101" s="2">
        <f t="shared" si="23"/>
        <v>6.4783941523576007E-3</v>
      </c>
      <c r="AV101" s="2">
        <f t="shared" si="24"/>
        <v>1.0624566409866466E-3</v>
      </c>
      <c r="AW101" s="3">
        <f t="shared" si="25"/>
        <v>16.400000000000002</v>
      </c>
    </row>
    <row r="102" spans="1:49" x14ac:dyDescent="0.2">
      <c r="A102" t="s">
        <v>45</v>
      </c>
      <c r="B102" s="5" t="s">
        <v>46</v>
      </c>
      <c r="C102" s="5" t="s">
        <v>116</v>
      </c>
      <c r="D102" s="5" t="s">
        <v>150</v>
      </c>
      <c r="E102">
        <v>3</v>
      </c>
      <c r="F102" s="6">
        <v>117</v>
      </c>
      <c r="G102" s="3">
        <v>3</v>
      </c>
      <c r="H102" s="3">
        <v>2.5</v>
      </c>
      <c r="I102" s="3">
        <v>1</v>
      </c>
      <c r="J102" s="3">
        <v>38.414285714285526</v>
      </c>
      <c r="K102" s="3">
        <v>39.414285714285526</v>
      </c>
      <c r="L102" s="3">
        <v>38.914285714285526</v>
      </c>
      <c r="M102" s="1">
        <v>0.16</v>
      </c>
      <c r="N102" s="3">
        <v>118.41428571428553</v>
      </c>
      <c r="O102" s="3">
        <v>119.41428571428553</v>
      </c>
      <c r="P102" s="3">
        <v>118.91428571428553</v>
      </c>
      <c r="Q102" s="3">
        <v>118.41428571428553</v>
      </c>
      <c r="R102" s="3">
        <v>119.41428571428553</v>
      </c>
      <c r="S102" s="3">
        <v>118.9</v>
      </c>
      <c r="T102" s="3">
        <v>118.9</v>
      </c>
      <c r="U102" s="7">
        <f t="shared" si="13"/>
        <v>0.5</v>
      </c>
      <c r="V102" s="3">
        <v>1504.21</v>
      </c>
      <c r="W102" s="3">
        <v>2174.52</v>
      </c>
      <c r="X102" s="3">
        <v>1860.2</v>
      </c>
      <c r="Y102" s="3">
        <v>1852.2</v>
      </c>
      <c r="Z102" s="3">
        <f t="shared" si="14"/>
        <v>335.15499999999997</v>
      </c>
      <c r="AA102" s="4">
        <f t="shared" si="15"/>
        <v>4.0941658137154245E-2</v>
      </c>
      <c r="AB102" s="4">
        <f t="shared" si="16"/>
        <v>7.5805484514154305E-3</v>
      </c>
      <c r="AC102">
        <v>1.1476266666666668</v>
      </c>
      <c r="AD102" s="2">
        <v>8.6812000000000005</v>
      </c>
      <c r="AE102" s="2">
        <v>2.1501000000000001</v>
      </c>
      <c r="AF102" s="2">
        <f t="shared" si="17"/>
        <v>6.5311000000000003</v>
      </c>
      <c r="AG102" s="2">
        <v>1.0024733333333333</v>
      </c>
      <c r="AH102" s="1">
        <f t="shared" si="18"/>
        <v>86.693255790081025</v>
      </c>
      <c r="AI102" s="1">
        <f t="shared" si="19"/>
        <v>13.306744209918975</v>
      </c>
      <c r="AJ102" s="1">
        <f t="shared" si="20"/>
        <v>0.66533721049594874</v>
      </c>
      <c r="AK102" s="8">
        <v>4.0799999999999947E-2</v>
      </c>
      <c r="AL102" s="9">
        <v>88.891913966784671</v>
      </c>
      <c r="AM102" s="10">
        <v>4.4445956983392341</v>
      </c>
      <c r="AN102" s="9">
        <v>44.445956983392335</v>
      </c>
      <c r="AO102" s="11">
        <v>4.4455068239398328</v>
      </c>
      <c r="AP102" s="2">
        <v>5.9365625</v>
      </c>
      <c r="AQ102" s="2">
        <f t="shared" si="21"/>
        <v>0.38587656250000002</v>
      </c>
      <c r="AR102" s="2">
        <v>1.2690127213068731</v>
      </c>
      <c r="AS102" s="2">
        <v>0.16886427681563757</v>
      </c>
      <c r="AT102" s="2">
        <f t="shared" si="22"/>
        <v>1.6886427681563756E-2</v>
      </c>
      <c r="AU102" s="2">
        <f t="shared" si="23"/>
        <v>6.9135834929636144E-3</v>
      </c>
      <c r="AV102" s="2">
        <f t="shared" si="24"/>
        <v>1.1407412763389962E-3</v>
      </c>
      <c r="AW102" s="3">
        <f t="shared" si="25"/>
        <v>16.499999999999996</v>
      </c>
    </row>
    <row r="103" spans="1:49" x14ac:dyDescent="0.2">
      <c r="A103" t="s">
        <v>45</v>
      </c>
      <c r="B103" s="5" t="s">
        <v>46</v>
      </c>
      <c r="C103" s="5" t="s">
        <v>116</v>
      </c>
      <c r="D103" s="5" t="s">
        <v>151</v>
      </c>
      <c r="E103">
        <v>3</v>
      </c>
      <c r="F103" s="6">
        <v>118</v>
      </c>
      <c r="G103" s="3">
        <v>2.35</v>
      </c>
      <c r="H103" s="3">
        <v>2.85</v>
      </c>
      <c r="I103" s="3">
        <v>1</v>
      </c>
      <c r="J103" s="3">
        <v>39.573809523809331</v>
      </c>
      <c r="K103" s="3">
        <v>40.573809523809331</v>
      </c>
      <c r="L103" s="3">
        <v>40.073809523809331</v>
      </c>
      <c r="M103" s="1">
        <v>0.16</v>
      </c>
      <c r="N103" s="3">
        <v>119.57380952380933</v>
      </c>
      <c r="O103" s="3">
        <v>120.57380952380933</v>
      </c>
      <c r="P103" s="3">
        <v>120.07380952380933</v>
      </c>
      <c r="Q103" s="3">
        <v>119.57380952380933</v>
      </c>
      <c r="R103" s="3">
        <v>120.57380952380933</v>
      </c>
      <c r="S103" s="3">
        <v>120.1</v>
      </c>
      <c r="T103" s="3">
        <v>120.1</v>
      </c>
      <c r="U103" s="7">
        <f t="shared" si="13"/>
        <v>0.5</v>
      </c>
      <c r="V103" s="3">
        <v>1519.81</v>
      </c>
      <c r="W103" s="3">
        <v>2215.2399999999998</v>
      </c>
      <c r="X103" s="3">
        <v>1892.76</v>
      </c>
      <c r="Y103" s="3">
        <v>1881.51</v>
      </c>
      <c r="Z103" s="3">
        <f t="shared" si="14"/>
        <v>347.71499999999992</v>
      </c>
      <c r="AA103" s="4">
        <f t="shared" si="15"/>
        <v>3.5760728218465827E-2</v>
      </c>
      <c r="AB103" s="4">
        <f t="shared" si="16"/>
        <v>6.7576887076799732E-3</v>
      </c>
      <c r="AC103">
        <v>1.1476266666666668</v>
      </c>
      <c r="AD103" s="2">
        <v>8.0831</v>
      </c>
      <c r="AE103" s="2">
        <v>2.0638000000000001</v>
      </c>
      <c r="AF103" s="2">
        <f t="shared" si="17"/>
        <v>6.0192999999999994</v>
      </c>
      <c r="AG103" s="2">
        <v>0.91617333333333328</v>
      </c>
      <c r="AH103" s="1">
        <f t="shared" si="18"/>
        <v>86.790038843779953</v>
      </c>
      <c r="AI103" s="1">
        <f t="shared" si="19"/>
        <v>13.209961156220047</v>
      </c>
      <c r="AJ103" s="1">
        <f t="shared" si="20"/>
        <v>0.66049805781100235</v>
      </c>
      <c r="AK103" s="8">
        <v>4.2499999999999538E-2</v>
      </c>
      <c r="AL103" s="9">
        <v>88.672707889125917</v>
      </c>
      <c r="AM103" s="10">
        <v>4.4336353944562958</v>
      </c>
      <c r="AN103" s="9">
        <v>44.336353944562958</v>
      </c>
      <c r="AO103" s="11">
        <v>4.4345487719694354</v>
      </c>
      <c r="AP103" s="2">
        <v>5.3066000000000013</v>
      </c>
      <c r="AQ103" s="2">
        <f t="shared" si="21"/>
        <v>0.32900920000000011</v>
      </c>
      <c r="AR103" s="2">
        <v>1.3069523486475958</v>
      </c>
      <c r="AS103" s="2">
        <v>0.17264789758665305</v>
      </c>
      <c r="AT103" s="2">
        <f t="shared" si="22"/>
        <v>1.7264789758665307E-2</v>
      </c>
      <c r="AU103" s="2">
        <f t="shared" si="23"/>
        <v>6.1740145430858222E-3</v>
      </c>
      <c r="AV103" s="2">
        <f t="shared" si="24"/>
        <v>1.0001903559799033E-3</v>
      </c>
      <c r="AW103" s="3">
        <f t="shared" si="25"/>
        <v>16.2</v>
      </c>
    </row>
    <row r="104" spans="1:49" x14ac:dyDescent="0.2">
      <c r="A104" t="s">
        <v>45</v>
      </c>
      <c r="B104" s="5" t="s">
        <v>46</v>
      </c>
      <c r="C104" s="5" t="s">
        <v>116</v>
      </c>
      <c r="D104" s="5" t="s">
        <v>152</v>
      </c>
      <c r="E104">
        <v>3</v>
      </c>
      <c r="F104" s="6">
        <v>119</v>
      </c>
      <c r="G104" s="3">
        <v>2.2999999999999998</v>
      </c>
      <c r="H104" s="3">
        <v>2.9</v>
      </c>
      <c r="I104" s="3">
        <v>0.95</v>
      </c>
      <c r="J104" s="3">
        <v>40.733333333333135</v>
      </c>
      <c r="K104" s="3">
        <v>41.683333333333138</v>
      </c>
      <c r="L104" s="3">
        <v>41.208333333333144</v>
      </c>
      <c r="M104" s="1">
        <v>0.16</v>
      </c>
      <c r="N104" s="3">
        <v>120.73333333333314</v>
      </c>
      <c r="O104" s="3">
        <v>121.68333333333314</v>
      </c>
      <c r="P104" s="3">
        <v>121.20833333333314</v>
      </c>
      <c r="Q104" s="3">
        <v>120.73333333333314</v>
      </c>
      <c r="R104" s="3">
        <v>121.68333333333314</v>
      </c>
      <c r="S104" s="3">
        <v>121.2</v>
      </c>
      <c r="T104" s="3">
        <v>121.2</v>
      </c>
      <c r="U104" s="7">
        <f t="shared" si="13"/>
        <v>0.47500000000000142</v>
      </c>
      <c r="V104" s="3">
        <v>1583.51</v>
      </c>
      <c r="W104" s="3">
        <v>2220.04</v>
      </c>
      <c r="X104" s="3">
        <v>1920.15</v>
      </c>
      <c r="Y104" s="3">
        <v>1912.27</v>
      </c>
      <c r="Z104" s="3">
        <f t="shared" si="14"/>
        <v>318.26499999999999</v>
      </c>
      <c r="AA104" s="4">
        <f t="shared" si="15"/>
        <v>3.5749106272343026E-2</v>
      </c>
      <c r="AB104" s="4">
        <f t="shared" si="16"/>
        <v>6.0899399486909651E-3</v>
      </c>
      <c r="AC104">
        <v>1.1476266666666668</v>
      </c>
      <c r="AD104" s="2">
        <v>8.4305000000000003</v>
      </c>
      <c r="AE104" s="2">
        <v>2.0731000000000002</v>
      </c>
      <c r="AF104" s="2">
        <f t="shared" si="17"/>
        <v>6.3574000000000002</v>
      </c>
      <c r="AG104" s="2">
        <v>0.92547333333333337</v>
      </c>
      <c r="AH104" s="1">
        <f t="shared" si="18"/>
        <v>87.292469730353673</v>
      </c>
      <c r="AI104" s="1">
        <f t="shared" si="19"/>
        <v>12.707530269646327</v>
      </c>
      <c r="AJ104" s="1">
        <f t="shared" si="20"/>
        <v>0.63537651348231639</v>
      </c>
      <c r="AK104" s="8">
        <v>3.819999999999979E-2</v>
      </c>
      <c r="AL104" s="9">
        <v>88.514732411304948</v>
      </c>
      <c r="AM104" s="10">
        <v>4.4257366205652477</v>
      </c>
      <c r="AN104" s="9">
        <v>44.257366205652474</v>
      </c>
      <c r="AO104" s="11">
        <v>4.4266516278799601</v>
      </c>
      <c r="AP104" s="2">
        <v>5.041269999999999</v>
      </c>
      <c r="AQ104" s="2">
        <f t="shared" si="21"/>
        <v>0.31003810499999995</v>
      </c>
      <c r="AR104" s="2">
        <v>1.4446505212641527</v>
      </c>
      <c r="AS104" s="2">
        <v>0.18357940228024555</v>
      </c>
      <c r="AT104" s="2">
        <f t="shared" si="22"/>
        <v>1.8357940228024557E-2</v>
      </c>
      <c r="AU104" s="2">
        <f t="shared" si="23"/>
        <v>6.5627995615297101E-3</v>
      </c>
      <c r="AV104" s="2">
        <f t="shared" si="24"/>
        <v>1.0598921291870482E-3</v>
      </c>
      <c r="AW104" s="3">
        <f t="shared" si="25"/>
        <v>16.150000000000002</v>
      </c>
    </row>
    <row r="105" spans="1:49" x14ac:dyDescent="0.2">
      <c r="A105" t="s">
        <v>45</v>
      </c>
      <c r="B105" s="5" t="s">
        <v>46</v>
      </c>
      <c r="C105" s="5" t="s">
        <v>116</v>
      </c>
      <c r="D105" s="5" t="s">
        <v>153</v>
      </c>
      <c r="E105">
        <v>3</v>
      </c>
      <c r="F105" s="6">
        <v>120</v>
      </c>
      <c r="G105" s="3">
        <v>2.8</v>
      </c>
      <c r="H105" s="3">
        <v>2.4</v>
      </c>
      <c r="I105" s="3">
        <v>0.9</v>
      </c>
      <c r="J105" s="3">
        <v>41.842857142856943</v>
      </c>
      <c r="K105" s="3">
        <v>42.742857142856948</v>
      </c>
      <c r="L105" s="3">
        <v>42.292857142856946</v>
      </c>
      <c r="M105" s="1">
        <v>0.16</v>
      </c>
      <c r="N105" s="3">
        <v>121.84285714285694</v>
      </c>
      <c r="O105" s="3">
        <v>122.74285714285695</v>
      </c>
      <c r="P105" s="3">
        <v>122.29285714285695</v>
      </c>
      <c r="Q105" s="3">
        <v>121.84285714285694</v>
      </c>
      <c r="R105" s="3">
        <v>122.74285714285695</v>
      </c>
      <c r="S105" s="3">
        <v>122.3</v>
      </c>
      <c r="T105" s="3">
        <v>122.3</v>
      </c>
      <c r="U105" s="7">
        <f t="shared" si="13"/>
        <v>0.45000000000000284</v>
      </c>
      <c r="V105" s="3">
        <v>1650.16</v>
      </c>
      <c r="W105" s="3">
        <v>2225.91</v>
      </c>
      <c r="X105" s="3">
        <v>1946.44</v>
      </c>
      <c r="Y105" s="3">
        <v>1943.04</v>
      </c>
      <c r="Z105" s="3">
        <f t="shared" si="14"/>
        <v>287.87499999999989</v>
      </c>
      <c r="AA105" s="4">
        <f t="shared" si="15"/>
        <v>3.5760728218465827E-2</v>
      </c>
      <c r="AB105" s="4">
        <f t="shared" si="16"/>
        <v>5.429783394949041E-3</v>
      </c>
      <c r="AC105">
        <v>1.1476266666666668</v>
      </c>
      <c r="AD105" s="2">
        <v>7.0904999999999996</v>
      </c>
      <c r="AE105" s="2">
        <v>1.8733</v>
      </c>
      <c r="AF105" s="2">
        <f t="shared" si="17"/>
        <v>5.2172000000000001</v>
      </c>
      <c r="AG105" s="2">
        <v>0.72567333333333317</v>
      </c>
      <c r="AH105" s="1">
        <f t="shared" si="18"/>
        <v>87.789183907672054</v>
      </c>
      <c r="AI105" s="1">
        <f t="shared" si="19"/>
        <v>12.210816092327946</v>
      </c>
      <c r="AJ105" s="1">
        <f t="shared" si="20"/>
        <v>0.61054080461639737</v>
      </c>
      <c r="AK105" s="8">
        <v>2.8500000000000192E-2</v>
      </c>
      <c r="AL105" s="9">
        <v>89.092996555683058</v>
      </c>
      <c r="AM105" s="10">
        <v>4.4546498277841531</v>
      </c>
      <c r="AN105" s="9">
        <v>44.546498277841529</v>
      </c>
      <c r="AO105" s="11">
        <v>4.4555588973974274</v>
      </c>
      <c r="AP105" s="2">
        <v>4.7759399999999994</v>
      </c>
      <c r="AQ105" s="2">
        <f t="shared" si="21"/>
        <v>0.29133233999999997</v>
      </c>
      <c r="AR105" s="2">
        <v>1.2443358445318269</v>
      </c>
      <c r="AS105" s="2">
        <v>0.15194356154669725</v>
      </c>
      <c r="AT105" s="2">
        <f t="shared" si="22"/>
        <v>1.5194356154669726E-2</v>
      </c>
      <c r="AU105" s="2">
        <f t="shared" si="23"/>
        <v>5.4336124090171752E-3</v>
      </c>
      <c r="AV105" s="2">
        <f t="shared" si="24"/>
        <v>8.7481159785176524E-4</v>
      </c>
      <c r="AW105" s="3">
        <f t="shared" si="25"/>
        <v>16.100000000000001</v>
      </c>
    </row>
    <row r="106" spans="1:49" x14ac:dyDescent="0.2">
      <c r="A106" t="s">
        <v>45</v>
      </c>
      <c r="B106" s="5" t="s">
        <v>46</v>
      </c>
      <c r="C106" s="5" t="s">
        <v>116</v>
      </c>
      <c r="D106" s="5" t="s">
        <v>154</v>
      </c>
      <c r="E106">
        <v>3</v>
      </c>
      <c r="F106" s="6">
        <v>121</v>
      </c>
      <c r="G106" s="3">
        <v>2.4</v>
      </c>
      <c r="H106" s="3">
        <v>2.65</v>
      </c>
      <c r="I106" s="3">
        <v>0.9</v>
      </c>
      <c r="J106" s="3">
        <v>42.902380952380753</v>
      </c>
      <c r="K106" s="3">
        <v>43.802380952380759</v>
      </c>
      <c r="L106" s="3">
        <v>43.352380952380756</v>
      </c>
      <c r="M106" s="1">
        <v>0.16</v>
      </c>
      <c r="N106" s="3">
        <v>122.90238095238075</v>
      </c>
      <c r="O106" s="3">
        <v>123.80238095238076</v>
      </c>
      <c r="P106" s="3">
        <v>123.35238095238076</v>
      </c>
      <c r="Q106" s="3">
        <v>122.90238095238075</v>
      </c>
      <c r="R106" s="3">
        <v>123.80238095238076</v>
      </c>
      <c r="S106" s="3">
        <v>123.4</v>
      </c>
      <c r="T106" s="3">
        <v>123.4</v>
      </c>
      <c r="U106" s="7">
        <f t="shared" si="13"/>
        <v>0.45000000000000284</v>
      </c>
      <c r="V106" s="3">
        <v>1712.52</v>
      </c>
      <c r="W106" s="3">
        <v>2233.0700000000002</v>
      </c>
      <c r="X106" s="3">
        <v>1974.29</v>
      </c>
      <c r="Y106" s="3">
        <v>1973.8</v>
      </c>
      <c r="Z106" s="3">
        <f t="shared" si="14"/>
        <v>260.27500000000009</v>
      </c>
      <c r="AA106" s="4">
        <f t="shared" si="15"/>
        <v>3.5752592062924526E-2</v>
      </c>
      <c r="AB106" s="4">
        <f t="shared" si="16"/>
        <v>4.8448912428450328E-3</v>
      </c>
      <c r="AC106">
        <v>1.1476266666666668</v>
      </c>
      <c r="AD106" s="2">
        <v>7.2293000000000003</v>
      </c>
      <c r="AE106" s="2">
        <v>1.9032</v>
      </c>
      <c r="AF106" s="2">
        <f t="shared" si="17"/>
        <v>5.3261000000000003</v>
      </c>
      <c r="AG106" s="2">
        <v>0.75557333333333321</v>
      </c>
      <c r="AH106" s="1">
        <f t="shared" si="18"/>
        <v>87.576226279828688</v>
      </c>
      <c r="AI106" s="1">
        <f t="shared" si="19"/>
        <v>12.423773720171312</v>
      </c>
      <c r="AJ106" s="1">
        <f t="shared" si="20"/>
        <v>0.62118868600856558</v>
      </c>
      <c r="AK106" s="8">
        <v>3.9689999999999337E-2</v>
      </c>
      <c r="AL106" s="9">
        <v>85.055913249746069</v>
      </c>
      <c r="AM106" s="10">
        <v>4.252795662487304</v>
      </c>
      <c r="AN106" s="9">
        <v>42.527956624873035</v>
      </c>
      <c r="AO106" s="11">
        <v>4.2537478706278335</v>
      </c>
      <c r="AP106" s="2">
        <v>4.5043790625</v>
      </c>
      <c r="AQ106" s="2">
        <f t="shared" si="21"/>
        <v>0.26801055421875003</v>
      </c>
      <c r="AR106" s="2">
        <v>1.350169079677302</v>
      </c>
      <c r="AS106" s="2">
        <v>0.16774195129882749</v>
      </c>
      <c r="AT106" s="2">
        <f t="shared" si="22"/>
        <v>1.6774195129882749E-2</v>
      </c>
      <c r="AU106" s="2">
        <f t="shared" si="23"/>
        <v>5.9972095566259319E-3</v>
      </c>
      <c r="AV106" s="2">
        <f t="shared" si="24"/>
        <v>9.5655492428183616E-4</v>
      </c>
      <c r="AW106" s="3">
        <f t="shared" si="25"/>
        <v>15.950000000000001</v>
      </c>
    </row>
    <row r="107" spans="1:49" x14ac:dyDescent="0.2">
      <c r="A107" t="s">
        <v>45</v>
      </c>
      <c r="B107" s="5" t="s">
        <v>46</v>
      </c>
      <c r="C107" s="5" t="s">
        <v>155</v>
      </c>
      <c r="D107" s="5" t="s">
        <v>156</v>
      </c>
      <c r="E107">
        <v>4</v>
      </c>
      <c r="F107" s="6">
        <v>138</v>
      </c>
      <c r="G107" s="3">
        <v>3</v>
      </c>
      <c r="H107" s="3">
        <v>2.95</v>
      </c>
      <c r="I107" s="3">
        <v>1</v>
      </c>
      <c r="J107" s="3">
        <v>12.910243902439078</v>
      </c>
      <c r="K107" s="3">
        <v>13.910243902439078</v>
      </c>
      <c r="L107" s="3">
        <v>13.410243902439078</v>
      </c>
      <c r="M107" s="1">
        <v>0.17</v>
      </c>
      <c r="N107" s="3">
        <v>132.91024390243908</v>
      </c>
      <c r="O107" s="3">
        <v>133.91024390243908</v>
      </c>
      <c r="P107" s="3">
        <v>133.41024390243908</v>
      </c>
      <c r="Q107" s="3">
        <v>123.91024390243908</v>
      </c>
      <c r="R107" s="3">
        <v>124.91024390243908</v>
      </c>
      <c r="S107" s="3">
        <v>124.4</v>
      </c>
      <c r="T107" s="3">
        <v>124.4</v>
      </c>
      <c r="U107" s="7">
        <f t="shared" si="13"/>
        <v>0.5</v>
      </c>
      <c r="V107" s="3">
        <v>1770.1</v>
      </c>
      <c r="W107" s="3">
        <v>2238.59</v>
      </c>
      <c r="X107" s="3">
        <v>1998.64</v>
      </c>
      <c r="Y107" s="3">
        <v>2001.77</v>
      </c>
      <c r="Z107" s="3">
        <f t="shared" si="14"/>
        <v>234.24500000000012</v>
      </c>
      <c r="AA107" s="4">
        <f t="shared" si="15"/>
        <v>3.5756853396900795E-2</v>
      </c>
      <c r="AB107" s="4">
        <f t="shared" si="16"/>
        <v>4.3279462757148494E-3</v>
      </c>
      <c r="AC107">
        <v>1.1476266666666668</v>
      </c>
      <c r="AD107" s="2">
        <v>9.1172000000000004</v>
      </c>
      <c r="AE107" s="2">
        <v>2.4205999999999999</v>
      </c>
      <c r="AF107" s="2">
        <f t="shared" si="17"/>
        <v>6.6966000000000001</v>
      </c>
      <c r="AG107" s="2">
        <v>1.2729733333333331</v>
      </c>
      <c r="AH107" s="1">
        <f t="shared" si="18"/>
        <v>84.027083005698344</v>
      </c>
      <c r="AI107" s="1">
        <f t="shared" si="19"/>
        <v>15.972916994301656</v>
      </c>
      <c r="AJ107" s="1">
        <f t="shared" si="20"/>
        <v>0.79864584971508279</v>
      </c>
      <c r="AK107" s="8">
        <v>5.152000000000001E-2</v>
      </c>
      <c r="AL107" s="9">
        <v>86.331316990342771</v>
      </c>
      <c r="AM107" s="10">
        <v>4.3165658495171391</v>
      </c>
      <c r="AN107" s="9">
        <v>43.165658495171385</v>
      </c>
      <c r="AO107" s="11">
        <v>4.3175039934223127</v>
      </c>
      <c r="AP107" s="2">
        <v>6.9477406249999998</v>
      </c>
      <c r="AQ107" s="2">
        <f t="shared" si="21"/>
        <v>0.48286797343749993</v>
      </c>
      <c r="AR107" s="2">
        <v>1.1470741012778285</v>
      </c>
      <c r="AS107" s="2">
        <v>0.18322119406023926</v>
      </c>
      <c r="AT107" s="2">
        <f t="shared" si="22"/>
        <v>1.8322119406023928E-2</v>
      </c>
      <c r="AU107" s="2">
        <f t="shared" si="23"/>
        <v>6.5514133752170864E-3</v>
      </c>
      <c r="AV107" s="2">
        <f t="shared" si="24"/>
        <v>1.1104645670992962E-3</v>
      </c>
      <c r="AW107" s="3">
        <f t="shared" si="25"/>
        <v>16.950000000000003</v>
      </c>
    </row>
    <row r="108" spans="1:49" x14ac:dyDescent="0.2">
      <c r="A108" t="s">
        <v>45</v>
      </c>
      <c r="B108" s="5" t="s">
        <v>46</v>
      </c>
      <c r="C108" s="5" t="s">
        <v>155</v>
      </c>
      <c r="D108" s="5" t="s">
        <v>157</v>
      </c>
      <c r="E108">
        <v>4</v>
      </c>
      <c r="F108" s="6">
        <v>139</v>
      </c>
      <c r="G108" s="3">
        <v>3</v>
      </c>
      <c r="H108" s="3">
        <v>2.95</v>
      </c>
      <c r="I108" s="3">
        <v>1</v>
      </c>
      <c r="J108" s="3">
        <v>14.083902439024456</v>
      </c>
      <c r="K108" s="3">
        <v>15.083902439024456</v>
      </c>
      <c r="L108" s="3">
        <v>14.583902439024456</v>
      </c>
      <c r="M108" s="1">
        <v>0.17</v>
      </c>
      <c r="N108" s="3">
        <v>134.08390243902446</v>
      </c>
      <c r="O108" s="3">
        <v>135.08390243902446</v>
      </c>
      <c r="P108" s="3">
        <v>134.58390243902446</v>
      </c>
      <c r="Q108" s="3">
        <v>125.08390243902446</v>
      </c>
      <c r="R108" s="3">
        <v>126.08390243902446</v>
      </c>
      <c r="S108" s="3">
        <v>125.6</v>
      </c>
      <c r="T108" s="3">
        <v>125.6</v>
      </c>
      <c r="U108" s="7">
        <f t="shared" si="13"/>
        <v>0.5</v>
      </c>
      <c r="V108" s="3">
        <v>1831.98</v>
      </c>
      <c r="W108" s="3">
        <v>2247.5</v>
      </c>
      <c r="X108" s="3">
        <v>2030.68</v>
      </c>
      <c r="Y108" s="3">
        <v>2035.33</v>
      </c>
      <c r="Z108" s="3">
        <f t="shared" si="14"/>
        <v>207.76</v>
      </c>
      <c r="AA108" s="4">
        <f t="shared" si="15"/>
        <v>3.5760728218465564E-2</v>
      </c>
      <c r="AB108" s="4">
        <f t="shared" si="16"/>
        <v>3.792700757413274E-3</v>
      </c>
      <c r="AC108">
        <v>1.1476266666666668</v>
      </c>
      <c r="AD108" s="2">
        <v>8.9968000000000004</v>
      </c>
      <c r="AE108" s="2">
        <v>2.4091</v>
      </c>
      <c r="AF108" s="2">
        <f t="shared" si="17"/>
        <v>6.5876999999999999</v>
      </c>
      <c r="AG108" s="2">
        <v>1.2614733333333332</v>
      </c>
      <c r="AH108" s="1">
        <f t="shared" si="18"/>
        <v>83.928583562090623</v>
      </c>
      <c r="AI108" s="1">
        <f t="shared" si="19"/>
        <v>16.071416437909377</v>
      </c>
      <c r="AJ108" s="1">
        <f t="shared" si="20"/>
        <v>0.80357082189546891</v>
      </c>
      <c r="AK108" s="8">
        <v>4.3599999999999639E-2</v>
      </c>
      <c r="AL108" s="9">
        <v>84.339080459770216</v>
      </c>
      <c r="AM108" s="10">
        <v>4.216954022988511</v>
      </c>
      <c r="AN108" s="9">
        <v>42.169540229885108</v>
      </c>
      <c r="AO108" s="11">
        <v>4.2179143225057318</v>
      </c>
      <c r="AP108" s="2">
        <v>6.9477406249999998</v>
      </c>
      <c r="AQ108" s="2">
        <f t="shared" si="21"/>
        <v>0.48286797343749993</v>
      </c>
      <c r="AR108" s="2">
        <v>1.1297447266654883</v>
      </c>
      <c r="AS108" s="2">
        <v>0.18156597970773172</v>
      </c>
      <c r="AT108" s="2">
        <f t="shared" si="22"/>
        <v>1.8156597970773174E-2</v>
      </c>
      <c r="AU108" s="2">
        <f t="shared" si="23"/>
        <v>6.4929316540476281E-3</v>
      </c>
      <c r="AV108" s="2">
        <f t="shared" si="24"/>
        <v>1.1005519153610729E-3</v>
      </c>
      <c r="AW108" s="3">
        <f t="shared" si="25"/>
        <v>16.95</v>
      </c>
    </row>
    <row r="109" spans="1:49" x14ac:dyDescent="0.2">
      <c r="A109" t="s">
        <v>45</v>
      </c>
      <c r="B109" s="5" t="s">
        <v>46</v>
      </c>
      <c r="C109" s="5" t="s">
        <v>155</v>
      </c>
      <c r="D109" s="5" t="s">
        <v>158</v>
      </c>
      <c r="E109">
        <v>4</v>
      </c>
      <c r="F109" s="6">
        <v>140</v>
      </c>
      <c r="G109" s="3">
        <v>2.65</v>
      </c>
      <c r="H109" s="3">
        <v>3.2</v>
      </c>
      <c r="I109" s="3">
        <v>0.95</v>
      </c>
      <c r="J109" s="3">
        <v>15.257560975609834</v>
      </c>
      <c r="K109" s="3">
        <v>16.207560975609823</v>
      </c>
      <c r="L109" s="3">
        <v>15.732560975609829</v>
      </c>
      <c r="M109" s="1">
        <v>0.17</v>
      </c>
      <c r="N109" s="3">
        <v>135.25756097560983</v>
      </c>
      <c r="O109" s="3">
        <v>136.20756097560982</v>
      </c>
      <c r="P109" s="3">
        <v>135.73256097560983</v>
      </c>
      <c r="Q109" s="3">
        <v>126.25756097560983</v>
      </c>
      <c r="R109" s="3">
        <v>127.20756097560984</v>
      </c>
      <c r="S109" s="3">
        <v>126.7</v>
      </c>
      <c r="T109" s="3">
        <v>126.7</v>
      </c>
      <c r="U109" s="7">
        <f t="shared" si="13"/>
        <v>0.47500000000000142</v>
      </c>
      <c r="V109" s="3">
        <v>1888.85</v>
      </c>
      <c r="W109" s="3">
        <v>2255.5500000000002</v>
      </c>
      <c r="X109" s="3">
        <v>2060.16</v>
      </c>
      <c r="Y109" s="3">
        <v>2066.09</v>
      </c>
      <c r="Z109" s="3">
        <f t="shared" si="14"/>
        <v>183.35000000000014</v>
      </c>
      <c r="AA109" s="4">
        <f t="shared" si="15"/>
        <v>3.5746201966041502E-2</v>
      </c>
      <c r="AB109" s="4">
        <f t="shared" si="16"/>
        <v>3.3062204602063278E-3</v>
      </c>
      <c r="AC109">
        <v>1.1476266666666668</v>
      </c>
      <c r="AD109" s="2">
        <v>8.2205999999999992</v>
      </c>
      <c r="AE109" s="2">
        <v>2.3229000000000002</v>
      </c>
      <c r="AF109" s="2">
        <f t="shared" si="17"/>
        <v>5.8976999999999986</v>
      </c>
      <c r="AG109" s="2">
        <v>1.1752733333333334</v>
      </c>
      <c r="AH109" s="1">
        <f t="shared" si="18"/>
        <v>83.383602935493414</v>
      </c>
      <c r="AI109" s="1">
        <f t="shared" si="19"/>
        <v>16.616397064506586</v>
      </c>
      <c r="AJ109" s="1">
        <f t="shared" si="20"/>
        <v>0.83081985322532936</v>
      </c>
      <c r="AK109" s="8">
        <v>4.4970000000000176E-2</v>
      </c>
      <c r="AL109" s="9">
        <v>84.892666375516455</v>
      </c>
      <c r="AM109" s="10">
        <v>4.2446333187758229</v>
      </c>
      <c r="AN109" s="9">
        <v>42.446333187758228</v>
      </c>
      <c r="AO109" s="11">
        <v>4.2455873575822061</v>
      </c>
      <c r="AP109" s="2">
        <v>6.3803573437499992</v>
      </c>
      <c r="AQ109" s="2">
        <f t="shared" si="21"/>
        <v>0.43386429937499987</v>
      </c>
      <c r="AR109" s="2">
        <v>1.1085544198024895</v>
      </c>
      <c r="AS109" s="2">
        <v>0.18420180407051884</v>
      </c>
      <c r="AT109" s="2">
        <f t="shared" si="22"/>
        <v>1.8420180407051883E-2</v>
      </c>
      <c r="AU109" s="2">
        <f t="shared" si="23"/>
        <v>6.5845148908139717E-3</v>
      </c>
      <c r="AV109" s="2">
        <f t="shared" si="24"/>
        <v>1.106198501656747E-3</v>
      </c>
      <c r="AW109" s="3">
        <f t="shared" si="25"/>
        <v>16.799999999999997</v>
      </c>
    </row>
    <row r="110" spans="1:49" x14ac:dyDescent="0.2">
      <c r="A110" t="s">
        <v>45</v>
      </c>
      <c r="B110" s="5" t="s">
        <v>46</v>
      </c>
      <c r="C110" s="5" t="s">
        <v>155</v>
      </c>
      <c r="D110" s="5" t="s">
        <v>159</v>
      </c>
      <c r="E110">
        <v>4</v>
      </c>
      <c r="F110" s="6">
        <v>141</v>
      </c>
      <c r="G110" s="3">
        <v>2.65</v>
      </c>
      <c r="H110" s="3">
        <v>3.05</v>
      </c>
      <c r="I110" s="3">
        <v>1</v>
      </c>
      <c r="J110" s="3">
        <v>16.381219512195202</v>
      </c>
      <c r="K110" s="3">
        <v>17.381219512195202</v>
      </c>
      <c r="L110" s="3">
        <v>16.881219512195202</v>
      </c>
      <c r="M110" s="1">
        <v>0.17</v>
      </c>
      <c r="N110" s="3">
        <v>136.3812195121952</v>
      </c>
      <c r="O110" s="3">
        <v>137.3812195121952</v>
      </c>
      <c r="P110" s="3">
        <v>136.8812195121952</v>
      </c>
      <c r="Q110" s="3">
        <v>127.3812195121952</v>
      </c>
      <c r="R110" s="3">
        <v>128.3812195121952</v>
      </c>
      <c r="S110" s="3">
        <v>127.9</v>
      </c>
      <c r="T110" s="3">
        <v>127.9</v>
      </c>
      <c r="U110" s="7">
        <f t="shared" si="13"/>
        <v>0.5</v>
      </c>
      <c r="V110" s="3">
        <v>1939.35</v>
      </c>
      <c r="W110" s="3">
        <v>2265.4</v>
      </c>
      <c r="X110" s="3">
        <v>2087.7199999999998</v>
      </c>
      <c r="Y110" s="3">
        <v>2099.66</v>
      </c>
      <c r="Z110" s="3">
        <f t="shared" si="14"/>
        <v>163.02500000000009</v>
      </c>
      <c r="AA110" s="4">
        <f t="shared" si="15"/>
        <v>3.5760728218465099E-2</v>
      </c>
      <c r="AB110" s="4">
        <f t="shared" si="16"/>
        <v>2.9163884954178372E-3</v>
      </c>
      <c r="AC110">
        <v>1.1476266666666668</v>
      </c>
      <c r="AD110" s="2">
        <v>8.8560999999999996</v>
      </c>
      <c r="AE110" s="2">
        <v>2.302</v>
      </c>
      <c r="AF110" s="2">
        <f t="shared" si="17"/>
        <v>6.5541</v>
      </c>
      <c r="AG110" s="2">
        <v>1.1543733333333333</v>
      </c>
      <c r="AH110" s="1">
        <f t="shared" si="18"/>
        <v>85.024617931263521</v>
      </c>
      <c r="AI110" s="1">
        <f t="shared" si="19"/>
        <v>14.975382068736479</v>
      </c>
      <c r="AJ110" s="1">
        <f t="shared" si="20"/>
        <v>0.74876910343682401</v>
      </c>
      <c r="AK110" s="8">
        <v>4.4059999999999988E-2</v>
      </c>
      <c r="AL110" s="9">
        <v>86.58588564817633</v>
      </c>
      <c r="AM110" s="10">
        <v>4.3292942824088163</v>
      </c>
      <c r="AN110" s="9">
        <v>43.292942824088165</v>
      </c>
      <c r="AO110" s="11">
        <v>4.3302296687009187</v>
      </c>
      <c r="AP110" s="2">
        <v>6.3761624999999995</v>
      </c>
      <c r="AQ110" s="2">
        <f t="shared" si="21"/>
        <v>0.42720288749999991</v>
      </c>
      <c r="AR110" s="2">
        <v>1.2089518316594556</v>
      </c>
      <c r="AS110" s="2">
        <v>0.18104515581799135</v>
      </c>
      <c r="AT110" s="2">
        <f t="shared" si="22"/>
        <v>1.8104515581799135E-2</v>
      </c>
      <c r="AU110" s="2">
        <f t="shared" si="23"/>
        <v>6.4743066124768539E-3</v>
      </c>
      <c r="AV110" s="2">
        <f t="shared" si="24"/>
        <v>1.0812092042836346E-3</v>
      </c>
      <c r="AW110" s="3">
        <f t="shared" si="25"/>
        <v>16.7</v>
      </c>
    </row>
    <row r="111" spans="1:49" x14ac:dyDescent="0.2">
      <c r="A111" t="s">
        <v>45</v>
      </c>
      <c r="B111" s="5" t="s">
        <v>46</v>
      </c>
      <c r="C111" s="5" t="s">
        <v>155</v>
      </c>
      <c r="D111" s="5" t="s">
        <v>160</v>
      </c>
      <c r="E111">
        <v>4</v>
      </c>
      <c r="F111" s="6">
        <v>142</v>
      </c>
      <c r="G111" s="3">
        <v>2.5</v>
      </c>
      <c r="H111" s="3">
        <v>3</v>
      </c>
      <c r="I111" s="3">
        <v>0.95</v>
      </c>
      <c r="J111" s="3">
        <v>17.55487804878058</v>
      </c>
      <c r="K111" s="3">
        <v>18.504878048780569</v>
      </c>
      <c r="L111" s="3">
        <v>18.029878048780574</v>
      </c>
      <c r="M111" s="1">
        <v>0.17</v>
      </c>
      <c r="N111" s="3">
        <v>137.55487804878058</v>
      </c>
      <c r="O111" s="3">
        <v>138.50487804878057</v>
      </c>
      <c r="P111" s="3">
        <v>138.02987804878057</v>
      </c>
      <c r="Q111" s="3">
        <v>128.55487804878058</v>
      </c>
      <c r="R111" s="3">
        <v>129.50487804878057</v>
      </c>
      <c r="S111" s="3">
        <v>129</v>
      </c>
      <c r="T111" s="3">
        <v>129</v>
      </c>
      <c r="U111" s="7">
        <f t="shared" si="13"/>
        <v>0.47499999999999432</v>
      </c>
      <c r="V111" s="3">
        <v>1982.56</v>
      </c>
      <c r="W111" s="3">
        <v>2280.16</v>
      </c>
      <c r="X111" s="3">
        <v>2109.9</v>
      </c>
      <c r="Y111" s="3">
        <v>2130.42</v>
      </c>
      <c r="Z111" s="3">
        <f t="shared" si="14"/>
        <v>148.79999999999995</v>
      </c>
      <c r="AA111" s="4">
        <f t="shared" si="15"/>
        <v>3.8747174685179089E-2</v>
      </c>
      <c r="AB111" s="4">
        <f t="shared" si="16"/>
        <v>2.8489849458152795E-3</v>
      </c>
      <c r="AC111">
        <v>1.1476266666666668</v>
      </c>
      <c r="AD111" s="2">
        <v>8.2684999999999995</v>
      </c>
      <c r="AE111" s="2">
        <v>2.3037999999999998</v>
      </c>
      <c r="AF111" s="2">
        <f t="shared" si="17"/>
        <v>5.9646999999999997</v>
      </c>
      <c r="AG111" s="2">
        <v>1.1561733333333331</v>
      </c>
      <c r="AH111" s="1">
        <f t="shared" si="18"/>
        <v>83.763602030088066</v>
      </c>
      <c r="AI111" s="1">
        <f t="shared" si="19"/>
        <v>16.236397969911934</v>
      </c>
      <c r="AJ111" s="1">
        <f t="shared" si="20"/>
        <v>0.81181989849559677</v>
      </c>
      <c r="AK111" s="8">
        <v>7.1390000000000065E-2</v>
      </c>
      <c r="AL111" s="9">
        <v>83.477979124719397</v>
      </c>
      <c r="AM111" s="10">
        <v>4.1738989562359698</v>
      </c>
      <c r="AN111" s="9">
        <v>41.738989562359698</v>
      </c>
      <c r="AO111" s="11">
        <v>4.1748691592513074</v>
      </c>
      <c r="AP111" s="2">
        <v>5.6397343749999989</v>
      </c>
      <c r="AQ111" s="2">
        <f t="shared" si="21"/>
        <v>0.36376286718749995</v>
      </c>
      <c r="AR111" s="2">
        <v>1.2626256592684535</v>
      </c>
      <c r="AS111" s="2">
        <v>0.20500492690905026</v>
      </c>
      <c r="AT111" s="2">
        <f t="shared" si="22"/>
        <v>2.0500492690905026E-2</v>
      </c>
      <c r="AU111" s="2">
        <f t="shared" si="23"/>
        <v>7.9433617142673409E-3</v>
      </c>
      <c r="AV111" s="2">
        <f t="shared" si="24"/>
        <v>1.3066830019969776E-3</v>
      </c>
      <c r="AW111" s="3">
        <f t="shared" si="25"/>
        <v>16.45</v>
      </c>
    </row>
    <row r="112" spans="1:49" x14ac:dyDescent="0.2">
      <c r="A112" t="s">
        <v>45</v>
      </c>
      <c r="B112" s="5" t="s">
        <v>46</v>
      </c>
      <c r="C112" s="5" t="s">
        <v>155</v>
      </c>
      <c r="D112" s="5" t="s">
        <v>161</v>
      </c>
      <c r="E112">
        <v>4</v>
      </c>
      <c r="F112" s="6">
        <v>143</v>
      </c>
      <c r="G112" s="3">
        <v>3</v>
      </c>
      <c r="H112" s="3">
        <v>3.05</v>
      </c>
      <c r="I112" s="3">
        <v>0.98</v>
      </c>
      <c r="J112" s="3">
        <v>18.678536585365947</v>
      </c>
      <c r="K112" s="3">
        <v>19.658536585365937</v>
      </c>
      <c r="L112" s="3">
        <v>19.168536585365928</v>
      </c>
      <c r="M112" s="1">
        <v>0.17</v>
      </c>
      <c r="N112" s="3">
        <v>138.67853658536595</v>
      </c>
      <c r="O112" s="3">
        <v>139.65853658536594</v>
      </c>
      <c r="P112" s="3">
        <v>139.16853658536593</v>
      </c>
      <c r="Q112" s="3">
        <v>129.67853658536595</v>
      </c>
      <c r="R112" s="3">
        <v>130.65853658536594</v>
      </c>
      <c r="S112" s="3">
        <v>130.19999999999999</v>
      </c>
      <c r="T112" s="3">
        <v>130.19999999999999</v>
      </c>
      <c r="U112" s="7">
        <f t="shared" si="13"/>
        <v>0.48999999999999488</v>
      </c>
      <c r="V112" s="3">
        <v>2016.37</v>
      </c>
      <c r="W112" s="3">
        <v>2302.08</v>
      </c>
      <c r="X112" s="3">
        <v>2137.88</v>
      </c>
      <c r="Y112" s="3">
        <v>2161.39</v>
      </c>
      <c r="Z112" s="3">
        <f t="shared" si="14"/>
        <v>142.85500000000002</v>
      </c>
      <c r="AA112" s="4">
        <f t="shared" si="15"/>
        <v>6.6626287098728545E-2</v>
      </c>
      <c r="AB112" s="4">
        <f t="shared" si="16"/>
        <v>4.6543446647001737E-3</v>
      </c>
      <c r="AC112">
        <v>1.1476266666666668</v>
      </c>
      <c r="AD112" s="2">
        <v>8.7301000000000002</v>
      </c>
      <c r="AE112" s="2">
        <v>2.3209</v>
      </c>
      <c r="AF112" s="2">
        <f t="shared" si="17"/>
        <v>6.4092000000000002</v>
      </c>
      <c r="AG112" s="2">
        <v>1.1732733333333332</v>
      </c>
      <c r="AH112" s="1">
        <f t="shared" si="18"/>
        <v>84.526508940354546</v>
      </c>
      <c r="AI112" s="1">
        <f t="shared" si="19"/>
        <v>15.473491059645454</v>
      </c>
      <c r="AJ112" s="1">
        <f t="shared" si="20"/>
        <v>0.77367455298227272</v>
      </c>
      <c r="AK112" s="8">
        <v>5.5349999999999788E-2</v>
      </c>
      <c r="AL112" s="9">
        <v>83.780219780219824</v>
      </c>
      <c r="AM112" s="10">
        <v>4.189010989010991</v>
      </c>
      <c r="AN112" s="9">
        <v>41.890109890109912</v>
      </c>
      <c r="AO112" s="11">
        <v>4.1899776927872585</v>
      </c>
      <c r="AP112" s="2">
        <v>7.039575812499999</v>
      </c>
      <c r="AQ112" s="2">
        <f t="shared" si="21"/>
        <v>0.49488217961874992</v>
      </c>
      <c r="AR112" s="2">
        <v>1.0771207719461342</v>
      </c>
      <c r="AS112" s="2">
        <v>0.16666818634866906</v>
      </c>
      <c r="AT112" s="2">
        <f t="shared" si="22"/>
        <v>1.6666818634866905E-2</v>
      </c>
      <c r="AU112" s="2">
        <f t="shared" si="23"/>
        <v>1.1104482433890814E-2</v>
      </c>
      <c r="AV112" s="2">
        <f t="shared" si="24"/>
        <v>1.8910933584916057E-3</v>
      </c>
      <c r="AW112" s="3">
        <f t="shared" si="25"/>
        <v>17.03</v>
      </c>
    </row>
    <row r="113" spans="1:49" x14ac:dyDescent="0.2">
      <c r="A113" t="s">
        <v>45</v>
      </c>
      <c r="B113" s="5" t="s">
        <v>46</v>
      </c>
      <c r="C113" s="5" t="s">
        <v>155</v>
      </c>
      <c r="D113" s="5" t="s">
        <v>162</v>
      </c>
      <c r="E113">
        <v>4</v>
      </c>
      <c r="F113" s="6">
        <v>144</v>
      </c>
      <c r="G113" s="3">
        <v>2.5499999999999998</v>
      </c>
      <c r="H113" s="3">
        <v>2.95</v>
      </c>
      <c r="I113" s="3">
        <v>1</v>
      </c>
      <c r="J113" s="3">
        <v>19.832195121951315</v>
      </c>
      <c r="K113" s="3">
        <v>20.832195121951315</v>
      </c>
      <c r="L113" s="3">
        <v>20.332195121951315</v>
      </c>
      <c r="M113" s="1">
        <v>0.17</v>
      </c>
      <c r="N113" s="3">
        <v>139.83219512195132</v>
      </c>
      <c r="O113" s="3">
        <v>140.83219512195132</v>
      </c>
      <c r="P113" s="3">
        <v>140.33219512195132</v>
      </c>
      <c r="Q113" s="3">
        <v>130.83219512195132</v>
      </c>
      <c r="R113" s="3">
        <v>131.83219512195132</v>
      </c>
      <c r="S113" s="3">
        <v>131.30000000000001</v>
      </c>
      <c r="T113" s="3">
        <v>131.30000000000001</v>
      </c>
      <c r="U113" s="7">
        <f t="shared" si="13"/>
        <v>0.5</v>
      </c>
      <c r="V113" s="3">
        <v>2034.46</v>
      </c>
      <c r="W113" s="3">
        <v>2314.16</v>
      </c>
      <c r="X113" s="3">
        <v>2156.3000000000002</v>
      </c>
      <c r="Y113" s="3">
        <v>2177.9</v>
      </c>
      <c r="Z113" s="3">
        <f t="shared" si="14"/>
        <v>139.84999999999991</v>
      </c>
      <c r="AA113" s="4">
        <f t="shared" si="15"/>
        <v>6.6629650194336726E-2</v>
      </c>
      <c r="AB113" s="4">
        <f t="shared" si="16"/>
        <v>4.5322358275941537E-3</v>
      </c>
      <c r="AC113">
        <v>1.1476266666666668</v>
      </c>
      <c r="AD113" s="2">
        <v>8.7497000000000007</v>
      </c>
      <c r="AE113" s="2">
        <v>2.2658</v>
      </c>
      <c r="AF113" s="2">
        <f t="shared" si="17"/>
        <v>6.4839000000000002</v>
      </c>
      <c r="AG113" s="2">
        <v>1.1181733333333332</v>
      </c>
      <c r="AH113" s="1">
        <f t="shared" si="18"/>
        <v>85.291205644775857</v>
      </c>
      <c r="AI113" s="1">
        <f t="shared" si="19"/>
        <v>14.708794355224143</v>
      </c>
      <c r="AJ113" s="1">
        <f t="shared" si="20"/>
        <v>0.7354397177612072</v>
      </c>
      <c r="AK113" s="8">
        <v>9.0760000000000396E-2</v>
      </c>
      <c r="AL113" s="9">
        <v>83.037416364519771</v>
      </c>
      <c r="AM113" s="10">
        <v>4.1518708182259889</v>
      </c>
      <c r="AN113" s="9">
        <v>41.518708182259886</v>
      </c>
      <c r="AO113" s="11">
        <v>4.1528461675381791</v>
      </c>
      <c r="AP113" s="2">
        <v>5.9365625</v>
      </c>
      <c r="AQ113" s="2">
        <f t="shared" si="21"/>
        <v>0.38587656250000002</v>
      </c>
      <c r="AR113" s="2">
        <v>1.2805513853064521</v>
      </c>
      <c r="AS113" s="2">
        <v>0.18835366987769997</v>
      </c>
      <c r="AT113" s="2">
        <f t="shared" si="22"/>
        <v>1.8835366987769997E-2</v>
      </c>
      <c r="AU113" s="2">
        <f t="shared" si="23"/>
        <v>1.2549939136770728E-2</v>
      </c>
      <c r="AV113" s="2">
        <f t="shared" si="24"/>
        <v>2.0707399575671703E-3</v>
      </c>
      <c r="AW113" s="3">
        <f t="shared" si="25"/>
        <v>16.5</v>
      </c>
    </row>
    <row r="114" spans="1:49" x14ac:dyDescent="0.2">
      <c r="A114" t="s">
        <v>45</v>
      </c>
      <c r="B114" s="5" t="s">
        <v>46</v>
      </c>
      <c r="C114" s="5" t="s">
        <v>155</v>
      </c>
      <c r="D114" s="5" t="s">
        <v>163</v>
      </c>
      <c r="E114">
        <v>4</v>
      </c>
      <c r="F114" s="6">
        <v>145</v>
      </c>
      <c r="G114" s="3">
        <v>2.6</v>
      </c>
      <c r="H114" s="3">
        <v>2</v>
      </c>
      <c r="I114" s="3">
        <v>1</v>
      </c>
      <c r="J114" s="3">
        <v>21.005853658536694</v>
      </c>
      <c r="K114" s="3">
        <v>22.005853658536694</v>
      </c>
      <c r="L114" s="3">
        <v>21.505853658536694</v>
      </c>
      <c r="M114" s="1">
        <v>0.17</v>
      </c>
      <c r="N114" s="3">
        <v>141.00585365853669</v>
      </c>
      <c r="O114" s="3">
        <v>142.00585365853669</v>
      </c>
      <c r="P114" s="3">
        <v>141.50585365853669</v>
      </c>
      <c r="Q114" s="3">
        <v>132.00585365853669</v>
      </c>
      <c r="R114" s="3">
        <v>133.00585365853669</v>
      </c>
      <c r="S114" s="3">
        <v>132.5</v>
      </c>
      <c r="T114" s="3">
        <v>132.5</v>
      </c>
      <c r="U114" s="7">
        <f t="shared" si="13"/>
        <v>0.5</v>
      </c>
      <c r="V114" s="3">
        <v>2052.33</v>
      </c>
      <c r="W114" s="3">
        <v>2331.0300000000002</v>
      </c>
      <c r="X114" s="3">
        <v>2180.5500000000002</v>
      </c>
      <c r="Y114" s="3">
        <v>2195.91</v>
      </c>
      <c r="Z114" s="3">
        <f t="shared" si="14"/>
        <v>139.35000000000014</v>
      </c>
      <c r="AA114" s="4">
        <f t="shared" si="15"/>
        <v>6.6629650194335047E-2</v>
      </c>
      <c r="AB114" s="4">
        <f t="shared" si="16"/>
        <v>4.4796759466498755E-3</v>
      </c>
      <c r="AC114">
        <v>1.1476266666666668</v>
      </c>
      <c r="AD114" s="2">
        <v>8.8026999999999997</v>
      </c>
      <c r="AE114" s="2">
        <v>2.2812000000000001</v>
      </c>
      <c r="AF114" s="2">
        <f t="shared" si="17"/>
        <v>6.5214999999999996</v>
      </c>
      <c r="AG114" s="2">
        <v>1.1335733333333333</v>
      </c>
      <c r="AH114" s="1">
        <f t="shared" si="18"/>
        <v>85.191868399257658</v>
      </c>
      <c r="AI114" s="1">
        <f t="shared" si="19"/>
        <v>14.808131600742342</v>
      </c>
      <c r="AJ114" s="1">
        <f t="shared" si="20"/>
        <v>0.74040658003711712</v>
      </c>
      <c r="AK114" s="8">
        <v>6.5280000000000449E-2</v>
      </c>
      <c r="AL114" s="9">
        <v>83.920390167003205</v>
      </c>
      <c r="AM114" s="10">
        <v>4.1960195083501608</v>
      </c>
      <c r="AN114" s="9">
        <v>41.960195083501603</v>
      </c>
      <c r="AO114" s="11">
        <v>4.1969845978339171</v>
      </c>
      <c r="AP114" s="2">
        <v>4.1526499999999995</v>
      </c>
      <c r="AQ114" s="2">
        <f t="shared" si="21"/>
        <v>0.23254839999999999</v>
      </c>
      <c r="AR114" s="2">
        <v>1.8434188610485676</v>
      </c>
      <c r="AS114" s="2">
        <v>0.27297589089697744</v>
      </c>
      <c r="AT114" s="2">
        <f t="shared" si="22"/>
        <v>2.7297589089697746E-2</v>
      </c>
      <c r="AU114" s="2">
        <f t="shared" si="23"/>
        <v>1.8188288121952573E-2</v>
      </c>
      <c r="AV114" s="2">
        <f t="shared" si="24"/>
        <v>2.8373729470246014E-3</v>
      </c>
      <c r="AW114" s="3">
        <f t="shared" si="25"/>
        <v>15.6</v>
      </c>
    </row>
    <row r="115" spans="1:49" x14ac:dyDescent="0.2">
      <c r="A115" t="s">
        <v>45</v>
      </c>
      <c r="B115" s="5" t="s">
        <v>46</v>
      </c>
      <c r="C115" s="5" t="s">
        <v>155</v>
      </c>
      <c r="D115" s="5" t="s">
        <v>164</v>
      </c>
      <c r="E115">
        <v>4</v>
      </c>
      <c r="F115" s="6">
        <v>146</v>
      </c>
      <c r="G115" s="3">
        <v>2.8</v>
      </c>
      <c r="H115" s="3">
        <v>3.1</v>
      </c>
      <c r="I115" s="3">
        <v>1</v>
      </c>
      <c r="J115" s="3">
        <v>22.179512195122072</v>
      </c>
      <c r="K115" s="3">
        <v>23.179512195122072</v>
      </c>
      <c r="L115" s="3">
        <v>22.679512195122072</v>
      </c>
      <c r="M115" s="1">
        <v>0.17</v>
      </c>
      <c r="N115" s="3">
        <v>142.17951219512207</v>
      </c>
      <c r="O115" s="3">
        <v>143.17951219512207</v>
      </c>
      <c r="P115" s="3">
        <v>142.67951219512207</v>
      </c>
      <c r="Q115" s="3">
        <v>133.17951219512207</v>
      </c>
      <c r="R115" s="3">
        <v>134.17951219512207</v>
      </c>
      <c r="S115" s="3">
        <v>133.69999999999999</v>
      </c>
      <c r="T115" s="3">
        <v>133.69999999999999</v>
      </c>
      <c r="U115" s="7">
        <f t="shared" si="13"/>
        <v>0.5</v>
      </c>
      <c r="V115" s="3">
        <v>2067.06</v>
      </c>
      <c r="W115" s="3">
        <v>2349.69</v>
      </c>
      <c r="X115" s="3">
        <v>2204.08</v>
      </c>
      <c r="Y115" s="3">
        <v>2213.92</v>
      </c>
      <c r="Z115" s="3">
        <f t="shared" si="14"/>
        <v>141.31500000000005</v>
      </c>
      <c r="AA115" s="4">
        <f t="shared" si="15"/>
        <v>6.6592674805772384E-2</v>
      </c>
      <c r="AB115" s="4">
        <f t="shared" si="16"/>
        <v>4.4996627402266714E-3</v>
      </c>
      <c r="AC115">
        <v>1.1476266666666668</v>
      </c>
      <c r="AD115" s="2">
        <v>9.2235999999999994</v>
      </c>
      <c r="AE115" s="2">
        <v>2.3896000000000002</v>
      </c>
      <c r="AF115" s="2">
        <f t="shared" si="17"/>
        <v>6.8339999999999996</v>
      </c>
      <c r="AG115" s="2">
        <v>1.2419733333333334</v>
      </c>
      <c r="AH115" s="1">
        <f t="shared" si="18"/>
        <v>84.621378971038368</v>
      </c>
      <c r="AI115" s="1">
        <f t="shared" si="19"/>
        <v>15.378621028961632</v>
      </c>
      <c r="AJ115" s="1">
        <f t="shared" si="20"/>
        <v>0.7689310514480816</v>
      </c>
      <c r="AK115" s="8">
        <v>6.8520000000000358E-2</v>
      </c>
      <c r="AL115" s="9">
        <v>81.835533640846108</v>
      </c>
      <c r="AM115" s="10">
        <v>4.0917766820423056</v>
      </c>
      <c r="AN115" s="9">
        <v>40.917766820423054</v>
      </c>
      <c r="AO115" s="11">
        <v>4.0927663524449009</v>
      </c>
      <c r="AP115" s="2">
        <v>6.8314625000000015</v>
      </c>
      <c r="AQ115" s="2">
        <f t="shared" si="21"/>
        <v>0.47137091250000007</v>
      </c>
      <c r="AR115" s="2">
        <v>1.1821734121109981</v>
      </c>
      <c r="AS115" s="2">
        <v>0.18180196895369521</v>
      </c>
      <c r="AT115" s="2">
        <f t="shared" si="22"/>
        <v>1.8180196895369521E-2</v>
      </c>
      <c r="AU115" s="2">
        <f t="shared" si="23"/>
        <v>1.2106679397582552E-2</v>
      </c>
      <c r="AV115" s="2">
        <f t="shared" si="24"/>
        <v>2.0460288181914513E-3</v>
      </c>
      <c r="AW115" s="3">
        <f t="shared" si="25"/>
        <v>16.899999999999999</v>
      </c>
    </row>
    <row r="116" spans="1:49" x14ac:dyDescent="0.2">
      <c r="A116" t="s">
        <v>45</v>
      </c>
      <c r="B116" s="5" t="s">
        <v>46</v>
      </c>
      <c r="C116" s="5" t="s">
        <v>155</v>
      </c>
      <c r="D116" s="5" t="s">
        <v>165</v>
      </c>
      <c r="E116">
        <v>4</v>
      </c>
      <c r="F116" s="6">
        <v>147</v>
      </c>
      <c r="G116" s="3">
        <v>2.65</v>
      </c>
      <c r="H116" s="3">
        <v>2.9</v>
      </c>
      <c r="I116" s="3">
        <v>1</v>
      </c>
      <c r="J116" s="3">
        <v>23.353170731707451</v>
      </c>
      <c r="K116" s="3">
        <v>24.353170731707451</v>
      </c>
      <c r="L116" s="3">
        <v>23.853170731707451</v>
      </c>
      <c r="M116" s="1">
        <v>0.17</v>
      </c>
      <c r="N116" s="3">
        <v>143.35317073170745</v>
      </c>
      <c r="O116" s="3">
        <v>144.35317073170745</v>
      </c>
      <c r="P116" s="3">
        <v>143.85317073170745</v>
      </c>
      <c r="Q116" s="3">
        <v>134.35317073170745</v>
      </c>
      <c r="R116" s="3">
        <v>135.35317073170745</v>
      </c>
      <c r="S116" s="3">
        <v>134.9</v>
      </c>
      <c r="T116" s="3">
        <v>134.9</v>
      </c>
      <c r="U116" s="7">
        <f t="shared" si="13"/>
        <v>0.5</v>
      </c>
      <c r="V116" s="3">
        <v>2078.9699999999998</v>
      </c>
      <c r="W116" s="3">
        <v>2371.5</v>
      </c>
      <c r="X116" s="3">
        <v>2227.89</v>
      </c>
      <c r="Y116" s="3">
        <v>2231.94</v>
      </c>
      <c r="Z116" s="3">
        <f t="shared" si="14"/>
        <v>146.2650000000001</v>
      </c>
      <c r="AA116" s="4">
        <f t="shared" si="15"/>
        <v>6.6626287098728657E-2</v>
      </c>
      <c r="AB116" s="4">
        <f t="shared" si="16"/>
        <v>4.6131458094685832E-3</v>
      </c>
      <c r="AC116">
        <v>1.1476266666666668</v>
      </c>
      <c r="AD116" s="2">
        <v>9.1681000000000008</v>
      </c>
      <c r="AE116" s="2">
        <v>2.335</v>
      </c>
      <c r="AF116" s="2">
        <f t="shared" si="17"/>
        <v>6.8331000000000008</v>
      </c>
      <c r="AG116" s="2">
        <v>1.1873733333333332</v>
      </c>
      <c r="AH116" s="1">
        <f t="shared" si="18"/>
        <v>85.195719953352707</v>
      </c>
      <c r="AI116" s="1">
        <f t="shared" si="19"/>
        <v>14.804280046647293</v>
      </c>
      <c r="AJ116" s="1">
        <f t="shared" si="20"/>
        <v>0.74021400233236467</v>
      </c>
      <c r="AK116" s="8">
        <v>8.9070000000000427E-2</v>
      </c>
      <c r="AL116" s="9">
        <v>77.083386934931852</v>
      </c>
      <c r="AM116" s="10">
        <v>3.854169346746593</v>
      </c>
      <c r="AN116" s="9">
        <v>38.541693467465926</v>
      </c>
      <c r="AO116" s="11">
        <v>3.8552200136180375</v>
      </c>
      <c r="AP116" s="2">
        <v>6.0449906249999996</v>
      </c>
      <c r="AQ116" s="2">
        <f t="shared" si="21"/>
        <v>0.39594688593749988</v>
      </c>
      <c r="AR116" s="2">
        <v>1.3267966537720368</v>
      </c>
      <c r="AS116" s="2">
        <v>0.19642269227395753</v>
      </c>
      <c r="AT116" s="2">
        <f t="shared" si="22"/>
        <v>1.9642269227395755E-2</v>
      </c>
      <c r="AU116" s="2">
        <f t="shared" si="23"/>
        <v>1.3086914688149926E-2</v>
      </c>
      <c r="AV116" s="2">
        <f t="shared" si="24"/>
        <v>2.1658843808888125E-3</v>
      </c>
      <c r="AW116" s="3">
        <f t="shared" si="25"/>
        <v>16.549999999999997</v>
      </c>
    </row>
    <row r="117" spans="1:49" x14ac:dyDescent="0.2">
      <c r="A117" t="s">
        <v>45</v>
      </c>
      <c r="B117" s="5" t="s">
        <v>46</v>
      </c>
      <c r="C117" s="5" t="s">
        <v>155</v>
      </c>
      <c r="D117" s="5" t="s">
        <v>166</v>
      </c>
      <c r="E117">
        <v>4</v>
      </c>
      <c r="F117" s="6">
        <v>148</v>
      </c>
      <c r="G117" s="3">
        <v>2.7</v>
      </c>
      <c r="H117" s="3">
        <v>2.95</v>
      </c>
      <c r="I117" s="3">
        <v>1</v>
      </c>
      <c r="J117" s="3">
        <v>24.526829268292829</v>
      </c>
      <c r="K117" s="3">
        <v>25.526829268292829</v>
      </c>
      <c r="L117" s="3">
        <v>25.026829268292829</v>
      </c>
      <c r="M117" s="1">
        <v>0.17</v>
      </c>
      <c r="N117" s="3">
        <v>144.52682926829283</v>
      </c>
      <c r="O117" s="3">
        <v>145.52682926829283</v>
      </c>
      <c r="P117" s="3">
        <v>145.02682926829283</v>
      </c>
      <c r="Q117" s="3">
        <v>135.52682926829283</v>
      </c>
      <c r="R117" s="3">
        <v>136.52682926829283</v>
      </c>
      <c r="S117" s="3">
        <v>136</v>
      </c>
      <c r="T117" s="3">
        <v>136</v>
      </c>
      <c r="U117" s="7">
        <f t="shared" si="13"/>
        <v>0.5</v>
      </c>
      <c r="V117" s="3">
        <v>2090.9299999999998</v>
      </c>
      <c r="W117" s="3">
        <v>2391.59</v>
      </c>
      <c r="X117" s="3">
        <v>2249.2199999999998</v>
      </c>
      <c r="Y117" s="3">
        <v>2248.4499999999998</v>
      </c>
      <c r="Z117" s="3">
        <f t="shared" si="14"/>
        <v>150.33000000000015</v>
      </c>
      <c r="AA117" s="4">
        <f t="shared" si="15"/>
        <v>6.6629650194335047E-2</v>
      </c>
      <c r="AB117" s="4">
        <f t="shared" si="16"/>
        <v>4.6997798521167013E-3</v>
      </c>
      <c r="AC117">
        <v>1.1476266666666668</v>
      </c>
      <c r="AD117" s="2">
        <v>9.4809000000000001</v>
      </c>
      <c r="AE117" s="2">
        <v>2.6707999999999998</v>
      </c>
      <c r="AF117" s="2">
        <f t="shared" si="17"/>
        <v>6.8101000000000003</v>
      </c>
      <c r="AG117" s="2">
        <v>1.523173333333333</v>
      </c>
      <c r="AH117" s="1">
        <f t="shared" si="18"/>
        <v>81.721788396876462</v>
      </c>
      <c r="AI117" s="1">
        <f t="shared" si="19"/>
        <v>18.278211603123538</v>
      </c>
      <c r="AJ117" s="1">
        <f t="shared" si="20"/>
        <v>0.91391058015617688</v>
      </c>
      <c r="AK117" s="8">
        <v>6.1609999999999943E-2</v>
      </c>
      <c r="AL117" s="9">
        <v>84.06404386849799</v>
      </c>
      <c r="AM117" s="10">
        <v>4.2032021934248993</v>
      </c>
      <c r="AN117" s="9">
        <v>42.032021934248995</v>
      </c>
      <c r="AO117" s="11">
        <v>4.2041656340838767</v>
      </c>
      <c r="AP117" s="2">
        <v>6.2647906250000016</v>
      </c>
      <c r="AQ117" s="2">
        <f t="shared" si="21"/>
        <v>0.41660857656250011</v>
      </c>
      <c r="AR117" s="2">
        <v>1.3301758721319326</v>
      </c>
      <c r="AS117" s="2">
        <v>0.24313236060196866</v>
      </c>
      <c r="AT117" s="2">
        <f t="shared" si="22"/>
        <v>2.4313236060196867E-2</v>
      </c>
      <c r="AU117" s="2">
        <f t="shared" si="23"/>
        <v>1.6199824137832101E-2</v>
      </c>
      <c r="AV117" s="2">
        <f t="shared" si="24"/>
        <v>2.6972707189490451E-3</v>
      </c>
      <c r="AW117" s="3">
        <f t="shared" si="25"/>
        <v>16.650000000000002</v>
      </c>
    </row>
    <row r="118" spans="1:49" x14ac:dyDescent="0.2">
      <c r="A118" t="s">
        <v>45</v>
      </c>
      <c r="B118" s="5" t="s">
        <v>46</v>
      </c>
      <c r="C118" s="5" t="s">
        <v>155</v>
      </c>
      <c r="D118" s="5" t="s">
        <v>167</v>
      </c>
      <c r="E118">
        <v>4</v>
      </c>
      <c r="F118" s="6">
        <v>149</v>
      </c>
      <c r="G118" s="3">
        <v>2.9</v>
      </c>
      <c r="H118" s="3">
        <v>2.6</v>
      </c>
      <c r="I118" s="3">
        <v>1</v>
      </c>
      <c r="J118" s="3">
        <v>25.700487804878207</v>
      </c>
      <c r="K118" s="3">
        <v>26.700487804878207</v>
      </c>
      <c r="L118" s="3">
        <v>26.200487804878207</v>
      </c>
      <c r="M118" s="1">
        <v>0.17</v>
      </c>
      <c r="N118" s="3">
        <v>145.70048780487821</v>
      </c>
      <c r="O118" s="3">
        <v>146.70048780487821</v>
      </c>
      <c r="P118" s="3">
        <v>146.20048780487821</v>
      </c>
      <c r="Q118" s="3">
        <v>136.70048780487821</v>
      </c>
      <c r="R118" s="3">
        <v>137.70048780487821</v>
      </c>
      <c r="S118" s="3">
        <v>137.19999999999999</v>
      </c>
      <c r="T118" s="3">
        <v>137.19999999999999</v>
      </c>
      <c r="U118" s="7">
        <f t="shared" si="13"/>
        <v>0.5</v>
      </c>
      <c r="V118" s="3">
        <v>2102.1999999999998</v>
      </c>
      <c r="W118" s="3">
        <v>2418.21</v>
      </c>
      <c r="X118" s="3">
        <v>2269.0300000000002</v>
      </c>
      <c r="Y118" s="3">
        <v>2266.46</v>
      </c>
      <c r="Z118" s="3">
        <f t="shared" si="14"/>
        <v>158.00500000000011</v>
      </c>
      <c r="AA118" s="4">
        <f t="shared" si="15"/>
        <v>6.6629650194338308E-2</v>
      </c>
      <c r="AB118" s="4">
        <f t="shared" si="16"/>
        <v>4.8878684789186539E-3</v>
      </c>
      <c r="AC118">
        <v>1.1476266666666668</v>
      </c>
      <c r="AD118" s="2">
        <v>8.6198999999999995</v>
      </c>
      <c r="AE118" s="2">
        <v>2.2582</v>
      </c>
      <c r="AF118" s="2">
        <f t="shared" si="17"/>
        <v>6.361699999999999</v>
      </c>
      <c r="AG118" s="2">
        <v>1.1105733333333332</v>
      </c>
      <c r="AH118" s="1">
        <f t="shared" si="18"/>
        <v>85.137410212510076</v>
      </c>
      <c r="AI118" s="1">
        <f t="shared" si="19"/>
        <v>14.862589787489924</v>
      </c>
      <c r="AJ118" s="1">
        <f t="shared" si="20"/>
        <v>0.74312948937449619</v>
      </c>
      <c r="AK118" s="8">
        <v>9.236000000000022E-2</v>
      </c>
      <c r="AL118" s="9">
        <v>75.420481158185993</v>
      </c>
      <c r="AM118" s="10">
        <v>3.7710240579092997</v>
      </c>
      <c r="AN118" s="9">
        <v>37.710240579092996</v>
      </c>
      <c r="AO118" s="11">
        <v>3.7720978838480215</v>
      </c>
      <c r="AP118" s="2">
        <v>5.9365625</v>
      </c>
      <c r="AQ118" s="2">
        <f t="shared" si="21"/>
        <v>0.38587656250000002</v>
      </c>
      <c r="AR118" s="2">
        <v>1.2586868803846221</v>
      </c>
      <c r="AS118" s="2">
        <v>0.18707346774052042</v>
      </c>
      <c r="AT118" s="2">
        <f t="shared" si="22"/>
        <v>1.8707346774052041E-2</v>
      </c>
      <c r="AU118" s="2">
        <f t="shared" si="23"/>
        <v>1.2464639716192707E-2</v>
      </c>
      <c r="AV118" s="2">
        <f t="shared" si="24"/>
        <v>2.0566655531717966E-3</v>
      </c>
      <c r="AW118" s="3">
        <f t="shared" si="25"/>
        <v>16.5</v>
      </c>
    </row>
    <row r="119" spans="1:49" x14ac:dyDescent="0.2">
      <c r="A119" t="s">
        <v>45</v>
      </c>
      <c r="B119" s="5" t="s">
        <v>46</v>
      </c>
      <c r="C119" s="5" t="s">
        <v>155</v>
      </c>
      <c r="D119" s="5" t="s">
        <v>168</v>
      </c>
      <c r="E119">
        <v>4</v>
      </c>
      <c r="F119" s="6">
        <v>150</v>
      </c>
      <c r="G119" s="3">
        <v>2.8</v>
      </c>
      <c r="H119" s="3">
        <v>2.8</v>
      </c>
      <c r="I119" s="3">
        <v>1</v>
      </c>
      <c r="J119" s="3">
        <v>26.874146341463586</v>
      </c>
      <c r="K119" s="3">
        <v>27.874146341463586</v>
      </c>
      <c r="L119" s="3">
        <v>27.374146341463586</v>
      </c>
      <c r="M119" s="1">
        <v>0.17</v>
      </c>
      <c r="N119" s="3">
        <v>146.87414634146359</v>
      </c>
      <c r="O119" s="3">
        <v>147.87414634146359</v>
      </c>
      <c r="P119" s="3">
        <v>147.37414634146359</v>
      </c>
      <c r="Q119" s="3">
        <v>137.87414634146359</v>
      </c>
      <c r="R119" s="3">
        <v>138.87414634146359</v>
      </c>
      <c r="S119" s="3">
        <v>138.4</v>
      </c>
      <c r="T119" s="3">
        <v>138.4</v>
      </c>
      <c r="U119" s="7">
        <f t="shared" si="13"/>
        <v>0.5</v>
      </c>
      <c r="V119" s="3">
        <v>2109.9</v>
      </c>
      <c r="W119" s="3">
        <v>2445.5</v>
      </c>
      <c r="X119" s="3">
        <v>2287.6799999999998</v>
      </c>
      <c r="Y119" s="3">
        <v>2284.4699999999998</v>
      </c>
      <c r="Z119" s="3">
        <f t="shared" si="14"/>
        <v>167.79999999999995</v>
      </c>
      <c r="AA119" s="4">
        <f t="shared" si="15"/>
        <v>6.6626287098726825E-2</v>
      </c>
      <c r="AB119" s="4">
        <f t="shared" si="16"/>
        <v>5.1345683044152742E-3</v>
      </c>
      <c r="AC119">
        <v>1.1476266666666668</v>
      </c>
      <c r="AD119" s="2">
        <v>8.0874000000000006</v>
      </c>
      <c r="AE119" s="2">
        <v>2.2898999999999998</v>
      </c>
      <c r="AF119" s="2">
        <f t="shared" si="17"/>
        <v>5.7975000000000012</v>
      </c>
      <c r="AG119" s="2">
        <v>1.142273333333333</v>
      </c>
      <c r="AH119" s="1">
        <f t="shared" si="18"/>
        <v>83.540192475066434</v>
      </c>
      <c r="AI119" s="1">
        <f t="shared" si="19"/>
        <v>16.459807524933566</v>
      </c>
      <c r="AJ119" s="1">
        <f t="shared" si="20"/>
        <v>0.82299037624667837</v>
      </c>
      <c r="AK119" s="8">
        <v>5.5329999999999657E-2</v>
      </c>
      <c r="AL119" s="9">
        <v>84.133857138760732</v>
      </c>
      <c r="AM119" s="10">
        <v>4.2066928569380364</v>
      </c>
      <c r="AN119" s="9">
        <v>42.066928569380366</v>
      </c>
      <c r="AO119" s="11">
        <v>4.2076554983284336</v>
      </c>
      <c r="AP119" s="2">
        <v>6.1543999999999999</v>
      </c>
      <c r="AQ119" s="2">
        <f t="shared" si="21"/>
        <v>0.40619039999999995</v>
      </c>
      <c r="AR119" s="2">
        <v>1.1276116816153214</v>
      </c>
      <c r="AS119" s="2">
        <v>0.18560271242254858</v>
      </c>
      <c r="AT119" s="2">
        <f t="shared" si="22"/>
        <v>1.8560271242254858E-2</v>
      </c>
      <c r="AU119" s="2">
        <f t="shared" si="23"/>
        <v>1.2366019604167153E-2</v>
      </c>
      <c r="AV119" s="2">
        <f t="shared" si="24"/>
        <v>2.0527592542917473E-3</v>
      </c>
      <c r="AW119" s="3">
        <f t="shared" si="25"/>
        <v>16.600000000000001</v>
      </c>
    </row>
    <row r="120" spans="1:49" x14ac:dyDescent="0.2">
      <c r="A120" t="s">
        <v>45</v>
      </c>
      <c r="B120" s="5" t="s">
        <v>46</v>
      </c>
      <c r="C120" s="5" t="s">
        <v>155</v>
      </c>
      <c r="D120" s="5" t="s">
        <v>169</v>
      </c>
      <c r="E120">
        <v>4</v>
      </c>
      <c r="F120" s="6">
        <v>151</v>
      </c>
      <c r="G120" s="3">
        <v>2.85</v>
      </c>
      <c r="H120" s="3">
        <v>2.6</v>
      </c>
      <c r="I120" s="3">
        <v>1</v>
      </c>
      <c r="J120" s="3">
        <v>28.047804878048964</v>
      </c>
      <c r="K120" s="3">
        <v>29.047804878048964</v>
      </c>
      <c r="L120" s="3">
        <v>28.547804878048964</v>
      </c>
      <c r="M120" s="1">
        <v>0.17</v>
      </c>
      <c r="N120" s="3">
        <v>148.04780487804896</v>
      </c>
      <c r="O120" s="3">
        <v>149.04780487804896</v>
      </c>
      <c r="P120" s="3">
        <v>148.54780487804896</v>
      </c>
      <c r="Q120" s="3">
        <v>139.04780487804896</v>
      </c>
      <c r="R120" s="3">
        <v>140.04780487804896</v>
      </c>
      <c r="S120" s="3">
        <v>139.5</v>
      </c>
      <c r="T120" s="3">
        <v>139.5</v>
      </c>
      <c r="U120" s="7">
        <f t="shared" si="13"/>
        <v>0.5</v>
      </c>
      <c r="V120" s="3">
        <v>2118.0700000000002</v>
      </c>
      <c r="W120" s="3">
        <v>2475.71</v>
      </c>
      <c r="X120" s="3">
        <v>2304.39</v>
      </c>
      <c r="Y120" s="3">
        <v>2300.98</v>
      </c>
      <c r="Z120" s="3">
        <f t="shared" si="14"/>
        <v>178.81999999999994</v>
      </c>
      <c r="AA120" s="4">
        <f t="shared" si="15"/>
        <v>6.9164265129682698E-2</v>
      </c>
      <c r="AB120" s="4">
        <f t="shared" si="16"/>
        <v>5.622981596690977E-3</v>
      </c>
      <c r="AC120">
        <v>1.1476266666666668</v>
      </c>
      <c r="AD120" s="2">
        <v>8.6022999999999996</v>
      </c>
      <c r="AE120" s="2">
        <v>2.3500999999999999</v>
      </c>
      <c r="AF120" s="2">
        <f t="shared" si="17"/>
        <v>6.2522000000000002</v>
      </c>
      <c r="AG120" s="2">
        <v>1.2024733333333331</v>
      </c>
      <c r="AH120" s="1">
        <f t="shared" si="18"/>
        <v>83.869536872172361</v>
      </c>
      <c r="AI120" s="1">
        <f t="shared" si="19"/>
        <v>16.130463127827639</v>
      </c>
      <c r="AJ120" s="1">
        <f t="shared" si="20"/>
        <v>0.80652315639138195</v>
      </c>
      <c r="AK120" s="8">
        <v>4.8460000000000392E-2</v>
      </c>
      <c r="AL120" s="9">
        <v>86.901286625581037</v>
      </c>
      <c r="AM120" s="10">
        <v>4.345064331279052</v>
      </c>
      <c r="AN120" s="9">
        <v>43.450643312790518</v>
      </c>
      <c r="AO120" s="11">
        <v>4.3459963233939201</v>
      </c>
      <c r="AP120" s="2">
        <v>5.829115625</v>
      </c>
      <c r="AQ120" s="2">
        <f t="shared" si="21"/>
        <v>0.37597795781249999</v>
      </c>
      <c r="AR120" s="2">
        <v>1.2788686677206429</v>
      </c>
      <c r="AS120" s="2">
        <v>0.20628743890001891</v>
      </c>
      <c r="AT120" s="2">
        <f t="shared" si="22"/>
        <v>2.0628743890001893E-2</v>
      </c>
      <c r="AU120" s="2">
        <f t="shared" si="23"/>
        <v>1.4267719117004128E-2</v>
      </c>
      <c r="AV120" s="2">
        <f t="shared" si="24"/>
        <v>2.3470397947471791E-3</v>
      </c>
      <c r="AW120" s="3">
        <f t="shared" si="25"/>
        <v>16.45</v>
      </c>
    </row>
    <row r="121" spans="1:49" x14ac:dyDescent="0.2">
      <c r="A121" t="s">
        <v>45</v>
      </c>
      <c r="B121" s="5" t="s">
        <v>46</v>
      </c>
      <c r="C121" s="5" t="s">
        <v>155</v>
      </c>
      <c r="D121" s="5" t="s">
        <v>170</v>
      </c>
      <c r="E121">
        <v>4</v>
      </c>
      <c r="F121" s="6">
        <v>152</v>
      </c>
      <c r="G121" s="3">
        <v>2.9</v>
      </c>
      <c r="H121" s="3">
        <v>2.5499999999999998</v>
      </c>
      <c r="I121" s="3">
        <v>1</v>
      </c>
      <c r="J121" s="3">
        <v>29.221463414634343</v>
      </c>
      <c r="K121" s="3">
        <v>30.221463414634343</v>
      </c>
      <c r="L121" s="3">
        <v>29.721463414634343</v>
      </c>
      <c r="M121" s="1">
        <v>0.17</v>
      </c>
      <c r="N121" s="3">
        <v>149.22146341463434</v>
      </c>
      <c r="O121" s="3">
        <v>150.22146341463434</v>
      </c>
      <c r="P121" s="3">
        <v>149.72146341463434</v>
      </c>
      <c r="Q121" s="3">
        <v>140.22146341463434</v>
      </c>
      <c r="R121" s="3">
        <v>141.22146341463434</v>
      </c>
      <c r="S121" s="3">
        <v>140.69999999999999</v>
      </c>
      <c r="T121" s="3">
        <v>140.69999999999999</v>
      </c>
      <c r="U121" s="7">
        <f t="shared" si="13"/>
        <v>0.5</v>
      </c>
      <c r="V121" s="3">
        <v>2134.13</v>
      </c>
      <c r="W121" s="3">
        <v>2493.88</v>
      </c>
      <c r="X121" s="3">
        <v>2319.7800000000002</v>
      </c>
      <c r="Y121" s="3">
        <v>2318.33</v>
      </c>
      <c r="Z121" s="3">
        <f t="shared" si="14"/>
        <v>179.875</v>
      </c>
      <c r="AA121" s="4">
        <f t="shared" si="15"/>
        <v>7.1174377224199767E-2</v>
      </c>
      <c r="AB121" s="4">
        <f t="shared" si="16"/>
        <v>5.7752197841249367E-3</v>
      </c>
      <c r="AC121">
        <v>1.1476266666666668</v>
      </c>
      <c r="AD121" s="2">
        <v>7.9081999999999999</v>
      </c>
      <c r="AE121" s="2">
        <v>2.2553999999999998</v>
      </c>
      <c r="AF121" s="2">
        <f t="shared" si="17"/>
        <v>5.6528</v>
      </c>
      <c r="AG121" s="2">
        <v>1.1077733333333331</v>
      </c>
      <c r="AH121" s="1">
        <f t="shared" si="18"/>
        <v>83.614210234634939</v>
      </c>
      <c r="AI121" s="1">
        <f t="shared" si="19"/>
        <v>16.385789765365061</v>
      </c>
      <c r="AJ121" s="1">
        <f t="shared" si="20"/>
        <v>0.8192894882682531</v>
      </c>
      <c r="AK121" s="8">
        <v>0.16212999999999944</v>
      </c>
      <c r="AL121" s="9">
        <v>72.182282998473042</v>
      </c>
      <c r="AM121" s="10">
        <v>3.6091141499236521</v>
      </c>
      <c r="AN121" s="9">
        <v>36.091141499236521</v>
      </c>
      <c r="AO121" s="11">
        <v>3.6102361345456515</v>
      </c>
      <c r="AP121" s="2">
        <v>5.8291156249999991</v>
      </c>
      <c r="AQ121" s="2">
        <f t="shared" si="21"/>
        <v>0.37597795781249987</v>
      </c>
      <c r="AR121" s="2">
        <v>1.1597940010554062</v>
      </c>
      <c r="AS121" s="2">
        <v>0.19004140672425471</v>
      </c>
      <c r="AT121" s="2">
        <f t="shared" si="22"/>
        <v>1.9004140672425472E-2</v>
      </c>
      <c r="AU121" s="2">
        <f t="shared" si="23"/>
        <v>1.3526078770409679E-2</v>
      </c>
      <c r="AV121" s="2">
        <f t="shared" si="24"/>
        <v>2.2250399577323919E-3</v>
      </c>
      <c r="AW121" s="3">
        <f t="shared" si="25"/>
        <v>16.45</v>
      </c>
    </row>
    <row r="122" spans="1:49" x14ac:dyDescent="0.2">
      <c r="A122" t="s">
        <v>45</v>
      </c>
      <c r="B122" s="5" t="s">
        <v>46</v>
      </c>
      <c r="C122" s="5" t="s">
        <v>155</v>
      </c>
      <c r="D122" s="5" t="s">
        <v>171</v>
      </c>
      <c r="E122">
        <v>4</v>
      </c>
      <c r="F122" s="6">
        <v>153</v>
      </c>
      <c r="G122" s="3">
        <v>2.8</v>
      </c>
      <c r="H122" s="3">
        <v>2.6</v>
      </c>
      <c r="I122" s="3">
        <v>0.95</v>
      </c>
      <c r="J122" s="3">
        <v>30.395121951219721</v>
      </c>
      <c r="K122" s="3">
        <v>31.34512195121971</v>
      </c>
      <c r="L122" s="3">
        <v>30.870121951219716</v>
      </c>
      <c r="M122" s="1">
        <v>0.17</v>
      </c>
      <c r="N122" s="3">
        <v>150.39512195121972</v>
      </c>
      <c r="O122" s="3">
        <v>151.34512195121971</v>
      </c>
      <c r="P122" s="3">
        <v>150.87012195121972</v>
      </c>
      <c r="Q122" s="3">
        <v>141.39512195121972</v>
      </c>
      <c r="R122" s="3">
        <v>142.34512195121971</v>
      </c>
      <c r="S122" s="3">
        <v>141.9</v>
      </c>
      <c r="T122" s="3">
        <v>141.9</v>
      </c>
      <c r="U122" s="7">
        <f t="shared" si="13"/>
        <v>0.47499999999999432</v>
      </c>
      <c r="V122" s="3">
        <v>2158.6999999999998</v>
      </c>
      <c r="W122" s="3">
        <v>2502.19</v>
      </c>
      <c r="X122" s="3">
        <v>2334.5100000000002</v>
      </c>
      <c r="Y122" s="3">
        <v>2335.19</v>
      </c>
      <c r="Z122" s="3">
        <f t="shared" si="14"/>
        <v>171.74500000000012</v>
      </c>
      <c r="AA122" s="4">
        <f t="shared" si="15"/>
        <v>7.1151358344113305E-2</v>
      </c>
      <c r="AB122" s="4">
        <f t="shared" si="16"/>
        <v>5.4711058448312366E-3</v>
      </c>
      <c r="AC122">
        <v>1.1476266666666668</v>
      </c>
      <c r="AD122" s="2">
        <v>8.0503</v>
      </c>
      <c r="AE122" s="2">
        <v>2.3542000000000001</v>
      </c>
      <c r="AF122" s="2">
        <f t="shared" si="17"/>
        <v>5.6960999999999995</v>
      </c>
      <c r="AG122" s="2">
        <v>1.2065733333333333</v>
      </c>
      <c r="AH122" s="1">
        <f t="shared" si="18"/>
        <v>82.520202317749352</v>
      </c>
      <c r="AI122" s="1">
        <f t="shared" si="19"/>
        <v>17.479797682250648</v>
      </c>
      <c r="AJ122" s="1">
        <f t="shared" si="20"/>
        <v>0.87398988411253242</v>
      </c>
      <c r="AK122" s="8">
        <v>6.3559999999999839E-2</v>
      </c>
      <c r="AL122" s="9">
        <v>86.581091922476062</v>
      </c>
      <c r="AM122" s="10">
        <v>4.3290545961238029</v>
      </c>
      <c r="AN122" s="9">
        <v>43.290545961238031</v>
      </c>
      <c r="AO122" s="11">
        <v>4.3299900341941457</v>
      </c>
      <c r="AP122" s="2">
        <v>5.4365175000000017</v>
      </c>
      <c r="AQ122" s="2">
        <f t="shared" si="21"/>
        <v>0.34521886125000012</v>
      </c>
      <c r="AR122" s="2">
        <v>1.2696865839819942</v>
      </c>
      <c r="AS122" s="2">
        <v>0.22193864607873201</v>
      </c>
      <c r="AT122" s="2">
        <f t="shared" si="22"/>
        <v>2.2193864607873204E-2</v>
      </c>
      <c r="AU122" s="2">
        <f t="shared" si="23"/>
        <v>1.57912361375552E-2</v>
      </c>
      <c r="AV122" s="2">
        <f t="shared" si="24"/>
        <v>2.5818671084902756E-3</v>
      </c>
      <c r="AW122" s="3">
        <f t="shared" si="25"/>
        <v>16.350000000000005</v>
      </c>
    </row>
    <row r="123" spans="1:49" x14ac:dyDescent="0.2">
      <c r="A123" t="s">
        <v>45</v>
      </c>
      <c r="B123" s="5" t="s">
        <v>46</v>
      </c>
      <c r="C123" s="5" t="s">
        <v>155</v>
      </c>
      <c r="D123" s="5" t="s">
        <v>172</v>
      </c>
      <c r="E123">
        <v>4</v>
      </c>
      <c r="F123" s="6">
        <v>154</v>
      </c>
      <c r="G123" s="3">
        <v>2.6</v>
      </c>
      <c r="H123" s="3">
        <v>2.7</v>
      </c>
      <c r="I123" s="3">
        <v>1</v>
      </c>
      <c r="J123" s="3">
        <v>31.518780487805088</v>
      </c>
      <c r="K123" s="3">
        <v>32.518780487805088</v>
      </c>
      <c r="L123" s="3">
        <v>32.018780487805088</v>
      </c>
      <c r="M123" s="1">
        <v>0.17</v>
      </c>
      <c r="N123" s="3">
        <v>151.51878048780509</v>
      </c>
      <c r="O123" s="3">
        <v>152.51878048780509</v>
      </c>
      <c r="P123" s="3">
        <v>152.01878048780509</v>
      </c>
      <c r="Q123" s="3">
        <v>142.51878048780509</v>
      </c>
      <c r="R123" s="3">
        <v>143.51878048780509</v>
      </c>
      <c r="S123" s="3">
        <v>143</v>
      </c>
      <c r="T123" s="3">
        <v>143</v>
      </c>
      <c r="U123" s="7">
        <f t="shared" si="13"/>
        <v>0.5</v>
      </c>
      <c r="V123" s="3">
        <v>2181.41</v>
      </c>
      <c r="W123" s="3">
        <v>2510.69</v>
      </c>
      <c r="X123" s="3">
        <v>2346.6</v>
      </c>
      <c r="Y123" s="3">
        <v>2350.65</v>
      </c>
      <c r="Z123" s="3">
        <f t="shared" si="14"/>
        <v>164.6400000000001</v>
      </c>
      <c r="AA123" s="4">
        <f t="shared" si="15"/>
        <v>7.1132187314759718E-2</v>
      </c>
      <c r="AB123" s="4">
        <f t="shared" si="16"/>
        <v>5.2308266847319353E-3</v>
      </c>
      <c r="AC123">
        <v>1.1476266666666668</v>
      </c>
      <c r="AD123" s="2">
        <v>8.3176000000000005</v>
      </c>
      <c r="AE123" s="2">
        <v>2.3403999999999998</v>
      </c>
      <c r="AF123" s="2">
        <f t="shared" si="17"/>
        <v>5.9772000000000007</v>
      </c>
      <c r="AG123" s="2">
        <v>1.192773333333333</v>
      </c>
      <c r="AH123" s="1">
        <f t="shared" si="18"/>
        <v>83.364326785036852</v>
      </c>
      <c r="AI123" s="1">
        <f t="shared" si="19"/>
        <v>16.635673214963148</v>
      </c>
      <c r="AJ123" s="1">
        <f t="shared" si="20"/>
        <v>0.83178366074815746</v>
      </c>
      <c r="AK123" s="8">
        <v>6.1890000000000001E-2</v>
      </c>
      <c r="AL123" s="9">
        <v>86.704333068379555</v>
      </c>
      <c r="AM123" s="10">
        <v>4.3352166534189776</v>
      </c>
      <c r="AN123" s="9">
        <v>43.352166534189777</v>
      </c>
      <c r="AO123" s="11">
        <v>4.3361507621485256</v>
      </c>
      <c r="AP123" s="2">
        <v>5.512662500000002</v>
      </c>
      <c r="AQ123" s="2">
        <f t="shared" si="21"/>
        <v>0.34729773750000015</v>
      </c>
      <c r="AR123" s="2">
        <v>1.3006370938422824</v>
      </c>
      <c r="AS123" s="2">
        <v>0.21636973664419554</v>
      </c>
      <c r="AT123" s="2">
        <f t="shared" si="22"/>
        <v>2.1636973664419554E-2</v>
      </c>
      <c r="AU123" s="2">
        <f t="shared" si="23"/>
        <v>1.5390852636220146E-2</v>
      </c>
      <c r="AV123" s="2">
        <f t="shared" si="24"/>
        <v>2.5087089797038841E-3</v>
      </c>
      <c r="AW123" s="3">
        <f t="shared" si="25"/>
        <v>16.300000000000004</v>
      </c>
    </row>
    <row r="124" spans="1:49" x14ac:dyDescent="0.2">
      <c r="A124" t="s">
        <v>45</v>
      </c>
      <c r="B124" s="5" t="s">
        <v>46</v>
      </c>
      <c r="C124" s="5" t="s">
        <v>155</v>
      </c>
      <c r="D124" s="5" t="s">
        <v>173</v>
      </c>
      <c r="E124">
        <v>4</v>
      </c>
      <c r="F124" s="6">
        <v>155</v>
      </c>
      <c r="G124" s="3">
        <v>2.75</v>
      </c>
      <c r="H124" s="3">
        <v>2.7</v>
      </c>
      <c r="I124" s="3">
        <v>1.1000000000000001</v>
      </c>
      <c r="J124" s="3">
        <v>32.692439024390467</v>
      </c>
      <c r="K124" s="3">
        <v>33.792439024390461</v>
      </c>
      <c r="L124" s="3">
        <v>33.242439024390478</v>
      </c>
      <c r="M124" s="1">
        <v>0.17</v>
      </c>
      <c r="N124" s="3">
        <v>152.69243902439047</v>
      </c>
      <c r="O124" s="3">
        <v>153.79243902439046</v>
      </c>
      <c r="P124" s="3">
        <v>153.24243902439048</v>
      </c>
      <c r="Q124" s="3">
        <v>143.69243902439047</v>
      </c>
      <c r="R124" s="3">
        <v>144.79243902439046</v>
      </c>
      <c r="S124" s="3">
        <v>144.19999999999999</v>
      </c>
      <c r="T124" s="3">
        <v>144.19999999999999</v>
      </c>
      <c r="U124" s="7">
        <f t="shared" si="13"/>
        <v>0.54999999999999716</v>
      </c>
      <c r="V124" s="3">
        <v>2200.42</v>
      </c>
      <c r="W124" s="3">
        <v>2521.61</v>
      </c>
      <c r="X124" s="3">
        <v>2363.59</v>
      </c>
      <c r="Y124" s="3">
        <v>2367.52</v>
      </c>
      <c r="Z124" s="3">
        <f t="shared" si="14"/>
        <v>160.59500000000003</v>
      </c>
      <c r="AA124" s="4">
        <f t="shared" si="15"/>
        <v>7.1154898741106337E-2</v>
      </c>
      <c r="AB124" s="4">
        <f t="shared" si="16"/>
        <v>5.0980159126086198E-3</v>
      </c>
      <c r="AC124">
        <v>1.1476266666666668</v>
      </c>
      <c r="AD124" s="2">
        <v>8.4423999999999992</v>
      </c>
      <c r="AE124" s="2">
        <v>2.3389000000000002</v>
      </c>
      <c r="AF124" s="2">
        <f t="shared" si="17"/>
        <v>6.1034999999999986</v>
      </c>
      <c r="AG124" s="2">
        <v>1.1912733333333334</v>
      </c>
      <c r="AH124" s="1">
        <f t="shared" si="18"/>
        <v>83.669494871213729</v>
      </c>
      <c r="AI124" s="1">
        <f t="shared" si="19"/>
        <v>16.330505128786271</v>
      </c>
      <c r="AJ124" s="1">
        <f t="shared" si="20"/>
        <v>0.81652525643931362</v>
      </c>
      <c r="AK124" s="8">
        <v>5.4999999999999716E-2</v>
      </c>
      <c r="AL124" s="9">
        <v>86.14609571788418</v>
      </c>
      <c r="AM124" s="10">
        <v>4.3073047858942095</v>
      </c>
      <c r="AN124" s="9">
        <v>43.07304785894209</v>
      </c>
      <c r="AO124" s="11">
        <v>4.3082449464471217</v>
      </c>
      <c r="AP124" s="2">
        <v>6.4120271875000006</v>
      </c>
      <c r="AQ124" s="2">
        <f t="shared" si="21"/>
        <v>0.41998778078125004</v>
      </c>
      <c r="AR124" s="2">
        <v>1.1376703685153131</v>
      </c>
      <c r="AS124" s="2">
        <v>0.18578731787907493</v>
      </c>
      <c r="AT124" s="2">
        <f t="shared" si="22"/>
        <v>1.8578731787907494E-2</v>
      </c>
      <c r="AU124" s="2">
        <f t="shared" si="23"/>
        <v>1.3219677791067311E-2</v>
      </c>
      <c r="AV124" s="2">
        <f t="shared" si="24"/>
        <v>2.1878566744216402E-3</v>
      </c>
      <c r="AW124" s="3">
        <f t="shared" si="25"/>
        <v>16.55</v>
      </c>
    </row>
    <row r="125" spans="1:49" x14ac:dyDescent="0.2">
      <c r="A125" t="s">
        <v>45</v>
      </c>
      <c r="B125" s="5" t="s">
        <v>46</v>
      </c>
      <c r="C125" s="5" t="s">
        <v>155</v>
      </c>
      <c r="D125" s="5" t="s">
        <v>174</v>
      </c>
      <c r="E125">
        <v>4</v>
      </c>
      <c r="F125" s="6">
        <v>156</v>
      </c>
      <c r="G125" s="3">
        <v>2.5499999999999998</v>
      </c>
      <c r="H125" s="3">
        <v>2.7</v>
      </c>
      <c r="I125" s="3">
        <v>1</v>
      </c>
      <c r="J125" s="3">
        <v>33.96609756097584</v>
      </c>
      <c r="K125" s="3">
        <v>34.96609756097584</v>
      </c>
      <c r="L125" s="3">
        <v>34.46609756097584</v>
      </c>
      <c r="M125" s="1">
        <v>0.17</v>
      </c>
      <c r="N125" s="3">
        <v>153.96609756097584</v>
      </c>
      <c r="O125" s="3">
        <v>154.96609756097584</v>
      </c>
      <c r="P125" s="3">
        <v>154.46609756097584</v>
      </c>
      <c r="Q125" s="3">
        <v>144.96609756097584</v>
      </c>
      <c r="R125" s="3">
        <v>145.96609756097584</v>
      </c>
      <c r="S125" s="3">
        <v>145.5</v>
      </c>
      <c r="T125" s="3">
        <v>145.5</v>
      </c>
      <c r="U125" s="7">
        <f t="shared" si="13"/>
        <v>0.5</v>
      </c>
      <c r="V125" s="3">
        <v>2226.4499999999998</v>
      </c>
      <c r="W125" s="3">
        <v>2535.7199999999998</v>
      </c>
      <c r="X125" s="3">
        <v>2382.1799999999998</v>
      </c>
      <c r="Y125" s="3">
        <v>2385.79</v>
      </c>
      <c r="Z125" s="3">
        <f t="shared" si="14"/>
        <v>154.63499999999999</v>
      </c>
      <c r="AA125" s="4">
        <f t="shared" si="15"/>
        <v>7.1151358344113305E-2</v>
      </c>
      <c r="AB125" s="4">
        <f t="shared" si="16"/>
        <v>4.8561823078918948E-3</v>
      </c>
      <c r="AC125">
        <v>1.1476266666666668</v>
      </c>
      <c r="AD125" s="2">
        <v>8.0271000000000008</v>
      </c>
      <c r="AE125" s="2">
        <v>2.2206999999999999</v>
      </c>
      <c r="AF125" s="2">
        <f t="shared" si="17"/>
        <v>5.8064000000000009</v>
      </c>
      <c r="AG125" s="2">
        <v>1.0730733333333331</v>
      </c>
      <c r="AH125" s="1">
        <f t="shared" si="18"/>
        <v>84.401809828465559</v>
      </c>
      <c r="AI125" s="1">
        <f t="shared" si="19"/>
        <v>15.598190171534441</v>
      </c>
      <c r="AJ125" s="1">
        <f t="shared" si="20"/>
        <v>0.77990950857672203</v>
      </c>
      <c r="AK125" s="8">
        <v>3.5919999999999952E-2</v>
      </c>
      <c r="AL125" s="9">
        <v>88.761654464676809</v>
      </c>
      <c r="AM125" s="10">
        <v>4.4380827232338405</v>
      </c>
      <c r="AN125" s="9">
        <v>44.380827232338405</v>
      </c>
      <c r="AO125" s="11">
        <v>4.4389951856548233</v>
      </c>
      <c r="AP125" s="2">
        <v>5.409140625</v>
      </c>
      <c r="AQ125" s="2">
        <f t="shared" si="21"/>
        <v>0.3380712890625</v>
      </c>
      <c r="AR125" s="2">
        <v>1.2718237166062463</v>
      </c>
      <c r="AS125" s="2">
        <v>0.19838148196291958</v>
      </c>
      <c r="AT125" s="2">
        <f t="shared" si="22"/>
        <v>1.9838148196291958E-2</v>
      </c>
      <c r="AU125" s="2">
        <f t="shared" si="23"/>
        <v>1.4115111911979941E-2</v>
      </c>
      <c r="AV125" s="2">
        <f t="shared" si="24"/>
        <v>2.2937056856967403E-3</v>
      </c>
      <c r="AW125" s="3">
        <f t="shared" si="25"/>
        <v>16.25</v>
      </c>
    </row>
    <row r="126" spans="1:49" x14ac:dyDescent="0.2">
      <c r="A126" t="s">
        <v>45</v>
      </c>
      <c r="B126" s="5" t="s">
        <v>46</v>
      </c>
      <c r="C126" s="5" t="s">
        <v>155</v>
      </c>
      <c r="D126" s="5" t="s">
        <v>175</v>
      </c>
      <c r="E126">
        <v>4</v>
      </c>
      <c r="F126" s="6">
        <v>157</v>
      </c>
      <c r="G126" s="3">
        <v>2.4</v>
      </c>
      <c r="H126" s="3">
        <v>2.7</v>
      </c>
      <c r="I126" s="3">
        <v>1</v>
      </c>
      <c r="J126" s="3">
        <v>35.139756097561218</v>
      </c>
      <c r="K126" s="3">
        <v>36.139756097561218</v>
      </c>
      <c r="L126" s="3">
        <v>35.639756097561218</v>
      </c>
      <c r="M126" s="1">
        <v>0.17</v>
      </c>
      <c r="N126" s="3">
        <v>155.13975609756122</v>
      </c>
      <c r="O126" s="3">
        <v>156.13975609756122</v>
      </c>
      <c r="P126" s="3">
        <v>155.63975609756122</v>
      </c>
      <c r="Q126" s="3">
        <v>146.13975609756122</v>
      </c>
      <c r="R126" s="3">
        <v>147.13975609756122</v>
      </c>
      <c r="S126" s="3">
        <v>146.6</v>
      </c>
      <c r="T126" s="3">
        <v>146.6</v>
      </c>
      <c r="U126" s="7">
        <f t="shared" si="13"/>
        <v>0.5</v>
      </c>
      <c r="V126" s="3">
        <v>2253.0300000000002</v>
      </c>
      <c r="W126" s="3">
        <v>2548.4299999999998</v>
      </c>
      <c r="X126" s="3">
        <v>2398.87</v>
      </c>
      <c r="Y126" s="3">
        <v>2401.25</v>
      </c>
      <c r="Z126" s="3">
        <f t="shared" si="14"/>
        <v>147.69999999999982</v>
      </c>
      <c r="AA126" s="4">
        <f t="shared" si="15"/>
        <v>7.1132187314761397E-2</v>
      </c>
      <c r="AB126" s="4">
        <f t="shared" si="16"/>
        <v>4.6179209200744413E-3</v>
      </c>
      <c r="AC126">
        <v>1.1476266666666668</v>
      </c>
      <c r="AD126" s="2">
        <v>7.6345999999999998</v>
      </c>
      <c r="AE126" s="2">
        <v>2.1473</v>
      </c>
      <c r="AF126" s="2">
        <f t="shared" si="17"/>
        <v>5.4872999999999994</v>
      </c>
      <c r="AG126" s="2">
        <v>0.99967333333333319</v>
      </c>
      <c r="AH126" s="1">
        <f t="shared" si="18"/>
        <v>84.589526086125431</v>
      </c>
      <c r="AI126" s="1">
        <f t="shared" si="19"/>
        <v>15.410473913874569</v>
      </c>
      <c r="AJ126" s="1">
        <f t="shared" si="20"/>
        <v>0.77052369569372847</v>
      </c>
      <c r="AK126" s="8">
        <v>3.8409999999999833E-2</v>
      </c>
      <c r="AL126" s="9">
        <v>88.368008237182451</v>
      </c>
      <c r="AM126" s="10">
        <v>4.4184004118591229</v>
      </c>
      <c r="AN126" s="9">
        <v>44.184004118591226</v>
      </c>
      <c r="AO126" s="11">
        <v>4.4193169381157613</v>
      </c>
      <c r="AP126" s="2">
        <v>5.1044624999999995</v>
      </c>
      <c r="AQ126" s="2">
        <f t="shared" si="21"/>
        <v>0.31137221250000002</v>
      </c>
      <c r="AR126" s="2">
        <v>1.2708435674340508</v>
      </c>
      <c r="AS126" s="2">
        <v>0.19584301644557744</v>
      </c>
      <c r="AT126" s="2">
        <f t="shared" si="22"/>
        <v>1.9584301644557746E-2</v>
      </c>
      <c r="AU126" s="2">
        <f t="shared" si="23"/>
        <v>1.3930742130094712E-2</v>
      </c>
      <c r="AV126" s="2">
        <f t="shared" si="24"/>
        <v>2.2428494829452492E-3</v>
      </c>
      <c r="AW126" s="3">
        <f t="shared" si="25"/>
        <v>16.100000000000001</v>
      </c>
    </row>
    <row r="127" spans="1:49" x14ac:dyDescent="0.2">
      <c r="A127" t="s">
        <v>45</v>
      </c>
      <c r="B127" s="5" t="s">
        <v>46</v>
      </c>
      <c r="C127" s="5" t="s">
        <v>155</v>
      </c>
      <c r="D127" s="5" t="s">
        <v>176</v>
      </c>
      <c r="E127">
        <v>4</v>
      </c>
      <c r="F127" s="6">
        <v>158</v>
      </c>
      <c r="G127" s="3">
        <v>2.85</v>
      </c>
      <c r="H127" s="3">
        <v>2.7</v>
      </c>
      <c r="I127" s="3">
        <v>1.05</v>
      </c>
      <c r="J127" s="3">
        <v>36.313414634146596</v>
      </c>
      <c r="K127" s="3">
        <v>37.363414634146608</v>
      </c>
      <c r="L127" s="3">
        <v>36.838414634146602</v>
      </c>
      <c r="M127" s="1">
        <v>0.17</v>
      </c>
      <c r="N127" s="3">
        <v>156.3134146341466</v>
      </c>
      <c r="O127" s="3">
        <v>157.36341463414661</v>
      </c>
      <c r="P127" s="3">
        <v>156.8384146341466</v>
      </c>
      <c r="Q127" s="3">
        <v>147.3134146341466</v>
      </c>
      <c r="R127" s="3">
        <v>148.36341463414661</v>
      </c>
      <c r="S127" s="3">
        <v>147.80000000000001</v>
      </c>
      <c r="T127" s="3">
        <v>147.80000000000001</v>
      </c>
      <c r="U127" s="7">
        <f t="shared" si="13"/>
        <v>0.52500000000000568</v>
      </c>
      <c r="V127" s="3">
        <v>2275.91</v>
      </c>
      <c r="W127" s="3">
        <v>2567.15</v>
      </c>
      <c r="X127" s="3">
        <v>2416.14</v>
      </c>
      <c r="Y127" s="3">
        <v>2418.12</v>
      </c>
      <c r="Z127" s="3">
        <f t="shared" si="14"/>
        <v>145.62000000000012</v>
      </c>
      <c r="AA127" s="4">
        <f t="shared" si="15"/>
        <v>7.1154898741104769E-2</v>
      </c>
      <c r="AB127" s="4">
        <f t="shared" si="16"/>
        <v>4.5377210758233344E-3</v>
      </c>
      <c r="AC127">
        <v>1.1476266666666668</v>
      </c>
      <c r="AD127" s="2">
        <v>8.6431000000000004</v>
      </c>
      <c r="AE127" s="2">
        <v>2.3597000000000001</v>
      </c>
      <c r="AF127" s="2">
        <f t="shared" si="17"/>
        <v>6.2834000000000003</v>
      </c>
      <c r="AG127" s="2">
        <v>1.2120733333333333</v>
      </c>
      <c r="AH127" s="1">
        <f t="shared" si="18"/>
        <v>83.829262283636069</v>
      </c>
      <c r="AI127" s="1">
        <f t="shared" si="19"/>
        <v>16.170737716363931</v>
      </c>
      <c r="AJ127" s="1">
        <f t="shared" si="20"/>
        <v>0.8085368858181966</v>
      </c>
      <c r="AK127" s="8">
        <v>2.8290000000000148E-2</v>
      </c>
      <c r="AL127" s="9">
        <v>89.275560104628639</v>
      </c>
      <c r="AM127" s="10">
        <v>4.4637780052314318</v>
      </c>
      <c r="AN127" s="9">
        <v>44.637780052314319</v>
      </c>
      <c r="AO127" s="11">
        <v>4.4646852162261004</v>
      </c>
      <c r="AP127" s="2">
        <v>6.3472401562500016</v>
      </c>
      <c r="AQ127" s="2">
        <f t="shared" si="21"/>
        <v>0.41891785031250012</v>
      </c>
      <c r="AR127" s="2">
        <v>1.1809027465193183</v>
      </c>
      <c r="AS127" s="2">
        <v>0.19096068582497683</v>
      </c>
      <c r="AT127" s="2">
        <f t="shared" si="22"/>
        <v>1.9096068582497683E-2</v>
      </c>
      <c r="AU127" s="2">
        <f t="shared" si="23"/>
        <v>1.3587788263408148E-2</v>
      </c>
      <c r="AV127" s="2">
        <f t="shared" si="24"/>
        <v>2.2555728517257528E-3</v>
      </c>
      <c r="AW127" s="3">
        <f t="shared" si="25"/>
        <v>16.600000000000001</v>
      </c>
    </row>
    <row r="128" spans="1:49" x14ac:dyDescent="0.2">
      <c r="A128" t="s">
        <v>45</v>
      </c>
      <c r="B128" s="5" t="s">
        <v>46</v>
      </c>
      <c r="C128" s="5" t="s">
        <v>155</v>
      </c>
      <c r="D128" s="5" t="s">
        <v>177</v>
      </c>
      <c r="E128">
        <v>4</v>
      </c>
      <c r="F128" s="6">
        <v>159</v>
      </c>
      <c r="G128" s="3">
        <v>2.7</v>
      </c>
      <c r="H128" s="3">
        <v>2.4</v>
      </c>
      <c r="I128" s="3">
        <v>1.1000000000000001</v>
      </c>
      <c r="J128" s="3">
        <v>37.537073170731986</v>
      </c>
      <c r="K128" s="3">
        <v>38.637073170731981</v>
      </c>
      <c r="L128" s="3">
        <v>38.087073170731969</v>
      </c>
      <c r="M128" s="1">
        <v>0.17</v>
      </c>
      <c r="N128" s="3">
        <v>157.53707317073199</v>
      </c>
      <c r="O128" s="3">
        <v>158.63707317073198</v>
      </c>
      <c r="P128" s="3">
        <v>158.08707317073197</v>
      </c>
      <c r="Q128" s="3">
        <v>148.53707317073199</v>
      </c>
      <c r="R128" s="3">
        <v>149.63707317073198</v>
      </c>
      <c r="S128" s="3">
        <v>149.1</v>
      </c>
      <c r="T128" s="3">
        <v>149.1</v>
      </c>
      <c r="U128" s="7">
        <f t="shared" si="13"/>
        <v>0.54999999999999716</v>
      </c>
      <c r="V128" s="3">
        <v>2299.75</v>
      </c>
      <c r="W128" s="3">
        <v>2592.62</v>
      </c>
      <c r="X128" s="3">
        <v>2434.5300000000002</v>
      </c>
      <c r="Y128" s="3">
        <v>2436.39</v>
      </c>
      <c r="Z128" s="3">
        <f t="shared" si="14"/>
        <v>146.43499999999995</v>
      </c>
      <c r="AA128" s="4">
        <f t="shared" si="15"/>
        <v>7.9840319361277515E-2</v>
      </c>
      <c r="AB128" s="4">
        <f t="shared" si="16"/>
        <v>5.0931790022128963E-3</v>
      </c>
      <c r="AC128">
        <v>1.1476266666666668</v>
      </c>
      <c r="AD128" s="2">
        <v>7.4663000000000004</v>
      </c>
      <c r="AE128" s="2">
        <v>2.1858</v>
      </c>
      <c r="AF128" s="2">
        <f t="shared" si="17"/>
        <v>5.2805</v>
      </c>
      <c r="AG128" s="2">
        <v>1.0381733333333332</v>
      </c>
      <c r="AH128" s="1">
        <f t="shared" si="18"/>
        <v>83.569757786708394</v>
      </c>
      <c r="AI128" s="1">
        <f t="shared" si="19"/>
        <v>16.430242213291606</v>
      </c>
      <c r="AJ128" s="1">
        <f t="shared" si="20"/>
        <v>0.82151211066458041</v>
      </c>
      <c r="AK128" s="8">
        <v>5.0549999999999429E-2</v>
      </c>
      <c r="AL128" s="9">
        <v>89.619057398090249</v>
      </c>
      <c r="AM128" s="10">
        <v>4.4809528699045122</v>
      </c>
      <c r="AN128" s="9">
        <v>44.809528699045124</v>
      </c>
      <c r="AO128" s="11">
        <v>4.4818566043890211</v>
      </c>
      <c r="AP128" s="2">
        <v>5.6149087499999997</v>
      </c>
      <c r="AQ128" s="2">
        <f t="shared" si="21"/>
        <v>0.34812434250000002</v>
      </c>
      <c r="AR128" s="2">
        <v>1.1253385610822855</v>
      </c>
      <c r="AS128" s="2">
        <v>0.18489585130538999</v>
      </c>
      <c r="AT128" s="2">
        <f t="shared" si="22"/>
        <v>1.8489585130538999E-2</v>
      </c>
      <c r="AU128" s="2">
        <f t="shared" si="23"/>
        <v>1.4762143816797618E-2</v>
      </c>
      <c r="AV128" s="2">
        <f t="shared" si="24"/>
        <v>2.3914672983212141E-3</v>
      </c>
      <c r="AW128" s="3">
        <f t="shared" si="25"/>
        <v>16.2</v>
      </c>
    </row>
    <row r="129" spans="1:49" x14ac:dyDescent="0.2">
      <c r="A129" t="s">
        <v>45</v>
      </c>
      <c r="B129" s="5" t="s">
        <v>46</v>
      </c>
      <c r="C129" s="5" t="s">
        <v>155</v>
      </c>
      <c r="D129" s="5" t="s">
        <v>178</v>
      </c>
      <c r="E129">
        <v>4</v>
      </c>
      <c r="F129" s="6">
        <v>160</v>
      </c>
      <c r="G129" s="3">
        <v>2.25</v>
      </c>
      <c r="H129" s="3">
        <v>2.6</v>
      </c>
      <c r="I129" s="3">
        <v>1</v>
      </c>
      <c r="J129" s="3">
        <v>38.810731707317359</v>
      </c>
      <c r="K129" s="3">
        <v>39.810731707317359</v>
      </c>
      <c r="L129" s="3">
        <v>39.310731707317359</v>
      </c>
      <c r="M129" s="1">
        <v>0.17</v>
      </c>
      <c r="N129" s="3">
        <v>158.81073170731736</v>
      </c>
      <c r="O129" s="3">
        <v>159.81073170731736</v>
      </c>
      <c r="P129" s="3">
        <v>159.31073170731736</v>
      </c>
      <c r="Q129" s="3">
        <v>149.81073170731736</v>
      </c>
      <c r="R129" s="3">
        <v>150.81073170731736</v>
      </c>
      <c r="S129" s="3">
        <v>150.30000000000001</v>
      </c>
      <c r="T129" s="3">
        <v>150.30000000000001</v>
      </c>
      <c r="U129" s="7">
        <f t="shared" si="13"/>
        <v>0.5</v>
      </c>
      <c r="V129" s="3">
        <v>2314.6</v>
      </c>
      <c r="W129" s="3">
        <v>2613.6799999999998</v>
      </c>
      <c r="X129" s="3">
        <v>2448.3200000000002</v>
      </c>
      <c r="Y129" s="3">
        <v>2451.42</v>
      </c>
      <c r="Z129" s="3">
        <f t="shared" si="14"/>
        <v>149.53999999999996</v>
      </c>
      <c r="AA129" s="4">
        <f t="shared" si="15"/>
        <v>0.12605042016806628</v>
      </c>
      <c r="AB129" s="4">
        <f t="shared" si="16"/>
        <v>8.1085788360612358E-3</v>
      </c>
      <c r="AC129">
        <v>1.1476266666666668</v>
      </c>
      <c r="AD129" s="2">
        <v>7.2141000000000002</v>
      </c>
      <c r="AE129" s="2">
        <v>2.1044999999999998</v>
      </c>
      <c r="AF129" s="2">
        <f t="shared" si="17"/>
        <v>5.1096000000000004</v>
      </c>
      <c r="AG129" s="2">
        <v>0.95687333333333302</v>
      </c>
      <c r="AH129" s="1">
        <f t="shared" si="18"/>
        <v>84.226859976856403</v>
      </c>
      <c r="AI129" s="1">
        <f t="shared" si="19"/>
        <v>15.773140023143597</v>
      </c>
      <c r="AJ129" s="1">
        <f t="shared" si="20"/>
        <v>0.78865700115717985</v>
      </c>
      <c r="AK129" s="8">
        <v>5.0470000000000681E-2</v>
      </c>
      <c r="AL129" s="9">
        <v>86.83173741748621</v>
      </c>
      <c r="AM129" s="10">
        <v>4.3415868708743108</v>
      </c>
      <c r="AN129" s="9">
        <v>43.415868708743105</v>
      </c>
      <c r="AO129" s="11">
        <v>4.3425196093222409</v>
      </c>
      <c r="AP129" s="2">
        <v>4.6162906249999995</v>
      </c>
      <c r="AQ129" s="2">
        <f t="shared" si="21"/>
        <v>0.27005300156250001</v>
      </c>
      <c r="AR129" s="2">
        <v>1.3141445862354766</v>
      </c>
      <c r="AS129" s="2">
        <v>0.20728186569348267</v>
      </c>
      <c r="AT129" s="2">
        <f t="shared" si="22"/>
        <v>2.0728186569348269E-2</v>
      </c>
      <c r="AU129" s="2">
        <f t="shared" si="23"/>
        <v>2.6127966263884174E-2</v>
      </c>
      <c r="AV129" s="2">
        <f t="shared" si="24"/>
        <v>4.1412826528256421E-3</v>
      </c>
      <c r="AW129" s="3">
        <f t="shared" si="25"/>
        <v>15.850000000000003</v>
      </c>
    </row>
    <row r="130" spans="1:49" x14ac:dyDescent="0.2">
      <c r="A130" t="s">
        <v>45</v>
      </c>
      <c r="B130" s="5" t="s">
        <v>46</v>
      </c>
      <c r="C130" s="5" t="s">
        <v>155</v>
      </c>
      <c r="D130" s="5" t="s">
        <v>179</v>
      </c>
      <c r="E130">
        <v>4</v>
      </c>
      <c r="F130" s="6">
        <v>161</v>
      </c>
      <c r="G130" s="3">
        <v>2.65</v>
      </c>
      <c r="H130" s="3">
        <v>2.4</v>
      </c>
      <c r="I130" s="3">
        <v>1</v>
      </c>
      <c r="J130" s="3">
        <v>39.984390243902737</v>
      </c>
      <c r="K130" s="3">
        <v>40.984390243902737</v>
      </c>
      <c r="L130" s="3">
        <v>40.484390243902737</v>
      </c>
      <c r="M130" s="1">
        <v>0.17</v>
      </c>
      <c r="N130" s="3">
        <v>159.98439024390274</v>
      </c>
      <c r="O130" s="3">
        <v>160.98439024390274</v>
      </c>
      <c r="P130" s="3">
        <v>160.48439024390274</v>
      </c>
      <c r="Q130" s="3">
        <v>150.98439024390274</v>
      </c>
      <c r="R130" s="3">
        <v>151.98439024390274</v>
      </c>
      <c r="S130" s="3">
        <v>151.5</v>
      </c>
      <c r="T130" s="3">
        <v>151.5</v>
      </c>
      <c r="U130" s="7">
        <f t="shared" si="13"/>
        <v>0.5</v>
      </c>
      <c r="V130" s="3">
        <v>2329.79</v>
      </c>
      <c r="W130" s="3">
        <v>2621.54</v>
      </c>
      <c r="X130" s="3">
        <v>2457.62</v>
      </c>
      <c r="Y130" s="3">
        <v>2460.94</v>
      </c>
      <c r="Z130" s="3">
        <f t="shared" si="14"/>
        <v>145.875</v>
      </c>
      <c r="AA130" s="4">
        <f t="shared" si="15"/>
        <v>0.12618296529968648</v>
      </c>
      <c r="AB130" s="4">
        <f t="shared" si="16"/>
        <v>7.8960833176244197E-3</v>
      </c>
      <c r="AC130">
        <v>1.1476266666666668</v>
      </c>
      <c r="AD130" s="2">
        <v>7.9786000000000001</v>
      </c>
      <c r="AE130" s="2">
        <v>2.2275</v>
      </c>
      <c r="AF130" s="2">
        <f t="shared" si="17"/>
        <v>5.7511000000000001</v>
      </c>
      <c r="AG130" s="2">
        <v>1.0798733333333332</v>
      </c>
      <c r="AH130" s="1">
        <f t="shared" si="18"/>
        <v>84.191515899149564</v>
      </c>
      <c r="AI130" s="1">
        <f t="shared" si="19"/>
        <v>15.808484100850436</v>
      </c>
      <c r="AJ130" s="1">
        <f t="shared" si="20"/>
        <v>0.79042420504252187</v>
      </c>
      <c r="AK130" s="8">
        <v>9.2069999999999652E-2</v>
      </c>
      <c r="AL130" s="9">
        <v>79.92674471842507</v>
      </c>
      <c r="AM130" s="10">
        <v>3.9963372359212537</v>
      </c>
      <c r="AN130" s="9">
        <v>39.963372359212535</v>
      </c>
      <c r="AO130" s="11">
        <v>3.9973505354435361</v>
      </c>
      <c r="AP130" s="2">
        <v>5.0048656249999999</v>
      </c>
      <c r="AQ130" s="2">
        <f t="shared" si="21"/>
        <v>0.30279437031250001</v>
      </c>
      <c r="AR130" s="2">
        <v>1.3648664809723705</v>
      </c>
      <c r="AS130" s="2">
        <v>0.21576470064235406</v>
      </c>
      <c r="AT130" s="2">
        <f t="shared" si="22"/>
        <v>2.1576470064235409E-2</v>
      </c>
      <c r="AU130" s="2">
        <f t="shared" si="23"/>
        <v>2.7225829734051403E-2</v>
      </c>
      <c r="AV130" s="2">
        <f t="shared" si="24"/>
        <v>4.3697456723152507E-3</v>
      </c>
      <c r="AW130" s="3">
        <f t="shared" si="25"/>
        <v>16.050000000000004</v>
      </c>
    </row>
    <row r="131" spans="1:49" x14ac:dyDescent="0.2">
      <c r="A131" t="s">
        <v>45</v>
      </c>
      <c r="B131" s="5" t="s">
        <v>46</v>
      </c>
      <c r="C131" s="5" t="s">
        <v>155</v>
      </c>
      <c r="D131" s="5" t="s">
        <v>180</v>
      </c>
      <c r="E131">
        <v>4</v>
      </c>
      <c r="F131" s="6">
        <v>162</v>
      </c>
      <c r="G131" s="3">
        <v>2.65</v>
      </c>
      <c r="H131" s="3">
        <v>2.6</v>
      </c>
      <c r="I131" s="3">
        <v>1.05</v>
      </c>
      <c r="J131" s="3">
        <v>41.158048780488116</v>
      </c>
      <c r="K131" s="3">
        <v>42.208048780488127</v>
      </c>
      <c r="L131" s="3">
        <v>41.683048780488122</v>
      </c>
      <c r="M131" s="1">
        <v>0.17</v>
      </c>
      <c r="N131" s="3">
        <v>161.15804878048812</v>
      </c>
      <c r="O131" s="3">
        <v>162.20804878048813</v>
      </c>
      <c r="P131" s="3">
        <v>161.68304878048812</v>
      </c>
      <c r="Q131" s="3">
        <v>152.15804878048812</v>
      </c>
      <c r="R131" s="3">
        <v>153.20804878048813</v>
      </c>
      <c r="S131" s="3">
        <v>152.69999999999999</v>
      </c>
      <c r="T131" s="3">
        <v>152.69999999999999</v>
      </c>
      <c r="U131" s="7">
        <f t="shared" ref="U131:U194" si="26">((R131-S131)+(S131-Q131))/2</f>
        <v>0.52500000000000568</v>
      </c>
      <c r="V131" s="3">
        <v>2343.0500000000002</v>
      </c>
      <c r="W131" s="3">
        <v>2629.06</v>
      </c>
      <c r="X131" s="3">
        <v>2468.0300000000002</v>
      </c>
      <c r="Y131" s="3">
        <v>2470.4499999999998</v>
      </c>
      <c r="Z131" s="3">
        <f t="shared" ref="Z131:Z194" si="27">((W131-Y131)+(Y131-V131))/2</f>
        <v>143.00499999999988</v>
      </c>
      <c r="AA131" s="4">
        <f t="shared" ref="AA131:AA194" si="28">(T132-T131)/(Y132-Y131)</f>
        <v>0.12605042016806925</v>
      </c>
      <c r="AB131" s="4">
        <f t="shared" ref="AB131:AB194" si="29">AA131*((Z131/Y131)+(U131/T131))</f>
        <v>7.7299574383555029E-3</v>
      </c>
      <c r="AC131">
        <v>1.1476266666666668</v>
      </c>
      <c r="AD131" s="2">
        <v>8.6618999999999993</v>
      </c>
      <c r="AE131" s="2">
        <v>2.2885</v>
      </c>
      <c r="AF131" s="2">
        <f t="shared" ref="AF131:AF194" si="30">AD131-AE131</f>
        <v>6.3733999999999993</v>
      </c>
      <c r="AG131" s="2">
        <v>1.1408733333333332</v>
      </c>
      <c r="AH131" s="1">
        <f t="shared" ref="AH131:AH194" si="31">((AD131-AC131)-(AE131-AC131))/(AD131-AC131)*100</f>
        <v>84.817250015747803</v>
      </c>
      <c r="AI131" s="1">
        <f t="shared" ref="AI131:AI194" si="32">100-AH131</f>
        <v>15.182749984252197</v>
      </c>
      <c r="AJ131" s="1">
        <f t="shared" ref="AJ131:AJ194" si="33">AI131*0.05</f>
        <v>0.75913749921260987</v>
      </c>
      <c r="AK131" s="8">
        <v>7.0350000000000357E-2</v>
      </c>
      <c r="AL131" s="9">
        <v>82.712863988204859</v>
      </c>
      <c r="AM131" s="10">
        <v>4.1356431994102429</v>
      </c>
      <c r="AN131" s="9">
        <v>41.356431994102429</v>
      </c>
      <c r="AO131" s="11">
        <v>4.1366223749368505</v>
      </c>
      <c r="AP131" s="2">
        <v>5.6795976562499995</v>
      </c>
      <c r="AQ131" s="2">
        <f t="shared" ref="AQ131:AQ194" si="34">AP131*((G131*0.01)+(H131*0.01)+(I131*0.01))</f>
        <v>0.35781465234374998</v>
      </c>
      <c r="AR131" s="2">
        <v>1.3230291630014321</v>
      </c>
      <c r="AS131" s="2">
        <v>0.20087221003725184</v>
      </c>
      <c r="AT131" s="2">
        <f t="shared" ref="AT131:AT194" si="35">AS131*0.1</f>
        <v>2.0087221003725186E-2</v>
      </c>
      <c r="AU131" s="2">
        <f t="shared" ref="AU131:AU194" si="36">AS131*AA131</f>
        <v>2.5320026475284252E-2</v>
      </c>
      <c r="AV131" s="2">
        <f t="shared" ref="AV131:AV194" si="37">AU131*((AT131/AS131)+(AQ131/AP131))</f>
        <v>4.1271643154713331E-3</v>
      </c>
      <c r="AW131" s="3">
        <f t="shared" ref="AW131:AW194" si="38">(AV131/AU131)*100</f>
        <v>16.3</v>
      </c>
    </row>
    <row r="132" spans="1:49" x14ac:dyDescent="0.2">
      <c r="A132" t="s">
        <v>45</v>
      </c>
      <c r="B132" s="5" t="s">
        <v>46</v>
      </c>
      <c r="C132" s="5" t="s">
        <v>155</v>
      </c>
      <c r="D132" s="5" t="s">
        <v>181</v>
      </c>
      <c r="E132">
        <v>4</v>
      </c>
      <c r="F132" s="6">
        <v>163</v>
      </c>
      <c r="G132" s="3">
        <v>2.85</v>
      </c>
      <c r="H132" s="3">
        <v>2.5499999999999998</v>
      </c>
      <c r="I132" s="3">
        <v>1.05</v>
      </c>
      <c r="J132" s="3">
        <v>42.381707317073506</v>
      </c>
      <c r="K132" s="3">
        <v>43.431707317073517</v>
      </c>
      <c r="L132" s="3">
        <v>42.906707317073511</v>
      </c>
      <c r="M132" s="1">
        <v>0.17</v>
      </c>
      <c r="N132" s="3">
        <v>162.38170731707351</v>
      </c>
      <c r="O132" s="3">
        <v>163.43170731707352</v>
      </c>
      <c r="P132" s="3">
        <v>162.90670731707351</v>
      </c>
      <c r="Q132" s="3">
        <v>153.38170731707351</v>
      </c>
      <c r="R132" s="3">
        <v>154.43170731707352</v>
      </c>
      <c r="S132" s="3">
        <v>153.9</v>
      </c>
      <c r="T132" s="3">
        <v>153.9</v>
      </c>
      <c r="U132" s="7">
        <f t="shared" si="26"/>
        <v>0.52500000000000568</v>
      </c>
      <c r="V132" s="3">
        <v>2352.09</v>
      </c>
      <c r="W132" s="3">
        <v>2641.25</v>
      </c>
      <c r="X132" s="3">
        <v>2477.71</v>
      </c>
      <c r="Y132" s="3">
        <v>2479.9699999999998</v>
      </c>
      <c r="Z132" s="3">
        <f t="shared" si="27"/>
        <v>144.57999999999993</v>
      </c>
      <c r="AA132" s="4">
        <f t="shared" si="28"/>
        <v>0.12658227848097486</v>
      </c>
      <c r="AB132" s="4">
        <f t="shared" si="29"/>
        <v>7.8114428317210558E-3</v>
      </c>
      <c r="AC132">
        <v>1.1476266666666668</v>
      </c>
      <c r="AD132" s="2">
        <v>8.0799000000000003</v>
      </c>
      <c r="AE132" s="2">
        <v>2.1675</v>
      </c>
      <c r="AF132" s="2">
        <f t="shared" si="30"/>
        <v>5.9123999999999999</v>
      </c>
      <c r="AG132" s="2">
        <v>1.0198733333333332</v>
      </c>
      <c r="AH132" s="1">
        <f t="shared" si="31"/>
        <v>85.288039229074457</v>
      </c>
      <c r="AI132" s="1">
        <f t="shared" si="32"/>
        <v>14.711960770925543</v>
      </c>
      <c r="AJ132" s="1">
        <f t="shared" si="33"/>
        <v>0.73559803854627726</v>
      </c>
      <c r="AK132" s="8">
        <v>4.4270000000000032E-2</v>
      </c>
      <c r="AL132" s="9">
        <v>89.491300116314946</v>
      </c>
      <c r="AM132" s="10">
        <v>4.4745650058157471</v>
      </c>
      <c r="AN132" s="9">
        <v>44.745650058157473</v>
      </c>
      <c r="AO132" s="11">
        <v>4.4754700302058641</v>
      </c>
      <c r="AP132" s="2">
        <v>6.0087825000000015</v>
      </c>
      <c r="AQ132" s="2">
        <f t="shared" si="34"/>
        <v>0.3875664712500001</v>
      </c>
      <c r="AR132" s="2">
        <v>1.1536901748953856</v>
      </c>
      <c r="AS132" s="2">
        <v>0.16973044594863151</v>
      </c>
      <c r="AT132" s="2">
        <f t="shared" si="35"/>
        <v>1.6973044594863151E-2</v>
      </c>
      <c r="AU132" s="2">
        <f t="shared" si="36"/>
        <v>2.1484866575769725E-2</v>
      </c>
      <c r="AV132" s="2">
        <f t="shared" si="37"/>
        <v>3.5342605517141201E-3</v>
      </c>
      <c r="AW132" s="3">
        <f t="shared" si="38"/>
        <v>16.45</v>
      </c>
    </row>
    <row r="133" spans="1:49" x14ac:dyDescent="0.2">
      <c r="A133" t="s">
        <v>45</v>
      </c>
      <c r="B133" s="5" t="s">
        <v>46</v>
      </c>
      <c r="C133" s="5" t="s">
        <v>182</v>
      </c>
      <c r="D133" s="5" t="s">
        <v>183</v>
      </c>
      <c r="E133">
        <v>5</v>
      </c>
      <c r="F133" s="6">
        <v>170</v>
      </c>
      <c r="G133" s="3">
        <v>2.5499999999999998</v>
      </c>
      <c r="H133" s="3">
        <v>2.35</v>
      </c>
      <c r="I133" s="3">
        <v>1</v>
      </c>
      <c r="J133" s="3">
        <v>1.1412499999999852</v>
      </c>
      <c r="K133" s="3">
        <v>2.1412499999999852</v>
      </c>
      <c r="L133" s="3">
        <v>1.6412499999999852</v>
      </c>
      <c r="M133" s="1">
        <v>0.19</v>
      </c>
      <c r="N133" s="3">
        <v>161.14124999999999</v>
      </c>
      <c r="O133" s="3">
        <v>162.14124999999999</v>
      </c>
      <c r="P133" s="3">
        <v>161.64124999999999</v>
      </c>
      <c r="Q133" s="3">
        <v>153.64124999999999</v>
      </c>
      <c r="R133" s="3">
        <v>154.64124999999999</v>
      </c>
      <c r="S133" s="3">
        <v>154.1</v>
      </c>
      <c r="T133" s="3">
        <v>154.1</v>
      </c>
      <c r="U133" s="7">
        <f t="shared" si="26"/>
        <v>0.5</v>
      </c>
      <c r="V133" s="3">
        <v>2353.42</v>
      </c>
      <c r="W133" s="3">
        <v>2643.84</v>
      </c>
      <c r="X133" s="3">
        <v>2479.7800000000002</v>
      </c>
      <c r="Y133" s="3">
        <v>2481.5500000000002</v>
      </c>
      <c r="Z133" s="3">
        <f t="shared" si="27"/>
        <v>145.21000000000004</v>
      </c>
      <c r="AA133" s="4">
        <f t="shared" si="28"/>
        <v>0.12609117361784852</v>
      </c>
      <c r="AB133" s="4">
        <f t="shared" si="29"/>
        <v>7.7874530814023976E-3</v>
      </c>
      <c r="AC133">
        <v>1.1476266666666668</v>
      </c>
      <c r="AD133" s="2">
        <v>6.3270999999999997</v>
      </c>
      <c r="AE133" s="2">
        <v>2.0023</v>
      </c>
      <c r="AF133" s="2">
        <f t="shared" si="30"/>
        <v>4.3247999999999998</v>
      </c>
      <c r="AG133" s="2">
        <v>0.85467333333333317</v>
      </c>
      <c r="AH133" s="1">
        <f t="shared" si="31"/>
        <v>83.498837076099107</v>
      </c>
      <c r="AI133" s="1">
        <f t="shared" si="32"/>
        <v>16.501162923900893</v>
      </c>
      <c r="AJ133" s="1">
        <f t="shared" si="33"/>
        <v>0.82505814619504469</v>
      </c>
      <c r="AK133" s="8">
        <v>3.8479999999999848E-2</v>
      </c>
      <c r="AL133" s="9">
        <v>87.282702095313681</v>
      </c>
      <c r="AM133" s="10">
        <v>4.3641351047656842</v>
      </c>
      <c r="AN133" s="9">
        <v>43.64135104765684</v>
      </c>
      <c r="AO133" s="11">
        <v>4.3650630250488005</v>
      </c>
      <c r="AP133" s="2">
        <v>4.7119625000000003</v>
      </c>
      <c r="AQ133" s="2">
        <f t="shared" si="34"/>
        <v>0.27800578750000005</v>
      </c>
      <c r="AR133" s="2">
        <v>1.0992178595082904</v>
      </c>
      <c r="AS133" s="2">
        <v>0.18138372988607893</v>
      </c>
      <c r="AT133" s="2">
        <f t="shared" si="35"/>
        <v>1.8138372988607893E-2</v>
      </c>
      <c r="AU133" s="2">
        <f t="shared" si="36"/>
        <v>2.2870887376518517E-2</v>
      </c>
      <c r="AV133" s="2">
        <f t="shared" si="37"/>
        <v>3.6364710928664442E-3</v>
      </c>
      <c r="AW133" s="3">
        <f t="shared" si="38"/>
        <v>15.9</v>
      </c>
    </row>
    <row r="134" spans="1:49" x14ac:dyDescent="0.2">
      <c r="A134" t="s">
        <v>45</v>
      </c>
      <c r="B134" s="5" t="s">
        <v>46</v>
      </c>
      <c r="C134" s="5" t="s">
        <v>182</v>
      </c>
      <c r="D134" s="5" t="s">
        <v>184</v>
      </c>
      <c r="E134">
        <v>5</v>
      </c>
      <c r="F134" s="6">
        <v>171</v>
      </c>
      <c r="G134" s="3">
        <v>2.5</v>
      </c>
      <c r="H134" s="3">
        <v>2.75</v>
      </c>
      <c r="I134" s="3">
        <v>1.1000000000000001</v>
      </c>
      <c r="J134" s="3">
        <v>2.3324999999999818</v>
      </c>
      <c r="K134" s="3">
        <v>3.4324999999999761</v>
      </c>
      <c r="L134" s="3">
        <v>2.8824999999999932</v>
      </c>
      <c r="M134" s="1">
        <v>0.19</v>
      </c>
      <c r="N134" s="3">
        <v>162.33249999999998</v>
      </c>
      <c r="O134" s="3">
        <v>163.43249999999998</v>
      </c>
      <c r="P134" s="3">
        <v>162.88249999999999</v>
      </c>
      <c r="Q134" s="3">
        <v>154.83249999999998</v>
      </c>
      <c r="R134" s="3">
        <v>155.93249999999998</v>
      </c>
      <c r="S134" s="3">
        <v>155.4</v>
      </c>
      <c r="T134" s="3">
        <v>155.4</v>
      </c>
      <c r="U134" s="7">
        <f t="shared" si="26"/>
        <v>0.54999999999999716</v>
      </c>
      <c r="V134" s="3">
        <v>2359.0100000000002</v>
      </c>
      <c r="W134" s="3">
        <v>2660.87</v>
      </c>
      <c r="X134" s="3">
        <v>2491.13</v>
      </c>
      <c r="Y134" s="3">
        <v>2491.86</v>
      </c>
      <c r="Z134" s="3">
        <f t="shared" si="27"/>
        <v>150.92999999999984</v>
      </c>
      <c r="AA134" s="4">
        <f t="shared" si="28"/>
        <v>0.12605042016806628</v>
      </c>
      <c r="AB134" s="4">
        <f t="shared" si="29"/>
        <v>8.080899188817086E-3</v>
      </c>
      <c r="AC134">
        <v>1.1476266666666668</v>
      </c>
      <c r="AD134" s="2">
        <v>7.6185999999999998</v>
      </c>
      <c r="AE134" s="2">
        <v>2.0775999999999999</v>
      </c>
      <c r="AF134" s="2">
        <f t="shared" si="30"/>
        <v>5.5410000000000004</v>
      </c>
      <c r="AG134" s="2">
        <v>0.9299733333333331</v>
      </c>
      <c r="AH134" s="1">
        <f t="shared" si="31"/>
        <v>85.628540168094247</v>
      </c>
      <c r="AI134" s="1">
        <f t="shared" si="32"/>
        <v>14.371459831905753</v>
      </c>
      <c r="AJ134" s="1">
        <f t="shared" si="33"/>
        <v>0.71857299159528765</v>
      </c>
      <c r="AK134" s="8">
        <v>4.210000000000047E-2</v>
      </c>
      <c r="AL134" s="9">
        <v>87.522228808535743</v>
      </c>
      <c r="AM134" s="10">
        <v>4.3761114404267873</v>
      </c>
      <c r="AN134" s="9">
        <v>43.761114404267872</v>
      </c>
      <c r="AO134" s="11">
        <v>4.3770368217590097</v>
      </c>
      <c r="AP134" s="2">
        <v>5.9500546875000007</v>
      </c>
      <c r="AQ134" s="2">
        <f t="shared" si="34"/>
        <v>0.37782847265625003</v>
      </c>
      <c r="AR134" s="2">
        <v>1.0875485475667457</v>
      </c>
      <c r="AS134" s="2">
        <v>0.15629660266602935</v>
      </c>
      <c r="AT134" s="2">
        <f t="shared" si="35"/>
        <v>1.5629660266602934E-2</v>
      </c>
      <c r="AU134" s="2">
        <f t="shared" si="36"/>
        <v>1.9701252436894308E-2</v>
      </c>
      <c r="AV134" s="2">
        <f t="shared" si="37"/>
        <v>3.2211547734322188E-3</v>
      </c>
      <c r="AW134" s="3">
        <f t="shared" si="38"/>
        <v>16.349999999999998</v>
      </c>
    </row>
    <row r="135" spans="1:49" x14ac:dyDescent="0.2">
      <c r="A135" t="s">
        <v>45</v>
      </c>
      <c r="B135" s="5" t="s">
        <v>46</v>
      </c>
      <c r="C135" s="5" t="s">
        <v>182</v>
      </c>
      <c r="D135" s="5" t="s">
        <v>185</v>
      </c>
      <c r="E135">
        <v>5</v>
      </c>
      <c r="F135" s="6">
        <v>172</v>
      </c>
      <c r="G135" s="3">
        <v>2.6</v>
      </c>
      <c r="H135" s="3">
        <v>2.7</v>
      </c>
      <c r="I135" s="3">
        <v>1.05</v>
      </c>
      <c r="J135" s="3">
        <v>3.6237499999999727</v>
      </c>
      <c r="K135" s="3">
        <v>4.6737499999999841</v>
      </c>
      <c r="L135" s="3">
        <v>4.1487499999999784</v>
      </c>
      <c r="M135" s="1">
        <v>0.19</v>
      </c>
      <c r="N135" s="3">
        <v>163.62374999999997</v>
      </c>
      <c r="O135" s="3">
        <v>164.67374999999998</v>
      </c>
      <c r="P135" s="3">
        <v>164.14874999999998</v>
      </c>
      <c r="Q135" s="3">
        <v>156.12374999999997</v>
      </c>
      <c r="R135" s="3">
        <v>157.17374999999998</v>
      </c>
      <c r="S135" s="3">
        <v>156.6</v>
      </c>
      <c r="T135" s="3">
        <v>156.6</v>
      </c>
      <c r="U135" s="7">
        <f t="shared" si="26"/>
        <v>0.52500000000000568</v>
      </c>
      <c r="V135" s="3">
        <v>2362.46</v>
      </c>
      <c r="W135" s="3">
        <v>2680.8</v>
      </c>
      <c r="X135" s="3">
        <v>2500.84</v>
      </c>
      <c r="Y135" s="3">
        <v>2501.38</v>
      </c>
      <c r="Z135" s="3">
        <f t="shared" si="27"/>
        <v>159.17000000000007</v>
      </c>
      <c r="AA135" s="4">
        <f t="shared" si="28"/>
        <v>0.12621359223301415</v>
      </c>
      <c r="AB135" s="4">
        <f t="shared" si="29"/>
        <v>8.4544635531111408E-3</v>
      </c>
      <c r="AC135">
        <v>1.1476266666666668</v>
      </c>
      <c r="AD135" s="2">
        <v>7.1104000000000003</v>
      </c>
      <c r="AE135" s="2">
        <v>2.0808</v>
      </c>
      <c r="AF135" s="2">
        <f t="shared" si="30"/>
        <v>5.0296000000000003</v>
      </c>
      <c r="AG135" s="2">
        <v>0.93317333333333319</v>
      </c>
      <c r="AH135" s="1">
        <f t="shared" si="31"/>
        <v>84.350011627698962</v>
      </c>
      <c r="AI135" s="1">
        <f t="shared" si="32"/>
        <v>15.649988372301038</v>
      </c>
      <c r="AJ135" s="1">
        <f t="shared" si="33"/>
        <v>0.78249941861505201</v>
      </c>
      <c r="AK135" s="8">
        <v>4.1399999999999437E-2</v>
      </c>
      <c r="AL135" s="9">
        <v>87.608500448967519</v>
      </c>
      <c r="AM135" s="10">
        <v>4.3804250224483763</v>
      </c>
      <c r="AN135" s="9">
        <v>43.804250224483759</v>
      </c>
      <c r="AO135" s="11">
        <v>4.3813494927124745</v>
      </c>
      <c r="AP135" s="2">
        <v>5.7882956250000017</v>
      </c>
      <c r="AQ135" s="2">
        <f t="shared" si="34"/>
        <v>0.3675567721875001</v>
      </c>
      <c r="AR135" s="2">
        <v>1.0301431923379574</v>
      </c>
      <c r="AS135" s="2">
        <v>0.16121728981894096</v>
      </c>
      <c r="AT135" s="2">
        <f t="shared" si="35"/>
        <v>1.6121728981894096E-2</v>
      </c>
      <c r="AU135" s="2">
        <f t="shared" si="36"/>
        <v>2.0347813278119478E-2</v>
      </c>
      <c r="AV135" s="2">
        <f t="shared" si="37"/>
        <v>3.3268674709725347E-3</v>
      </c>
      <c r="AW135" s="3">
        <f t="shared" si="38"/>
        <v>16.350000000000001</v>
      </c>
    </row>
    <row r="136" spans="1:49" x14ac:dyDescent="0.2">
      <c r="A136" t="s">
        <v>45</v>
      </c>
      <c r="B136" s="5" t="s">
        <v>46</v>
      </c>
      <c r="C136" s="5" t="s">
        <v>182</v>
      </c>
      <c r="D136" s="5" t="s">
        <v>186</v>
      </c>
      <c r="E136">
        <v>5</v>
      </c>
      <c r="F136" s="6">
        <v>173</v>
      </c>
      <c r="G136" s="3">
        <v>2.65</v>
      </c>
      <c r="H136" s="3">
        <v>2.5499999999999998</v>
      </c>
      <c r="I136" s="3">
        <v>1.1000000000000001</v>
      </c>
      <c r="J136" s="3">
        <v>4.8649999999999807</v>
      </c>
      <c r="K136" s="3">
        <v>5.964999999999975</v>
      </c>
      <c r="L136" s="3">
        <v>5.4149999999999636</v>
      </c>
      <c r="M136" s="1">
        <v>0.19</v>
      </c>
      <c r="N136" s="3">
        <v>164.86499999999998</v>
      </c>
      <c r="O136" s="3">
        <v>165.96499999999997</v>
      </c>
      <c r="P136" s="3">
        <v>165.41499999999996</v>
      </c>
      <c r="Q136" s="3">
        <v>157.36499999999998</v>
      </c>
      <c r="R136" s="3">
        <v>158.46499999999997</v>
      </c>
      <c r="S136" s="3">
        <v>157.9</v>
      </c>
      <c r="T136" s="3">
        <v>157.9</v>
      </c>
      <c r="U136" s="7">
        <f t="shared" si="26"/>
        <v>0.54999999999999716</v>
      </c>
      <c r="V136" s="3">
        <v>2366.17</v>
      </c>
      <c r="W136" s="3">
        <v>2703.27</v>
      </c>
      <c r="X136" s="3">
        <v>2511.62</v>
      </c>
      <c r="Y136" s="3">
        <v>2511.6799999999998</v>
      </c>
      <c r="Z136" s="3">
        <f t="shared" si="27"/>
        <v>168.54999999999995</v>
      </c>
      <c r="AA136" s="4">
        <f t="shared" si="28"/>
        <v>0.12609117361784578</v>
      </c>
      <c r="AB136" s="4">
        <f t="shared" si="29"/>
        <v>8.9007375835020077E-3</v>
      </c>
      <c r="AC136">
        <v>1.1476266666666668</v>
      </c>
      <c r="AD136" s="2">
        <v>7.8274999999999997</v>
      </c>
      <c r="AE136" s="2">
        <v>2.1322000000000001</v>
      </c>
      <c r="AF136" s="2">
        <f t="shared" si="30"/>
        <v>5.6952999999999996</v>
      </c>
      <c r="AG136" s="2">
        <v>0.9845733333333333</v>
      </c>
      <c r="AH136" s="1">
        <f t="shared" si="31"/>
        <v>85.260598753868592</v>
      </c>
      <c r="AI136" s="1">
        <f t="shared" si="32"/>
        <v>14.739401246131408</v>
      </c>
      <c r="AJ136" s="1">
        <f t="shared" si="33"/>
        <v>0.73697006230657047</v>
      </c>
      <c r="AK136" s="8">
        <v>6.1350000000000016E-2</v>
      </c>
      <c r="AL136" s="9">
        <v>85.997945908935264</v>
      </c>
      <c r="AM136" s="10">
        <v>4.2998972954467636</v>
      </c>
      <c r="AN136" s="9">
        <v>42.998972954467632</v>
      </c>
      <c r="AO136" s="11">
        <v>4.3008390752724512</v>
      </c>
      <c r="AP136" s="2">
        <v>5.8372599999999997</v>
      </c>
      <c r="AQ136" s="2">
        <f t="shared" si="34"/>
        <v>0.36774737999999996</v>
      </c>
      <c r="AR136" s="2">
        <v>1.1443508312690087</v>
      </c>
      <c r="AS136" s="2">
        <v>0.16867046068417946</v>
      </c>
      <c r="AT136" s="2">
        <f t="shared" si="35"/>
        <v>1.6867046068417945E-2</v>
      </c>
      <c r="AU136" s="2">
        <f t="shared" si="36"/>
        <v>2.1267856342330901E-2</v>
      </c>
      <c r="AV136" s="2">
        <f t="shared" si="37"/>
        <v>3.4666605837999367E-3</v>
      </c>
      <c r="AW136" s="3">
        <f t="shared" si="38"/>
        <v>16.299999999999997</v>
      </c>
    </row>
    <row r="137" spans="1:49" x14ac:dyDescent="0.2">
      <c r="A137" t="s">
        <v>45</v>
      </c>
      <c r="B137" s="5" t="s">
        <v>46</v>
      </c>
      <c r="C137" s="5" t="s">
        <v>182</v>
      </c>
      <c r="D137" s="5" t="s">
        <v>187</v>
      </c>
      <c r="E137">
        <v>5</v>
      </c>
      <c r="F137" s="6">
        <v>174</v>
      </c>
      <c r="G137" s="3">
        <v>2.7</v>
      </c>
      <c r="H137" s="3">
        <v>2.85</v>
      </c>
      <c r="I137" s="3">
        <v>1.1000000000000001</v>
      </c>
      <c r="J137" s="3">
        <v>6.1562499999999716</v>
      </c>
      <c r="K137" s="3">
        <v>7.2562499999999659</v>
      </c>
      <c r="L137" s="3">
        <v>6.7062499999999545</v>
      </c>
      <c r="M137" s="1">
        <v>0.19</v>
      </c>
      <c r="N137" s="3">
        <v>166.15624999999997</v>
      </c>
      <c r="O137" s="3">
        <v>167.25624999999997</v>
      </c>
      <c r="P137" s="3">
        <v>166.70624999999995</v>
      </c>
      <c r="Q137" s="3">
        <v>158.65624999999997</v>
      </c>
      <c r="R137" s="3">
        <v>159.75624999999997</v>
      </c>
      <c r="S137" s="3">
        <v>159.19999999999999</v>
      </c>
      <c r="T137" s="3">
        <v>159.19999999999999</v>
      </c>
      <c r="U137" s="7">
        <f t="shared" si="26"/>
        <v>0.54999999999999716</v>
      </c>
      <c r="V137" s="3">
        <v>2370.92</v>
      </c>
      <c r="W137" s="3">
        <v>2721.48</v>
      </c>
      <c r="X137" s="3">
        <v>2522.46</v>
      </c>
      <c r="Y137" s="3">
        <v>2521.9899999999998</v>
      </c>
      <c r="Z137" s="3">
        <f t="shared" si="27"/>
        <v>175.27999999999997</v>
      </c>
      <c r="AA137" s="4">
        <f t="shared" si="28"/>
        <v>0.13457556935817491</v>
      </c>
      <c r="AB137" s="4">
        <f t="shared" si="29"/>
        <v>9.818020677531375E-3</v>
      </c>
      <c r="AC137">
        <v>1.1476266666666668</v>
      </c>
      <c r="AD137" s="2">
        <v>8.0967000000000002</v>
      </c>
      <c r="AE137" s="2">
        <v>2.1663999999999999</v>
      </c>
      <c r="AF137" s="2">
        <f t="shared" si="30"/>
        <v>5.9303000000000008</v>
      </c>
      <c r="AG137" s="2">
        <v>1.0187733333333331</v>
      </c>
      <c r="AH137" s="1">
        <f t="shared" si="31"/>
        <v>85.339436145442903</v>
      </c>
      <c r="AI137" s="1">
        <f t="shared" si="32"/>
        <v>14.660563854557097</v>
      </c>
      <c r="AJ137" s="1">
        <f t="shared" si="33"/>
        <v>0.73302819272785491</v>
      </c>
      <c r="AK137" s="8">
        <v>4.502000000000006E-2</v>
      </c>
      <c r="AL137" s="9">
        <v>86.43649072065557</v>
      </c>
      <c r="AM137" s="10">
        <v>4.3218245360327785</v>
      </c>
      <c r="AN137" s="9">
        <v>43.218245360327785</v>
      </c>
      <c r="AO137" s="11">
        <v>4.3227615386758202</v>
      </c>
      <c r="AP137" s="2">
        <v>6.6494896875000027</v>
      </c>
      <c r="AQ137" s="2">
        <f t="shared" si="34"/>
        <v>0.44219106421875021</v>
      </c>
      <c r="AR137" s="2">
        <v>1.0450536296637172</v>
      </c>
      <c r="AS137" s="2">
        <v>0.15321075469121595</v>
      </c>
      <c r="AT137" s="2">
        <f t="shared" si="35"/>
        <v>1.5321075469121596E-2</v>
      </c>
      <c r="AU137" s="2">
        <f t="shared" si="36"/>
        <v>2.0618424544366055E-2</v>
      </c>
      <c r="AV137" s="2">
        <f t="shared" si="37"/>
        <v>3.4329676866369486E-3</v>
      </c>
      <c r="AW137" s="3">
        <f t="shared" si="38"/>
        <v>16.650000000000002</v>
      </c>
    </row>
    <row r="138" spans="1:49" x14ac:dyDescent="0.2">
      <c r="A138" t="s">
        <v>45</v>
      </c>
      <c r="B138" s="5" t="s">
        <v>46</v>
      </c>
      <c r="C138" s="5" t="s">
        <v>182</v>
      </c>
      <c r="D138" s="5" t="s">
        <v>188</v>
      </c>
      <c r="E138">
        <v>5</v>
      </c>
      <c r="F138" s="6">
        <v>175</v>
      </c>
      <c r="G138" s="3">
        <v>2.75</v>
      </c>
      <c r="H138" s="3">
        <v>2.5</v>
      </c>
      <c r="I138" s="3">
        <v>1.1000000000000001</v>
      </c>
      <c r="J138" s="3">
        <v>7.4474999999999625</v>
      </c>
      <c r="K138" s="3">
        <v>8.5474999999999568</v>
      </c>
      <c r="L138" s="3">
        <v>7.9974999999999454</v>
      </c>
      <c r="M138" s="1">
        <v>0.19</v>
      </c>
      <c r="N138" s="3">
        <v>167.44749999999996</v>
      </c>
      <c r="O138" s="3">
        <v>168.54749999999996</v>
      </c>
      <c r="P138" s="3">
        <v>167.99749999999995</v>
      </c>
      <c r="Q138" s="3">
        <v>159.94749999999996</v>
      </c>
      <c r="R138" s="3">
        <v>161.04749999999996</v>
      </c>
      <c r="S138" s="3">
        <v>160.5</v>
      </c>
      <c r="T138" s="3">
        <v>160.5</v>
      </c>
      <c r="U138" s="7">
        <f t="shared" si="26"/>
        <v>0.54999999999999716</v>
      </c>
      <c r="V138" s="3">
        <v>2377.3200000000002</v>
      </c>
      <c r="W138" s="3">
        <v>2740.2</v>
      </c>
      <c r="X138" s="3">
        <v>2531.98</v>
      </c>
      <c r="Y138" s="3">
        <v>2531.65</v>
      </c>
      <c r="Z138" s="3">
        <f t="shared" si="27"/>
        <v>181.43999999999983</v>
      </c>
      <c r="AA138" s="4">
        <f t="shared" si="28"/>
        <v>0.15063731170335978</v>
      </c>
      <c r="AB138" s="4">
        <f t="shared" si="29"/>
        <v>1.1312179097821666E-2</v>
      </c>
      <c r="AC138">
        <v>1.1476266666666668</v>
      </c>
      <c r="AD138" s="2">
        <v>7.2496999999999998</v>
      </c>
      <c r="AE138" s="2">
        <v>2.0181</v>
      </c>
      <c r="AF138" s="2">
        <f t="shared" si="30"/>
        <v>5.2316000000000003</v>
      </c>
      <c r="AG138" s="2">
        <v>0.87047333333333321</v>
      </c>
      <c r="AH138" s="1">
        <f t="shared" si="31"/>
        <v>85.734793966203839</v>
      </c>
      <c r="AI138" s="1">
        <f t="shared" si="32"/>
        <v>14.265206033796161</v>
      </c>
      <c r="AJ138" s="1">
        <f t="shared" si="33"/>
        <v>0.71326030168980814</v>
      </c>
      <c r="AK138" s="8">
        <v>7.7549999999999564E-2</v>
      </c>
      <c r="AL138" s="9">
        <v>84.284121998176175</v>
      </c>
      <c r="AM138" s="10">
        <v>4.2142060999088091</v>
      </c>
      <c r="AN138" s="9">
        <v>42.142060999088088</v>
      </c>
      <c r="AO138" s="11">
        <v>4.2151670254580207</v>
      </c>
      <c r="AP138" s="2">
        <v>5.9500546875000007</v>
      </c>
      <c r="AQ138" s="2">
        <f t="shared" si="34"/>
        <v>0.37782847265625003</v>
      </c>
      <c r="AR138" s="2">
        <v>1.0255491174144493</v>
      </c>
      <c r="AS138" s="2">
        <v>0.14629669457694933</v>
      </c>
      <c r="AT138" s="2">
        <f t="shared" si="35"/>
        <v>1.4629669457694934E-2</v>
      </c>
      <c r="AU138" s="2">
        <f t="shared" si="36"/>
        <v>2.203774078215914E-2</v>
      </c>
      <c r="AV138" s="2">
        <f t="shared" si="37"/>
        <v>3.6031706178830196E-3</v>
      </c>
      <c r="AW138" s="3">
        <f t="shared" si="38"/>
        <v>16.350000000000001</v>
      </c>
    </row>
    <row r="139" spans="1:49" x14ac:dyDescent="0.2">
      <c r="A139" t="s">
        <v>45</v>
      </c>
      <c r="B139" s="5" t="s">
        <v>46</v>
      </c>
      <c r="C139" s="5" t="s">
        <v>182</v>
      </c>
      <c r="D139" s="5" t="s">
        <v>189</v>
      </c>
      <c r="E139">
        <v>5</v>
      </c>
      <c r="F139" s="6">
        <v>176</v>
      </c>
      <c r="G139" s="3">
        <v>2.5499999999999998</v>
      </c>
      <c r="H139" s="3">
        <v>2.6</v>
      </c>
      <c r="I139" s="3">
        <v>1.05</v>
      </c>
      <c r="J139" s="3">
        <v>8.7387499999999534</v>
      </c>
      <c r="K139" s="3">
        <v>9.7887499999999648</v>
      </c>
      <c r="L139" s="3">
        <v>9.2637499999999591</v>
      </c>
      <c r="M139" s="1">
        <v>0.19</v>
      </c>
      <c r="N139" s="3">
        <v>168.73874999999995</v>
      </c>
      <c r="O139" s="3">
        <v>169.78874999999996</v>
      </c>
      <c r="P139" s="3">
        <v>169.26374999999996</v>
      </c>
      <c r="Q139" s="3">
        <v>161.23874999999995</v>
      </c>
      <c r="R139" s="3">
        <v>162.28874999999996</v>
      </c>
      <c r="S139" s="3">
        <v>161.80000000000001</v>
      </c>
      <c r="T139" s="3">
        <v>161.80000000000001</v>
      </c>
      <c r="U139" s="7">
        <f t="shared" si="26"/>
        <v>0.52500000000000568</v>
      </c>
      <c r="V139" s="3">
        <v>2386.17</v>
      </c>
      <c r="W139" s="3">
        <v>2746.68</v>
      </c>
      <c r="X139" s="3">
        <v>2539.36</v>
      </c>
      <c r="Y139" s="3">
        <v>2540.2800000000002</v>
      </c>
      <c r="Z139" s="3">
        <f t="shared" si="27"/>
        <v>180.25499999999988</v>
      </c>
      <c r="AA139" s="4">
        <f t="shared" si="28"/>
        <v>0.15056461731493334</v>
      </c>
      <c r="AB139" s="4">
        <f t="shared" si="29"/>
        <v>1.117241553025739E-2</v>
      </c>
      <c r="AC139">
        <v>1.1476266666666668</v>
      </c>
      <c r="AD139" s="2">
        <v>7.6177000000000001</v>
      </c>
      <c r="AE139" s="2">
        <v>2.0333000000000001</v>
      </c>
      <c r="AF139" s="2">
        <f t="shared" si="30"/>
        <v>5.5844000000000005</v>
      </c>
      <c r="AG139" s="2">
        <v>0.88567333333333331</v>
      </c>
      <c r="AH139" s="1">
        <f t="shared" si="31"/>
        <v>86.311231918030813</v>
      </c>
      <c r="AI139" s="1">
        <f t="shared" si="32"/>
        <v>13.688768081969187</v>
      </c>
      <c r="AJ139" s="1">
        <f t="shared" si="33"/>
        <v>0.68443840409845935</v>
      </c>
      <c r="AK139" s="8">
        <v>7.2230000000000238E-2</v>
      </c>
      <c r="AL139" s="9">
        <v>78.173631885897208</v>
      </c>
      <c r="AM139" s="10">
        <v>3.9086815942948605</v>
      </c>
      <c r="AN139" s="9">
        <v>39.086815942948604</v>
      </c>
      <c r="AO139" s="11">
        <v>3.9097176119995436</v>
      </c>
      <c r="AP139" s="2">
        <v>5.4652926562500017</v>
      </c>
      <c r="AQ139" s="2">
        <f t="shared" si="34"/>
        <v>0.33884814468750013</v>
      </c>
      <c r="AR139" s="2">
        <v>1.1838475522320446</v>
      </c>
      <c r="AS139" s="2">
        <v>0.16205414586911362</v>
      </c>
      <c r="AT139" s="2">
        <f t="shared" si="35"/>
        <v>1.6205414586911365E-2</v>
      </c>
      <c r="AU139" s="2">
        <f t="shared" si="36"/>
        <v>2.4399620457081477E-2</v>
      </c>
      <c r="AV139" s="2">
        <f t="shared" si="37"/>
        <v>3.9527385140471997E-3</v>
      </c>
      <c r="AW139" s="3">
        <f t="shared" si="38"/>
        <v>16.2</v>
      </c>
    </row>
    <row r="140" spans="1:49" x14ac:dyDescent="0.2">
      <c r="A140" t="s">
        <v>45</v>
      </c>
      <c r="B140" s="5" t="s">
        <v>46</v>
      </c>
      <c r="C140" s="5" t="s">
        <v>182</v>
      </c>
      <c r="D140" s="5" t="s">
        <v>190</v>
      </c>
      <c r="E140">
        <v>5</v>
      </c>
      <c r="F140" s="6">
        <v>177</v>
      </c>
      <c r="G140" s="3">
        <v>2.6</v>
      </c>
      <c r="H140" s="3">
        <v>2.7</v>
      </c>
      <c r="I140" s="3">
        <v>1</v>
      </c>
      <c r="J140" s="3">
        <v>9.9799999999999613</v>
      </c>
      <c r="K140" s="3">
        <v>10.979999999999961</v>
      </c>
      <c r="L140" s="3">
        <v>10.479999999999961</v>
      </c>
      <c r="M140" s="1">
        <v>0.19</v>
      </c>
      <c r="N140" s="3">
        <v>169.97999999999996</v>
      </c>
      <c r="O140" s="3">
        <v>170.97999999999996</v>
      </c>
      <c r="P140" s="3">
        <v>170.47999999999996</v>
      </c>
      <c r="Q140" s="3">
        <v>162.47999999999996</v>
      </c>
      <c r="R140" s="3">
        <v>163.47999999999996</v>
      </c>
      <c r="S140" s="3">
        <v>163</v>
      </c>
      <c r="T140" s="3">
        <v>163</v>
      </c>
      <c r="U140" s="7">
        <f t="shared" si="26"/>
        <v>0.5</v>
      </c>
      <c r="V140" s="3">
        <v>2392.2600000000002</v>
      </c>
      <c r="W140" s="3">
        <v>2759.54</v>
      </c>
      <c r="X140" s="3">
        <v>2546.34</v>
      </c>
      <c r="Y140" s="3">
        <v>2548.25</v>
      </c>
      <c r="Z140" s="3">
        <f t="shared" si="27"/>
        <v>183.63999999999987</v>
      </c>
      <c r="AA140" s="4">
        <f t="shared" si="28"/>
        <v>0.15068493150684478</v>
      </c>
      <c r="AB140" s="4">
        <f t="shared" si="29"/>
        <v>1.1321354814843152E-2</v>
      </c>
      <c r="AC140">
        <v>1.1476266666666668</v>
      </c>
      <c r="AD140" s="2">
        <v>7.2286999999999999</v>
      </c>
      <c r="AE140" s="2">
        <v>1.9981</v>
      </c>
      <c r="AF140" s="2">
        <f t="shared" si="30"/>
        <v>5.2305999999999999</v>
      </c>
      <c r="AG140" s="2">
        <v>0.85047333333333319</v>
      </c>
      <c r="AH140" s="1">
        <f t="shared" si="31"/>
        <v>86.014420699854526</v>
      </c>
      <c r="AI140" s="1">
        <f t="shared" si="32"/>
        <v>13.985579300145474</v>
      </c>
      <c r="AJ140" s="1">
        <f t="shared" si="33"/>
        <v>0.69927896500727371</v>
      </c>
      <c r="AK140" s="8">
        <v>4.685999999999968E-2</v>
      </c>
      <c r="AL140" s="9">
        <v>87.445748271982055</v>
      </c>
      <c r="AM140" s="10">
        <v>4.3722874135991026</v>
      </c>
      <c r="AN140" s="9">
        <v>43.722874135991027</v>
      </c>
      <c r="AO140" s="11">
        <v>4.373213604103638</v>
      </c>
      <c r="AP140" s="2">
        <v>5.512662500000002</v>
      </c>
      <c r="AQ140" s="2">
        <f t="shared" si="34"/>
        <v>0.34729773750000015</v>
      </c>
      <c r="AR140" s="2">
        <v>1.1031100368167526</v>
      </c>
      <c r="AS140" s="2">
        <v>0.15427632896687088</v>
      </c>
      <c r="AT140" s="2">
        <f t="shared" si="35"/>
        <v>1.5427632896687089E-2</v>
      </c>
      <c r="AU140" s="2">
        <f t="shared" si="36"/>
        <v>2.3247118063500393E-2</v>
      </c>
      <c r="AV140" s="2">
        <f t="shared" si="37"/>
        <v>3.7892802443505644E-3</v>
      </c>
      <c r="AW140" s="3">
        <f t="shared" si="38"/>
        <v>16.3</v>
      </c>
    </row>
    <row r="141" spans="1:49" x14ac:dyDescent="0.2">
      <c r="A141" t="s">
        <v>45</v>
      </c>
      <c r="B141" s="5" t="s">
        <v>46</v>
      </c>
      <c r="C141" s="5" t="s">
        <v>182</v>
      </c>
      <c r="D141" s="5" t="s">
        <v>191</v>
      </c>
      <c r="E141">
        <v>5</v>
      </c>
      <c r="F141" s="6">
        <v>178</v>
      </c>
      <c r="G141" s="3">
        <v>2.65</v>
      </c>
      <c r="H141" s="3">
        <v>2.85</v>
      </c>
      <c r="I141" s="3">
        <v>0.95</v>
      </c>
      <c r="J141" s="3">
        <v>11.171249999999958</v>
      </c>
      <c r="K141" s="3">
        <v>12.121249999999947</v>
      </c>
      <c r="L141" s="3">
        <v>11.646249999999952</v>
      </c>
      <c r="M141" s="1">
        <v>0.19</v>
      </c>
      <c r="N141" s="3">
        <v>171.17124999999996</v>
      </c>
      <c r="O141" s="3">
        <v>172.12124999999995</v>
      </c>
      <c r="P141" s="3">
        <v>171.64624999999995</v>
      </c>
      <c r="Q141" s="3">
        <v>163.67124999999996</v>
      </c>
      <c r="R141" s="3">
        <v>164.62124999999995</v>
      </c>
      <c r="S141" s="3">
        <v>164.1</v>
      </c>
      <c r="T141" s="3">
        <v>164.1</v>
      </c>
      <c r="U141" s="7">
        <f t="shared" si="26"/>
        <v>0.47499999999999432</v>
      </c>
      <c r="V141" s="3">
        <v>2397.35</v>
      </c>
      <c r="W141" s="3">
        <v>2771.31</v>
      </c>
      <c r="X141" s="3">
        <v>2553.92</v>
      </c>
      <c r="Y141" s="3">
        <v>2555.5500000000002</v>
      </c>
      <c r="Z141" s="3">
        <f t="shared" si="27"/>
        <v>186.98000000000002</v>
      </c>
      <c r="AA141" s="4">
        <f t="shared" si="28"/>
        <v>0.15075376884422256</v>
      </c>
      <c r="AB141" s="4">
        <f t="shared" si="29"/>
        <v>1.1466455651960269E-2</v>
      </c>
      <c r="AC141">
        <v>1.1476266666666668</v>
      </c>
      <c r="AD141" s="2">
        <v>7.3605999999999998</v>
      </c>
      <c r="AE141" s="2">
        <v>2.0329000000000002</v>
      </c>
      <c r="AF141" s="2">
        <f t="shared" si="30"/>
        <v>5.3277000000000001</v>
      </c>
      <c r="AG141" s="2">
        <v>0.88527333333333336</v>
      </c>
      <c r="AH141" s="1">
        <f t="shared" si="31"/>
        <v>85.751213053116814</v>
      </c>
      <c r="AI141" s="1">
        <f t="shared" si="32"/>
        <v>14.248786946883186</v>
      </c>
      <c r="AJ141" s="1">
        <f t="shared" si="33"/>
        <v>0.71243934734415937</v>
      </c>
      <c r="AK141" s="8">
        <v>4.2510000000000048E-2</v>
      </c>
      <c r="AL141" s="9">
        <v>87.703566573139341</v>
      </c>
      <c r="AM141" s="10">
        <v>4.3851783286569672</v>
      </c>
      <c r="AN141" s="9">
        <v>43.85178328656967</v>
      </c>
      <c r="AO141" s="11">
        <v>4.3861017970542715</v>
      </c>
      <c r="AP141" s="2">
        <v>5.6397343749999989</v>
      </c>
      <c r="AQ141" s="2">
        <f t="shared" si="34"/>
        <v>0.36376286718749995</v>
      </c>
      <c r="AR141" s="2">
        <v>1.1016429002178554</v>
      </c>
      <c r="AS141" s="2">
        <v>0.15697074976750719</v>
      </c>
      <c r="AT141" s="2">
        <f t="shared" si="35"/>
        <v>1.569707497675072E-2</v>
      </c>
      <c r="AU141" s="2">
        <f t="shared" si="36"/>
        <v>2.3663932125755082E-2</v>
      </c>
      <c r="AV141" s="2">
        <f t="shared" si="37"/>
        <v>3.8927168346867113E-3</v>
      </c>
      <c r="AW141" s="3">
        <f t="shared" si="38"/>
        <v>16.45</v>
      </c>
    </row>
    <row r="142" spans="1:49" x14ac:dyDescent="0.2">
      <c r="A142" t="s">
        <v>45</v>
      </c>
      <c r="B142" s="5" t="s">
        <v>46</v>
      </c>
      <c r="C142" s="5" t="s">
        <v>182</v>
      </c>
      <c r="D142" s="5" t="s">
        <v>192</v>
      </c>
      <c r="E142">
        <v>5</v>
      </c>
      <c r="F142" s="6">
        <v>179</v>
      </c>
      <c r="G142" s="3">
        <v>2.5499999999999998</v>
      </c>
      <c r="H142" s="3">
        <v>2.5499999999999998</v>
      </c>
      <c r="I142" s="3">
        <v>1</v>
      </c>
      <c r="J142" s="3">
        <v>12.312499999999943</v>
      </c>
      <c r="K142" s="3">
        <v>13.312499999999943</v>
      </c>
      <c r="L142" s="3">
        <v>12.812499999999943</v>
      </c>
      <c r="M142" s="1">
        <v>0.19</v>
      </c>
      <c r="N142" s="3">
        <v>172.31249999999994</v>
      </c>
      <c r="O142" s="3">
        <v>173.31249999999994</v>
      </c>
      <c r="P142" s="3">
        <v>172.81249999999994</v>
      </c>
      <c r="Q142" s="3">
        <v>164.81249999999994</v>
      </c>
      <c r="R142" s="3">
        <v>165.81249999999994</v>
      </c>
      <c r="S142" s="3">
        <v>165.3</v>
      </c>
      <c r="T142" s="3">
        <v>165.3</v>
      </c>
      <c r="U142" s="7">
        <f t="shared" si="26"/>
        <v>0.5</v>
      </c>
      <c r="V142" s="3">
        <v>2402.14</v>
      </c>
      <c r="W142" s="3">
        <v>2785.05</v>
      </c>
      <c r="X142" s="3">
        <v>2560.4499999999998</v>
      </c>
      <c r="Y142" s="3">
        <v>2563.5100000000002</v>
      </c>
      <c r="Z142" s="3">
        <f t="shared" si="27"/>
        <v>191.45500000000015</v>
      </c>
      <c r="AA142" s="4">
        <f t="shared" si="28"/>
        <v>0.15056461731493334</v>
      </c>
      <c r="AB142" s="4">
        <f t="shared" si="29"/>
        <v>1.170030309021501E-2</v>
      </c>
      <c r="AC142">
        <v>1.1476266666666668</v>
      </c>
      <c r="AD142" s="2">
        <v>6.8513000000000002</v>
      </c>
      <c r="AE142" s="2">
        <v>1.9592000000000001</v>
      </c>
      <c r="AF142" s="2">
        <f t="shared" si="30"/>
        <v>4.8921000000000001</v>
      </c>
      <c r="AG142" s="2">
        <v>0.81157333333333326</v>
      </c>
      <c r="AH142" s="1">
        <f t="shared" si="31"/>
        <v>85.771041118530633</v>
      </c>
      <c r="AI142" s="1">
        <f t="shared" si="32"/>
        <v>14.228958881469367</v>
      </c>
      <c r="AJ142" s="1">
        <f t="shared" si="33"/>
        <v>0.71144794407346845</v>
      </c>
      <c r="AK142" s="8">
        <v>8.3409999999999762E-2</v>
      </c>
      <c r="AL142" s="9">
        <v>82.362394535958259</v>
      </c>
      <c r="AM142" s="10">
        <v>4.1181197267979135</v>
      </c>
      <c r="AN142" s="9">
        <v>41.18119726797913</v>
      </c>
      <c r="AO142" s="11">
        <v>4.1191030679314302</v>
      </c>
      <c r="AP142" s="2">
        <v>5.1044624999999995</v>
      </c>
      <c r="AQ142" s="2">
        <f t="shared" si="34"/>
        <v>0.31137221249999997</v>
      </c>
      <c r="AR142" s="2">
        <v>1.1173896043576252</v>
      </c>
      <c r="AS142" s="2">
        <v>0.15899290734985971</v>
      </c>
      <c r="AT142" s="2">
        <f t="shared" si="35"/>
        <v>1.5899290734985971E-2</v>
      </c>
      <c r="AU142" s="2">
        <f t="shared" si="36"/>
        <v>2.3938706250920282E-2</v>
      </c>
      <c r="AV142" s="2">
        <f t="shared" si="37"/>
        <v>3.8541317063981654E-3</v>
      </c>
      <c r="AW142" s="3">
        <f t="shared" si="38"/>
        <v>16.100000000000001</v>
      </c>
    </row>
    <row r="143" spans="1:49" x14ac:dyDescent="0.2">
      <c r="A143" t="s">
        <v>45</v>
      </c>
      <c r="B143" s="5" t="s">
        <v>46</v>
      </c>
      <c r="C143" s="5" t="s">
        <v>182</v>
      </c>
      <c r="D143" s="5" t="s">
        <v>193</v>
      </c>
      <c r="E143">
        <v>5</v>
      </c>
      <c r="F143" s="6">
        <v>180</v>
      </c>
      <c r="G143" s="3">
        <v>2.65</v>
      </c>
      <c r="H143" s="3">
        <v>2.65</v>
      </c>
      <c r="I143" s="3">
        <v>0.95</v>
      </c>
      <c r="J143" s="3">
        <v>13.50374999999994</v>
      </c>
      <c r="K143" s="3">
        <v>14.453749999999928</v>
      </c>
      <c r="L143" s="3">
        <v>13.978749999999934</v>
      </c>
      <c r="M143" s="1">
        <v>0.19</v>
      </c>
      <c r="N143" s="3">
        <v>173.50374999999994</v>
      </c>
      <c r="O143" s="3">
        <v>174.45374999999993</v>
      </c>
      <c r="P143" s="3">
        <v>173.97874999999993</v>
      </c>
      <c r="Q143" s="3">
        <v>166.00374999999994</v>
      </c>
      <c r="R143" s="3">
        <v>166.95374999999993</v>
      </c>
      <c r="S143" s="3">
        <v>166.5</v>
      </c>
      <c r="T143" s="3">
        <v>166.5</v>
      </c>
      <c r="U143" s="7">
        <f t="shared" si="26"/>
        <v>0.47499999999999432</v>
      </c>
      <c r="V143" s="3">
        <v>2407.71</v>
      </c>
      <c r="W143" s="3">
        <v>2803.46</v>
      </c>
      <c r="X143" s="3">
        <v>2568.2199999999998</v>
      </c>
      <c r="Y143" s="3">
        <v>2571.48</v>
      </c>
      <c r="Z143" s="3">
        <f t="shared" si="27"/>
        <v>197.875</v>
      </c>
      <c r="AA143" s="4">
        <f t="shared" si="28"/>
        <v>0.15068493150684478</v>
      </c>
      <c r="AB143" s="4">
        <f t="shared" si="29"/>
        <v>1.2025064797152823E-2</v>
      </c>
      <c r="AC143">
        <v>1.1476266666666668</v>
      </c>
      <c r="AD143" s="2">
        <v>6.8231000000000002</v>
      </c>
      <c r="AE143" s="2">
        <v>1.9522999999999999</v>
      </c>
      <c r="AF143" s="2">
        <f t="shared" si="30"/>
        <v>4.8708</v>
      </c>
      <c r="AG143" s="2">
        <v>0.80467333333333313</v>
      </c>
      <c r="AH143" s="1">
        <f t="shared" si="31"/>
        <v>85.821916762302365</v>
      </c>
      <c r="AI143" s="1">
        <f t="shared" si="32"/>
        <v>14.178083237697635</v>
      </c>
      <c r="AJ143" s="1">
        <f t="shared" si="33"/>
        <v>0.70890416188488181</v>
      </c>
      <c r="AK143" s="8">
        <v>6.0279999999999667E-2</v>
      </c>
      <c r="AL143" s="9">
        <v>82.587093419608365</v>
      </c>
      <c r="AM143" s="10">
        <v>4.1293546709804181</v>
      </c>
      <c r="AN143" s="9">
        <v>41.293546709804183</v>
      </c>
      <c r="AO143" s="11">
        <v>4.1303353373240528</v>
      </c>
      <c r="AP143" s="2">
        <v>5.2370293749999997</v>
      </c>
      <c r="AQ143" s="2">
        <f t="shared" si="34"/>
        <v>0.32731433593749998</v>
      </c>
      <c r="AR143" s="2">
        <v>1.0837199730874785</v>
      </c>
      <c r="AS143" s="2">
        <v>0.15365071984789722</v>
      </c>
      <c r="AT143" s="2">
        <f t="shared" si="35"/>
        <v>1.5365071984789723E-2</v>
      </c>
      <c r="AU143" s="2">
        <f t="shared" si="36"/>
        <v>2.3152848196257788E-2</v>
      </c>
      <c r="AV143" s="2">
        <f t="shared" si="37"/>
        <v>3.7623378318918906E-3</v>
      </c>
      <c r="AW143" s="3">
        <f t="shared" si="38"/>
        <v>16.25</v>
      </c>
    </row>
    <row r="144" spans="1:49" x14ac:dyDescent="0.2">
      <c r="A144" t="s">
        <v>45</v>
      </c>
      <c r="B144" s="5" t="s">
        <v>46</v>
      </c>
      <c r="C144" s="5" t="s">
        <v>182</v>
      </c>
      <c r="D144" s="5" t="s">
        <v>194</v>
      </c>
      <c r="E144">
        <v>5</v>
      </c>
      <c r="F144" s="6">
        <v>181</v>
      </c>
      <c r="G144" s="3">
        <v>2.7</v>
      </c>
      <c r="H144" s="3">
        <v>2.65</v>
      </c>
      <c r="I144" s="3">
        <v>1</v>
      </c>
      <c r="J144" s="3">
        <v>14.644999999999925</v>
      </c>
      <c r="K144" s="3">
        <v>15.644999999999925</v>
      </c>
      <c r="L144" s="3">
        <v>15.144999999999925</v>
      </c>
      <c r="M144" s="1">
        <v>0.19</v>
      </c>
      <c r="N144" s="3">
        <v>174.64499999999992</v>
      </c>
      <c r="O144" s="3">
        <v>175.64499999999992</v>
      </c>
      <c r="P144" s="3">
        <v>175.14499999999992</v>
      </c>
      <c r="Q144" s="3">
        <v>167.14499999999992</v>
      </c>
      <c r="R144" s="3">
        <v>168.14499999999992</v>
      </c>
      <c r="S144" s="3">
        <v>167.6</v>
      </c>
      <c r="T144" s="3">
        <v>167.6</v>
      </c>
      <c r="U144" s="7">
        <f t="shared" si="26"/>
        <v>0.5</v>
      </c>
      <c r="V144" s="3">
        <v>2411.27</v>
      </c>
      <c r="W144" s="3">
        <v>2816.59</v>
      </c>
      <c r="X144" s="3">
        <v>2574.35</v>
      </c>
      <c r="Y144" s="3">
        <v>2578.7800000000002</v>
      </c>
      <c r="Z144" s="3">
        <f t="shared" si="27"/>
        <v>202.66000000000008</v>
      </c>
      <c r="AA144" s="4">
        <f t="shared" si="28"/>
        <v>0.15063731170336772</v>
      </c>
      <c r="AB144" s="4">
        <f t="shared" si="29"/>
        <v>1.2287612458796129E-2</v>
      </c>
      <c r="AC144">
        <v>1.1476266666666668</v>
      </c>
      <c r="AD144" s="2">
        <v>7.2301000000000002</v>
      </c>
      <c r="AE144" s="2">
        <v>2.0223</v>
      </c>
      <c r="AF144" s="2">
        <f t="shared" si="30"/>
        <v>5.2078000000000007</v>
      </c>
      <c r="AG144" s="2">
        <v>0.87467333333333319</v>
      </c>
      <c r="AH144" s="1">
        <f t="shared" si="31"/>
        <v>85.619775288780559</v>
      </c>
      <c r="AI144" s="1">
        <f t="shared" si="32"/>
        <v>14.380224711219441</v>
      </c>
      <c r="AJ144" s="1">
        <f t="shared" si="33"/>
        <v>0.71901123556097213</v>
      </c>
      <c r="AK144" s="8">
        <v>4.2800000000000615E-2</v>
      </c>
      <c r="AL144" s="9">
        <v>87.265694733710021</v>
      </c>
      <c r="AM144" s="10">
        <v>4.3632847366855012</v>
      </c>
      <c r="AN144" s="9">
        <v>43.63284736685501</v>
      </c>
      <c r="AO144" s="11">
        <v>4.3642128377741463</v>
      </c>
      <c r="AP144" s="2">
        <v>5.6171656249999993</v>
      </c>
      <c r="AQ144" s="2">
        <f t="shared" si="34"/>
        <v>0.35669001718749999</v>
      </c>
      <c r="AR144" s="2">
        <v>1.0828367435459649</v>
      </c>
      <c r="AS144" s="2">
        <v>0.15571435697756078</v>
      </c>
      <c r="AT144" s="2">
        <f t="shared" si="35"/>
        <v>1.5571435697756078E-2</v>
      </c>
      <c r="AU144" s="2">
        <f t="shared" si="36"/>
        <v>2.3456392128718296E-2</v>
      </c>
      <c r="AV144" s="2">
        <f t="shared" si="37"/>
        <v>3.8351201130454415E-3</v>
      </c>
      <c r="AW144" s="3">
        <f t="shared" si="38"/>
        <v>16.350000000000001</v>
      </c>
    </row>
    <row r="145" spans="1:49" x14ac:dyDescent="0.2">
      <c r="A145" t="s">
        <v>45</v>
      </c>
      <c r="B145" s="5" t="s">
        <v>46</v>
      </c>
      <c r="C145" s="5" t="s">
        <v>182</v>
      </c>
      <c r="D145" s="5" t="s">
        <v>195</v>
      </c>
      <c r="E145">
        <v>5</v>
      </c>
      <c r="F145" s="6">
        <v>182</v>
      </c>
      <c r="G145" s="3">
        <v>2.4</v>
      </c>
      <c r="H145" s="3">
        <v>2.6</v>
      </c>
      <c r="I145" s="3">
        <v>1.05</v>
      </c>
      <c r="J145" s="3">
        <v>15.836249999999922</v>
      </c>
      <c r="K145" s="3">
        <v>16.886249999999933</v>
      </c>
      <c r="L145" s="3">
        <v>16.361249999999927</v>
      </c>
      <c r="M145" s="1">
        <v>0.19</v>
      </c>
      <c r="N145" s="3">
        <v>175.83624999999992</v>
      </c>
      <c r="O145" s="3">
        <v>176.88624999999993</v>
      </c>
      <c r="P145" s="3">
        <v>176.36124999999993</v>
      </c>
      <c r="Q145" s="3">
        <v>168.33624999999992</v>
      </c>
      <c r="R145" s="3">
        <v>169.38624999999993</v>
      </c>
      <c r="S145" s="3">
        <v>168.9</v>
      </c>
      <c r="T145" s="3">
        <v>168.9</v>
      </c>
      <c r="U145" s="7">
        <f t="shared" si="26"/>
        <v>0.52500000000000568</v>
      </c>
      <c r="V145" s="3">
        <v>2416.1999999999998</v>
      </c>
      <c r="W145" s="3">
        <v>2839.43</v>
      </c>
      <c r="X145" s="3">
        <v>2582.3000000000002</v>
      </c>
      <c r="Y145" s="3">
        <v>2587.41</v>
      </c>
      <c r="Z145" s="3">
        <f t="shared" si="27"/>
        <v>211.61500000000001</v>
      </c>
      <c r="AA145" s="4">
        <f t="shared" si="28"/>
        <v>0.15075376884421898</v>
      </c>
      <c r="AB145" s="4">
        <f t="shared" si="29"/>
        <v>1.279820619486142E-2</v>
      </c>
      <c r="AC145">
        <v>1.1476266666666668</v>
      </c>
      <c r="AD145" s="2">
        <v>7.4969999999999999</v>
      </c>
      <c r="AE145" s="2">
        <v>1.9884999999999999</v>
      </c>
      <c r="AF145" s="2">
        <f t="shared" si="30"/>
        <v>5.5084999999999997</v>
      </c>
      <c r="AG145" s="2">
        <v>0.84087333333333314</v>
      </c>
      <c r="AH145" s="1">
        <f t="shared" si="31"/>
        <v>86.756593301596169</v>
      </c>
      <c r="AI145" s="1">
        <f t="shared" si="32"/>
        <v>13.243406698403831</v>
      </c>
      <c r="AJ145" s="1">
        <f t="shared" si="33"/>
        <v>0.66217033492019162</v>
      </c>
      <c r="AK145" s="8">
        <v>6.9899999999999629E-2</v>
      </c>
      <c r="AL145" s="9">
        <v>83.156626506024196</v>
      </c>
      <c r="AM145" s="10">
        <v>4.1578313253012098</v>
      </c>
      <c r="AN145" s="9">
        <v>41.578313253012098</v>
      </c>
      <c r="AO145" s="11">
        <v>4.1588052767178239</v>
      </c>
      <c r="AP145" s="2">
        <v>5.1515625000000007</v>
      </c>
      <c r="AQ145" s="2">
        <f t="shared" si="34"/>
        <v>0.31166953125000008</v>
      </c>
      <c r="AR145" s="2">
        <v>1.2325140835102617</v>
      </c>
      <c r="AS145" s="2">
        <v>0.16322685269436857</v>
      </c>
      <c r="AT145" s="2">
        <f t="shared" si="35"/>
        <v>1.6322685269436858E-2</v>
      </c>
      <c r="AU145" s="2">
        <f t="shared" si="36"/>
        <v>2.4607063220256221E-2</v>
      </c>
      <c r="AV145" s="2">
        <f t="shared" si="37"/>
        <v>3.9494336468511235E-3</v>
      </c>
      <c r="AW145" s="3">
        <f t="shared" si="38"/>
        <v>16.05</v>
      </c>
    </row>
    <row r="146" spans="1:49" x14ac:dyDescent="0.2">
      <c r="A146" t="s">
        <v>45</v>
      </c>
      <c r="B146" s="5" t="s">
        <v>46</v>
      </c>
      <c r="C146" s="5" t="s">
        <v>182</v>
      </c>
      <c r="D146" s="5" t="s">
        <v>196</v>
      </c>
      <c r="E146">
        <v>5</v>
      </c>
      <c r="F146" s="6">
        <v>183</v>
      </c>
      <c r="G146" s="3">
        <v>2.8</v>
      </c>
      <c r="H146" s="3">
        <v>2.5499999999999998</v>
      </c>
      <c r="I146" s="3">
        <v>1.05</v>
      </c>
      <c r="J146" s="3">
        <v>17.07749999999993</v>
      </c>
      <c r="K146" s="3">
        <v>18.127499999999941</v>
      </c>
      <c r="L146" s="3">
        <v>17.602499999999935</v>
      </c>
      <c r="M146" s="1">
        <v>0.19</v>
      </c>
      <c r="N146" s="3">
        <v>177.07749999999993</v>
      </c>
      <c r="O146" s="3">
        <v>178.12749999999994</v>
      </c>
      <c r="P146" s="3">
        <v>177.60249999999994</v>
      </c>
      <c r="Q146" s="3">
        <v>169.57749999999993</v>
      </c>
      <c r="R146" s="3">
        <v>170.62749999999994</v>
      </c>
      <c r="S146" s="3">
        <v>170.1</v>
      </c>
      <c r="T146" s="3">
        <v>170.1</v>
      </c>
      <c r="U146" s="7">
        <f t="shared" si="26"/>
        <v>0.52500000000000568</v>
      </c>
      <c r="V146" s="3">
        <v>2420.71</v>
      </c>
      <c r="W146" s="3">
        <v>2853.31</v>
      </c>
      <c r="X146" s="3">
        <v>2588.9899999999998</v>
      </c>
      <c r="Y146" s="3">
        <v>2595.37</v>
      </c>
      <c r="Z146" s="3">
        <f t="shared" si="27"/>
        <v>216.29999999999995</v>
      </c>
      <c r="AA146" s="4">
        <f t="shared" si="28"/>
        <v>0.15267175572519054</v>
      </c>
      <c r="AB146" s="4">
        <f t="shared" si="29"/>
        <v>1.3194982905675659E-2</v>
      </c>
      <c r="AC146">
        <v>1.1476266666666668</v>
      </c>
      <c r="AD146" s="2">
        <v>8.0646000000000004</v>
      </c>
      <c r="AE146" s="2">
        <v>2.1042000000000001</v>
      </c>
      <c r="AF146" s="2">
        <f t="shared" si="30"/>
        <v>5.9603999999999999</v>
      </c>
      <c r="AG146" s="2">
        <v>0.95657333333333328</v>
      </c>
      <c r="AH146" s="1">
        <f t="shared" si="31"/>
        <v>86.170637253673576</v>
      </c>
      <c r="AI146" s="1">
        <f t="shared" si="32"/>
        <v>13.829362746326424</v>
      </c>
      <c r="AJ146" s="1">
        <f t="shared" si="33"/>
        <v>0.69146813731632129</v>
      </c>
      <c r="AK146" s="8">
        <v>5.4999999999999716E-2</v>
      </c>
      <c r="AL146" s="9">
        <v>85.337243401759594</v>
      </c>
      <c r="AM146" s="10">
        <v>4.2668621700879799</v>
      </c>
      <c r="AN146" s="9">
        <v>42.668621700879797</v>
      </c>
      <c r="AO146" s="11">
        <v>4.2678112397958632</v>
      </c>
      <c r="AP146" s="2">
        <v>5.8980239062499997</v>
      </c>
      <c r="AQ146" s="2">
        <f t="shared" si="34"/>
        <v>0.37747352999999989</v>
      </c>
      <c r="AR146" s="2">
        <v>1.1727611558175572</v>
      </c>
      <c r="AS146" s="2">
        <v>0.16218539438602048</v>
      </c>
      <c r="AT146" s="2">
        <f t="shared" si="35"/>
        <v>1.6218539438602048E-2</v>
      </c>
      <c r="AU146" s="2">
        <f t="shared" si="36"/>
        <v>2.4761128913896206E-2</v>
      </c>
      <c r="AV146" s="2">
        <f t="shared" si="37"/>
        <v>4.060825141878977E-3</v>
      </c>
      <c r="AW146" s="3">
        <f t="shared" si="38"/>
        <v>16.399999999999999</v>
      </c>
    </row>
    <row r="147" spans="1:49" x14ac:dyDescent="0.2">
      <c r="A147" t="s">
        <v>45</v>
      </c>
      <c r="B147" s="5" t="s">
        <v>46</v>
      </c>
      <c r="C147" s="5" t="s">
        <v>182</v>
      </c>
      <c r="D147" s="5" t="s">
        <v>197</v>
      </c>
      <c r="E147">
        <v>5</v>
      </c>
      <c r="F147" s="6">
        <v>184</v>
      </c>
      <c r="G147" s="3">
        <v>2.65</v>
      </c>
      <c r="H147" s="3">
        <v>2.5499999999999998</v>
      </c>
      <c r="I147" s="3">
        <v>1</v>
      </c>
      <c r="J147" s="3">
        <v>18.318749999999937</v>
      </c>
      <c r="K147" s="3">
        <v>19.318749999999937</v>
      </c>
      <c r="L147" s="3">
        <v>18.818749999999937</v>
      </c>
      <c r="M147" s="1">
        <v>0.19</v>
      </c>
      <c r="N147" s="3">
        <v>178.31874999999994</v>
      </c>
      <c r="O147" s="3">
        <v>179.31874999999994</v>
      </c>
      <c r="P147" s="3">
        <v>178.81874999999994</v>
      </c>
      <c r="Q147" s="3">
        <v>170.81874999999994</v>
      </c>
      <c r="R147" s="3">
        <v>171.81874999999994</v>
      </c>
      <c r="S147" s="3">
        <v>171.3</v>
      </c>
      <c r="T147" s="3">
        <v>171.3</v>
      </c>
      <c r="U147" s="7">
        <f t="shared" si="26"/>
        <v>0.5</v>
      </c>
      <c r="V147" s="3">
        <v>2434.4499999999998</v>
      </c>
      <c r="W147" s="3">
        <v>2862.73</v>
      </c>
      <c r="X147" s="3">
        <v>2595.25</v>
      </c>
      <c r="Y147" s="3">
        <v>2603.23</v>
      </c>
      <c r="Z147" s="3">
        <f t="shared" si="27"/>
        <v>214.1400000000001</v>
      </c>
      <c r="AA147" s="4">
        <f t="shared" si="28"/>
        <v>0.152477763659467</v>
      </c>
      <c r="AB147" s="4">
        <f t="shared" si="29"/>
        <v>1.2987781883171668E-2</v>
      </c>
      <c r="AC147">
        <v>1.1476266666666668</v>
      </c>
      <c r="AD147" s="2">
        <v>7.3874000000000004</v>
      </c>
      <c r="AE147" s="2">
        <v>2.0135999999999998</v>
      </c>
      <c r="AF147" s="2">
        <f t="shared" si="30"/>
        <v>5.373800000000001</v>
      </c>
      <c r="AG147" s="2">
        <v>0.86597333333333304</v>
      </c>
      <c r="AH147" s="1">
        <f t="shared" si="31"/>
        <v>86.121718096597533</v>
      </c>
      <c r="AI147" s="1">
        <f t="shared" si="32"/>
        <v>13.878281903402467</v>
      </c>
      <c r="AJ147" s="1">
        <f t="shared" si="33"/>
        <v>0.69391409517012337</v>
      </c>
      <c r="AK147" s="8">
        <v>3.6000000000000476E-2</v>
      </c>
      <c r="AL147" s="9">
        <v>88.372093023255687</v>
      </c>
      <c r="AM147" s="10">
        <v>4.4186046511627843</v>
      </c>
      <c r="AN147" s="9">
        <v>44.186046511627843</v>
      </c>
      <c r="AO147" s="11">
        <v>4.4195211350640005</v>
      </c>
      <c r="AP147" s="2">
        <v>5.3065999999999987</v>
      </c>
      <c r="AQ147" s="2">
        <f t="shared" si="34"/>
        <v>0.32900919999999989</v>
      </c>
      <c r="AR147" s="2">
        <v>1.1758514554202946</v>
      </c>
      <c r="AS147" s="2">
        <v>0.16318797974848928</v>
      </c>
      <c r="AT147" s="2">
        <f t="shared" si="35"/>
        <v>1.631879797484893E-2</v>
      </c>
      <c r="AU147" s="2">
        <f t="shared" si="36"/>
        <v>2.4882538208156037E-2</v>
      </c>
      <c r="AV147" s="2">
        <f t="shared" si="37"/>
        <v>4.0309711897212781E-3</v>
      </c>
      <c r="AW147" s="3">
        <f t="shared" si="38"/>
        <v>16.2</v>
      </c>
    </row>
    <row r="148" spans="1:49" x14ac:dyDescent="0.2">
      <c r="A148" t="s">
        <v>45</v>
      </c>
      <c r="B148" s="5" t="s">
        <v>46</v>
      </c>
      <c r="C148" s="5" t="s">
        <v>182</v>
      </c>
      <c r="D148" s="5" t="s">
        <v>198</v>
      </c>
      <c r="E148">
        <v>5</v>
      </c>
      <c r="F148" s="6">
        <v>185</v>
      </c>
      <c r="G148" s="3">
        <v>2.5</v>
      </c>
      <c r="H148" s="3">
        <v>2.5</v>
      </c>
      <c r="I148" s="3">
        <v>1</v>
      </c>
      <c r="J148" s="3">
        <v>19.509999999999934</v>
      </c>
      <c r="K148" s="3">
        <v>20.509999999999934</v>
      </c>
      <c r="L148" s="3">
        <v>20.009999999999934</v>
      </c>
      <c r="M148" s="1">
        <v>0.19</v>
      </c>
      <c r="N148" s="3">
        <v>179.50999999999993</v>
      </c>
      <c r="O148" s="3">
        <v>180.50999999999993</v>
      </c>
      <c r="P148" s="3">
        <v>180.00999999999993</v>
      </c>
      <c r="Q148" s="3">
        <v>172.00999999999993</v>
      </c>
      <c r="R148" s="3">
        <v>173.00999999999993</v>
      </c>
      <c r="S148" s="3">
        <v>172.5</v>
      </c>
      <c r="T148" s="3">
        <v>172.5</v>
      </c>
      <c r="U148" s="7">
        <f t="shared" si="26"/>
        <v>0.5</v>
      </c>
      <c r="V148" s="3">
        <v>2444.85</v>
      </c>
      <c r="W148" s="3">
        <v>2873.72</v>
      </c>
      <c r="X148" s="3">
        <v>2601.92</v>
      </c>
      <c r="Y148" s="3">
        <v>2611.1</v>
      </c>
      <c r="Z148" s="3">
        <f t="shared" si="27"/>
        <v>214.43499999999995</v>
      </c>
      <c r="AA148" s="4">
        <f t="shared" si="28"/>
        <v>0.152477763659467</v>
      </c>
      <c r="AB148" s="4">
        <f t="shared" si="29"/>
        <v>1.2964108169249425E-2</v>
      </c>
      <c r="AC148">
        <v>1.1476266666666668</v>
      </c>
      <c r="AD148" s="2">
        <v>6.5875000000000004</v>
      </c>
      <c r="AE148" s="2">
        <v>1.9091</v>
      </c>
      <c r="AF148" s="2">
        <f t="shared" si="30"/>
        <v>4.6783999999999999</v>
      </c>
      <c r="AG148" s="2">
        <v>0.76147333333333322</v>
      </c>
      <c r="AH148" s="1">
        <f t="shared" si="31"/>
        <v>86.00200249760718</v>
      </c>
      <c r="AI148" s="1">
        <f t="shared" si="32"/>
        <v>13.99799750239282</v>
      </c>
      <c r="AJ148" s="1">
        <f t="shared" si="33"/>
        <v>0.69989987511964102</v>
      </c>
      <c r="AK148" s="8">
        <v>5.6899999999999729E-2</v>
      </c>
      <c r="AL148" s="9">
        <v>84.749396944518978</v>
      </c>
      <c r="AM148" s="10">
        <v>4.2374698472259489</v>
      </c>
      <c r="AN148" s="9">
        <v>42.374698472259489</v>
      </c>
      <c r="AO148" s="11">
        <v>4.2384254984780734</v>
      </c>
      <c r="AP148" s="2">
        <v>4.90625</v>
      </c>
      <c r="AQ148" s="2">
        <f t="shared" si="34"/>
        <v>0.294375</v>
      </c>
      <c r="AR148" s="2">
        <v>1.108763991507431</v>
      </c>
      <c r="AS148" s="2">
        <v>0.15520475583864116</v>
      </c>
      <c r="AT148" s="2">
        <f t="shared" si="35"/>
        <v>1.5520475583864116E-2</v>
      </c>
      <c r="AU148" s="2">
        <f t="shared" si="36"/>
        <v>2.3665274079589606E-2</v>
      </c>
      <c r="AV148" s="2">
        <f t="shared" si="37"/>
        <v>3.7864438527343371E-3</v>
      </c>
      <c r="AW148" s="3">
        <f t="shared" si="38"/>
        <v>16</v>
      </c>
    </row>
    <row r="149" spans="1:49" x14ac:dyDescent="0.2">
      <c r="A149" t="s">
        <v>45</v>
      </c>
      <c r="B149" s="5" t="s">
        <v>46</v>
      </c>
      <c r="C149" s="5" t="s">
        <v>182</v>
      </c>
      <c r="D149" s="5" t="s">
        <v>199</v>
      </c>
      <c r="E149">
        <v>5</v>
      </c>
      <c r="F149" s="6">
        <v>186</v>
      </c>
      <c r="G149" s="3">
        <v>2.5499999999999998</v>
      </c>
      <c r="H149" s="3">
        <v>2.7</v>
      </c>
      <c r="I149" s="3">
        <v>0.9</v>
      </c>
      <c r="J149" s="3">
        <v>20.701249999999931</v>
      </c>
      <c r="K149" s="3">
        <v>21.601249999999936</v>
      </c>
      <c r="L149" s="3">
        <v>21.151249999999948</v>
      </c>
      <c r="M149" s="1">
        <v>0.19</v>
      </c>
      <c r="N149" s="3">
        <v>180.70124999999993</v>
      </c>
      <c r="O149" s="3">
        <v>181.60124999999994</v>
      </c>
      <c r="P149" s="3">
        <v>181.15124999999995</v>
      </c>
      <c r="Q149" s="3">
        <v>173.20124999999993</v>
      </c>
      <c r="R149" s="3">
        <v>174.10124999999994</v>
      </c>
      <c r="S149" s="3">
        <v>173.7</v>
      </c>
      <c r="T149" s="3">
        <v>173.7</v>
      </c>
      <c r="U149" s="7">
        <f t="shared" si="26"/>
        <v>0.45000000000000284</v>
      </c>
      <c r="V149" s="3">
        <v>2448.94</v>
      </c>
      <c r="W149" s="3">
        <v>2887.59</v>
      </c>
      <c r="X149" s="3">
        <v>2608.59</v>
      </c>
      <c r="Y149" s="3">
        <v>2618.9699999999998</v>
      </c>
      <c r="Z149" s="3">
        <f t="shared" si="27"/>
        <v>219.32500000000005</v>
      </c>
      <c r="AA149" s="4">
        <f t="shared" si="28"/>
        <v>0.1525658807212229</v>
      </c>
      <c r="AB149" s="4">
        <f t="shared" si="29"/>
        <v>1.3171840639617828E-2</v>
      </c>
      <c r="AC149">
        <v>1.1476266666666668</v>
      </c>
      <c r="AD149" s="2">
        <v>7.0126999999999997</v>
      </c>
      <c r="AE149" s="2">
        <v>1.94</v>
      </c>
      <c r="AF149" s="2">
        <f t="shared" si="30"/>
        <v>5.0726999999999993</v>
      </c>
      <c r="AG149" s="2">
        <v>0.79237333333333315</v>
      </c>
      <c r="AH149" s="1">
        <f t="shared" si="31"/>
        <v>86.489967161535915</v>
      </c>
      <c r="AI149" s="1">
        <f t="shared" si="32"/>
        <v>13.510032838464085</v>
      </c>
      <c r="AJ149" s="1">
        <f t="shared" si="33"/>
        <v>0.67550164192320428</v>
      </c>
      <c r="AK149" s="8">
        <v>3.9499999999999424E-2</v>
      </c>
      <c r="AL149" s="9">
        <v>87.278582930756997</v>
      </c>
      <c r="AM149" s="10">
        <v>4.36392914653785</v>
      </c>
      <c r="AN149" s="9">
        <v>43.639291465378498</v>
      </c>
      <c r="AO149" s="11">
        <v>4.3648571106054055</v>
      </c>
      <c r="AP149" s="2">
        <v>4.8682265624999994</v>
      </c>
      <c r="AQ149" s="2">
        <f t="shared" si="34"/>
        <v>0.29939593359375</v>
      </c>
      <c r="AR149" s="2">
        <v>1.2047658953492542</v>
      </c>
      <c r="AS149" s="2">
        <v>0.16276426808830002</v>
      </c>
      <c r="AT149" s="2">
        <f t="shared" si="35"/>
        <v>1.6276426808830003E-2</v>
      </c>
      <c r="AU149" s="2">
        <f t="shared" si="36"/>
        <v>2.4832273910836727E-2</v>
      </c>
      <c r="AV149" s="2">
        <f t="shared" si="37"/>
        <v>4.0104122366001315E-3</v>
      </c>
      <c r="AW149" s="3">
        <f t="shared" si="38"/>
        <v>16.150000000000002</v>
      </c>
    </row>
    <row r="150" spans="1:49" x14ac:dyDescent="0.2">
      <c r="A150" t="s">
        <v>45</v>
      </c>
      <c r="B150" s="5" t="s">
        <v>46</v>
      </c>
      <c r="C150" s="5" t="s">
        <v>182</v>
      </c>
      <c r="D150" s="5" t="s">
        <v>200</v>
      </c>
      <c r="E150">
        <v>5</v>
      </c>
      <c r="F150" s="6">
        <v>187</v>
      </c>
      <c r="G150" s="3">
        <v>2.5</v>
      </c>
      <c r="H150" s="3">
        <v>2.7</v>
      </c>
      <c r="I150" s="3">
        <v>1.05</v>
      </c>
      <c r="J150" s="3">
        <v>21.792499999999933</v>
      </c>
      <c r="K150" s="3">
        <v>22.842499999999944</v>
      </c>
      <c r="L150" s="3">
        <v>22.317499999999939</v>
      </c>
      <c r="M150" s="1">
        <v>0.19</v>
      </c>
      <c r="N150" s="3">
        <v>181.79249999999993</v>
      </c>
      <c r="O150" s="3">
        <v>182.84249999999994</v>
      </c>
      <c r="P150" s="3">
        <v>182.31749999999994</v>
      </c>
      <c r="Q150" s="3">
        <v>174.29249999999993</v>
      </c>
      <c r="R150" s="3">
        <v>175.34249999999994</v>
      </c>
      <c r="S150" s="3">
        <v>174.8</v>
      </c>
      <c r="T150" s="3">
        <v>174.8</v>
      </c>
      <c r="U150" s="7">
        <f t="shared" si="26"/>
        <v>0.52500000000000568</v>
      </c>
      <c r="V150" s="3">
        <v>2451.3000000000002</v>
      </c>
      <c r="W150" s="3">
        <v>2902.37</v>
      </c>
      <c r="X150" s="3">
        <v>2615.19</v>
      </c>
      <c r="Y150" s="3">
        <v>2626.18</v>
      </c>
      <c r="Z150" s="3">
        <f t="shared" si="27"/>
        <v>225.53499999999985</v>
      </c>
      <c r="AA150" s="4">
        <f t="shared" si="28"/>
        <v>0.1524777636594582</v>
      </c>
      <c r="AB150" s="4">
        <f t="shared" si="29"/>
        <v>1.3552669304706782E-2</v>
      </c>
      <c r="AC150">
        <v>1.1476266666666668</v>
      </c>
      <c r="AD150" s="2">
        <v>7.3426</v>
      </c>
      <c r="AE150" s="2">
        <v>2.0158</v>
      </c>
      <c r="AF150" s="2">
        <f t="shared" si="30"/>
        <v>5.3268000000000004</v>
      </c>
      <c r="AG150" s="2">
        <v>0.86817333333333324</v>
      </c>
      <c r="AH150" s="1">
        <f t="shared" si="31"/>
        <v>85.985842285035403</v>
      </c>
      <c r="AI150" s="1">
        <f t="shared" si="32"/>
        <v>14.014157714964597</v>
      </c>
      <c r="AJ150" s="1">
        <f t="shared" si="33"/>
        <v>0.70070788574822984</v>
      </c>
      <c r="AK150" s="8">
        <v>0.1025999999999998</v>
      </c>
      <c r="AL150" s="9">
        <v>75.988766674467627</v>
      </c>
      <c r="AM150" s="10">
        <v>3.7994383337233817</v>
      </c>
      <c r="AN150" s="9">
        <v>37.994383337233813</v>
      </c>
      <c r="AO150" s="11">
        <v>3.8005041312655754</v>
      </c>
      <c r="AP150" s="2">
        <v>5.5719300000000018</v>
      </c>
      <c r="AQ150" s="2">
        <f t="shared" si="34"/>
        <v>0.34824562500000011</v>
      </c>
      <c r="AR150" s="2">
        <v>1.111818226957864</v>
      </c>
      <c r="AS150" s="2">
        <v>0.15581195982959817</v>
      </c>
      <c r="AT150" s="2">
        <f t="shared" si="35"/>
        <v>1.5581195982959817E-2</v>
      </c>
      <c r="AU150" s="2">
        <f t="shared" si="36"/>
        <v>2.3757859186214463E-2</v>
      </c>
      <c r="AV150" s="2">
        <f t="shared" si="37"/>
        <v>3.8606521177598505E-3</v>
      </c>
      <c r="AW150" s="3">
        <f t="shared" si="38"/>
        <v>16.25</v>
      </c>
    </row>
    <row r="151" spans="1:49" x14ac:dyDescent="0.2">
      <c r="A151" t="s">
        <v>45</v>
      </c>
      <c r="B151" s="5" t="s">
        <v>46</v>
      </c>
      <c r="C151" s="5" t="s">
        <v>182</v>
      </c>
      <c r="D151" s="5" t="s">
        <v>201</v>
      </c>
      <c r="E151">
        <v>5</v>
      </c>
      <c r="F151" s="6">
        <v>188</v>
      </c>
      <c r="G151" s="3">
        <v>2.5</v>
      </c>
      <c r="H151" s="3">
        <v>2.7</v>
      </c>
      <c r="I151" s="3">
        <v>1</v>
      </c>
      <c r="J151" s="3">
        <v>23.033749999999941</v>
      </c>
      <c r="K151" s="3">
        <v>24.033749999999941</v>
      </c>
      <c r="L151" s="3">
        <v>23.533749999999941</v>
      </c>
      <c r="M151" s="1">
        <v>0.19</v>
      </c>
      <c r="N151" s="3">
        <v>183.03374999999994</v>
      </c>
      <c r="O151" s="3">
        <v>184.03374999999994</v>
      </c>
      <c r="P151" s="3">
        <v>183.53374999999994</v>
      </c>
      <c r="Q151" s="3">
        <v>175.53374999999994</v>
      </c>
      <c r="R151" s="3">
        <v>176.53374999999994</v>
      </c>
      <c r="S151" s="3">
        <v>176</v>
      </c>
      <c r="T151" s="3">
        <v>176</v>
      </c>
      <c r="U151" s="7">
        <f t="shared" si="26"/>
        <v>0.5</v>
      </c>
      <c r="V151" s="3">
        <v>2459.02</v>
      </c>
      <c r="W151" s="3">
        <v>2918.17</v>
      </c>
      <c r="X151" s="3">
        <v>2621.69</v>
      </c>
      <c r="Y151" s="3">
        <v>2634.05</v>
      </c>
      <c r="Z151" s="3">
        <f t="shared" si="27"/>
        <v>229.57500000000005</v>
      </c>
      <c r="AA151" s="4">
        <f t="shared" si="28"/>
        <v>0.15267175572519576</v>
      </c>
      <c r="AB151" s="4">
        <f t="shared" si="29"/>
        <v>1.3740086868285392E-2</v>
      </c>
      <c r="AC151">
        <v>1.1476266666666668</v>
      </c>
      <c r="AD151" s="2">
        <v>7.5381</v>
      </c>
      <c r="AE151" s="2">
        <v>2.0680999999999998</v>
      </c>
      <c r="AF151" s="2">
        <f t="shared" si="30"/>
        <v>5.4700000000000006</v>
      </c>
      <c r="AG151" s="2">
        <v>0.92047333333333303</v>
      </c>
      <c r="AH151" s="1">
        <f t="shared" si="31"/>
        <v>85.596163455810796</v>
      </c>
      <c r="AI151" s="1">
        <f t="shared" si="32"/>
        <v>14.403836544189204</v>
      </c>
      <c r="AJ151" s="1">
        <f t="shared" si="33"/>
        <v>0.72019182720946029</v>
      </c>
      <c r="AK151" s="8">
        <v>8.0799999999999983E-2</v>
      </c>
      <c r="AL151" s="9">
        <v>79.366700715015355</v>
      </c>
      <c r="AM151" s="10">
        <v>3.9683350357507678</v>
      </c>
      <c r="AN151" s="9">
        <v>39.683350357507678</v>
      </c>
      <c r="AO151" s="11">
        <v>3.9693554836984619</v>
      </c>
      <c r="AP151" s="2">
        <v>5.3066000000000013</v>
      </c>
      <c r="AQ151" s="2">
        <f t="shared" si="34"/>
        <v>0.32900920000000011</v>
      </c>
      <c r="AR151" s="2">
        <v>1.2042500533926304</v>
      </c>
      <c r="AS151" s="2">
        <v>0.17345820927398575</v>
      </c>
      <c r="AT151" s="2">
        <f t="shared" si="35"/>
        <v>1.7345820927398576E-2</v>
      </c>
      <c r="AU151" s="2">
        <f t="shared" si="36"/>
        <v>2.6482169354807839E-2</v>
      </c>
      <c r="AV151" s="2">
        <f t="shared" si="37"/>
        <v>4.2901114354788701E-3</v>
      </c>
      <c r="AW151" s="3">
        <f t="shared" si="38"/>
        <v>16.2</v>
      </c>
    </row>
    <row r="152" spans="1:49" x14ac:dyDescent="0.2">
      <c r="A152" t="s">
        <v>45</v>
      </c>
      <c r="B152" s="5" t="s">
        <v>46</v>
      </c>
      <c r="C152" s="5" t="s">
        <v>182</v>
      </c>
      <c r="D152" s="5" t="s">
        <v>202</v>
      </c>
      <c r="E152">
        <v>5</v>
      </c>
      <c r="F152" s="6">
        <v>189</v>
      </c>
      <c r="G152" s="3">
        <v>2.5</v>
      </c>
      <c r="H152" s="3">
        <v>2.65</v>
      </c>
      <c r="I152" s="3">
        <v>1</v>
      </c>
      <c r="J152" s="3">
        <v>24.224999999999937</v>
      </c>
      <c r="K152" s="3">
        <v>25.224999999999937</v>
      </c>
      <c r="L152" s="3">
        <v>24.724999999999937</v>
      </c>
      <c r="M152" s="1">
        <v>0.19</v>
      </c>
      <c r="N152" s="3">
        <v>184.22499999999994</v>
      </c>
      <c r="O152" s="3">
        <v>185.22499999999994</v>
      </c>
      <c r="P152" s="3">
        <v>184.72499999999994</v>
      </c>
      <c r="Q152" s="3">
        <v>176.72499999999994</v>
      </c>
      <c r="R152" s="3">
        <v>177.72499999999994</v>
      </c>
      <c r="S152" s="3">
        <v>177.2</v>
      </c>
      <c r="T152" s="3">
        <v>177.2</v>
      </c>
      <c r="U152" s="7">
        <f t="shared" si="26"/>
        <v>0.5</v>
      </c>
      <c r="V152" s="3">
        <v>2461.4</v>
      </c>
      <c r="W152" s="3">
        <v>2933.32</v>
      </c>
      <c r="X152" s="3">
        <v>2629.17</v>
      </c>
      <c r="Y152" s="3">
        <v>2641.91</v>
      </c>
      <c r="Z152" s="3">
        <f t="shared" si="27"/>
        <v>235.96000000000004</v>
      </c>
      <c r="AA152" s="4">
        <f t="shared" si="28"/>
        <v>0.15247776365946181</v>
      </c>
      <c r="AB152" s="4">
        <f t="shared" si="29"/>
        <v>1.4048666967006584E-2</v>
      </c>
      <c r="AC152">
        <v>1.1476266666666668</v>
      </c>
      <c r="AD152" s="2">
        <v>7.0364000000000004</v>
      </c>
      <c r="AE152" s="2">
        <v>2.0384000000000002</v>
      </c>
      <c r="AF152" s="2">
        <f t="shared" si="30"/>
        <v>4.9980000000000002</v>
      </c>
      <c r="AG152" s="2">
        <v>0.89077333333333342</v>
      </c>
      <c r="AH152" s="1">
        <f t="shared" si="31"/>
        <v>84.873363552794231</v>
      </c>
      <c r="AI152" s="1">
        <f t="shared" si="32"/>
        <v>15.126636447205769</v>
      </c>
      <c r="AJ152" s="1">
        <f t="shared" si="33"/>
        <v>0.75633182236028851</v>
      </c>
      <c r="AK152" s="8">
        <v>9.9900000000000766E-2</v>
      </c>
      <c r="AL152" s="9">
        <v>76.174576675411259</v>
      </c>
      <c r="AM152" s="10">
        <v>3.8087288337705631</v>
      </c>
      <c r="AN152" s="9">
        <v>38.08728833770563</v>
      </c>
      <c r="AO152" s="11">
        <v>3.8097920322762073</v>
      </c>
      <c r="AP152" s="2">
        <v>5.2050406250000014</v>
      </c>
      <c r="AQ152" s="2">
        <f t="shared" si="34"/>
        <v>0.3201099984375001</v>
      </c>
      <c r="AR152" s="2">
        <v>1.1313597256185359</v>
      </c>
      <c r="AS152" s="2">
        <v>0.17113667260442048</v>
      </c>
      <c r="AT152" s="2">
        <f t="shared" si="35"/>
        <v>1.7113667260442049E-2</v>
      </c>
      <c r="AU152" s="2">
        <f t="shared" si="36"/>
        <v>2.6094537118843516E-2</v>
      </c>
      <c r="AV152" s="2">
        <f t="shared" si="37"/>
        <v>4.2142677446932279E-3</v>
      </c>
      <c r="AW152" s="3">
        <f t="shared" si="38"/>
        <v>16.150000000000002</v>
      </c>
    </row>
    <row r="153" spans="1:49" x14ac:dyDescent="0.2">
      <c r="A153" t="s">
        <v>45</v>
      </c>
      <c r="B153" s="5" t="s">
        <v>46</v>
      </c>
      <c r="C153" s="5" t="s">
        <v>182</v>
      </c>
      <c r="D153" s="5" t="s">
        <v>203</v>
      </c>
      <c r="E153">
        <v>5</v>
      </c>
      <c r="F153" s="6">
        <v>190</v>
      </c>
      <c r="G153" s="3">
        <v>2.5</v>
      </c>
      <c r="H153" s="3">
        <v>2.65</v>
      </c>
      <c r="I153" s="3">
        <v>1</v>
      </c>
      <c r="J153" s="3">
        <v>25.416249999999934</v>
      </c>
      <c r="K153" s="3">
        <v>26.416249999999934</v>
      </c>
      <c r="L153" s="3">
        <v>25.916249999999934</v>
      </c>
      <c r="M153" s="1">
        <v>0.19</v>
      </c>
      <c r="N153" s="3">
        <v>185.41624999999993</v>
      </c>
      <c r="O153" s="3">
        <v>186.41624999999993</v>
      </c>
      <c r="P153" s="3">
        <v>185.91624999999993</v>
      </c>
      <c r="Q153" s="3">
        <v>177.91624999999993</v>
      </c>
      <c r="R153" s="3">
        <v>178.91624999999993</v>
      </c>
      <c r="S153" s="3">
        <v>178.4</v>
      </c>
      <c r="T153" s="3">
        <v>178.4</v>
      </c>
      <c r="U153" s="7">
        <f t="shared" si="26"/>
        <v>0.5</v>
      </c>
      <c r="V153" s="3">
        <v>2464.11</v>
      </c>
      <c r="W153" s="3">
        <v>2952.67</v>
      </c>
      <c r="X153" s="3">
        <v>2636.76</v>
      </c>
      <c r="Y153" s="3">
        <v>2649.78</v>
      </c>
      <c r="Z153" s="3">
        <f t="shared" si="27"/>
        <v>244.27999999999997</v>
      </c>
      <c r="AA153" s="4">
        <f t="shared" si="28"/>
        <v>0.152477763659467</v>
      </c>
      <c r="AB153" s="4">
        <f t="shared" si="29"/>
        <v>1.4484087837413668E-2</v>
      </c>
      <c r="AC153">
        <v>1.1476266666666668</v>
      </c>
      <c r="AD153" s="2">
        <v>7.1521999999999997</v>
      </c>
      <c r="AE153" s="2">
        <v>2.2088999999999999</v>
      </c>
      <c r="AF153" s="2">
        <f t="shared" si="30"/>
        <v>4.9432999999999998</v>
      </c>
      <c r="AG153" s="2">
        <v>1.0612733333333331</v>
      </c>
      <c r="AH153" s="1">
        <f t="shared" si="31"/>
        <v>82.325582944555592</v>
      </c>
      <c r="AI153" s="1">
        <f t="shared" si="32"/>
        <v>17.674417055444408</v>
      </c>
      <c r="AJ153" s="1">
        <f t="shared" si="33"/>
        <v>0.88372085277222046</v>
      </c>
      <c r="AK153" s="8">
        <v>0.27850000000000019</v>
      </c>
      <c r="AL153" s="9">
        <v>44.333399960023968</v>
      </c>
      <c r="AM153" s="10">
        <v>2.2166699980011986</v>
      </c>
      <c r="AN153" s="9">
        <v>22.166699980011984</v>
      </c>
      <c r="AO153" s="11">
        <v>2.2184963105758442</v>
      </c>
      <c r="AP153" s="2">
        <v>5.2050406250000014</v>
      </c>
      <c r="AQ153" s="2">
        <f t="shared" si="34"/>
        <v>0.3201099984375001</v>
      </c>
      <c r="AR153" s="2">
        <v>1.1536073905923321</v>
      </c>
      <c r="AS153" s="2">
        <v>0.20389338139571828</v>
      </c>
      <c r="AT153" s="2">
        <f t="shared" si="35"/>
        <v>2.038933813957183E-2</v>
      </c>
      <c r="AU153" s="2">
        <f t="shared" si="36"/>
        <v>3.1089206820185896E-2</v>
      </c>
      <c r="AV153" s="2">
        <f t="shared" si="37"/>
        <v>5.0209069014600224E-3</v>
      </c>
      <c r="AW153" s="3">
        <f t="shared" si="38"/>
        <v>16.150000000000002</v>
      </c>
    </row>
    <row r="154" spans="1:49" x14ac:dyDescent="0.2">
      <c r="A154" t="s">
        <v>45</v>
      </c>
      <c r="B154" s="5" t="s">
        <v>46</v>
      </c>
      <c r="C154" s="5" t="s">
        <v>182</v>
      </c>
      <c r="D154" s="5" t="s">
        <v>204</v>
      </c>
      <c r="E154">
        <v>5</v>
      </c>
      <c r="F154" s="6">
        <v>191</v>
      </c>
      <c r="G154" s="3">
        <v>2.1</v>
      </c>
      <c r="H154" s="3">
        <v>2.5</v>
      </c>
      <c r="I154" s="3">
        <v>1</v>
      </c>
      <c r="J154" s="3">
        <v>26.607499999999931</v>
      </c>
      <c r="K154" s="3">
        <v>27.607499999999931</v>
      </c>
      <c r="L154" s="3">
        <v>27.107499999999931</v>
      </c>
      <c r="M154" s="1">
        <v>0.19</v>
      </c>
      <c r="N154" s="3">
        <v>186.60749999999993</v>
      </c>
      <c r="O154" s="3">
        <v>187.60749999999993</v>
      </c>
      <c r="P154" s="3">
        <v>187.10749999999993</v>
      </c>
      <c r="Q154" s="3">
        <v>179.10749999999993</v>
      </c>
      <c r="R154" s="3">
        <v>180.10749999999993</v>
      </c>
      <c r="S154" s="3">
        <v>179.6</v>
      </c>
      <c r="T154" s="3">
        <v>179.6</v>
      </c>
      <c r="U154" s="7">
        <f t="shared" si="26"/>
        <v>0.5</v>
      </c>
      <c r="V154" s="3">
        <v>2467.65</v>
      </c>
      <c r="W154" s="3">
        <v>2972.86</v>
      </c>
      <c r="X154" s="3">
        <v>2644.65</v>
      </c>
      <c r="Y154" s="3">
        <v>2657.65</v>
      </c>
      <c r="Z154" s="3">
        <f t="shared" si="27"/>
        <v>252.60500000000002</v>
      </c>
      <c r="AA154" s="4">
        <f t="shared" si="28"/>
        <v>0.11483253588517109</v>
      </c>
      <c r="AB154" s="4">
        <f t="shared" si="29"/>
        <v>1.1234322061316625E-2</v>
      </c>
      <c r="AC154">
        <v>1.1476266666666668</v>
      </c>
      <c r="AD154" s="2">
        <v>6.9402999999999997</v>
      </c>
      <c r="AE154" s="2">
        <v>2.3172000000000001</v>
      </c>
      <c r="AF154" s="2">
        <f t="shared" si="30"/>
        <v>4.6230999999999991</v>
      </c>
      <c r="AG154" s="2">
        <v>1.1695733333333334</v>
      </c>
      <c r="AH154" s="1">
        <f t="shared" si="31"/>
        <v>79.809437438787626</v>
      </c>
      <c r="AI154" s="1">
        <f t="shared" si="32"/>
        <v>20.190562561212374</v>
      </c>
      <c r="AJ154" s="1">
        <f t="shared" si="33"/>
        <v>1.0095281280606188</v>
      </c>
      <c r="AK154" s="8">
        <v>0.12070000000000025</v>
      </c>
      <c r="AL154" s="9">
        <v>71.138211382113809</v>
      </c>
      <c r="AM154" s="10">
        <v>3.5569105691056908</v>
      </c>
      <c r="AN154" s="9">
        <v>35.569105691056905</v>
      </c>
      <c r="AO154" s="11">
        <v>3.5580490154880904</v>
      </c>
      <c r="AP154" s="2">
        <v>4.1526499999999995</v>
      </c>
      <c r="AQ154" s="2">
        <f t="shared" si="34"/>
        <v>0.23254839999999999</v>
      </c>
      <c r="AR154" s="2">
        <v>1.3949341585092252</v>
      </c>
      <c r="AS154" s="2">
        <v>0.28164505396152661</v>
      </c>
      <c r="AT154" s="2">
        <f t="shared" si="35"/>
        <v>2.8164505396152662E-2</v>
      </c>
      <c r="AU154" s="2">
        <f t="shared" si="36"/>
        <v>3.2342015765917956E-2</v>
      </c>
      <c r="AV154" s="2">
        <f t="shared" si="37"/>
        <v>5.0453544594832008E-3</v>
      </c>
      <c r="AW154" s="3">
        <f t="shared" si="38"/>
        <v>15.6</v>
      </c>
    </row>
    <row r="155" spans="1:49" x14ac:dyDescent="0.2">
      <c r="A155" t="s">
        <v>45</v>
      </c>
      <c r="B155" s="5" t="s">
        <v>46</v>
      </c>
      <c r="C155" s="5" t="s">
        <v>182</v>
      </c>
      <c r="D155" s="5" t="s">
        <v>205</v>
      </c>
      <c r="E155">
        <v>5</v>
      </c>
      <c r="F155" s="6">
        <v>192</v>
      </c>
      <c r="G155" s="3">
        <v>2.1</v>
      </c>
      <c r="H155" s="3">
        <v>2.6</v>
      </c>
      <c r="I155" s="3">
        <v>1.1000000000000001</v>
      </c>
      <c r="J155" s="3">
        <v>27.798749999999927</v>
      </c>
      <c r="K155" s="3">
        <v>28.898749999999922</v>
      </c>
      <c r="L155" s="3">
        <v>28.348749999999939</v>
      </c>
      <c r="M155" s="1">
        <v>0.19</v>
      </c>
      <c r="N155" s="3">
        <v>187.79874999999993</v>
      </c>
      <c r="O155" s="3">
        <v>188.89874999999992</v>
      </c>
      <c r="P155" s="3">
        <v>188.34874999999994</v>
      </c>
      <c r="Q155" s="3">
        <v>180.29874999999993</v>
      </c>
      <c r="R155" s="3">
        <v>181.39874999999992</v>
      </c>
      <c r="S155" s="3">
        <v>180.8</v>
      </c>
      <c r="T155" s="3">
        <v>180.8</v>
      </c>
      <c r="U155" s="7">
        <f t="shared" si="26"/>
        <v>0.54999999999999716</v>
      </c>
      <c r="V155" s="3">
        <v>2481.81</v>
      </c>
      <c r="W155" s="3">
        <v>2984.24</v>
      </c>
      <c r="X155" s="3">
        <v>2652.64</v>
      </c>
      <c r="Y155" s="3">
        <v>2668.1</v>
      </c>
      <c r="Z155" s="3">
        <f t="shared" si="27"/>
        <v>251.21499999999992</v>
      </c>
      <c r="AA155" s="4">
        <f t="shared" si="28"/>
        <v>0.10212097407698202</v>
      </c>
      <c r="AB155" s="4">
        <f t="shared" si="29"/>
        <v>9.9258576354904239E-3</v>
      </c>
      <c r="AC155">
        <v>1.1476266666666668</v>
      </c>
      <c r="AD155" s="2">
        <v>6.7832999999999997</v>
      </c>
      <c r="AE155" s="2">
        <v>2.3058000000000001</v>
      </c>
      <c r="AF155" s="2">
        <f t="shared" si="30"/>
        <v>4.4774999999999991</v>
      </c>
      <c r="AG155" s="2">
        <v>1.1581733333333333</v>
      </c>
      <c r="AH155" s="1">
        <f t="shared" si="31"/>
        <v>79.449246525999257</v>
      </c>
      <c r="AI155" s="1">
        <f t="shared" si="32"/>
        <v>20.550753474000743</v>
      </c>
      <c r="AJ155" s="1">
        <f t="shared" si="33"/>
        <v>1.0275376737000372</v>
      </c>
      <c r="AK155" s="8">
        <v>6.9399999999999906E-2</v>
      </c>
      <c r="AL155" s="9">
        <v>81.074447777474788</v>
      </c>
      <c r="AM155" s="10">
        <v>4.0537223888737399</v>
      </c>
      <c r="AN155" s="9">
        <v>40.537223888737394</v>
      </c>
      <c r="AO155" s="11">
        <v>4.0547213475226904</v>
      </c>
      <c r="AP155" s="2">
        <v>4.7686787500000012</v>
      </c>
      <c r="AQ155" s="2">
        <f t="shared" si="34"/>
        <v>0.27658336750000007</v>
      </c>
      <c r="AR155" s="2">
        <v>1.1818102306290461</v>
      </c>
      <c r="AS155" s="2">
        <v>0.24287090702709488</v>
      </c>
      <c r="AT155" s="2">
        <f t="shared" si="35"/>
        <v>2.4287090702709489E-2</v>
      </c>
      <c r="AU155" s="2">
        <f t="shared" si="36"/>
        <v>2.4802213600567068E-2</v>
      </c>
      <c r="AV155" s="2">
        <f t="shared" si="37"/>
        <v>3.9187497488895971E-3</v>
      </c>
      <c r="AW155" s="3">
        <f t="shared" si="38"/>
        <v>15.8</v>
      </c>
    </row>
    <row r="156" spans="1:49" x14ac:dyDescent="0.2">
      <c r="A156" t="s">
        <v>45</v>
      </c>
      <c r="B156" s="5" t="s">
        <v>46</v>
      </c>
      <c r="C156" s="5" t="s">
        <v>182</v>
      </c>
      <c r="D156" s="5" t="s">
        <v>206</v>
      </c>
      <c r="E156">
        <v>5</v>
      </c>
      <c r="F156" s="6">
        <v>193</v>
      </c>
      <c r="G156" s="3">
        <v>2.35</v>
      </c>
      <c r="H156" s="3">
        <v>2.1</v>
      </c>
      <c r="I156" s="3">
        <v>1.05</v>
      </c>
      <c r="J156" s="3">
        <v>29.089999999999918</v>
      </c>
      <c r="K156" s="3">
        <v>30.13999999999993</v>
      </c>
      <c r="L156" s="3">
        <v>29.614999999999924</v>
      </c>
      <c r="M156" s="1">
        <v>0.19</v>
      </c>
      <c r="N156" s="3">
        <v>189.08999999999992</v>
      </c>
      <c r="O156" s="3">
        <v>190.13999999999993</v>
      </c>
      <c r="P156" s="3">
        <v>189.61499999999992</v>
      </c>
      <c r="Q156" s="3">
        <v>181.58999999999992</v>
      </c>
      <c r="R156" s="3">
        <v>182.63999999999993</v>
      </c>
      <c r="S156" s="3">
        <v>182.1</v>
      </c>
      <c r="T156" s="3">
        <v>182.1</v>
      </c>
      <c r="U156" s="7">
        <f t="shared" si="26"/>
        <v>0.52500000000000568</v>
      </c>
      <c r="V156" s="3">
        <v>2502.56</v>
      </c>
      <c r="W156" s="3">
        <v>2995.01</v>
      </c>
      <c r="X156" s="3">
        <v>2662.79</v>
      </c>
      <c r="Y156" s="3">
        <v>2680.83</v>
      </c>
      <c r="Z156" s="3">
        <f t="shared" si="27"/>
        <v>246.22500000000014</v>
      </c>
      <c r="AA156" s="4">
        <f t="shared" si="28"/>
        <v>0.10212765957446954</v>
      </c>
      <c r="AB156" s="4">
        <f t="shared" si="29"/>
        <v>9.6745109398795829E-3</v>
      </c>
      <c r="AC156">
        <v>1.1476266666666668</v>
      </c>
      <c r="AD156" s="2">
        <v>5.5408999999999997</v>
      </c>
      <c r="AE156" s="2">
        <v>2.1707999999999998</v>
      </c>
      <c r="AF156" s="2">
        <f t="shared" si="30"/>
        <v>3.3700999999999999</v>
      </c>
      <c r="AG156" s="2">
        <v>1.023173333333333</v>
      </c>
      <c r="AH156" s="1">
        <f t="shared" si="31"/>
        <v>76.710455833235955</v>
      </c>
      <c r="AI156" s="1">
        <f t="shared" si="32"/>
        <v>23.289544166764045</v>
      </c>
      <c r="AJ156" s="1">
        <f t="shared" si="33"/>
        <v>1.1644772083382022</v>
      </c>
      <c r="AK156" s="8">
        <v>9.1800000000000104E-2</v>
      </c>
      <c r="AL156" s="9">
        <v>72.432432432432421</v>
      </c>
      <c r="AM156" s="10">
        <v>3.621621621621621</v>
      </c>
      <c r="AN156" s="9">
        <v>36.21621621621621</v>
      </c>
      <c r="AO156" s="11">
        <v>3.6227397326053139</v>
      </c>
      <c r="AP156" s="2">
        <v>4.080552656250001</v>
      </c>
      <c r="AQ156" s="2">
        <f t="shared" si="34"/>
        <v>0.22443039609375007</v>
      </c>
      <c r="AR156" s="2">
        <v>1.0766368439344489</v>
      </c>
      <c r="AS156" s="2">
        <v>0.25074381328376782</v>
      </c>
      <c r="AT156" s="2">
        <f t="shared" si="35"/>
        <v>2.5074381328376784E-2</v>
      </c>
      <c r="AU156" s="2">
        <f t="shared" si="36"/>
        <v>2.5607878803448992E-2</v>
      </c>
      <c r="AV156" s="2">
        <f t="shared" si="37"/>
        <v>3.9692212145345934E-3</v>
      </c>
      <c r="AW156" s="3">
        <f t="shared" si="38"/>
        <v>15.5</v>
      </c>
    </row>
    <row r="157" spans="1:49" x14ac:dyDescent="0.2">
      <c r="A157" t="s">
        <v>45</v>
      </c>
      <c r="B157" s="5" t="s">
        <v>46</v>
      </c>
      <c r="C157" s="5" t="s">
        <v>182</v>
      </c>
      <c r="D157" s="5" t="s">
        <v>207</v>
      </c>
      <c r="E157">
        <v>5</v>
      </c>
      <c r="F157" s="6">
        <v>194</v>
      </c>
      <c r="G157" s="3">
        <v>2.35</v>
      </c>
      <c r="H157" s="3">
        <v>2.35</v>
      </c>
      <c r="I157" s="3">
        <v>1</v>
      </c>
      <c r="J157" s="3">
        <v>30.331249999999926</v>
      </c>
      <c r="K157" s="3">
        <v>31.331249999999926</v>
      </c>
      <c r="L157" s="3">
        <v>30.831249999999926</v>
      </c>
      <c r="M157" s="1">
        <v>0.19</v>
      </c>
      <c r="N157" s="3">
        <v>190.33124999999993</v>
      </c>
      <c r="O157" s="3">
        <v>191.33124999999993</v>
      </c>
      <c r="P157" s="3">
        <v>190.83124999999993</v>
      </c>
      <c r="Q157" s="3">
        <v>182.83124999999993</v>
      </c>
      <c r="R157" s="3">
        <v>183.83124999999993</v>
      </c>
      <c r="S157" s="3">
        <v>183.3</v>
      </c>
      <c r="T157" s="3">
        <v>183.3</v>
      </c>
      <c r="U157" s="7">
        <f t="shared" si="26"/>
        <v>0.5</v>
      </c>
      <c r="V157" s="3">
        <v>2514.4699999999998</v>
      </c>
      <c r="W157" s="3">
        <v>3004.41</v>
      </c>
      <c r="X157" s="3">
        <v>2672.93</v>
      </c>
      <c r="Y157" s="3">
        <v>2692.58</v>
      </c>
      <c r="Z157" s="3">
        <f t="shared" si="27"/>
        <v>244.97000000000003</v>
      </c>
      <c r="AA157" s="4">
        <f t="shared" si="28"/>
        <v>0.10212765957446712</v>
      </c>
      <c r="AB157" s="4">
        <f t="shared" si="29"/>
        <v>9.5701198862096579E-3</v>
      </c>
      <c r="AC157">
        <v>1.1476266666666668</v>
      </c>
      <c r="AD157" s="2">
        <v>6.3326000000000002</v>
      </c>
      <c r="AE157" s="2">
        <v>2.9885000000000002</v>
      </c>
      <c r="AF157" s="2">
        <f t="shared" si="30"/>
        <v>3.3441000000000001</v>
      </c>
      <c r="AG157" s="2">
        <v>1.8408733333333334</v>
      </c>
      <c r="AH157" s="1">
        <f t="shared" si="31"/>
        <v>64.495992264826825</v>
      </c>
      <c r="AI157" s="1">
        <f t="shared" si="32"/>
        <v>35.504007735173175</v>
      </c>
      <c r="AJ157" s="1">
        <f t="shared" si="33"/>
        <v>1.7752003867586588</v>
      </c>
      <c r="AK157" s="8">
        <v>6.730000000000036E-2</v>
      </c>
      <c r="AL157" s="9">
        <v>77.781446021789264</v>
      </c>
      <c r="AM157" s="10">
        <v>3.8890723010894632</v>
      </c>
      <c r="AN157" s="9">
        <v>38.890723010894632</v>
      </c>
      <c r="AO157" s="11">
        <v>3.8901135411580587</v>
      </c>
      <c r="AP157" s="2">
        <v>4.3351625</v>
      </c>
      <c r="AQ157" s="2">
        <f t="shared" si="34"/>
        <v>0.2471042625</v>
      </c>
      <c r="AR157" s="2">
        <v>1.1960274461068838</v>
      </c>
      <c r="AS157" s="2">
        <v>0.42463767698058225</v>
      </c>
      <c r="AT157" s="2">
        <f t="shared" si="35"/>
        <v>4.2463767698058229E-2</v>
      </c>
      <c r="AU157" s="2">
        <f t="shared" si="36"/>
        <v>4.3367252117165439E-2</v>
      </c>
      <c r="AV157" s="2">
        <f t="shared" si="37"/>
        <v>6.8086585823949738E-3</v>
      </c>
      <c r="AW157" s="3">
        <f t="shared" si="38"/>
        <v>15.7</v>
      </c>
    </row>
    <row r="158" spans="1:49" x14ac:dyDescent="0.2">
      <c r="A158" t="s">
        <v>45</v>
      </c>
      <c r="B158" s="5" t="s">
        <v>46</v>
      </c>
      <c r="C158" s="5" t="s">
        <v>182</v>
      </c>
      <c r="D158" s="5" t="s">
        <v>208</v>
      </c>
      <c r="E158">
        <v>5</v>
      </c>
      <c r="F158" s="6">
        <v>195</v>
      </c>
      <c r="G158" s="3">
        <v>2.2999999999999998</v>
      </c>
      <c r="H158" s="3">
        <v>2.7</v>
      </c>
      <c r="I158" s="3">
        <v>1</v>
      </c>
      <c r="J158" s="3">
        <v>31.522499999999923</v>
      </c>
      <c r="K158" s="3">
        <v>32.522499999999923</v>
      </c>
      <c r="L158" s="3">
        <v>32.022499999999923</v>
      </c>
      <c r="M158" s="1">
        <v>0.19</v>
      </c>
      <c r="N158" s="3">
        <v>191.52249999999992</v>
      </c>
      <c r="O158" s="3">
        <v>192.52249999999992</v>
      </c>
      <c r="P158" s="3">
        <v>192.02249999999992</v>
      </c>
      <c r="Q158" s="3">
        <v>184.02249999999992</v>
      </c>
      <c r="R158" s="3">
        <v>185.02249999999992</v>
      </c>
      <c r="S158" s="3">
        <v>184.5</v>
      </c>
      <c r="T158" s="3">
        <v>184.5</v>
      </c>
      <c r="U158" s="7">
        <f t="shared" si="26"/>
        <v>0.5</v>
      </c>
      <c r="V158" s="3">
        <v>2522.5100000000002</v>
      </c>
      <c r="W158" s="3">
        <v>3016.52</v>
      </c>
      <c r="X158" s="3">
        <v>2683.9</v>
      </c>
      <c r="Y158" s="3">
        <v>2704.33</v>
      </c>
      <c r="Z158" s="3">
        <f t="shared" si="27"/>
        <v>247.00499999999988</v>
      </c>
      <c r="AA158" s="4">
        <f t="shared" si="28"/>
        <v>0.10220125786163407</v>
      </c>
      <c r="AB158" s="4">
        <f t="shared" si="29"/>
        <v>9.6117097588830341E-3</v>
      </c>
      <c r="AC158">
        <v>1.1476266666666668</v>
      </c>
      <c r="AD158" s="2">
        <v>6.2756999999999996</v>
      </c>
      <c r="AE158" s="2">
        <v>2.0758000000000001</v>
      </c>
      <c r="AF158" s="2">
        <f t="shared" si="30"/>
        <v>4.1998999999999995</v>
      </c>
      <c r="AG158" s="2">
        <v>0.92817333333333329</v>
      </c>
      <c r="AH158" s="1">
        <f t="shared" si="31"/>
        <v>81.900154833979229</v>
      </c>
      <c r="AI158" s="1">
        <f t="shared" si="32"/>
        <v>18.099845166020771</v>
      </c>
      <c r="AJ158" s="1">
        <f t="shared" si="33"/>
        <v>0.90499225830103858</v>
      </c>
      <c r="AK158" s="8">
        <v>0.20570000000000022</v>
      </c>
      <c r="AL158" s="9">
        <v>37.836204291326574</v>
      </c>
      <c r="AM158" s="10">
        <v>1.8918102145663287</v>
      </c>
      <c r="AN158" s="9">
        <v>18.918102145663287</v>
      </c>
      <c r="AO158" s="11">
        <v>1.8939498113565467</v>
      </c>
      <c r="AP158" s="2">
        <v>4.90625</v>
      </c>
      <c r="AQ158" s="2">
        <f t="shared" si="34"/>
        <v>0.294375</v>
      </c>
      <c r="AR158" s="2">
        <v>1.0452123991507429</v>
      </c>
      <c r="AS158" s="2">
        <v>0.18918182590233545</v>
      </c>
      <c r="AT158" s="2">
        <f t="shared" si="35"/>
        <v>1.8918182590233548E-2</v>
      </c>
      <c r="AU158" s="2">
        <f t="shared" si="36"/>
        <v>1.933462057177935E-2</v>
      </c>
      <c r="AV158" s="2">
        <f t="shared" si="37"/>
        <v>3.0935392914846964E-3</v>
      </c>
      <c r="AW158" s="3">
        <f t="shared" si="38"/>
        <v>16.000000000000004</v>
      </c>
    </row>
    <row r="159" spans="1:49" x14ac:dyDescent="0.2">
      <c r="A159" t="s">
        <v>45</v>
      </c>
      <c r="B159" s="5" t="s">
        <v>46</v>
      </c>
      <c r="C159" s="5" t="s">
        <v>182</v>
      </c>
      <c r="D159" s="5" t="s">
        <v>209</v>
      </c>
      <c r="E159">
        <v>5</v>
      </c>
      <c r="F159" s="6">
        <v>196</v>
      </c>
      <c r="G159" s="3">
        <v>2.35</v>
      </c>
      <c r="H159" s="3">
        <v>2.4500000000000002</v>
      </c>
      <c r="I159" s="3">
        <v>1.1000000000000001</v>
      </c>
      <c r="J159" s="3">
        <v>32.713749999999919</v>
      </c>
      <c r="K159" s="3">
        <v>33.813749999999914</v>
      </c>
      <c r="L159" s="3">
        <v>33.263749999999902</v>
      </c>
      <c r="M159" s="1">
        <v>0.19</v>
      </c>
      <c r="N159" s="3">
        <v>192.71374999999992</v>
      </c>
      <c r="O159" s="3">
        <v>193.81374999999991</v>
      </c>
      <c r="P159" s="3">
        <v>193.2637499999999</v>
      </c>
      <c r="Q159" s="3">
        <v>185.21374999999992</v>
      </c>
      <c r="R159" s="3">
        <v>186.31374999999991</v>
      </c>
      <c r="S159" s="3">
        <v>185.8</v>
      </c>
      <c r="T159" s="3">
        <v>185.8</v>
      </c>
      <c r="U159" s="7">
        <f t="shared" si="26"/>
        <v>0.54999999999999716</v>
      </c>
      <c r="V159" s="3">
        <v>2534.9899999999998</v>
      </c>
      <c r="W159" s="3">
        <v>3026.41</v>
      </c>
      <c r="X159" s="3">
        <v>2696.57</v>
      </c>
      <c r="Y159" s="3">
        <v>2717.05</v>
      </c>
      <c r="Z159" s="3">
        <f t="shared" si="27"/>
        <v>245.71000000000004</v>
      </c>
      <c r="AA159" s="4">
        <f t="shared" si="28"/>
        <v>0.10212765957446712</v>
      </c>
      <c r="AB159" s="4">
        <f t="shared" si="29"/>
        <v>9.53798916434828E-3</v>
      </c>
      <c r="AC159">
        <v>1.1476266666666668</v>
      </c>
      <c r="AD159" s="2">
        <v>6.2850000000000001</v>
      </c>
      <c r="AE159" s="2">
        <v>1.9567000000000001</v>
      </c>
      <c r="AF159" s="2">
        <f t="shared" si="30"/>
        <v>4.3283000000000005</v>
      </c>
      <c r="AG159" s="2">
        <v>0.80907333333333331</v>
      </c>
      <c r="AH159" s="1">
        <f t="shared" si="31"/>
        <v>84.251225658767254</v>
      </c>
      <c r="AI159" s="1">
        <f t="shared" si="32"/>
        <v>15.748774341232746</v>
      </c>
      <c r="AJ159" s="1">
        <f t="shared" si="33"/>
        <v>0.78743871706163737</v>
      </c>
      <c r="AK159" s="8">
        <v>6.9299999999999251E-2</v>
      </c>
      <c r="AL159" s="9">
        <v>80.005770340450283</v>
      </c>
      <c r="AM159" s="10">
        <v>4.000288517022514</v>
      </c>
      <c r="AN159" s="9">
        <v>40.002885170225142</v>
      </c>
      <c r="AO159" s="11">
        <v>4.0013008159125176</v>
      </c>
      <c r="AP159" s="2">
        <v>4.9737600000000022</v>
      </c>
      <c r="AQ159" s="2">
        <f t="shared" si="34"/>
        <v>0.29345184000000013</v>
      </c>
      <c r="AR159" s="2">
        <v>1.0328953012074027</v>
      </c>
      <c r="AS159" s="2">
        <v>0.1626683501683501</v>
      </c>
      <c r="AT159" s="2">
        <f t="shared" si="35"/>
        <v>1.6266835016835009E-2</v>
      </c>
      <c r="AU159" s="2">
        <f t="shared" si="36"/>
        <v>1.6612937889533472E-2</v>
      </c>
      <c r="AV159" s="2">
        <f t="shared" si="37"/>
        <v>2.6414571244358217E-3</v>
      </c>
      <c r="AW159" s="3">
        <f t="shared" si="38"/>
        <v>15.899999999999997</v>
      </c>
    </row>
    <row r="160" spans="1:49" x14ac:dyDescent="0.2">
      <c r="A160" t="s">
        <v>45</v>
      </c>
      <c r="B160" s="5" t="s">
        <v>46</v>
      </c>
      <c r="C160" s="5" t="s">
        <v>182</v>
      </c>
      <c r="D160" s="5" t="s">
        <v>210</v>
      </c>
      <c r="E160">
        <v>5</v>
      </c>
      <c r="F160" s="6">
        <v>197</v>
      </c>
      <c r="G160" s="3">
        <v>2.2999999999999998</v>
      </c>
      <c r="H160" s="3">
        <v>2.6</v>
      </c>
      <c r="I160" s="3">
        <v>1</v>
      </c>
      <c r="J160" s="3">
        <v>34.00499999999991</v>
      </c>
      <c r="K160" s="3">
        <v>35.00499999999991</v>
      </c>
      <c r="L160" s="3">
        <v>34.50499999999991</v>
      </c>
      <c r="M160" s="1">
        <v>0.19</v>
      </c>
      <c r="N160" s="3">
        <v>194.00499999999991</v>
      </c>
      <c r="O160" s="3">
        <v>195.00499999999991</v>
      </c>
      <c r="P160" s="3">
        <v>194.50499999999991</v>
      </c>
      <c r="Q160" s="3">
        <v>186.50499999999991</v>
      </c>
      <c r="R160" s="3">
        <v>187.50499999999991</v>
      </c>
      <c r="S160" s="3">
        <v>187</v>
      </c>
      <c r="T160" s="3">
        <v>187</v>
      </c>
      <c r="U160" s="7">
        <f t="shared" si="26"/>
        <v>0.5</v>
      </c>
      <c r="V160" s="3">
        <v>2550.16</v>
      </c>
      <c r="W160" s="3">
        <v>3046.76</v>
      </c>
      <c r="X160" s="3">
        <v>2707.55</v>
      </c>
      <c r="Y160" s="3">
        <v>2728.8</v>
      </c>
      <c r="Z160" s="3">
        <f t="shared" si="27"/>
        <v>248.30000000000018</v>
      </c>
      <c r="AA160" s="4">
        <f t="shared" si="28"/>
        <v>0.10213556174558924</v>
      </c>
      <c r="AB160" s="4">
        <f t="shared" si="29"/>
        <v>9.5666473382220833E-3</v>
      </c>
      <c r="AC160">
        <v>1.1476266666666668</v>
      </c>
      <c r="AD160" s="2">
        <v>6.6215999999999999</v>
      </c>
      <c r="AE160" s="2">
        <v>1.9897</v>
      </c>
      <c r="AF160" s="2">
        <f t="shared" si="30"/>
        <v>4.6318999999999999</v>
      </c>
      <c r="AG160" s="2">
        <v>0.84207333333333323</v>
      </c>
      <c r="AH160" s="1">
        <f t="shared" si="31"/>
        <v>84.616780498260852</v>
      </c>
      <c r="AI160" s="1">
        <f t="shared" si="32"/>
        <v>15.383219501739148</v>
      </c>
      <c r="AJ160" s="1">
        <f t="shared" si="33"/>
        <v>0.76916097508695747</v>
      </c>
      <c r="AK160" s="8">
        <v>5.2100000000000257E-2</v>
      </c>
      <c r="AL160" s="9">
        <v>80.22019741837498</v>
      </c>
      <c r="AM160" s="10">
        <v>4.0110098709187492</v>
      </c>
      <c r="AN160" s="9">
        <v>40.11009870918749</v>
      </c>
      <c r="AO160" s="11">
        <v>4.0120194646346921</v>
      </c>
      <c r="AP160" s="2">
        <v>4.7119625000000003</v>
      </c>
      <c r="AQ160" s="2">
        <f t="shared" si="34"/>
        <v>0.27800578750000005</v>
      </c>
      <c r="AR160" s="2">
        <v>1.1617183569125036</v>
      </c>
      <c r="AS160" s="2">
        <v>0.17870968483584773</v>
      </c>
      <c r="AT160" s="2">
        <f t="shared" si="35"/>
        <v>1.7870968483584774E-2</v>
      </c>
      <c r="AU160" s="2">
        <f t="shared" si="36"/>
        <v>1.8252614050086519E-2</v>
      </c>
      <c r="AV160" s="2">
        <f t="shared" si="37"/>
        <v>2.9021656339637564E-3</v>
      </c>
      <c r="AW160" s="3">
        <f t="shared" si="38"/>
        <v>15.9</v>
      </c>
    </row>
    <row r="161" spans="1:49" x14ac:dyDescent="0.2">
      <c r="A161" t="s">
        <v>45</v>
      </c>
      <c r="B161" s="5" t="s">
        <v>46</v>
      </c>
      <c r="C161" s="5" t="s">
        <v>182</v>
      </c>
      <c r="D161" s="5" t="s">
        <v>211</v>
      </c>
      <c r="E161">
        <v>5</v>
      </c>
      <c r="F161" s="6">
        <v>198</v>
      </c>
      <c r="G161" s="3">
        <v>2.2000000000000002</v>
      </c>
      <c r="H161" s="3">
        <v>2.4</v>
      </c>
      <c r="I161" s="3">
        <v>0.9</v>
      </c>
      <c r="J161" s="3">
        <v>35.196249999999907</v>
      </c>
      <c r="K161" s="3">
        <v>36.096249999999912</v>
      </c>
      <c r="L161" s="3">
        <v>35.646249999999895</v>
      </c>
      <c r="M161" s="1">
        <v>0.19</v>
      </c>
      <c r="N161" s="3">
        <v>195.19624999999991</v>
      </c>
      <c r="O161" s="3">
        <v>196.09624999999991</v>
      </c>
      <c r="P161" s="3">
        <v>195.6462499999999</v>
      </c>
      <c r="Q161" s="3">
        <v>187.69624999999991</v>
      </c>
      <c r="R161" s="3">
        <v>188.59624999999991</v>
      </c>
      <c r="S161" s="3">
        <v>188.1</v>
      </c>
      <c r="T161" s="3">
        <v>188.1</v>
      </c>
      <c r="U161" s="7">
        <f t="shared" si="26"/>
        <v>0.45000000000000284</v>
      </c>
      <c r="V161" s="3">
        <v>2557.37</v>
      </c>
      <c r="W161" s="3">
        <v>3062.79</v>
      </c>
      <c r="X161" s="3">
        <v>2718.02</v>
      </c>
      <c r="Y161" s="3">
        <v>2739.57</v>
      </c>
      <c r="Z161" s="3">
        <f t="shared" si="27"/>
        <v>252.71000000000004</v>
      </c>
      <c r="AA161" s="4">
        <f t="shared" si="28"/>
        <v>0.10212765957446954</v>
      </c>
      <c r="AB161" s="4">
        <f t="shared" si="29"/>
        <v>9.6650295642258417E-3</v>
      </c>
      <c r="AC161">
        <v>1.1476266666666668</v>
      </c>
      <c r="AD161" s="2">
        <v>5.6311</v>
      </c>
      <c r="AE161" s="2">
        <v>1.9238</v>
      </c>
      <c r="AF161" s="2">
        <f t="shared" si="30"/>
        <v>3.7073</v>
      </c>
      <c r="AG161" s="2">
        <v>0.77617333333333316</v>
      </c>
      <c r="AH161" s="1">
        <f t="shared" si="31"/>
        <v>82.688124237012673</v>
      </c>
      <c r="AI161" s="1">
        <f t="shared" si="32"/>
        <v>17.311875762987327</v>
      </c>
      <c r="AJ161" s="1">
        <f t="shared" si="33"/>
        <v>0.86559378814936638</v>
      </c>
      <c r="AK161" s="8">
        <v>6.6900000000000404E-2</v>
      </c>
      <c r="AL161" s="9">
        <v>79.255813953488229</v>
      </c>
      <c r="AM161" s="10">
        <v>3.9627906976744116</v>
      </c>
      <c r="AN161" s="9">
        <v>39.627906976744114</v>
      </c>
      <c r="AO161" s="11">
        <v>3.9638125729624063</v>
      </c>
      <c r="AP161" s="2">
        <v>3.7373849999999993</v>
      </c>
      <c r="AQ161" s="2">
        <f t="shared" si="34"/>
        <v>0.20555617499999995</v>
      </c>
      <c r="AR161" s="2">
        <v>1.1996284389575422</v>
      </c>
      <c r="AS161" s="2">
        <v>0.20767818496979393</v>
      </c>
      <c r="AT161" s="2">
        <f t="shared" si="35"/>
        <v>2.0767818496979396E-2</v>
      </c>
      <c r="AU161" s="2">
        <f t="shared" si="36"/>
        <v>2.1209686975638829E-2</v>
      </c>
      <c r="AV161" s="2">
        <f t="shared" si="37"/>
        <v>3.2875014812240189E-3</v>
      </c>
      <c r="AW161" s="3">
        <f t="shared" si="38"/>
        <v>15.500000000000004</v>
      </c>
    </row>
    <row r="162" spans="1:49" x14ac:dyDescent="0.2">
      <c r="A162" t="s">
        <v>45</v>
      </c>
      <c r="B162" s="5" t="s">
        <v>46</v>
      </c>
      <c r="C162" s="5" t="s">
        <v>182</v>
      </c>
      <c r="D162" s="5" t="s">
        <v>212</v>
      </c>
      <c r="E162">
        <v>5</v>
      </c>
      <c r="F162" s="6">
        <v>199</v>
      </c>
      <c r="G162" s="3">
        <v>2.15</v>
      </c>
      <c r="H162" s="3">
        <v>2.5</v>
      </c>
      <c r="I162" s="3">
        <v>1</v>
      </c>
      <c r="J162" s="3">
        <v>36.287499999999909</v>
      </c>
      <c r="K162" s="3">
        <v>37.287499999999909</v>
      </c>
      <c r="L162" s="3">
        <v>36.787499999999909</v>
      </c>
      <c r="M162" s="1">
        <v>0.19</v>
      </c>
      <c r="N162" s="3">
        <v>196.28749999999991</v>
      </c>
      <c r="O162" s="3">
        <v>197.28749999999991</v>
      </c>
      <c r="P162" s="3">
        <v>196.78749999999991</v>
      </c>
      <c r="Q162" s="3">
        <v>188.78749999999991</v>
      </c>
      <c r="R162" s="3">
        <v>189.78749999999991</v>
      </c>
      <c r="S162" s="3">
        <v>189.3</v>
      </c>
      <c r="T162" s="3">
        <v>189.3</v>
      </c>
      <c r="U162" s="7">
        <f t="shared" si="26"/>
        <v>0.5</v>
      </c>
      <c r="V162" s="3">
        <v>2563.63</v>
      </c>
      <c r="W162" s="3">
        <v>3081.18</v>
      </c>
      <c r="X162" s="3">
        <v>2729.43</v>
      </c>
      <c r="Y162" s="3">
        <v>2751.32</v>
      </c>
      <c r="Z162" s="3">
        <f t="shared" si="27"/>
        <v>258.77499999999986</v>
      </c>
      <c r="AA162" s="4">
        <f t="shared" si="28"/>
        <v>6.9889341875364899E-2</v>
      </c>
      <c r="AB162" s="4">
        <f t="shared" si="29"/>
        <v>6.7580312470618999E-3</v>
      </c>
      <c r="AC162">
        <v>1.1476266666666668</v>
      </c>
      <c r="AD162" s="2">
        <v>5.8430999999999997</v>
      </c>
      <c r="AE162" s="2">
        <v>1.9665999999999999</v>
      </c>
      <c r="AF162" s="2">
        <f t="shared" si="30"/>
        <v>3.8765000000000001</v>
      </c>
      <c r="AG162" s="2">
        <v>0.81897333333333311</v>
      </c>
      <c r="AH162" s="1">
        <f t="shared" si="31"/>
        <v>82.55823694025878</v>
      </c>
      <c r="AI162" s="1">
        <f t="shared" si="32"/>
        <v>17.44176305974122</v>
      </c>
      <c r="AJ162" s="1">
        <f t="shared" si="33"/>
        <v>0.87208815298706099</v>
      </c>
      <c r="AK162" s="8">
        <v>6.4400000000000013E-2</v>
      </c>
      <c r="AL162" s="9">
        <v>81.33874239350915</v>
      </c>
      <c r="AM162" s="10">
        <v>4.0669371196754573</v>
      </c>
      <c r="AN162" s="9">
        <v>40.669371196754575</v>
      </c>
      <c r="AO162" s="11">
        <v>4.0679328331960081</v>
      </c>
      <c r="AP162" s="2">
        <v>4.2434156250000008</v>
      </c>
      <c r="AQ162" s="2">
        <f t="shared" si="34"/>
        <v>0.23975298281250004</v>
      </c>
      <c r="AR162" s="2">
        <v>1.1065315652018726</v>
      </c>
      <c r="AS162" s="2">
        <v>0.19299861378375657</v>
      </c>
      <c r="AT162" s="2">
        <f t="shared" si="35"/>
        <v>1.9299861378375659E-2</v>
      </c>
      <c r="AU162" s="2">
        <f t="shared" si="36"/>
        <v>1.3488546100204475E-2</v>
      </c>
      <c r="AV162" s="2">
        <f t="shared" si="37"/>
        <v>2.1109574646820005E-3</v>
      </c>
      <c r="AW162" s="3">
        <f t="shared" si="38"/>
        <v>15.65</v>
      </c>
    </row>
    <row r="163" spans="1:49" x14ac:dyDescent="0.2">
      <c r="A163" t="s">
        <v>45</v>
      </c>
      <c r="B163" s="5" t="s">
        <v>46</v>
      </c>
      <c r="C163" s="5" t="s">
        <v>182</v>
      </c>
      <c r="D163" s="5" t="s">
        <v>213</v>
      </c>
      <c r="E163">
        <v>5</v>
      </c>
      <c r="F163" s="6">
        <v>200</v>
      </c>
      <c r="G163" s="3">
        <v>2</v>
      </c>
      <c r="H163" s="3">
        <v>2.2999999999999998</v>
      </c>
      <c r="I163" s="3">
        <v>1</v>
      </c>
      <c r="J163" s="3">
        <v>37.478749999999906</v>
      </c>
      <c r="K163" s="3">
        <v>38.478749999999906</v>
      </c>
      <c r="L163" s="3">
        <v>37.978749999999906</v>
      </c>
      <c r="M163" s="1">
        <v>0.19</v>
      </c>
      <c r="N163" s="3">
        <v>197.47874999999991</v>
      </c>
      <c r="O163" s="3">
        <v>198.47874999999991</v>
      </c>
      <c r="P163" s="3">
        <v>197.97874999999991</v>
      </c>
      <c r="Q163" s="3">
        <v>189.97874999999991</v>
      </c>
      <c r="R163" s="3">
        <v>190.97874999999991</v>
      </c>
      <c r="S163" s="3">
        <v>190.5</v>
      </c>
      <c r="T163" s="3">
        <v>190.5</v>
      </c>
      <c r="U163" s="7">
        <f t="shared" si="26"/>
        <v>0.5</v>
      </c>
      <c r="V163" s="3">
        <v>2583.5500000000002</v>
      </c>
      <c r="W163" s="3">
        <v>3098.27</v>
      </c>
      <c r="X163" s="3">
        <v>2747.13</v>
      </c>
      <c r="Y163" s="3">
        <v>2768.49</v>
      </c>
      <c r="Z163" s="3">
        <f t="shared" si="27"/>
        <v>257.3599999999999</v>
      </c>
      <c r="AA163" s="4">
        <f t="shared" si="28"/>
        <v>4.8426150121064528E-2</v>
      </c>
      <c r="AB163" s="4">
        <f t="shared" si="29"/>
        <v>4.6288181300036171E-3</v>
      </c>
      <c r="AC163">
        <v>1.1476266666666668</v>
      </c>
      <c r="AD163" s="2">
        <v>5.7007000000000003</v>
      </c>
      <c r="AE163" s="2">
        <v>1.8636999999999999</v>
      </c>
      <c r="AF163" s="2">
        <f t="shared" si="30"/>
        <v>3.8370000000000006</v>
      </c>
      <c r="AG163" s="2">
        <v>0.71607333333333312</v>
      </c>
      <c r="AH163" s="1">
        <f t="shared" si="31"/>
        <v>84.272747638591369</v>
      </c>
      <c r="AI163" s="1">
        <f t="shared" si="32"/>
        <v>15.727252361408631</v>
      </c>
      <c r="AJ163" s="1">
        <f t="shared" si="33"/>
        <v>0.78636261807043162</v>
      </c>
      <c r="AK163" s="8">
        <v>7.6200000000000045E-2</v>
      </c>
      <c r="AL163" s="9">
        <v>77.964141122035883</v>
      </c>
      <c r="AM163" s="10">
        <v>3.8982070561017945</v>
      </c>
      <c r="AN163" s="9">
        <v>38.982070561017942</v>
      </c>
      <c r="AO163" s="11">
        <v>3.8992458568602495</v>
      </c>
      <c r="AP163" s="2">
        <v>3.6286624999999999</v>
      </c>
      <c r="AQ163" s="2">
        <f t="shared" si="34"/>
        <v>0.1923191125</v>
      </c>
      <c r="AR163" s="2">
        <v>1.2547524971896211</v>
      </c>
      <c r="AS163" s="2">
        <v>0.1973380917440884</v>
      </c>
      <c r="AT163" s="2">
        <f t="shared" si="35"/>
        <v>1.973380917440884E-2</v>
      </c>
      <c r="AU163" s="2">
        <f t="shared" si="36"/>
        <v>9.5563240554036293E-3</v>
      </c>
      <c r="AV163" s="2">
        <f t="shared" si="37"/>
        <v>1.4621175804767552E-3</v>
      </c>
      <c r="AW163" s="3">
        <f t="shared" si="38"/>
        <v>15.299999999999999</v>
      </c>
    </row>
    <row r="164" spans="1:49" x14ac:dyDescent="0.2">
      <c r="A164" t="s">
        <v>45</v>
      </c>
      <c r="B164" s="5" t="s">
        <v>46</v>
      </c>
      <c r="C164" s="5" t="s">
        <v>182</v>
      </c>
      <c r="D164" s="5" t="s">
        <v>214</v>
      </c>
      <c r="E164">
        <v>5</v>
      </c>
      <c r="F164" s="6">
        <v>201</v>
      </c>
      <c r="G164" s="3">
        <v>2.5</v>
      </c>
      <c r="H164" s="3">
        <v>2.4500000000000002</v>
      </c>
      <c r="I164" s="3">
        <v>1</v>
      </c>
      <c r="J164" s="3">
        <v>38.669999999999902</v>
      </c>
      <c r="K164" s="3">
        <v>39.669999999999902</v>
      </c>
      <c r="L164" s="3">
        <v>39.169999999999902</v>
      </c>
      <c r="M164" s="1">
        <v>0.19</v>
      </c>
      <c r="N164" s="3">
        <v>198.6699999999999</v>
      </c>
      <c r="O164" s="3">
        <v>199.6699999999999</v>
      </c>
      <c r="P164" s="3">
        <v>199.1699999999999</v>
      </c>
      <c r="Q164" s="3">
        <v>191.1699999999999</v>
      </c>
      <c r="R164" s="3">
        <v>192.1699999999999</v>
      </c>
      <c r="S164" s="3">
        <v>191.7</v>
      </c>
      <c r="T164" s="3">
        <v>191.7</v>
      </c>
      <c r="U164" s="7">
        <f t="shared" si="26"/>
        <v>0.5</v>
      </c>
      <c r="V164" s="3">
        <v>2606.0500000000002</v>
      </c>
      <c r="W164" s="3">
        <v>3115.34</v>
      </c>
      <c r="X164" s="3">
        <v>2774.29</v>
      </c>
      <c r="Y164" s="3">
        <v>2793.27</v>
      </c>
      <c r="Z164" s="3">
        <f t="shared" si="27"/>
        <v>254.64499999999998</v>
      </c>
      <c r="AA164" s="4">
        <f t="shared" si="28"/>
        <v>4.8436811977103519E-2</v>
      </c>
      <c r="AB164" s="4">
        <f t="shared" si="29"/>
        <v>4.5420169029429872E-3</v>
      </c>
      <c r="AC164">
        <v>1.1476266666666668</v>
      </c>
      <c r="AD164" s="2">
        <v>6.4058000000000002</v>
      </c>
      <c r="AE164" s="2">
        <v>1.9684999999999999</v>
      </c>
      <c r="AF164" s="2">
        <f t="shared" si="30"/>
        <v>4.4373000000000005</v>
      </c>
      <c r="AG164" s="2">
        <v>0.82087333333333312</v>
      </c>
      <c r="AH164" s="1">
        <f t="shared" si="31"/>
        <v>84.388621650611242</v>
      </c>
      <c r="AI164" s="1">
        <f t="shared" si="32"/>
        <v>15.611378349388758</v>
      </c>
      <c r="AJ164" s="1">
        <f t="shared" si="33"/>
        <v>0.78056891746943791</v>
      </c>
      <c r="AK164" s="8">
        <v>5.0099999999999589E-2</v>
      </c>
      <c r="AL164" s="9">
        <v>80.760368663594605</v>
      </c>
      <c r="AM164" s="10">
        <v>4.0380184331797304</v>
      </c>
      <c r="AN164" s="9">
        <v>40.380184331797302</v>
      </c>
      <c r="AO164" s="11">
        <v>4.0390212758413746</v>
      </c>
      <c r="AP164" s="2">
        <v>4.8086156250000007</v>
      </c>
      <c r="AQ164" s="2">
        <f t="shared" si="34"/>
        <v>0.28611262968750006</v>
      </c>
      <c r="AR164" s="2">
        <v>1.0934900485695054</v>
      </c>
      <c r="AS164" s="2">
        <v>0.17070886869510038</v>
      </c>
      <c r="AT164" s="2">
        <f t="shared" si="35"/>
        <v>1.7070886869510037E-2</v>
      </c>
      <c r="AU164" s="2">
        <f t="shared" si="36"/>
        <v>8.2685933758086302E-3</v>
      </c>
      <c r="AV164" s="2">
        <f t="shared" si="37"/>
        <v>1.3188406434414765E-3</v>
      </c>
      <c r="AW164" s="3">
        <f t="shared" si="38"/>
        <v>15.950000000000001</v>
      </c>
    </row>
    <row r="165" spans="1:49" x14ac:dyDescent="0.2">
      <c r="A165" t="s">
        <v>45</v>
      </c>
      <c r="B165" s="5" t="s">
        <v>46</v>
      </c>
      <c r="C165" s="5" t="s">
        <v>182</v>
      </c>
      <c r="D165" s="5" t="s">
        <v>215</v>
      </c>
      <c r="E165">
        <v>5</v>
      </c>
      <c r="F165" s="6">
        <v>202</v>
      </c>
      <c r="G165" s="3">
        <v>2.5</v>
      </c>
      <c r="H165" s="3">
        <v>2.5</v>
      </c>
      <c r="I165" s="3">
        <v>0.95</v>
      </c>
      <c r="J165" s="3">
        <v>39.861249999999899</v>
      </c>
      <c r="K165" s="3">
        <v>40.811249999999887</v>
      </c>
      <c r="L165" s="3">
        <v>40.336249999999893</v>
      </c>
      <c r="M165" s="1">
        <v>0.19</v>
      </c>
      <c r="N165" s="3">
        <v>199.8612499999999</v>
      </c>
      <c r="O165" s="3">
        <v>200.81124999999989</v>
      </c>
      <c r="P165" s="3">
        <v>200.33624999999989</v>
      </c>
      <c r="Q165" s="3">
        <v>192.3612499999999</v>
      </c>
      <c r="R165" s="3">
        <v>193.31124999999989</v>
      </c>
      <c r="S165" s="3">
        <v>192.8</v>
      </c>
      <c r="T165" s="3">
        <v>192.8</v>
      </c>
      <c r="U165" s="7">
        <f t="shared" si="26"/>
        <v>0.47499999999999432</v>
      </c>
      <c r="V165" s="3">
        <v>2623.52</v>
      </c>
      <c r="W165" s="3">
        <v>3135.74</v>
      </c>
      <c r="X165" s="3">
        <v>2798.92</v>
      </c>
      <c r="Y165" s="3">
        <v>2815.98</v>
      </c>
      <c r="Z165" s="3">
        <f t="shared" si="27"/>
        <v>256.1099999999999</v>
      </c>
      <c r="AA165" s="4">
        <f t="shared" si="28"/>
        <v>4.8426150121064528E-2</v>
      </c>
      <c r="AB165" s="4">
        <f t="shared" si="29"/>
        <v>4.5236073752215264E-3</v>
      </c>
      <c r="AC165">
        <v>1.1476266666666668</v>
      </c>
      <c r="AD165" s="2">
        <v>6.3540999999999999</v>
      </c>
      <c r="AE165" s="2">
        <v>2.0255999999999998</v>
      </c>
      <c r="AF165" s="2">
        <f t="shared" si="30"/>
        <v>4.3285</v>
      </c>
      <c r="AG165" s="2">
        <v>0.87797333333333305</v>
      </c>
      <c r="AH165" s="1">
        <f t="shared" si="31"/>
        <v>83.136889846101838</v>
      </c>
      <c r="AI165" s="1">
        <f t="shared" si="32"/>
        <v>16.863110153898162</v>
      </c>
      <c r="AJ165" s="1">
        <f t="shared" si="33"/>
        <v>0.84315550769490821</v>
      </c>
      <c r="AK165" s="8">
        <v>6.8900000000000183E-2</v>
      </c>
      <c r="AL165" s="9">
        <v>77.461563624468425</v>
      </c>
      <c r="AM165" s="10">
        <v>3.8730781812234216</v>
      </c>
      <c r="AN165" s="9">
        <v>38.730781812234213</v>
      </c>
      <c r="AO165" s="11">
        <v>3.8741237200002954</v>
      </c>
      <c r="AP165" s="2">
        <v>4.6609375000000002</v>
      </c>
      <c r="AQ165" s="2">
        <f t="shared" si="34"/>
        <v>0.27732578125000001</v>
      </c>
      <c r="AR165" s="2">
        <v>1.1170442284054083</v>
      </c>
      <c r="AS165" s="2">
        <v>0.1883683987037657</v>
      </c>
      <c r="AT165" s="2">
        <f t="shared" si="35"/>
        <v>1.883683987037657E-2</v>
      </c>
      <c r="AU165" s="2">
        <f t="shared" si="36"/>
        <v>9.1219563536930944E-3</v>
      </c>
      <c r="AV165" s="2">
        <f t="shared" si="37"/>
        <v>1.4549520384140487E-3</v>
      </c>
      <c r="AW165" s="3">
        <f t="shared" si="38"/>
        <v>15.950000000000001</v>
      </c>
    </row>
    <row r="166" spans="1:49" x14ac:dyDescent="0.2">
      <c r="A166" t="s">
        <v>45</v>
      </c>
      <c r="B166" s="5" t="s">
        <v>46</v>
      </c>
      <c r="C166" s="5" t="s">
        <v>182</v>
      </c>
      <c r="D166" s="5" t="s">
        <v>216</v>
      </c>
      <c r="E166">
        <v>5</v>
      </c>
      <c r="F166" s="6">
        <v>203</v>
      </c>
      <c r="G166" s="3">
        <v>2.1</v>
      </c>
      <c r="H166" s="3">
        <v>2.2999999999999998</v>
      </c>
      <c r="I166" s="3">
        <v>0.95</v>
      </c>
      <c r="J166" s="3">
        <v>41.002499999999884</v>
      </c>
      <c r="K166" s="3">
        <v>41.952499999999873</v>
      </c>
      <c r="L166" s="3">
        <v>41.477499999999878</v>
      </c>
      <c r="M166" s="1">
        <v>0.19</v>
      </c>
      <c r="N166" s="3">
        <v>201.00249999999988</v>
      </c>
      <c r="O166" s="3">
        <v>201.95249999999987</v>
      </c>
      <c r="P166" s="3">
        <v>201.47749999999988</v>
      </c>
      <c r="Q166" s="3">
        <v>193.50249999999988</v>
      </c>
      <c r="R166" s="3">
        <v>194.45249999999987</v>
      </c>
      <c r="S166" s="3">
        <v>194</v>
      </c>
      <c r="T166" s="3">
        <v>194</v>
      </c>
      <c r="U166" s="7">
        <f t="shared" si="26"/>
        <v>0.47499999999999432</v>
      </c>
      <c r="V166" s="3">
        <v>2638.44</v>
      </c>
      <c r="W166" s="3">
        <v>3155.29</v>
      </c>
      <c r="X166" s="3">
        <v>2824.95</v>
      </c>
      <c r="Y166" s="3">
        <v>2840.76</v>
      </c>
      <c r="Z166" s="3">
        <f t="shared" si="27"/>
        <v>258.42499999999995</v>
      </c>
      <c r="AA166" s="4">
        <f t="shared" si="28"/>
        <v>4.8436811977103242E-2</v>
      </c>
      <c r="AB166" s="4">
        <f t="shared" si="29"/>
        <v>4.524910194048039E-3</v>
      </c>
      <c r="AC166">
        <v>1.1476266666666668</v>
      </c>
      <c r="AD166" s="2">
        <v>5.9006999999999996</v>
      </c>
      <c r="AE166" s="2">
        <v>1.93</v>
      </c>
      <c r="AF166" s="2">
        <f t="shared" si="30"/>
        <v>3.9706999999999999</v>
      </c>
      <c r="AG166" s="2">
        <v>0.78237333333333314</v>
      </c>
      <c r="AH166" s="1">
        <f t="shared" si="31"/>
        <v>83.539632602624835</v>
      </c>
      <c r="AI166" s="1">
        <f t="shared" si="32"/>
        <v>16.460367397375165</v>
      </c>
      <c r="AJ166" s="1">
        <f t="shared" si="33"/>
        <v>0.82301836986875831</v>
      </c>
      <c r="AK166" s="8">
        <v>0.12910000000000021</v>
      </c>
      <c r="AL166" s="9">
        <v>63.664508865747258</v>
      </c>
      <c r="AM166" s="10">
        <v>3.183225443287363</v>
      </c>
      <c r="AN166" s="9">
        <v>31.832254432873629</v>
      </c>
      <c r="AO166" s="11">
        <v>3.184497483558753</v>
      </c>
      <c r="AP166" s="2">
        <v>3.6094300000000006</v>
      </c>
      <c r="AQ166" s="2">
        <f t="shared" si="34"/>
        <v>0.19310450500000004</v>
      </c>
      <c r="AR166" s="2">
        <v>1.316848736042348</v>
      </c>
      <c r="AS166" s="2">
        <v>0.21675814002026164</v>
      </c>
      <c r="AT166" s="2">
        <f t="shared" si="35"/>
        <v>2.1675814002026166E-2</v>
      </c>
      <c r="AU166" s="2">
        <f t="shared" si="36"/>
        <v>1.049907327266803E-2</v>
      </c>
      <c r="AV166" s="2">
        <f t="shared" si="37"/>
        <v>1.6116077473545425E-3</v>
      </c>
      <c r="AW166" s="3">
        <f t="shared" si="38"/>
        <v>15.35</v>
      </c>
    </row>
    <row r="167" spans="1:49" x14ac:dyDescent="0.2">
      <c r="A167" t="s">
        <v>45</v>
      </c>
      <c r="B167" s="5" t="s">
        <v>46</v>
      </c>
      <c r="C167" s="5" t="s">
        <v>182</v>
      </c>
      <c r="D167" s="5" t="s">
        <v>217</v>
      </c>
      <c r="E167">
        <v>5</v>
      </c>
      <c r="F167" s="6">
        <v>204</v>
      </c>
      <c r="G167" s="3">
        <v>3.1</v>
      </c>
      <c r="H167" s="3">
        <v>2.4500000000000002</v>
      </c>
      <c r="I167" s="3">
        <v>0.95</v>
      </c>
      <c r="J167" s="3">
        <v>42.143749999999869</v>
      </c>
      <c r="K167" s="3">
        <v>43.093749999999858</v>
      </c>
      <c r="L167" s="3">
        <v>42.618749999999864</v>
      </c>
      <c r="M167" s="1">
        <v>0.19</v>
      </c>
      <c r="N167" s="3">
        <v>202.14374999999987</v>
      </c>
      <c r="O167" s="3">
        <v>203.09374999999986</v>
      </c>
      <c r="P167" s="3">
        <v>202.61874999999986</v>
      </c>
      <c r="Q167" s="3">
        <v>194.64374999999987</v>
      </c>
      <c r="R167" s="3">
        <v>195.59374999999986</v>
      </c>
      <c r="S167" s="3">
        <v>195.1</v>
      </c>
      <c r="T167" s="3">
        <v>195.1</v>
      </c>
      <c r="U167" s="7">
        <f t="shared" si="26"/>
        <v>0.47499999999999432</v>
      </c>
      <c r="V167" s="3">
        <v>2647.51</v>
      </c>
      <c r="W167" s="3">
        <v>3180.18</v>
      </c>
      <c r="X167" s="3">
        <v>2846.99</v>
      </c>
      <c r="Y167" s="3">
        <v>2863.47</v>
      </c>
      <c r="Z167" s="3">
        <f t="shared" si="27"/>
        <v>266.33499999999981</v>
      </c>
      <c r="AA167" s="4">
        <f t="shared" si="28"/>
        <v>4.8426150121065673E-2</v>
      </c>
      <c r="AB167" s="4">
        <f t="shared" si="29"/>
        <v>4.6220787131297809E-3</v>
      </c>
      <c r="AC167">
        <v>1.1476266666666668</v>
      </c>
      <c r="AD167" s="2">
        <v>5.7248000000000001</v>
      </c>
      <c r="AE167" s="2">
        <v>1.9539</v>
      </c>
      <c r="AF167" s="2">
        <f t="shared" si="30"/>
        <v>3.7709000000000001</v>
      </c>
      <c r="AG167" s="2">
        <v>0.80627333333333318</v>
      </c>
      <c r="AH167" s="1">
        <f t="shared" si="31"/>
        <v>82.384907133369069</v>
      </c>
      <c r="AI167" s="1">
        <f t="shared" si="32"/>
        <v>17.615092866630931</v>
      </c>
      <c r="AJ167" s="1">
        <f t="shared" si="33"/>
        <v>0.88075464333154663</v>
      </c>
      <c r="AK167" s="8">
        <v>6.390000000000029E-2</v>
      </c>
      <c r="AL167" s="9">
        <v>80.44077134986216</v>
      </c>
      <c r="AM167" s="10">
        <v>4.0220385674931078</v>
      </c>
      <c r="AN167" s="9">
        <v>40.22038567493108</v>
      </c>
      <c r="AO167" s="11">
        <v>4.0230453935298831</v>
      </c>
      <c r="AP167" s="2">
        <v>5.7427410937500021</v>
      </c>
      <c r="AQ167" s="2">
        <f t="shared" si="34"/>
        <v>0.37327817109375017</v>
      </c>
      <c r="AR167" s="2">
        <v>0.79703633832888776</v>
      </c>
      <c r="AS167" s="2">
        <v>0.14039869117742826</v>
      </c>
      <c r="AT167" s="2">
        <f t="shared" si="35"/>
        <v>1.4039869117742826E-2</v>
      </c>
      <c r="AU167" s="2">
        <f t="shared" si="36"/>
        <v>6.7989680957592797E-3</v>
      </c>
      <c r="AV167" s="2">
        <f t="shared" si="37"/>
        <v>1.1218297358002811E-3</v>
      </c>
      <c r="AW167" s="3">
        <f t="shared" si="38"/>
        <v>16.5</v>
      </c>
    </row>
    <row r="168" spans="1:49" x14ac:dyDescent="0.2">
      <c r="A168" t="s">
        <v>45</v>
      </c>
      <c r="B168" s="5" t="s">
        <v>46</v>
      </c>
      <c r="C168" s="5" t="s">
        <v>182</v>
      </c>
      <c r="D168" s="5" t="s">
        <v>218</v>
      </c>
      <c r="E168">
        <v>5</v>
      </c>
      <c r="F168" s="6">
        <v>205</v>
      </c>
      <c r="G168" s="3">
        <v>2.35</v>
      </c>
      <c r="H168" s="3">
        <v>2.1</v>
      </c>
      <c r="I168" s="3">
        <v>0.95</v>
      </c>
      <c r="J168" s="3">
        <v>43.284999999999854</v>
      </c>
      <c r="K168" s="3">
        <v>44.234999999999843</v>
      </c>
      <c r="L168" s="3">
        <v>43.759999999999849</v>
      </c>
      <c r="M168" s="1">
        <v>0.19</v>
      </c>
      <c r="N168" s="3">
        <v>203.28499999999985</v>
      </c>
      <c r="O168" s="3">
        <v>204.23499999999984</v>
      </c>
      <c r="P168" s="3">
        <v>203.75999999999985</v>
      </c>
      <c r="Q168" s="3">
        <v>195.78499999999985</v>
      </c>
      <c r="R168" s="3">
        <v>196.73499999999984</v>
      </c>
      <c r="S168" s="3">
        <v>196.3</v>
      </c>
      <c r="T168" s="3">
        <v>196.3</v>
      </c>
      <c r="U168" s="7">
        <f t="shared" si="26"/>
        <v>0.47499999999999432</v>
      </c>
      <c r="V168" s="3">
        <v>2662.07</v>
      </c>
      <c r="W168" s="3">
        <v>3202.17</v>
      </c>
      <c r="X168" s="3">
        <v>2871.78</v>
      </c>
      <c r="Y168" s="3">
        <v>2888.25</v>
      </c>
      <c r="Z168" s="3">
        <f t="shared" si="27"/>
        <v>270.04999999999995</v>
      </c>
      <c r="AA168" s="4">
        <f t="shared" si="28"/>
        <v>4.843681197710227E-2</v>
      </c>
      <c r="AB168" s="4">
        <f t="shared" si="29"/>
        <v>4.6460245952343977E-3</v>
      </c>
      <c r="AC168">
        <v>1.1476266666666668</v>
      </c>
      <c r="AD168" s="2">
        <v>5.4474999999999998</v>
      </c>
      <c r="AE168" s="2">
        <v>1.8835999999999999</v>
      </c>
      <c r="AF168" s="2">
        <f t="shared" si="30"/>
        <v>3.5638999999999998</v>
      </c>
      <c r="AG168" s="2">
        <v>0.73597333333333315</v>
      </c>
      <c r="AH168" s="1">
        <f t="shared" si="31"/>
        <v>82.883836888218426</v>
      </c>
      <c r="AI168" s="1">
        <f t="shared" si="32"/>
        <v>17.116163111781574</v>
      </c>
      <c r="AJ168" s="1">
        <f t="shared" si="33"/>
        <v>0.85580815558907875</v>
      </c>
      <c r="AK168" s="8">
        <v>4.9599999999999866E-2</v>
      </c>
      <c r="AL168" s="9">
        <v>82.448690728945522</v>
      </c>
      <c r="AM168" s="10">
        <v>4.1224345364472761</v>
      </c>
      <c r="AN168" s="9">
        <v>41.224345364472761</v>
      </c>
      <c r="AO168" s="11">
        <v>4.1234168485969578</v>
      </c>
      <c r="AP168" s="2">
        <v>3.6919285937500002</v>
      </c>
      <c r="AQ168" s="2">
        <f t="shared" si="34"/>
        <v>0.1993641440625</v>
      </c>
      <c r="AR168" s="2">
        <v>1.1646686072456851</v>
      </c>
      <c r="AS168" s="2">
        <v>0.19934657852788629</v>
      </c>
      <c r="AT168" s="2">
        <f t="shared" si="35"/>
        <v>1.9934657852788629E-2</v>
      </c>
      <c r="AU168" s="2">
        <f t="shared" si="36"/>
        <v>9.6557127424338803E-3</v>
      </c>
      <c r="AV168" s="2">
        <f t="shared" si="37"/>
        <v>1.4869797623348175E-3</v>
      </c>
      <c r="AW168" s="3">
        <f t="shared" si="38"/>
        <v>15.4</v>
      </c>
    </row>
    <row r="169" spans="1:49" x14ac:dyDescent="0.2">
      <c r="A169" t="s">
        <v>45</v>
      </c>
      <c r="B169" s="5" t="s">
        <v>46</v>
      </c>
      <c r="C169" s="5" t="s">
        <v>182</v>
      </c>
      <c r="D169" s="5" t="s">
        <v>219</v>
      </c>
      <c r="E169">
        <v>5</v>
      </c>
      <c r="F169" s="6">
        <v>206</v>
      </c>
      <c r="G169" s="3">
        <v>2.0499999999999998</v>
      </c>
      <c r="H169" s="3">
        <v>2.5</v>
      </c>
      <c r="I169" s="3">
        <v>1</v>
      </c>
      <c r="J169" s="3">
        <v>44.42624999999984</v>
      </c>
      <c r="K169" s="3">
        <v>45.42624999999984</v>
      </c>
      <c r="L169" s="3">
        <v>44.92624999999984</v>
      </c>
      <c r="M169" s="1">
        <v>0.19</v>
      </c>
      <c r="N169" s="3">
        <v>204.42624999999984</v>
      </c>
      <c r="O169" s="3">
        <v>205.42624999999984</v>
      </c>
      <c r="P169" s="3">
        <v>204.92624999999984</v>
      </c>
      <c r="Q169" s="3">
        <v>196.92624999999984</v>
      </c>
      <c r="R169" s="3">
        <v>197.92624999999984</v>
      </c>
      <c r="S169" s="3">
        <v>197.4</v>
      </c>
      <c r="T169" s="3">
        <v>197.4</v>
      </c>
      <c r="U169" s="7">
        <f t="shared" si="26"/>
        <v>0.5</v>
      </c>
      <c r="V169" s="3">
        <v>2673.58</v>
      </c>
      <c r="W169" s="3">
        <v>3236.92</v>
      </c>
      <c r="X169" s="3">
        <v>2892.17</v>
      </c>
      <c r="Y169" s="3">
        <v>2910.96</v>
      </c>
      <c r="Z169" s="3">
        <f t="shared" si="27"/>
        <v>281.67000000000007</v>
      </c>
      <c r="AA169" s="4">
        <f t="shared" si="28"/>
        <v>4.8445700444085166E-2</v>
      </c>
      <c r="AB169" s="4">
        <f t="shared" si="29"/>
        <v>4.8104071561695626E-3</v>
      </c>
      <c r="AC169">
        <v>1.1476266666666668</v>
      </c>
      <c r="AD169" s="2">
        <v>5.6551999999999998</v>
      </c>
      <c r="AE169" s="2">
        <v>1.9240999999999999</v>
      </c>
      <c r="AF169" s="2">
        <f t="shared" si="30"/>
        <v>3.7310999999999996</v>
      </c>
      <c r="AG169" s="2">
        <v>0.77647333333333313</v>
      </c>
      <c r="AH169" s="1">
        <f t="shared" si="31"/>
        <v>82.774027710401469</v>
      </c>
      <c r="AI169" s="1">
        <f t="shared" si="32"/>
        <v>17.225972289598531</v>
      </c>
      <c r="AJ169" s="1">
        <f t="shared" si="33"/>
        <v>0.86129861447992662</v>
      </c>
      <c r="AK169" s="8">
        <v>4.5600000000000307E-2</v>
      </c>
      <c r="AL169" s="9">
        <v>82.068423122296423</v>
      </c>
      <c r="AM169" s="10">
        <v>4.1034211561148215</v>
      </c>
      <c r="AN169" s="9">
        <v>41.034211561148211</v>
      </c>
      <c r="AO169" s="11">
        <v>4.104408018758698</v>
      </c>
      <c r="AP169" s="2">
        <v>4.0628656249999997</v>
      </c>
      <c r="AQ169" s="2">
        <f t="shared" si="34"/>
        <v>0.22548904218749999</v>
      </c>
      <c r="AR169" s="2">
        <v>1.109456661720958</v>
      </c>
      <c r="AS169" s="2">
        <v>0.19111469711315721</v>
      </c>
      <c r="AT169" s="2">
        <f t="shared" si="35"/>
        <v>1.9111469711315721E-2</v>
      </c>
      <c r="AU169" s="2">
        <f t="shared" si="36"/>
        <v>9.2586853668060812E-3</v>
      </c>
      <c r="AV169" s="2">
        <f t="shared" si="37"/>
        <v>1.4397255745383457E-3</v>
      </c>
      <c r="AW169" s="3">
        <f t="shared" si="38"/>
        <v>15.55</v>
      </c>
    </row>
    <row r="170" spans="1:49" x14ac:dyDescent="0.2">
      <c r="A170" t="s">
        <v>45</v>
      </c>
      <c r="B170" s="5" t="s">
        <v>46</v>
      </c>
      <c r="C170" s="5" t="s">
        <v>182</v>
      </c>
      <c r="D170" s="5" t="s">
        <v>220</v>
      </c>
      <c r="E170">
        <v>5</v>
      </c>
      <c r="F170" s="6">
        <v>207</v>
      </c>
      <c r="G170" s="3">
        <v>1.95</v>
      </c>
      <c r="H170" s="3">
        <v>2.5</v>
      </c>
      <c r="I170" s="3">
        <v>0.95</v>
      </c>
      <c r="J170" s="3">
        <v>45.617499999999836</v>
      </c>
      <c r="K170" s="3">
        <v>46.567499999999825</v>
      </c>
      <c r="L170" s="3">
        <v>46.092499999999831</v>
      </c>
      <c r="M170" s="1">
        <v>0.19</v>
      </c>
      <c r="N170" s="3">
        <v>205.61749999999984</v>
      </c>
      <c r="O170" s="3">
        <v>206.56749999999982</v>
      </c>
      <c r="P170" s="3">
        <v>206.09249999999983</v>
      </c>
      <c r="Q170" s="3">
        <v>198.11749999999984</v>
      </c>
      <c r="R170" s="3">
        <v>199.06749999999982</v>
      </c>
      <c r="S170" s="3">
        <v>198.6</v>
      </c>
      <c r="T170" s="3">
        <v>198.6</v>
      </c>
      <c r="U170" s="7">
        <f t="shared" si="26"/>
        <v>0.47499999999999432</v>
      </c>
      <c r="V170" s="3">
        <v>2682.63</v>
      </c>
      <c r="W170" s="3">
        <v>3272.07</v>
      </c>
      <c r="X170" s="3">
        <v>2916.15</v>
      </c>
      <c r="Y170" s="3">
        <v>2935.73</v>
      </c>
      <c r="Z170" s="3">
        <f t="shared" si="27"/>
        <v>294.72000000000003</v>
      </c>
      <c r="AA170" s="4">
        <f t="shared" si="28"/>
        <v>4.8426150121065673E-2</v>
      </c>
      <c r="AB170" s="4">
        <f t="shared" si="29"/>
        <v>4.9773581452841782E-3</v>
      </c>
      <c r="AC170">
        <v>1.1476266666666668</v>
      </c>
      <c r="AD170" s="2">
        <v>5.7035999999999998</v>
      </c>
      <c r="AE170" s="2">
        <v>1.9496</v>
      </c>
      <c r="AF170" s="2">
        <f t="shared" si="30"/>
        <v>3.7539999999999996</v>
      </c>
      <c r="AG170" s="2">
        <v>0.8019733333333332</v>
      </c>
      <c r="AH170" s="1">
        <f t="shared" si="31"/>
        <v>82.397321611481487</v>
      </c>
      <c r="AI170" s="1">
        <f t="shared" si="32"/>
        <v>17.602678388518513</v>
      </c>
      <c r="AJ170" s="1">
        <f t="shared" si="33"/>
        <v>0.88013391942592567</v>
      </c>
      <c r="AK170" s="8">
        <v>3.4600000000000186E-2</v>
      </c>
      <c r="AL170" s="9">
        <v>81.654294803817521</v>
      </c>
      <c r="AM170" s="10">
        <v>4.0827147401908759</v>
      </c>
      <c r="AN170" s="9">
        <v>40.827147401908761</v>
      </c>
      <c r="AO170" s="11">
        <v>4.0837066067204004</v>
      </c>
      <c r="AP170" s="2">
        <v>3.6919285937500002</v>
      </c>
      <c r="AQ170" s="2">
        <f t="shared" si="34"/>
        <v>0.1993641440625</v>
      </c>
      <c r="AR170" s="2">
        <v>1.2340361460527862</v>
      </c>
      <c r="AS170" s="2">
        <v>0.21722341398774059</v>
      </c>
      <c r="AT170" s="2">
        <f t="shared" si="35"/>
        <v>2.1722341398774062E-2</v>
      </c>
      <c r="AU170" s="2">
        <f t="shared" si="36"/>
        <v>1.0519293655580722E-2</v>
      </c>
      <c r="AV170" s="2">
        <f t="shared" si="37"/>
        <v>1.6199712229594315E-3</v>
      </c>
      <c r="AW170" s="3">
        <f t="shared" si="38"/>
        <v>15.400000000000002</v>
      </c>
    </row>
    <row r="171" spans="1:49" x14ac:dyDescent="0.2">
      <c r="A171" t="s">
        <v>45</v>
      </c>
      <c r="B171" s="5" t="s">
        <v>46</v>
      </c>
      <c r="C171" s="5" t="s">
        <v>182</v>
      </c>
      <c r="D171" s="5" t="s">
        <v>221</v>
      </c>
      <c r="E171">
        <v>5</v>
      </c>
      <c r="F171" s="6">
        <v>208</v>
      </c>
      <c r="G171" s="3">
        <v>1.8</v>
      </c>
      <c r="H171" s="3">
        <v>2.2000000000000002</v>
      </c>
      <c r="I171" s="3">
        <v>1.05</v>
      </c>
      <c r="J171" s="3">
        <v>46.758749999999822</v>
      </c>
      <c r="K171" s="3">
        <v>47.808749999999833</v>
      </c>
      <c r="L171" s="3">
        <v>47.283749999999827</v>
      </c>
      <c r="M171" s="1">
        <v>0.19</v>
      </c>
      <c r="N171" s="3">
        <v>206.75874999999982</v>
      </c>
      <c r="O171" s="3">
        <v>207.80874999999983</v>
      </c>
      <c r="P171" s="3">
        <v>207.28374999999983</v>
      </c>
      <c r="Q171" s="3">
        <v>199.25874999999982</v>
      </c>
      <c r="R171" s="3">
        <v>200.30874999999983</v>
      </c>
      <c r="S171" s="3">
        <v>199.8</v>
      </c>
      <c r="T171" s="3">
        <v>199.8</v>
      </c>
      <c r="U171" s="7">
        <f t="shared" si="26"/>
        <v>0.52500000000000568</v>
      </c>
      <c r="V171" s="3">
        <v>2693.41</v>
      </c>
      <c r="W171" s="3">
        <v>3319.62</v>
      </c>
      <c r="X171" s="3">
        <v>2937.78</v>
      </c>
      <c r="Y171" s="3">
        <v>2960.51</v>
      </c>
      <c r="Z171" s="3">
        <f t="shared" si="27"/>
        <v>313.10500000000002</v>
      </c>
      <c r="AA171" s="4">
        <f t="shared" si="28"/>
        <v>4.9200492004919341E-2</v>
      </c>
      <c r="AB171" s="4">
        <f t="shared" si="29"/>
        <v>5.3327489100403755E-3</v>
      </c>
      <c r="AC171">
        <v>1.1476266666666668</v>
      </c>
      <c r="AD171" s="2">
        <v>4.6600999999999999</v>
      </c>
      <c r="AE171" s="2">
        <v>1.7758</v>
      </c>
      <c r="AF171" s="2">
        <f t="shared" si="30"/>
        <v>2.8842999999999996</v>
      </c>
      <c r="AG171" s="2">
        <v>0.62817333333333325</v>
      </c>
      <c r="AH171" s="1">
        <f t="shared" si="31"/>
        <v>82.115925909757806</v>
      </c>
      <c r="AI171" s="1">
        <f t="shared" si="32"/>
        <v>17.884074090242194</v>
      </c>
      <c r="AJ171" s="1">
        <f t="shared" si="33"/>
        <v>0.89420370451210973</v>
      </c>
      <c r="AK171" s="8">
        <v>0.1584999999999992</v>
      </c>
      <c r="AL171" s="9">
        <v>57.12740059507729</v>
      </c>
      <c r="AM171" s="10">
        <v>2.8563700297538648</v>
      </c>
      <c r="AN171" s="9">
        <v>28.563700297538645</v>
      </c>
      <c r="AO171" s="11">
        <v>2.857787561537088</v>
      </c>
      <c r="AP171" s="2">
        <v>3.2970000000000002</v>
      </c>
      <c r="AQ171" s="2">
        <f t="shared" si="34"/>
        <v>0.16649850000000005</v>
      </c>
      <c r="AR171" s="2">
        <v>1.0653543625518147</v>
      </c>
      <c r="AS171" s="2">
        <v>0.19052876352239406</v>
      </c>
      <c r="AT171" s="2">
        <f t="shared" si="35"/>
        <v>1.9052876352239408E-2</v>
      </c>
      <c r="AU171" s="2">
        <f t="shared" si="36"/>
        <v>9.3741089063907167E-3</v>
      </c>
      <c r="AV171" s="2">
        <f t="shared" si="37"/>
        <v>1.4108033904118031E-3</v>
      </c>
      <c r="AW171" s="3">
        <f t="shared" si="38"/>
        <v>15.050000000000002</v>
      </c>
    </row>
    <row r="172" spans="1:49" x14ac:dyDescent="0.2">
      <c r="A172" t="s">
        <v>45</v>
      </c>
      <c r="B172" s="5" t="s">
        <v>46</v>
      </c>
      <c r="C172" s="5" t="s">
        <v>222</v>
      </c>
      <c r="D172" s="5" t="s">
        <v>223</v>
      </c>
      <c r="E172">
        <v>6</v>
      </c>
      <c r="F172" s="6">
        <v>216</v>
      </c>
      <c r="G172" s="3">
        <v>2.35</v>
      </c>
      <c r="H172" s="3">
        <v>2.6</v>
      </c>
      <c r="I172" s="3">
        <v>0.9</v>
      </c>
      <c r="J172" s="3">
        <v>7.2425000000001205</v>
      </c>
      <c r="K172" s="3">
        <v>8.1425000000001262</v>
      </c>
      <c r="L172" s="3">
        <v>7.6925000000001091</v>
      </c>
      <c r="M172" s="1">
        <v>0.17</v>
      </c>
      <c r="N172" s="3">
        <v>207.24250000000012</v>
      </c>
      <c r="O172" s="3">
        <v>208.14250000000013</v>
      </c>
      <c r="P172" s="3">
        <v>207.69250000000011</v>
      </c>
      <c r="Q172" s="3">
        <v>199.74250000000012</v>
      </c>
      <c r="R172" s="3">
        <v>200.64250000000013</v>
      </c>
      <c r="S172" s="3">
        <v>200.2</v>
      </c>
      <c r="T172" s="3">
        <v>200.2</v>
      </c>
      <c r="U172" s="7">
        <f t="shared" si="26"/>
        <v>0.45000000000000284</v>
      </c>
      <c r="V172" s="3">
        <v>2702.24</v>
      </c>
      <c r="W172" s="3">
        <v>3331.05</v>
      </c>
      <c r="X172" s="3">
        <v>2945.25</v>
      </c>
      <c r="Y172" s="3">
        <v>2968.64</v>
      </c>
      <c r="Z172" s="3">
        <f t="shared" si="27"/>
        <v>314.4050000000002</v>
      </c>
      <c r="AA172" s="4">
        <f t="shared" si="28"/>
        <v>5.0000000000001037E-2</v>
      </c>
      <c r="AB172" s="4">
        <f t="shared" si="29"/>
        <v>5.4078259275758284E-3</v>
      </c>
      <c r="AC172">
        <v>1.1476266666666668</v>
      </c>
      <c r="AD172" s="2">
        <v>6.7065000000000001</v>
      </c>
      <c r="AE172" s="2">
        <v>2.2524999999999999</v>
      </c>
      <c r="AF172" s="2">
        <f t="shared" si="30"/>
        <v>4.4540000000000006</v>
      </c>
      <c r="AG172" s="2">
        <v>1.1048733333333332</v>
      </c>
      <c r="AH172" s="1">
        <f t="shared" si="31"/>
        <v>80.124149857704978</v>
      </c>
      <c r="AI172" s="1">
        <f t="shared" si="32"/>
        <v>19.875850142295022</v>
      </c>
      <c r="AJ172" s="1">
        <f t="shared" si="33"/>
        <v>0.99379250711475109</v>
      </c>
      <c r="AK172" s="8">
        <v>9.7900000000000098E-2</v>
      </c>
      <c r="AL172" s="9">
        <v>77.184805406665092</v>
      </c>
      <c r="AM172" s="10">
        <v>3.8592402703332547</v>
      </c>
      <c r="AN172" s="9">
        <v>38.592402703332546</v>
      </c>
      <c r="AO172" s="11">
        <v>3.86028955703609</v>
      </c>
      <c r="AP172" s="2">
        <v>4.3277540625000004</v>
      </c>
      <c r="AQ172" s="2">
        <f t="shared" si="34"/>
        <v>0.25317361265625005</v>
      </c>
      <c r="AR172" s="2">
        <v>1.2844707099927384</v>
      </c>
      <c r="AS172" s="2">
        <v>0.25529947343982951</v>
      </c>
      <c r="AT172" s="2">
        <f t="shared" si="35"/>
        <v>2.5529947343982951E-2</v>
      </c>
      <c r="AU172" s="2">
        <f t="shared" si="36"/>
        <v>1.2764973671991741E-2</v>
      </c>
      <c r="AV172" s="2">
        <f t="shared" si="37"/>
        <v>2.0232483270106907E-3</v>
      </c>
      <c r="AW172" s="3">
        <f t="shared" si="38"/>
        <v>15.849999999999998</v>
      </c>
    </row>
    <row r="173" spans="1:49" x14ac:dyDescent="0.2">
      <c r="A173" t="s">
        <v>45</v>
      </c>
      <c r="B173" s="5" t="s">
        <v>46</v>
      </c>
      <c r="C173" s="5" t="s">
        <v>222</v>
      </c>
      <c r="D173" s="5" t="s">
        <v>224</v>
      </c>
      <c r="E173">
        <v>6</v>
      </c>
      <c r="F173" s="6">
        <v>217</v>
      </c>
      <c r="G173" s="3">
        <v>2.5</v>
      </c>
      <c r="H173" s="3">
        <v>3</v>
      </c>
      <c r="I173" s="3">
        <v>1</v>
      </c>
      <c r="J173" s="3">
        <v>8.3162500000001387</v>
      </c>
      <c r="K173" s="3">
        <v>9.3162500000001387</v>
      </c>
      <c r="L173" s="3">
        <v>8.8162500000001387</v>
      </c>
      <c r="M173" s="1">
        <v>0.17</v>
      </c>
      <c r="N173" s="3">
        <v>208.31625000000014</v>
      </c>
      <c r="O173" s="3">
        <v>209.31625000000014</v>
      </c>
      <c r="P173" s="3">
        <v>208.81625000000014</v>
      </c>
      <c r="Q173" s="3">
        <v>200.81625000000014</v>
      </c>
      <c r="R173" s="3">
        <v>201.81625000000014</v>
      </c>
      <c r="S173" s="3">
        <v>201.3</v>
      </c>
      <c r="T173" s="3">
        <v>201.3</v>
      </c>
      <c r="U173" s="7">
        <f t="shared" si="26"/>
        <v>0.5</v>
      </c>
      <c r="V173" s="3">
        <v>2725.58</v>
      </c>
      <c r="W173" s="3">
        <v>3343.56</v>
      </c>
      <c r="X173" s="3">
        <v>2970.27</v>
      </c>
      <c r="Y173" s="3">
        <v>2990.64</v>
      </c>
      <c r="Z173" s="3">
        <f t="shared" si="27"/>
        <v>308.99</v>
      </c>
      <c r="AA173" s="4">
        <f t="shared" si="28"/>
        <v>4.9999999999999524E-2</v>
      </c>
      <c r="AB173" s="4">
        <f t="shared" si="29"/>
        <v>5.2901438479112453E-3</v>
      </c>
      <c r="AC173">
        <v>1.1476266666666668</v>
      </c>
      <c r="AD173" s="2">
        <v>7.8849</v>
      </c>
      <c r="AE173" s="2">
        <v>2.5026000000000002</v>
      </c>
      <c r="AF173" s="2">
        <f t="shared" si="30"/>
        <v>5.3822999999999999</v>
      </c>
      <c r="AG173" s="2">
        <v>1.3549733333333334</v>
      </c>
      <c r="AH173" s="1">
        <f t="shared" si="31"/>
        <v>79.888401935105293</v>
      </c>
      <c r="AI173" s="1">
        <f t="shared" si="32"/>
        <v>20.111598064894707</v>
      </c>
      <c r="AJ173" s="1">
        <f t="shared" si="33"/>
        <v>1.0055799032447355</v>
      </c>
      <c r="AK173" s="8">
        <v>6.8799999999999528E-2</v>
      </c>
      <c r="AL173" s="9">
        <v>78.533541341653816</v>
      </c>
      <c r="AM173" s="10">
        <v>3.9266770670826912</v>
      </c>
      <c r="AN173" s="9">
        <v>39.266770670826908</v>
      </c>
      <c r="AO173" s="11">
        <v>3.9277083380965454</v>
      </c>
      <c r="AP173" s="2">
        <v>5.9365625</v>
      </c>
      <c r="AQ173" s="2">
        <f t="shared" si="34"/>
        <v>0.38587656250000002</v>
      </c>
      <c r="AR173" s="2">
        <v>1.1348778579073888</v>
      </c>
      <c r="AS173" s="2">
        <v>0.22824207330982085</v>
      </c>
      <c r="AT173" s="2">
        <f t="shared" si="35"/>
        <v>2.2824207330982088E-2</v>
      </c>
      <c r="AU173" s="2">
        <f t="shared" si="36"/>
        <v>1.1412103665490935E-2</v>
      </c>
      <c r="AV173" s="2">
        <f t="shared" si="37"/>
        <v>1.8829971048060043E-3</v>
      </c>
      <c r="AW173" s="3">
        <f t="shared" si="38"/>
        <v>16.5</v>
      </c>
    </row>
    <row r="174" spans="1:49" x14ac:dyDescent="0.2">
      <c r="A174" t="s">
        <v>45</v>
      </c>
      <c r="B174" s="5" t="s">
        <v>46</v>
      </c>
      <c r="C174" s="5" t="s">
        <v>222</v>
      </c>
      <c r="D174" s="5" t="s">
        <v>225</v>
      </c>
      <c r="E174">
        <v>6</v>
      </c>
      <c r="F174" s="6">
        <v>218</v>
      </c>
      <c r="G174" s="3">
        <v>2.4500000000000002</v>
      </c>
      <c r="H174" s="3">
        <v>2.5</v>
      </c>
      <c r="I174" s="3">
        <v>1</v>
      </c>
      <c r="J174" s="3">
        <v>9.4900000000001512</v>
      </c>
      <c r="K174" s="3">
        <v>10.490000000000151</v>
      </c>
      <c r="L174" s="3">
        <v>9.9900000000001512</v>
      </c>
      <c r="M174" s="1">
        <v>0.17</v>
      </c>
      <c r="N174" s="3">
        <v>209.49000000000015</v>
      </c>
      <c r="O174" s="3">
        <v>210.49000000000015</v>
      </c>
      <c r="P174" s="3">
        <v>209.99000000000015</v>
      </c>
      <c r="Q174" s="3">
        <v>201.99000000000015</v>
      </c>
      <c r="R174" s="3">
        <v>202.99000000000015</v>
      </c>
      <c r="S174" s="3">
        <v>202.5</v>
      </c>
      <c r="T174" s="3">
        <v>202.5</v>
      </c>
      <c r="U174" s="7">
        <f t="shared" si="26"/>
        <v>0.5</v>
      </c>
      <c r="V174" s="3">
        <v>2747.53</v>
      </c>
      <c r="W174" s="3">
        <v>3360.41</v>
      </c>
      <c r="X174" s="3">
        <v>2997.67</v>
      </c>
      <c r="Y174" s="3">
        <v>3014.64</v>
      </c>
      <c r="Z174" s="3">
        <f t="shared" si="27"/>
        <v>306.43999999999983</v>
      </c>
      <c r="AA174" s="4">
        <f t="shared" si="28"/>
        <v>5.0020842017506326E-2</v>
      </c>
      <c r="AB174" s="4">
        <f t="shared" si="29"/>
        <v>5.2081574398062805E-3</v>
      </c>
      <c r="AC174">
        <v>1.1476266666666668</v>
      </c>
      <c r="AD174" s="2">
        <v>7.2319000000000004</v>
      </c>
      <c r="AE174" s="2">
        <v>2.4217</v>
      </c>
      <c r="AF174" s="2">
        <f t="shared" si="30"/>
        <v>4.8102</v>
      </c>
      <c r="AG174" s="2">
        <v>1.2740733333333332</v>
      </c>
      <c r="AH174" s="1">
        <f t="shared" si="31"/>
        <v>79.059564494691799</v>
      </c>
      <c r="AI174" s="1">
        <f t="shared" si="32"/>
        <v>20.940435505308201</v>
      </c>
      <c r="AJ174" s="1">
        <f t="shared" si="33"/>
        <v>1.0470217752654101</v>
      </c>
      <c r="AK174" s="8">
        <v>0.13830000000000009</v>
      </c>
      <c r="AL174" s="9">
        <v>74.605214836577289</v>
      </c>
      <c r="AM174" s="10">
        <v>3.7302607418288645</v>
      </c>
      <c r="AN174" s="9">
        <v>37.302607418288645</v>
      </c>
      <c r="AO174" s="11">
        <v>3.7313462988617969</v>
      </c>
      <c r="AP174" s="2">
        <v>4.8086156250000007</v>
      </c>
      <c r="AQ174" s="2">
        <f t="shared" si="34"/>
        <v>0.28611262968750006</v>
      </c>
      <c r="AR174" s="2">
        <v>1.2652858551848449</v>
      </c>
      <c r="AS174" s="2">
        <v>0.26495636846276999</v>
      </c>
      <c r="AT174" s="2">
        <f t="shared" si="35"/>
        <v>2.6495636846276999E-2</v>
      </c>
      <c r="AU174" s="2">
        <f t="shared" si="36"/>
        <v>1.3253340648408413E-2</v>
      </c>
      <c r="AV174" s="2">
        <f t="shared" si="37"/>
        <v>2.1139078334211419E-3</v>
      </c>
      <c r="AW174" s="3">
        <f t="shared" si="38"/>
        <v>15.950000000000001</v>
      </c>
    </row>
    <row r="175" spans="1:49" x14ac:dyDescent="0.2">
      <c r="A175" t="s">
        <v>45</v>
      </c>
      <c r="B175" s="5" t="s">
        <v>46</v>
      </c>
      <c r="C175" s="5" t="s">
        <v>222</v>
      </c>
      <c r="D175" s="5" t="s">
        <v>226</v>
      </c>
      <c r="E175">
        <v>6</v>
      </c>
      <c r="F175" s="6">
        <v>219</v>
      </c>
      <c r="G175" s="3">
        <v>2.5</v>
      </c>
      <c r="H175" s="3">
        <v>2.65</v>
      </c>
      <c r="I175" s="3">
        <v>1</v>
      </c>
      <c r="J175" s="3">
        <v>10.663750000000164</v>
      </c>
      <c r="K175" s="3">
        <v>11.663750000000164</v>
      </c>
      <c r="L175" s="3">
        <v>11.163750000000164</v>
      </c>
      <c r="M175" s="1">
        <v>0.17</v>
      </c>
      <c r="N175" s="3">
        <v>210.66375000000016</v>
      </c>
      <c r="O175" s="3">
        <v>211.66375000000016</v>
      </c>
      <c r="P175" s="3">
        <v>211.16375000000016</v>
      </c>
      <c r="Q175" s="3">
        <v>203.16375000000016</v>
      </c>
      <c r="R175" s="3">
        <v>204.16375000000016</v>
      </c>
      <c r="S175" s="3">
        <v>203.7</v>
      </c>
      <c r="T175" s="3">
        <v>203.7</v>
      </c>
      <c r="U175" s="7">
        <f t="shared" si="26"/>
        <v>0.5</v>
      </c>
      <c r="V175" s="3">
        <v>2769.52</v>
      </c>
      <c r="W175" s="3">
        <v>3374.6</v>
      </c>
      <c r="X175" s="3">
        <v>3024.41</v>
      </c>
      <c r="Y175" s="3">
        <v>3038.63</v>
      </c>
      <c r="Z175" s="3">
        <f t="shared" si="27"/>
        <v>302.53999999999996</v>
      </c>
      <c r="AA175" s="4">
        <f t="shared" si="28"/>
        <v>5.0000000000001037E-2</v>
      </c>
      <c r="AB175" s="4">
        <f t="shared" si="29"/>
        <v>5.1009598250741041E-3</v>
      </c>
      <c r="AC175">
        <v>1.1476266666666668</v>
      </c>
      <c r="AD175" s="2">
        <v>7.6791999999999998</v>
      </c>
      <c r="AE175">
        <v>2.2206999999999999</v>
      </c>
      <c r="AF175" s="2">
        <f t="shared" si="30"/>
        <v>5.4584999999999999</v>
      </c>
      <c r="AG175" s="2">
        <v>1.0225733333333331</v>
      </c>
      <c r="AH175" s="1">
        <f t="shared" si="31"/>
        <v>83.57098238709203</v>
      </c>
      <c r="AI175" s="1">
        <f t="shared" si="32"/>
        <v>16.42901761290797</v>
      </c>
      <c r="AJ175" s="1">
        <f t="shared" si="33"/>
        <v>0.82145088064539851</v>
      </c>
      <c r="AK175" s="8">
        <v>8.4900000000000198E-2</v>
      </c>
      <c r="AL175" s="9">
        <v>72.163934426229417</v>
      </c>
      <c r="AM175" s="10">
        <v>3.608196721311471</v>
      </c>
      <c r="AN175" s="9">
        <v>36.081967213114709</v>
      </c>
      <c r="AO175" s="11">
        <v>3.6093189911232355</v>
      </c>
      <c r="AP175" s="2">
        <v>5.2050406250000014</v>
      </c>
      <c r="AQ175" s="2">
        <f t="shared" si="34"/>
        <v>0.3201099984375001</v>
      </c>
      <c r="AR175" s="2">
        <v>1.2548553995836165</v>
      </c>
      <c r="AS175" s="2">
        <v>0.19645828092520082</v>
      </c>
      <c r="AT175" s="2">
        <f t="shared" si="35"/>
        <v>1.9645828092520082E-2</v>
      </c>
      <c r="AU175" s="2">
        <f t="shared" si="36"/>
        <v>9.8229140462602442E-3</v>
      </c>
      <c r="AV175" s="2">
        <f t="shared" si="37"/>
        <v>1.5864006184710296E-3</v>
      </c>
      <c r="AW175" s="3">
        <f t="shared" si="38"/>
        <v>16.150000000000002</v>
      </c>
    </row>
    <row r="176" spans="1:49" x14ac:dyDescent="0.2">
      <c r="A176" t="s">
        <v>45</v>
      </c>
      <c r="B176" s="5" t="s">
        <v>46</v>
      </c>
      <c r="C176" s="5" t="s">
        <v>222</v>
      </c>
      <c r="D176" s="5" t="s">
        <v>227</v>
      </c>
      <c r="E176">
        <v>6</v>
      </c>
      <c r="F176" s="6">
        <v>220</v>
      </c>
      <c r="G176" s="3">
        <v>2.5499999999999998</v>
      </c>
      <c r="H176" s="3">
        <v>2.75</v>
      </c>
      <c r="I176" s="3">
        <v>1</v>
      </c>
      <c r="J176" s="3">
        <v>11.837500000000176</v>
      </c>
      <c r="K176" s="3">
        <v>12.837500000000176</v>
      </c>
      <c r="L176" s="3">
        <v>12.337500000000176</v>
      </c>
      <c r="M176" s="1">
        <v>0.17</v>
      </c>
      <c r="N176" s="3">
        <v>211.83750000000018</v>
      </c>
      <c r="O176" s="3">
        <v>212.83750000000018</v>
      </c>
      <c r="P176" s="3">
        <v>212.33750000000018</v>
      </c>
      <c r="Q176" s="3">
        <v>204.33750000000018</v>
      </c>
      <c r="R176" s="3">
        <v>205.33750000000018</v>
      </c>
      <c r="S176" s="3">
        <v>204.8</v>
      </c>
      <c r="T176" s="3">
        <v>204.8</v>
      </c>
      <c r="U176" s="7">
        <f t="shared" si="26"/>
        <v>0.5</v>
      </c>
      <c r="V176" s="3">
        <v>2787.16</v>
      </c>
      <c r="W176" s="3">
        <v>3388.78</v>
      </c>
      <c r="X176" s="3">
        <v>3050.13</v>
      </c>
      <c r="Y176" s="3">
        <v>3060.63</v>
      </c>
      <c r="Z176" s="3">
        <f t="shared" si="27"/>
        <v>300.81000000000017</v>
      </c>
      <c r="AA176" s="4">
        <f t="shared" si="28"/>
        <v>4.9999999999999524E-2</v>
      </c>
      <c r="AB176" s="4">
        <f t="shared" si="29"/>
        <v>5.0362546470977335E-3</v>
      </c>
      <c r="AC176">
        <v>1.1476266666666668</v>
      </c>
      <c r="AD176" s="2">
        <v>7.9656000000000002</v>
      </c>
      <c r="AE176" s="2">
        <v>2.1701999999999999</v>
      </c>
      <c r="AF176" s="2">
        <f t="shared" si="30"/>
        <v>5.7954000000000008</v>
      </c>
      <c r="AG176" s="2">
        <v>0.9079733333333333</v>
      </c>
      <c r="AH176" s="1">
        <f t="shared" si="31"/>
        <v>85.001799166125622</v>
      </c>
      <c r="AI176" s="1">
        <f t="shared" si="32"/>
        <v>14.998200833874378</v>
      </c>
      <c r="AJ176" s="1">
        <f t="shared" si="33"/>
        <v>0.749910041693719</v>
      </c>
      <c r="AK176" s="8">
        <v>0.10400000000000009</v>
      </c>
      <c r="AL176" s="9">
        <v>67.150979153506</v>
      </c>
      <c r="AM176" s="10">
        <v>3.3575489576753004</v>
      </c>
      <c r="AN176" s="9">
        <v>33.575489576753</v>
      </c>
      <c r="AO176" s="11">
        <v>3.3587549781409325</v>
      </c>
      <c r="AP176" s="2">
        <v>5.5126624999999994</v>
      </c>
      <c r="AQ176" s="2">
        <f t="shared" si="34"/>
        <v>0.34729773749999998</v>
      </c>
      <c r="AR176" s="2">
        <v>1.2367841008466116</v>
      </c>
      <c r="AS176" s="2">
        <v>0.16470686049315253</v>
      </c>
      <c r="AT176" s="2">
        <f t="shared" si="35"/>
        <v>1.6470686049315255E-2</v>
      </c>
      <c r="AU176" s="2">
        <f t="shared" si="36"/>
        <v>8.2353430246575477E-3</v>
      </c>
      <c r="AV176" s="2">
        <f t="shared" si="37"/>
        <v>1.3423609130191806E-3</v>
      </c>
      <c r="AW176" s="3">
        <f t="shared" si="38"/>
        <v>16.300000000000004</v>
      </c>
    </row>
    <row r="177" spans="1:49" x14ac:dyDescent="0.2">
      <c r="A177" t="s">
        <v>45</v>
      </c>
      <c r="B177" s="5" t="s">
        <v>46</v>
      </c>
      <c r="C177" s="5" t="s">
        <v>222</v>
      </c>
      <c r="D177" s="5" t="s">
        <v>228</v>
      </c>
      <c r="E177">
        <v>6</v>
      </c>
      <c r="F177" s="6">
        <v>221</v>
      </c>
      <c r="G177" s="3">
        <v>2.4500000000000002</v>
      </c>
      <c r="H177" s="3">
        <v>2.5</v>
      </c>
      <c r="I177" s="3">
        <v>1.05</v>
      </c>
      <c r="J177" s="3">
        <v>13.011250000000189</v>
      </c>
      <c r="K177" s="3">
        <v>14.0612500000002</v>
      </c>
      <c r="L177" s="3">
        <v>13.536250000000194</v>
      </c>
      <c r="M177" s="1">
        <v>0.17</v>
      </c>
      <c r="N177" s="3">
        <v>213.01125000000019</v>
      </c>
      <c r="O177" s="3">
        <v>214.0612500000002</v>
      </c>
      <c r="P177" s="3">
        <v>213.53625000000019</v>
      </c>
      <c r="Q177" s="3">
        <v>205.51125000000019</v>
      </c>
      <c r="R177" s="3">
        <v>206.5612500000002</v>
      </c>
      <c r="S177" s="3">
        <v>206</v>
      </c>
      <c r="T177" s="3">
        <v>206</v>
      </c>
      <c r="U177" s="7">
        <f t="shared" si="26"/>
        <v>0.52500000000000568</v>
      </c>
      <c r="V177" s="3">
        <v>2806.51</v>
      </c>
      <c r="W177" s="3">
        <v>3403.82</v>
      </c>
      <c r="X177" s="3">
        <v>3080.16</v>
      </c>
      <c r="Y177" s="3">
        <v>3084.63</v>
      </c>
      <c r="Z177" s="3">
        <f t="shared" si="27"/>
        <v>298.65499999999997</v>
      </c>
      <c r="AA177" s="4">
        <f t="shared" si="28"/>
        <v>4.9999999999999524E-2</v>
      </c>
      <c r="AB177" s="4">
        <f t="shared" si="29"/>
        <v>4.9684453941053787E-3</v>
      </c>
      <c r="AC177">
        <v>1.1476266666666668</v>
      </c>
      <c r="AD177" s="2">
        <v>7.4714999999999998</v>
      </c>
      <c r="AE177" s="2">
        <v>2.0556000000000001</v>
      </c>
      <c r="AF177" s="2">
        <f t="shared" si="30"/>
        <v>5.4158999999999997</v>
      </c>
      <c r="AG177" s="2">
        <v>0.99987333333333317</v>
      </c>
      <c r="AH177" s="1">
        <f t="shared" si="31"/>
        <v>85.64213282787658</v>
      </c>
      <c r="AI177" s="1">
        <f t="shared" si="32"/>
        <v>14.35786717212342</v>
      </c>
      <c r="AJ177" s="1">
        <f t="shared" si="33"/>
        <v>0.71789335860617109</v>
      </c>
      <c r="AK177" s="8">
        <v>8.4200000000000053E-2</v>
      </c>
      <c r="AL177" s="9">
        <v>79.393049437102277</v>
      </c>
      <c r="AM177" s="10">
        <v>3.9696524718551141</v>
      </c>
      <c r="AN177" s="9">
        <v>39.696524718551139</v>
      </c>
      <c r="AO177" s="11">
        <v>3.970672581226689</v>
      </c>
      <c r="AP177" s="2">
        <v>5.0490464062500005</v>
      </c>
      <c r="AQ177" s="2">
        <f t="shared" si="34"/>
        <v>0.30294278437500005</v>
      </c>
      <c r="AR177" s="2">
        <v>1.2524886532049455</v>
      </c>
      <c r="AS177" s="2">
        <v>0.19803211396425915</v>
      </c>
      <c r="AT177" s="2">
        <f t="shared" si="35"/>
        <v>1.9803211396425918E-2</v>
      </c>
      <c r="AU177" s="2">
        <f t="shared" si="36"/>
        <v>9.9016056982128633E-3</v>
      </c>
      <c r="AV177" s="2">
        <f t="shared" si="37"/>
        <v>1.5842569117140582E-3</v>
      </c>
      <c r="AW177" s="3">
        <f t="shared" si="38"/>
        <v>16</v>
      </c>
    </row>
    <row r="178" spans="1:49" x14ac:dyDescent="0.2">
      <c r="A178" t="s">
        <v>45</v>
      </c>
      <c r="B178" s="5" t="s">
        <v>46</v>
      </c>
      <c r="C178" s="5" t="s">
        <v>222</v>
      </c>
      <c r="D178" s="5" t="s">
        <v>229</v>
      </c>
      <c r="E178">
        <v>6</v>
      </c>
      <c r="F178" s="6">
        <v>222</v>
      </c>
      <c r="G178" s="3">
        <v>2.6</v>
      </c>
      <c r="H178" s="3">
        <v>2.65</v>
      </c>
      <c r="I178" s="3">
        <v>1</v>
      </c>
      <c r="J178" s="3">
        <v>14.235000000000213</v>
      </c>
      <c r="K178" s="3">
        <v>15.235000000000213</v>
      </c>
      <c r="L178" s="3">
        <v>14.735000000000213</v>
      </c>
      <c r="M178" s="1">
        <v>0.17</v>
      </c>
      <c r="N178" s="3">
        <v>214.23500000000021</v>
      </c>
      <c r="O178" s="3">
        <v>215.23500000000021</v>
      </c>
      <c r="P178" s="3">
        <v>214.73500000000021</v>
      </c>
      <c r="Q178" s="3">
        <v>206.73500000000021</v>
      </c>
      <c r="R178" s="3">
        <v>207.73500000000021</v>
      </c>
      <c r="S178" s="3">
        <v>207.2</v>
      </c>
      <c r="T178" s="3">
        <v>207.2</v>
      </c>
      <c r="U178" s="7">
        <f t="shared" si="26"/>
        <v>0.5</v>
      </c>
      <c r="V178" s="3">
        <v>2820.35</v>
      </c>
      <c r="W178" s="3">
        <v>3426.34</v>
      </c>
      <c r="X178" s="3">
        <v>3109.67</v>
      </c>
      <c r="Y178" s="3">
        <v>3108.63</v>
      </c>
      <c r="Z178" s="3">
        <f t="shared" si="27"/>
        <v>302.99500000000012</v>
      </c>
      <c r="AA178" s="4">
        <f t="shared" si="28"/>
        <v>5.0000000000000711E-2</v>
      </c>
      <c r="AB178" s="4">
        <f t="shared" si="29"/>
        <v>4.9941054462942641E-3</v>
      </c>
      <c r="AC178">
        <v>1.1476266666666668</v>
      </c>
      <c r="AD178" s="2">
        <v>7.5674000000000001</v>
      </c>
      <c r="AE178" s="2">
        <v>2.1475</v>
      </c>
      <c r="AF178" s="2">
        <f t="shared" si="30"/>
        <v>5.4199000000000002</v>
      </c>
      <c r="AG178" s="2">
        <v>0.95607333333333311</v>
      </c>
      <c r="AH178" s="1">
        <f t="shared" si="31"/>
        <v>84.425099120841224</v>
      </c>
      <c r="AI178" s="1">
        <f t="shared" si="32"/>
        <v>15.574900879158776</v>
      </c>
      <c r="AJ178" s="1">
        <f t="shared" si="33"/>
        <v>0.77874504395793887</v>
      </c>
      <c r="AK178" s="8">
        <v>5.7399999999999451E-2</v>
      </c>
      <c r="AL178" s="9">
        <v>80.396174863388154</v>
      </c>
      <c r="AM178" s="10">
        <v>4.0198087431694081</v>
      </c>
      <c r="AN178" s="9">
        <v>40.198087431694077</v>
      </c>
      <c r="AO178" s="11">
        <v>4.0208161275618179</v>
      </c>
      <c r="AP178" s="2">
        <v>5.409140625</v>
      </c>
      <c r="AQ178" s="2">
        <f t="shared" si="34"/>
        <v>0.3380712890625</v>
      </c>
      <c r="AR178" s="2">
        <v>1.1868379431036393</v>
      </c>
      <c r="AS178" s="2">
        <v>0.17675142866771615</v>
      </c>
      <c r="AT178" s="2">
        <f t="shared" si="35"/>
        <v>1.7675142866771614E-2</v>
      </c>
      <c r="AU178" s="2">
        <f t="shared" si="36"/>
        <v>8.8375714333859337E-3</v>
      </c>
      <c r="AV178" s="2">
        <f t="shared" si="37"/>
        <v>1.436105357925214E-3</v>
      </c>
      <c r="AW178" s="3">
        <f t="shared" si="38"/>
        <v>16.249999999999996</v>
      </c>
    </row>
    <row r="179" spans="1:49" x14ac:dyDescent="0.2">
      <c r="A179" t="s">
        <v>45</v>
      </c>
      <c r="B179" s="5" t="s">
        <v>46</v>
      </c>
      <c r="C179" s="5" t="s">
        <v>222</v>
      </c>
      <c r="D179" s="5" t="s">
        <v>230</v>
      </c>
      <c r="E179">
        <v>6</v>
      </c>
      <c r="F179" s="6">
        <v>223</v>
      </c>
      <c r="G179" s="3">
        <v>2.5499999999999998</v>
      </c>
      <c r="H179" s="3">
        <v>2.6</v>
      </c>
      <c r="I179" s="3">
        <v>1.05</v>
      </c>
      <c r="J179" s="3">
        <v>15.408750000000225</v>
      </c>
      <c r="K179" s="3">
        <v>16.458750000000236</v>
      </c>
      <c r="L179" s="3">
        <v>15.933750000000231</v>
      </c>
      <c r="M179" s="1">
        <v>0.17</v>
      </c>
      <c r="N179" s="3">
        <v>215.40875000000023</v>
      </c>
      <c r="O179" s="3">
        <v>216.45875000000024</v>
      </c>
      <c r="P179" s="3">
        <v>215.93375000000023</v>
      </c>
      <c r="Q179" s="3">
        <v>207.90875000000023</v>
      </c>
      <c r="R179" s="3">
        <v>208.95875000000024</v>
      </c>
      <c r="S179" s="3">
        <v>208.4</v>
      </c>
      <c r="T179" s="3">
        <v>208.4</v>
      </c>
      <c r="U179" s="7">
        <f t="shared" si="26"/>
        <v>0.52500000000000568</v>
      </c>
      <c r="V179" s="3">
        <v>2831.06</v>
      </c>
      <c r="W179" s="3">
        <v>3457.09</v>
      </c>
      <c r="X179" s="3">
        <v>3134.93</v>
      </c>
      <c r="Y179" s="3">
        <v>3132.63</v>
      </c>
      <c r="Z179" s="3">
        <f t="shared" si="27"/>
        <v>313.0150000000001</v>
      </c>
      <c r="AA179" s="4">
        <f t="shared" si="28"/>
        <v>5.0020842017507276E-2</v>
      </c>
      <c r="AB179" s="4">
        <f t="shared" si="29"/>
        <v>5.124136414409149E-3</v>
      </c>
      <c r="AC179">
        <v>1.1476266666666668</v>
      </c>
      <c r="AD179" s="2">
        <v>7.1939000000000002</v>
      </c>
      <c r="AE179" s="2">
        <v>2.1036999999999999</v>
      </c>
      <c r="AF179" s="2">
        <f t="shared" si="30"/>
        <v>5.0902000000000003</v>
      </c>
      <c r="AG179" s="2">
        <v>1.138073333333333</v>
      </c>
      <c r="AH179" s="1">
        <f t="shared" si="31"/>
        <v>84.187394769891327</v>
      </c>
      <c r="AI179" s="1">
        <f t="shared" si="32"/>
        <v>15.812605230108673</v>
      </c>
      <c r="AJ179" s="1">
        <f t="shared" si="33"/>
        <v>0.7906302615054337</v>
      </c>
      <c r="AK179" s="8">
        <v>6.2300000000000466E-2</v>
      </c>
      <c r="AL179" s="9">
        <v>83.070652173912933</v>
      </c>
      <c r="AM179" s="10">
        <v>4.153532608695647</v>
      </c>
      <c r="AN179" s="9">
        <v>41.535326086956466</v>
      </c>
      <c r="AO179" s="11">
        <v>4.1545075678710788</v>
      </c>
      <c r="AP179" s="2">
        <v>5.4652926562500017</v>
      </c>
      <c r="AQ179" s="2">
        <f t="shared" si="34"/>
        <v>0.33884814468750013</v>
      </c>
      <c r="AR179" s="2">
        <v>1.1063036718480086</v>
      </c>
      <c r="AS179" s="2">
        <v>0.20823648520118215</v>
      </c>
      <c r="AT179" s="2">
        <f t="shared" si="35"/>
        <v>2.0823648520118216E-2</v>
      </c>
      <c r="AU179" s="2">
        <f t="shared" si="36"/>
        <v>1.0416164328529324E-2</v>
      </c>
      <c r="AV179" s="2">
        <f t="shared" si="37"/>
        <v>1.6874186212217505E-3</v>
      </c>
      <c r="AW179" s="3">
        <f t="shared" si="38"/>
        <v>16.2</v>
      </c>
    </row>
    <row r="180" spans="1:49" x14ac:dyDescent="0.2">
      <c r="A180" t="s">
        <v>45</v>
      </c>
      <c r="B180" s="5" t="s">
        <v>46</v>
      </c>
      <c r="C180" s="5" t="s">
        <v>222</v>
      </c>
      <c r="D180" s="5" t="s">
        <v>231</v>
      </c>
      <c r="E180">
        <v>6</v>
      </c>
      <c r="F180" s="6">
        <v>224</v>
      </c>
      <c r="G180" s="3">
        <v>2.5499999999999998</v>
      </c>
      <c r="H180" s="3">
        <v>2.7</v>
      </c>
      <c r="I180" s="3">
        <v>1</v>
      </c>
      <c r="J180" s="3">
        <v>16.632500000000249</v>
      </c>
      <c r="K180" s="3">
        <v>17.632500000000249</v>
      </c>
      <c r="L180" s="3">
        <v>17.132500000000249</v>
      </c>
      <c r="M180" s="1">
        <v>0.17</v>
      </c>
      <c r="N180" s="3">
        <v>216.63250000000025</v>
      </c>
      <c r="O180" s="3">
        <v>217.63250000000025</v>
      </c>
      <c r="P180" s="3">
        <v>217.13250000000025</v>
      </c>
      <c r="Q180" s="3">
        <v>209.13250000000025</v>
      </c>
      <c r="R180" s="3">
        <v>210.13250000000025</v>
      </c>
      <c r="S180" s="3">
        <v>209.6</v>
      </c>
      <c r="T180" s="3">
        <v>209.6</v>
      </c>
      <c r="U180" s="7">
        <f t="shared" si="26"/>
        <v>0.5</v>
      </c>
      <c r="V180" s="3">
        <v>2841.15</v>
      </c>
      <c r="W180" s="3">
        <v>3483.06</v>
      </c>
      <c r="X180" s="3">
        <v>3159.41</v>
      </c>
      <c r="Y180" s="3">
        <v>3156.62</v>
      </c>
      <c r="Z180" s="3">
        <f t="shared" si="27"/>
        <v>320.95499999999993</v>
      </c>
      <c r="AA180" s="4">
        <f t="shared" si="28"/>
        <v>5.2151238591916803E-2</v>
      </c>
      <c r="AB180" s="4">
        <f t="shared" si="29"/>
        <v>5.4269772993757043E-3</v>
      </c>
      <c r="AC180">
        <v>1.1476266666666668</v>
      </c>
      <c r="AD180" s="2">
        <v>7.7293000000000003</v>
      </c>
      <c r="AE180" s="2">
        <v>2.2856999999999998</v>
      </c>
      <c r="AF180" s="2">
        <f t="shared" si="30"/>
        <v>5.4436</v>
      </c>
      <c r="AG180" s="2">
        <v>0.89137333333333335</v>
      </c>
      <c r="AH180" s="1">
        <f t="shared" si="31"/>
        <v>82.708450029425151</v>
      </c>
      <c r="AI180" s="1">
        <f t="shared" si="32"/>
        <v>17.291549970574849</v>
      </c>
      <c r="AJ180" s="1">
        <f t="shared" si="33"/>
        <v>0.86457749852874244</v>
      </c>
      <c r="AK180" s="8">
        <v>7.5799999999999201E-2</v>
      </c>
      <c r="AL180" s="9">
        <v>78.155619596541996</v>
      </c>
      <c r="AM180" s="10">
        <v>3.9077809798271002</v>
      </c>
      <c r="AN180" s="9">
        <v>39.077809798270998</v>
      </c>
      <c r="AO180" s="11">
        <v>3.9088172362363593</v>
      </c>
      <c r="AP180" s="2">
        <v>5.409140625</v>
      </c>
      <c r="AQ180" s="2">
        <f t="shared" si="34"/>
        <v>0.3380712890625</v>
      </c>
      <c r="AR180" s="2">
        <v>1.2167687604411901</v>
      </c>
      <c r="AS180" s="2">
        <v>0.16479019406771908</v>
      </c>
      <c r="AT180" s="2">
        <f t="shared" si="35"/>
        <v>1.6479019406771909E-2</v>
      </c>
      <c r="AU180" s="2">
        <f t="shared" si="36"/>
        <v>8.5940127284338912E-3</v>
      </c>
      <c r="AV180" s="2">
        <f t="shared" si="37"/>
        <v>1.3965270683705074E-3</v>
      </c>
      <c r="AW180" s="3">
        <f t="shared" si="38"/>
        <v>16.25</v>
      </c>
    </row>
    <row r="181" spans="1:49" x14ac:dyDescent="0.2">
      <c r="A181" t="s">
        <v>45</v>
      </c>
      <c r="B181" s="5" t="s">
        <v>46</v>
      </c>
      <c r="C181" s="5" t="s">
        <v>222</v>
      </c>
      <c r="D181" s="5" t="s">
        <v>232</v>
      </c>
      <c r="E181">
        <v>6</v>
      </c>
      <c r="F181" s="6">
        <v>225</v>
      </c>
      <c r="G181" s="3">
        <v>2.5</v>
      </c>
      <c r="H181" s="3">
        <v>2.2999999999999998</v>
      </c>
      <c r="I181" s="3">
        <v>1</v>
      </c>
      <c r="J181" s="3">
        <v>17.806250000000261</v>
      </c>
      <c r="K181" s="3">
        <v>18.806250000000261</v>
      </c>
      <c r="L181" s="3">
        <v>18.306250000000261</v>
      </c>
      <c r="M181" s="1">
        <v>0.17</v>
      </c>
      <c r="N181" s="3">
        <v>217.80625000000026</v>
      </c>
      <c r="O181" s="3">
        <v>218.80625000000026</v>
      </c>
      <c r="P181" s="3">
        <v>218.30625000000026</v>
      </c>
      <c r="Q181" s="3">
        <v>210.30625000000026</v>
      </c>
      <c r="R181" s="3">
        <v>211.30625000000026</v>
      </c>
      <c r="S181" s="3">
        <v>210.8</v>
      </c>
      <c r="T181" s="3">
        <v>210.8</v>
      </c>
      <c r="U181" s="7">
        <f t="shared" si="26"/>
        <v>0.5</v>
      </c>
      <c r="V181" s="3">
        <v>2869.59</v>
      </c>
      <c r="W181" s="3">
        <v>3504.14</v>
      </c>
      <c r="X181" s="3">
        <v>3182.16</v>
      </c>
      <c r="Y181" s="3">
        <v>3179.63</v>
      </c>
      <c r="Z181" s="3">
        <f t="shared" si="27"/>
        <v>317.27499999999986</v>
      </c>
      <c r="AA181" s="4">
        <f t="shared" si="28"/>
        <v>5.3285968028418722E-2</v>
      </c>
      <c r="AB181" s="4">
        <f t="shared" si="29"/>
        <v>5.4434567920761609E-3</v>
      </c>
      <c r="AC181">
        <v>1.1476266666666668</v>
      </c>
      <c r="AD181" s="2">
        <v>6.58</v>
      </c>
      <c r="AE181" s="2">
        <v>2.0390000000000001</v>
      </c>
      <c r="AF181" s="2">
        <f t="shared" si="30"/>
        <v>4.5410000000000004</v>
      </c>
      <c r="AG181" s="2">
        <v>0.89287333333333341</v>
      </c>
      <c r="AH181" s="1">
        <f t="shared" si="31"/>
        <v>83.591456650009334</v>
      </c>
      <c r="AI181" s="1">
        <f t="shared" si="32"/>
        <v>16.408543349990666</v>
      </c>
      <c r="AJ181" s="1">
        <f t="shared" si="33"/>
        <v>0.82042716749953337</v>
      </c>
      <c r="AK181" s="8">
        <v>0.19479999999999986</v>
      </c>
      <c r="AL181" s="9">
        <v>55.31085111264057</v>
      </c>
      <c r="AM181" s="10">
        <v>2.7655425556320288</v>
      </c>
      <c r="AN181" s="9">
        <v>27.655425556320285</v>
      </c>
      <c r="AO181" s="11">
        <v>2.7670066185341393</v>
      </c>
      <c r="AP181" s="2">
        <v>4.5215999999999994</v>
      </c>
      <c r="AQ181" s="2">
        <f t="shared" si="34"/>
        <v>0.26225279999999995</v>
      </c>
      <c r="AR181" s="2">
        <v>1.2014272234017458</v>
      </c>
      <c r="AS181" s="2">
        <v>0.1974684477471102</v>
      </c>
      <c r="AT181" s="2">
        <f t="shared" si="35"/>
        <v>1.9746844774711021E-2</v>
      </c>
      <c r="AU181" s="2">
        <f t="shared" si="36"/>
        <v>1.0522297393273986E-2</v>
      </c>
      <c r="AV181" s="2">
        <f t="shared" si="37"/>
        <v>1.6625229881372899E-3</v>
      </c>
      <c r="AW181" s="3">
        <f t="shared" si="38"/>
        <v>15.8</v>
      </c>
    </row>
    <row r="182" spans="1:49" x14ac:dyDescent="0.2">
      <c r="A182" t="s">
        <v>45</v>
      </c>
      <c r="B182" s="5" t="s">
        <v>46</v>
      </c>
      <c r="C182" s="5" t="s">
        <v>222</v>
      </c>
      <c r="D182" s="5" t="s">
        <v>233</v>
      </c>
      <c r="E182">
        <v>6</v>
      </c>
      <c r="F182" s="6">
        <v>226</v>
      </c>
      <c r="G182" s="3">
        <v>2.6</v>
      </c>
      <c r="H182" s="3">
        <v>2.4500000000000002</v>
      </c>
      <c r="I182" s="3">
        <v>1</v>
      </c>
      <c r="J182" s="3">
        <v>18.980000000000274</v>
      </c>
      <c r="K182" s="3">
        <v>19.980000000000274</v>
      </c>
      <c r="L182" s="3">
        <v>19.480000000000274</v>
      </c>
      <c r="M182" s="1">
        <v>0.17</v>
      </c>
      <c r="N182" s="3">
        <v>218.98000000000027</v>
      </c>
      <c r="O182" s="3">
        <v>219.98000000000027</v>
      </c>
      <c r="P182" s="3">
        <v>219.48000000000027</v>
      </c>
      <c r="Q182" s="3">
        <v>211.48000000000027</v>
      </c>
      <c r="R182" s="3">
        <v>212.48000000000027</v>
      </c>
      <c r="S182" s="3">
        <v>212</v>
      </c>
      <c r="T182" s="3">
        <v>212</v>
      </c>
      <c r="U182" s="7">
        <f t="shared" si="26"/>
        <v>0.5</v>
      </c>
      <c r="V182" s="3">
        <v>2898</v>
      </c>
      <c r="W182" s="3">
        <v>3510.53</v>
      </c>
      <c r="X182" s="3">
        <v>3205.1</v>
      </c>
      <c r="Y182" s="3">
        <v>3202.15</v>
      </c>
      <c r="Z182" s="3">
        <f t="shared" si="27"/>
        <v>306.2650000000001</v>
      </c>
      <c r="AA182" s="4">
        <f t="shared" si="28"/>
        <v>5.3309640159928978E-2</v>
      </c>
      <c r="AB182" s="4">
        <f t="shared" si="29"/>
        <v>5.2244536235208673E-3</v>
      </c>
      <c r="AC182">
        <v>1.1476266666666668</v>
      </c>
      <c r="AD182" s="2">
        <v>6.9988999999999999</v>
      </c>
      <c r="AE182" s="2">
        <v>2.0405000000000002</v>
      </c>
      <c r="AF182" s="2">
        <f t="shared" si="30"/>
        <v>4.9583999999999993</v>
      </c>
      <c r="AG182" s="2">
        <v>1.0084733333333331</v>
      </c>
      <c r="AH182" s="1">
        <f t="shared" si="31"/>
        <v>84.74052941183173</v>
      </c>
      <c r="AI182" s="1">
        <f t="shared" si="32"/>
        <v>15.25947058816827</v>
      </c>
      <c r="AJ182" s="1">
        <f t="shared" si="33"/>
        <v>0.76297352940841356</v>
      </c>
      <c r="AK182" s="8">
        <v>9.8000000000000753E-2</v>
      </c>
      <c r="AL182" s="9">
        <v>76.202039825157684</v>
      </c>
      <c r="AM182" s="10">
        <v>3.8101019912578842</v>
      </c>
      <c r="AN182" s="9">
        <v>38.101019912578842</v>
      </c>
      <c r="AO182" s="11">
        <v>3.8111648066945745</v>
      </c>
      <c r="AP182" s="2">
        <v>5.0048656250000016</v>
      </c>
      <c r="AQ182" s="2">
        <f t="shared" si="34"/>
        <v>0.30279437031250012</v>
      </c>
      <c r="AR182" s="2">
        <v>1.1691169697155119</v>
      </c>
      <c r="AS182" s="2">
        <v>0.20149858335773657</v>
      </c>
      <c r="AT182" s="2">
        <f t="shared" si="35"/>
        <v>2.0149858335773659E-2</v>
      </c>
      <c r="AU182" s="2">
        <f t="shared" si="36"/>
        <v>1.0741816971536391E-2</v>
      </c>
      <c r="AV182" s="2">
        <f t="shared" si="37"/>
        <v>1.7240616239315907E-3</v>
      </c>
      <c r="AW182" s="3">
        <f t="shared" si="38"/>
        <v>16.05</v>
      </c>
    </row>
    <row r="183" spans="1:49" x14ac:dyDescent="0.2">
      <c r="A183" t="s">
        <v>45</v>
      </c>
      <c r="B183" s="5" t="s">
        <v>46</v>
      </c>
      <c r="C183" s="5" t="s">
        <v>222</v>
      </c>
      <c r="D183" s="5" t="s">
        <v>234</v>
      </c>
      <c r="E183">
        <v>6</v>
      </c>
      <c r="F183" s="6">
        <v>227</v>
      </c>
      <c r="G183" s="3">
        <v>2.5499999999999998</v>
      </c>
      <c r="H183" s="3">
        <v>2.35</v>
      </c>
      <c r="I183" s="3">
        <v>1.05</v>
      </c>
      <c r="J183" s="3">
        <v>20.153750000000286</v>
      </c>
      <c r="K183" s="3">
        <v>21.203750000000298</v>
      </c>
      <c r="L183" s="3">
        <v>20.678750000000292</v>
      </c>
      <c r="M183" s="1">
        <v>0.17</v>
      </c>
      <c r="N183" s="3">
        <v>220.15375000000029</v>
      </c>
      <c r="O183" s="3">
        <v>221.2037500000003</v>
      </c>
      <c r="P183" s="3">
        <v>220.67875000000029</v>
      </c>
      <c r="Q183" s="3">
        <v>212.65375000000029</v>
      </c>
      <c r="R183" s="3">
        <v>213.7037500000003</v>
      </c>
      <c r="S183" s="3">
        <v>213.2</v>
      </c>
      <c r="T183" s="3">
        <v>213.2</v>
      </c>
      <c r="U183" s="7">
        <f t="shared" si="26"/>
        <v>0.52500000000000568</v>
      </c>
      <c r="V183" s="3">
        <v>2922.75</v>
      </c>
      <c r="W183" s="3">
        <v>3518.74</v>
      </c>
      <c r="X183" s="3">
        <v>3227.89</v>
      </c>
      <c r="Y183" s="3">
        <v>3224.66</v>
      </c>
      <c r="Z183" s="3">
        <f t="shared" si="27"/>
        <v>297.99499999999989</v>
      </c>
      <c r="AA183" s="4">
        <f t="shared" si="28"/>
        <v>5.3309640159929159E-2</v>
      </c>
      <c r="AB183" s="4">
        <f t="shared" si="29"/>
        <v>5.0576865138000325E-3</v>
      </c>
      <c r="AC183">
        <v>1.1476266666666668</v>
      </c>
      <c r="AD183" s="2">
        <v>7.3398000000000003</v>
      </c>
      <c r="AE183" s="2">
        <v>2.1560999999999999</v>
      </c>
      <c r="AF183" s="2">
        <f t="shared" si="30"/>
        <v>5.1837</v>
      </c>
      <c r="AG183" s="2">
        <v>0.95597333333333334</v>
      </c>
      <c r="AH183" s="1">
        <f t="shared" si="31"/>
        <v>83.713741863384541</v>
      </c>
      <c r="AI183" s="1">
        <f t="shared" si="32"/>
        <v>16.286258136615459</v>
      </c>
      <c r="AJ183" s="1">
        <f t="shared" si="33"/>
        <v>0.81431290683077295</v>
      </c>
      <c r="AK183" s="8">
        <v>0.17790000000000017</v>
      </c>
      <c r="AL183" s="9">
        <v>67.765899619496253</v>
      </c>
      <c r="AM183" s="10">
        <v>3.3882949809748126</v>
      </c>
      <c r="AN183" s="9">
        <v>33.882949809748126</v>
      </c>
      <c r="AO183" s="11">
        <v>3.3894900616610615</v>
      </c>
      <c r="AP183" s="2">
        <v>4.9475606250000004</v>
      </c>
      <c r="AQ183" s="2">
        <f t="shared" si="34"/>
        <v>0.29437985718750004</v>
      </c>
      <c r="AR183" s="2">
        <v>1.2515608807387446</v>
      </c>
      <c r="AS183" s="2">
        <v>0.19322114589214018</v>
      </c>
      <c r="AT183" s="2">
        <f t="shared" si="35"/>
        <v>1.9322114589214019E-2</v>
      </c>
      <c r="AU183" s="2">
        <f t="shared" si="36"/>
        <v>1.0300549758799167E-2</v>
      </c>
      <c r="AV183" s="2">
        <f t="shared" si="37"/>
        <v>1.642937686528467E-3</v>
      </c>
      <c r="AW183" s="3">
        <f t="shared" si="38"/>
        <v>15.950000000000001</v>
      </c>
    </row>
    <row r="184" spans="1:49" x14ac:dyDescent="0.2">
      <c r="A184" t="s">
        <v>45</v>
      </c>
      <c r="B184" s="5" t="s">
        <v>46</v>
      </c>
      <c r="C184" s="5" t="s">
        <v>222</v>
      </c>
      <c r="D184" s="5" t="s">
        <v>235</v>
      </c>
      <c r="E184">
        <v>6</v>
      </c>
      <c r="F184" s="6">
        <v>228</v>
      </c>
      <c r="G184" s="3">
        <v>2.5</v>
      </c>
      <c r="H184" s="3">
        <v>2.75</v>
      </c>
      <c r="I184" s="3">
        <v>1.05</v>
      </c>
      <c r="J184" s="3">
        <v>21.37750000000031</v>
      </c>
      <c r="K184" s="3">
        <v>22.427500000000322</v>
      </c>
      <c r="L184" s="3">
        <v>21.902500000000316</v>
      </c>
      <c r="M184" s="1">
        <v>0.17</v>
      </c>
      <c r="N184" s="3">
        <v>221.37750000000031</v>
      </c>
      <c r="O184" s="3">
        <v>222.42750000000032</v>
      </c>
      <c r="P184" s="3">
        <v>221.90250000000032</v>
      </c>
      <c r="Q184" s="3">
        <v>213.87750000000031</v>
      </c>
      <c r="R184" s="3">
        <v>214.92750000000032</v>
      </c>
      <c r="S184" s="3">
        <v>214.4</v>
      </c>
      <c r="T184" s="3">
        <v>214.4</v>
      </c>
      <c r="U184" s="7">
        <f t="shared" si="26"/>
        <v>0.52500000000000568</v>
      </c>
      <c r="V184" s="3">
        <v>2943.13</v>
      </c>
      <c r="W184" s="3">
        <v>3528.87</v>
      </c>
      <c r="X184" s="3">
        <v>3252.22</v>
      </c>
      <c r="Y184" s="3">
        <v>3247.17</v>
      </c>
      <c r="Z184" s="3">
        <f t="shared" si="27"/>
        <v>292.86999999999989</v>
      </c>
      <c r="AA184" s="4">
        <f t="shared" si="28"/>
        <v>5.3294573643410906E-2</v>
      </c>
      <c r="AB184" s="4">
        <f t="shared" si="29"/>
        <v>4.9372666971482151E-3</v>
      </c>
      <c r="AC184">
        <v>1.1476266666666668</v>
      </c>
      <c r="AD184" s="2">
        <v>7.5129000000000001</v>
      </c>
      <c r="AE184" s="2">
        <v>2.1036000000000001</v>
      </c>
      <c r="AF184" s="2">
        <f t="shared" si="30"/>
        <v>5.4093</v>
      </c>
      <c r="AG184" s="2">
        <v>0.95597333333333334</v>
      </c>
      <c r="AH184" s="1">
        <f t="shared" si="31"/>
        <v>84.981425254322673</v>
      </c>
      <c r="AI184" s="1">
        <f t="shared" si="32"/>
        <v>15.018574745677327</v>
      </c>
      <c r="AJ184" s="1">
        <f t="shared" si="33"/>
        <v>0.75092873728386644</v>
      </c>
      <c r="AK184" s="8">
        <v>6.8900000000000183E-2</v>
      </c>
      <c r="AL184" s="9">
        <v>72.395833333333258</v>
      </c>
      <c r="AM184" s="10">
        <v>3.619791666666663</v>
      </c>
      <c r="AN184" s="9">
        <v>36.197916666666629</v>
      </c>
      <c r="AO184" s="11">
        <v>3.6209103427272842</v>
      </c>
      <c r="AP184" s="2">
        <v>5.6795976562499995</v>
      </c>
      <c r="AQ184" s="2">
        <f t="shared" si="34"/>
        <v>0.35781465234374998</v>
      </c>
      <c r="AR184" s="2">
        <v>1.1207261004357933</v>
      </c>
      <c r="AS184" s="2">
        <v>0.16831708708826437</v>
      </c>
      <c r="AT184" s="2">
        <f t="shared" si="35"/>
        <v>1.6831708708826439E-2</v>
      </c>
      <c r="AU184" s="2">
        <f t="shared" si="36"/>
        <v>8.970387393269913E-3</v>
      </c>
      <c r="AV184" s="2">
        <f t="shared" si="37"/>
        <v>1.4621731451029958E-3</v>
      </c>
      <c r="AW184" s="3">
        <f t="shared" si="38"/>
        <v>16.3</v>
      </c>
    </row>
    <row r="185" spans="1:49" x14ac:dyDescent="0.2">
      <c r="A185" t="s">
        <v>45</v>
      </c>
      <c r="B185" s="5" t="s">
        <v>46</v>
      </c>
      <c r="C185" s="5" t="s">
        <v>222</v>
      </c>
      <c r="D185" s="5" t="s">
        <v>236</v>
      </c>
      <c r="E185">
        <v>6</v>
      </c>
      <c r="F185" s="6">
        <v>229</v>
      </c>
      <c r="G185" s="3">
        <v>2.4500000000000002</v>
      </c>
      <c r="H185" s="3">
        <v>2.95</v>
      </c>
      <c r="I185" s="3">
        <v>0.7</v>
      </c>
      <c r="J185" s="3">
        <v>22.601250000000334</v>
      </c>
      <c r="K185" s="3">
        <v>23.301250000000323</v>
      </c>
      <c r="L185" s="3">
        <v>22.951250000000329</v>
      </c>
      <c r="M185" s="1">
        <v>0.17</v>
      </c>
      <c r="N185" s="3">
        <v>222.60125000000033</v>
      </c>
      <c r="O185" s="3">
        <v>223.30125000000032</v>
      </c>
      <c r="P185" s="3">
        <v>222.95125000000033</v>
      </c>
      <c r="Q185" s="3">
        <v>215.10125000000033</v>
      </c>
      <c r="R185" s="3">
        <v>215.80125000000032</v>
      </c>
      <c r="S185" s="3">
        <v>215.5</v>
      </c>
      <c r="T185" s="3">
        <v>215.5</v>
      </c>
      <c r="U185" s="7">
        <f t="shared" si="26"/>
        <v>0.34999999999999432</v>
      </c>
      <c r="V185" s="3">
        <v>2960.29</v>
      </c>
      <c r="W185" s="3">
        <v>3542.45</v>
      </c>
      <c r="X185" s="3">
        <v>3273.89</v>
      </c>
      <c r="Y185" s="3">
        <v>3267.81</v>
      </c>
      <c r="Z185" s="3">
        <f t="shared" si="27"/>
        <v>291.07999999999993</v>
      </c>
      <c r="AA185" s="4">
        <f t="shared" si="28"/>
        <v>5.3285968028419922E-2</v>
      </c>
      <c r="AB185" s="4">
        <f t="shared" si="29"/>
        <v>4.8329880718400884E-3</v>
      </c>
      <c r="AC185">
        <v>1.1476266666666668</v>
      </c>
      <c r="AD185" s="2">
        <v>6.5210999999999997</v>
      </c>
      <c r="AE185" s="2">
        <v>2.0425</v>
      </c>
      <c r="AF185" s="2">
        <f t="shared" si="30"/>
        <v>4.4786000000000001</v>
      </c>
      <c r="AG185" s="2">
        <v>0.89487333333333319</v>
      </c>
      <c r="AH185" s="1">
        <f t="shared" si="31"/>
        <v>83.346463677745376</v>
      </c>
      <c r="AI185" s="1">
        <f t="shared" si="32"/>
        <v>16.653536322254624</v>
      </c>
      <c r="AJ185" s="1">
        <f t="shared" si="33"/>
        <v>0.83267681611273126</v>
      </c>
      <c r="AK185" s="8">
        <v>3.8999999999999702E-2</v>
      </c>
      <c r="AL185" s="9">
        <v>82.697426796805786</v>
      </c>
      <c r="AM185" s="10">
        <v>4.1348713398402897</v>
      </c>
      <c r="AN185" s="9">
        <v>41.348713398402893</v>
      </c>
      <c r="AO185" s="11">
        <v>4.1358506981070571</v>
      </c>
      <c r="AP185" s="2">
        <v>4.0058550000000004</v>
      </c>
      <c r="AQ185" s="2">
        <f t="shared" si="34"/>
        <v>0.24435715500000005</v>
      </c>
      <c r="AR185" s="2">
        <v>1.3414048519812456</v>
      </c>
      <c r="AS185" s="2">
        <v>0.22339134425318269</v>
      </c>
      <c r="AT185" s="2">
        <f t="shared" si="35"/>
        <v>2.233913442531827E-2</v>
      </c>
      <c r="AU185" s="2">
        <f t="shared" si="36"/>
        <v>1.1903624027700841E-2</v>
      </c>
      <c r="AV185" s="2">
        <f t="shared" si="37"/>
        <v>1.9164834684598355E-3</v>
      </c>
      <c r="AW185" s="3">
        <f t="shared" si="38"/>
        <v>16.100000000000001</v>
      </c>
    </row>
    <row r="186" spans="1:49" x14ac:dyDescent="0.2">
      <c r="A186" t="s">
        <v>45</v>
      </c>
      <c r="B186" s="5" t="s">
        <v>46</v>
      </c>
      <c r="C186" s="5" t="s">
        <v>222</v>
      </c>
      <c r="D186" s="5" t="s">
        <v>237</v>
      </c>
      <c r="E186">
        <v>6</v>
      </c>
      <c r="F186" s="6">
        <v>230</v>
      </c>
      <c r="G186" s="3">
        <v>2.35</v>
      </c>
      <c r="H186" s="3">
        <v>2.6</v>
      </c>
      <c r="I186" s="3">
        <v>0.9</v>
      </c>
      <c r="J186" s="3">
        <v>23.475000000000335</v>
      </c>
      <c r="K186" s="3">
        <v>24.375000000000341</v>
      </c>
      <c r="L186" s="3">
        <v>23.925000000000352</v>
      </c>
      <c r="M186" s="1">
        <v>0.17</v>
      </c>
      <c r="N186" s="3">
        <v>223.47500000000034</v>
      </c>
      <c r="O186" s="3">
        <v>224.37500000000034</v>
      </c>
      <c r="P186" s="3">
        <v>223.92500000000035</v>
      </c>
      <c r="Q186" s="3">
        <v>215.97500000000034</v>
      </c>
      <c r="R186" s="3">
        <v>216.87500000000034</v>
      </c>
      <c r="S186" s="3">
        <v>216.4</v>
      </c>
      <c r="T186" s="3">
        <v>216.4</v>
      </c>
      <c r="U186" s="7">
        <f t="shared" si="26"/>
        <v>0.45000000000000284</v>
      </c>
      <c r="V186" s="3">
        <v>2973.24</v>
      </c>
      <c r="W186" s="3">
        <v>3554.4</v>
      </c>
      <c r="X186" s="3">
        <v>3293.82</v>
      </c>
      <c r="Y186" s="3">
        <v>3284.7</v>
      </c>
      <c r="Z186" s="3">
        <f t="shared" si="27"/>
        <v>290.58000000000015</v>
      </c>
      <c r="AA186" s="4">
        <f t="shared" si="28"/>
        <v>5.3320407174017863E-2</v>
      </c>
      <c r="AB186" s="4">
        <f t="shared" si="29"/>
        <v>4.827852673474453E-3</v>
      </c>
      <c r="AC186">
        <v>1.1476266666666668</v>
      </c>
      <c r="AD186" s="2">
        <v>6.0214999999999996</v>
      </c>
      <c r="AE186" s="2">
        <v>2.0465</v>
      </c>
      <c r="AF186" s="2">
        <f t="shared" si="30"/>
        <v>3.9749999999999996</v>
      </c>
      <c r="AG186" s="2">
        <v>0.89887333333333319</v>
      </c>
      <c r="AH186" s="1">
        <f t="shared" si="31"/>
        <v>81.557310339073226</v>
      </c>
      <c r="AI186" s="1">
        <f t="shared" si="32"/>
        <v>18.442689660926774</v>
      </c>
      <c r="AJ186" s="1">
        <f t="shared" si="33"/>
        <v>0.92213448304633872</v>
      </c>
      <c r="AK186" s="8">
        <v>5.3600000000000314E-2</v>
      </c>
      <c r="AL186" s="9">
        <v>83.202757756189172</v>
      </c>
      <c r="AM186" s="10">
        <v>4.1601378878094586</v>
      </c>
      <c r="AN186" s="9">
        <v>41.601378878094586</v>
      </c>
      <c r="AO186" s="11">
        <v>4.1611112993511412</v>
      </c>
      <c r="AP186" s="2">
        <v>4.3277540625000004</v>
      </c>
      <c r="AQ186" s="2">
        <f t="shared" si="34"/>
        <v>0.25317361265625005</v>
      </c>
      <c r="AR186" s="2">
        <v>1.1261899966926165</v>
      </c>
      <c r="AS186" s="2">
        <v>0.20769972608242063</v>
      </c>
      <c r="AT186" s="2">
        <f t="shared" si="35"/>
        <v>2.0769972608242065E-2</v>
      </c>
      <c r="AU186" s="2">
        <f t="shared" si="36"/>
        <v>1.1074633964646646E-2</v>
      </c>
      <c r="AV186" s="2">
        <f t="shared" si="37"/>
        <v>1.7553294833964938E-3</v>
      </c>
      <c r="AW186" s="3">
        <f t="shared" si="38"/>
        <v>15.850000000000003</v>
      </c>
    </row>
    <row r="187" spans="1:49" x14ac:dyDescent="0.2">
      <c r="A187" t="s">
        <v>45</v>
      </c>
      <c r="B187" s="5" t="s">
        <v>46</v>
      </c>
      <c r="C187" s="5" t="s">
        <v>222</v>
      </c>
      <c r="D187" s="5" t="s">
        <v>238</v>
      </c>
      <c r="E187">
        <v>6</v>
      </c>
      <c r="F187" s="6">
        <v>231</v>
      </c>
      <c r="G187" s="3">
        <v>2.4500000000000002</v>
      </c>
      <c r="H187" s="3">
        <v>2.6</v>
      </c>
      <c r="I187" s="3">
        <v>1</v>
      </c>
      <c r="J187" s="3">
        <v>24.548750000000354</v>
      </c>
      <c r="K187" s="3">
        <v>25.548750000000354</v>
      </c>
      <c r="L187" s="3">
        <v>25.048750000000354</v>
      </c>
      <c r="M187" s="1">
        <v>0.17</v>
      </c>
      <c r="N187" s="3">
        <v>224.54875000000035</v>
      </c>
      <c r="O187" s="3">
        <v>225.54875000000035</v>
      </c>
      <c r="P187" s="3">
        <v>225.04875000000035</v>
      </c>
      <c r="Q187" s="3">
        <v>217.04875000000035</v>
      </c>
      <c r="R187" s="3">
        <v>218.04875000000035</v>
      </c>
      <c r="S187" s="3">
        <v>217.5</v>
      </c>
      <c r="T187" s="3">
        <v>217.5</v>
      </c>
      <c r="U187" s="7">
        <f t="shared" si="26"/>
        <v>0.5</v>
      </c>
      <c r="V187" s="3">
        <v>2987.33</v>
      </c>
      <c r="W187" s="3">
        <v>3569.79</v>
      </c>
      <c r="X187" s="3">
        <v>3316.42</v>
      </c>
      <c r="Y187" s="3">
        <v>3305.33</v>
      </c>
      <c r="Z187" s="3">
        <f t="shared" si="27"/>
        <v>291.23</v>
      </c>
      <c r="AA187" s="4">
        <f t="shared" si="28"/>
        <v>5.3285968028418722E-2</v>
      </c>
      <c r="AB187" s="4">
        <f t="shared" si="29"/>
        <v>4.8174807820374841E-3</v>
      </c>
      <c r="AC187">
        <v>1.1476266666666668</v>
      </c>
      <c r="AD187" s="2">
        <v>6.8106999999999998</v>
      </c>
      <c r="AE187" s="2">
        <v>2.0760999999999998</v>
      </c>
      <c r="AF187" s="2">
        <f t="shared" si="30"/>
        <v>4.7346000000000004</v>
      </c>
      <c r="AG187" s="2">
        <v>0.92847333333333304</v>
      </c>
      <c r="AH187" s="1">
        <f t="shared" si="31"/>
        <v>83.604779972241232</v>
      </c>
      <c r="AI187" s="1">
        <f t="shared" si="32"/>
        <v>16.395220027758768</v>
      </c>
      <c r="AJ187" s="1">
        <f t="shared" si="33"/>
        <v>0.81976100138793839</v>
      </c>
      <c r="AK187" s="8">
        <v>6.7800000000000082E-2</v>
      </c>
      <c r="AL187" s="9">
        <v>83.741007194244574</v>
      </c>
      <c r="AM187" s="10">
        <v>4.1870503597122291</v>
      </c>
      <c r="AN187" s="9">
        <v>41.870503597122287</v>
      </c>
      <c r="AO187" s="11">
        <v>4.1880175160529483</v>
      </c>
      <c r="AP187" s="2">
        <v>5.0048656250000016</v>
      </c>
      <c r="AQ187" s="2">
        <f t="shared" si="34"/>
        <v>0.30279437031250012</v>
      </c>
      <c r="AR187" s="2">
        <v>1.1315135625311281</v>
      </c>
      <c r="AS187" s="2">
        <v>0.18551413822091031</v>
      </c>
      <c r="AT187" s="2">
        <f t="shared" si="35"/>
        <v>1.8551413822091033E-2</v>
      </c>
      <c r="AU187" s="2">
        <f t="shared" si="36"/>
        <v>9.8853004380590782E-3</v>
      </c>
      <c r="AV187" s="2">
        <f t="shared" si="37"/>
        <v>1.5865907203084821E-3</v>
      </c>
      <c r="AW187" s="3">
        <f t="shared" si="38"/>
        <v>16.05</v>
      </c>
    </row>
    <row r="188" spans="1:49" x14ac:dyDescent="0.2">
      <c r="A188" t="s">
        <v>45</v>
      </c>
      <c r="B188" s="5" t="s">
        <v>46</v>
      </c>
      <c r="C188" s="5" t="s">
        <v>222</v>
      </c>
      <c r="D188" s="5" t="s">
        <v>239</v>
      </c>
      <c r="E188">
        <v>6</v>
      </c>
      <c r="F188" s="6">
        <v>232</v>
      </c>
      <c r="G188" s="3">
        <v>2.35</v>
      </c>
      <c r="H188" s="3">
        <v>2.5</v>
      </c>
      <c r="I188" s="3">
        <v>1</v>
      </c>
      <c r="J188" s="3">
        <v>25.722500000000366</v>
      </c>
      <c r="K188" s="3">
        <v>26.722500000000366</v>
      </c>
      <c r="L188" s="3">
        <v>26.222500000000366</v>
      </c>
      <c r="M188" s="1">
        <v>0.17</v>
      </c>
      <c r="N188" s="3">
        <v>225.72250000000037</v>
      </c>
      <c r="O188" s="3">
        <v>226.72250000000037</v>
      </c>
      <c r="P188" s="3">
        <v>226.22250000000037</v>
      </c>
      <c r="Q188" s="3">
        <v>218.22250000000037</v>
      </c>
      <c r="R188" s="3">
        <v>219.22250000000037</v>
      </c>
      <c r="S188" s="3">
        <v>218.7</v>
      </c>
      <c r="T188" s="3">
        <v>218.7</v>
      </c>
      <c r="U188" s="7">
        <f t="shared" si="26"/>
        <v>0.5</v>
      </c>
      <c r="V188" s="3">
        <v>2999.81</v>
      </c>
      <c r="W188" s="3">
        <v>3590.26</v>
      </c>
      <c r="X188" s="3">
        <v>3340.17</v>
      </c>
      <c r="Y188" s="3">
        <v>3327.85</v>
      </c>
      <c r="Z188" s="3">
        <f t="shared" si="27"/>
        <v>295.22500000000014</v>
      </c>
      <c r="AA188" s="4">
        <f t="shared" si="28"/>
        <v>5.3309640159929159E-2</v>
      </c>
      <c r="AB188" s="4">
        <f t="shared" si="29"/>
        <v>4.8511596864899698E-3</v>
      </c>
      <c r="AC188">
        <v>1.1476266666666668</v>
      </c>
      <c r="AD188" s="2">
        <v>6.8545999999999996</v>
      </c>
      <c r="AE188" s="2">
        <v>2.1392000000000002</v>
      </c>
      <c r="AF188" s="2">
        <f t="shared" si="30"/>
        <v>4.7153999999999989</v>
      </c>
      <c r="AG188" s="2">
        <v>0.99157333333333342</v>
      </c>
      <c r="AH188" s="1">
        <f t="shared" si="31"/>
        <v>82.625232756183664</v>
      </c>
      <c r="AI188" s="1">
        <f t="shared" si="32"/>
        <v>17.374767243816336</v>
      </c>
      <c r="AJ188" s="1">
        <f t="shared" si="33"/>
        <v>0.8687383621908169</v>
      </c>
      <c r="AK188" s="8">
        <v>4.809999999999981E-2</v>
      </c>
      <c r="AL188" s="9">
        <v>84.483870967741979</v>
      </c>
      <c r="AM188" s="10">
        <v>4.2241935483870989</v>
      </c>
      <c r="AN188" s="9">
        <v>42.241935483870989</v>
      </c>
      <c r="AO188" s="11">
        <v>4.225152202493442</v>
      </c>
      <c r="AP188" s="2">
        <v>4.6162906249999995</v>
      </c>
      <c r="AQ188" s="2">
        <f t="shared" si="34"/>
        <v>0.27005300156250001</v>
      </c>
      <c r="AR188" s="2">
        <v>1.2362682068643227</v>
      </c>
      <c r="AS188" s="2">
        <v>0.21479872345197795</v>
      </c>
      <c r="AT188" s="2">
        <f t="shared" si="35"/>
        <v>2.1479872345197798E-2</v>
      </c>
      <c r="AU188" s="2">
        <f t="shared" si="36"/>
        <v>1.1450842654037081E-2</v>
      </c>
      <c r="AV188" s="2">
        <f t="shared" si="37"/>
        <v>1.8149585606648776E-3</v>
      </c>
      <c r="AW188" s="3">
        <f t="shared" si="38"/>
        <v>15.850000000000003</v>
      </c>
    </row>
    <row r="189" spans="1:49" x14ac:dyDescent="0.2">
      <c r="A189" t="s">
        <v>45</v>
      </c>
      <c r="B189" s="5" t="s">
        <v>46</v>
      </c>
      <c r="C189" s="5" t="s">
        <v>222</v>
      </c>
      <c r="D189" s="5" t="s">
        <v>240</v>
      </c>
      <c r="E189">
        <v>6</v>
      </c>
      <c r="F189" s="6">
        <v>233</v>
      </c>
      <c r="G189" s="3">
        <v>2.2999999999999998</v>
      </c>
      <c r="H189" s="3">
        <v>2.4500000000000002</v>
      </c>
      <c r="I189" s="3">
        <v>1</v>
      </c>
      <c r="J189" s="3">
        <v>26.896250000000379</v>
      </c>
      <c r="K189" s="3">
        <v>27.896250000000379</v>
      </c>
      <c r="L189" s="3">
        <v>27.396250000000379</v>
      </c>
      <c r="M189" s="1">
        <v>0.17</v>
      </c>
      <c r="N189" s="3">
        <v>226.89625000000038</v>
      </c>
      <c r="O189" s="3">
        <v>227.89625000000038</v>
      </c>
      <c r="P189" s="3">
        <v>227.39625000000038</v>
      </c>
      <c r="Q189" s="3">
        <v>219.39625000000038</v>
      </c>
      <c r="R189" s="3">
        <v>220.39625000000038</v>
      </c>
      <c r="S189" s="3">
        <v>219.9</v>
      </c>
      <c r="T189" s="3">
        <v>219.9</v>
      </c>
      <c r="U189" s="7">
        <f t="shared" si="26"/>
        <v>0.5</v>
      </c>
      <c r="V189" s="3">
        <v>3006.72</v>
      </c>
      <c r="W189" s="3">
        <v>3619.3</v>
      </c>
      <c r="X189" s="3">
        <v>3364.12</v>
      </c>
      <c r="Y189" s="3">
        <v>3350.36</v>
      </c>
      <c r="Z189" s="3">
        <f t="shared" si="27"/>
        <v>306.29000000000019</v>
      </c>
      <c r="AA189" s="4">
        <f t="shared" si="28"/>
        <v>5.082592121982233E-2</v>
      </c>
      <c r="AB189" s="4">
        <f t="shared" si="29"/>
        <v>4.7620730523496154E-3</v>
      </c>
      <c r="AC189">
        <v>1.1476266666666668</v>
      </c>
      <c r="AD189" s="2">
        <v>6.7858999999999998</v>
      </c>
      <c r="AE189" s="2">
        <v>2.1475</v>
      </c>
      <c r="AF189" s="2">
        <f t="shared" si="30"/>
        <v>4.6383999999999999</v>
      </c>
      <c r="AG189" s="2">
        <v>0.99987333333333317</v>
      </c>
      <c r="AH189" s="1">
        <f t="shared" si="31"/>
        <v>82.266320303733636</v>
      </c>
      <c r="AI189" s="1">
        <f t="shared" si="32"/>
        <v>17.733679696266364</v>
      </c>
      <c r="AJ189" s="1">
        <f t="shared" si="33"/>
        <v>0.88668398481331823</v>
      </c>
      <c r="AK189" s="8">
        <v>5.1200000000000578E-2</v>
      </c>
      <c r="AL189" s="9">
        <v>79.601593625497799</v>
      </c>
      <c r="AM189" s="10">
        <v>3.9800796812748902</v>
      </c>
      <c r="AN189" s="9">
        <v>39.800796812748899</v>
      </c>
      <c r="AO189" s="11">
        <v>3.9810971187974342</v>
      </c>
      <c r="AP189" s="2">
        <v>4.4278906249999999</v>
      </c>
      <c r="AQ189" s="2">
        <f t="shared" si="34"/>
        <v>0.25460371093750001</v>
      </c>
      <c r="AR189" s="2">
        <v>1.2733542471666932</v>
      </c>
      <c r="AS189" s="2">
        <v>0.22581256359134508</v>
      </c>
      <c r="AT189" s="2">
        <f t="shared" si="35"/>
        <v>2.2581256359134508E-2</v>
      </c>
      <c r="AU189" s="2">
        <f t="shared" si="36"/>
        <v>1.1477131567539826E-2</v>
      </c>
      <c r="AV189" s="2">
        <f t="shared" si="37"/>
        <v>1.8076482218875225E-3</v>
      </c>
      <c r="AW189" s="3">
        <f t="shared" si="38"/>
        <v>15.75</v>
      </c>
    </row>
    <row r="190" spans="1:49" x14ac:dyDescent="0.2">
      <c r="A190" t="s">
        <v>45</v>
      </c>
      <c r="B190" s="5" t="s">
        <v>46</v>
      </c>
      <c r="C190" s="5" t="s">
        <v>222</v>
      </c>
      <c r="D190" s="5" t="s">
        <v>241</v>
      </c>
      <c r="E190">
        <v>6</v>
      </c>
      <c r="F190" s="6">
        <v>234</v>
      </c>
      <c r="G190" s="3">
        <v>2.4500000000000002</v>
      </c>
      <c r="H190" s="3">
        <v>2.4</v>
      </c>
      <c r="I190" s="3">
        <v>1.05</v>
      </c>
      <c r="J190" s="3">
        <v>28.070000000000391</v>
      </c>
      <c r="K190" s="3">
        <v>29.120000000000402</v>
      </c>
      <c r="L190" s="3">
        <v>28.595000000000397</v>
      </c>
      <c r="M190" s="1">
        <v>0.17</v>
      </c>
      <c r="N190" s="3">
        <v>228.07000000000039</v>
      </c>
      <c r="O190" s="3">
        <v>229.1200000000004</v>
      </c>
      <c r="P190" s="3">
        <v>228.5950000000004</v>
      </c>
      <c r="Q190" s="3">
        <v>220.57000000000039</v>
      </c>
      <c r="R190" s="3">
        <v>221.6200000000004</v>
      </c>
      <c r="S190" s="3">
        <v>221.1</v>
      </c>
      <c r="T190" s="3">
        <v>221.1</v>
      </c>
      <c r="U190" s="7">
        <f t="shared" si="26"/>
        <v>0.52500000000000568</v>
      </c>
      <c r="V190" s="3">
        <v>3052.95</v>
      </c>
      <c r="W190" s="3">
        <v>3627.48</v>
      </c>
      <c r="X190" s="3">
        <v>3385.81</v>
      </c>
      <c r="Y190" s="3">
        <v>3373.97</v>
      </c>
      <c r="Z190" s="3">
        <f t="shared" si="27"/>
        <v>287.2650000000001</v>
      </c>
      <c r="AA190" s="4">
        <f t="shared" si="28"/>
        <v>5.0611556305357033E-2</v>
      </c>
      <c r="AB190" s="4">
        <f t="shared" si="29"/>
        <v>4.4293225140032847E-3</v>
      </c>
      <c r="AC190">
        <v>1.1476266666666668</v>
      </c>
      <c r="AD190" s="2">
        <v>6.6631999999999998</v>
      </c>
      <c r="AE190" s="2">
        <v>2.1589</v>
      </c>
      <c r="AF190" s="2">
        <f t="shared" si="30"/>
        <v>4.5042999999999997</v>
      </c>
      <c r="AG190" s="2">
        <v>1.0112733333333332</v>
      </c>
      <c r="AH190" s="1">
        <f t="shared" si="31"/>
        <v>81.665127590241454</v>
      </c>
      <c r="AI190" s="1">
        <f t="shared" si="32"/>
        <v>18.334872409758546</v>
      </c>
      <c r="AJ190" s="1">
        <f t="shared" si="33"/>
        <v>0.91674362048792735</v>
      </c>
      <c r="AK190" s="8">
        <v>9.3999999999999417E-2</v>
      </c>
      <c r="AL190" s="9">
        <v>77.517340349198889</v>
      </c>
      <c r="AM190" s="10">
        <v>3.8758670174599446</v>
      </c>
      <c r="AN190" s="9">
        <v>38.758670174599445</v>
      </c>
      <c r="AO190" s="11">
        <v>3.8769118041340387</v>
      </c>
      <c r="AP190" s="2">
        <v>4.8471051562499996</v>
      </c>
      <c r="AQ190" s="2">
        <f t="shared" si="34"/>
        <v>0.28597920421875</v>
      </c>
      <c r="AR190" s="2">
        <v>1.1379108056323868</v>
      </c>
      <c r="AS190" s="2">
        <v>0.20863449434955372</v>
      </c>
      <c r="AT190" s="2">
        <f t="shared" si="35"/>
        <v>2.0863449434955373E-2</v>
      </c>
      <c r="AU190" s="2">
        <f t="shared" si="36"/>
        <v>1.0559316458012133E-2</v>
      </c>
      <c r="AV190" s="2">
        <f t="shared" si="37"/>
        <v>1.6789313168239291E-3</v>
      </c>
      <c r="AW190" s="3">
        <f t="shared" si="38"/>
        <v>15.9</v>
      </c>
    </row>
    <row r="191" spans="1:49" x14ac:dyDescent="0.2">
      <c r="A191" t="s">
        <v>45</v>
      </c>
      <c r="B191" s="5" t="s">
        <v>46</v>
      </c>
      <c r="C191" s="5" t="s">
        <v>222</v>
      </c>
      <c r="D191" s="5" t="s">
        <v>242</v>
      </c>
      <c r="E191">
        <v>6</v>
      </c>
      <c r="F191" s="6">
        <v>235</v>
      </c>
      <c r="G191" s="3">
        <v>2.4</v>
      </c>
      <c r="H191" s="3">
        <v>2.7</v>
      </c>
      <c r="I191" s="3">
        <v>1.05</v>
      </c>
      <c r="J191" s="3">
        <v>29.293750000000415</v>
      </c>
      <c r="K191" s="3">
        <v>30.343750000000426</v>
      </c>
      <c r="L191" s="3">
        <v>29.818750000000421</v>
      </c>
      <c r="M191" s="1">
        <v>0.17</v>
      </c>
      <c r="N191" s="3">
        <v>229.29375000000041</v>
      </c>
      <c r="O191" s="3">
        <v>230.34375000000043</v>
      </c>
      <c r="P191" s="3">
        <v>229.81875000000042</v>
      </c>
      <c r="Q191" s="3">
        <v>221.79375000000041</v>
      </c>
      <c r="R191" s="3">
        <v>222.84375000000043</v>
      </c>
      <c r="S191" s="3">
        <v>222.3</v>
      </c>
      <c r="T191" s="3">
        <v>222.3</v>
      </c>
      <c r="U191" s="7">
        <f t="shared" si="26"/>
        <v>0.52500000000000568</v>
      </c>
      <c r="V191" s="3">
        <v>3102.76</v>
      </c>
      <c r="W191" s="3">
        <v>3634.52</v>
      </c>
      <c r="X191" s="3">
        <v>3407.64</v>
      </c>
      <c r="Y191" s="3">
        <v>3397.68</v>
      </c>
      <c r="Z191" s="3">
        <f t="shared" si="27"/>
        <v>265.87999999999988</v>
      </c>
      <c r="AA191" s="4">
        <f t="shared" si="28"/>
        <v>5.0590219224282286E-2</v>
      </c>
      <c r="AB191" s="4">
        <f t="shared" si="29"/>
        <v>4.0783340564680259E-3</v>
      </c>
      <c r="AC191">
        <v>1.1476266666666668</v>
      </c>
      <c r="AD191" s="2">
        <v>6.9195000000000002</v>
      </c>
      <c r="AE191" s="2">
        <v>2.2134999999999998</v>
      </c>
      <c r="AF191" s="2">
        <f t="shared" si="30"/>
        <v>4.7060000000000004</v>
      </c>
      <c r="AG191" s="2">
        <v>1.065873333333333</v>
      </c>
      <c r="AH191" s="1">
        <f t="shared" si="31"/>
        <v>81.533320782045351</v>
      </c>
      <c r="AI191" s="1">
        <f t="shared" si="32"/>
        <v>18.466679217954649</v>
      </c>
      <c r="AJ191" s="1">
        <f t="shared" si="33"/>
        <v>0.92333396089773245</v>
      </c>
      <c r="AK191" s="8">
        <v>4.3800000000000061E-2</v>
      </c>
      <c r="AL191" s="9">
        <v>83.867403314917127</v>
      </c>
      <c r="AM191" s="10">
        <v>4.1933701657458569</v>
      </c>
      <c r="AN191" s="9">
        <v>41.933701657458563</v>
      </c>
      <c r="AO191" s="11">
        <v>4.1943358648262103</v>
      </c>
      <c r="AP191" s="2">
        <v>5.3596856249999991</v>
      </c>
      <c r="AQ191" s="2">
        <f t="shared" si="34"/>
        <v>0.3296206659375</v>
      </c>
      <c r="AR191" s="2">
        <v>1.0769052025011887</v>
      </c>
      <c r="AS191" s="2">
        <v>0.19886862922735943</v>
      </c>
      <c r="AT191" s="2">
        <f t="shared" si="35"/>
        <v>1.9886862922735945E-2</v>
      </c>
      <c r="AU191" s="2">
        <f t="shared" si="36"/>
        <v>1.0060807549444625E-2</v>
      </c>
      <c r="AV191" s="2">
        <f t="shared" si="37"/>
        <v>1.6248204192353072E-3</v>
      </c>
      <c r="AW191" s="3">
        <f t="shared" si="38"/>
        <v>16.150000000000002</v>
      </c>
    </row>
    <row r="192" spans="1:49" x14ac:dyDescent="0.2">
      <c r="A192" t="s">
        <v>45</v>
      </c>
      <c r="B192" s="5" t="s">
        <v>46</v>
      </c>
      <c r="C192" s="5" t="s">
        <v>222</v>
      </c>
      <c r="D192" s="5" t="s">
        <v>243</v>
      </c>
      <c r="E192">
        <v>6</v>
      </c>
      <c r="F192" s="6">
        <v>236</v>
      </c>
      <c r="G192" s="3">
        <v>2.4</v>
      </c>
      <c r="H192" s="3">
        <v>2.4500000000000002</v>
      </c>
      <c r="I192" s="3">
        <v>1.05</v>
      </c>
      <c r="J192" s="3">
        <v>30.517500000000439</v>
      </c>
      <c r="K192" s="3">
        <v>31.56750000000045</v>
      </c>
      <c r="L192" s="3">
        <v>31.042500000000445</v>
      </c>
      <c r="M192" s="1">
        <v>0.17</v>
      </c>
      <c r="N192" s="3">
        <v>230.51750000000044</v>
      </c>
      <c r="O192" s="3">
        <v>231.56750000000045</v>
      </c>
      <c r="P192" s="3">
        <v>231.04250000000044</v>
      </c>
      <c r="Q192" s="3">
        <v>223.01750000000044</v>
      </c>
      <c r="R192" s="3">
        <v>224.06750000000045</v>
      </c>
      <c r="S192" s="3">
        <v>223.5</v>
      </c>
      <c r="T192" s="3">
        <v>223.5</v>
      </c>
      <c r="U192" s="7">
        <f t="shared" si="26"/>
        <v>0.52500000000000568</v>
      </c>
      <c r="V192" s="3">
        <v>3140.32</v>
      </c>
      <c r="W192" s="3">
        <v>3641.95</v>
      </c>
      <c r="X192" s="3">
        <v>3432.8</v>
      </c>
      <c r="Y192" s="3">
        <v>3421.4</v>
      </c>
      <c r="Z192" s="3">
        <f t="shared" si="27"/>
        <v>250.81499999999983</v>
      </c>
      <c r="AA192" s="4">
        <f t="shared" si="28"/>
        <v>5.062305295950232E-2</v>
      </c>
      <c r="AB192" s="4">
        <f t="shared" si="29"/>
        <v>3.8299733122044558E-3</v>
      </c>
      <c r="AC192">
        <v>1.1476266666666668</v>
      </c>
      <c r="AD192" s="2">
        <v>6.6807999999999996</v>
      </c>
      <c r="AE192" s="2">
        <v>2.2008000000000001</v>
      </c>
      <c r="AF192" s="2">
        <f t="shared" si="30"/>
        <v>4.4799999999999995</v>
      </c>
      <c r="AG192" s="2">
        <v>1.0531733333333333</v>
      </c>
      <c r="AH192" s="1">
        <f t="shared" si="31"/>
        <v>80.966196612914104</v>
      </c>
      <c r="AI192" s="1">
        <f t="shared" si="32"/>
        <v>19.033803387085896</v>
      </c>
      <c r="AJ192" s="1">
        <f t="shared" si="33"/>
        <v>0.95169016935429485</v>
      </c>
      <c r="AK192" s="8">
        <v>7.0500000000000007E-2</v>
      </c>
      <c r="AL192" s="9">
        <v>81.073825503355678</v>
      </c>
      <c r="AM192" s="10">
        <v>4.0536912751677843</v>
      </c>
      <c r="AN192" s="9">
        <v>40.536912751677839</v>
      </c>
      <c r="AO192" s="11">
        <v>4.0546902414822537</v>
      </c>
      <c r="AP192" s="2">
        <v>4.8471051562499996</v>
      </c>
      <c r="AQ192" s="2">
        <f t="shared" si="34"/>
        <v>0.28597920421875</v>
      </c>
      <c r="AR192" s="2">
        <v>1.1415418388847407</v>
      </c>
      <c r="AS192" s="2">
        <v>0.21727882919464636</v>
      </c>
      <c r="AT192" s="2">
        <f t="shared" si="35"/>
        <v>2.1727882919464637E-2</v>
      </c>
      <c r="AU192" s="2">
        <f t="shared" si="36"/>
        <v>1.0999317677299241E-2</v>
      </c>
      <c r="AV192" s="2">
        <f t="shared" si="37"/>
        <v>1.7488915106905793E-3</v>
      </c>
      <c r="AW192" s="3">
        <f t="shared" si="38"/>
        <v>15.9</v>
      </c>
    </row>
    <row r="193" spans="1:49" x14ac:dyDescent="0.2">
      <c r="A193" t="s">
        <v>45</v>
      </c>
      <c r="B193" s="5" t="s">
        <v>46</v>
      </c>
      <c r="C193" s="5" t="s">
        <v>222</v>
      </c>
      <c r="D193" s="5" t="s">
        <v>244</v>
      </c>
      <c r="E193">
        <v>6</v>
      </c>
      <c r="F193" s="6">
        <v>237</v>
      </c>
      <c r="G193" s="3">
        <v>2.35</v>
      </c>
      <c r="H193" s="3">
        <v>2.25</v>
      </c>
      <c r="I193" s="3">
        <v>1.05</v>
      </c>
      <c r="J193" s="3">
        <v>31.741250000000463</v>
      </c>
      <c r="K193" s="3">
        <v>32.791250000000474</v>
      </c>
      <c r="L193" s="3">
        <v>32.266250000000468</v>
      </c>
      <c r="M193" s="1">
        <v>0.17</v>
      </c>
      <c r="N193" s="3">
        <v>231.74125000000046</v>
      </c>
      <c r="O193" s="3">
        <v>232.79125000000047</v>
      </c>
      <c r="P193" s="3">
        <v>232.26625000000047</v>
      </c>
      <c r="Q193" s="3">
        <v>224.24125000000046</v>
      </c>
      <c r="R193" s="3">
        <v>225.29125000000047</v>
      </c>
      <c r="S193" s="3">
        <v>224.8</v>
      </c>
      <c r="T193" s="3">
        <v>224.8</v>
      </c>
      <c r="U193" s="7">
        <f t="shared" si="26"/>
        <v>0.52500000000000568</v>
      </c>
      <c r="V193" s="3">
        <v>3180.97</v>
      </c>
      <c r="W193" s="3">
        <v>3653.85</v>
      </c>
      <c r="X193" s="3">
        <v>3459.13</v>
      </c>
      <c r="Y193" s="3">
        <v>3447.08</v>
      </c>
      <c r="Z193" s="3">
        <f t="shared" si="27"/>
        <v>236.44000000000005</v>
      </c>
      <c r="AA193" s="4">
        <f t="shared" si="28"/>
        <v>5.0611556305355833E-2</v>
      </c>
      <c r="AB193" s="4">
        <f t="shared" si="29"/>
        <v>3.5897155670612029E-3</v>
      </c>
      <c r="AC193">
        <v>1.1476266666666668</v>
      </c>
      <c r="AD193" s="2">
        <v>6.2782999999999998</v>
      </c>
      <c r="AE193" s="2">
        <v>2.0749</v>
      </c>
      <c r="AF193" s="2">
        <f t="shared" si="30"/>
        <v>4.2034000000000002</v>
      </c>
      <c r="AG193" s="2">
        <v>0.92727333333333317</v>
      </c>
      <c r="AH193" s="1">
        <f t="shared" si="31"/>
        <v>81.926868598143727</v>
      </c>
      <c r="AI193" s="1">
        <f t="shared" si="32"/>
        <v>18.073131401856273</v>
      </c>
      <c r="AJ193" s="1">
        <f t="shared" si="33"/>
        <v>0.90365657009281364</v>
      </c>
      <c r="AK193" s="8">
        <v>9.7900000000000098E-2</v>
      </c>
      <c r="AL193" s="9">
        <v>81.394906879513485</v>
      </c>
      <c r="AM193" s="10">
        <v>4.0697453439756748</v>
      </c>
      <c r="AN193" s="9">
        <v>40.697453439756742</v>
      </c>
      <c r="AO193" s="11">
        <v>4.0707403705974272</v>
      </c>
      <c r="AP193" s="2">
        <v>4.3602824999999994</v>
      </c>
      <c r="AQ193" s="2">
        <f t="shared" si="34"/>
        <v>0.24635596124999998</v>
      </c>
      <c r="AR193" s="2">
        <v>1.1766836972910204</v>
      </c>
      <c r="AS193" s="2">
        <v>0.21266359079562697</v>
      </c>
      <c r="AT193" s="2">
        <f t="shared" si="35"/>
        <v>2.1266359079562699E-2</v>
      </c>
      <c r="AU193" s="2">
        <f t="shared" si="36"/>
        <v>1.0763235299652027E-2</v>
      </c>
      <c r="AV193" s="2">
        <f t="shared" si="37"/>
        <v>1.6844463243955421E-3</v>
      </c>
      <c r="AW193" s="3">
        <f t="shared" si="38"/>
        <v>15.65</v>
      </c>
    </row>
    <row r="194" spans="1:49" x14ac:dyDescent="0.2">
      <c r="A194" t="s">
        <v>45</v>
      </c>
      <c r="B194" s="5" t="s">
        <v>46</v>
      </c>
      <c r="C194" s="5" t="s">
        <v>222</v>
      </c>
      <c r="D194" s="5" t="s">
        <v>245</v>
      </c>
      <c r="E194">
        <v>6</v>
      </c>
      <c r="F194" s="6">
        <v>238</v>
      </c>
      <c r="G194" s="3">
        <v>2.35</v>
      </c>
      <c r="H194" s="3">
        <v>2.5</v>
      </c>
      <c r="I194" s="3">
        <v>1.05</v>
      </c>
      <c r="J194" s="3">
        <v>32.965000000000487</v>
      </c>
      <c r="K194" s="3">
        <v>34.015000000000498</v>
      </c>
      <c r="L194" s="3">
        <v>33.490000000000492</v>
      </c>
      <c r="M194" s="1">
        <v>0.17</v>
      </c>
      <c r="N194" s="3">
        <v>232.96500000000049</v>
      </c>
      <c r="O194" s="3">
        <v>234.0150000000005</v>
      </c>
      <c r="P194" s="3">
        <v>233.49000000000049</v>
      </c>
      <c r="Q194" s="3">
        <v>225.46500000000049</v>
      </c>
      <c r="R194" s="3">
        <v>226.5150000000005</v>
      </c>
      <c r="S194" s="3">
        <v>226</v>
      </c>
      <c r="T194" s="3">
        <v>226</v>
      </c>
      <c r="U194" s="7">
        <f t="shared" si="26"/>
        <v>0.52500000000000568</v>
      </c>
      <c r="V194" s="3">
        <v>3210.54</v>
      </c>
      <c r="W194" s="3">
        <v>3665.91</v>
      </c>
      <c r="X194" s="3">
        <v>3484.67</v>
      </c>
      <c r="Y194" s="3">
        <v>3470.79</v>
      </c>
      <c r="Z194" s="3">
        <f t="shared" si="27"/>
        <v>227.68499999999995</v>
      </c>
      <c r="AA194" s="4">
        <f t="shared" si="28"/>
        <v>5.0590219224282286E-2</v>
      </c>
      <c r="AB194" s="4">
        <f t="shared" si="29"/>
        <v>3.4362570494426226E-3</v>
      </c>
      <c r="AC194">
        <v>1.1476266666666668</v>
      </c>
      <c r="AD194" s="2">
        <v>7.2523</v>
      </c>
      <c r="AE194" s="2">
        <v>2.2873999999999999</v>
      </c>
      <c r="AF194" s="2">
        <f t="shared" si="30"/>
        <v>4.9649000000000001</v>
      </c>
      <c r="AG194" s="2">
        <v>1.1397733333333331</v>
      </c>
      <c r="AH194" s="1">
        <f t="shared" si="31"/>
        <v>81.32949510811936</v>
      </c>
      <c r="AI194" s="1">
        <f t="shared" si="32"/>
        <v>18.67050489188064</v>
      </c>
      <c r="AJ194" s="1">
        <f t="shared" si="33"/>
        <v>0.93352524459403208</v>
      </c>
      <c r="AK194" s="8">
        <v>6.0000000000000497E-2</v>
      </c>
      <c r="AL194" s="9">
        <v>81.337480559875459</v>
      </c>
      <c r="AM194" s="10">
        <v>4.066874027993773</v>
      </c>
      <c r="AN194" s="9">
        <v>40.66874027993773</v>
      </c>
      <c r="AO194" s="11">
        <v>4.0678697569576014</v>
      </c>
      <c r="AP194" s="2">
        <v>4.8471051562499996</v>
      </c>
      <c r="AQ194" s="2">
        <f t="shared" si="34"/>
        <v>0.28597920421875</v>
      </c>
      <c r="AR194" s="2">
        <v>1.259447265232484</v>
      </c>
      <c r="AS194" s="2">
        <v>0.23514516326588786</v>
      </c>
      <c r="AT194" s="2">
        <f t="shared" si="35"/>
        <v>2.3514516326588786E-2</v>
      </c>
      <c r="AU194" s="2">
        <f t="shared" si="36"/>
        <v>1.1896045359150917E-2</v>
      </c>
      <c r="AV194" s="2">
        <f t="shared" si="37"/>
        <v>1.8914712121049957E-3</v>
      </c>
      <c r="AW194" s="3">
        <f t="shared" si="38"/>
        <v>15.9</v>
      </c>
    </row>
    <row r="195" spans="1:49" x14ac:dyDescent="0.2">
      <c r="A195" t="s">
        <v>45</v>
      </c>
      <c r="B195" s="5" t="s">
        <v>46</v>
      </c>
      <c r="C195" s="5" t="s">
        <v>222</v>
      </c>
      <c r="D195" s="5" t="s">
        <v>246</v>
      </c>
      <c r="E195">
        <v>6</v>
      </c>
      <c r="F195" s="6">
        <v>239</v>
      </c>
      <c r="G195" s="3">
        <v>2.2999999999999998</v>
      </c>
      <c r="H195" s="3">
        <v>2.35</v>
      </c>
      <c r="I195" s="3">
        <v>1.05</v>
      </c>
      <c r="J195" s="3">
        <v>34.18875000000051</v>
      </c>
      <c r="K195" s="3">
        <v>35.238750000000522</v>
      </c>
      <c r="L195" s="3">
        <v>34.713750000000516</v>
      </c>
      <c r="M195" s="1">
        <v>0.17</v>
      </c>
      <c r="N195" s="3">
        <v>234.18875000000051</v>
      </c>
      <c r="O195" s="3">
        <v>235.23875000000052</v>
      </c>
      <c r="P195" s="3">
        <v>234.71375000000052</v>
      </c>
      <c r="Q195" s="3">
        <v>226.68875000000051</v>
      </c>
      <c r="R195" s="3">
        <v>227.73875000000052</v>
      </c>
      <c r="S195" s="3">
        <v>227.2</v>
      </c>
      <c r="T195" s="3">
        <v>227.2</v>
      </c>
      <c r="U195" s="7">
        <f t="shared" ref="U195:U258" si="39">((R195-S195)+(S195-Q195))/2</f>
        <v>0.52500000000000568</v>
      </c>
      <c r="V195" s="3">
        <v>3236.77</v>
      </c>
      <c r="W195" s="3">
        <v>3678.84</v>
      </c>
      <c r="X195" s="3">
        <v>3510.2</v>
      </c>
      <c r="Y195" s="3">
        <v>3494.51</v>
      </c>
      <c r="Z195" s="3">
        <f t="shared" ref="Z195:Z258" si="40">((W195-Y195)+(Y195-V195))/2</f>
        <v>221.03500000000008</v>
      </c>
      <c r="AA195" s="4">
        <f t="shared" ref="AA195:AA258" si="41">(T196-T195)/(Y196-Y195)</f>
        <v>5.0611556305358005E-2</v>
      </c>
      <c r="AB195" s="4">
        <f t="shared" ref="AB195:AB258" si="42">AA195*((Z195/Y195)+(U195/T195))</f>
        <v>3.3182359497220364E-3</v>
      </c>
      <c r="AC195">
        <v>1.1476266666666668</v>
      </c>
      <c r="AD195" s="2">
        <v>6.3876999999999997</v>
      </c>
      <c r="AE195" s="2">
        <v>2.1337999999999999</v>
      </c>
      <c r="AF195" s="2">
        <f t="shared" ref="AF195:AF258" si="43">AD195-AE195</f>
        <v>4.2538999999999998</v>
      </c>
      <c r="AG195" s="2">
        <v>0.98617333333333312</v>
      </c>
      <c r="AH195" s="1">
        <f t="shared" ref="AH195:AH258" si="44">((AD195-AC195)-(AE195-AC195))/(AD195-AC195)*100</f>
        <v>81.180161600791848</v>
      </c>
      <c r="AI195" s="1">
        <f t="shared" ref="AI195:AI258" si="45">100-AH195</f>
        <v>18.819838399208152</v>
      </c>
      <c r="AJ195" s="1">
        <f t="shared" ref="AJ195:AJ258" si="46">AI195*0.05</f>
        <v>0.94099191996040765</v>
      </c>
      <c r="AK195" s="8">
        <v>0.10170000000000012</v>
      </c>
      <c r="AL195" s="9">
        <v>76.098707403055172</v>
      </c>
      <c r="AM195" s="10">
        <v>3.8049353701527586</v>
      </c>
      <c r="AN195" s="9">
        <v>38.049353701527586</v>
      </c>
      <c r="AO195" s="11">
        <v>3.805999628355146</v>
      </c>
      <c r="AP195" s="2">
        <v>4.455586406250001</v>
      </c>
      <c r="AQ195" s="2">
        <f t="shared" ref="AQ195:AQ258" si="47">AP195*((G195*0.01)+(H195*0.01)+(I195*0.01))</f>
        <v>0.25396842515625007</v>
      </c>
      <c r="AR195" s="2">
        <v>1.1760681660180365</v>
      </c>
      <c r="AS195" s="2">
        <v>0.22133412830912549</v>
      </c>
      <c r="AT195" s="2">
        <f t="shared" ref="AT195:AT258" si="48">AS195*0.1</f>
        <v>2.2133412830912552E-2</v>
      </c>
      <c r="AU195" s="2">
        <f t="shared" ref="AU195:AU258" si="49">AS195*AA195</f>
        <v>1.1202064697214638E-2</v>
      </c>
      <c r="AV195" s="2">
        <f t="shared" ref="AV195:AV258" si="50">AU195*((AT195/AS195)+(AQ195/AP195))</f>
        <v>1.7587241574626984E-3</v>
      </c>
      <c r="AW195" s="3">
        <f t="shared" ref="AW195:AW258" si="51">(AV195/AU195)*100</f>
        <v>15.700000000000003</v>
      </c>
    </row>
    <row r="196" spans="1:49" x14ac:dyDescent="0.2">
      <c r="A196" t="s">
        <v>45</v>
      </c>
      <c r="B196" s="5" t="s">
        <v>46</v>
      </c>
      <c r="C196" s="5" t="s">
        <v>222</v>
      </c>
      <c r="D196" s="5" t="s">
        <v>247</v>
      </c>
      <c r="E196">
        <v>6</v>
      </c>
      <c r="F196" s="6">
        <v>240</v>
      </c>
      <c r="G196" s="3">
        <v>2.4</v>
      </c>
      <c r="H196" s="3">
        <v>2.35</v>
      </c>
      <c r="I196" s="3">
        <v>1.05</v>
      </c>
      <c r="J196" s="3">
        <v>35.412500000000534</v>
      </c>
      <c r="K196" s="3">
        <v>36.462500000000546</v>
      </c>
      <c r="L196" s="3">
        <v>35.93750000000054</v>
      </c>
      <c r="M196" s="1">
        <v>0.17</v>
      </c>
      <c r="N196" s="3">
        <v>235.41250000000053</v>
      </c>
      <c r="O196" s="3">
        <v>236.46250000000055</v>
      </c>
      <c r="P196" s="3">
        <v>235.93750000000054</v>
      </c>
      <c r="Q196" s="3">
        <v>227.91250000000053</v>
      </c>
      <c r="R196" s="3">
        <v>228.96250000000055</v>
      </c>
      <c r="S196" s="3">
        <v>228.4</v>
      </c>
      <c r="T196" s="3">
        <v>228.4</v>
      </c>
      <c r="U196" s="7">
        <f t="shared" si="39"/>
        <v>0.52500000000000568</v>
      </c>
      <c r="V196" s="3">
        <v>3256.31</v>
      </c>
      <c r="W196" s="3">
        <v>3696.51</v>
      </c>
      <c r="X196" s="3">
        <v>3535.31</v>
      </c>
      <c r="Y196" s="3">
        <v>3518.22</v>
      </c>
      <c r="Z196" s="3">
        <f t="shared" si="40"/>
        <v>220.10000000000014</v>
      </c>
      <c r="AA196" s="4">
        <f t="shared" si="41"/>
        <v>5.060334760607163E-2</v>
      </c>
      <c r="AB196" s="4">
        <f t="shared" si="42"/>
        <v>3.2820644831593453E-3</v>
      </c>
      <c r="AC196">
        <v>1.1476266666666668</v>
      </c>
      <c r="AD196" s="2">
        <v>6.4169999999999998</v>
      </c>
      <c r="AE196" s="2">
        <v>2.1791999999999998</v>
      </c>
      <c r="AF196" s="2">
        <f t="shared" si="43"/>
        <v>4.2378</v>
      </c>
      <c r="AG196" s="2">
        <v>1.031573333333333</v>
      </c>
      <c r="AH196" s="1">
        <f t="shared" si="44"/>
        <v>80.423225532194849</v>
      </c>
      <c r="AI196" s="1">
        <f t="shared" si="45"/>
        <v>19.576774467805151</v>
      </c>
      <c r="AJ196" s="1">
        <f t="shared" si="46"/>
        <v>0.97883872339025757</v>
      </c>
      <c r="AK196" s="8">
        <v>4.4599999999999973E-2</v>
      </c>
      <c r="AL196" s="9">
        <v>85.434356629653806</v>
      </c>
      <c r="AM196" s="10">
        <v>4.2717178314826905</v>
      </c>
      <c r="AN196" s="9">
        <v>42.717178314826903</v>
      </c>
      <c r="AO196" s="11">
        <v>4.2726658226225904</v>
      </c>
      <c r="AP196" s="2">
        <v>4.6492851562500004</v>
      </c>
      <c r="AQ196" s="2">
        <f t="shared" si="47"/>
        <v>0.26965853906250004</v>
      </c>
      <c r="AR196" s="2">
        <v>1.1333727995259126</v>
      </c>
      <c r="AS196" s="2">
        <v>0.22187783684263729</v>
      </c>
      <c r="AT196" s="2">
        <f t="shared" si="48"/>
        <v>2.2187783684263732E-2</v>
      </c>
      <c r="AU196" s="2">
        <f t="shared" si="49"/>
        <v>1.1227761303831222E-2</v>
      </c>
      <c r="AV196" s="2">
        <f t="shared" si="50"/>
        <v>1.7739862860053333E-3</v>
      </c>
      <c r="AW196" s="3">
        <f t="shared" si="51"/>
        <v>15.800000000000002</v>
      </c>
    </row>
    <row r="197" spans="1:49" x14ac:dyDescent="0.2">
      <c r="A197" t="s">
        <v>45</v>
      </c>
      <c r="B197" s="5" t="s">
        <v>46</v>
      </c>
      <c r="C197" s="5" t="s">
        <v>222</v>
      </c>
      <c r="D197" s="5" t="s">
        <v>248</v>
      </c>
      <c r="E197">
        <v>6</v>
      </c>
      <c r="F197" s="6">
        <v>241</v>
      </c>
      <c r="G197" s="3">
        <v>2.4500000000000002</v>
      </c>
      <c r="H197" s="3">
        <v>2.7</v>
      </c>
      <c r="I197" s="3">
        <v>1.1000000000000001</v>
      </c>
      <c r="J197" s="3">
        <v>36.636250000000558</v>
      </c>
      <c r="K197" s="3">
        <v>37.736250000000553</v>
      </c>
      <c r="L197" s="3">
        <v>37.186250000000541</v>
      </c>
      <c r="M197" s="1">
        <v>0.17</v>
      </c>
      <c r="N197" s="3">
        <v>236.63625000000056</v>
      </c>
      <c r="O197" s="3">
        <v>237.73625000000055</v>
      </c>
      <c r="P197" s="3">
        <v>237.18625000000054</v>
      </c>
      <c r="Q197" s="3">
        <v>229.13625000000056</v>
      </c>
      <c r="R197" s="3">
        <v>230.23625000000055</v>
      </c>
      <c r="S197" s="3">
        <v>229.7</v>
      </c>
      <c r="T197" s="3">
        <v>229.7</v>
      </c>
      <c r="U197" s="7">
        <f t="shared" si="39"/>
        <v>0.54999999999999716</v>
      </c>
      <c r="V197" s="3">
        <v>3274.47</v>
      </c>
      <c r="W197" s="3">
        <v>3720.9</v>
      </c>
      <c r="X197" s="3">
        <v>3561.27</v>
      </c>
      <c r="Y197" s="3">
        <v>3543.91</v>
      </c>
      <c r="Z197" s="3">
        <f t="shared" si="40"/>
        <v>223.21500000000015</v>
      </c>
      <c r="AA197" s="4">
        <f t="shared" si="41"/>
        <v>6.8807339449542052E-2</v>
      </c>
      <c r="AB197" s="4">
        <f t="shared" si="42"/>
        <v>4.4986199664231478E-3</v>
      </c>
      <c r="AC197">
        <v>1.1476266666666668</v>
      </c>
      <c r="AD197" s="2">
        <v>7.5462999999999996</v>
      </c>
      <c r="AE197" s="2">
        <v>2.3965000000000001</v>
      </c>
      <c r="AF197" s="2">
        <f t="shared" si="43"/>
        <v>5.149799999999999</v>
      </c>
      <c r="AG197" s="2">
        <v>1.2488733333333333</v>
      </c>
      <c r="AH197" s="1">
        <f t="shared" si="44"/>
        <v>80.48230831182714</v>
      </c>
      <c r="AI197" s="1">
        <f t="shared" si="45"/>
        <v>19.51769168817286</v>
      </c>
      <c r="AJ197" s="1">
        <f t="shared" si="46"/>
        <v>0.97588458440864301</v>
      </c>
      <c r="AK197" s="8">
        <v>5.8699999999999974E-2</v>
      </c>
      <c r="AL197" s="9">
        <v>82.482840943002074</v>
      </c>
      <c r="AM197" s="10">
        <v>4.1241420471501042</v>
      </c>
      <c r="AN197" s="9">
        <v>41.241420471501037</v>
      </c>
      <c r="AO197" s="11">
        <v>4.12512395269178</v>
      </c>
      <c r="AP197" s="2">
        <v>5.7255446875000011</v>
      </c>
      <c r="AQ197" s="2">
        <f t="shared" si="47"/>
        <v>0.35784654296875007</v>
      </c>
      <c r="AR197" s="2">
        <v>1.1175658705979372</v>
      </c>
      <c r="AS197" s="2">
        <v>0.21812306103555026</v>
      </c>
      <c r="AT197" s="2">
        <f t="shared" si="48"/>
        <v>2.1812306103555029E-2</v>
      </c>
      <c r="AU197" s="2">
        <f t="shared" si="49"/>
        <v>1.5008467502446287E-2</v>
      </c>
      <c r="AV197" s="2">
        <f t="shared" si="50"/>
        <v>2.4388759691475223E-3</v>
      </c>
      <c r="AW197" s="3">
        <f t="shared" si="51"/>
        <v>16.250000000000004</v>
      </c>
    </row>
    <row r="198" spans="1:49" x14ac:dyDescent="0.2">
      <c r="A198" t="s">
        <v>45</v>
      </c>
      <c r="B198" s="5" t="s">
        <v>46</v>
      </c>
      <c r="C198" s="5" t="s">
        <v>222</v>
      </c>
      <c r="D198" s="5" t="s">
        <v>249</v>
      </c>
      <c r="E198">
        <v>6</v>
      </c>
      <c r="F198" s="6">
        <v>242</v>
      </c>
      <c r="G198" s="3">
        <v>2.2999999999999998</v>
      </c>
      <c r="H198" s="3">
        <v>2.35</v>
      </c>
      <c r="I198" s="3">
        <v>1.05</v>
      </c>
      <c r="J198" s="3">
        <v>37.910000000000565</v>
      </c>
      <c r="K198" s="3">
        <v>38.960000000000576</v>
      </c>
      <c r="L198" s="3">
        <v>38.435000000000571</v>
      </c>
      <c r="M198" s="1">
        <v>0.17</v>
      </c>
      <c r="N198" s="3">
        <v>237.91000000000057</v>
      </c>
      <c r="O198" s="3">
        <v>238.96000000000058</v>
      </c>
      <c r="P198" s="3">
        <v>238.43500000000057</v>
      </c>
      <c r="Q198" s="3">
        <v>230.41000000000057</v>
      </c>
      <c r="R198" s="3">
        <v>231.46000000000058</v>
      </c>
      <c r="S198" s="3">
        <v>230.9</v>
      </c>
      <c r="T198" s="3">
        <v>230.9</v>
      </c>
      <c r="U198" s="7">
        <f t="shared" si="39"/>
        <v>0.52500000000000568</v>
      </c>
      <c r="V198" s="3">
        <v>3306.68</v>
      </c>
      <c r="W198" s="3">
        <v>3733.58</v>
      </c>
      <c r="X198" s="3">
        <v>3577.1</v>
      </c>
      <c r="Y198" s="3">
        <v>3561.35</v>
      </c>
      <c r="Z198" s="3">
        <f t="shared" si="40"/>
        <v>213.45000000000005</v>
      </c>
      <c r="AA198" s="4">
        <f t="shared" si="41"/>
        <v>7.8074170461938652E-2</v>
      </c>
      <c r="AB198" s="4">
        <f t="shared" si="42"/>
        <v>4.8569042435866096E-3</v>
      </c>
      <c r="AC198">
        <v>1.1476266666666668</v>
      </c>
      <c r="AD198" s="2">
        <v>6.4833999999999996</v>
      </c>
      <c r="AE198" s="2">
        <v>2.1484000000000001</v>
      </c>
      <c r="AF198" s="2">
        <f t="shared" si="43"/>
        <v>4.3349999999999991</v>
      </c>
      <c r="AG198" s="2">
        <v>1.0007733333333333</v>
      </c>
      <c r="AH198" s="1">
        <f t="shared" si="44"/>
        <v>81.244080833018899</v>
      </c>
      <c r="AI198" s="1">
        <f t="shared" si="45"/>
        <v>18.755919166981101</v>
      </c>
      <c r="AJ198" s="1">
        <f t="shared" si="46"/>
        <v>0.93779595834905516</v>
      </c>
      <c r="AK198" s="8">
        <v>5.0999999999999268E-2</v>
      </c>
      <c r="AL198" s="9">
        <v>81.10411263430926</v>
      </c>
      <c r="AM198" s="10">
        <v>4.055205631715463</v>
      </c>
      <c r="AN198" s="9">
        <v>40.55205631715463</v>
      </c>
      <c r="AO198" s="11">
        <v>4.0562042250725989</v>
      </c>
      <c r="AP198" s="2">
        <v>4.455586406250001</v>
      </c>
      <c r="AQ198" s="2">
        <f t="shared" si="47"/>
        <v>0.25396842515625007</v>
      </c>
      <c r="AR198" s="2">
        <v>1.1975468202902908</v>
      </c>
      <c r="AS198" s="2">
        <v>0.22461091360039945</v>
      </c>
      <c r="AT198" s="2">
        <f t="shared" si="48"/>
        <v>2.2461091360039945E-2</v>
      </c>
      <c r="AU198" s="2">
        <f t="shared" si="49"/>
        <v>1.7536310756049361E-2</v>
      </c>
      <c r="AV198" s="2">
        <f t="shared" si="50"/>
        <v>2.75320078869975E-3</v>
      </c>
      <c r="AW198" s="3">
        <f t="shared" si="51"/>
        <v>15.7</v>
      </c>
    </row>
    <row r="199" spans="1:49" x14ac:dyDescent="0.2">
      <c r="A199" t="s">
        <v>45</v>
      </c>
      <c r="B199" s="5" t="s">
        <v>46</v>
      </c>
      <c r="C199" s="5" t="s">
        <v>222</v>
      </c>
      <c r="D199" s="5" t="s">
        <v>250</v>
      </c>
      <c r="E199">
        <v>6</v>
      </c>
      <c r="F199" s="6">
        <v>243</v>
      </c>
      <c r="G199" s="3">
        <v>2.5</v>
      </c>
      <c r="H199" s="3">
        <v>2.35</v>
      </c>
      <c r="I199" s="3">
        <v>1</v>
      </c>
      <c r="J199" s="3">
        <v>39.133750000000589</v>
      </c>
      <c r="K199" s="3">
        <v>40.133750000000589</v>
      </c>
      <c r="L199" s="3">
        <v>39.633750000000589</v>
      </c>
      <c r="M199" s="1">
        <v>0.17</v>
      </c>
      <c r="N199" s="3">
        <v>239.13375000000059</v>
      </c>
      <c r="O199" s="3">
        <v>240.13375000000059</v>
      </c>
      <c r="P199" s="3">
        <v>239.63375000000059</v>
      </c>
      <c r="Q199" s="3">
        <v>231.63375000000059</v>
      </c>
      <c r="R199" s="3">
        <v>232.63375000000059</v>
      </c>
      <c r="S199" s="3">
        <v>232.1</v>
      </c>
      <c r="T199" s="3">
        <v>232.1</v>
      </c>
      <c r="U199" s="7">
        <f t="shared" si="39"/>
        <v>0.5</v>
      </c>
      <c r="V199" s="3">
        <v>3341.67</v>
      </c>
      <c r="W199" s="3">
        <v>3738.3</v>
      </c>
      <c r="X199" s="3">
        <v>3591.4</v>
      </c>
      <c r="Y199" s="3">
        <v>3576.72</v>
      </c>
      <c r="Z199" s="3">
        <f t="shared" si="40"/>
        <v>198.31500000000005</v>
      </c>
      <c r="AA199" s="4">
        <f t="shared" si="41"/>
        <v>7.8125000000000458E-2</v>
      </c>
      <c r="AB199" s="4">
        <f t="shared" si="42"/>
        <v>4.5000230461757955E-3</v>
      </c>
      <c r="AC199">
        <v>1.1476266666666668</v>
      </c>
      <c r="AD199" s="2">
        <v>5.8037000000000001</v>
      </c>
      <c r="AE199" s="2">
        <v>1.9453</v>
      </c>
      <c r="AF199" s="2">
        <f t="shared" si="43"/>
        <v>3.8584000000000001</v>
      </c>
      <c r="AG199" s="2">
        <v>0.79767333333333323</v>
      </c>
      <c r="AH199" s="1">
        <f t="shared" si="44"/>
        <v>82.868110611087175</v>
      </c>
      <c r="AI199" s="1">
        <f t="shared" si="45"/>
        <v>17.131889388912825</v>
      </c>
      <c r="AJ199" s="1">
        <f t="shared" si="46"/>
        <v>0.85659446944564133</v>
      </c>
      <c r="AK199" s="8">
        <v>8.0200000000000493E-2</v>
      </c>
      <c r="AL199" s="9">
        <v>79.874529485570775</v>
      </c>
      <c r="AM199" s="10">
        <v>3.9937264742785388</v>
      </c>
      <c r="AN199" s="9">
        <v>39.937264742785388</v>
      </c>
      <c r="AO199" s="11">
        <v>3.9947404360425334</v>
      </c>
      <c r="AP199" s="2">
        <v>4.6162906249999995</v>
      </c>
      <c r="AQ199" s="2">
        <f t="shared" si="47"/>
        <v>0.27005300156250001</v>
      </c>
      <c r="AR199" s="2">
        <v>1.0086178950947946</v>
      </c>
      <c r="AS199" s="2">
        <v>0.17279530214442104</v>
      </c>
      <c r="AT199" s="2">
        <f t="shared" si="48"/>
        <v>1.7279530214442104E-2</v>
      </c>
      <c r="AU199" s="2">
        <f t="shared" si="49"/>
        <v>1.3499632980032972E-2</v>
      </c>
      <c r="AV199" s="2">
        <f t="shared" si="50"/>
        <v>2.1396918273352264E-3</v>
      </c>
      <c r="AW199" s="3">
        <f t="shared" si="51"/>
        <v>15.850000000000003</v>
      </c>
    </row>
    <row r="200" spans="1:49" x14ac:dyDescent="0.2">
      <c r="A200" t="s">
        <v>45</v>
      </c>
      <c r="B200" s="5" t="s">
        <v>46</v>
      </c>
      <c r="C200" s="5" t="s">
        <v>222</v>
      </c>
      <c r="D200" s="5" t="s">
        <v>251</v>
      </c>
      <c r="E200">
        <v>6</v>
      </c>
      <c r="F200" s="6">
        <v>244</v>
      </c>
      <c r="G200" s="3">
        <v>2.35</v>
      </c>
      <c r="H200" s="3">
        <v>2.35</v>
      </c>
      <c r="I200" s="3">
        <v>1.05</v>
      </c>
      <c r="J200" s="3">
        <v>40.307500000000601</v>
      </c>
      <c r="K200" s="3">
        <v>41.357500000000613</v>
      </c>
      <c r="L200" s="3">
        <v>40.832500000000607</v>
      </c>
      <c r="M200" s="1">
        <v>0.17</v>
      </c>
      <c r="N200" s="3">
        <v>240.3075000000006</v>
      </c>
      <c r="O200" s="3">
        <v>241.35750000000061</v>
      </c>
      <c r="P200" s="3">
        <v>240.83250000000061</v>
      </c>
      <c r="Q200" s="3">
        <v>232.8075000000006</v>
      </c>
      <c r="R200" s="3">
        <v>233.85750000000061</v>
      </c>
      <c r="S200" s="3">
        <v>233.3</v>
      </c>
      <c r="T200" s="3">
        <v>233.3</v>
      </c>
      <c r="U200" s="7">
        <f t="shared" si="39"/>
        <v>0.52500000000000568</v>
      </c>
      <c r="V200" s="3">
        <v>3371.83</v>
      </c>
      <c r="W200" s="3">
        <v>3746.07</v>
      </c>
      <c r="X200" s="3">
        <v>3605.69</v>
      </c>
      <c r="Y200" s="3">
        <v>3592.08</v>
      </c>
      <c r="Z200" s="3">
        <f t="shared" si="40"/>
        <v>187.12000000000012</v>
      </c>
      <c r="AA200" s="4">
        <f t="shared" si="41"/>
        <v>7.812499999999957E-2</v>
      </c>
      <c r="AB200" s="4">
        <f t="shared" si="42"/>
        <v>4.245523632071025E-3</v>
      </c>
      <c r="AC200">
        <v>1.1476266666666668</v>
      </c>
      <c r="AD200" s="2">
        <v>7.2934000000000001</v>
      </c>
      <c r="AE200" s="2">
        <v>2.1497000000000002</v>
      </c>
      <c r="AF200" s="2">
        <f t="shared" si="43"/>
        <v>5.1436999999999999</v>
      </c>
      <c r="AG200" s="2">
        <v>1.0020733333333334</v>
      </c>
      <c r="AH200" s="1">
        <f t="shared" si="44"/>
        <v>83.694918784291858</v>
      </c>
      <c r="AI200" s="1">
        <f t="shared" si="45"/>
        <v>16.305081215708142</v>
      </c>
      <c r="AJ200" s="1">
        <f t="shared" si="46"/>
        <v>0.81525406078540719</v>
      </c>
      <c r="AK200" s="8">
        <v>8.9900000000000091E-2</v>
      </c>
      <c r="AL200" s="9">
        <v>77.954879843060297</v>
      </c>
      <c r="AM200" s="10">
        <v>3.897743992153015</v>
      </c>
      <c r="AN200" s="9">
        <v>38.977439921530149</v>
      </c>
      <c r="AO200" s="11">
        <v>3.8987829162913039</v>
      </c>
      <c r="AP200" s="2">
        <v>4.5519206250000011</v>
      </c>
      <c r="AQ200" s="2">
        <f t="shared" si="47"/>
        <v>0.26173543593750009</v>
      </c>
      <c r="AR200" s="2">
        <v>1.350149495046024</v>
      </c>
      <c r="AS200" s="2">
        <v>0.22014297170072758</v>
      </c>
      <c r="AT200" s="2">
        <f t="shared" si="48"/>
        <v>2.201429717007276E-2</v>
      </c>
      <c r="AU200" s="2">
        <f t="shared" si="49"/>
        <v>1.7198669664119249E-2</v>
      </c>
      <c r="AV200" s="2">
        <f t="shared" si="50"/>
        <v>2.7087904720987824E-3</v>
      </c>
      <c r="AW200" s="3">
        <f t="shared" si="51"/>
        <v>15.750000000000004</v>
      </c>
    </row>
    <row r="201" spans="1:49" x14ac:dyDescent="0.2">
      <c r="A201" t="s">
        <v>45</v>
      </c>
      <c r="B201" s="5" t="s">
        <v>46</v>
      </c>
      <c r="C201" s="5" t="s">
        <v>222</v>
      </c>
      <c r="D201" s="5" t="s">
        <v>252</v>
      </c>
      <c r="E201">
        <v>6</v>
      </c>
      <c r="F201" s="6">
        <v>245</v>
      </c>
      <c r="G201" s="3">
        <v>2.6</v>
      </c>
      <c r="H201" s="3">
        <v>2.5</v>
      </c>
      <c r="I201" s="3">
        <v>1.05</v>
      </c>
      <c r="J201" s="3">
        <v>41.531250000000625</v>
      </c>
      <c r="K201" s="3">
        <v>42.581250000000637</v>
      </c>
      <c r="L201" s="3">
        <v>42.056250000000631</v>
      </c>
      <c r="M201" s="1">
        <v>0.17</v>
      </c>
      <c r="N201" s="3">
        <v>241.53125000000063</v>
      </c>
      <c r="O201" s="3">
        <v>242.58125000000064</v>
      </c>
      <c r="P201" s="3">
        <v>242.05625000000063</v>
      </c>
      <c r="Q201" s="3">
        <v>234.03125000000063</v>
      </c>
      <c r="R201" s="3">
        <v>235.08125000000064</v>
      </c>
      <c r="S201" s="3">
        <v>234.6</v>
      </c>
      <c r="T201" s="3">
        <v>234.6</v>
      </c>
      <c r="U201" s="7">
        <f t="shared" si="39"/>
        <v>0.52500000000000568</v>
      </c>
      <c r="V201" s="3">
        <v>3403.5</v>
      </c>
      <c r="W201" s="3">
        <v>3754.65</v>
      </c>
      <c r="X201" s="3">
        <v>3622.27</v>
      </c>
      <c r="Y201" s="3">
        <v>3608.72</v>
      </c>
      <c r="Z201" s="3">
        <f t="shared" si="40"/>
        <v>175.57500000000005</v>
      </c>
      <c r="AA201" s="4">
        <f t="shared" si="41"/>
        <v>7.8125000000000458E-2</v>
      </c>
      <c r="AB201" s="4">
        <f t="shared" si="42"/>
        <v>3.9758466136181969E-3</v>
      </c>
      <c r="AC201">
        <v>1.1476266666666668</v>
      </c>
      <c r="AD201" s="2">
        <v>7.6702000000000004</v>
      </c>
      <c r="AE201" s="2">
        <v>2.1924999999999999</v>
      </c>
      <c r="AF201" s="2">
        <f t="shared" si="43"/>
        <v>5.4777000000000005</v>
      </c>
      <c r="AG201" s="2">
        <v>1.0448733333333331</v>
      </c>
      <c r="AH201" s="1">
        <f t="shared" si="44"/>
        <v>83.980657940730964</v>
      </c>
      <c r="AI201" s="1">
        <f t="shared" si="45"/>
        <v>16.019342059269036</v>
      </c>
      <c r="AJ201" s="1">
        <f t="shared" si="46"/>
        <v>0.80096710296345186</v>
      </c>
      <c r="AK201" s="8">
        <v>6.7700000000000315E-2</v>
      </c>
      <c r="AL201" s="9">
        <v>81.507784758262702</v>
      </c>
      <c r="AM201" s="10">
        <v>4.0753892379131349</v>
      </c>
      <c r="AN201" s="9">
        <v>40.753892379131351</v>
      </c>
      <c r="AO201" s="11">
        <v>4.0763828868861429</v>
      </c>
      <c r="AP201" s="2">
        <v>5.3596856249999991</v>
      </c>
      <c r="AQ201" s="2">
        <f t="shared" si="47"/>
        <v>0.3296206659375</v>
      </c>
      <c r="AR201" s="2">
        <v>1.2169693877023495</v>
      </c>
      <c r="AS201" s="2">
        <v>0.19495048897263134</v>
      </c>
      <c r="AT201" s="2">
        <f t="shared" si="48"/>
        <v>1.9495048897263136E-2</v>
      </c>
      <c r="AU201" s="2">
        <f t="shared" si="49"/>
        <v>1.5230506950986912E-2</v>
      </c>
      <c r="AV201" s="2">
        <f t="shared" si="50"/>
        <v>2.4597268725843869E-3</v>
      </c>
      <c r="AW201" s="3">
        <f t="shared" si="51"/>
        <v>16.150000000000002</v>
      </c>
    </row>
    <row r="202" spans="1:49" x14ac:dyDescent="0.2">
      <c r="A202" t="s">
        <v>45</v>
      </c>
      <c r="B202" s="5" t="s">
        <v>46</v>
      </c>
      <c r="C202" s="5" t="s">
        <v>222</v>
      </c>
      <c r="D202" s="5" t="s">
        <v>253</v>
      </c>
      <c r="E202">
        <v>6</v>
      </c>
      <c r="F202" s="6">
        <v>246</v>
      </c>
      <c r="G202" s="3">
        <v>2.5</v>
      </c>
      <c r="H202" s="3">
        <v>2.5</v>
      </c>
      <c r="I202" s="3">
        <v>1</v>
      </c>
      <c r="J202" s="3">
        <v>42.755000000000649</v>
      </c>
      <c r="K202" s="3">
        <v>43.755000000000649</v>
      </c>
      <c r="L202" s="3">
        <v>43.255000000000649</v>
      </c>
      <c r="M202" s="1">
        <v>0.17</v>
      </c>
      <c r="N202" s="3">
        <v>242.75500000000065</v>
      </c>
      <c r="O202" s="3">
        <v>243.75500000000065</v>
      </c>
      <c r="P202" s="3">
        <v>243.25500000000065</v>
      </c>
      <c r="Q202" s="3">
        <v>235.25500000000065</v>
      </c>
      <c r="R202" s="3">
        <v>236.25500000000065</v>
      </c>
      <c r="S202" s="3">
        <v>235.8</v>
      </c>
      <c r="T202" s="3">
        <v>235.8</v>
      </c>
      <c r="U202" s="7">
        <f t="shared" si="39"/>
        <v>0.5</v>
      </c>
      <c r="V202" s="3">
        <v>3427.54</v>
      </c>
      <c r="W202" s="3">
        <v>3762.58</v>
      </c>
      <c r="X202" s="3">
        <v>3636.92</v>
      </c>
      <c r="Y202" s="3">
        <v>3624.08</v>
      </c>
      <c r="Z202" s="3">
        <f t="shared" si="40"/>
        <v>167.51999999999998</v>
      </c>
      <c r="AA202" s="4">
        <f t="shared" si="41"/>
        <v>7.8124999999998612E-2</v>
      </c>
      <c r="AB202" s="4">
        <f t="shared" si="42"/>
        <v>3.7769207979762767E-3</v>
      </c>
      <c r="AC202">
        <v>1.1476266666666668</v>
      </c>
      <c r="AD202" s="2">
        <v>7.7647000000000004</v>
      </c>
      <c r="AE202" s="2">
        <v>2.2202999999999999</v>
      </c>
      <c r="AF202" s="2">
        <f t="shared" si="43"/>
        <v>5.5444000000000004</v>
      </c>
      <c r="AG202" s="2">
        <v>1.0726733333333331</v>
      </c>
      <c r="AH202" s="1">
        <f t="shared" si="44"/>
        <v>83.789308667175106</v>
      </c>
      <c r="AI202" s="1">
        <f t="shared" si="45"/>
        <v>16.210691332824894</v>
      </c>
      <c r="AJ202" s="1">
        <f t="shared" si="46"/>
        <v>0.81053456664124468</v>
      </c>
      <c r="AK202" s="8">
        <v>6.6899999999999515E-2</v>
      </c>
      <c r="AL202" s="9">
        <v>81.86991869918711</v>
      </c>
      <c r="AM202" s="10">
        <v>4.093495934959356</v>
      </c>
      <c r="AN202" s="9">
        <v>40.934959349593555</v>
      </c>
      <c r="AO202" s="11">
        <v>4.094485189804546</v>
      </c>
      <c r="AP202" s="2">
        <v>4.90625</v>
      </c>
      <c r="AQ202" s="2">
        <f t="shared" si="47"/>
        <v>0.294375</v>
      </c>
      <c r="AR202" s="2">
        <v>1.3487028450106158</v>
      </c>
      <c r="AS202" s="2">
        <v>0.21863405520169849</v>
      </c>
      <c r="AT202" s="2">
        <f t="shared" si="48"/>
        <v>2.1863405520169851E-2</v>
      </c>
      <c r="AU202" s="2">
        <f t="shared" si="49"/>
        <v>1.708078556263239E-2</v>
      </c>
      <c r="AV202" s="2">
        <f t="shared" si="50"/>
        <v>2.7329256900211823E-3</v>
      </c>
      <c r="AW202" s="3">
        <f t="shared" si="51"/>
        <v>16</v>
      </c>
    </row>
    <row r="203" spans="1:49" x14ac:dyDescent="0.2">
      <c r="A203" t="s">
        <v>45</v>
      </c>
      <c r="B203" s="5" t="s">
        <v>46</v>
      </c>
      <c r="C203" s="5" t="s">
        <v>222</v>
      </c>
      <c r="D203" s="5" t="s">
        <v>254</v>
      </c>
      <c r="E203">
        <v>6</v>
      </c>
      <c r="F203" s="6">
        <v>247</v>
      </c>
      <c r="G203" s="3">
        <v>2.25</v>
      </c>
      <c r="H203" s="3">
        <v>2.65</v>
      </c>
      <c r="I203" s="3">
        <v>1.1000000000000001</v>
      </c>
      <c r="J203" s="3">
        <v>43.928750000000662</v>
      </c>
      <c r="K203" s="3">
        <v>45.028750000000656</v>
      </c>
      <c r="L203" s="3">
        <v>44.478750000000673</v>
      </c>
      <c r="M203" s="1">
        <v>0.17</v>
      </c>
      <c r="N203" s="3">
        <v>243.92875000000066</v>
      </c>
      <c r="O203" s="3">
        <v>245.02875000000066</v>
      </c>
      <c r="P203" s="3">
        <v>244.47875000000067</v>
      </c>
      <c r="Q203" s="3">
        <v>236.42875000000066</v>
      </c>
      <c r="R203" s="3">
        <v>237.52875000000066</v>
      </c>
      <c r="S203" s="3">
        <v>237</v>
      </c>
      <c r="T203" s="3">
        <v>237</v>
      </c>
      <c r="U203" s="7">
        <f t="shared" si="39"/>
        <v>0.54999999999999716</v>
      </c>
      <c r="V203" s="3">
        <v>3450.92</v>
      </c>
      <c r="W203" s="3">
        <v>3775.33</v>
      </c>
      <c r="X203" s="3">
        <v>3651.17</v>
      </c>
      <c r="Y203" s="3">
        <v>3639.44</v>
      </c>
      <c r="Z203" s="3">
        <f t="shared" si="40"/>
        <v>162.20499999999993</v>
      </c>
      <c r="AA203" s="4">
        <f t="shared" si="41"/>
        <v>7.8124999999998612E-2</v>
      </c>
      <c r="AB203" s="4">
        <f t="shared" si="42"/>
        <v>3.6632300789644153E-3</v>
      </c>
      <c r="AC203">
        <v>1.1476266666666668</v>
      </c>
      <c r="AD203" s="2">
        <v>7.2667999999999999</v>
      </c>
      <c r="AE203" s="2">
        <v>2.1772</v>
      </c>
      <c r="AF203" s="2">
        <f t="shared" si="43"/>
        <v>5.0895999999999999</v>
      </c>
      <c r="AG203" s="2">
        <v>1.0295733333333332</v>
      </c>
      <c r="AH203" s="1">
        <f t="shared" si="44"/>
        <v>83.174633610640214</v>
      </c>
      <c r="AI203" s="1">
        <f t="shared" si="45"/>
        <v>16.825366389359786</v>
      </c>
      <c r="AJ203" s="1">
        <f t="shared" si="46"/>
        <v>0.8412683194679893</v>
      </c>
      <c r="AK203" s="8">
        <v>9.0300000000000047E-2</v>
      </c>
      <c r="AL203" s="9">
        <v>78.877192982456137</v>
      </c>
      <c r="AM203" s="10">
        <v>3.9438596491228068</v>
      </c>
      <c r="AN203" s="9">
        <v>39.438596491228068</v>
      </c>
      <c r="AO203" s="11">
        <v>3.9448864282738318</v>
      </c>
      <c r="AP203" s="2">
        <v>5.1831587500000005</v>
      </c>
      <c r="AQ203" s="2">
        <f t="shared" si="47"/>
        <v>0.31098952500000004</v>
      </c>
      <c r="AR203" s="2">
        <v>1.1805876741346835</v>
      </c>
      <c r="AS203" s="2">
        <v>0.19863820172078139</v>
      </c>
      <c r="AT203" s="2">
        <f t="shared" si="48"/>
        <v>1.9863820172078141E-2</v>
      </c>
      <c r="AU203" s="2">
        <f t="shared" si="49"/>
        <v>1.5518609509435771E-2</v>
      </c>
      <c r="AV203" s="2">
        <f t="shared" si="50"/>
        <v>2.4829775215097234E-3</v>
      </c>
      <c r="AW203" s="3">
        <f t="shared" si="51"/>
        <v>16</v>
      </c>
    </row>
    <row r="204" spans="1:49" x14ac:dyDescent="0.2">
      <c r="A204" t="s">
        <v>45</v>
      </c>
      <c r="B204" s="5" t="s">
        <v>46</v>
      </c>
      <c r="C204" s="5" t="s">
        <v>222</v>
      </c>
      <c r="D204" s="5" t="s">
        <v>255</v>
      </c>
      <c r="E204">
        <v>6</v>
      </c>
      <c r="F204" s="6">
        <v>248</v>
      </c>
      <c r="G204" s="3">
        <v>2.5</v>
      </c>
      <c r="H204" s="3">
        <v>2.25</v>
      </c>
      <c r="I204" s="3">
        <v>1</v>
      </c>
      <c r="J204" s="3">
        <v>45.202500000000668</v>
      </c>
      <c r="K204" s="3">
        <v>46.202500000000668</v>
      </c>
      <c r="L204" s="3">
        <v>45.702500000000668</v>
      </c>
      <c r="M204" s="1">
        <v>0.17</v>
      </c>
      <c r="N204" s="3">
        <v>245.20250000000067</v>
      </c>
      <c r="O204" s="3">
        <v>246.20250000000067</v>
      </c>
      <c r="P204" s="3">
        <v>245.70250000000067</v>
      </c>
      <c r="Q204" s="3">
        <v>237.70250000000067</v>
      </c>
      <c r="R204" s="3">
        <v>238.70250000000067</v>
      </c>
      <c r="S204" s="3">
        <v>238.2</v>
      </c>
      <c r="T204" s="3">
        <v>238.2</v>
      </c>
      <c r="U204" s="7">
        <f t="shared" si="39"/>
        <v>0.5</v>
      </c>
      <c r="V204" s="3">
        <v>3465.56</v>
      </c>
      <c r="W204" s="3">
        <v>3789.52</v>
      </c>
      <c r="X204" s="3">
        <v>3664.41</v>
      </c>
      <c r="Y204" s="3">
        <v>3654.8</v>
      </c>
      <c r="Z204" s="3">
        <f t="shared" si="40"/>
        <v>161.98000000000002</v>
      </c>
      <c r="AA204" s="4">
        <f t="shared" si="41"/>
        <v>7.8125000000002776E-2</v>
      </c>
      <c r="AB204" s="4">
        <f t="shared" si="42"/>
        <v>3.6264746115136264E-3</v>
      </c>
      <c r="AC204">
        <v>1.1476266666666668</v>
      </c>
      <c r="AD204" s="2">
        <v>7.0011000000000001</v>
      </c>
      <c r="AE204" s="2">
        <v>2.0889000000000002</v>
      </c>
      <c r="AF204" s="2">
        <f t="shared" si="43"/>
        <v>4.9122000000000003</v>
      </c>
      <c r="AG204" s="2">
        <v>0.94127333333333341</v>
      </c>
      <c r="AH204" s="1">
        <f t="shared" si="44"/>
        <v>83.919405116734112</v>
      </c>
      <c r="AI204" s="1">
        <f t="shared" si="45"/>
        <v>16.080594883265888</v>
      </c>
      <c r="AJ204" s="1">
        <f t="shared" si="46"/>
        <v>0.80402974416329442</v>
      </c>
      <c r="AK204" s="8">
        <v>7.5899999999999856E-2</v>
      </c>
      <c r="AL204" s="9">
        <v>81.997153700189813</v>
      </c>
      <c r="AM204" s="10">
        <v>4.099857685009491</v>
      </c>
      <c r="AN204" s="9">
        <v>40.998576850094906</v>
      </c>
      <c r="AO204" s="11">
        <v>4.1008454051977354</v>
      </c>
      <c r="AP204" s="2">
        <v>4.4278906249999999</v>
      </c>
      <c r="AQ204" s="2">
        <f t="shared" si="47"/>
        <v>0.25460371093750001</v>
      </c>
      <c r="AR204" s="2">
        <v>1.3219552669807271</v>
      </c>
      <c r="AS204" s="2">
        <v>0.21257827102116675</v>
      </c>
      <c r="AT204" s="2">
        <f t="shared" si="48"/>
        <v>2.1257827102116676E-2</v>
      </c>
      <c r="AU204" s="2">
        <f t="shared" si="49"/>
        <v>1.6607677423529241E-2</v>
      </c>
      <c r="AV204" s="2">
        <f t="shared" si="50"/>
        <v>2.6157091942058553E-3</v>
      </c>
      <c r="AW204" s="3">
        <f t="shared" si="51"/>
        <v>15.75</v>
      </c>
    </row>
    <row r="205" spans="1:49" x14ac:dyDescent="0.2">
      <c r="A205" t="s">
        <v>45</v>
      </c>
      <c r="B205" s="5" t="s">
        <v>46</v>
      </c>
      <c r="C205" s="5" t="s">
        <v>222</v>
      </c>
      <c r="D205" s="5" t="s">
        <v>256</v>
      </c>
      <c r="E205">
        <v>6</v>
      </c>
      <c r="F205" s="6">
        <v>249</v>
      </c>
      <c r="G205" s="3">
        <v>2.5</v>
      </c>
      <c r="H205" s="3">
        <v>2.7</v>
      </c>
      <c r="I205" s="3">
        <v>1.1000000000000001</v>
      </c>
      <c r="J205" s="3">
        <v>46.376250000000681</v>
      </c>
      <c r="K205" s="3">
        <v>47.476250000000675</v>
      </c>
      <c r="L205" s="3">
        <v>46.926250000000664</v>
      </c>
      <c r="M205" s="1">
        <v>0.17</v>
      </c>
      <c r="N205" s="3">
        <v>246.37625000000068</v>
      </c>
      <c r="O205" s="3">
        <v>247.47625000000068</v>
      </c>
      <c r="P205" s="3">
        <v>246.92625000000066</v>
      </c>
      <c r="Q205" s="3">
        <v>238.87625000000068</v>
      </c>
      <c r="R205" s="3">
        <v>239.97625000000068</v>
      </c>
      <c r="S205" s="3">
        <v>239.4</v>
      </c>
      <c r="T205" s="3">
        <v>239.4</v>
      </c>
      <c r="U205" s="7">
        <f t="shared" si="39"/>
        <v>0.54999999999999716</v>
      </c>
      <c r="V205" s="3">
        <v>3482.01</v>
      </c>
      <c r="W205" s="3">
        <v>3809.07</v>
      </c>
      <c r="X205" s="3">
        <v>3678.54</v>
      </c>
      <c r="Y205" s="3">
        <v>3670.16</v>
      </c>
      <c r="Z205" s="3">
        <f t="shared" si="40"/>
        <v>163.52999999999997</v>
      </c>
      <c r="AA205" s="4">
        <f t="shared" si="41"/>
        <v>0.11913104414856278</v>
      </c>
      <c r="AB205" s="4">
        <f t="shared" si="42"/>
        <v>5.5817719913647699E-3</v>
      </c>
      <c r="AC205">
        <v>1.1476266666666668</v>
      </c>
      <c r="AD205" s="2">
        <v>7.9679000000000002</v>
      </c>
      <c r="AE205" s="2">
        <v>2.2437</v>
      </c>
      <c r="AF205" s="2">
        <f t="shared" si="43"/>
        <v>5.7241999999999997</v>
      </c>
      <c r="AG205" s="2">
        <v>1.0960733333333332</v>
      </c>
      <c r="AH205" s="1">
        <f t="shared" si="44"/>
        <v>83.929187588767221</v>
      </c>
      <c r="AI205" s="1">
        <f t="shared" si="45"/>
        <v>16.070812411232779</v>
      </c>
      <c r="AJ205" s="1">
        <f t="shared" si="46"/>
        <v>0.803540620561639</v>
      </c>
      <c r="AK205" s="8">
        <v>6.730000000000036E-2</v>
      </c>
      <c r="AL205" s="9">
        <v>81.746677515595252</v>
      </c>
      <c r="AM205" s="10">
        <v>4.0873338757797626</v>
      </c>
      <c r="AN205" s="9">
        <v>40.873338757797626</v>
      </c>
      <c r="AO205" s="11">
        <v>4.0883246216631104</v>
      </c>
      <c r="AP205" s="2">
        <v>5.8372600000000023</v>
      </c>
      <c r="AQ205" s="2">
        <f t="shared" si="47"/>
        <v>0.36774738000000012</v>
      </c>
      <c r="AR205" s="2">
        <v>1.1684032120092871</v>
      </c>
      <c r="AS205" s="2">
        <v>0.18777188840883099</v>
      </c>
      <c r="AT205" s="2">
        <f t="shared" si="48"/>
        <v>1.8777188840883099E-2</v>
      </c>
      <c r="AU205" s="2">
        <f t="shared" si="49"/>
        <v>2.2369461127891448E-2</v>
      </c>
      <c r="AV205" s="2">
        <f t="shared" si="50"/>
        <v>3.6462221638463061E-3</v>
      </c>
      <c r="AW205" s="3">
        <f t="shared" si="51"/>
        <v>16.3</v>
      </c>
    </row>
    <row r="206" spans="1:49" x14ac:dyDescent="0.2">
      <c r="A206" t="s">
        <v>45</v>
      </c>
      <c r="B206" s="5" t="s">
        <v>46</v>
      </c>
      <c r="C206" s="5" t="s">
        <v>222</v>
      </c>
      <c r="D206" s="5" t="s">
        <v>257</v>
      </c>
      <c r="E206">
        <v>6</v>
      </c>
      <c r="F206" s="6">
        <v>250</v>
      </c>
      <c r="G206" s="3">
        <v>2.4</v>
      </c>
      <c r="H206" s="3">
        <v>2.7</v>
      </c>
      <c r="I206" s="3">
        <v>1.85</v>
      </c>
      <c r="J206" s="3">
        <v>47.650000000000688</v>
      </c>
      <c r="K206" s="3">
        <v>49.500000000000682</v>
      </c>
      <c r="L206" s="3">
        <v>48.575000000000671</v>
      </c>
      <c r="M206" s="1">
        <v>0.17</v>
      </c>
      <c r="N206" s="3">
        <v>247.65000000000069</v>
      </c>
      <c r="O206" s="3">
        <v>249.50000000000068</v>
      </c>
      <c r="P206" s="3">
        <v>248.57500000000067</v>
      </c>
      <c r="Q206" s="3">
        <v>240.15000000000069</v>
      </c>
      <c r="R206" s="3">
        <v>242.00000000000068</v>
      </c>
      <c r="S206" s="3">
        <v>241.1</v>
      </c>
      <c r="T206" s="3">
        <v>241.1</v>
      </c>
      <c r="U206" s="7">
        <f t="shared" si="39"/>
        <v>0.92499999999999716</v>
      </c>
      <c r="V206" s="3">
        <v>3501.27</v>
      </c>
      <c r="W206" s="3">
        <v>3826.3</v>
      </c>
      <c r="X206" s="3">
        <v>3691.19</v>
      </c>
      <c r="Y206" s="3">
        <v>3684.43</v>
      </c>
      <c r="Z206" s="3">
        <f t="shared" si="40"/>
        <v>162.5150000000001</v>
      </c>
      <c r="AA206" s="4">
        <f t="shared" si="41"/>
        <v>0.16685205784204232</v>
      </c>
      <c r="AB206" s="4">
        <f t="shared" si="42"/>
        <v>7.9997501120982629E-3</v>
      </c>
      <c r="AC206">
        <v>1.1476266666666668</v>
      </c>
      <c r="AD206" s="2">
        <v>11.076599999999999</v>
      </c>
      <c r="AE206" s="2">
        <v>2.6787999999999998</v>
      </c>
      <c r="AF206" s="2">
        <f t="shared" si="43"/>
        <v>8.3978000000000002</v>
      </c>
      <c r="AG206" s="2">
        <v>1.5311733333333331</v>
      </c>
      <c r="AH206" s="1">
        <f t="shared" si="44"/>
        <v>84.578734558658624</v>
      </c>
      <c r="AI206" s="1">
        <f t="shared" si="45"/>
        <v>15.421265441341376</v>
      </c>
      <c r="AJ206" s="1">
        <f t="shared" si="46"/>
        <v>0.77106327206706882</v>
      </c>
      <c r="AK206" s="8">
        <v>0.14150000000000063</v>
      </c>
      <c r="AL206" s="9">
        <v>79.857651245551537</v>
      </c>
      <c r="AM206" s="10">
        <v>3.9928825622775772</v>
      </c>
      <c r="AN206" s="9">
        <v>39.928825622775769</v>
      </c>
      <c r="AO206" s="11">
        <v>3.9938967382921096</v>
      </c>
      <c r="AP206" s="2">
        <v>9.443255624999999</v>
      </c>
      <c r="AQ206" s="2">
        <f t="shared" si="47"/>
        <v>0.65630626593749997</v>
      </c>
      <c r="AR206" s="2">
        <v>1.0514354082555435</v>
      </c>
      <c r="AS206" s="2">
        <v>0.16214464525133865</v>
      </c>
      <c r="AT206" s="2">
        <f t="shared" si="48"/>
        <v>1.6214464525133865E-2</v>
      </c>
      <c r="AU206" s="2">
        <f t="shared" si="49"/>
        <v>2.7054167728253788E-2</v>
      </c>
      <c r="AV206" s="2">
        <f t="shared" si="50"/>
        <v>4.585681429939017E-3</v>
      </c>
      <c r="AW206" s="3">
        <f t="shared" si="51"/>
        <v>16.950000000000003</v>
      </c>
    </row>
    <row r="207" spans="1:49" x14ac:dyDescent="0.2">
      <c r="A207" t="s">
        <v>45</v>
      </c>
      <c r="B207" s="5" t="s">
        <v>46</v>
      </c>
      <c r="C207" s="5" t="s">
        <v>258</v>
      </c>
      <c r="D207" s="5" t="s">
        <v>259</v>
      </c>
      <c r="E207">
        <v>7</v>
      </c>
      <c r="F207" s="6">
        <v>251</v>
      </c>
      <c r="G207" s="3">
        <v>1.85</v>
      </c>
      <c r="H207" s="3">
        <v>2.2000000000000002</v>
      </c>
      <c r="I207" s="3">
        <v>1.1000000000000001</v>
      </c>
      <c r="J207" s="3">
        <v>0</v>
      </c>
      <c r="K207" s="3">
        <v>1.0999999999999943</v>
      </c>
      <c r="L207" s="3">
        <v>0.55000000000001137</v>
      </c>
      <c r="M207" s="1">
        <v>0.22</v>
      </c>
      <c r="N207" s="3">
        <v>240</v>
      </c>
      <c r="O207" s="3">
        <v>241.1</v>
      </c>
      <c r="P207" s="3">
        <v>240.55</v>
      </c>
      <c r="Q207" s="3">
        <v>242</v>
      </c>
      <c r="R207" s="3">
        <v>243.1</v>
      </c>
      <c r="S207" s="3">
        <v>242.6</v>
      </c>
      <c r="T207" s="3">
        <v>242.6</v>
      </c>
      <c r="U207" s="7">
        <f t="shared" si="39"/>
        <v>0.54999999999999716</v>
      </c>
      <c r="V207" s="3">
        <v>3514.46</v>
      </c>
      <c r="W207" s="3">
        <v>3833.11</v>
      </c>
      <c r="X207" s="3">
        <v>3699.4</v>
      </c>
      <c r="Y207" s="3">
        <v>3693.42</v>
      </c>
      <c r="Z207" s="3">
        <f t="shared" si="40"/>
        <v>159.32500000000005</v>
      </c>
      <c r="AA207" s="4">
        <f t="shared" si="41"/>
        <v>0.16709511568124086</v>
      </c>
      <c r="AB207" s="4">
        <f t="shared" si="42"/>
        <v>7.5868922367761877E-3</v>
      </c>
      <c r="AC207">
        <v>1.1476266666666668</v>
      </c>
      <c r="AD207" s="2">
        <v>5.0295999999999985</v>
      </c>
      <c r="AE207" s="2">
        <v>1.7672000000000001</v>
      </c>
      <c r="AF207" s="2">
        <f t="shared" si="43"/>
        <v>3.2623999999999986</v>
      </c>
      <c r="AG207" s="2">
        <v>0.61957333333333331</v>
      </c>
      <c r="AH207" s="1">
        <f t="shared" si="44"/>
        <v>84.039732369791309</v>
      </c>
      <c r="AI207" s="1">
        <f t="shared" si="45"/>
        <v>15.960267630208691</v>
      </c>
      <c r="AJ207" s="1">
        <f t="shared" si="46"/>
        <v>0.79801338151043455</v>
      </c>
      <c r="AK207" s="8">
        <v>4.2400000000000659E-2</v>
      </c>
      <c r="AL207" s="9">
        <v>83.431027745212745</v>
      </c>
      <c r="AM207" s="10">
        <v>4.1715513872606378</v>
      </c>
      <c r="AN207" s="9">
        <v>41.715513872606373</v>
      </c>
      <c r="AO207" s="11">
        <v>4.1725221361373448</v>
      </c>
      <c r="AP207" s="2">
        <v>3.5408896875000013</v>
      </c>
      <c r="AQ207" s="2">
        <f t="shared" si="47"/>
        <v>0.18235581890625011</v>
      </c>
      <c r="AR207" s="2">
        <v>1.0963271030547546</v>
      </c>
      <c r="AS207" s="2">
        <v>0.17497673975005273</v>
      </c>
      <c r="AT207" s="2">
        <f t="shared" si="48"/>
        <v>1.7497673975005273E-2</v>
      </c>
      <c r="AU207" s="2">
        <f t="shared" si="49"/>
        <v>2.9237758570061438E-2</v>
      </c>
      <c r="AV207" s="2">
        <f t="shared" si="50"/>
        <v>4.4295204233643082E-3</v>
      </c>
      <c r="AW207" s="3">
        <f t="shared" si="51"/>
        <v>15.150000000000002</v>
      </c>
    </row>
    <row r="208" spans="1:49" x14ac:dyDescent="0.2">
      <c r="A208" t="s">
        <v>45</v>
      </c>
      <c r="B208" s="5" t="s">
        <v>46</v>
      </c>
      <c r="C208" s="5" t="s">
        <v>258</v>
      </c>
      <c r="D208" s="5" t="s">
        <v>260</v>
      </c>
      <c r="E208">
        <v>7</v>
      </c>
      <c r="F208" s="6">
        <v>252</v>
      </c>
      <c r="G208" s="3">
        <v>2.2000000000000002</v>
      </c>
      <c r="H208" s="3">
        <v>2.5499999999999998</v>
      </c>
      <c r="I208" s="3">
        <v>1.1000000000000001</v>
      </c>
      <c r="J208" s="3">
        <v>1.3199999999999932</v>
      </c>
      <c r="K208" s="3">
        <v>2.4199999999999875</v>
      </c>
      <c r="L208" s="3">
        <v>1.8700000000000045</v>
      </c>
      <c r="M208" s="1">
        <v>0.22</v>
      </c>
      <c r="N208" s="3">
        <v>241.32</v>
      </c>
      <c r="O208" s="3">
        <v>242.42</v>
      </c>
      <c r="P208" s="3">
        <v>241.87</v>
      </c>
      <c r="Q208" s="3">
        <v>243.32</v>
      </c>
      <c r="R208" s="3">
        <v>244.42</v>
      </c>
      <c r="S208" s="3">
        <v>243.9</v>
      </c>
      <c r="T208" s="3">
        <v>243.9</v>
      </c>
      <c r="U208" s="7">
        <f t="shared" si="39"/>
        <v>0.54999999999999716</v>
      </c>
      <c r="V208" s="3">
        <v>3525.02</v>
      </c>
      <c r="W208" s="3">
        <v>3841.38</v>
      </c>
      <c r="X208" s="3">
        <v>3707.37</v>
      </c>
      <c r="Y208" s="3">
        <v>3701.2</v>
      </c>
      <c r="Z208" s="3">
        <f t="shared" si="40"/>
        <v>158.18000000000006</v>
      </c>
      <c r="AA208" s="4">
        <f t="shared" si="41"/>
        <v>0.16688061617458139</v>
      </c>
      <c r="AB208" s="4">
        <f t="shared" si="42"/>
        <v>7.5083783083417701E-3</v>
      </c>
      <c r="AC208">
        <v>1.1476266666666668</v>
      </c>
      <c r="AD208" s="2">
        <v>6.9811999999999976</v>
      </c>
      <c r="AE208" s="2">
        <v>2.0314000000000001</v>
      </c>
      <c r="AF208" s="2">
        <f t="shared" si="43"/>
        <v>4.949799999999998</v>
      </c>
      <c r="AG208" s="2">
        <v>0.8837733333333333</v>
      </c>
      <c r="AH208" s="1">
        <f t="shared" si="44"/>
        <v>84.850223305098311</v>
      </c>
      <c r="AI208" s="1">
        <f t="shared" si="45"/>
        <v>15.149776694901689</v>
      </c>
      <c r="AJ208" s="1">
        <f t="shared" si="46"/>
        <v>0.75748883474508455</v>
      </c>
      <c r="AK208" s="8">
        <v>7.8000000000000291E-2</v>
      </c>
      <c r="AL208" s="9">
        <v>82.220196033735974</v>
      </c>
      <c r="AM208" s="10">
        <v>4.1110098016867989</v>
      </c>
      <c r="AN208" s="9">
        <v>41.110098016867987</v>
      </c>
      <c r="AO208" s="11">
        <v>4.1119948430858875</v>
      </c>
      <c r="AP208" s="2">
        <v>4.8706796875</v>
      </c>
      <c r="AQ208" s="2">
        <f t="shared" si="47"/>
        <v>0.28493476171875004</v>
      </c>
      <c r="AR208" s="2">
        <v>1.1976918433590447</v>
      </c>
      <c r="AS208" s="2">
        <v>0.18144763976194714</v>
      </c>
      <c r="AT208" s="2">
        <f t="shared" si="48"/>
        <v>1.8144763976194713E-2</v>
      </c>
      <c r="AU208" s="2">
        <f t="shared" si="49"/>
        <v>3.0280093926897213E-2</v>
      </c>
      <c r="AV208" s="2">
        <f t="shared" si="50"/>
        <v>4.7993948874132083E-3</v>
      </c>
      <c r="AW208" s="3">
        <f t="shared" si="51"/>
        <v>15.85</v>
      </c>
    </row>
    <row r="209" spans="1:49" x14ac:dyDescent="0.2">
      <c r="A209" t="s">
        <v>45</v>
      </c>
      <c r="B209" s="5" t="s">
        <v>46</v>
      </c>
      <c r="C209" s="5" t="s">
        <v>258</v>
      </c>
      <c r="D209" s="5" t="s">
        <v>261</v>
      </c>
      <c r="E209">
        <v>7</v>
      </c>
      <c r="F209" s="6">
        <v>253</v>
      </c>
      <c r="G209" s="3">
        <v>2.25</v>
      </c>
      <c r="H209" s="3">
        <v>2.6</v>
      </c>
      <c r="I209" s="3">
        <v>1.2</v>
      </c>
      <c r="J209" s="3">
        <v>2.6399999999999864</v>
      </c>
      <c r="K209" s="3">
        <v>3.839999999999975</v>
      </c>
      <c r="L209" s="3">
        <v>3.2399999999999807</v>
      </c>
      <c r="M209" s="1">
        <v>0.22</v>
      </c>
      <c r="N209" s="3">
        <v>242.64</v>
      </c>
      <c r="O209" s="3">
        <v>243.83999999999997</v>
      </c>
      <c r="P209" s="3">
        <v>243.23999999999998</v>
      </c>
      <c r="Q209" s="3">
        <v>244.64</v>
      </c>
      <c r="R209" s="3">
        <v>245.83999999999997</v>
      </c>
      <c r="S209" s="3">
        <v>245.2</v>
      </c>
      <c r="T209" s="3">
        <v>245.2</v>
      </c>
      <c r="U209" s="7">
        <f t="shared" si="39"/>
        <v>0.59999999999999432</v>
      </c>
      <c r="V209" s="3">
        <v>3532.56</v>
      </c>
      <c r="W209" s="3">
        <v>3849.59</v>
      </c>
      <c r="X209" s="3">
        <v>3714.61</v>
      </c>
      <c r="Y209" s="3">
        <v>3708.99</v>
      </c>
      <c r="Z209" s="3">
        <f t="shared" si="40"/>
        <v>158.5150000000001</v>
      </c>
      <c r="AA209" s="4">
        <f t="shared" si="41"/>
        <v>0.16685205784204232</v>
      </c>
      <c r="AB209" s="4">
        <f t="shared" si="42"/>
        <v>7.5392155789864553E-3</v>
      </c>
      <c r="AC209">
        <v>1.1476266666666668</v>
      </c>
      <c r="AD209" s="2">
        <v>7.3368000000000002</v>
      </c>
      <c r="AE209" s="2">
        <v>2.0192999999999999</v>
      </c>
      <c r="AF209" s="2">
        <f t="shared" si="43"/>
        <v>5.3175000000000008</v>
      </c>
      <c r="AG209" s="2">
        <v>0.87167333333333308</v>
      </c>
      <c r="AH209" s="1">
        <f t="shared" si="44"/>
        <v>85.916158970072473</v>
      </c>
      <c r="AI209" s="1">
        <f t="shared" si="45"/>
        <v>14.083841029927527</v>
      </c>
      <c r="AJ209" s="1">
        <f t="shared" si="46"/>
        <v>0.70419205149637643</v>
      </c>
      <c r="AK209" s="8">
        <v>9.360000000000035E-2</v>
      </c>
      <c r="AL209" s="9">
        <v>82.392776523701968</v>
      </c>
      <c r="AM209" s="10">
        <v>4.1196388261850982</v>
      </c>
      <c r="AN209" s="9">
        <v>41.196388261850984</v>
      </c>
      <c r="AO209" s="11">
        <v>4.1206218048022478</v>
      </c>
      <c r="AP209" s="2">
        <v>5.5395487499999989</v>
      </c>
      <c r="AQ209" s="2">
        <f t="shared" si="47"/>
        <v>0.33514269937499991</v>
      </c>
      <c r="AR209" s="2">
        <v>1.1172703071406918</v>
      </c>
      <c r="AS209" s="2">
        <v>0.157354573932278</v>
      </c>
      <c r="AT209" s="2">
        <f t="shared" si="48"/>
        <v>1.5735457393227802E-2</v>
      </c>
      <c r="AU209" s="2">
        <f t="shared" si="49"/>
        <v>2.6254934471458373E-2</v>
      </c>
      <c r="AV209" s="2">
        <f t="shared" si="50"/>
        <v>4.2139169826690701E-3</v>
      </c>
      <c r="AW209" s="3">
        <f t="shared" si="51"/>
        <v>16.050000000000004</v>
      </c>
    </row>
    <row r="210" spans="1:49" x14ac:dyDescent="0.2">
      <c r="A210" t="s">
        <v>45</v>
      </c>
      <c r="B210" s="5" t="s">
        <v>46</v>
      </c>
      <c r="C210" s="5" t="s">
        <v>258</v>
      </c>
      <c r="D210" s="5" t="s">
        <v>262</v>
      </c>
      <c r="E210">
        <v>7</v>
      </c>
      <c r="F210" s="6">
        <v>254</v>
      </c>
      <c r="G210" s="3">
        <v>2.25</v>
      </c>
      <c r="H210" s="3">
        <v>2.5</v>
      </c>
      <c r="I210" s="3">
        <v>1.2</v>
      </c>
      <c r="J210" s="3">
        <v>4.0599999999999739</v>
      </c>
      <c r="K210" s="3">
        <v>5.2599999999999625</v>
      </c>
      <c r="L210" s="3">
        <v>4.6599999999999682</v>
      </c>
      <c r="M210" s="1">
        <v>0.22</v>
      </c>
      <c r="N210" s="3">
        <v>244.05999999999997</v>
      </c>
      <c r="O210" s="3">
        <v>245.25999999999996</v>
      </c>
      <c r="P210" s="3">
        <v>244.65999999999997</v>
      </c>
      <c r="Q210" s="3">
        <v>246.05999999999997</v>
      </c>
      <c r="R210" s="3">
        <v>247.25999999999996</v>
      </c>
      <c r="S210" s="3">
        <v>246.7</v>
      </c>
      <c r="T210" s="3">
        <v>246.7</v>
      </c>
      <c r="U210" s="7">
        <f t="shared" si="39"/>
        <v>0.59999999999999432</v>
      </c>
      <c r="V210" s="3">
        <v>3541.2</v>
      </c>
      <c r="W210" s="3">
        <v>3858.83</v>
      </c>
      <c r="X210" s="3">
        <v>3723.62</v>
      </c>
      <c r="Y210" s="3">
        <v>3717.98</v>
      </c>
      <c r="Z210" s="3">
        <f t="shared" si="40"/>
        <v>158.81500000000005</v>
      </c>
      <c r="AA210" s="4">
        <f t="shared" si="41"/>
        <v>0.16706443914080996</v>
      </c>
      <c r="AB210" s="4">
        <f t="shared" si="42"/>
        <v>7.5425422659530054E-3</v>
      </c>
      <c r="AC210">
        <v>1.1476266666666668</v>
      </c>
      <c r="AD210" s="2">
        <v>7.3020999999999994</v>
      </c>
      <c r="AE210" s="2">
        <v>2.0099</v>
      </c>
      <c r="AF210" s="2">
        <f t="shared" si="43"/>
        <v>5.2921999999999993</v>
      </c>
      <c r="AG210" s="2">
        <v>0.86227333333333323</v>
      </c>
      <c r="AH210" s="1">
        <f t="shared" si="44"/>
        <v>85.989486238194218</v>
      </c>
      <c r="AI210" s="1">
        <f t="shared" si="45"/>
        <v>14.010513761805782</v>
      </c>
      <c r="AJ210" s="1">
        <f t="shared" si="46"/>
        <v>0.70052568809028914</v>
      </c>
      <c r="AK210" s="8">
        <v>8.3600000000000563E-2</v>
      </c>
      <c r="AL210" s="9">
        <v>84.30046948356798</v>
      </c>
      <c r="AM210" s="10">
        <v>4.2150234741783992</v>
      </c>
      <c r="AN210" s="9">
        <v>42.15023474178399</v>
      </c>
      <c r="AO210" s="11">
        <v>4.215984213428098</v>
      </c>
      <c r="AP210" s="2">
        <v>5.3134687500000002</v>
      </c>
      <c r="AQ210" s="2">
        <f t="shared" si="47"/>
        <v>0.31615139062499997</v>
      </c>
      <c r="AR210" s="2">
        <v>1.1582778826606128</v>
      </c>
      <c r="AS210" s="2">
        <v>0.16228068215011771</v>
      </c>
      <c r="AT210" s="2">
        <f t="shared" si="48"/>
        <v>1.6228068215011771E-2</v>
      </c>
      <c r="AU210" s="2">
        <f t="shared" si="49"/>
        <v>2.7111331146797465E-2</v>
      </c>
      <c r="AV210" s="2">
        <f t="shared" si="50"/>
        <v>4.3242573179141956E-3</v>
      </c>
      <c r="AW210" s="3">
        <f t="shared" si="51"/>
        <v>15.950000000000001</v>
      </c>
    </row>
    <row r="211" spans="1:49" x14ac:dyDescent="0.2">
      <c r="A211" t="s">
        <v>45</v>
      </c>
      <c r="B211" s="5" t="s">
        <v>46</v>
      </c>
      <c r="C211" s="5" t="s">
        <v>258</v>
      </c>
      <c r="D211" s="5" t="s">
        <v>263</v>
      </c>
      <c r="E211">
        <v>7</v>
      </c>
      <c r="F211" s="6">
        <v>255</v>
      </c>
      <c r="G211" s="3">
        <v>2.4</v>
      </c>
      <c r="H211" s="3">
        <v>2.7</v>
      </c>
      <c r="I211" s="3">
        <v>1.2</v>
      </c>
      <c r="J211" s="3">
        <v>5.4799999999999613</v>
      </c>
      <c r="K211" s="3">
        <v>6.67999999999995</v>
      </c>
      <c r="L211" s="3">
        <v>6.0799999999999557</v>
      </c>
      <c r="M211" s="1">
        <v>0.22</v>
      </c>
      <c r="N211" s="3">
        <v>245.47999999999996</v>
      </c>
      <c r="O211" s="3">
        <v>246.67999999999995</v>
      </c>
      <c r="P211" s="3">
        <v>246.07999999999996</v>
      </c>
      <c r="Q211" s="3">
        <v>247.47999999999996</v>
      </c>
      <c r="R211" s="3">
        <v>248.67999999999995</v>
      </c>
      <c r="S211" s="3">
        <v>248.1</v>
      </c>
      <c r="T211" s="3">
        <v>248.1</v>
      </c>
      <c r="U211" s="7">
        <f t="shared" si="39"/>
        <v>0.59999999999999432</v>
      </c>
      <c r="V211" s="3">
        <v>3549.41</v>
      </c>
      <c r="W211" s="3">
        <v>3871.37</v>
      </c>
      <c r="X211" s="3">
        <v>3731.83</v>
      </c>
      <c r="Y211" s="3">
        <v>3726.36</v>
      </c>
      <c r="Z211" s="3">
        <f t="shared" si="40"/>
        <v>160.98000000000002</v>
      </c>
      <c r="AA211" s="4">
        <f t="shared" si="41"/>
        <v>0.16688061617458505</v>
      </c>
      <c r="AB211" s="4">
        <f t="shared" si="42"/>
        <v>7.612879201021763E-3</v>
      </c>
      <c r="AC211">
        <v>1.1476266666666668</v>
      </c>
      <c r="AD211" s="2">
        <v>8.621299999999998</v>
      </c>
      <c r="AE211" s="2">
        <v>2.1705999999999999</v>
      </c>
      <c r="AF211" s="2">
        <f t="shared" si="43"/>
        <v>6.4506999999999977</v>
      </c>
      <c r="AG211" s="2">
        <v>1.0229733333333331</v>
      </c>
      <c r="AH211" s="1">
        <f t="shared" si="44"/>
        <v>86.312308717444623</v>
      </c>
      <c r="AI211" s="1">
        <f t="shared" si="45"/>
        <v>13.687691282555377</v>
      </c>
      <c r="AJ211" s="1">
        <f t="shared" si="46"/>
        <v>0.68438456412776894</v>
      </c>
      <c r="AK211" s="8">
        <v>5.9400000000000119E-2</v>
      </c>
      <c r="AL211" s="9">
        <v>85.071626036692606</v>
      </c>
      <c r="AM211" s="10">
        <v>4.2535813018346307</v>
      </c>
      <c r="AN211" s="9">
        <v>42.535813018346303</v>
      </c>
      <c r="AO211" s="11">
        <v>4.2545333341410299</v>
      </c>
      <c r="AP211" s="2">
        <v>6.125354999999999</v>
      </c>
      <c r="AQ211" s="2">
        <f t="shared" si="47"/>
        <v>0.38589736499999994</v>
      </c>
      <c r="AR211" s="2">
        <v>1.2201208474175509</v>
      </c>
      <c r="AS211" s="2">
        <v>0.16700637486861303</v>
      </c>
      <c r="AT211" s="2">
        <f t="shared" si="48"/>
        <v>1.6700637486861302E-2</v>
      </c>
      <c r="AU211" s="2">
        <f t="shared" si="49"/>
        <v>2.7870126743157878E-2</v>
      </c>
      <c r="AV211" s="2">
        <f t="shared" si="50"/>
        <v>4.5428306591347332E-3</v>
      </c>
      <c r="AW211" s="3">
        <f t="shared" si="51"/>
        <v>16.299999999999997</v>
      </c>
    </row>
    <row r="212" spans="1:49" x14ac:dyDescent="0.2">
      <c r="A212" t="s">
        <v>45</v>
      </c>
      <c r="B212" s="5" t="s">
        <v>46</v>
      </c>
      <c r="C212" s="5" t="s">
        <v>258</v>
      </c>
      <c r="D212" s="5" t="s">
        <v>264</v>
      </c>
      <c r="E212">
        <v>7</v>
      </c>
      <c r="F212" s="6">
        <v>256</v>
      </c>
      <c r="G212" s="3">
        <v>2.6</v>
      </c>
      <c r="H212" s="3">
        <v>2.7</v>
      </c>
      <c r="I212" s="3">
        <v>1.05</v>
      </c>
      <c r="J212" s="3">
        <v>6.8999999999999488</v>
      </c>
      <c r="K212" s="3">
        <v>7.9499999999999602</v>
      </c>
      <c r="L212" s="3">
        <v>7.4249999999999545</v>
      </c>
      <c r="M212" s="1">
        <v>0.22</v>
      </c>
      <c r="N212" s="3">
        <v>246.89999999999995</v>
      </c>
      <c r="O212" s="3">
        <v>247.94999999999996</v>
      </c>
      <c r="P212" s="3">
        <v>247.42499999999995</v>
      </c>
      <c r="Q212" s="3">
        <v>248.89999999999995</v>
      </c>
      <c r="R212" s="3">
        <v>249.94999999999996</v>
      </c>
      <c r="S212" s="3">
        <v>249.4</v>
      </c>
      <c r="T212" s="3">
        <v>249.4</v>
      </c>
      <c r="U212" s="7">
        <f t="shared" si="39"/>
        <v>0.52500000000000568</v>
      </c>
      <c r="V212" s="3">
        <v>3554</v>
      </c>
      <c r="W212" s="3">
        <v>3883.34</v>
      </c>
      <c r="X212" s="3">
        <v>3738.55</v>
      </c>
      <c r="Y212" s="3">
        <v>3734.15</v>
      </c>
      <c r="Z212" s="3">
        <f t="shared" si="40"/>
        <v>164.67000000000007</v>
      </c>
      <c r="AA212" s="4">
        <f t="shared" si="41"/>
        <v>0.17195767195767095</v>
      </c>
      <c r="AB212" s="4">
        <f t="shared" si="42"/>
        <v>7.9450362052612532E-3</v>
      </c>
      <c r="AC212">
        <v>1.1476266666666668</v>
      </c>
      <c r="AD212" s="2">
        <v>7.3117999999999981</v>
      </c>
      <c r="AE212" s="2">
        <v>2.0156999999999998</v>
      </c>
      <c r="AF212" s="2">
        <f t="shared" si="43"/>
        <v>5.2960999999999983</v>
      </c>
      <c r="AG212" s="2">
        <v>0.86807333333333303</v>
      </c>
      <c r="AH212" s="1">
        <f t="shared" si="44"/>
        <v>85.917441214069257</v>
      </c>
      <c r="AI212" s="1">
        <f t="shared" si="45"/>
        <v>14.082558785930743</v>
      </c>
      <c r="AJ212" s="1">
        <f t="shared" si="46"/>
        <v>0.70412793929653716</v>
      </c>
      <c r="AK212" s="8">
        <v>5.5600000000000094E-2</v>
      </c>
      <c r="AL212" s="9">
        <v>87.081784386617102</v>
      </c>
      <c r="AM212" s="10">
        <v>4.3540892193308549</v>
      </c>
      <c r="AN212" s="9">
        <v>43.540892193308551</v>
      </c>
      <c r="AO212" s="11">
        <v>4.3550192800828302</v>
      </c>
      <c r="AP212" s="2">
        <v>5.7882956250000017</v>
      </c>
      <c r="AQ212" s="2">
        <f t="shared" si="47"/>
        <v>0.3675567721875001</v>
      </c>
      <c r="AR212" s="2">
        <v>1.0649375451229359</v>
      </c>
      <c r="AS212" s="2">
        <v>0.14997045582538518</v>
      </c>
      <c r="AT212" s="2">
        <f t="shared" si="48"/>
        <v>1.4997045582538518E-2</v>
      </c>
      <c r="AU212" s="2">
        <f t="shared" si="49"/>
        <v>2.5788570446163967E-2</v>
      </c>
      <c r="AV212" s="2">
        <f t="shared" si="50"/>
        <v>4.2164312679478086E-3</v>
      </c>
      <c r="AW212" s="3">
        <f t="shared" si="51"/>
        <v>16.350000000000001</v>
      </c>
    </row>
    <row r="213" spans="1:49" x14ac:dyDescent="0.2">
      <c r="A213" t="s">
        <v>45</v>
      </c>
      <c r="B213" s="5" t="s">
        <v>46</v>
      </c>
      <c r="C213" s="5" t="s">
        <v>258</v>
      </c>
      <c r="D213" s="5" t="s">
        <v>265</v>
      </c>
      <c r="E213">
        <v>7</v>
      </c>
      <c r="F213" s="6">
        <v>257</v>
      </c>
      <c r="G213" s="3">
        <v>2.5499999999999998</v>
      </c>
      <c r="H213" s="3">
        <v>2.6</v>
      </c>
      <c r="I213" s="3">
        <v>1</v>
      </c>
      <c r="J213" s="3">
        <v>8.1699999999999591</v>
      </c>
      <c r="K213" s="3">
        <v>9.1699999999999591</v>
      </c>
      <c r="L213" s="3">
        <v>8.6699999999999591</v>
      </c>
      <c r="M213" s="1">
        <v>0.22</v>
      </c>
      <c r="N213" s="3">
        <v>248.16999999999996</v>
      </c>
      <c r="O213" s="3">
        <v>249.16999999999996</v>
      </c>
      <c r="P213" s="3">
        <v>248.66999999999996</v>
      </c>
      <c r="Q213" s="3">
        <v>250.16999999999996</v>
      </c>
      <c r="R213" s="3">
        <v>251.16999999999996</v>
      </c>
      <c r="S213" s="3">
        <v>250.7</v>
      </c>
      <c r="T213" s="3">
        <v>250.7</v>
      </c>
      <c r="U213" s="7">
        <f t="shared" si="39"/>
        <v>0.5</v>
      </c>
      <c r="V213" s="3">
        <v>3564.68</v>
      </c>
      <c r="W213" s="3">
        <v>3891.6</v>
      </c>
      <c r="X213" s="3">
        <v>3745.53</v>
      </c>
      <c r="Y213" s="3">
        <v>3741.71</v>
      </c>
      <c r="Z213" s="3">
        <f t="shared" si="40"/>
        <v>163.46000000000004</v>
      </c>
      <c r="AA213" s="4">
        <f t="shared" si="41"/>
        <v>0.17621145374449732</v>
      </c>
      <c r="AB213" s="4">
        <f t="shared" si="42"/>
        <v>8.0493962909017093E-3</v>
      </c>
      <c r="AC213">
        <v>1.1476266666666668</v>
      </c>
      <c r="AD213" s="2">
        <v>7.0162999999999975</v>
      </c>
      <c r="AE213" s="2">
        <v>1.9955000000000001</v>
      </c>
      <c r="AF213" s="2">
        <f t="shared" si="43"/>
        <v>5.0207999999999977</v>
      </c>
      <c r="AG213" s="2">
        <v>0.84787333333333326</v>
      </c>
      <c r="AH213" s="1">
        <f t="shared" si="44"/>
        <v>85.552555319146521</v>
      </c>
      <c r="AI213" s="1">
        <f t="shared" si="45"/>
        <v>14.447444680853479</v>
      </c>
      <c r="AJ213" s="1">
        <f t="shared" si="46"/>
        <v>0.72237223404267403</v>
      </c>
      <c r="AK213" s="8">
        <v>4.8200000000000465E-2</v>
      </c>
      <c r="AL213" s="9">
        <v>87.564499484004017</v>
      </c>
      <c r="AM213" s="10">
        <v>4.3782249742002008</v>
      </c>
      <c r="AN213" s="9">
        <v>43.782249742002008</v>
      </c>
      <c r="AO213" s="11">
        <v>4.3791499089104438</v>
      </c>
      <c r="AP213" s="2">
        <v>5.2050406250000014</v>
      </c>
      <c r="AQ213" s="2">
        <f t="shared" si="47"/>
        <v>0.3201099984375001</v>
      </c>
      <c r="AR213" s="2">
        <v>1.1274980842888866</v>
      </c>
      <c r="AS213" s="2">
        <v>0.16289466200531971</v>
      </c>
      <c r="AT213" s="2">
        <f t="shared" si="48"/>
        <v>1.6289466200531972E-2</v>
      </c>
      <c r="AU213" s="2">
        <f t="shared" si="49"/>
        <v>2.8703905199175917E-2</v>
      </c>
      <c r="AV213" s="2">
        <f t="shared" si="50"/>
        <v>4.6356806896669109E-3</v>
      </c>
      <c r="AW213" s="3">
        <f t="shared" si="51"/>
        <v>16.150000000000002</v>
      </c>
    </row>
    <row r="214" spans="1:49" x14ac:dyDescent="0.2">
      <c r="A214" t="s">
        <v>45</v>
      </c>
      <c r="B214" s="5" t="s">
        <v>46</v>
      </c>
      <c r="C214" s="5" t="s">
        <v>258</v>
      </c>
      <c r="D214" s="5" t="s">
        <v>266</v>
      </c>
      <c r="E214">
        <v>7</v>
      </c>
      <c r="F214" s="6">
        <v>258</v>
      </c>
      <c r="G214" s="3">
        <v>2.75</v>
      </c>
      <c r="H214" s="3">
        <v>2.6</v>
      </c>
      <c r="I214" s="3">
        <v>1.05</v>
      </c>
      <c r="J214" s="3">
        <v>9.3899999999999579</v>
      </c>
      <c r="K214" s="3">
        <v>10.439999999999969</v>
      </c>
      <c r="L214" s="3">
        <v>9.9149999999999636</v>
      </c>
      <c r="M214" s="1">
        <v>0.22</v>
      </c>
      <c r="N214" s="3">
        <v>249.38999999999996</v>
      </c>
      <c r="O214" s="3">
        <v>250.43999999999997</v>
      </c>
      <c r="P214" s="3">
        <v>249.91499999999996</v>
      </c>
      <c r="Q214" s="3">
        <v>251.38999999999996</v>
      </c>
      <c r="R214" s="3">
        <v>252.43999999999997</v>
      </c>
      <c r="S214" s="3">
        <v>251.9</v>
      </c>
      <c r="T214" s="3">
        <v>251.9</v>
      </c>
      <c r="U214" s="7">
        <f t="shared" si="39"/>
        <v>0.52500000000000568</v>
      </c>
      <c r="V214" s="3">
        <v>3575.06</v>
      </c>
      <c r="W214" s="3">
        <v>3898.33</v>
      </c>
      <c r="X214" s="3">
        <v>3752.71</v>
      </c>
      <c r="Y214" s="3">
        <v>3748.52</v>
      </c>
      <c r="Z214" s="3">
        <f t="shared" si="40"/>
        <v>161.63499999999999</v>
      </c>
      <c r="AA214" s="4">
        <f t="shared" si="41"/>
        <v>0.17639077340569909</v>
      </c>
      <c r="AB214" s="4">
        <f t="shared" si="42"/>
        <v>7.9735411716324207E-3</v>
      </c>
      <c r="AC214">
        <v>1.1476266666666668</v>
      </c>
      <c r="AD214" s="2">
        <v>7.2034999999999982</v>
      </c>
      <c r="AE214" s="2">
        <v>2.0200999999999998</v>
      </c>
      <c r="AF214" s="2">
        <f t="shared" si="43"/>
        <v>5.1833999999999989</v>
      </c>
      <c r="AG214" s="2">
        <v>0.87247333333333299</v>
      </c>
      <c r="AH214" s="1">
        <f t="shared" si="44"/>
        <v>85.592939526476229</v>
      </c>
      <c r="AI214" s="1">
        <f t="shared" si="45"/>
        <v>14.407060473523771</v>
      </c>
      <c r="AJ214" s="1">
        <f t="shared" si="46"/>
        <v>0.72035302367618859</v>
      </c>
      <c r="AK214" s="8">
        <v>5.1700000000000301E-2</v>
      </c>
      <c r="AL214" s="9">
        <v>86.974048878810734</v>
      </c>
      <c r="AM214" s="10">
        <v>4.3487024439405371</v>
      </c>
      <c r="AN214" s="9">
        <v>43.487024439405367</v>
      </c>
      <c r="AO214" s="11">
        <v>4.3496336565203277</v>
      </c>
      <c r="AP214" s="2">
        <v>5.8980239062499997</v>
      </c>
      <c r="AQ214" s="2">
        <f t="shared" si="47"/>
        <v>0.37747353</v>
      </c>
      <c r="AR214" s="2">
        <v>1.0267631039806506</v>
      </c>
      <c r="AS214" s="2">
        <v>0.14792638131032212</v>
      </c>
      <c r="AT214" s="2">
        <f t="shared" si="48"/>
        <v>1.4792638131032213E-2</v>
      </c>
      <c r="AU214" s="2">
        <f t="shared" si="49"/>
        <v>2.6092848806434071E-2</v>
      </c>
      <c r="AV214" s="2">
        <f t="shared" si="50"/>
        <v>4.2792272042551874E-3</v>
      </c>
      <c r="AW214" s="3">
        <f t="shared" si="51"/>
        <v>16.400000000000002</v>
      </c>
    </row>
    <row r="215" spans="1:49" x14ac:dyDescent="0.2">
      <c r="A215" t="s">
        <v>45</v>
      </c>
      <c r="B215" s="5" t="s">
        <v>46</v>
      </c>
      <c r="C215" s="5" t="s">
        <v>258</v>
      </c>
      <c r="D215" s="5" t="s">
        <v>267</v>
      </c>
      <c r="E215">
        <v>7</v>
      </c>
      <c r="F215" s="6">
        <v>259</v>
      </c>
      <c r="G215" s="3">
        <v>2.5</v>
      </c>
      <c r="H215" s="3">
        <v>2.5</v>
      </c>
      <c r="I215" s="3">
        <v>1</v>
      </c>
      <c r="J215" s="3">
        <v>10.659999999999968</v>
      </c>
      <c r="K215" s="3">
        <v>11.659999999999968</v>
      </c>
      <c r="L215" s="3">
        <v>11.159999999999968</v>
      </c>
      <c r="M215" s="1">
        <v>0.22</v>
      </c>
      <c r="N215" s="3">
        <v>250.65999999999997</v>
      </c>
      <c r="O215" s="3">
        <v>251.65999999999997</v>
      </c>
      <c r="P215" s="3">
        <v>251.15999999999997</v>
      </c>
      <c r="Q215" s="3">
        <v>252.65999999999997</v>
      </c>
      <c r="R215" s="3">
        <v>253.65999999999997</v>
      </c>
      <c r="S215" s="3">
        <v>253.2</v>
      </c>
      <c r="T215" s="3">
        <v>253.2</v>
      </c>
      <c r="U215" s="7">
        <f t="shared" si="39"/>
        <v>0.5</v>
      </c>
      <c r="V215" s="3">
        <v>3585.54</v>
      </c>
      <c r="W215" s="3">
        <v>3904.74</v>
      </c>
      <c r="X215" s="3">
        <v>3759.82</v>
      </c>
      <c r="Y215" s="3">
        <v>3755.89</v>
      </c>
      <c r="Z215" s="3">
        <f t="shared" si="40"/>
        <v>159.59999999999991</v>
      </c>
      <c r="AA215" s="4">
        <f t="shared" si="41"/>
        <v>0.17647058823529191</v>
      </c>
      <c r="AB215" s="4">
        <f t="shared" si="42"/>
        <v>7.8472907287009258E-3</v>
      </c>
      <c r="AC215">
        <v>1.1476266666666668</v>
      </c>
      <c r="AD215" s="2">
        <v>6.754999999999999</v>
      </c>
      <c r="AE215" s="2">
        <v>2.0196999999999998</v>
      </c>
      <c r="AF215" s="2">
        <f t="shared" si="43"/>
        <v>4.7352999999999987</v>
      </c>
      <c r="AG215" s="2">
        <v>0.87207333333333303</v>
      </c>
      <c r="AH215" s="1">
        <f t="shared" si="44"/>
        <v>84.447739048348254</v>
      </c>
      <c r="AI215" s="1">
        <f t="shared" si="45"/>
        <v>15.552260951651746</v>
      </c>
      <c r="AJ215" s="1">
        <f t="shared" si="46"/>
        <v>0.77761304758258731</v>
      </c>
      <c r="AK215" s="8">
        <v>6.6500000000000448E-2</v>
      </c>
      <c r="AL215" s="9">
        <v>86.090775988286879</v>
      </c>
      <c r="AM215" s="10">
        <v>4.3045387994143445</v>
      </c>
      <c r="AN215" s="9">
        <v>43.045387994143439</v>
      </c>
      <c r="AO215" s="11">
        <v>4.305479563958408</v>
      </c>
      <c r="AP215" s="2">
        <v>4.90625</v>
      </c>
      <c r="AQ215" s="2">
        <f t="shared" si="47"/>
        <v>0.294375</v>
      </c>
      <c r="AR215" s="2">
        <v>1.1429041188959659</v>
      </c>
      <c r="AS215" s="2">
        <v>0.17774743099787679</v>
      </c>
      <c r="AT215" s="2">
        <f t="shared" si="48"/>
        <v>1.7774743099787681E-2</v>
      </c>
      <c r="AU215" s="2">
        <f t="shared" si="49"/>
        <v>3.1367193705507279E-2</v>
      </c>
      <c r="AV215" s="2">
        <f t="shared" si="50"/>
        <v>5.0187509928811651E-3</v>
      </c>
      <c r="AW215" s="3">
        <f t="shared" si="51"/>
        <v>16</v>
      </c>
    </row>
    <row r="216" spans="1:49" x14ac:dyDescent="0.2">
      <c r="A216" t="s">
        <v>45</v>
      </c>
      <c r="B216" s="5" t="s">
        <v>46</v>
      </c>
      <c r="C216" s="5" t="s">
        <v>258</v>
      </c>
      <c r="D216" s="5" t="s">
        <v>268</v>
      </c>
      <c r="E216">
        <v>7</v>
      </c>
      <c r="F216" s="6">
        <v>260</v>
      </c>
      <c r="G216" s="3">
        <v>2.65</v>
      </c>
      <c r="H216" s="3">
        <v>2.6</v>
      </c>
      <c r="I216" s="3">
        <v>1</v>
      </c>
      <c r="J216" s="3">
        <v>11.879999999999967</v>
      </c>
      <c r="K216" s="3">
        <v>12.879999999999967</v>
      </c>
      <c r="L216" s="3">
        <v>12.379999999999967</v>
      </c>
      <c r="M216" s="1">
        <v>0.22</v>
      </c>
      <c r="N216" s="3">
        <v>251.87999999999997</v>
      </c>
      <c r="O216" s="3">
        <v>252.87999999999997</v>
      </c>
      <c r="P216" s="3">
        <v>252.37999999999997</v>
      </c>
      <c r="Q216" s="3">
        <v>253.87999999999997</v>
      </c>
      <c r="R216" s="3">
        <v>254.87999999999997</v>
      </c>
      <c r="S216" s="3">
        <v>254.4</v>
      </c>
      <c r="T216" s="3">
        <v>254.4</v>
      </c>
      <c r="U216" s="7">
        <f t="shared" si="39"/>
        <v>0.5</v>
      </c>
      <c r="V216" s="3">
        <v>3590.52</v>
      </c>
      <c r="W216" s="3">
        <v>3910.17</v>
      </c>
      <c r="X216" s="3">
        <v>3766.33</v>
      </c>
      <c r="Y216" s="3">
        <v>3762.69</v>
      </c>
      <c r="Z216" s="3">
        <f t="shared" si="40"/>
        <v>159.82500000000005</v>
      </c>
      <c r="AA216" s="4">
        <f t="shared" si="41"/>
        <v>0.17621145374449312</v>
      </c>
      <c r="AB216" s="4">
        <f t="shared" si="42"/>
        <v>7.8311311260013498E-3</v>
      </c>
      <c r="AC216">
        <v>1.1476266666666668</v>
      </c>
      <c r="AD216" s="2">
        <v>7.0133999999999972</v>
      </c>
      <c r="AE216" s="2">
        <v>2.1747000000000001</v>
      </c>
      <c r="AF216" s="2">
        <f t="shared" si="43"/>
        <v>4.8386999999999976</v>
      </c>
      <c r="AG216" s="2">
        <v>1.0270733333333333</v>
      </c>
      <c r="AH216" s="1">
        <f t="shared" si="44"/>
        <v>82.490401947569282</v>
      </c>
      <c r="AI216" s="1">
        <f t="shared" si="45"/>
        <v>17.509598052430718</v>
      </c>
      <c r="AJ216" s="1">
        <f t="shared" si="46"/>
        <v>0.87547990262153597</v>
      </c>
      <c r="AK216" s="8">
        <v>7.4900000000000411E-2</v>
      </c>
      <c r="AL216" s="9">
        <v>84.181626187961911</v>
      </c>
      <c r="AM216" s="10">
        <v>4.2090813093980959</v>
      </c>
      <c r="AN216" s="9">
        <v>42.090813093980955</v>
      </c>
      <c r="AO216" s="11">
        <v>4.2100434046603832</v>
      </c>
      <c r="AP216" s="2">
        <v>5.409140625</v>
      </c>
      <c r="AQ216" s="2">
        <f t="shared" si="47"/>
        <v>0.3380712890625</v>
      </c>
      <c r="AR216" s="2">
        <v>1.0844187163895984</v>
      </c>
      <c r="AS216" s="2">
        <v>0.18987735844514733</v>
      </c>
      <c r="AT216" s="2">
        <f t="shared" si="48"/>
        <v>1.8987735844514735E-2</v>
      </c>
      <c r="AU216" s="2">
        <f t="shared" si="49"/>
        <v>3.3458565364783623E-2</v>
      </c>
      <c r="AV216" s="2">
        <f t="shared" si="50"/>
        <v>5.4370168717773389E-3</v>
      </c>
      <c r="AW216" s="3">
        <f t="shared" si="51"/>
        <v>16.25</v>
      </c>
    </row>
    <row r="217" spans="1:49" x14ac:dyDescent="0.2">
      <c r="A217" t="s">
        <v>45</v>
      </c>
      <c r="B217" s="5" t="s">
        <v>46</v>
      </c>
      <c r="C217" s="5" t="s">
        <v>258</v>
      </c>
      <c r="D217" s="5" t="s">
        <v>269</v>
      </c>
      <c r="E217">
        <v>7</v>
      </c>
      <c r="F217" s="6">
        <v>261</v>
      </c>
      <c r="G217" s="3">
        <v>2.5</v>
      </c>
      <c r="H217" s="3">
        <v>2.7</v>
      </c>
      <c r="I217" s="3">
        <v>0.9</v>
      </c>
      <c r="J217" s="3">
        <v>13.099999999999966</v>
      </c>
      <c r="K217" s="3">
        <v>13.999999999999972</v>
      </c>
      <c r="L217" s="3">
        <v>13.549999999999955</v>
      </c>
      <c r="M217" s="1">
        <v>0.22</v>
      </c>
      <c r="N217" s="3">
        <v>253.09999999999997</v>
      </c>
      <c r="O217" s="3">
        <v>253.99999999999997</v>
      </c>
      <c r="P217" s="3">
        <v>253.54999999999995</v>
      </c>
      <c r="Q217" s="3">
        <v>255.09999999999997</v>
      </c>
      <c r="R217" s="3">
        <v>255.99999999999997</v>
      </c>
      <c r="S217" s="3">
        <v>255.6</v>
      </c>
      <c r="T217" s="3">
        <v>255.6</v>
      </c>
      <c r="U217" s="7">
        <f t="shared" si="39"/>
        <v>0.45000000000000284</v>
      </c>
      <c r="V217" s="3">
        <v>3597.99</v>
      </c>
      <c r="W217" s="3">
        <v>3919.29</v>
      </c>
      <c r="X217" s="3">
        <v>3772.94</v>
      </c>
      <c r="Y217" s="3">
        <v>3769.5</v>
      </c>
      <c r="Z217" s="3">
        <f t="shared" si="40"/>
        <v>160.65000000000009</v>
      </c>
      <c r="AA217" s="4">
        <f t="shared" si="41"/>
        <v>0.17656500802568076</v>
      </c>
      <c r="AB217" s="4">
        <f t="shared" si="42"/>
        <v>7.8357692711934403E-3</v>
      </c>
      <c r="AC217">
        <v>1.1476266666666668</v>
      </c>
      <c r="AD217" s="2">
        <v>6.5310999999999986</v>
      </c>
      <c r="AE217" s="2">
        <v>1.9841</v>
      </c>
      <c r="AF217" s="2">
        <f t="shared" si="43"/>
        <v>4.5469999999999988</v>
      </c>
      <c r="AG217" s="2">
        <v>0.83647333333333318</v>
      </c>
      <c r="AH217" s="1">
        <f t="shared" si="44"/>
        <v>84.462199744650604</v>
      </c>
      <c r="AI217" s="1">
        <f t="shared" si="45"/>
        <v>15.537800255349396</v>
      </c>
      <c r="AJ217" s="1">
        <f t="shared" si="46"/>
        <v>0.77689001276746983</v>
      </c>
      <c r="AK217" s="8">
        <v>4.809999999999981E-2</v>
      </c>
      <c r="AL217" s="9">
        <v>85.688783100267841</v>
      </c>
      <c r="AM217" s="10">
        <v>4.2844391550133922</v>
      </c>
      <c r="AN217" s="9">
        <v>42.844391550133921</v>
      </c>
      <c r="AO217" s="11">
        <v>4.2853843320070917</v>
      </c>
      <c r="AP217" s="2">
        <v>4.7759400000000012</v>
      </c>
      <c r="AQ217" s="2">
        <f t="shared" si="47"/>
        <v>0.29133234000000008</v>
      </c>
      <c r="AR217" s="2">
        <v>1.1272070698822285</v>
      </c>
      <c r="AS217" s="2">
        <v>0.17514318298247736</v>
      </c>
      <c r="AT217" s="2">
        <f t="shared" si="48"/>
        <v>1.7514318298247736E-2</v>
      </c>
      <c r="AU217" s="2">
        <f t="shared" si="49"/>
        <v>3.0924157508944387E-2</v>
      </c>
      <c r="AV217" s="2">
        <f t="shared" si="50"/>
        <v>4.9787893589400469E-3</v>
      </c>
      <c r="AW217" s="3">
        <f t="shared" si="51"/>
        <v>16.100000000000001</v>
      </c>
    </row>
    <row r="218" spans="1:49" x14ac:dyDescent="0.2">
      <c r="A218" t="s">
        <v>45</v>
      </c>
      <c r="B218" s="5" t="s">
        <v>46</v>
      </c>
      <c r="C218" s="5" t="s">
        <v>258</v>
      </c>
      <c r="D218" s="5" t="s">
        <v>270</v>
      </c>
      <c r="E218">
        <v>7</v>
      </c>
      <c r="F218" s="6">
        <v>262</v>
      </c>
      <c r="G218" s="3">
        <v>2.65</v>
      </c>
      <c r="H218" s="3">
        <v>2.65</v>
      </c>
      <c r="I218" s="3">
        <v>1</v>
      </c>
      <c r="J218" s="3">
        <v>14.21999999999997</v>
      </c>
      <c r="K218" s="3">
        <v>15.21999999999997</v>
      </c>
      <c r="L218" s="3">
        <v>14.71999999999997</v>
      </c>
      <c r="M218" s="1">
        <v>0.22</v>
      </c>
      <c r="N218" s="3">
        <v>254.21999999999997</v>
      </c>
      <c r="O218" s="3">
        <v>255.21999999999997</v>
      </c>
      <c r="P218" s="3">
        <v>254.71999999999997</v>
      </c>
      <c r="Q218" s="3">
        <v>256.21999999999997</v>
      </c>
      <c r="R218" s="3">
        <v>257.21999999999997</v>
      </c>
      <c r="S218" s="3">
        <v>256.7</v>
      </c>
      <c r="T218" s="3">
        <v>256.7</v>
      </c>
      <c r="U218" s="7">
        <f t="shared" si="39"/>
        <v>0.5</v>
      </c>
      <c r="V218" s="3">
        <v>3605.53</v>
      </c>
      <c r="W218" s="3">
        <v>3926.72</v>
      </c>
      <c r="X218" s="3">
        <v>3778.79</v>
      </c>
      <c r="Y218" s="3">
        <v>3775.73</v>
      </c>
      <c r="Z218" s="3">
        <f t="shared" si="40"/>
        <v>160.5949999999998</v>
      </c>
      <c r="AA218" s="4">
        <f t="shared" si="41"/>
        <v>0.17621145374449312</v>
      </c>
      <c r="AB218" s="4">
        <f t="shared" si="42"/>
        <v>7.8381138010342327E-3</v>
      </c>
      <c r="AC218">
        <v>1.1476266666666668</v>
      </c>
      <c r="AD218" s="2">
        <v>6.4426999999999985</v>
      </c>
      <c r="AE218" s="2">
        <v>1.9376</v>
      </c>
      <c r="AF218" s="2">
        <f t="shared" si="43"/>
        <v>4.5050999999999988</v>
      </c>
      <c r="AG218" s="2">
        <v>0.78997333333333319</v>
      </c>
      <c r="AH218" s="1">
        <f t="shared" si="44"/>
        <v>85.080974641836875</v>
      </c>
      <c r="AI218" s="1">
        <f t="shared" si="45"/>
        <v>14.919025358163125</v>
      </c>
      <c r="AJ218" s="1">
        <f t="shared" si="46"/>
        <v>0.74595126790815636</v>
      </c>
      <c r="AK218" s="8">
        <v>4.6700000000000408E-2</v>
      </c>
      <c r="AL218" s="9">
        <v>85.908267954133862</v>
      </c>
      <c r="AM218" s="10">
        <v>4.2954133977066933</v>
      </c>
      <c r="AN218" s="9">
        <v>42.954133977066931</v>
      </c>
      <c r="AO218" s="11">
        <v>4.2963561604222429</v>
      </c>
      <c r="AP218" s="2">
        <v>5.5126624999999994</v>
      </c>
      <c r="AQ218" s="2">
        <f t="shared" si="47"/>
        <v>0.34729773749999998</v>
      </c>
      <c r="AR218" s="2">
        <v>0.96052920586619128</v>
      </c>
      <c r="AS218" s="2">
        <v>0.14330159579573995</v>
      </c>
      <c r="AT218" s="2">
        <f t="shared" si="48"/>
        <v>1.4330159579573995E-2</v>
      </c>
      <c r="AU218" s="2">
        <f t="shared" si="49"/>
        <v>2.5251382519073079E-2</v>
      </c>
      <c r="AV218" s="2">
        <f t="shared" si="50"/>
        <v>4.1159753506089117E-3</v>
      </c>
      <c r="AW218" s="3">
        <f t="shared" si="51"/>
        <v>16.3</v>
      </c>
    </row>
    <row r="219" spans="1:49" x14ac:dyDescent="0.2">
      <c r="A219" t="s">
        <v>45</v>
      </c>
      <c r="B219" s="5" t="s">
        <v>46</v>
      </c>
      <c r="C219" s="5" t="s">
        <v>258</v>
      </c>
      <c r="D219" s="5" t="s">
        <v>271</v>
      </c>
      <c r="E219">
        <v>7</v>
      </c>
      <c r="F219" s="6">
        <v>263</v>
      </c>
      <c r="G219" s="3">
        <v>2.5</v>
      </c>
      <c r="H219" s="3">
        <v>2.5499999999999998</v>
      </c>
      <c r="I219" s="3">
        <v>1</v>
      </c>
      <c r="J219" s="3">
        <v>15.439999999999969</v>
      </c>
      <c r="K219" s="3">
        <v>16.439999999999941</v>
      </c>
      <c r="L219" s="3">
        <v>15.939999999999941</v>
      </c>
      <c r="M219" s="1">
        <v>0.22</v>
      </c>
      <c r="N219" s="3">
        <v>255.43999999999997</v>
      </c>
      <c r="O219" s="3">
        <v>256.43999999999994</v>
      </c>
      <c r="P219" s="3">
        <v>255.93999999999994</v>
      </c>
      <c r="Q219" s="3">
        <v>257.43999999999994</v>
      </c>
      <c r="R219" s="3">
        <v>258.43999999999994</v>
      </c>
      <c r="S219" s="3">
        <v>257.89999999999998</v>
      </c>
      <c r="T219" s="3">
        <v>257.89999999999998</v>
      </c>
      <c r="U219" s="7">
        <f t="shared" si="39"/>
        <v>0.5</v>
      </c>
      <c r="V219" s="3">
        <v>3612.63</v>
      </c>
      <c r="W219" s="3">
        <v>3934.52</v>
      </c>
      <c r="X219" s="3">
        <v>3785.43</v>
      </c>
      <c r="Y219" s="3">
        <v>3782.54</v>
      </c>
      <c r="Z219" s="3">
        <f t="shared" si="40"/>
        <v>160.94499999999994</v>
      </c>
      <c r="AA219" s="4">
        <f t="shared" si="41"/>
        <v>0.17647058823529607</v>
      </c>
      <c r="AB219" s="4">
        <f t="shared" si="42"/>
        <v>7.8508565015715289E-3</v>
      </c>
      <c r="AC219">
        <v>1.1476266666666668</v>
      </c>
      <c r="AD219" s="2">
        <v>6.6345999999999989</v>
      </c>
      <c r="AE219" s="2">
        <v>1.9548000000000001</v>
      </c>
      <c r="AF219" s="2">
        <f t="shared" si="43"/>
        <v>4.6797999999999984</v>
      </c>
      <c r="AG219" s="2">
        <v>0.8071733333333333</v>
      </c>
      <c r="AH219" s="1">
        <f t="shared" si="44"/>
        <v>85.289279092541619</v>
      </c>
      <c r="AI219" s="1">
        <f t="shared" si="45"/>
        <v>14.710720907458381</v>
      </c>
      <c r="AJ219" s="1">
        <f t="shared" si="46"/>
        <v>0.73553604537291906</v>
      </c>
      <c r="AK219" s="8">
        <v>4.1100000000000136E-2</v>
      </c>
      <c r="AL219" s="9">
        <v>86.422200198216004</v>
      </c>
      <c r="AM219" s="10">
        <v>4.3211100099108002</v>
      </c>
      <c r="AN219" s="9">
        <v>43.211100099108002</v>
      </c>
      <c r="AO219" s="11">
        <v>4.3220471674602665</v>
      </c>
      <c r="AP219" s="2">
        <v>5.0048656249999999</v>
      </c>
      <c r="AQ219" s="2">
        <f t="shared" si="47"/>
        <v>0.30279437031250001</v>
      </c>
      <c r="AR219" s="2">
        <v>1.0963278026736896</v>
      </c>
      <c r="AS219" s="2">
        <v>0.16127772328219767</v>
      </c>
      <c r="AT219" s="2">
        <f t="shared" si="48"/>
        <v>1.6127772328219766E-2</v>
      </c>
      <c r="AU219" s="2">
        <f t="shared" si="49"/>
        <v>2.8460774696858728E-2</v>
      </c>
      <c r="AV219" s="2">
        <f t="shared" si="50"/>
        <v>4.5679543388458263E-3</v>
      </c>
      <c r="AW219" s="3">
        <f t="shared" si="51"/>
        <v>16.05</v>
      </c>
    </row>
    <row r="220" spans="1:49" x14ac:dyDescent="0.2">
      <c r="A220" t="s">
        <v>45</v>
      </c>
      <c r="B220" s="5" t="s">
        <v>46</v>
      </c>
      <c r="C220" s="5" t="s">
        <v>258</v>
      </c>
      <c r="D220" s="5" t="s">
        <v>272</v>
      </c>
      <c r="E220">
        <v>7</v>
      </c>
      <c r="F220" s="6">
        <v>264</v>
      </c>
      <c r="G220" s="3">
        <v>2.2000000000000002</v>
      </c>
      <c r="H220" s="3">
        <v>2.6</v>
      </c>
      <c r="I220" s="3">
        <v>0.95</v>
      </c>
      <c r="J220" s="3">
        <v>16.659999999999968</v>
      </c>
      <c r="K220" s="3">
        <v>17.609999999999957</v>
      </c>
      <c r="L220" s="3">
        <v>17.134999999999991</v>
      </c>
      <c r="M220" s="1">
        <v>0.22</v>
      </c>
      <c r="N220" s="3">
        <v>256.65999999999997</v>
      </c>
      <c r="O220" s="3">
        <v>257.60999999999996</v>
      </c>
      <c r="P220" s="3">
        <v>257.13499999999999</v>
      </c>
      <c r="Q220" s="3">
        <v>258.65999999999997</v>
      </c>
      <c r="R220" s="3">
        <v>259.60999999999996</v>
      </c>
      <c r="S220" s="3">
        <v>259.10000000000002</v>
      </c>
      <c r="T220" s="3">
        <v>259.10000000000002</v>
      </c>
      <c r="U220" s="7">
        <f t="shared" si="39"/>
        <v>0.47499999999999432</v>
      </c>
      <c r="V220" s="3">
        <v>3619.31</v>
      </c>
      <c r="W220" s="3">
        <v>3944.23</v>
      </c>
      <c r="X220" s="3">
        <v>3792.7</v>
      </c>
      <c r="Y220" s="3">
        <v>3789.34</v>
      </c>
      <c r="Z220" s="3">
        <f t="shared" si="40"/>
        <v>162.46000000000004</v>
      </c>
      <c r="AA220" s="4">
        <f t="shared" si="41"/>
        <v>0.17467248908297056</v>
      </c>
      <c r="AB220" s="4">
        <f t="shared" si="42"/>
        <v>7.8089380537433436E-3</v>
      </c>
      <c r="AC220">
        <v>1.1476266666666668</v>
      </c>
      <c r="AD220" s="2">
        <v>5.8980999999999995</v>
      </c>
      <c r="AE220" s="2">
        <v>1.8531</v>
      </c>
      <c r="AF220" s="2">
        <f t="shared" si="43"/>
        <v>4.0449999999999999</v>
      </c>
      <c r="AG220" s="2">
        <v>0.70547333333333317</v>
      </c>
      <c r="AH220" s="1">
        <f t="shared" si="44"/>
        <v>85.149409672860671</v>
      </c>
      <c r="AI220" s="1">
        <f t="shared" si="45"/>
        <v>14.850590327139329</v>
      </c>
      <c r="AJ220" s="1">
        <f t="shared" si="46"/>
        <v>0.74252951635696651</v>
      </c>
      <c r="AK220" s="8">
        <v>6.3499999999999446E-2</v>
      </c>
      <c r="AL220" s="9">
        <v>87.315221733919387</v>
      </c>
      <c r="AM220" s="10">
        <v>4.3657610866959695</v>
      </c>
      <c r="AN220" s="9">
        <v>43.657610866959693</v>
      </c>
      <c r="AO220" s="11">
        <v>4.3666886614583333</v>
      </c>
      <c r="AP220" s="2">
        <v>4.2955200000000016</v>
      </c>
      <c r="AQ220" s="2">
        <f t="shared" si="47"/>
        <v>0.24699240000000011</v>
      </c>
      <c r="AR220" s="2">
        <v>1.1059134478091899</v>
      </c>
      <c r="AS220" s="2">
        <v>0.16423467550688459</v>
      </c>
      <c r="AT220" s="2">
        <f t="shared" si="48"/>
        <v>1.6423467550688461E-2</v>
      </c>
      <c r="AU220" s="2">
        <f t="shared" si="49"/>
        <v>2.8687279564521509E-2</v>
      </c>
      <c r="AV220" s="2">
        <f t="shared" si="50"/>
        <v>4.5182465314121383E-3</v>
      </c>
      <c r="AW220" s="3">
        <f t="shared" si="51"/>
        <v>15.750000000000004</v>
      </c>
    </row>
    <row r="221" spans="1:49" x14ac:dyDescent="0.2">
      <c r="A221" t="s">
        <v>45</v>
      </c>
      <c r="B221" s="5" t="s">
        <v>46</v>
      </c>
      <c r="C221" s="5" t="s">
        <v>258</v>
      </c>
      <c r="D221" s="5" t="s">
        <v>273</v>
      </c>
      <c r="E221">
        <v>7</v>
      </c>
      <c r="F221" s="6">
        <v>265</v>
      </c>
      <c r="G221" s="3">
        <v>2.5499999999999998</v>
      </c>
      <c r="H221" s="3">
        <v>2.4</v>
      </c>
      <c r="I221" s="3">
        <v>0.9</v>
      </c>
      <c r="J221" s="3">
        <v>17.829999999999984</v>
      </c>
      <c r="K221" s="3">
        <v>18.729999999999961</v>
      </c>
      <c r="L221" s="3">
        <v>18.279999999999973</v>
      </c>
      <c r="M221" s="1">
        <v>0.22</v>
      </c>
      <c r="N221" s="3">
        <v>257.83</v>
      </c>
      <c r="O221" s="3">
        <v>258.72999999999996</v>
      </c>
      <c r="P221" s="3">
        <v>258.27999999999997</v>
      </c>
      <c r="Q221" s="3">
        <v>259.83</v>
      </c>
      <c r="R221" s="3">
        <v>260.72999999999996</v>
      </c>
      <c r="S221" s="3">
        <v>260.3</v>
      </c>
      <c r="T221" s="3">
        <v>260.3</v>
      </c>
      <c r="U221" s="7">
        <f t="shared" si="39"/>
        <v>0.44999999999998863</v>
      </c>
      <c r="V221" s="3">
        <v>3627.32</v>
      </c>
      <c r="W221" s="3">
        <v>3953.8</v>
      </c>
      <c r="X221" s="3">
        <v>3798.9</v>
      </c>
      <c r="Y221" s="3">
        <v>3796.21</v>
      </c>
      <c r="Z221" s="3">
        <f t="shared" si="40"/>
        <v>163.24</v>
      </c>
      <c r="AA221" s="4">
        <f t="shared" si="41"/>
        <v>0.16949152542372925</v>
      </c>
      <c r="AB221" s="4">
        <f t="shared" si="42"/>
        <v>7.5812808220711535E-3</v>
      </c>
      <c r="AC221">
        <v>1.1476266666666668</v>
      </c>
      <c r="AD221" s="2">
        <v>6.4863999999999997</v>
      </c>
      <c r="AE221" s="2">
        <v>1.9197</v>
      </c>
      <c r="AF221" s="2">
        <f t="shared" si="43"/>
        <v>4.5667</v>
      </c>
      <c r="AG221" s="2">
        <v>0.77207333333333317</v>
      </c>
      <c r="AH221" s="1">
        <f t="shared" si="44"/>
        <v>85.538375856626246</v>
      </c>
      <c r="AI221" s="1">
        <f t="shared" si="45"/>
        <v>14.461624143373754</v>
      </c>
      <c r="AJ221" s="1">
        <f t="shared" si="46"/>
        <v>0.72308120716868773</v>
      </c>
      <c r="AK221" s="8">
        <v>4.3800000000000061E-2</v>
      </c>
      <c r="AL221" s="9">
        <v>86.77536231884055</v>
      </c>
      <c r="AM221" s="10">
        <v>4.3387681159420275</v>
      </c>
      <c r="AN221" s="9">
        <v>43.387681159420275</v>
      </c>
      <c r="AO221" s="11">
        <v>4.339701460229163</v>
      </c>
      <c r="AP221" s="2">
        <v>4.3277540624999995</v>
      </c>
      <c r="AQ221" s="2">
        <f t="shared" si="47"/>
        <v>0.25317361265624999</v>
      </c>
      <c r="AR221" s="2">
        <v>1.2336129216754295</v>
      </c>
      <c r="AS221" s="2">
        <v>0.17840046411679228</v>
      </c>
      <c r="AT221" s="2">
        <f t="shared" si="48"/>
        <v>1.7840046411679227E-2</v>
      </c>
      <c r="AU221" s="2">
        <f t="shared" si="49"/>
        <v>3.0237366799456395E-2</v>
      </c>
      <c r="AV221" s="2">
        <f t="shared" si="50"/>
        <v>4.7926226377138391E-3</v>
      </c>
      <c r="AW221" s="3">
        <f t="shared" si="51"/>
        <v>15.85</v>
      </c>
    </row>
    <row r="222" spans="1:49" x14ac:dyDescent="0.2">
      <c r="A222" t="s">
        <v>45</v>
      </c>
      <c r="B222" s="5" t="s">
        <v>46</v>
      </c>
      <c r="C222" s="5" t="s">
        <v>258</v>
      </c>
      <c r="D222" s="5" t="s">
        <v>274</v>
      </c>
      <c r="E222">
        <v>7</v>
      </c>
      <c r="F222" s="6">
        <v>266</v>
      </c>
      <c r="G222" s="3">
        <v>2.4500000000000002</v>
      </c>
      <c r="H222" s="3">
        <v>2.5499999999999998</v>
      </c>
      <c r="I222" s="3">
        <v>0.95</v>
      </c>
      <c r="J222" s="3">
        <v>18.949999999999989</v>
      </c>
      <c r="K222" s="3">
        <v>19.899999999999977</v>
      </c>
      <c r="L222" s="3">
        <v>19.424999999999955</v>
      </c>
      <c r="M222" s="1">
        <v>0.22</v>
      </c>
      <c r="N222" s="3">
        <v>258.95</v>
      </c>
      <c r="O222" s="3">
        <v>259.89999999999998</v>
      </c>
      <c r="P222" s="3">
        <v>259.42499999999995</v>
      </c>
      <c r="Q222" s="3">
        <v>260.95</v>
      </c>
      <c r="R222" s="3">
        <v>261.89999999999998</v>
      </c>
      <c r="S222" s="3">
        <v>261.39999999999998</v>
      </c>
      <c r="T222" s="3">
        <v>261.39999999999998</v>
      </c>
      <c r="U222" s="7">
        <f t="shared" si="39"/>
        <v>0.47499999999999432</v>
      </c>
      <c r="V222" s="3">
        <v>3638.32</v>
      </c>
      <c r="W222" s="3">
        <v>3957.45</v>
      </c>
      <c r="X222" s="3">
        <v>3804.79</v>
      </c>
      <c r="Y222" s="3">
        <v>3802.7</v>
      </c>
      <c r="Z222" s="3">
        <f t="shared" si="40"/>
        <v>159.56499999999983</v>
      </c>
      <c r="AA222" s="4">
        <f t="shared" si="41"/>
        <v>0.16973125884017223</v>
      </c>
      <c r="AB222" s="4">
        <f t="shared" si="42"/>
        <v>7.4305143278737386E-3</v>
      </c>
      <c r="AC222">
        <v>1.1476266666666668</v>
      </c>
      <c r="AD222" s="2">
        <v>6.8937999999999988</v>
      </c>
      <c r="AE222" s="2">
        <v>2.0739000000000001</v>
      </c>
      <c r="AF222" s="2">
        <f t="shared" si="43"/>
        <v>4.8198999999999987</v>
      </c>
      <c r="AG222" s="2">
        <v>0.92627333333333328</v>
      </c>
      <c r="AH222" s="1">
        <f t="shared" si="44"/>
        <v>83.880170687506805</v>
      </c>
      <c r="AI222" s="1">
        <f t="shared" si="45"/>
        <v>16.119829312493195</v>
      </c>
      <c r="AJ222" s="1">
        <f t="shared" si="46"/>
        <v>0.80599146562465984</v>
      </c>
      <c r="AK222" s="8">
        <v>4.610000000000003E-2</v>
      </c>
      <c r="AL222" s="9">
        <v>86.453129591536864</v>
      </c>
      <c r="AM222" s="10">
        <v>4.3226564795768434</v>
      </c>
      <c r="AN222" s="9">
        <v>43.226564795768432</v>
      </c>
      <c r="AO222" s="11">
        <v>4.323593301922334</v>
      </c>
      <c r="AP222" s="2">
        <v>4.6609375000000002</v>
      </c>
      <c r="AQ222" s="2">
        <f t="shared" si="47"/>
        <v>0.27732578125000001</v>
      </c>
      <c r="AR222" s="2">
        <v>1.2328363839535141</v>
      </c>
      <c r="AS222" s="2">
        <v>0.19873112079561961</v>
      </c>
      <c r="AT222" s="2">
        <f t="shared" si="48"/>
        <v>1.9873112079561963E-2</v>
      </c>
      <c r="AU222" s="2">
        <f t="shared" si="49"/>
        <v>3.3730883303358848E-2</v>
      </c>
      <c r="AV222" s="2">
        <f t="shared" si="50"/>
        <v>5.3800758868857365E-3</v>
      </c>
      <c r="AW222" s="3">
        <f t="shared" si="51"/>
        <v>15.950000000000001</v>
      </c>
    </row>
    <row r="223" spans="1:49" x14ac:dyDescent="0.2">
      <c r="A223" t="s">
        <v>45</v>
      </c>
      <c r="B223" s="5" t="s">
        <v>46</v>
      </c>
      <c r="C223" s="5" t="s">
        <v>258</v>
      </c>
      <c r="D223" s="5" t="s">
        <v>275</v>
      </c>
      <c r="E223">
        <v>7</v>
      </c>
      <c r="F223" s="6">
        <v>267</v>
      </c>
      <c r="G223" s="3">
        <v>2.4500000000000002</v>
      </c>
      <c r="H223" s="3">
        <v>2.4500000000000002</v>
      </c>
      <c r="I223" s="3">
        <v>1</v>
      </c>
      <c r="J223" s="3">
        <v>20.120000000000005</v>
      </c>
      <c r="K223" s="3">
        <v>21.120000000000005</v>
      </c>
      <c r="L223" s="3">
        <v>20.620000000000005</v>
      </c>
      <c r="M223" s="1">
        <v>0.22</v>
      </c>
      <c r="N223" s="3">
        <v>260.12</v>
      </c>
      <c r="O223" s="3">
        <v>261.12</v>
      </c>
      <c r="P223" s="3">
        <v>260.62</v>
      </c>
      <c r="Q223" s="3">
        <v>262.12</v>
      </c>
      <c r="R223" s="3">
        <v>263.12</v>
      </c>
      <c r="S223" s="3">
        <v>262.60000000000002</v>
      </c>
      <c r="T223" s="3">
        <v>262.60000000000002</v>
      </c>
      <c r="U223" s="7">
        <f t="shared" si="39"/>
        <v>0.5</v>
      </c>
      <c r="V223" s="3">
        <v>3648.13</v>
      </c>
      <c r="W223" s="3">
        <v>3964.09</v>
      </c>
      <c r="X223" s="3">
        <v>3811.35</v>
      </c>
      <c r="Y223" s="3">
        <v>3809.77</v>
      </c>
      <c r="Z223" s="3">
        <f t="shared" si="40"/>
        <v>157.98000000000002</v>
      </c>
      <c r="AA223" s="4">
        <f t="shared" si="41"/>
        <v>0.16973125884016418</v>
      </c>
      <c r="AB223" s="4">
        <f t="shared" si="42"/>
        <v>7.3614325456445974E-3</v>
      </c>
      <c r="AC223">
        <v>1.1476266666666668</v>
      </c>
      <c r="AD223" s="2">
        <v>6.1023999999999994</v>
      </c>
      <c r="AE223" s="2">
        <v>1.8069</v>
      </c>
      <c r="AF223" s="2">
        <f t="shared" si="43"/>
        <v>4.2954999999999997</v>
      </c>
      <c r="AG223" s="2">
        <v>0.65927333333333316</v>
      </c>
      <c r="AH223" s="1">
        <f t="shared" si="44"/>
        <v>86.694177735678451</v>
      </c>
      <c r="AI223" s="1">
        <f t="shared" si="45"/>
        <v>13.305822264321549</v>
      </c>
      <c r="AJ223" s="1">
        <f t="shared" si="46"/>
        <v>0.66529111321607748</v>
      </c>
      <c r="AK223" s="8">
        <v>9.6400000000000041E-2</v>
      </c>
      <c r="AL223" s="9">
        <v>80.078528621616044</v>
      </c>
      <c r="AM223" s="10">
        <v>4.003926431080802</v>
      </c>
      <c r="AN223" s="9">
        <v>40.039264310808022</v>
      </c>
      <c r="AO223" s="11">
        <v>4.0049378104419358</v>
      </c>
      <c r="AP223" s="2">
        <v>4.7119625000000003</v>
      </c>
      <c r="AQ223" s="2">
        <f t="shared" si="47"/>
        <v>0.27800578750000005</v>
      </c>
      <c r="AR223" s="2">
        <v>1.0515307227791675</v>
      </c>
      <c r="AS223" s="2">
        <v>0.13991480902773168</v>
      </c>
      <c r="AT223" s="2">
        <f t="shared" si="48"/>
        <v>1.3991480902773169E-2</v>
      </c>
      <c r="AU223" s="2">
        <f t="shared" si="49"/>
        <v>2.3747916666658066E-2</v>
      </c>
      <c r="AV223" s="2">
        <f t="shared" si="50"/>
        <v>3.7759187499986327E-3</v>
      </c>
      <c r="AW223" s="3">
        <f t="shared" si="51"/>
        <v>15.9</v>
      </c>
    </row>
    <row r="224" spans="1:49" x14ac:dyDescent="0.2">
      <c r="A224" t="s">
        <v>45</v>
      </c>
      <c r="B224" s="5" t="s">
        <v>46</v>
      </c>
      <c r="C224" s="5" t="s">
        <v>258</v>
      </c>
      <c r="D224" s="5" t="s">
        <v>276</v>
      </c>
      <c r="E224">
        <v>7</v>
      </c>
      <c r="F224" s="6">
        <v>268</v>
      </c>
      <c r="G224" s="3">
        <v>2.5</v>
      </c>
      <c r="H224" s="3">
        <v>2.1</v>
      </c>
      <c r="I224" s="3">
        <v>1</v>
      </c>
      <c r="J224" s="3">
        <v>21.340000000000032</v>
      </c>
      <c r="K224" s="3">
        <v>22.340000000000032</v>
      </c>
      <c r="L224" s="3">
        <v>21.840000000000032</v>
      </c>
      <c r="M224" s="1">
        <v>0.22</v>
      </c>
      <c r="N224" s="3">
        <v>261.34000000000003</v>
      </c>
      <c r="O224" s="3">
        <v>262.34000000000003</v>
      </c>
      <c r="P224" s="3">
        <v>261.84000000000003</v>
      </c>
      <c r="Q224" s="3">
        <v>263.34000000000003</v>
      </c>
      <c r="R224" s="3">
        <v>264.34000000000003</v>
      </c>
      <c r="S224" s="3">
        <v>263.8</v>
      </c>
      <c r="T224" s="3">
        <v>263.8</v>
      </c>
      <c r="U224" s="7">
        <f t="shared" si="39"/>
        <v>0.5</v>
      </c>
      <c r="V224" s="3">
        <v>3656.82</v>
      </c>
      <c r="W224" s="3">
        <v>3969.04</v>
      </c>
      <c r="X224" s="3">
        <v>3817.54</v>
      </c>
      <c r="Y224" s="3">
        <v>3816.84</v>
      </c>
      <c r="Z224" s="3">
        <f t="shared" si="40"/>
        <v>156.1099999999999</v>
      </c>
      <c r="AA224" s="4">
        <f t="shared" si="41"/>
        <v>0.1694915254237287</v>
      </c>
      <c r="AB224" s="4">
        <f t="shared" si="42"/>
        <v>7.2535086793845882E-3</v>
      </c>
      <c r="AC224">
        <v>1.1476266666666668</v>
      </c>
      <c r="AD224" s="2">
        <v>6.0330999999999975</v>
      </c>
      <c r="AE224" s="2">
        <v>1.8471</v>
      </c>
      <c r="AF224" s="2">
        <f t="shared" si="43"/>
        <v>4.1859999999999973</v>
      </c>
      <c r="AG224" s="2">
        <v>0.69947333333333317</v>
      </c>
      <c r="AH224" s="1">
        <f t="shared" si="44"/>
        <v>85.682588244605441</v>
      </c>
      <c r="AI224" s="1">
        <f t="shared" si="45"/>
        <v>14.317411755394559</v>
      </c>
      <c r="AJ224" s="1">
        <f t="shared" si="46"/>
        <v>0.71587058776972801</v>
      </c>
      <c r="AK224" s="8">
        <v>6.6800000000000637E-2</v>
      </c>
      <c r="AL224" s="9">
        <v>83.224510296333349</v>
      </c>
      <c r="AM224" s="10">
        <v>4.1612255148166675</v>
      </c>
      <c r="AN224" s="9">
        <v>41.612255148166675</v>
      </c>
      <c r="AO224" s="11">
        <v>4.1621986719955162</v>
      </c>
      <c r="AP224" s="2">
        <v>4.1526499999999995</v>
      </c>
      <c r="AQ224" s="2">
        <f t="shared" si="47"/>
        <v>0.23254839999999999</v>
      </c>
      <c r="AR224" s="2">
        <v>1.1764712492825862</v>
      </c>
      <c r="AS224" s="2">
        <v>0.16844023294362231</v>
      </c>
      <c r="AT224" s="2">
        <f t="shared" si="48"/>
        <v>1.6844023294362232E-2</v>
      </c>
      <c r="AU224" s="2">
        <f t="shared" si="49"/>
        <v>2.8549192024342744E-2</v>
      </c>
      <c r="AV224" s="2">
        <f t="shared" si="50"/>
        <v>4.4536739557974681E-3</v>
      </c>
      <c r="AW224" s="3">
        <f t="shared" si="51"/>
        <v>15.6</v>
      </c>
    </row>
    <row r="225" spans="1:49" x14ac:dyDescent="0.2">
      <c r="A225" t="s">
        <v>45</v>
      </c>
      <c r="B225" s="5" t="s">
        <v>46</v>
      </c>
      <c r="C225" s="5" t="s">
        <v>258</v>
      </c>
      <c r="D225" s="5" t="s">
        <v>277</v>
      </c>
      <c r="E225">
        <v>7</v>
      </c>
      <c r="F225" s="6">
        <v>269</v>
      </c>
      <c r="G225" s="3">
        <v>2.4</v>
      </c>
      <c r="H225" s="3">
        <v>2.15</v>
      </c>
      <c r="I225" s="3">
        <v>1</v>
      </c>
      <c r="J225" s="3">
        <v>22.560000000000059</v>
      </c>
      <c r="K225" s="3">
        <v>23.560000000000059</v>
      </c>
      <c r="L225" s="3">
        <v>23.060000000000059</v>
      </c>
      <c r="M225" s="1">
        <v>0.22</v>
      </c>
      <c r="N225" s="3">
        <v>262.56000000000006</v>
      </c>
      <c r="O225" s="3">
        <v>263.56000000000006</v>
      </c>
      <c r="P225" s="3">
        <v>263.06000000000006</v>
      </c>
      <c r="Q225" s="3">
        <v>264.56000000000006</v>
      </c>
      <c r="R225" s="3">
        <v>265.56000000000006</v>
      </c>
      <c r="S225" s="3">
        <v>265.10000000000002</v>
      </c>
      <c r="T225" s="3">
        <v>265.10000000000002</v>
      </c>
      <c r="U225" s="7">
        <f t="shared" si="39"/>
        <v>0.5</v>
      </c>
      <c r="V225" s="3">
        <v>3668.45</v>
      </c>
      <c r="W225" s="3">
        <v>3975.83</v>
      </c>
      <c r="X225" s="3">
        <v>3824.49</v>
      </c>
      <c r="Y225" s="3">
        <v>3824.51</v>
      </c>
      <c r="Z225" s="3">
        <f t="shared" si="40"/>
        <v>153.69000000000005</v>
      </c>
      <c r="AA225" s="4">
        <f t="shared" si="41"/>
        <v>0.16973125884017512</v>
      </c>
      <c r="AB225" s="4">
        <f t="shared" si="42"/>
        <v>7.1408691653740974E-3</v>
      </c>
      <c r="AC225">
        <v>1.1476266666666668</v>
      </c>
      <c r="AD225" s="2">
        <v>5.8007999999999988</v>
      </c>
      <c r="AE225" s="2">
        <v>1.8351</v>
      </c>
      <c r="AF225" s="2">
        <f t="shared" si="43"/>
        <v>3.9656999999999991</v>
      </c>
      <c r="AG225" s="2">
        <v>0.68747333333333316</v>
      </c>
      <c r="AH225" s="1">
        <f t="shared" si="44"/>
        <v>85.225709766524929</v>
      </c>
      <c r="AI225" s="1">
        <f t="shared" si="45"/>
        <v>14.774290233475071</v>
      </c>
      <c r="AJ225" s="1">
        <f t="shared" si="46"/>
        <v>0.73871451167375357</v>
      </c>
      <c r="AK225" s="8">
        <v>8.960000000000079E-2</v>
      </c>
      <c r="AL225" s="9">
        <v>76.835573940020481</v>
      </c>
      <c r="AM225" s="10">
        <v>3.8417786970010241</v>
      </c>
      <c r="AN225" s="9">
        <v>38.417786970010241</v>
      </c>
      <c r="AO225" s="11">
        <v>3.8428327515949592</v>
      </c>
      <c r="AP225" s="2">
        <v>4.0628656249999997</v>
      </c>
      <c r="AQ225" s="2">
        <f t="shared" si="47"/>
        <v>0.22548904218749999</v>
      </c>
      <c r="AR225" s="2">
        <v>1.1452934364112357</v>
      </c>
      <c r="AS225" s="2">
        <v>0.16920897632033627</v>
      </c>
      <c r="AT225" s="2">
        <f t="shared" si="48"/>
        <v>1.6920897632033628E-2</v>
      </c>
      <c r="AU225" s="2">
        <f t="shared" si="49"/>
        <v>2.8720052557908059E-2</v>
      </c>
      <c r="AV225" s="2">
        <f t="shared" si="50"/>
        <v>4.4659681727547036E-3</v>
      </c>
      <c r="AW225" s="3">
        <f t="shared" si="51"/>
        <v>15.550000000000002</v>
      </c>
    </row>
    <row r="226" spans="1:49" x14ac:dyDescent="0.2">
      <c r="A226" t="s">
        <v>45</v>
      </c>
      <c r="B226" s="5" t="s">
        <v>46</v>
      </c>
      <c r="C226" s="5" t="s">
        <v>258</v>
      </c>
      <c r="D226" s="5" t="s">
        <v>278</v>
      </c>
      <c r="E226">
        <v>7</v>
      </c>
      <c r="F226" s="6">
        <v>270</v>
      </c>
      <c r="G226" s="3">
        <v>2</v>
      </c>
      <c r="H226" s="3">
        <v>2.35</v>
      </c>
      <c r="I226" s="3">
        <v>1</v>
      </c>
      <c r="J226" s="3">
        <v>23.780000000000086</v>
      </c>
      <c r="K226" s="3">
        <v>24.780000000000086</v>
      </c>
      <c r="L226" s="3">
        <v>24.280000000000086</v>
      </c>
      <c r="M226" s="1">
        <v>0.22</v>
      </c>
      <c r="N226" s="3">
        <v>263.78000000000009</v>
      </c>
      <c r="O226" s="3">
        <v>264.78000000000009</v>
      </c>
      <c r="P226" s="3">
        <v>264.28000000000009</v>
      </c>
      <c r="Q226" s="3">
        <v>265.78000000000009</v>
      </c>
      <c r="R226" s="3">
        <v>266.78000000000009</v>
      </c>
      <c r="S226" s="3">
        <v>266.3</v>
      </c>
      <c r="T226" s="3">
        <v>266.3</v>
      </c>
      <c r="U226" s="7">
        <f t="shared" si="39"/>
        <v>0.5</v>
      </c>
      <c r="V226" s="3">
        <v>3678.2</v>
      </c>
      <c r="W226" s="3">
        <v>3987.28</v>
      </c>
      <c r="X226" s="3">
        <v>3830.54</v>
      </c>
      <c r="Y226" s="3">
        <v>3831.58</v>
      </c>
      <c r="Z226" s="3">
        <f t="shared" si="40"/>
        <v>154.54000000000019</v>
      </c>
      <c r="AA226" s="4">
        <f t="shared" si="41"/>
        <v>0.16973125884016418</v>
      </c>
      <c r="AB226" s="4">
        <f t="shared" si="42"/>
        <v>7.1644943172535338E-3</v>
      </c>
      <c r="AC226">
        <v>1.1476266666666668</v>
      </c>
      <c r="AD226" s="2">
        <v>5.2988999999999997</v>
      </c>
      <c r="AE226" s="2">
        <v>1.7770999999999999</v>
      </c>
      <c r="AF226" s="2">
        <f t="shared" si="43"/>
        <v>3.5217999999999998</v>
      </c>
      <c r="AG226" s="2">
        <v>0.62947333333333311</v>
      </c>
      <c r="AH226" s="1">
        <f t="shared" si="44"/>
        <v>84.83662041044434</v>
      </c>
      <c r="AI226" s="1">
        <f t="shared" si="45"/>
        <v>15.16337958955566</v>
      </c>
      <c r="AJ226" s="1">
        <f t="shared" si="46"/>
        <v>0.75816897947778306</v>
      </c>
      <c r="AK226" s="8">
        <v>0.1001000000000003</v>
      </c>
      <c r="AL226" s="9">
        <v>81.12389213652645</v>
      </c>
      <c r="AM226" s="10">
        <v>4.056194606826323</v>
      </c>
      <c r="AN226" s="9">
        <v>40.561946068263225</v>
      </c>
      <c r="AO226" s="11">
        <v>4.0571929567678868</v>
      </c>
      <c r="AP226" s="2">
        <v>3.7135406249999994</v>
      </c>
      <c r="AQ226" s="2">
        <f t="shared" si="47"/>
        <v>0.19867442343749997</v>
      </c>
      <c r="AR226" s="2">
        <v>1.1178747595721628</v>
      </c>
      <c r="AS226" s="2">
        <v>0.1695075931297596</v>
      </c>
      <c r="AT226" s="2">
        <f t="shared" si="48"/>
        <v>1.695075931297596E-2</v>
      </c>
      <c r="AU226" s="2">
        <f t="shared" si="49"/>
        <v>2.8770737164880465E-2</v>
      </c>
      <c r="AV226" s="2">
        <f t="shared" si="50"/>
        <v>4.4163081548091515E-3</v>
      </c>
      <c r="AW226" s="3">
        <f t="shared" si="51"/>
        <v>15.35</v>
      </c>
    </row>
    <row r="227" spans="1:49" x14ac:dyDescent="0.2">
      <c r="A227" t="s">
        <v>45</v>
      </c>
      <c r="B227" s="5" t="s">
        <v>46</v>
      </c>
      <c r="C227" s="5" t="s">
        <v>258</v>
      </c>
      <c r="D227" s="5" t="s">
        <v>279</v>
      </c>
      <c r="E227">
        <v>7</v>
      </c>
      <c r="F227" s="6">
        <v>271</v>
      </c>
      <c r="G227" s="3">
        <v>2.2000000000000002</v>
      </c>
      <c r="H227" s="3">
        <v>2.5</v>
      </c>
      <c r="I227" s="3">
        <v>1</v>
      </c>
      <c r="J227" s="3">
        <v>25.000000000000114</v>
      </c>
      <c r="K227" s="3">
        <v>26.000000000000114</v>
      </c>
      <c r="L227" s="3">
        <v>25.500000000000114</v>
      </c>
      <c r="M227" s="1">
        <v>0.22</v>
      </c>
      <c r="N227" s="3">
        <v>265.00000000000011</v>
      </c>
      <c r="O227" s="3">
        <v>266.00000000000011</v>
      </c>
      <c r="P227" s="3">
        <v>265.50000000000011</v>
      </c>
      <c r="Q227" s="3">
        <v>267.00000000000011</v>
      </c>
      <c r="R227" s="3">
        <v>268.00000000000011</v>
      </c>
      <c r="S227" s="3">
        <v>267.5</v>
      </c>
      <c r="T227" s="3">
        <v>267.5</v>
      </c>
      <c r="U227" s="7">
        <f t="shared" si="39"/>
        <v>0.5</v>
      </c>
      <c r="V227" s="3">
        <v>3683.6</v>
      </c>
      <c r="W227" s="3">
        <v>3998.19</v>
      </c>
      <c r="X227" s="3">
        <v>3837.3</v>
      </c>
      <c r="Y227" s="3">
        <v>3838.65</v>
      </c>
      <c r="Z227" s="3">
        <f t="shared" si="40"/>
        <v>157.29500000000007</v>
      </c>
      <c r="AA227" s="4">
        <f t="shared" si="41"/>
        <v>0.16949152542372894</v>
      </c>
      <c r="AB227" s="4">
        <f t="shared" si="42"/>
        <v>7.2620007311438792E-3</v>
      </c>
      <c r="AC227">
        <v>1.1476266666666668</v>
      </c>
      <c r="AD227" s="2">
        <v>5.6508000000000003</v>
      </c>
      <c r="AE227" s="2">
        <v>1.7925</v>
      </c>
      <c r="AF227" s="2">
        <f t="shared" si="43"/>
        <v>3.8583000000000003</v>
      </c>
      <c r="AG227" s="2">
        <v>0.64487333333333319</v>
      </c>
      <c r="AH227" s="1">
        <f t="shared" si="44"/>
        <v>85.679580029490324</v>
      </c>
      <c r="AI227" s="1">
        <f t="shared" si="45"/>
        <v>14.320419970509676</v>
      </c>
      <c r="AJ227" s="1">
        <f t="shared" si="46"/>
        <v>0.71602099852548384</v>
      </c>
      <c r="AK227" s="8">
        <v>4.8999999999999488E-2</v>
      </c>
      <c r="AL227" s="9">
        <v>83.021483021483192</v>
      </c>
      <c r="AM227" s="10">
        <v>4.1510741510741598</v>
      </c>
      <c r="AN227" s="9">
        <v>41.510741510741596</v>
      </c>
      <c r="AO227" s="11">
        <v>4.152049687529769</v>
      </c>
      <c r="AP227" s="2">
        <v>4.3351625</v>
      </c>
      <c r="AQ227" s="2">
        <f t="shared" si="47"/>
        <v>0.2471042625</v>
      </c>
      <c r="AR227" s="2">
        <v>1.0387553715306712</v>
      </c>
      <c r="AS227" s="2">
        <v>0.14875413166942028</v>
      </c>
      <c r="AT227" s="2">
        <f t="shared" si="48"/>
        <v>1.4875413166942028E-2</v>
      </c>
      <c r="AU227" s="2">
        <f t="shared" si="49"/>
        <v>2.5212564689732271E-2</v>
      </c>
      <c r="AV227" s="2">
        <f t="shared" si="50"/>
        <v>3.9583726562879666E-3</v>
      </c>
      <c r="AW227" s="3">
        <f t="shared" si="51"/>
        <v>15.7</v>
      </c>
    </row>
    <row r="228" spans="1:49" x14ac:dyDescent="0.2">
      <c r="A228" t="s">
        <v>45</v>
      </c>
      <c r="B228" s="5" t="s">
        <v>46</v>
      </c>
      <c r="C228" s="5" t="s">
        <v>258</v>
      </c>
      <c r="D228" s="5" t="s">
        <v>280</v>
      </c>
      <c r="E228">
        <v>7</v>
      </c>
      <c r="F228" s="6">
        <v>272</v>
      </c>
      <c r="G228" s="3">
        <v>2.4</v>
      </c>
      <c r="H228" s="3">
        <v>2.4</v>
      </c>
      <c r="I228" s="3">
        <v>1</v>
      </c>
      <c r="J228" s="3">
        <v>26.220000000000141</v>
      </c>
      <c r="K228" s="3">
        <v>27.220000000000141</v>
      </c>
      <c r="L228" s="3">
        <v>26.720000000000141</v>
      </c>
      <c r="M228" s="1">
        <v>0.22</v>
      </c>
      <c r="N228" s="3">
        <v>266.22000000000014</v>
      </c>
      <c r="O228" s="3">
        <v>267.22000000000014</v>
      </c>
      <c r="P228" s="3">
        <v>266.72000000000014</v>
      </c>
      <c r="Q228" s="3">
        <v>268.22000000000014</v>
      </c>
      <c r="R228" s="3">
        <v>269.22000000000014</v>
      </c>
      <c r="S228" s="3">
        <v>268.7</v>
      </c>
      <c r="T228" s="3">
        <v>268.7</v>
      </c>
      <c r="U228" s="7">
        <f t="shared" si="39"/>
        <v>0.5</v>
      </c>
      <c r="V228" s="3">
        <v>3694.64</v>
      </c>
      <c r="W228" s="3">
        <v>4011.29</v>
      </c>
      <c r="X228" s="3">
        <v>3843.45</v>
      </c>
      <c r="Y228" s="3">
        <v>3845.73</v>
      </c>
      <c r="Z228" s="3">
        <f t="shared" si="40"/>
        <v>158.32500000000005</v>
      </c>
      <c r="AA228" s="4">
        <f t="shared" si="41"/>
        <v>0.16973125884016418</v>
      </c>
      <c r="AB228" s="4">
        <f t="shared" si="42"/>
        <v>7.3035102927733785E-3</v>
      </c>
      <c r="AC228">
        <v>1.1476266666666668</v>
      </c>
      <c r="AD228" s="2">
        <v>5.7288999999999994</v>
      </c>
      <c r="AE228" s="2">
        <v>1.8807</v>
      </c>
      <c r="AF228" s="2">
        <f t="shared" si="43"/>
        <v>3.8481999999999994</v>
      </c>
      <c r="AG228" s="2">
        <v>0.73307333333333324</v>
      </c>
      <c r="AH228" s="1">
        <f t="shared" si="44"/>
        <v>83.99848077172139</v>
      </c>
      <c r="AI228" s="1">
        <f t="shared" si="45"/>
        <v>16.00151922827861</v>
      </c>
      <c r="AJ228" s="1">
        <f t="shared" si="46"/>
        <v>0.80007596141393056</v>
      </c>
      <c r="AK228" s="8">
        <v>6.3600000000000101E-2</v>
      </c>
      <c r="AL228" s="9">
        <v>82.392026578073072</v>
      </c>
      <c r="AM228" s="10">
        <v>4.1196013289036539</v>
      </c>
      <c r="AN228" s="9">
        <v>41.196013289036536</v>
      </c>
      <c r="AO228" s="11">
        <v>4.1205843164659006</v>
      </c>
      <c r="AP228" s="2">
        <v>4.5215999999999994</v>
      </c>
      <c r="AQ228" s="2">
        <f t="shared" si="47"/>
        <v>0.26225279999999995</v>
      </c>
      <c r="AR228" s="2">
        <v>1.0131973932531257</v>
      </c>
      <c r="AS228" s="2">
        <v>0.16212697570181647</v>
      </c>
      <c r="AT228" s="2">
        <f t="shared" si="48"/>
        <v>1.6212697570181647E-2</v>
      </c>
      <c r="AU228" s="2">
        <f t="shared" si="49"/>
        <v>2.751801567781802E-2</v>
      </c>
      <c r="AV228" s="2">
        <f t="shared" si="50"/>
        <v>4.3478464770952468E-3</v>
      </c>
      <c r="AW228" s="3">
        <f t="shared" si="51"/>
        <v>15.799999999999997</v>
      </c>
    </row>
    <row r="229" spans="1:49" x14ac:dyDescent="0.2">
      <c r="A229" t="s">
        <v>45</v>
      </c>
      <c r="B229" s="5" t="s">
        <v>46</v>
      </c>
      <c r="C229" s="5" t="s">
        <v>258</v>
      </c>
      <c r="D229" s="5" t="s">
        <v>281</v>
      </c>
      <c r="E229">
        <v>7</v>
      </c>
      <c r="F229" s="6">
        <v>273</v>
      </c>
      <c r="G229" s="3">
        <v>2.5</v>
      </c>
      <c r="H229" s="3">
        <v>2.4</v>
      </c>
      <c r="I229" s="3">
        <v>0.95</v>
      </c>
      <c r="J229" s="3">
        <v>27.440000000000168</v>
      </c>
      <c r="K229" s="3">
        <v>28.390000000000157</v>
      </c>
      <c r="L229" s="3">
        <v>27.915000000000191</v>
      </c>
      <c r="M229" s="1">
        <v>0.22</v>
      </c>
      <c r="N229" s="3">
        <v>267.44000000000017</v>
      </c>
      <c r="O229" s="3">
        <v>268.39000000000016</v>
      </c>
      <c r="P229" s="3">
        <v>267.91500000000019</v>
      </c>
      <c r="Q229" s="3">
        <v>269.44000000000017</v>
      </c>
      <c r="R229" s="3">
        <v>270.39000000000016</v>
      </c>
      <c r="S229" s="3">
        <v>269.89999999999998</v>
      </c>
      <c r="T229" s="3">
        <v>269.89999999999998</v>
      </c>
      <c r="U229" s="7">
        <f t="shared" si="39"/>
        <v>0.47499999999999432</v>
      </c>
      <c r="V229" s="3">
        <v>3700.49</v>
      </c>
      <c r="W229" s="3">
        <v>4021.07</v>
      </c>
      <c r="X229" s="3">
        <v>3850.41</v>
      </c>
      <c r="Y229" s="3">
        <v>3852.8</v>
      </c>
      <c r="Z229" s="3">
        <f t="shared" si="40"/>
        <v>160.29000000000019</v>
      </c>
      <c r="AA229" s="4">
        <f t="shared" si="41"/>
        <v>0.15113350125945918</v>
      </c>
      <c r="AB229" s="4">
        <f t="shared" si="42"/>
        <v>6.5536655235859309E-3</v>
      </c>
      <c r="AC229">
        <v>1.1476266666666668</v>
      </c>
      <c r="AD229" s="2">
        <v>5.5488999999999997</v>
      </c>
      <c r="AE229" s="2">
        <v>1.8466</v>
      </c>
      <c r="AF229" s="2">
        <f t="shared" si="43"/>
        <v>3.7022999999999997</v>
      </c>
      <c r="AG229" s="2">
        <v>0.69897333333333322</v>
      </c>
      <c r="AH229" s="1">
        <f t="shared" si="44"/>
        <v>84.118838336178484</v>
      </c>
      <c r="AI229" s="1">
        <f t="shared" si="45"/>
        <v>15.881161663821516</v>
      </c>
      <c r="AJ229" s="1">
        <f t="shared" si="46"/>
        <v>0.79405808319107585</v>
      </c>
      <c r="AK229" s="8">
        <v>7.2199999999999598E-2</v>
      </c>
      <c r="AL229" s="9">
        <v>83.181924062427285</v>
      </c>
      <c r="AM229" s="10">
        <v>4.1590962031213641</v>
      </c>
      <c r="AN229" s="9">
        <v>41.590962031213643</v>
      </c>
      <c r="AO229" s="11">
        <v>4.1600698584060511</v>
      </c>
      <c r="AP229" s="2">
        <v>4.4763643750000002</v>
      </c>
      <c r="AQ229" s="2">
        <f t="shared" si="47"/>
        <v>0.26186731593750001</v>
      </c>
      <c r="AR229" s="2">
        <v>0.9832249934598617</v>
      </c>
      <c r="AS229" s="2">
        <v>0.1561475507304593</v>
      </c>
      <c r="AT229" s="2">
        <f t="shared" si="48"/>
        <v>1.5614755073045931E-2</v>
      </c>
      <c r="AU229" s="2">
        <f t="shared" si="49"/>
        <v>2.3599126054983335E-2</v>
      </c>
      <c r="AV229" s="2">
        <f t="shared" si="50"/>
        <v>3.7404614797148586E-3</v>
      </c>
      <c r="AW229" s="3">
        <f t="shared" si="51"/>
        <v>15.85</v>
      </c>
    </row>
    <row r="230" spans="1:49" x14ac:dyDescent="0.2">
      <c r="A230" t="s">
        <v>45</v>
      </c>
      <c r="B230" s="5" t="s">
        <v>46</v>
      </c>
      <c r="C230" s="5" t="s">
        <v>258</v>
      </c>
      <c r="D230" s="5" t="s">
        <v>282</v>
      </c>
      <c r="E230">
        <v>7</v>
      </c>
      <c r="F230" s="6">
        <v>274</v>
      </c>
      <c r="G230" s="3">
        <v>2.4</v>
      </c>
      <c r="H230" s="3">
        <v>2.5</v>
      </c>
      <c r="I230" s="3">
        <v>1</v>
      </c>
      <c r="J230" s="3">
        <v>28.610000000000184</v>
      </c>
      <c r="K230" s="3">
        <v>29.610000000000184</v>
      </c>
      <c r="L230" s="3">
        <v>29.110000000000184</v>
      </c>
      <c r="M230" s="1">
        <v>0.22</v>
      </c>
      <c r="N230" s="3">
        <v>268.61000000000018</v>
      </c>
      <c r="O230" s="3">
        <v>269.61000000000018</v>
      </c>
      <c r="P230" s="3">
        <v>269.11000000000018</v>
      </c>
      <c r="Q230" s="3">
        <v>270.61000000000018</v>
      </c>
      <c r="R230" s="3">
        <v>271.61000000000018</v>
      </c>
      <c r="S230" s="3">
        <v>271.10000000000002</v>
      </c>
      <c r="T230" s="3">
        <v>271.10000000000002</v>
      </c>
      <c r="U230" s="7">
        <f t="shared" si="39"/>
        <v>0.5</v>
      </c>
      <c r="V230" s="3">
        <v>3713.19</v>
      </c>
      <c r="W230" s="3">
        <v>4026.51</v>
      </c>
      <c r="X230" s="3">
        <v>3856.31</v>
      </c>
      <c r="Y230" s="3">
        <v>3860.74</v>
      </c>
      <c r="Z230" s="3">
        <f t="shared" si="40"/>
        <v>156.66000000000008</v>
      </c>
      <c r="AA230" s="4">
        <f t="shared" si="41"/>
        <v>0.14962593516208519</v>
      </c>
      <c r="AB230" s="4">
        <f t="shared" si="42"/>
        <v>6.3474390469240947E-3</v>
      </c>
      <c r="AC230">
        <v>1.1476266666666668</v>
      </c>
      <c r="AD230" s="2">
        <v>5.5532000000000004</v>
      </c>
      <c r="AE230" s="2">
        <v>1.8226</v>
      </c>
      <c r="AF230" s="2">
        <f t="shared" si="43"/>
        <v>3.7306000000000004</v>
      </c>
      <c r="AG230" s="2">
        <v>0.6749733333333332</v>
      </c>
      <c r="AH230" s="1">
        <f t="shared" si="44"/>
        <v>84.679103438674659</v>
      </c>
      <c r="AI230" s="1">
        <f t="shared" si="45"/>
        <v>15.320896561325341</v>
      </c>
      <c r="AJ230" s="1">
        <f t="shared" si="46"/>
        <v>0.76604482806626706</v>
      </c>
      <c r="AK230" s="8">
        <v>3.8999999999999702E-2</v>
      </c>
      <c r="AL230" s="9">
        <v>83.647798742138434</v>
      </c>
      <c r="AM230" s="10">
        <v>4.1823899371069215</v>
      </c>
      <c r="AN230" s="9">
        <v>41.823899371069217</v>
      </c>
      <c r="AO230" s="11">
        <v>4.1833581708973044</v>
      </c>
      <c r="AP230" s="2">
        <v>4.7119625000000003</v>
      </c>
      <c r="AQ230" s="2">
        <f t="shared" si="47"/>
        <v>0.27800578750000005</v>
      </c>
      <c r="AR230" s="2">
        <v>0.9349763147167095</v>
      </c>
      <c r="AS230" s="2">
        <v>0.1432467540506388</v>
      </c>
      <c r="AT230" s="2">
        <f t="shared" si="48"/>
        <v>1.432467540506388E-2</v>
      </c>
      <c r="AU230" s="2">
        <f t="shared" si="49"/>
        <v>2.1433429533760047E-2</v>
      </c>
      <c r="AV230" s="2">
        <f t="shared" si="50"/>
        <v>3.4079152958678477E-3</v>
      </c>
      <c r="AW230" s="3">
        <f t="shared" si="51"/>
        <v>15.9</v>
      </c>
    </row>
    <row r="231" spans="1:49" x14ac:dyDescent="0.2">
      <c r="A231" t="s">
        <v>45</v>
      </c>
      <c r="B231" s="5" t="s">
        <v>46</v>
      </c>
      <c r="C231" s="5" t="s">
        <v>258</v>
      </c>
      <c r="D231" s="5" t="s">
        <v>283</v>
      </c>
      <c r="E231">
        <v>7</v>
      </c>
      <c r="F231" s="6">
        <v>275</v>
      </c>
      <c r="G231" s="3">
        <v>2.1</v>
      </c>
      <c r="H231" s="3">
        <v>2.4</v>
      </c>
      <c r="I231" s="3">
        <v>0.95</v>
      </c>
      <c r="J231" s="3">
        <v>29.830000000000211</v>
      </c>
      <c r="K231" s="3">
        <v>30.7800000000002</v>
      </c>
      <c r="L231" s="3">
        <v>30.305000000000177</v>
      </c>
      <c r="M231" s="1">
        <v>0.22</v>
      </c>
      <c r="N231" s="3">
        <v>269.83000000000021</v>
      </c>
      <c r="O231" s="3">
        <v>270.7800000000002</v>
      </c>
      <c r="P231" s="3">
        <v>270.30500000000018</v>
      </c>
      <c r="Q231" s="3">
        <v>271.83000000000021</v>
      </c>
      <c r="R231" s="3">
        <v>272.7800000000002</v>
      </c>
      <c r="S231" s="3">
        <v>272.3</v>
      </c>
      <c r="T231" s="3">
        <v>272.3</v>
      </c>
      <c r="U231" s="7">
        <f t="shared" si="39"/>
        <v>0.47499999999999432</v>
      </c>
      <c r="V231" s="3">
        <v>3721.87</v>
      </c>
      <c r="W231" s="3">
        <v>4032.21</v>
      </c>
      <c r="X231" s="3">
        <v>3863.75</v>
      </c>
      <c r="Y231" s="3">
        <v>3868.76</v>
      </c>
      <c r="Z231" s="3">
        <f t="shared" si="40"/>
        <v>155.17000000000007</v>
      </c>
      <c r="AA231" s="4">
        <f t="shared" si="41"/>
        <v>0.14981273408240001</v>
      </c>
      <c r="AB231" s="4">
        <f t="shared" si="42"/>
        <v>6.2700910986499938E-3</v>
      </c>
      <c r="AC231">
        <v>1.1476266666666668</v>
      </c>
      <c r="AD231" s="2">
        <v>5.6225999999999985</v>
      </c>
      <c r="AE231" s="2">
        <v>1.7871999999999999</v>
      </c>
      <c r="AF231" s="2">
        <f t="shared" si="43"/>
        <v>3.8353999999999986</v>
      </c>
      <c r="AG231" s="2">
        <v>0.6395733333333331</v>
      </c>
      <c r="AH231" s="1">
        <f t="shared" si="44"/>
        <v>85.70777330516681</v>
      </c>
      <c r="AI231" s="1">
        <f t="shared" si="45"/>
        <v>14.29222669483319</v>
      </c>
      <c r="AJ231" s="1">
        <f t="shared" si="46"/>
        <v>0.7146113347416595</v>
      </c>
      <c r="AK231" s="8">
        <v>5.4699999999999527E-2</v>
      </c>
      <c r="AL231" s="9">
        <v>83.454325468844644</v>
      </c>
      <c r="AM231" s="10">
        <v>4.1727162734422327</v>
      </c>
      <c r="AN231" s="9">
        <v>41.727162734422322</v>
      </c>
      <c r="AO231" s="11">
        <v>4.1736867513805622</v>
      </c>
      <c r="AP231" s="2">
        <v>3.7753593750000003</v>
      </c>
      <c r="AQ231" s="2">
        <f t="shared" si="47"/>
        <v>0.20575708593750003</v>
      </c>
      <c r="AR231" s="2">
        <v>1.1853105595631759</v>
      </c>
      <c r="AS231" s="2">
        <v>0.16940727221056487</v>
      </c>
      <c r="AT231" s="2">
        <f t="shared" si="48"/>
        <v>1.6940727221056488E-2</v>
      </c>
      <c r="AU231" s="2">
        <f t="shared" si="49"/>
        <v>2.5379366623306109E-2</v>
      </c>
      <c r="AV231" s="2">
        <f t="shared" si="50"/>
        <v>3.921112143300794E-3</v>
      </c>
      <c r="AW231" s="3">
        <f t="shared" si="51"/>
        <v>15.45</v>
      </c>
    </row>
    <row r="232" spans="1:49" x14ac:dyDescent="0.2">
      <c r="A232" t="s">
        <v>45</v>
      </c>
      <c r="B232" s="5" t="s">
        <v>46</v>
      </c>
      <c r="C232" s="5" t="s">
        <v>258</v>
      </c>
      <c r="D232" s="5" t="s">
        <v>284</v>
      </c>
      <c r="E232">
        <v>7</v>
      </c>
      <c r="F232" s="6">
        <v>276</v>
      </c>
      <c r="G232" s="3">
        <v>2.4</v>
      </c>
      <c r="H232" s="3">
        <v>2.5499999999999998</v>
      </c>
      <c r="I232" s="3">
        <v>1</v>
      </c>
      <c r="J232" s="3">
        <v>31.000000000000227</v>
      </c>
      <c r="K232" s="3">
        <v>32.000000000000227</v>
      </c>
      <c r="L232" s="3">
        <v>31.500000000000227</v>
      </c>
      <c r="M232" s="1">
        <v>0.22</v>
      </c>
      <c r="N232" s="3">
        <v>271.00000000000023</v>
      </c>
      <c r="O232" s="3">
        <v>272.00000000000023</v>
      </c>
      <c r="P232" s="3">
        <v>271.50000000000023</v>
      </c>
      <c r="Q232" s="3">
        <v>273.00000000000023</v>
      </c>
      <c r="R232" s="3">
        <v>274.00000000000023</v>
      </c>
      <c r="S232" s="3">
        <v>273.5</v>
      </c>
      <c r="T232" s="3">
        <v>273.5</v>
      </c>
      <c r="U232" s="7">
        <f t="shared" si="39"/>
        <v>0.5</v>
      </c>
      <c r="V232" s="3">
        <v>3731.83</v>
      </c>
      <c r="W232" s="3">
        <v>4039.31</v>
      </c>
      <c r="X232" s="3">
        <v>3871.12</v>
      </c>
      <c r="Y232" s="3">
        <v>3876.77</v>
      </c>
      <c r="Z232" s="3">
        <f t="shared" si="40"/>
        <v>153.74</v>
      </c>
      <c r="AA232" s="4">
        <f t="shared" si="41"/>
        <v>0.14962593516209369</v>
      </c>
      <c r="AB232" s="4">
        <f t="shared" si="42"/>
        <v>6.2072136817265013E-3</v>
      </c>
      <c r="AC232">
        <v>1.1476266666666668</v>
      </c>
      <c r="AD232" s="2">
        <v>6.665499999999998</v>
      </c>
      <c r="AE232" s="2">
        <v>1.9583999999999999</v>
      </c>
      <c r="AF232" s="2">
        <f t="shared" si="43"/>
        <v>4.7070999999999978</v>
      </c>
      <c r="AG232" s="2">
        <v>0.81077333333333312</v>
      </c>
      <c r="AH232" s="1">
        <f t="shared" si="44"/>
        <v>85.306416360892669</v>
      </c>
      <c r="AI232" s="1">
        <f t="shared" si="45"/>
        <v>14.693583639107331</v>
      </c>
      <c r="AJ232" s="1">
        <f t="shared" si="46"/>
        <v>0.73467918195536663</v>
      </c>
      <c r="AK232" s="8">
        <v>6.1899999999999622E-2</v>
      </c>
      <c r="AL232" s="9">
        <v>83.064295485636222</v>
      </c>
      <c r="AM232" s="10">
        <v>4.1532147742818113</v>
      </c>
      <c r="AN232" s="9">
        <v>41.532147742818111</v>
      </c>
      <c r="AO232" s="11">
        <v>4.1541898080507487</v>
      </c>
      <c r="AP232" s="2">
        <v>4.8086156249999989</v>
      </c>
      <c r="AQ232" s="2">
        <f t="shared" si="47"/>
        <v>0.28611262968749995</v>
      </c>
      <c r="AR232" s="2">
        <v>1.1474972764813849</v>
      </c>
      <c r="AS232" s="2">
        <v>0.16860847207627108</v>
      </c>
      <c r="AT232" s="2">
        <f t="shared" si="48"/>
        <v>1.6860847207627108E-2</v>
      </c>
      <c r="AU232" s="2">
        <f t="shared" si="49"/>
        <v>2.522820031066382E-2</v>
      </c>
      <c r="AV232" s="2">
        <f t="shared" si="50"/>
        <v>4.0238979495508791E-3</v>
      </c>
      <c r="AW232" s="3">
        <f t="shared" si="51"/>
        <v>15.950000000000001</v>
      </c>
    </row>
    <row r="233" spans="1:49" x14ac:dyDescent="0.2">
      <c r="A233" t="s">
        <v>45</v>
      </c>
      <c r="B233" s="5" t="s">
        <v>46</v>
      </c>
      <c r="C233" s="5" t="s">
        <v>258</v>
      </c>
      <c r="D233" s="5" t="s">
        <v>285</v>
      </c>
      <c r="E233">
        <v>7</v>
      </c>
      <c r="F233" s="6">
        <v>277</v>
      </c>
      <c r="G233" s="3">
        <v>2.25</v>
      </c>
      <c r="H233" s="3">
        <v>2.5</v>
      </c>
      <c r="I233" s="3">
        <v>1</v>
      </c>
      <c r="J233" s="3">
        <v>32.220000000000255</v>
      </c>
      <c r="K233" s="3">
        <v>33.220000000000255</v>
      </c>
      <c r="L233" s="3">
        <v>32.720000000000255</v>
      </c>
      <c r="M233" s="1">
        <v>0.22</v>
      </c>
      <c r="N233" s="3">
        <v>272.22000000000025</v>
      </c>
      <c r="O233" s="3">
        <v>273.22000000000025</v>
      </c>
      <c r="P233" s="3">
        <v>272.72000000000025</v>
      </c>
      <c r="Q233" s="3">
        <v>274.22000000000025</v>
      </c>
      <c r="R233" s="3">
        <v>275.22000000000025</v>
      </c>
      <c r="S233" s="3">
        <v>274.7</v>
      </c>
      <c r="T233" s="3">
        <v>274.7</v>
      </c>
      <c r="U233" s="7">
        <f t="shared" si="39"/>
        <v>0.5</v>
      </c>
      <c r="V233" s="3">
        <v>3739.74</v>
      </c>
      <c r="W233" s="3">
        <v>4045.75</v>
      </c>
      <c r="X233" s="3">
        <v>3879.47</v>
      </c>
      <c r="Y233" s="3">
        <v>3884.79</v>
      </c>
      <c r="Z233" s="3">
        <f t="shared" si="40"/>
        <v>153.00500000000011</v>
      </c>
      <c r="AA233" s="4">
        <f t="shared" si="41"/>
        <v>0.14962593516209369</v>
      </c>
      <c r="AB233" s="4">
        <f t="shared" si="42"/>
        <v>6.1654597695672726E-3</v>
      </c>
      <c r="AC233">
        <v>1.1476266666666668</v>
      </c>
      <c r="AD233" s="2">
        <v>6.3765000000000001</v>
      </c>
      <c r="AE233" s="2">
        <v>1.8974</v>
      </c>
      <c r="AF233" s="2">
        <f t="shared" si="43"/>
        <v>4.4790999999999999</v>
      </c>
      <c r="AG233" s="2">
        <v>0.74977333333333318</v>
      </c>
      <c r="AH233" s="1">
        <f t="shared" si="44"/>
        <v>85.660900818659485</v>
      </c>
      <c r="AI233" s="1">
        <f t="shared" si="45"/>
        <v>14.339099181340515</v>
      </c>
      <c r="AJ233" s="1">
        <f t="shared" si="46"/>
        <v>0.71695495906702578</v>
      </c>
      <c r="AK233" s="8">
        <v>8.1100000000000172E-2</v>
      </c>
      <c r="AL233" s="9">
        <v>84.715416509611742</v>
      </c>
      <c r="AM233" s="10">
        <v>4.2357708254805875</v>
      </c>
      <c r="AN233" s="9">
        <v>42.357708254805871</v>
      </c>
      <c r="AO233" s="11">
        <v>4.2367268599701466</v>
      </c>
      <c r="AP233" s="2">
        <v>4.4278906249999999</v>
      </c>
      <c r="AQ233" s="2">
        <f t="shared" si="47"/>
        <v>0.25460371093750001</v>
      </c>
      <c r="AR233" s="2">
        <v>1.1808948721115562</v>
      </c>
      <c r="AS233" s="2">
        <v>0.16932968693944042</v>
      </c>
      <c r="AT233" s="2">
        <f t="shared" si="48"/>
        <v>1.6932968693944044E-2</v>
      </c>
      <c r="AU233" s="2">
        <f t="shared" si="49"/>
        <v>2.5336112759018335E-2</v>
      </c>
      <c r="AV233" s="2">
        <f t="shared" si="50"/>
        <v>3.9904377595453878E-3</v>
      </c>
      <c r="AW233" s="3">
        <f t="shared" si="51"/>
        <v>15.75</v>
      </c>
    </row>
    <row r="234" spans="1:49" x14ac:dyDescent="0.2">
      <c r="A234" t="s">
        <v>45</v>
      </c>
      <c r="B234" s="5" t="s">
        <v>46</v>
      </c>
      <c r="C234" s="5" t="s">
        <v>258</v>
      </c>
      <c r="D234" s="5" t="s">
        <v>286</v>
      </c>
      <c r="E234">
        <v>7</v>
      </c>
      <c r="F234" s="6">
        <v>278</v>
      </c>
      <c r="G234" s="3">
        <v>2.6</v>
      </c>
      <c r="H234" s="3">
        <v>2.4500000000000002</v>
      </c>
      <c r="I234" s="3">
        <v>1</v>
      </c>
      <c r="J234" s="3">
        <v>33.440000000000282</v>
      </c>
      <c r="K234" s="3">
        <v>34.440000000000282</v>
      </c>
      <c r="L234" s="3">
        <v>33.940000000000282</v>
      </c>
      <c r="M234" s="1">
        <v>0.22</v>
      </c>
      <c r="N234" s="3">
        <v>273.44000000000028</v>
      </c>
      <c r="O234" s="3">
        <v>274.44000000000028</v>
      </c>
      <c r="P234" s="3">
        <v>273.94000000000028</v>
      </c>
      <c r="Q234" s="3">
        <v>275.44000000000028</v>
      </c>
      <c r="R234" s="3">
        <v>276.44000000000028</v>
      </c>
      <c r="S234" s="3">
        <v>275.89999999999998</v>
      </c>
      <c r="T234" s="3">
        <v>275.89999999999998</v>
      </c>
      <c r="U234" s="7">
        <f t="shared" si="39"/>
        <v>0.5</v>
      </c>
      <c r="V234" s="3">
        <v>3747.51</v>
      </c>
      <c r="W234" s="3">
        <v>4054.78</v>
      </c>
      <c r="X234" s="3">
        <v>3886.9</v>
      </c>
      <c r="Y234" s="3">
        <v>3892.81</v>
      </c>
      <c r="Z234" s="3">
        <f t="shared" si="40"/>
        <v>153.63499999999999</v>
      </c>
      <c r="AA234" s="4">
        <f t="shared" si="41"/>
        <v>0.14976958525346035</v>
      </c>
      <c r="AB234" s="4">
        <f t="shared" si="42"/>
        <v>6.1822788492094851E-3</v>
      </c>
      <c r="AC234">
        <v>1.1476266666666668</v>
      </c>
      <c r="AD234" s="2">
        <v>7.1620999999999988</v>
      </c>
      <c r="AE234" s="2">
        <v>1.9934000000000001</v>
      </c>
      <c r="AF234" s="2">
        <f t="shared" si="43"/>
        <v>5.1686999999999985</v>
      </c>
      <c r="AG234" s="2">
        <v>0.84577333333333327</v>
      </c>
      <c r="AH234" s="1">
        <f t="shared" si="44"/>
        <v>85.937699172329857</v>
      </c>
      <c r="AI234" s="1">
        <f t="shared" si="45"/>
        <v>14.062300827670143</v>
      </c>
      <c r="AJ234" s="1">
        <f t="shared" si="46"/>
        <v>0.70311504138350722</v>
      </c>
      <c r="AK234" s="8">
        <v>4.7600000000000087E-2</v>
      </c>
      <c r="AL234" s="9">
        <v>84.699453551912526</v>
      </c>
      <c r="AM234" s="10">
        <v>4.2349726775956267</v>
      </c>
      <c r="AN234" s="9">
        <v>42.349726775956263</v>
      </c>
      <c r="AO234" s="11">
        <v>4.2359288922244049</v>
      </c>
      <c r="AP234" s="2">
        <v>5.0048656250000016</v>
      </c>
      <c r="AQ234" s="2">
        <f t="shared" si="47"/>
        <v>0.30279437031250012</v>
      </c>
      <c r="AR234" s="2">
        <v>1.2017252377946372</v>
      </c>
      <c r="AS234" s="2">
        <v>0.16899021806071626</v>
      </c>
      <c r="AT234" s="2">
        <f t="shared" si="48"/>
        <v>1.6899021806071626E-2</v>
      </c>
      <c r="AU234" s="2">
        <f t="shared" si="49"/>
        <v>2.53095948708453E-2</v>
      </c>
      <c r="AV234" s="2">
        <f t="shared" si="50"/>
        <v>4.0621899767706703E-3</v>
      </c>
      <c r="AW234" s="3">
        <f t="shared" si="51"/>
        <v>16.049999999999997</v>
      </c>
    </row>
    <row r="235" spans="1:49" x14ac:dyDescent="0.2">
      <c r="A235" t="s">
        <v>45</v>
      </c>
      <c r="B235" s="5" t="s">
        <v>46</v>
      </c>
      <c r="C235" s="5" t="s">
        <v>258</v>
      </c>
      <c r="D235" s="5" t="s">
        <v>287</v>
      </c>
      <c r="E235">
        <v>7</v>
      </c>
      <c r="F235" s="6">
        <v>279</v>
      </c>
      <c r="G235" s="3">
        <v>2.5</v>
      </c>
      <c r="H235" s="3">
        <v>2.5</v>
      </c>
      <c r="I235" s="3">
        <v>1</v>
      </c>
      <c r="J235" s="3">
        <v>34.660000000000309</v>
      </c>
      <c r="K235" s="3">
        <v>35.660000000000309</v>
      </c>
      <c r="L235" s="3">
        <v>35.160000000000309</v>
      </c>
      <c r="M235" s="1">
        <v>0.22</v>
      </c>
      <c r="N235" s="3">
        <v>274.66000000000031</v>
      </c>
      <c r="O235" s="3">
        <v>275.66000000000031</v>
      </c>
      <c r="P235" s="3">
        <v>275.16000000000031</v>
      </c>
      <c r="Q235" s="3">
        <v>276.66000000000031</v>
      </c>
      <c r="R235" s="3">
        <v>277.66000000000031</v>
      </c>
      <c r="S235" s="3">
        <v>277.2</v>
      </c>
      <c r="T235" s="3">
        <v>277.2</v>
      </c>
      <c r="U235" s="7">
        <f t="shared" si="39"/>
        <v>0.5</v>
      </c>
      <c r="V235" s="3">
        <v>3752.03</v>
      </c>
      <c r="W235" s="3">
        <v>4063.66</v>
      </c>
      <c r="X235" s="3">
        <v>3895.45</v>
      </c>
      <c r="Y235" s="3">
        <v>3901.49</v>
      </c>
      <c r="Z235" s="3">
        <f t="shared" si="40"/>
        <v>155.81499999999983</v>
      </c>
      <c r="AA235" s="4">
        <f t="shared" si="41"/>
        <v>0.14962593516208519</v>
      </c>
      <c r="AB235" s="4">
        <f t="shared" si="42"/>
        <v>6.2455448090802251E-3</v>
      </c>
      <c r="AC235">
        <v>1.1476266666666668</v>
      </c>
      <c r="AD235" s="2">
        <v>6.9619999999999997</v>
      </c>
      <c r="AE235" s="2">
        <v>1.9871000000000001</v>
      </c>
      <c r="AF235" s="2">
        <f t="shared" si="43"/>
        <v>4.9748999999999999</v>
      </c>
      <c r="AG235" s="2">
        <v>0.83947333333333329</v>
      </c>
      <c r="AH235" s="1">
        <f t="shared" si="44"/>
        <v>85.562101275459895</v>
      </c>
      <c r="AI235" s="1">
        <f t="shared" si="45"/>
        <v>14.437898724540105</v>
      </c>
      <c r="AJ235" s="1">
        <f t="shared" si="46"/>
        <v>0.72189493622700529</v>
      </c>
      <c r="AK235" s="8">
        <v>8.2100000000000506E-2</v>
      </c>
      <c r="AL235" s="9">
        <v>82.374409617861659</v>
      </c>
      <c r="AM235" s="10">
        <v>4.1187204808930833</v>
      </c>
      <c r="AN235" s="9">
        <v>41.187204808930829</v>
      </c>
      <c r="AO235" s="11">
        <v>4.1197036786312866</v>
      </c>
      <c r="AP235" s="2">
        <v>4.90625</v>
      </c>
      <c r="AQ235" s="2">
        <f t="shared" si="47"/>
        <v>0.294375</v>
      </c>
      <c r="AR235" s="2">
        <v>1.1850952016985137</v>
      </c>
      <c r="AS235" s="2">
        <v>0.17110284501061571</v>
      </c>
      <c r="AT235" s="2">
        <f t="shared" si="48"/>
        <v>1.7110284501061571E-2</v>
      </c>
      <c r="AU235" s="2">
        <f t="shared" si="49"/>
        <v>2.5601423193606698E-2</v>
      </c>
      <c r="AV235" s="2">
        <f t="shared" si="50"/>
        <v>4.0962277109770715E-3</v>
      </c>
      <c r="AW235" s="3">
        <f t="shared" si="51"/>
        <v>16</v>
      </c>
    </row>
    <row r="236" spans="1:49" x14ac:dyDescent="0.2">
      <c r="A236" t="s">
        <v>45</v>
      </c>
      <c r="B236" s="5" t="s">
        <v>46</v>
      </c>
      <c r="C236" s="5" t="s">
        <v>258</v>
      </c>
      <c r="D236" s="5" t="s">
        <v>288</v>
      </c>
      <c r="E236">
        <v>7</v>
      </c>
      <c r="F236" s="6">
        <v>280</v>
      </c>
      <c r="G236" s="3">
        <v>2.25</v>
      </c>
      <c r="H236" s="3">
        <v>2.4</v>
      </c>
      <c r="I236" s="3">
        <v>1</v>
      </c>
      <c r="J236" s="3">
        <v>35.880000000000337</v>
      </c>
      <c r="K236" s="3">
        <v>36.880000000000337</v>
      </c>
      <c r="L236" s="3">
        <v>36.380000000000337</v>
      </c>
      <c r="M236" s="1">
        <v>0.22</v>
      </c>
      <c r="N236" s="3">
        <v>275.88000000000034</v>
      </c>
      <c r="O236" s="3">
        <v>276.88000000000034</v>
      </c>
      <c r="P236" s="3">
        <v>276.38000000000034</v>
      </c>
      <c r="Q236" s="3">
        <v>277.88000000000034</v>
      </c>
      <c r="R236" s="3">
        <v>278.88000000000034</v>
      </c>
      <c r="S236" s="3">
        <v>278.39999999999998</v>
      </c>
      <c r="T236" s="3">
        <v>278.39999999999998</v>
      </c>
      <c r="U236" s="7">
        <f t="shared" si="39"/>
        <v>0.5</v>
      </c>
      <c r="V236" s="3">
        <v>3765.53</v>
      </c>
      <c r="W236" s="3">
        <v>4076.16</v>
      </c>
      <c r="X236" s="3">
        <v>3902.95</v>
      </c>
      <c r="Y236" s="3">
        <v>3909.51</v>
      </c>
      <c r="Z236" s="3">
        <f t="shared" si="40"/>
        <v>155.31499999999983</v>
      </c>
      <c r="AA236" s="4">
        <f t="shared" si="41"/>
        <v>0.14981273408240711</v>
      </c>
      <c r="AB236" s="4">
        <f t="shared" si="42"/>
        <v>6.2207433770172732E-3</v>
      </c>
      <c r="AC236">
        <v>1.1476266666666668</v>
      </c>
      <c r="AD236" s="2">
        <v>6.9508999999999972</v>
      </c>
      <c r="AE236" s="2">
        <v>2.0261</v>
      </c>
      <c r="AF236" s="2">
        <f t="shared" si="43"/>
        <v>4.9247999999999976</v>
      </c>
      <c r="AG236" s="2">
        <v>0.87847333333333322</v>
      </c>
      <c r="AH236" s="1">
        <f t="shared" si="44"/>
        <v>84.862451191339133</v>
      </c>
      <c r="AI236" s="1">
        <f t="shared" si="45"/>
        <v>15.137548808660867</v>
      </c>
      <c r="AJ236" s="1">
        <f t="shared" si="46"/>
        <v>0.75687744043304339</v>
      </c>
      <c r="AK236" s="8">
        <v>7.9699999999999882E-2</v>
      </c>
      <c r="AL236" s="9">
        <v>84.066373450619793</v>
      </c>
      <c r="AM236" s="10">
        <v>4.2033186725309895</v>
      </c>
      <c r="AN236" s="9">
        <v>42.033186725309896</v>
      </c>
      <c r="AO236" s="11">
        <v>4.2042820864979644</v>
      </c>
      <c r="AP236" s="2">
        <v>4.2434156250000008</v>
      </c>
      <c r="AQ236" s="2">
        <f t="shared" si="47"/>
        <v>0.23975298281250004</v>
      </c>
      <c r="AR236" s="2">
        <v>1.3675948448564543</v>
      </c>
      <c r="AS236" s="2">
        <v>0.20702033714487561</v>
      </c>
      <c r="AT236" s="2">
        <f t="shared" si="48"/>
        <v>2.0702033714487561E-2</v>
      </c>
      <c r="AU236" s="2">
        <f t="shared" si="49"/>
        <v>3.1014282718335517E-2</v>
      </c>
      <c r="AV236" s="2">
        <f t="shared" si="50"/>
        <v>4.8537352454195081E-3</v>
      </c>
      <c r="AW236" s="3">
        <f t="shared" si="51"/>
        <v>15.65</v>
      </c>
    </row>
    <row r="237" spans="1:49" x14ac:dyDescent="0.2">
      <c r="A237" t="s">
        <v>45</v>
      </c>
      <c r="B237" s="5" t="s">
        <v>46</v>
      </c>
      <c r="C237" s="5" t="s">
        <v>258</v>
      </c>
      <c r="D237" s="5" t="s">
        <v>289</v>
      </c>
      <c r="E237">
        <v>7</v>
      </c>
      <c r="F237" s="6">
        <v>281</v>
      </c>
      <c r="G237" s="3">
        <v>2.5</v>
      </c>
      <c r="H237" s="3">
        <v>2.6</v>
      </c>
      <c r="I237" s="3">
        <v>1</v>
      </c>
      <c r="J237" s="3">
        <v>37.100000000000364</v>
      </c>
      <c r="K237" s="3">
        <v>38.100000000000364</v>
      </c>
      <c r="L237" s="3">
        <v>37.600000000000364</v>
      </c>
      <c r="M237" s="1">
        <v>0.22</v>
      </c>
      <c r="N237" s="3">
        <v>277.10000000000036</v>
      </c>
      <c r="O237" s="3">
        <v>278.10000000000036</v>
      </c>
      <c r="P237" s="3">
        <v>277.60000000000036</v>
      </c>
      <c r="Q237" s="3">
        <v>279.10000000000036</v>
      </c>
      <c r="R237" s="3">
        <v>280.10000000000036</v>
      </c>
      <c r="S237" s="3">
        <v>279.60000000000002</v>
      </c>
      <c r="T237" s="3">
        <v>279.60000000000002</v>
      </c>
      <c r="U237" s="7">
        <f t="shared" si="39"/>
        <v>0.5</v>
      </c>
      <c r="V237" s="3">
        <v>3771.76</v>
      </c>
      <c r="W237" s="3">
        <v>4087.3</v>
      </c>
      <c r="X237" s="3">
        <v>3910.26</v>
      </c>
      <c r="Y237" s="3">
        <v>3917.52</v>
      </c>
      <c r="Z237" s="3">
        <f t="shared" si="40"/>
        <v>157.76999999999998</v>
      </c>
      <c r="AA237" s="4">
        <f t="shared" si="41"/>
        <v>0.12684989429175306</v>
      </c>
      <c r="AB237" s="4">
        <f t="shared" si="42"/>
        <v>5.3354583585134155E-3</v>
      </c>
      <c r="AC237">
        <v>1.1476266666666668</v>
      </c>
      <c r="AD237" s="2">
        <v>7.4099000000000004</v>
      </c>
      <c r="AE237" s="2">
        <v>2.1423999999999999</v>
      </c>
      <c r="AF237" s="2">
        <f t="shared" si="43"/>
        <v>5.2675000000000001</v>
      </c>
      <c r="AG237" s="2">
        <v>0.99477333333333307</v>
      </c>
      <c r="AH237" s="1">
        <f t="shared" si="44"/>
        <v>84.114820922327468</v>
      </c>
      <c r="AI237" s="1">
        <f t="shared" si="45"/>
        <v>15.885179077672532</v>
      </c>
      <c r="AJ237" s="1">
        <f t="shared" si="46"/>
        <v>0.79425895388362666</v>
      </c>
      <c r="AK237" s="8">
        <v>8.0000000000000071E-2</v>
      </c>
      <c r="AL237" s="9">
        <v>83.676800652927966</v>
      </c>
      <c r="AM237" s="10">
        <v>4.1838400326463985</v>
      </c>
      <c r="AN237" s="9">
        <v>41.838400326463983</v>
      </c>
      <c r="AO237" s="11">
        <v>4.184807930929999</v>
      </c>
      <c r="AP237" s="2">
        <v>5.1044624999999995</v>
      </c>
      <c r="AQ237" s="2">
        <f t="shared" si="47"/>
        <v>0.31137221250000002</v>
      </c>
      <c r="AR237" s="2">
        <v>1.2268232616721808</v>
      </c>
      <c r="AS237" s="2">
        <v>0.19488307208316902</v>
      </c>
      <c r="AT237" s="2">
        <f t="shared" si="48"/>
        <v>1.9488307208316902E-2</v>
      </c>
      <c r="AU237" s="2">
        <f t="shared" si="49"/>
        <v>2.472089709300208E-2</v>
      </c>
      <c r="AV237" s="2">
        <f t="shared" si="50"/>
        <v>3.9800644319733357E-3</v>
      </c>
      <c r="AW237" s="3">
        <f t="shared" si="51"/>
        <v>16.100000000000001</v>
      </c>
    </row>
    <row r="238" spans="1:49" x14ac:dyDescent="0.2">
      <c r="A238" t="s">
        <v>45</v>
      </c>
      <c r="B238" s="5" t="s">
        <v>46</v>
      </c>
      <c r="C238" s="5" t="s">
        <v>258</v>
      </c>
      <c r="D238" s="5" t="s">
        <v>290</v>
      </c>
      <c r="E238">
        <v>7</v>
      </c>
      <c r="F238" s="6">
        <v>282</v>
      </c>
      <c r="G238" s="3">
        <v>2.5</v>
      </c>
      <c r="H238" s="3">
        <v>2.4</v>
      </c>
      <c r="I238" s="3">
        <v>1</v>
      </c>
      <c r="J238" s="3">
        <v>38.320000000000391</v>
      </c>
      <c r="K238" s="3">
        <v>39.320000000000391</v>
      </c>
      <c r="L238" s="3">
        <v>38.820000000000391</v>
      </c>
      <c r="M238" s="1">
        <v>0.22</v>
      </c>
      <c r="N238" s="3">
        <v>278.32000000000039</v>
      </c>
      <c r="O238" s="3">
        <v>279.32000000000039</v>
      </c>
      <c r="P238" s="3">
        <v>278.82000000000039</v>
      </c>
      <c r="Q238" s="3">
        <v>280.32000000000039</v>
      </c>
      <c r="R238" s="3">
        <v>281.32000000000039</v>
      </c>
      <c r="S238" s="3">
        <v>280.8</v>
      </c>
      <c r="T238" s="3">
        <v>280.8</v>
      </c>
      <c r="U238" s="7">
        <f t="shared" si="39"/>
        <v>0.5</v>
      </c>
      <c r="V238" s="3">
        <v>3778.7</v>
      </c>
      <c r="W238" s="3">
        <v>4097.05</v>
      </c>
      <c r="X238" s="3">
        <v>3919.96</v>
      </c>
      <c r="Y238" s="3">
        <v>3926.98</v>
      </c>
      <c r="Z238" s="3">
        <f t="shared" si="40"/>
        <v>159.17500000000018</v>
      </c>
      <c r="AA238" s="4">
        <f t="shared" si="41"/>
        <v>0.11787819253438192</v>
      </c>
      <c r="AB238" s="4">
        <f t="shared" si="42"/>
        <v>4.9879354819175031E-3</v>
      </c>
      <c r="AC238">
        <v>1.1476266666666668</v>
      </c>
      <c r="AD238" s="2">
        <v>6.9557000000000002</v>
      </c>
      <c r="AE238" s="2">
        <v>2.0674000000000001</v>
      </c>
      <c r="AF238" s="2">
        <f t="shared" si="43"/>
        <v>4.8883000000000001</v>
      </c>
      <c r="AG238" s="2">
        <v>0.91977333333333333</v>
      </c>
      <c r="AH238" s="1">
        <f t="shared" si="44"/>
        <v>84.163882228300608</v>
      </c>
      <c r="AI238" s="1">
        <f t="shared" si="45"/>
        <v>15.836117771699392</v>
      </c>
      <c r="AJ238" s="1">
        <f t="shared" si="46"/>
        <v>0.7918058885849697</v>
      </c>
      <c r="AK238" s="8">
        <v>8.1199999999999939E-2</v>
      </c>
      <c r="AL238" s="9">
        <v>83.632332191090498</v>
      </c>
      <c r="AM238" s="10">
        <v>4.1816166095545251</v>
      </c>
      <c r="AN238" s="9">
        <v>41.816166095545249</v>
      </c>
      <c r="AO238" s="11">
        <v>4.1825850223638348</v>
      </c>
      <c r="AP238" s="2">
        <v>4.7119625000000003</v>
      </c>
      <c r="AQ238" s="2">
        <f t="shared" si="47"/>
        <v>0.27800578750000005</v>
      </c>
      <c r="AR238" s="2">
        <v>1.2326229959031578</v>
      </c>
      <c r="AS238" s="2">
        <v>0.19519962931227344</v>
      </c>
      <c r="AT238" s="2">
        <f t="shared" si="48"/>
        <v>1.9519962931227347E-2</v>
      </c>
      <c r="AU238" s="2">
        <f t="shared" si="49"/>
        <v>2.3009779486712151E-2</v>
      </c>
      <c r="AV238" s="2">
        <f t="shared" si="50"/>
        <v>3.6585549383872326E-3</v>
      </c>
      <c r="AW238" s="3">
        <f t="shared" si="51"/>
        <v>15.900000000000002</v>
      </c>
    </row>
    <row r="239" spans="1:49" x14ac:dyDescent="0.2">
      <c r="A239" t="s">
        <v>45</v>
      </c>
      <c r="B239" s="5" t="s">
        <v>46</v>
      </c>
      <c r="C239" s="5" t="s">
        <v>258</v>
      </c>
      <c r="D239" s="5" t="s">
        <v>291</v>
      </c>
      <c r="E239">
        <v>7</v>
      </c>
      <c r="F239" s="6">
        <v>283</v>
      </c>
      <c r="G239" s="3">
        <v>2.3580000000000001</v>
      </c>
      <c r="H239" s="3">
        <v>2.6</v>
      </c>
      <c r="I239" s="3">
        <v>0.95</v>
      </c>
      <c r="J239" s="3">
        <v>39.540000000000418</v>
      </c>
      <c r="K239" s="3">
        <v>40.490000000000407</v>
      </c>
      <c r="L239" s="3">
        <v>40.015000000000441</v>
      </c>
      <c r="M239" s="1">
        <v>0.22</v>
      </c>
      <c r="N239" s="3">
        <v>279.54000000000042</v>
      </c>
      <c r="O239" s="3">
        <v>280.49000000000041</v>
      </c>
      <c r="P239" s="3">
        <v>280.01500000000044</v>
      </c>
      <c r="Q239" s="3">
        <v>281.54000000000042</v>
      </c>
      <c r="R239" s="3">
        <v>282.49000000000041</v>
      </c>
      <c r="S239" s="3">
        <v>282</v>
      </c>
      <c r="T239" s="3">
        <v>282</v>
      </c>
      <c r="U239" s="7">
        <f t="shared" si="39"/>
        <v>0.47499999999999432</v>
      </c>
      <c r="V239" s="3">
        <v>3787.26</v>
      </c>
      <c r="W239" s="3">
        <v>4109.16</v>
      </c>
      <c r="X239" s="3">
        <v>3930.73</v>
      </c>
      <c r="Y239" s="3">
        <v>3937.16</v>
      </c>
      <c r="Z239" s="3">
        <f t="shared" si="40"/>
        <v>160.94999999999982</v>
      </c>
      <c r="AA239" s="4">
        <f t="shared" si="41"/>
        <v>0.11799410029498329</v>
      </c>
      <c r="AB239" s="4">
        <f t="shared" si="42"/>
        <v>5.0223147576074628E-3</v>
      </c>
      <c r="AC239">
        <v>1.1476266666666668</v>
      </c>
      <c r="AD239" s="2">
        <v>6.5459999999999994</v>
      </c>
      <c r="AE239" s="2">
        <v>2.0621999999999998</v>
      </c>
      <c r="AF239" s="2">
        <f t="shared" si="43"/>
        <v>4.4837999999999996</v>
      </c>
      <c r="AG239" s="2">
        <v>0.91457333333333302</v>
      </c>
      <c r="AH239" s="1">
        <f t="shared" si="44"/>
        <v>83.058353380524508</v>
      </c>
      <c r="AI239" s="1">
        <f t="shared" si="45"/>
        <v>16.941646619475492</v>
      </c>
      <c r="AJ239" s="1">
        <f t="shared" si="46"/>
        <v>0.84708233097377461</v>
      </c>
      <c r="AK239" s="8">
        <v>8.2600000000000229E-2</v>
      </c>
      <c r="AL239" s="9">
        <v>82.357966680905562</v>
      </c>
      <c r="AM239" s="10">
        <v>4.1178983340452779</v>
      </c>
      <c r="AN239" s="9">
        <v>41.178983340452781</v>
      </c>
      <c r="AO239" s="11">
        <v>4.1188817280340633</v>
      </c>
      <c r="AP239" s="2">
        <v>4.5829626257500005</v>
      </c>
      <c r="AQ239" s="2">
        <f t="shared" si="47"/>
        <v>0.27076143192931001</v>
      </c>
      <c r="AR239" s="2">
        <v>1.1779221813858651</v>
      </c>
      <c r="AS239" s="2">
        <v>0.19955941342281039</v>
      </c>
      <c r="AT239" s="2">
        <f t="shared" si="48"/>
        <v>1.9955941342281042E-2</v>
      </c>
      <c r="AU239" s="2">
        <f t="shared" si="49"/>
        <v>2.3546833442219126E-2</v>
      </c>
      <c r="AV239" s="2">
        <f t="shared" si="50"/>
        <v>3.7458302639882192E-3</v>
      </c>
      <c r="AW239" s="3">
        <f t="shared" si="51"/>
        <v>15.908000000000003</v>
      </c>
    </row>
    <row r="240" spans="1:49" x14ac:dyDescent="0.2">
      <c r="A240" t="s">
        <v>45</v>
      </c>
      <c r="B240" s="5" t="s">
        <v>46</v>
      </c>
      <c r="C240" s="5" t="s">
        <v>258</v>
      </c>
      <c r="D240" s="5" t="s">
        <v>292</v>
      </c>
      <c r="E240">
        <v>7</v>
      </c>
      <c r="F240" s="6">
        <v>284</v>
      </c>
      <c r="G240" s="3">
        <v>2.6</v>
      </c>
      <c r="H240" s="3">
        <v>2.4</v>
      </c>
      <c r="I240" s="3">
        <v>1</v>
      </c>
      <c r="J240" s="3">
        <v>40.710000000000434</v>
      </c>
      <c r="K240" s="3">
        <v>41.710000000000434</v>
      </c>
      <c r="L240" s="3">
        <v>41.210000000000434</v>
      </c>
      <c r="M240" s="1">
        <v>0.22</v>
      </c>
      <c r="N240" s="3">
        <v>280.71000000000043</v>
      </c>
      <c r="O240" s="3">
        <v>281.71000000000043</v>
      </c>
      <c r="P240" s="3">
        <v>281.21000000000043</v>
      </c>
      <c r="Q240" s="3">
        <v>282.71000000000043</v>
      </c>
      <c r="R240" s="3">
        <v>283.71000000000043</v>
      </c>
      <c r="S240" s="3">
        <v>283.2</v>
      </c>
      <c r="T240" s="3">
        <v>283.2</v>
      </c>
      <c r="U240" s="7">
        <f t="shared" si="39"/>
        <v>0.5</v>
      </c>
      <c r="V240" s="3">
        <v>3797.11</v>
      </c>
      <c r="W240" s="3">
        <v>4119.9799999999996</v>
      </c>
      <c r="X240" s="3">
        <v>3941.22</v>
      </c>
      <c r="Y240" s="3">
        <v>3947.33</v>
      </c>
      <c r="Z240" s="3">
        <f t="shared" si="40"/>
        <v>161.43499999999972</v>
      </c>
      <c r="AA240" s="4">
        <f t="shared" si="41"/>
        <v>0.11787819253437665</v>
      </c>
      <c r="AB240" s="4">
        <f t="shared" si="42"/>
        <v>5.0290139241499663E-3</v>
      </c>
      <c r="AC240">
        <v>1.1476266666666668</v>
      </c>
      <c r="AD240" s="2">
        <v>7.0710999999999977</v>
      </c>
      <c r="AE240" s="2">
        <v>2.0882000000000001</v>
      </c>
      <c r="AF240" s="2">
        <f t="shared" si="43"/>
        <v>4.9828999999999972</v>
      </c>
      <c r="AG240" s="2">
        <v>0.94057333333333326</v>
      </c>
      <c r="AH240" s="1">
        <f t="shared" si="44"/>
        <v>84.121253183661381</v>
      </c>
      <c r="AI240" s="1">
        <f t="shared" si="45"/>
        <v>15.878746816338619</v>
      </c>
      <c r="AJ240" s="1">
        <f t="shared" si="46"/>
        <v>0.79393734081693101</v>
      </c>
      <c r="AK240" s="8">
        <v>5.6099999999999817E-2</v>
      </c>
      <c r="AL240" s="9">
        <v>82.167832167832202</v>
      </c>
      <c r="AM240" s="10">
        <v>4.1083916083916101</v>
      </c>
      <c r="AN240" s="9">
        <v>41.083916083916101</v>
      </c>
      <c r="AO240" s="11">
        <v>4.1093772773867574</v>
      </c>
      <c r="AP240" s="2">
        <v>4.90625</v>
      </c>
      <c r="AQ240" s="2">
        <f t="shared" si="47"/>
        <v>0.294375</v>
      </c>
      <c r="AR240" s="2">
        <v>1.2073321443736726</v>
      </c>
      <c r="AS240" s="2">
        <v>0.1917092144373673</v>
      </c>
      <c r="AT240" s="2">
        <f t="shared" si="48"/>
        <v>1.9170921443736732E-2</v>
      </c>
      <c r="AU240" s="2">
        <f t="shared" si="49"/>
        <v>2.2598335690062081E-2</v>
      </c>
      <c r="AV240" s="2">
        <f t="shared" si="50"/>
        <v>3.615733710409933E-3</v>
      </c>
      <c r="AW240" s="3">
        <f t="shared" si="51"/>
        <v>16</v>
      </c>
    </row>
    <row r="241" spans="1:49" x14ac:dyDescent="0.2">
      <c r="A241" t="s">
        <v>45</v>
      </c>
      <c r="B241" s="5" t="s">
        <v>46</v>
      </c>
      <c r="C241" s="5" t="s">
        <v>258</v>
      </c>
      <c r="D241" s="5" t="s">
        <v>293</v>
      </c>
      <c r="E241">
        <v>7</v>
      </c>
      <c r="F241" s="6">
        <v>285</v>
      </c>
      <c r="G241" s="3">
        <v>2.4</v>
      </c>
      <c r="H241" s="3">
        <v>2.2999999999999998</v>
      </c>
      <c r="I241" s="3">
        <v>0.95</v>
      </c>
      <c r="J241" s="3">
        <v>41.930000000000462</v>
      </c>
      <c r="K241" s="3">
        <v>42.88000000000045</v>
      </c>
      <c r="L241" s="3">
        <v>42.405000000000427</v>
      </c>
      <c r="M241" s="1">
        <v>0.22</v>
      </c>
      <c r="N241" s="3">
        <v>281.93000000000046</v>
      </c>
      <c r="O241" s="3">
        <v>282.88000000000045</v>
      </c>
      <c r="P241" s="3">
        <v>282.40500000000043</v>
      </c>
      <c r="Q241" s="3">
        <v>283.93000000000046</v>
      </c>
      <c r="R241" s="3">
        <v>284.88000000000045</v>
      </c>
      <c r="S241" s="3">
        <v>284.39999999999998</v>
      </c>
      <c r="T241" s="3">
        <v>284.39999999999998</v>
      </c>
      <c r="U241" s="7">
        <f t="shared" si="39"/>
        <v>0.47499999999999432</v>
      </c>
      <c r="V241" s="3">
        <v>3801.27</v>
      </c>
      <c r="W241" s="3">
        <v>4136.0200000000004</v>
      </c>
      <c r="X241" s="3">
        <v>3951.26</v>
      </c>
      <c r="Y241" s="3">
        <v>3957.51</v>
      </c>
      <c r="Z241" s="3">
        <f t="shared" si="40"/>
        <v>167.37500000000023</v>
      </c>
      <c r="AA241" s="4">
        <f t="shared" si="41"/>
        <v>0.1178781925343875</v>
      </c>
      <c r="AB241" s="4">
        <f t="shared" si="42"/>
        <v>5.1823014121345299E-3</v>
      </c>
      <c r="AC241">
        <v>1.1476266666666668</v>
      </c>
      <c r="AD241" s="2">
        <v>6.4427999999999983</v>
      </c>
      <c r="AE241" s="2">
        <v>1.9658</v>
      </c>
      <c r="AF241" s="2">
        <f t="shared" si="43"/>
        <v>4.4769999999999985</v>
      </c>
      <c r="AG241" s="2">
        <v>0.8181733333333332</v>
      </c>
      <c r="AH241" s="1">
        <f t="shared" si="44"/>
        <v>84.548695919302602</v>
      </c>
      <c r="AI241" s="1">
        <f t="shared" si="45"/>
        <v>15.451304080697398</v>
      </c>
      <c r="AJ241" s="1">
        <f t="shared" si="46"/>
        <v>0.77256520403486995</v>
      </c>
      <c r="AK241" s="8">
        <v>7.6100000000000279E-2</v>
      </c>
      <c r="AL241" s="9">
        <v>82.533853568969434</v>
      </c>
      <c r="AM241" s="10">
        <v>4.1266926784484719</v>
      </c>
      <c r="AN241" s="9">
        <v>41.266926784484717</v>
      </c>
      <c r="AO241" s="11">
        <v>4.1276739772370856</v>
      </c>
      <c r="AP241" s="2">
        <v>4.118404374999999</v>
      </c>
      <c r="AQ241" s="2">
        <f t="shared" si="47"/>
        <v>0.23268984718749994</v>
      </c>
      <c r="AR241" s="2">
        <v>1.2857341948927328</v>
      </c>
      <c r="AS241" s="2">
        <v>0.19866270012238257</v>
      </c>
      <c r="AT241" s="2">
        <f t="shared" si="48"/>
        <v>1.9866270012238257E-2</v>
      </c>
      <c r="AU241" s="2">
        <f t="shared" si="49"/>
        <v>2.3418000014427499E-2</v>
      </c>
      <c r="AV241" s="2">
        <f t="shared" si="50"/>
        <v>3.6649170022579037E-3</v>
      </c>
      <c r="AW241" s="3">
        <f t="shared" si="51"/>
        <v>15.65</v>
      </c>
    </row>
    <row r="242" spans="1:49" x14ac:dyDescent="0.2">
      <c r="A242" t="s">
        <v>45</v>
      </c>
      <c r="B242" s="5" t="s">
        <v>46</v>
      </c>
      <c r="C242" s="5" t="s">
        <v>258</v>
      </c>
      <c r="D242" s="5" t="s">
        <v>294</v>
      </c>
      <c r="E242">
        <v>7</v>
      </c>
      <c r="F242" s="6">
        <v>286</v>
      </c>
      <c r="G242" s="3">
        <v>2.25</v>
      </c>
      <c r="H242" s="3">
        <v>2.5</v>
      </c>
      <c r="I242" s="3">
        <v>1</v>
      </c>
      <c r="J242" s="3">
        <v>43.100000000000477</v>
      </c>
      <c r="K242" s="3">
        <v>44.100000000000477</v>
      </c>
      <c r="L242" s="3">
        <v>43.600000000000477</v>
      </c>
      <c r="M242" s="1">
        <v>0.22</v>
      </c>
      <c r="N242" s="3">
        <v>283.10000000000048</v>
      </c>
      <c r="O242" s="3">
        <v>284.10000000000048</v>
      </c>
      <c r="P242" s="3">
        <v>283.60000000000048</v>
      </c>
      <c r="Q242" s="3">
        <v>285.10000000000048</v>
      </c>
      <c r="R242" s="3">
        <v>286.10000000000048</v>
      </c>
      <c r="S242" s="3">
        <v>285.60000000000002</v>
      </c>
      <c r="T242" s="3">
        <v>285.60000000000002</v>
      </c>
      <c r="U242" s="7">
        <f t="shared" si="39"/>
        <v>0.5</v>
      </c>
      <c r="V242" s="3">
        <v>3807.63</v>
      </c>
      <c r="W242" s="3">
        <v>4154.6400000000003</v>
      </c>
      <c r="X242" s="3">
        <v>3961.74</v>
      </c>
      <c r="Y242" s="3">
        <v>3967.69</v>
      </c>
      <c r="Z242" s="3">
        <f t="shared" si="40"/>
        <v>173.50500000000011</v>
      </c>
      <c r="AA242" s="4">
        <f t="shared" si="41"/>
        <v>0.11799410029498329</v>
      </c>
      <c r="AB242" s="4">
        <f t="shared" si="42"/>
        <v>5.3663923437256142E-3</v>
      </c>
      <c r="AC242">
        <v>1.1476266666666668</v>
      </c>
      <c r="AD242" s="2">
        <v>6.7341999999999977</v>
      </c>
      <c r="AE242" s="2">
        <v>1.9539</v>
      </c>
      <c r="AF242" s="2">
        <f t="shared" si="43"/>
        <v>4.7802999999999978</v>
      </c>
      <c r="AG242" s="2">
        <v>0.80627333333333318</v>
      </c>
      <c r="AH242" s="1">
        <f t="shared" si="44"/>
        <v>85.567658648235167</v>
      </c>
      <c r="AI242" s="1">
        <f t="shared" si="45"/>
        <v>14.432341351764833</v>
      </c>
      <c r="AJ242" s="1">
        <f t="shared" si="46"/>
        <v>0.72161706758824173</v>
      </c>
      <c r="AK242" s="8">
        <v>6.7400000000000126E-2</v>
      </c>
      <c r="AL242" s="9">
        <v>82.055378061767826</v>
      </c>
      <c r="AM242" s="10">
        <v>4.1027689030883918</v>
      </c>
      <c r="AN242" s="9">
        <v>41.027689030883913</v>
      </c>
      <c r="AO242" s="11">
        <v>4.1037559225847149</v>
      </c>
      <c r="AP242" s="2">
        <v>4.4278906249999999</v>
      </c>
      <c r="AQ242" s="2">
        <f t="shared" si="47"/>
        <v>0.25460371093750001</v>
      </c>
      <c r="AR242" s="2">
        <v>1.2616782586704773</v>
      </c>
      <c r="AS242" s="2">
        <v>0.18208971305232571</v>
      </c>
      <c r="AT242" s="2">
        <f t="shared" si="48"/>
        <v>1.8208971305232573E-2</v>
      </c>
      <c r="AU242" s="2">
        <f t="shared" si="49"/>
        <v>2.148551186458085E-2</v>
      </c>
      <c r="AV242" s="2">
        <f t="shared" si="50"/>
        <v>3.3839681186714839E-3</v>
      </c>
      <c r="AW242" s="3">
        <f t="shared" si="51"/>
        <v>15.75</v>
      </c>
    </row>
    <row r="243" spans="1:49" x14ac:dyDescent="0.2">
      <c r="A243" t="s">
        <v>45</v>
      </c>
      <c r="B243" s="5" t="s">
        <v>46</v>
      </c>
      <c r="C243" s="5" t="s">
        <v>258</v>
      </c>
      <c r="D243" s="5" t="s">
        <v>295</v>
      </c>
      <c r="E243">
        <v>7</v>
      </c>
      <c r="F243" s="6">
        <v>287</v>
      </c>
      <c r="G243" s="3">
        <v>2.4500000000000002</v>
      </c>
      <c r="H243" s="3">
        <v>2.4500000000000002</v>
      </c>
      <c r="I243" s="3">
        <v>0.95</v>
      </c>
      <c r="J243" s="3">
        <v>44.320000000000505</v>
      </c>
      <c r="K243" s="3">
        <v>45.270000000000493</v>
      </c>
      <c r="L243" s="3">
        <v>44.795000000000528</v>
      </c>
      <c r="M243" s="1">
        <v>0.22</v>
      </c>
      <c r="N243" s="3">
        <v>284.3200000000005</v>
      </c>
      <c r="O243" s="3">
        <v>285.27000000000049</v>
      </c>
      <c r="P243" s="3">
        <v>284.79500000000053</v>
      </c>
      <c r="Q243" s="3">
        <v>286.3200000000005</v>
      </c>
      <c r="R243" s="3">
        <v>287.27000000000049</v>
      </c>
      <c r="S243" s="3">
        <v>286.8</v>
      </c>
      <c r="T243" s="3">
        <v>286.8</v>
      </c>
      <c r="U243" s="7">
        <f t="shared" si="39"/>
        <v>0.47499999999999432</v>
      </c>
      <c r="V243" s="3">
        <v>3813.53</v>
      </c>
      <c r="W243" s="3">
        <v>4171.6899999999996</v>
      </c>
      <c r="X243" s="3">
        <v>3971.33</v>
      </c>
      <c r="Y243" s="3">
        <v>3977.86</v>
      </c>
      <c r="Z243" s="3">
        <f t="shared" si="40"/>
        <v>179.0799999999997</v>
      </c>
      <c r="AA243" s="4">
        <f t="shared" si="41"/>
        <v>0.11784511784511936</v>
      </c>
      <c r="AB243" s="4">
        <f t="shared" si="42"/>
        <v>5.5004665502305225E-3</v>
      </c>
      <c r="AC243">
        <v>1.1476266666666668</v>
      </c>
      <c r="AD243" s="2">
        <v>6.7184999999999988</v>
      </c>
      <c r="AE243" s="2">
        <v>1.9853000000000001</v>
      </c>
      <c r="AF243" s="2">
        <f t="shared" si="43"/>
        <v>4.7331999999999983</v>
      </c>
      <c r="AG243" s="2">
        <v>0.83767333333333327</v>
      </c>
      <c r="AH243" s="1">
        <f t="shared" si="44"/>
        <v>84.963339081484534</v>
      </c>
      <c r="AI243" s="1">
        <f t="shared" si="45"/>
        <v>15.036660918515466</v>
      </c>
      <c r="AJ243" s="1">
        <f t="shared" si="46"/>
        <v>0.75183304592577338</v>
      </c>
      <c r="AK243" s="8">
        <v>6.0699999999999754E-2</v>
      </c>
      <c r="AL243" s="9">
        <v>83.979941937186652</v>
      </c>
      <c r="AM243" s="10">
        <v>4.1989970968593324</v>
      </c>
      <c r="AN243" s="9">
        <v>41.989970968593326</v>
      </c>
      <c r="AO243" s="11">
        <v>4.1999615021370253</v>
      </c>
      <c r="AP243" s="2">
        <v>4.4763643750000002</v>
      </c>
      <c r="AQ243" s="2">
        <f t="shared" si="47"/>
        <v>0.26186731593750001</v>
      </c>
      <c r="AR243" s="2">
        <v>1.2445084596879654</v>
      </c>
      <c r="AS243" s="2">
        <v>0.18713251718551915</v>
      </c>
      <c r="AT243" s="2">
        <f t="shared" si="48"/>
        <v>1.8713251718551916E-2</v>
      </c>
      <c r="AU243" s="2">
        <f t="shared" si="49"/>
        <v>2.2052653540381328E-2</v>
      </c>
      <c r="AV243" s="2">
        <f t="shared" si="50"/>
        <v>3.4953455861504406E-3</v>
      </c>
      <c r="AW243" s="3">
        <f t="shared" si="51"/>
        <v>15.85</v>
      </c>
    </row>
    <row r="244" spans="1:49" x14ac:dyDescent="0.2">
      <c r="A244" t="s">
        <v>45</v>
      </c>
      <c r="B244" s="5" t="s">
        <v>46</v>
      </c>
      <c r="C244" s="5" t="s">
        <v>296</v>
      </c>
      <c r="D244" s="5" t="s">
        <v>297</v>
      </c>
      <c r="E244">
        <v>8</v>
      </c>
      <c r="F244" s="6">
        <v>295</v>
      </c>
      <c r="G244" s="3">
        <v>2.35</v>
      </c>
      <c r="H244" s="3">
        <v>2.6</v>
      </c>
      <c r="I244" s="3">
        <v>1.05</v>
      </c>
      <c r="J244" s="3">
        <v>3.6307692307693173</v>
      </c>
      <c r="K244" s="3">
        <v>4.6807692307693287</v>
      </c>
      <c r="L244" s="3">
        <v>4.1557692307693515</v>
      </c>
      <c r="M244" s="1">
        <v>0.19</v>
      </c>
      <c r="N244" s="3">
        <v>283.63076923076932</v>
      </c>
      <c r="O244" s="3">
        <v>284.68076923076933</v>
      </c>
      <c r="P244" s="3">
        <v>284.15576923076935</v>
      </c>
      <c r="Q244" s="3">
        <v>287.63076923076932</v>
      </c>
      <c r="R244" s="3">
        <v>288.68076923076933</v>
      </c>
      <c r="S244" s="3">
        <v>288.2</v>
      </c>
      <c r="T244" s="3">
        <v>288.2</v>
      </c>
      <c r="U244" s="7">
        <f t="shared" si="39"/>
        <v>0.52500000000000568</v>
      </c>
      <c r="V244" s="3">
        <v>3819.52</v>
      </c>
      <c r="W244" s="3">
        <v>4199.13</v>
      </c>
      <c r="X244" s="3">
        <v>3980.95</v>
      </c>
      <c r="Y244" s="3">
        <v>3989.74</v>
      </c>
      <c r="Z244" s="3">
        <f t="shared" si="40"/>
        <v>189.80500000000006</v>
      </c>
      <c r="AA244" s="4">
        <f t="shared" si="41"/>
        <v>0.11799410029498329</v>
      </c>
      <c r="AB244" s="4">
        <f t="shared" si="42"/>
        <v>5.8283099802176209E-3</v>
      </c>
      <c r="AC244">
        <v>1.1476266666666668</v>
      </c>
      <c r="AD244" s="2">
        <v>6.3802999999999983</v>
      </c>
      <c r="AE244" s="2">
        <v>2.0316000000000001</v>
      </c>
      <c r="AF244" s="2">
        <f t="shared" si="43"/>
        <v>4.3486999999999982</v>
      </c>
      <c r="AG244" s="2">
        <v>0.88397333333333328</v>
      </c>
      <c r="AH244" s="1">
        <f t="shared" si="44"/>
        <v>83.106659311174269</v>
      </c>
      <c r="AI244" s="1">
        <f t="shared" si="45"/>
        <v>16.893340688825731</v>
      </c>
      <c r="AJ244" s="1">
        <f t="shared" si="46"/>
        <v>0.84466703444128655</v>
      </c>
      <c r="AK244" s="8">
        <v>9.7099999999999298E-2</v>
      </c>
      <c r="AL244" s="9">
        <v>79.770833333333456</v>
      </c>
      <c r="AM244" s="10">
        <v>3.9885416666666731</v>
      </c>
      <c r="AN244" s="9">
        <v>39.885416666666728</v>
      </c>
      <c r="AO244" s="11">
        <v>3.9895569461703593</v>
      </c>
      <c r="AP244" s="2">
        <v>5.0490464062500005</v>
      </c>
      <c r="AQ244" s="2">
        <f t="shared" si="47"/>
        <v>0.30294278437500005</v>
      </c>
      <c r="AR244" s="2">
        <v>1.0363686352448707</v>
      </c>
      <c r="AS244" s="2">
        <v>0.17507728434404962</v>
      </c>
      <c r="AT244" s="2">
        <f t="shared" si="48"/>
        <v>1.7507728434404964E-2</v>
      </c>
      <c r="AU244" s="2">
        <f t="shared" si="49"/>
        <v>2.06580866482651E-2</v>
      </c>
      <c r="AV244" s="2">
        <f t="shared" si="50"/>
        <v>3.305293863722416E-3</v>
      </c>
      <c r="AW244" s="3">
        <f t="shared" si="51"/>
        <v>16</v>
      </c>
    </row>
    <row r="245" spans="1:49" x14ac:dyDescent="0.2">
      <c r="A245" t="s">
        <v>45</v>
      </c>
      <c r="B245" s="5" t="s">
        <v>46</v>
      </c>
      <c r="C245" s="5" t="s">
        <v>296</v>
      </c>
      <c r="D245" s="5" t="s">
        <v>298</v>
      </c>
      <c r="E245">
        <v>8</v>
      </c>
      <c r="F245" s="6">
        <v>296</v>
      </c>
      <c r="G245" s="3">
        <v>2.5</v>
      </c>
      <c r="H245" s="3">
        <v>2.5</v>
      </c>
      <c r="I245" s="3">
        <v>1</v>
      </c>
      <c r="J245" s="3">
        <v>4.8743589743590974</v>
      </c>
      <c r="K245" s="3">
        <v>5.8743589743590974</v>
      </c>
      <c r="L245" s="3">
        <v>5.3743589743590974</v>
      </c>
      <c r="M245" s="1">
        <v>0.19</v>
      </c>
      <c r="N245" s="3">
        <v>284.8743589743591</v>
      </c>
      <c r="O245" s="3">
        <v>285.8743589743591</v>
      </c>
      <c r="P245" s="3">
        <v>285.3743589743591</v>
      </c>
      <c r="Q245" s="3">
        <v>288.8743589743591</v>
      </c>
      <c r="R245" s="3">
        <v>289.8743589743591</v>
      </c>
      <c r="S245" s="3">
        <v>289.39999999999998</v>
      </c>
      <c r="T245" s="3">
        <v>289.39999999999998</v>
      </c>
      <c r="U245" s="7">
        <f t="shared" si="39"/>
        <v>0.5</v>
      </c>
      <c r="V245" s="3">
        <v>3824.66</v>
      </c>
      <c r="W245" s="3">
        <v>4220.82</v>
      </c>
      <c r="X245" s="3">
        <v>3989.53</v>
      </c>
      <c r="Y245" s="3">
        <v>3999.91</v>
      </c>
      <c r="Z245" s="3">
        <f t="shared" si="40"/>
        <v>198.07999999999993</v>
      </c>
      <c r="AA245" s="4">
        <f t="shared" si="41"/>
        <v>0.11857707509881467</v>
      </c>
      <c r="AB245" s="4">
        <f t="shared" si="42"/>
        <v>6.0769359763291073E-3</v>
      </c>
      <c r="AC245">
        <v>1.1476266666666668</v>
      </c>
      <c r="AD245" s="2">
        <v>6.0535999999999994</v>
      </c>
      <c r="AE245" s="2">
        <v>2.1124000000000001</v>
      </c>
      <c r="AF245" s="2">
        <f t="shared" si="43"/>
        <v>3.9411999999999994</v>
      </c>
      <c r="AG245" s="2">
        <v>0.96477333333333326</v>
      </c>
      <c r="AH245" s="1">
        <f t="shared" si="44"/>
        <v>80.334721210605835</v>
      </c>
      <c r="AI245" s="1">
        <f t="shared" si="45"/>
        <v>19.665278789394165</v>
      </c>
      <c r="AJ245" s="1">
        <f t="shared" si="46"/>
        <v>0.98326393946970825</v>
      </c>
      <c r="AK245" s="8">
        <v>0.15309999999999935</v>
      </c>
      <c r="AL245" s="9">
        <v>73.657949070887923</v>
      </c>
      <c r="AM245" s="10">
        <v>3.6828974535443963</v>
      </c>
      <c r="AN245" s="9">
        <v>36.828974535443962</v>
      </c>
      <c r="AO245" s="11">
        <v>3.6839969670622423</v>
      </c>
      <c r="AP245" s="2">
        <v>4.90625</v>
      </c>
      <c r="AQ245" s="2">
        <f t="shared" si="47"/>
        <v>0.294375</v>
      </c>
      <c r="AR245" s="2">
        <v>0.9999436093418258</v>
      </c>
      <c r="AS245" s="2">
        <v>0.19664169851380042</v>
      </c>
      <c r="AT245" s="2">
        <f t="shared" si="48"/>
        <v>1.9664169851380045E-2</v>
      </c>
      <c r="AU245" s="2">
        <f t="shared" si="49"/>
        <v>2.3317197452229387E-2</v>
      </c>
      <c r="AV245" s="2">
        <f t="shared" si="50"/>
        <v>3.7307515923567028E-3</v>
      </c>
      <c r="AW245" s="3">
        <f t="shared" si="51"/>
        <v>16.000000000000004</v>
      </c>
    </row>
    <row r="246" spans="1:49" x14ac:dyDescent="0.2">
      <c r="A246" t="s">
        <v>45</v>
      </c>
      <c r="B246" s="5" t="s">
        <v>46</v>
      </c>
      <c r="C246" s="5" t="s">
        <v>296</v>
      </c>
      <c r="D246" s="5" t="s">
        <v>299</v>
      </c>
      <c r="E246">
        <v>8</v>
      </c>
      <c r="F246" s="6">
        <v>297</v>
      </c>
      <c r="G246" s="3">
        <v>2.5499999999999998</v>
      </c>
      <c r="H246" s="3">
        <v>2.5</v>
      </c>
      <c r="I246" s="3">
        <v>1.1000000000000001</v>
      </c>
      <c r="J246" s="3">
        <v>6.067948717948866</v>
      </c>
      <c r="K246" s="3">
        <v>7.1679487179488888</v>
      </c>
      <c r="L246" s="3">
        <v>6.6179487179488774</v>
      </c>
      <c r="M246" s="1">
        <v>0.19</v>
      </c>
      <c r="N246" s="3">
        <v>286.06794871794887</v>
      </c>
      <c r="O246" s="3">
        <v>287.16794871794889</v>
      </c>
      <c r="P246" s="3">
        <v>286.61794871794888</v>
      </c>
      <c r="Q246" s="3">
        <v>290.06794871794887</v>
      </c>
      <c r="R246" s="3">
        <v>291.16794871794889</v>
      </c>
      <c r="S246" s="3">
        <v>290.60000000000002</v>
      </c>
      <c r="T246" s="3">
        <v>290.60000000000002</v>
      </c>
      <c r="U246" s="7">
        <f t="shared" si="39"/>
        <v>0.55000000000001137</v>
      </c>
      <c r="V246" s="3">
        <v>3833.59</v>
      </c>
      <c r="W246" s="3">
        <v>4239.0200000000004</v>
      </c>
      <c r="X246" s="3">
        <v>3999.17</v>
      </c>
      <c r="Y246" s="3">
        <v>4010.03</v>
      </c>
      <c r="Z246" s="3">
        <f t="shared" si="40"/>
        <v>202.71500000000015</v>
      </c>
      <c r="AA246" s="4">
        <f t="shared" si="41"/>
        <v>0.11937557392102568</v>
      </c>
      <c r="AB246" s="4">
        <f t="shared" si="42"/>
        <v>6.2606074243425564E-3</v>
      </c>
      <c r="AC246">
        <v>1.1476266666666668</v>
      </c>
      <c r="AD246" s="2">
        <v>7.0478999999999985</v>
      </c>
      <c r="AE246" s="2">
        <v>2.3601999999999999</v>
      </c>
      <c r="AF246" s="2">
        <f t="shared" si="43"/>
        <v>4.6876999999999986</v>
      </c>
      <c r="AG246" s="2">
        <v>1.2125733333333331</v>
      </c>
      <c r="AH246" s="1">
        <f t="shared" si="44"/>
        <v>79.448861691153283</v>
      </c>
      <c r="AI246" s="1">
        <f t="shared" si="45"/>
        <v>20.551138308846717</v>
      </c>
      <c r="AJ246" s="1">
        <f t="shared" si="46"/>
        <v>1.0275569154423358</v>
      </c>
      <c r="AK246" s="8">
        <v>7.2099999999999831E-2</v>
      </c>
      <c r="AL246" s="9">
        <v>79.949944382647459</v>
      </c>
      <c r="AM246" s="10">
        <v>3.9974972191323732</v>
      </c>
      <c r="AN246" s="9">
        <v>39.974972191323729</v>
      </c>
      <c r="AO246" s="11">
        <v>3.9985102246925739</v>
      </c>
      <c r="AP246" s="2">
        <v>5.5053521875000007</v>
      </c>
      <c r="AQ246" s="2">
        <f t="shared" si="47"/>
        <v>0.33857915953125006</v>
      </c>
      <c r="AR246" s="2">
        <v>1.0717340385107434</v>
      </c>
      <c r="AS246" s="2">
        <v>0.22025354455733137</v>
      </c>
      <c r="AT246" s="2">
        <f t="shared" si="48"/>
        <v>2.2025354455733139E-2</v>
      </c>
      <c r="AU246" s="2">
        <f t="shared" si="49"/>
        <v>2.6292893289671635E-2</v>
      </c>
      <c r="AV246" s="2">
        <f t="shared" si="50"/>
        <v>4.2463022662819691E-3</v>
      </c>
      <c r="AW246" s="3">
        <f t="shared" si="51"/>
        <v>16.150000000000002</v>
      </c>
    </row>
    <row r="247" spans="1:49" x14ac:dyDescent="0.2">
      <c r="A247" t="s">
        <v>45</v>
      </c>
      <c r="B247" s="5" t="s">
        <v>46</v>
      </c>
      <c r="C247" s="5" t="s">
        <v>296</v>
      </c>
      <c r="D247" s="5" t="s">
        <v>300</v>
      </c>
      <c r="E247">
        <v>8</v>
      </c>
      <c r="F247" s="6">
        <v>298</v>
      </c>
      <c r="G247" s="3">
        <v>2</v>
      </c>
      <c r="H247" s="3">
        <v>2.5</v>
      </c>
      <c r="I247" s="3">
        <v>1</v>
      </c>
      <c r="J247" s="3">
        <v>7.3615384615386574</v>
      </c>
      <c r="K247" s="3">
        <v>8.3615384615386574</v>
      </c>
      <c r="L247" s="3">
        <v>7.8615384615386574</v>
      </c>
      <c r="M247" s="1">
        <v>0.19</v>
      </c>
      <c r="N247" s="3">
        <v>287.36153846153866</v>
      </c>
      <c r="O247" s="3">
        <v>288.36153846153866</v>
      </c>
      <c r="P247" s="3">
        <v>287.86153846153866</v>
      </c>
      <c r="Q247" s="3">
        <v>291.36153846153866</v>
      </c>
      <c r="R247" s="3">
        <v>292.36153846153866</v>
      </c>
      <c r="S247" s="3">
        <v>291.89999999999998</v>
      </c>
      <c r="T247" s="3">
        <v>291.89999999999998</v>
      </c>
      <c r="U247" s="7">
        <f t="shared" si="39"/>
        <v>0.5</v>
      </c>
      <c r="V247" s="3">
        <v>3846.08</v>
      </c>
      <c r="W247" s="3">
        <v>4250.7</v>
      </c>
      <c r="X247" s="3">
        <v>4010.97</v>
      </c>
      <c r="Y247" s="3">
        <v>4020.92</v>
      </c>
      <c r="Z247" s="3">
        <f t="shared" si="40"/>
        <v>202.30999999999995</v>
      </c>
      <c r="AA247" s="4">
        <f t="shared" si="41"/>
        <v>0.11940298507463463</v>
      </c>
      <c r="AB247" s="4">
        <f t="shared" si="42"/>
        <v>6.2122114985706869E-3</v>
      </c>
      <c r="AC247">
        <v>1.1476266666666668</v>
      </c>
      <c r="AD247" s="2">
        <v>5.9262999999999977</v>
      </c>
      <c r="AE247" s="2">
        <v>2.0103</v>
      </c>
      <c r="AF247" s="2">
        <f t="shared" si="43"/>
        <v>3.9159999999999977</v>
      </c>
      <c r="AG247" s="2">
        <v>0.86267333333333318</v>
      </c>
      <c r="AH247" s="1">
        <f t="shared" si="44"/>
        <v>81.947430318875107</v>
      </c>
      <c r="AI247" s="1">
        <f t="shared" si="45"/>
        <v>18.052569681124893</v>
      </c>
      <c r="AJ247" s="1">
        <f t="shared" si="46"/>
        <v>0.90262848405624474</v>
      </c>
      <c r="AK247" s="8">
        <v>0.11730000000000018</v>
      </c>
      <c r="AL247" s="9">
        <v>77.922077922077918</v>
      </c>
      <c r="AM247" s="10">
        <v>3.8961038961038961</v>
      </c>
      <c r="AN247" s="9">
        <v>38.961038961038959</v>
      </c>
      <c r="AO247" s="11">
        <v>3.8971432574689837</v>
      </c>
      <c r="AP247" s="2">
        <v>3.9740625000000001</v>
      </c>
      <c r="AQ247" s="2">
        <f t="shared" si="47"/>
        <v>0.2185734375</v>
      </c>
      <c r="AR247" s="2">
        <v>1.2024655710204182</v>
      </c>
      <c r="AS247" s="2">
        <v>0.21707593509999734</v>
      </c>
      <c r="AT247" s="2">
        <f t="shared" si="48"/>
        <v>2.1707593509999734E-2</v>
      </c>
      <c r="AU247" s="2">
        <f t="shared" si="49"/>
        <v>2.5919514638807338E-2</v>
      </c>
      <c r="AV247" s="2">
        <f t="shared" si="50"/>
        <v>4.0175247690151378E-3</v>
      </c>
      <c r="AW247" s="3">
        <f t="shared" si="51"/>
        <v>15.500000000000004</v>
      </c>
    </row>
    <row r="248" spans="1:49" x14ac:dyDescent="0.2">
      <c r="A248" t="s">
        <v>45</v>
      </c>
      <c r="B248" s="5" t="s">
        <v>46</v>
      </c>
      <c r="C248" s="5" t="s">
        <v>296</v>
      </c>
      <c r="D248" s="5" t="s">
        <v>301</v>
      </c>
      <c r="E248">
        <v>8</v>
      </c>
      <c r="F248" s="6">
        <v>299</v>
      </c>
      <c r="G248" s="3">
        <v>2.1</v>
      </c>
      <c r="H248" s="3">
        <v>2.6</v>
      </c>
      <c r="I248" s="3">
        <v>1</v>
      </c>
      <c r="J248" s="3">
        <v>8.5551282051284261</v>
      </c>
      <c r="K248" s="3">
        <v>9.5551282051284261</v>
      </c>
      <c r="L248" s="3">
        <v>9.0551282051284261</v>
      </c>
      <c r="M248" s="1">
        <v>0.19</v>
      </c>
      <c r="N248" s="3">
        <v>288.55512820512843</v>
      </c>
      <c r="O248" s="3">
        <v>289.55512820512843</v>
      </c>
      <c r="P248" s="3">
        <v>289.05512820512843</v>
      </c>
      <c r="Q248" s="3">
        <v>292.55512820512843</v>
      </c>
      <c r="R248" s="3">
        <v>293.55512820512843</v>
      </c>
      <c r="S248" s="3">
        <v>293.10000000000002</v>
      </c>
      <c r="T248" s="3">
        <v>293.10000000000002</v>
      </c>
      <c r="U248" s="7">
        <f t="shared" si="39"/>
        <v>0.5</v>
      </c>
      <c r="V248" s="3">
        <v>3854</v>
      </c>
      <c r="W248" s="3">
        <v>4257.2299999999996</v>
      </c>
      <c r="X248" s="3">
        <v>4022.48</v>
      </c>
      <c r="Y248" s="3">
        <v>4030.97</v>
      </c>
      <c r="Z248" s="3">
        <f t="shared" si="40"/>
        <v>201.61499999999978</v>
      </c>
      <c r="AA248" s="4">
        <f t="shared" si="41"/>
        <v>0.11928429423458657</v>
      </c>
      <c r="AB248" s="4">
        <f t="shared" si="42"/>
        <v>6.169669943411539E-3</v>
      </c>
      <c r="AC248">
        <v>1.1476266666666668</v>
      </c>
      <c r="AD248" s="2">
        <v>6.1647999999999996</v>
      </c>
      <c r="AE248" s="2">
        <v>2.0581</v>
      </c>
      <c r="AF248" s="2">
        <f t="shared" si="43"/>
        <v>4.1067</v>
      </c>
      <c r="AG248" s="2">
        <v>0.91047333333333325</v>
      </c>
      <c r="AH248" s="1">
        <f t="shared" si="44"/>
        <v>81.852862700909952</v>
      </c>
      <c r="AI248" s="1">
        <f t="shared" si="45"/>
        <v>18.147137299090048</v>
      </c>
      <c r="AJ248" s="1">
        <f t="shared" si="46"/>
        <v>0.90735686495450241</v>
      </c>
      <c r="AK248" s="8">
        <v>0.32639999999999958</v>
      </c>
      <c r="AL248" s="9">
        <v>57.72020725388608</v>
      </c>
      <c r="AM248" s="10">
        <v>2.8860103626943041</v>
      </c>
      <c r="AN248" s="9">
        <v>28.86010362694304</v>
      </c>
      <c r="AO248" s="11">
        <v>2.8874133430423345</v>
      </c>
      <c r="AP248" s="2">
        <v>4.3351625</v>
      </c>
      <c r="AQ248" s="2">
        <f t="shared" si="47"/>
        <v>0.2471042625</v>
      </c>
      <c r="AR248" s="2">
        <v>1.1573207078934948</v>
      </c>
      <c r="AS248" s="2">
        <v>0.21002057785223352</v>
      </c>
      <c r="AT248" s="2">
        <f t="shared" si="48"/>
        <v>2.1002057785223353E-2</v>
      </c>
      <c r="AU248" s="2">
        <f t="shared" si="49"/>
        <v>2.5052156403843718E-2</v>
      </c>
      <c r="AV248" s="2">
        <f t="shared" si="50"/>
        <v>3.9331885554034635E-3</v>
      </c>
      <c r="AW248" s="3">
        <f t="shared" si="51"/>
        <v>15.7</v>
      </c>
    </row>
    <row r="249" spans="1:49" x14ac:dyDescent="0.2">
      <c r="A249" t="s">
        <v>45</v>
      </c>
      <c r="B249" s="5" t="s">
        <v>46</v>
      </c>
      <c r="C249" s="5" t="s">
        <v>296</v>
      </c>
      <c r="D249" s="5" t="s">
        <v>302</v>
      </c>
      <c r="E249">
        <v>8</v>
      </c>
      <c r="F249" s="6">
        <v>300</v>
      </c>
      <c r="G249" s="3">
        <v>2.5</v>
      </c>
      <c r="H249" s="3">
        <v>2.6</v>
      </c>
      <c r="I249" s="3">
        <v>1.05</v>
      </c>
      <c r="J249" s="3">
        <v>9.7487179487181947</v>
      </c>
      <c r="K249" s="3">
        <v>10.798717948718206</v>
      </c>
      <c r="L249" s="3">
        <v>10.273717948718172</v>
      </c>
      <c r="M249" s="1">
        <v>0.19</v>
      </c>
      <c r="N249" s="3">
        <v>289.74871794871819</v>
      </c>
      <c r="O249" s="3">
        <v>290.79871794871821</v>
      </c>
      <c r="P249" s="3">
        <v>290.27371794871817</v>
      </c>
      <c r="Q249" s="3">
        <v>293.74871794871819</v>
      </c>
      <c r="R249" s="3">
        <v>294.79871794871821</v>
      </c>
      <c r="S249" s="3">
        <v>294.3</v>
      </c>
      <c r="T249" s="3">
        <v>294.3</v>
      </c>
      <c r="U249" s="7">
        <f t="shared" si="39"/>
        <v>0.52500000000000568</v>
      </c>
      <c r="V249" s="3">
        <v>3863.98</v>
      </c>
      <c r="W249" s="3">
        <v>4266.9799999999996</v>
      </c>
      <c r="X249" s="3">
        <v>4032.53</v>
      </c>
      <c r="Y249" s="3">
        <v>4041.03</v>
      </c>
      <c r="Z249" s="3">
        <f t="shared" si="40"/>
        <v>201.49999999999977</v>
      </c>
      <c r="AA249" s="4">
        <f t="shared" si="41"/>
        <v>0.11940298507462897</v>
      </c>
      <c r="AB249" s="4">
        <f t="shared" si="42"/>
        <v>6.1668559855684304E-3</v>
      </c>
      <c r="AC249">
        <v>1.1476266666666668</v>
      </c>
      <c r="AD249" s="2">
        <v>7.0890999999999984</v>
      </c>
      <c r="AE249" s="2">
        <v>2.2654999999999998</v>
      </c>
      <c r="AF249" s="2">
        <f t="shared" si="43"/>
        <v>4.823599999999999</v>
      </c>
      <c r="AG249" s="2">
        <v>1.1178733333333331</v>
      </c>
      <c r="AH249" s="1">
        <f t="shared" si="44"/>
        <v>81.185250347556888</v>
      </c>
      <c r="AI249" s="1">
        <f t="shared" si="45"/>
        <v>18.814749652443112</v>
      </c>
      <c r="AJ249" s="1">
        <f t="shared" si="46"/>
        <v>0.94073748262215562</v>
      </c>
      <c r="AK249" s="8">
        <v>9.8399999999999821E-2</v>
      </c>
      <c r="AL249" s="9">
        <v>77.717391304347842</v>
      </c>
      <c r="AM249" s="10">
        <v>3.8858695652173925</v>
      </c>
      <c r="AN249" s="9">
        <v>38.858695652173921</v>
      </c>
      <c r="AO249" s="11">
        <v>3.8869116632466461</v>
      </c>
      <c r="AP249" s="2">
        <v>5.3596856249999991</v>
      </c>
      <c r="AQ249" s="2">
        <f t="shared" si="47"/>
        <v>0.3296206659375</v>
      </c>
      <c r="AR249" s="2">
        <v>1.1085488495108018</v>
      </c>
      <c r="AS249" s="2">
        <v>0.20857069081049567</v>
      </c>
      <c r="AT249" s="2">
        <f t="shared" si="48"/>
        <v>2.0857069081049569E-2</v>
      </c>
      <c r="AU249" s="2">
        <f t="shared" si="49"/>
        <v>2.490396308185067E-2</v>
      </c>
      <c r="AV249" s="2">
        <f t="shared" si="50"/>
        <v>4.021990037718884E-3</v>
      </c>
      <c r="AW249" s="3">
        <f t="shared" si="51"/>
        <v>16.150000000000002</v>
      </c>
    </row>
    <row r="250" spans="1:49" x14ac:dyDescent="0.2">
      <c r="A250" t="s">
        <v>45</v>
      </c>
      <c r="B250" s="5" t="s">
        <v>46</v>
      </c>
      <c r="C250" s="5" t="s">
        <v>296</v>
      </c>
      <c r="D250" s="5" t="s">
        <v>303</v>
      </c>
      <c r="E250">
        <v>8</v>
      </c>
      <c r="F250" s="6">
        <v>301</v>
      </c>
      <c r="G250" s="3">
        <v>2.5</v>
      </c>
      <c r="H250" s="3">
        <v>2.6</v>
      </c>
      <c r="I250" s="3">
        <v>1.05</v>
      </c>
      <c r="J250" s="3">
        <v>10.992307692307975</v>
      </c>
      <c r="K250" s="3">
        <v>12.042307692307986</v>
      </c>
      <c r="L250" s="3">
        <v>11.517307692308009</v>
      </c>
      <c r="M250" s="1">
        <v>0.19</v>
      </c>
      <c r="N250" s="3">
        <v>290.99230769230797</v>
      </c>
      <c r="O250" s="3">
        <v>292.04230769230799</v>
      </c>
      <c r="P250" s="3">
        <v>291.51730769230801</v>
      </c>
      <c r="Q250" s="3">
        <v>294.99230769230797</v>
      </c>
      <c r="R250" s="3">
        <v>296.04230769230799</v>
      </c>
      <c r="S250" s="3">
        <v>295.5</v>
      </c>
      <c r="T250" s="3">
        <v>295.5</v>
      </c>
      <c r="U250" s="7">
        <f t="shared" si="39"/>
        <v>0.52500000000000568</v>
      </c>
      <c r="V250" s="3">
        <v>3868.73</v>
      </c>
      <c r="W250" s="3">
        <v>4277.24</v>
      </c>
      <c r="X250" s="3">
        <v>4042.82</v>
      </c>
      <c r="Y250" s="3">
        <v>4051.08</v>
      </c>
      <c r="Z250" s="3">
        <f t="shared" si="40"/>
        <v>204.25499999999988</v>
      </c>
      <c r="AA250" s="4">
        <f t="shared" si="41"/>
        <v>0.11940298507462357</v>
      </c>
      <c r="AB250" s="4">
        <f t="shared" si="42"/>
        <v>6.2324224210209131E-3</v>
      </c>
      <c r="AC250">
        <v>1.1476266666666668</v>
      </c>
      <c r="AD250" s="2">
        <v>6.535499999999999</v>
      </c>
      <c r="AE250" s="2">
        <v>2.1806999999999999</v>
      </c>
      <c r="AF250" s="2">
        <f t="shared" si="43"/>
        <v>4.3547999999999991</v>
      </c>
      <c r="AG250" s="2">
        <v>1.0330733333333331</v>
      </c>
      <c r="AH250" s="1">
        <f t="shared" si="44"/>
        <v>80.825953592079003</v>
      </c>
      <c r="AI250" s="1">
        <f t="shared" si="45"/>
        <v>19.174046407920997</v>
      </c>
      <c r="AJ250" s="1">
        <f t="shared" si="46"/>
        <v>0.95870232039604986</v>
      </c>
      <c r="AK250" s="8">
        <v>0.10889999999999933</v>
      </c>
      <c r="AL250" s="9">
        <v>79.061718900211602</v>
      </c>
      <c r="AM250" s="10">
        <v>3.9530859450105802</v>
      </c>
      <c r="AN250" s="9">
        <v>39.530859450105801</v>
      </c>
      <c r="AO250" s="11">
        <v>3.9541103283343264</v>
      </c>
      <c r="AP250" s="2">
        <v>5.3596856249999991</v>
      </c>
      <c r="AQ250" s="2">
        <f t="shared" si="47"/>
        <v>0.3296206659375</v>
      </c>
      <c r="AR250" s="2">
        <v>1.0052592092718746</v>
      </c>
      <c r="AS250" s="2">
        <v>0.19274886730568888</v>
      </c>
      <c r="AT250" s="2">
        <f t="shared" si="48"/>
        <v>1.9274886730568888E-2</v>
      </c>
      <c r="AU250" s="2">
        <f t="shared" si="49"/>
        <v>2.301479012605177E-2</v>
      </c>
      <c r="AV250" s="2">
        <f t="shared" si="50"/>
        <v>3.7168886053573617E-3</v>
      </c>
      <c r="AW250" s="3">
        <f t="shared" si="51"/>
        <v>16.150000000000002</v>
      </c>
    </row>
    <row r="251" spans="1:49" x14ac:dyDescent="0.2">
      <c r="A251" t="s">
        <v>45</v>
      </c>
      <c r="B251" s="5" t="s">
        <v>46</v>
      </c>
      <c r="C251" s="5" t="s">
        <v>296</v>
      </c>
      <c r="D251" s="5" t="s">
        <v>304</v>
      </c>
      <c r="E251">
        <v>8</v>
      </c>
      <c r="F251" s="6">
        <v>302</v>
      </c>
      <c r="G251" s="3">
        <v>2.2999999999999998</v>
      </c>
      <c r="H251" s="3">
        <v>2.6</v>
      </c>
      <c r="I251" s="3">
        <v>1</v>
      </c>
      <c r="J251" s="3">
        <v>12.235897435897755</v>
      </c>
      <c r="K251" s="3">
        <v>13.235897435897755</v>
      </c>
      <c r="L251" s="3">
        <v>12.735897435897755</v>
      </c>
      <c r="M251" s="1">
        <v>0.19</v>
      </c>
      <c r="N251" s="3">
        <v>292.23589743589775</v>
      </c>
      <c r="O251" s="3">
        <v>293.23589743589775</v>
      </c>
      <c r="P251" s="3">
        <v>292.73589743589775</v>
      </c>
      <c r="Q251" s="3">
        <v>296.23589743589775</v>
      </c>
      <c r="R251" s="3">
        <v>297.23589743589775</v>
      </c>
      <c r="S251" s="3">
        <v>296.7</v>
      </c>
      <c r="T251" s="3">
        <v>296.7</v>
      </c>
      <c r="U251" s="7">
        <f t="shared" si="39"/>
        <v>0.5</v>
      </c>
      <c r="V251" s="3">
        <v>3877.55</v>
      </c>
      <c r="W251" s="3">
        <v>4291.7700000000004</v>
      </c>
      <c r="X251" s="3">
        <v>4053.79</v>
      </c>
      <c r="Y251" s="3">
        <v>4061.13</v>
      </c>
      <c r="Z251" s="3">
        <f t="shared" si="40"/>
        <v>207.11000000000013</v>
      </c>
      <c r="AA251" s="4">
        <f t="shared" si="41"/>
        <v>0.11928429423459196</v>
      </c>
      <c r="AB251" s="4">
        <f t="shared" si="42"/>
        <v>6.2842932551381873E-3</v>
      </c>
      <c r="AC251">
        <v>1.1476266666666668</v>
      </c>
      <c r="AD251" s="2">
        <v>5.4963999999999977</v>
      </c>
      <c r="AE251" s="2">
        <v>2.1255000000000002</v>
      </c>
      <c r="AF251" s="2">
        <f t="shared" si="43"/>
        <v>3.3708999999999976</v>
      </c>
      <c r="AG251" s="2">
        <v>0.97787333333333337</v>
      </c>
      <c r="AH251" s="1">
        <f t="shared" si="44"/>
        <v>77.51381232408832</v>
      </c>
      <c r="AI251" s="1">
        <f t="shared" si="45"/>
        <v>22.48618767591168</v>
      </c>
      <c r="AJ251" s="1">
        <f t="shared" si="46"/>
        <v>1.124309383795584</v>
      </c>
      <c r="AK251" s="8">
        <v>8.3599999999999675E-2</v>
      </c>
      <c r="AL251" s="9">
        <v>79.126092384519382</v>
      </c>
      <c r="AM251" s="10">
        <v>3.9563046192259694</v>
      </c>
      <c r="AN251" s="9">
        <v>39.563046192259691</v>
      </c>
      <c r="AO251" s="11">
        <v>3.9573281693724547</v>
      </c>
      <c r="AP251" s="2">
        <v>4.7119625000000003</v>
      </c>
      <c r="AQ251" s="2">
        <f t="shared" si="47"/>
        <v>0.27800578750000005</v>
      </c>
      <c r="AR251" s="2">
        <v>0.92292188941090492</v>
      </c>
      <c r="AS251" s="2">
        <v>0.20752994815500619</v>
      </c>
      <c r="AT251" s="2">
        <f t="shared" si="48"/>
        <v>2.0752994815500622E-2</v>
      </c>
      <c r="AU251" s="2">
        <f t="shared" si="49"/>
        <v>2.4755063398211374E-2</v>
      </c>
      <c r="AV251" s="2">
        <f t="shared" si="50"/>
        <v>3.9360550803156091E-3</v>
      </c>
      <c r="AW251" s="3">
        <f t="shared" si="51"/>
        <v>15.900000000000002</v>
      </c>
    </row>
    <row r="252" spans="1:49" x14ac:dyDescent="0.2">
      <c r="A252" t="s">
        <v>45</v>
      </c>
      <c r="B252" s="5" t="s">
        <v>46</v>
      </c>
      <c r="C252" s="5" t="s">
        <v>296</v>
      </c>
      <c r="D252" s="5" t="s">
        <v>305</v>
      </c>
      <c r="E252">
        <v>8</v>
      </c>
      <c r="F252" s="6">
        <v>303</v>
      </c>
      <c r="G252" s="3">
        <v>2.2999999999999998</v>
      </c>
      <c r="H252" s="3">
        <v>2.5499999999999998</v>
      </c>
      <c r="I252" s="3">
        <v>1</v>
      </c>
      <c r="J252" s="3">
        <v>13.429487179487523</v>
      </c>
      <c r="K252" s="3">
        <v>14.429487179487523</v>
      </c>
      <c r="L252" s="3">
        <v>13.929487179487523</v>
      </c>
      <c r="M252" s="1">
        <v>0.19</v>
      </c>
      <c r="N252" s="3">
        <v>293.42948717948752</v>
      </c>
      <c r="O252" s="3">
        <v>294.42948717948752</v>
      </c>
      <c r="P252" s="3">
        <v>293.92948717948752</v>
      </c>
      <c r="Q252" s="3">
        <v>297.42948717948752</v>
      </c>
      <c r="R252" s="3">
        <v>298.42948717948752</v>
      </c>
      <c r="S252" s="3">
        <v>297.89999999999998</v>
      </c>
      <c r="T252" s="3">
        <v>297.89999999999998</v>
      </c>
      <c r="U252" s="7">
        <f t="shared" si="39"/>
        <v>0.5</v>
      </c>
      <c r="V252" s="3">
        <v>3881.47</v>
      </c>
      <c r="W252" s="3">
        <v>4306.17</v>
      </c>
      <c r="X252" s="3">
        <v>4063.62</v>
      </c>
      <c r="Y252" s="3">
        <v>4071.19</v>
      </c>
      <c r="Z252" s="3">
        <f t="shared" si="40"/>
        <v>212.35000000000014</v>
      </c>
      <c r="AA252" s="4">
        <f t="shared" si="41"/>
        <v>0.11940298507463463</v>
      </c>
      <c r="AB252" s="4">
        <f t="shared" si="42"/>
        <v>6.4283716146255488E-3</v>
      </c>
      <c r="AC252">
        <v>1.1476266666666668</v>
      </c>
      <c r="AD252" s="2">
        <v>6.3345999999999982</v>
      </c>
      <c r="AE252" s="2">
        <v>2.1520000000000001</v>
      </c>
      <c r="AF252" s="2">
        <f t="shared" si="43"/>
        <v>4.1825999999999981</v>
      </c>
      <c r="AG252" s="2">
        <v>1.0043733333333333</v>
      </c>
      <c r="AH252" s="1">
        <f t="shared" si="44"/>
        <v>80.636620456888139</v>
      </c>
      <c r="AI252" s="1">
        <f t="shared" si="45"/>
        <v>19.363379543111861</v>
      </c>
      <c r="AJ252" s="1">
        <f t="shared" si="46"/>
        <v>0.96816897715559314</v>
      </c>
      <c r="AK252" s="8">
        <v>0.12380000000000013</v>
      </c>
      <c r="AL252" s="9">
        <v>76.14643545279381</v>
      </c>
      <c r="AM252" s="10">
        <v>3.8073217726396908</v>
      </c>
      <c r="AN252" s="9">
        <v>38.073217726396905</v>
      </c>
      <c r="AO252" s="11">
        <v>3.8083853639588834</v>
      </c>
      <c r="AP252" s="2">
        <v>4.6162906249999995</v>
      </c>
      <c r="AQ252" s="2">
        <f t="shared" si="47"/>
        <v>0.27005300156250001</v>
      </c>
      <c r="AR252" s="2">
        <v>1.1236236525583421</v>
      </c>
      <c r="AS252" s="2">
        <v>0.21757151248104822</v>
      </c>
      <c r="AT252" s="2">
        <f t="shared" si="48"/>
        <v>2.1757151248104824E-2</v>
      </c>
      <c r="AU252" s="2">
        <f t="shared" si="49"/>
        <v>2.5978688057440285E-2</v>
      </c>
      <c r="AV252" s="2">
        <f t="shared" si="50"/>
        <v>4.1176220571042862E-3</v>
      </c>
      <c r="AW252" s="3">
        <f t="shared" si="51"/>
        <v>15.850000000000003</v>
      </c>
    </row>
    <row r="253" spans="1:49" x14ac:dyDescent="0.2">
      <c r="A253" t="s">
        <v>45</v>
      </c>
      <c r="B253" s="5" t="s">
        <v>46</v>
      </c>
      <c r="C253" s="5" t="s">
        <v>296</v>
      </c>
      <c r="D253" s="5" t="s">
        <v>306</v>
      </c>
      <c r="E253">
        <v>8</v>
      </c>
      <c r="F253" s="6">
        <v>304</v>
      </c>
      <c r="G253" s="3">
        <v>2.35</v>
      </c>
      <c r="H253" s="3">
        <v>2.6</v>
      </c>
      <c r="I253" s="3">
        <v>1</v>
      </c>
      <c r="J253" s="3">
        <v>14.623076923077292</v>
      </c>
      <c r="K253" s="3">
        <v>15.623076923077292</v>
      </c>
      <c r="L253" s="3">
        <v>15.123076923077292</v>
      </c>
      <c r="M253" s="1">
        <v>0.19</v>
      </c>
      <c r="N253" s="3">
        <v>294.62307692307729</v>
      </c>
      <c r="O253" s="3">
        <v>295.62307692307729</v>
      </c>
      <c r="P253" s="3">
        <v>295.12307692307729</v>
      </c>
      <c r="Q253" s="3">
        <v>298.62307692307729</v>
      </c>
      <c r="R253" s="3">
        <v>299.62307692307729</v>
      </c>
      <c r="S253" s="3">
        <v>299.10000000000002</v>
      </c>
      <c r="T253" s="3">
        <v>299.10000000000002</v>
      </c>
      <c r="U253" s="7">
        <f t="shared" si="39"/>
        <v>0.5</v>
      </c>
      <c r="V253" s="3">
        <v>3885.3</v>
      </c>
      <c r="W253" s="3">
        <v>4326.88</v>
      </c>
      <c r="X253" s="3">
        <v>4073.69</v>
      </c>
      <c r="Y253" s="3">
        <v>4081.24</v>
      </c>
      <c r="Z253" s="3">
        <f t="shared" si="40"/>
        <v>220.78999999999996</v>
      </c>
      <c r="AA253" s="4">
        <f t="shared" si="41"/>
        <v>0.12084592145014637</v>
      </c>
      <c r="AB253" s="4">
        <f t="shared" si="42"/>
        <v>6.7396297295424261E-3</v>
      </c>
      <c r="AC253">
        <v>1.1476266666666668</v>
      </c>
      <c r="AD253" s="2">
        <v>6.5506999999999991</v>
      </c>
      <c r="AE253" s="2">
        <v>2.2812000000000001</v>
      </c>
      <c r="AF253" s="2">
        <f t="shared" si="43"/>
        <v>4.269499999999999</v>
      </c>
      <c r="AG253" s="2">
        <v>1.1335733333333333</v>
      </c>
      <c r="AH253" s="1">
        <f t="shared" si="44"/>
        <v>79.019841793744533</v>
      </c>
      <c r="AI253" s="1">
        <f t="shared" si="45"/>
        <v>20.980158206255467</v>
      </c>
      <c r="AJ253" s="1">
        <f t="shared" si="46"/>
        <v>1.0490079103127734</v>
      </c>
      <c r="AK253" s="8">
        <v>0.11000000000000032</v>
      </c>
      <c r="AL253" s="9">
        <v>76.076555023923405</v>
      </c>
      <c r="AM253" s="10">
        <v>3.8038277511961702</v>
      </c>
      <c r="AN253" s="9">
        <v>38.038277511961702</v>
      </c>
      <c r="AO253" s="11">
        <v>3.8048923192082733</v>
      </c>
      <c r="AP253" s="2">
        <v>4.8086156250000007</v>
      </c>
      <c r="AQ253" s="2">
        <f t="shared" si="47"/>
        <v>0.28611262968750006</v>
      </c>
      <c r="AR253" s="2">
        <v>1.123623461447562</v>
      </c>
      <c r="AS253" s="2">
        <v>0.23573797985430228</v>
      </c>
      <c r="AT253" s="2">
        <f t="shared" si="48"/>
        <v>2.3573797985430231E-2</v>
      </c>
      <c r="AU253" s="2">
        <f t="shared" si="49"/>
        <v>2.8487973396289203E-2</v>
      </c>
      <c r="AV253" s="2">
        <f t="shared" si="50"/>
        <v>4.5438317567081275E-3</v>
      </c>
      <c r="AW253" s="3">
        <f t="shared" si="51"/>
        <v>15.949999999999998</v>
      </c>
    </row>
    <row r="254" spans="1:49" x14ac:dyDescent="0.2">
      <c r="A254" t="s">
        <v>45</v>
      </c>
      <c r="B254" s="5" t="s">
        <v>46</v>
      </c>
      <c r="C254" s="5" t="s">
        <v>296</v>
      </c>
      <c r="D254" s="5" t="s">
        <v>307</v>
      </c>
      <c r="E254">
        <v>8</v>
      </c>
      <c r="F254" s="6">
        <v>305</v>
      </c>
      <c r="G254" s="3">
        <v>2.25</v>
      </c>
      <c r="H254" s="3">
        <v>2.5499999999999998</v>
      </c>
      <c r="I254" s="3">
        <v>1</v>
      </c>
      <c r="J254" s="3">
        <v>15.816666666667061</v>
      </c>
      <c r="K254" s="3">
        <v>16.816666666667061</v>
      </c>
      <c r="L254" s="3">
        <v>16.316666666667061</v>
      </c>
      <c r="M254" s="1">
        <v>0.19</v>
      </c>
      <c r="N254" s="3">
        <v>295.81666666666706</v>
      </c>
      <c r="O254" s="3">
        <v>296.81666666666706</v>
      </c>
      <c r="P254" s="3">
        <v>296.31666666666706</v>
      </c>
      <c r="Q254" s="3">
        <v>299.81666666666706</v>
      </c>
      <c r="R254" s="3">
        <v>300.81666666666706</v>
      </c>
      <c r="S254" s="3">
        <v>300.3</v>
      </c>
      <c r="T254" s="3">
        <v>300.3</v>
      </c>
      <c r="U254" s="7">
        <f t="shared" si="39"/>
        <v>0.5</v>
      </c>
      <c r="V254" s="3">
        <v>3891.9</v>
      </c>
      <c r="W254" s="3">
        <v>4341.82</v>
      </c>
      <c r="X254" s="3">
        <v>4082.59</v>
      </c>
      <c r="Y254" s="3">
        <v>4091.17</v>
      </c>
      <c r="Z254" s="3">
        <f t="shared" si="40"/>
        <v>224.95999999999981</v>
      </c>
      <c r="AA254" s="4">
        <f t="shared" si="41"/>
        <v>0.125260960334029</v>
      </c>
      <c r="AB254" s="4">
        <f t="shared" si="42"/>
        <v>7.0962484705697449E-3</v>
      </c>
      <c r="AC254">
        <v>1.1476266666666668</v>
      </c>
      <c r="AD254" s="2">
        <v>6.1188000000000002</v>
      </c>
      <c r="AE254" s="2">
        <v>2.3321999999999998</v>
      </c>
      <c r="AF254" s="2">
        <f t="shared" si="43"/>
        <v>3.7866000000000004</v>
      </c>
      <c r="AG254" s="2">
        <v>1.184573333333333</v>
      </c>
      <c r="AH254" s="1">
        <f t="shared" si="44"/>
        <v>76.171152082137567</v>
      </c>
      <c r="AI254" s="1">
        <f t="shared" si="45"/>
        <v>23.828847917862433</v>
      </c>
      <c r="AJ254" s="1">
        <f t="shared" si="46"/>
        <v>1.1914423958931217</v>
      </c>
      <c r="AK254" s="8">
        <v>0.13560000000000016</v>
      </c>
      <c r="AL254" s="9">
        <v>74.990778310586478</v>
      </c>
      <c r="AM254" s="10">
        <v>3.7495389155293242</v>
      </c>
      <c r="AN254" s="9">
        <v>37.495389155293239</v>
      </c>
      <c r="AO254" s="11">
        <v>3.7506188928054023</v>
      </c>
      <c r="AP254" s="2">
        <v>4.5215999999999994</v>
      </c>
      <c r="AQ254" s="2">
        <f t="shared" si="47"/>
        <v>0.26225279999999995</v>
      </c>
      <c r="AR254" s="2">
        <v>1.0994279311158295</v>
      </c>
      <c r="AS254" s="2">
        <v>0.26198100967209242</v>
      </c>
      <c r="AT254" s="2">
        <f t="shared" si="48"/>
        <v>2.6198100967209245E-2</v>
      </c>
      <c r="AU254" s="2">
        <f t="shared" si="49"/>
        <v>3.2815992860804839E-2</v>
      </c>
      <c r="AV254" s="2">
        <f t="shared" si="50"/>
        <v>5.1849268720071647E-3</v>
      </c>
      <c r="AW254" s="3">
        <f t="shared" si="51"/>
        <v>15.8</v>
      </c>
    </row>
    <row r="255" spans="1:49" x14ac:dyDescent="0.2">
      <c r="A255" t="s">
        <v>45</v>
      </c>
      <c r="B255" s="5" t="s">
        <v>46</v>
      </c>
      <c r="C255" s="5" t="s">
        <v>296</v>
      </c>
      <c r="D255" s="5" t="s">
        <v>308</v>
      </c>
      <c r="E255">
        <v>8</v>
      </c>
      <c r="F255" s="6">
        <v>306</v>
      </c>
      <c r="G255" s="3">
        <v>2.2000000000000002</v>
      </c>
      <c r="H255" s="3">
        <v>2.4500000000000002</v>
      </c>
      <c r="I255" s="3">
        <v>1</v>
      </c>
      <c r="J255" s="3">
        <v>17.010256410256829</v>
      </c>
      <c r="K255" s="3">
        <v>18.010256410256829</v>
      </c>
      <c r="L255" s="3">
        <v>17.510256410256829</v>
      </c>
      <c r="M255" s="1">
        <v>0.19</v>
      </c>
      <c r="N255" s="3">
        <v>297.01025641025683</v>
      </c>
      <c r="O255" s="3">
        <v>298.01025641025683</v>
      </c>
      <c r="P255" s="3">
        <v>297.51025641025683</v>
      </c>
      <c r="Q255" s="3">
        <v>301.01025641025683</v>
      </c>
      <c r="R255" s="3">
        <v>302.01025641025683</v>
      </c>
      <c r="S255" s="3">
        <v>301.5</v>
      </c>
      <c r="T255" s="3">
        <v>301.5</v>
      </c>
      <c r="U255" s="7">
        <f t="shared" si="39"/>
        <v>0.5</v>
      </c>
      <c r="V255" s="3">
        <v>3901.09</v>
      </c>
      <c r="W255" s="3">
        <v>4351.07</v>
      </c>
      <c r="X255" s="3">
        <v>4093.56</v>
      </c>
      <c r="Y255" s="3">
        <v>4100.75</v>
      </c>
      <c r="Z255" s="3">
        <f t="shared" si="40"/>
        <v>224.98999999999978</v>
      </c>
      <c r="AA255" s="4">
        <f t="shared" si="41"/>
        <v>0.12539184952978319</v>
      </c>
      <c r="AB255" s="4">
        <f t="shared" si="42"/>
        <v>7.0876424029378236E-3</v>
      </c>
      <c r="AC255">
        <v>1.1476266666666668</v>
      </c>
      <c r="AD255" s="2">
        <v>6.1544999999999987</v>
      </c>
      <c r="AE255" s="2">
        <v>2.2803</v>
      </c>
      <c r="AF255" s="2">
        <f t="shared" si="43"/>
        <v>3.8741999999999988</v>
      </c>
      <c r="AG255" s="2">
        <v>1.1326733333333332</v>
      </c>
      <c r="AH255" s="1">
        <f t="shared" si="44"/>
        <v>77.377631549163752</v>
      </c>
      <c r="AI255" s="1">
        <f t="shared" si="45"/>
        <v>22.622368450836248</v>
      </c>
      <c r="AJ255" s="1">
        <f t="shared" si="46"/>
        <v>1.1311184225418125</v>
      </c>
      <c r="AK255" s="8">
        <v>0.12809999999999988</v>
      </c>
      <c r="AL255" s="9">
        <v>77.951807228915655</v>
      </c>
      <c r="AM255" s="10">
        <v>3.8975903614457827</v>
      </c>
      <c r="AN255" s="9">
        <v>38.975903614457827</v>
      </c>
      <c r="AO255" s="11">
        <v>3.8986293265242682</v>
      </c>
      <c r="AP255" s="2">
        <v>4.2434156250000008</v>
      </c>
      <c r="AQ255" s="2">
        <f t="shared" si="47"/>
        <v>0.23975298281250004</v>
      </c>
      <c r="AR255" s="2">
        <v>1.1799158451119978</v>
      </c>
      <c r="AS255" s="2">
        <v>0.26692490989103451</v>
      </c>
      <c r="AT255" s="2">
        <f t="shared" si="48"/>
        <v>2.6692490989103451E-2</v>
      </c>
      <c r="AU255" s="2">
        <f t="shared" si="49"/>
        <v>3.3470208136807539E-2</v>
      </c>
      <c r="AV255" s="2">
        <f t="shared" si="50"/>
        <v>5.2380875734103797E-3</v>
      </c>
      <c r="AW255" s="3">
        <f t="shared" si="51"/>
        <v>15.65</v>
      </c>
    </row>
    <row r="256" spans="1:49" x14ac:dyDescent="0.2">
      <c r="A256" t="s">
        <v>45</v>
      </c>
      <c r="B256" s="5" t="s">
        <v>46</v>
      </c>
      <c r="C256" s="5" t="s">
        <v>296</v>
      </c>
      <c r="D256" s="5" t="s">
        <v>309</v>
      </c>
      <c r="E256">
        <v>8</v>
      </c>
      <c r="F256" s="6">
        <v>307</v>
      </c>
      <c r="G256" s="3">
        <v>2.35</v>
      </c>
      <c r="H256" s="3">
        <v>2.5499999999999998</v>
      </c>
      <c r="I256" s="3">
        <v>1</v>
      </c>
      <c r="J256" s="3">
        <v>18.203846153846598</v>
      </c>
      <c r="K256" s="3">
        <v>19.203846153846598</v>
      </c>
      <c r="L256" s="3">
        <v>18.703846153846598</v>
      </c>
      <c r="M256" s="1">
        <v>0.19</v>
      </c>
      <c r="N256" s="3">
        <v>298.2038461538466</v>
      </c>
      <c r="O256" s="3">
        <v>299.2038461538466</v>
      </c>
      <c r="P256" s="3">
        <v>298.7038461538466</v>
      </c>
      <c r="Q256" s="3">
        <v>302.2038461538466</v>
      </c>
      <c r="R256" s="3">
        <v>303.2038461538466</v>
      </c>
      <c r="S256" s="3">
        <v>302.7</v>
      </c>
      <c r="T256" s="3">
        <v>302.7</v>
      </c>
      <c r="U256" s="7">
        <f t="shared" si="39"/>
        <v>0.5</v>
      </c>
      <c r="V256" s="3">
        <v>3910.61</v>
      </c>
      <c r="W256" s="3">
        <v>4359.07</v>
      </c>
      <c r="X256" s="3">
        <v>4102.6499999999996</v>
      </c>
      <c r="Y256" s="3">
        <v>4110.32</v>
      </c>
      <c r="Z256" s="3">
        <f t="shared" si="40"/>
        <v>224.22999999999979</v>
      </c>
      <c r="AA256" s="4">
        <f t="shared" si="41"/>
        <v>0.12539184952977128</v>
      </c>
      <c r="AB256" s="4">
        <f t="shared" si="42"/>
        <v>7.0476151282738882E-3</v>
      </c>
      <c r="AC256">
        <v>1.1476266666666668</v>
      </c>
      <c r="AD256" s="2">
        <v>6.6810999999999972</v>
      </c>
      <c r="AE256" s="2">
        <v>2.3874</v>
      </c>
      <c r="AF256" s="2">
        <f t="shared" si="43"/>
        <v>4.2936999999999976</v>
      </c>
      <c r="AG256" s="2">
        <v>1.2397733333333332</v>
      </c>
      <c r="AH256" s="1">
        <f t="shared" si="44"/>
        <v>77.59502470419423</v>
      </c>
      <c r="AI256" s="1">
        <f t="shared" si="45"/>
        <v>22.40497529580577</v>
      </c>
      <c r="AJ256" s="1">
        <f t="shared" si="46"/>
        <v>1.1202487647902886</v>
      </c>
      <c r="AK256" s="8">
        <v>0.11219999999999963</v>
      </c>
      <c r="AL256" s="9">
        <v>77.773375594294819</v>
      </c>
      <c r="AM256" s="10">
        <v>3.8886687797147412</v>
      </c>
      <c r="AN256" s="9">
        <v>38.88668779714741</v>
      </c>
      <c r="AO256" s="11">
        <v>3.8897101278023452</v>
      </c>
      <c r="AP256" s="2">
        <v>4.7119625000000003</v>
      </c>
      <c r="AQ256" s="2">
        <f t="shared" si="47"/>
        <v>0.27800578750000005</v>
      </c>
      <c r="AR256" s="2">
        <v>1.1743457918719282</v>
      </c>
      <c r="AS256" s="2">
        <v>0.26311188455624024</v>
      </c>
      <c r="AT256" s="2">
        <f t="shared" si="48"/>
        <v>2.6311188455624024E-2</v>
      </c>
      <c r="AU256" s="2">
        <f t="shared" si="49"/>
        <v>3.2992085837770628E-2</v>
      </c>
      <c r="AV256" s="2">
        <f t="shared" si="50"/>
        <v>5.24574164820553E-3</v>
      </c>
      <c r="AW256" s="3">
        <f t="shared" si="51"/>
        <v>15.9</v>
      </c>
    </row>
    <row r="257" spans="1:49" x14ac:dyDescent="0.2">
      <c r="A257" t="s">
        <v>45</v>
      </c>
      <c r="B257" s="5" t="s">
        <v>46</v>
      </c>
      <c r="C257" s="5" t="s">
        <v>296</v>
      </c>
      <c r="D257" s="5" t="s">
        <v>310</v>
      </c>
      <c r="E257">
        <v>8</v>
      </c>
      <c r="F257" s="6">
        <v>308</v>
      </c>
      <c r="G257" s="3">
        <v>2.2000000000000002</v>
      </c>
      <c r="H257" s="3">
        <v>2.6</v>
      </c>
      <c r="I257" s="3">
        <v>1.05</v>
      </c>
      <c r="J257" s="3">
        <v>19.397435897436367</v>
      </c>
      <c r="K257" s="3">
        <v>20.447435897436378</v>
      </c>
      <c r="L257" s="3">
        <v>19.922435897436344</v>
      </c>
      <c r="M257" s="1">
        <v>0.19</v>
      </c>
      <c r="N257" s="3">
        <v>299.39743589743637</v>
      </c>
      <c r="O257" s="3">
        <v>300.44743589743638</v>
      </c>
      <c r="P257" s="3">
        <v>299.92243589743634</v>
      </c>
      <c r="Q257" s="3">
        <v>303.39743589743637</v>
      </c>
      <c r="R257" s="3">
        <v>304.44743589743638</v>
      </c>
      <c r="S257" s="3">
        <v>303.89999999999998</v>
      </c>
      <c r="T257" s="3">
        <v>303.89999999999998</v>
      </c>
      <c r="U257" s="7">
        <f t="shared" si="39"/>
        <v>0.52500000000000568</v>
      </c>
      <c r="V257" s="3">
        <v>3917.67</v>
      </c>
      <c r="W257" s="3">
        <v>4367.04</v>
      </c>
      <c r="X257" s="3">
        <v>4112.09</v>
      </c>
      <c r="Y257" s="3">
        <v>4119.8900000000003</v>
      </c>
      <c r="Z257" s="3">
        <f t="shared" si="40"/>
        <v>224.68499999999995</v>
      </c>
      <c r="AA257" s="4">
        <f t="shared" si="41"/>
        <v>0.12536162005786161</v>
      </c>
      <c r="AB257" s="4">
        <f t="shared" si="42"/>
        <v>7.0533702860608311E-3</v>
      </c>
      <c r="AC257">
        <v>1.1476266666666668</v>
      </c>
      <c r="AD257" s="2">
        <v>6.5451999999999977</v>
      </c>
      <c r="AE257" s="2">
        <v>2.3342999999999998</v>
      </c>
      <c r="AF257" s="2">
        <f t="shared" si="43"/>
        <v>4.2108999999999979</v>
      </c>
      <c r="AG257" s="2">
        <v>1.186673333333333</v>
      </c>
      <c r="AH257" s="1">
        <f t="shared" si="44"/>
        <v>78.014688082051677</v>
      </c>
      <c r="AI257" s="1">
        <f t="shared" si="45"/>
        <v>21.985311917948323</v>
      </c>
      <c r="AJ257" s="1">
        <f t="shared" si="46"/>
        <v>1.0992655958974162</v>
      </c>
      <c r="AK257" s="8">
        <v>0.10200000000000031</v>
      </c>
      <c r="AL257" s="9">
        <v>78.521794061907741</v>
      </c>
      <c r="AM257" s="10">
        <v>3.9260897030953874</v>
      </c>
      <c r="AN257" s="9">
        <v>39.260897030953871</v>
      </c>
      <c r="AO257" s="11">
        <v>3.9271211283523746</v>
      </c>
      <c r="AP257" s="2">
        <v>4.7476800000000017</v>
      </c>
      <c r="AQ257" s="2">
        <f t="shared" si="47"/>
        <v>0.27773928000000009</v>
      </c>
      <c r="AR257" s="2">
        <v>1.1368865073748293</v>
      </c>
      <c r="AS257" s="2">
        <v>0.2499480447994247</v>
      </c>
      <c r="AT257" s="2">
        <f t="shared" si="48"/>
        <v>2.499480447994247E-2</v>
      </c>
      <c r="AU257" s="2">
        <f t="shared" si="49"/>
        <v>3.1333891826350851E-2</v>
      </c>
      <c r="AV257" s="2">
        <f t="shared" si="50"/>
        <v>4.9664218544766096E-3</v>
      </c>
      <c r="AW257" s="3">
        <f t="shared" si="51"/>
        <v>15.85</v>
      </c>
    </row>
    <row r="258" spans="1:49" x14ac:dyDescent="0.2">
      <c r="A258" t="s">
        <v>45</v>
      </c>
      <c r="B258" s="5" t="s">
        <v>46</v>
      </c>
      <c r="C258" s="5" t="s">
        <v>296</v>
      </c>
      <c r="D258" s="5" t="s">
        <v>311</v>
      </c>
      <c r="E258">
        <v>8</v>
      </c>
      <c r="F258" s="6">
        <v>309</v>
      </c>
      <c r="G258" s="3">
        <v>2.4</v>
      </c>
      <c r="H258" s="3">
        <v>2.4500000000000002</v>
      </c>
      <c r="I258" s="3">
        <v>1.05</v>
      </c>
      <c r="J258" s="3">
        <v>20.641025641026147</v>
      </c>
      <c r="K258" s="3">
        <v>21.691025641026158</v>
      </c>
      <c r="L258" s="3">
        <v>21.166025641026181</v>
      </c>
      <c r="M258" s="1">
        <v>0.19</v>
      </c>
      <c r="N258" s="3">
        <v>300.64102564102615</v>
      </c>
      <c r="O258" s="3">
        <v>301.69102564102616</v>
      </c>
      <c r="P258" s="3">
        <v>301.16602564102618</v>
      </c>
      <c r="Q258" s="3">
        <v>304.64102564102615</v>
      </c>
      <c r="R258" s="3">
        <v>305.69102564102616</v>
      </c>
      <c r="S258" s="3">
        <v>305.2</v>
      </c>
      <c r="T258" s="3">
        <v>305.2</v>
      </c>
      <c r="U258" s="7">
        <f t="shared" si="39"/>
        <v>0.52500000000000568</v>
      </c>
      <c r="V258" s="3">
        <v>3924.93</v>
      </c>
      <c r="W258" s="3">
        <v>4378.6000000000004</v>
      </c>
      <c r="X258" s="3">
        <v>4122.34</v>
      </c>
      <c r="Y258" s="3">
        <v>4130.26</v>
      </c>
      <c r="Z258" s="3">
        <f t="shared" si="40"/>
        <v>226.83500000000026</v>
      </c>
      <c r="AA258" s="4">
        <f t="shared" si="41"/>
        <v>0.125260960334029</v>
      </c>
      <c r="AB258" s="4">
        <f t="shared" si="42"/>
        <v>7.0948377681795908E-3</v>
      </c>
      <c r="AC258">
        <v>1.1476266666666668</v>
      </c>
      <c r="AD258" s="2">
        <v>7.3523999999999994</v>
      </c>
      <c r="AE258" s="2">
        <v>2.5105</v>
      </c>
      <c r="AF258" s="2">
        <f t="shared" si="43"/>
        <v>4.841899999999999</v>
      </c>
      <c r="AG258" s="2">
        <v>1.3628733333333332</v>
      </c>
      <c r="AH258" s="1">
        <f t="shared" si="44"/>
        <v>78.035082667537679</v>
      </c>
      <c r="AI258" s="1">
        <f t="shared" si="45"/>
        <v>21.964917332462321</v>
      </c>
      <c r="AJ258" s="1">
        <f t="shared" si="46"/>
        <v>1.0982458666231161</v>
      </c>
      <c r="AK258" s="8">
        <v>0.11500000000000021</v>
      </c>
      <c r="AL258" s="9">
        <v>77.948226270373866</v>
      </c>
      <c r="AM258" s="10">
        <v>3.8974113135186936</v>
      </c>
      <c r="AN258" s="9">
        <v>38.974113135186933</v>
      </c>
      <c r="AO258" s="11">
        <v>3.898450326314741</v>
      </c>
      <c r="AP258" s="2">
        <v>4.8471051562499996</v>
      </c>
      <c r="AQ258" s="2">
        <f t="shared" si="47"/>
        <v>0.28597920421875</v>
      </c>
      <c r="AR258" s="2">
        <v>1.2800987668552468</v>
      </c>
      <c r="AS258" s="2">
        <v>0.28117263591362451</v>
      </c>
      <c r="AT258" s="2">
        <f t="shared" si="48"/>
        <v>2.8117263591362452E-2</v>
      </c>
      <c r="AU258" s="2">
        <f t="shared" si="49"/>
        <v>3.52199543941909E-2</v>
      </c>
      <c r="AV258" s="2">
        <f t="shared" si="50"/>
        <v>5.5999727486763535E-3</v>
      </c>
      <c r="AW258" s="3">
        <f t="shared" si="51"/>
        <v>15.9</v>
      </c>
    </row>
    <row r="259" spans="1:49" x14ac:dyDescent="0.2">
      <c r="A259" t="s">
        <v>45</v>
      </c>
      <c r="B259" s="5" t="s">
        <v>46</v>
      </c>
      <c r="C259" s="5" t="s">
        <v>296</v>
      </c>
      <c r="D259" s="5" t="s">
        <v>312</v>
      </c>
      <c r="E259">
        <v>8</v>
      </c>
      <c r="F259" s="6">
        <v>310</v>
      </c>
      <c r="G259" s="3">
        <v>2.1</v>
      </c>
      <c r="H259" s="3">
        <v>2.5499999999999998</v>
      </c>
      <c r="I259" s="3">
        <v>1</v>
      </c>
      <c r="J259" s="3">
        <v>21.884615384615927</v>
      </c>
      <c r="K259" s="3">
        <v>22.884615384615927</v>
      </c>
      <c r="L259" s="3">
        <v>22.384615384615927</v>
      </c>
      <c r="M259" s="1">
        <v>0.19</v>
      </c>
      <c r="N259" s="3">
        <v>301.88461538461593</v>
      </c>
      <c r="O259" s="3">
        <v>302.88461538461593</v>
      </c>
      <c r="P259" s="3">
        <v>302.38461538461593</v>
      </c>
      <c r="Q259" s="3">
        <v>305.88461538461593</v>
      </c>
      <c r="R259" s="3">
        <v>306.88461538461593</v>
      </c>
      <c r="S259" s="3">
        <v>306.39999999999998</v>
      </c>
      <c r="T259" s="3">
        <v>306.39999999999998</v>
      </c>
      <c r="U259" s="7">
        <f t="shared" ref="U259:U322" si="52">((R259-S259)+(S259-Q259))/2</f>
        <v>0.5</v>
      </c>
      <c r="V259" s="3">
        <v>3931.61</v>
      </c>
      <c r="W259" s="3">
        <v>4392.9799999999996</v>
      </c>
      <c r="X259" s="3">
        <v>4133.3100000000004</v>
      </c>
      <c r="Y259" s="3">
        <v>4139.84</v>
      </c>
      <c r="Z259" s="3">
        <f t="shared" ref="Z259:Z322" si="53">((W259-Y259)+(Y259-V259))/2</f>
        <v>230.68499999999972</v>
      </c>
      <c r="AA259" s="4">
        <f t="shared" ref="AA259:AA322" si="54">(T260-T259)/(Y260-Y259)</f>
        <v>0.12539184952978913</v>
      </c>
      <c r="AB259" s="4">
        <f t="shared" ref="AB259:AB322" si="55">AA259*((Z259/Y259)+(U259/T259))</f>
        <v>7.1918522672158583E-3</v>
      </c>
      <c r="AC259">
        <v>1.1476266666666668</v>
      </c>
      <c r="AD259" s="2">
        <v>6.285899999999998</v>
      </c>
      <c r="AE259" s="2">
        <v>2.2597</v>
      </c>
      <c r="AF259" s="2">
        <f t="shared" ref="AF259:AF322" si="56">AD259-AE259</f>
        <v>4.0261999999999976</v>
      </c>
      <c r="AG259" s="2">
        <v>1.1120733333333332</v>
      </c>
      <c r="AH259" s="1">
        <f t="shared" ref="AH259:AH322" si="57">((AD259-AC259)-(AE259-AC259))/(AD259-AC259)*100</f>
        <v>78.357061580998021</v>
      </c>
      <c r="AI259" s="1">
        <f t="shared" ref="AI259:AI322" si="58">100-AH259</f>
        <v>21.642938419001979</v>
      </c>
      <c r="AJ259" s="1">
        <f t="shared" ref="AJ259:AJ322" si="59">AI259*0.05</f>
        <v>1.0821469209500989</v>
      </c>
      <c r="AK259" s="8">
        <v>0.13830000000000009</v>
      </c>
      <c r="AL259" s="9">
        <v>76.391259815636715</v>
      </c>
      <c r="AM259" s="10">
        <v>3.819562990781836</v>
      </c>
      <c r="AN259" s="9">
        <v>38.195629907818358</v>
      </c>
      <c r="AO259" s="11">
        <v>3.8206231743722494</v>
      </c>
      <c r="AP259" s="2">
        <v>4.2434156250000008</v>
      </c>
      <c r="AQ259" s="2">
        <f t="shared" ref="AQ259:AQ322" si="60">AP259*((G259*0.01)+(H259*0.01)+(I259*0.01))</f>
        <v>0.23975298281250004</v>
      </c>
      <c r="AR259" s="2">
        <v>1.2108814661145362</v>
      </c>
      <c r="AS259" s="2">
        <v>0.26207033003827734</v>
      </c>
      <c r="AT259" s="2">
        <f t="shared" ref="AT259:AT322" si="61">AS259*0.1</f>
        <v>2.6207033003827734E-2</v>
      </c>
      <c r="AU259" s="2">
        <f t="shared" ref="AU259:AU322" si="62">AS259*AA259</f>
        <v>3.2861483390381849E-2</v>
      </c>
      <c r="AV259" s="2">
        <f t="shared" ref="AV259:AV322" si="63">AU259*((AT259/AS259)+(AQ259/AP259))</f>
        <v>5.1428221505947589E-3</v>
      </c>
      <c r="AW259" s="3">
        <f t="shared" ref="AW259:AW322" si="64">(AV259/AU259)*100</f>
        <v>15.65</v>
      </c>
    </row>
    <row r="260" spans="1:49" x14ac:dyDescent="0.2">
      <c r="A260" t="s">
        <v>45</v>
      </c>
      <c r="B260" s="5" t="s">
        <v>46</v>
      </c>
      <c r="C260" s="5" t="s">
        <v>296</v>
      </c>
      <c r="D260" s="5" t="s">
        <v>313</v>
      </c>
      <c r="E260">
        <v>8</v>
      </c>
      <c r="F260" s="6">
        <v>311</v>
      </c>
      <c r="G260" s="3">
        <v>2.1</v>
      </c>
      <c r="H260" s="3">
        <v>2.5499999999999998</v>
      </c>
      <c r="I260" s="3">
        <v>0.95</v>
      </c>
      <c r="J260" s="3">
        <v>23.078205128205695</v>
      </c>
      <c r="K260" s="3">
        <v>24.028205128205684</v>
      </c>
      <c r="L260" s="3">
        <v>23.553205128205718</v>
      </c>
      <c r="M260" s="1">
        <v>0.19</v>
      </c>
      <c r="N260" s="3">
        <v>303.0782051282057</v>
      </c>
      <c r="O260" s="3">
        <v>304.02820512820568</v>
      </c>
      <c r="P260" s="3">
        <v>303.55320512820572</v>
      </c>
      <c r="Q260" s="3">
        <v>307.0782051282057</v>
      </c>
      <c r="R260" s="3">
        <v>308.02820512820568</v>
      </c>
      <c r="S260" s="3">
        <v>307.60000000000002</v>
      </c>
      <c r="T260" s="3">
        <v>307.60000000000002</v>
      </c>
      <c r="U260" s="7">
        <f t="shared" si="52"/>
        <v>0.47499999999999432</v>
      </c>
      <c r="V260" s="3">
        <v>3937.51</v>
      </c>
      <c r="W260" s="3">
        <v>4410.04</v>
      </c>
      <c r="X260" s="3">
        <v>4143.1400000000003</v>
      </c>
      <c r="Y260" s="3">
        <v>4149.41</v>
      </c>
      <c r="Z260" s="3">
        <f t="shared" si="53"/>
        <v>236.26499999999987</v>
      </c>
      <c r="AA260" s="4">
        <f t="shared" si="54"/>
        <v>0.12542759407068543</v>
      </c>
      <c r="AB260" s="4">
        <f t="shared" si="55"/>
        <v>7.3354614508337563E-3</v>
      </c>
      <c r="AC260">
        <v>1.1476266666666668</v>
      </c>
      <c r="AD260" s="2">
        <v>6.7341999999999977</v>
      </c>
      <c r="AE260" s="2">
        <v>2.3033999999999999</v>
      </c>
      <c r="AF260" s="2">
        <f t="shared" si="56"/>
        <v>4.4307999999999979</v>
      </c>
      <c r="AG260" s="2">
        <v>1.1557733333333331</v>
      </c>
      <c r="AH260" s="1">
        <f t="shared" si="57"/>
        <v>79.311587544421982</v>
      </c>
      <c r="AI260" s="1">
        <f t="shared" si="58"/>
        <v>20.688412455578018</v>
      </c>
      <c r="AJ260" s="1">
        <f t="shared" si="59"/>
        <v>1.034420622778901</v>
      </c>
      <c r="AK260" s="8">
        <v>0.22669999999999924</v>
      </c>
      <c r="AL260" s="9">
        <v>60.594472449157053</v>
      </c>
      <c r="AM260" s="10">
        <v>3.029723622457853</v>
      </c>
      <c r="AN260" s="9">
        <v>30.297236224578526</v>
      </c>
      <c r="AO260" s="11">
        <v>3.031060083284252</v>
      </c>
      <c r="AP260" s="2">
        <v>4.0312448437500006</v>
      </c>
      <c r="AQ260" s="2">
        <f t="shared" si="60"/>
        <v>0.22574971125000004</v>
      </c>
      <c r="AR260" s="2">
        <v>1.3858184133853084</v>
      </c>
      <c r="AS260" s="2">
        <v>0.28670382924649984</v>
      </c>
      <c r="AT260" s="2">
        <f t="shared" si="61"/>
        <v>2.8670382924649986E-2</v>
      </c>
      <c r="AU260" s="2">
        <f t="shared" si="62"/>
        <v>3.5960571513241092E-2</v>
      </c>
      <c r="AV260" s="2">
        <f t="shared" si="63"/>
        <v>5.6098491560656102E-3</v>
      </c>
      <c r="AW260" s="3">
        <f t="shared" si="64"/>
        <v>15.6</v>
      </c>
    </row>
    <row r="261" spans="1:49" x14ac:dyDescent="0.2">
      <c r="A261" t="s">
        <v>45</v>
      </c>
      <c r="B261" s="5" t="s">
        <v>46</v>
      </c>
      <c r="C261" s="5" t="s">
        <v>296</v>
      </c>
      <c r="D261" s="5" t="s">
        <v>314</v>
      </c>
      <c r="E261">
        <v>8</v>
      </c>
      <c r="F261" s="6">
        <v>312</v>
      </c>
      <c r="G261" s="3">
        <v>1.9</v>
      </c>
      <c r="H261" s="3">
        <v>2.5</v>
      </c>
      <c r="I261" s="3">
        <v>0.95</v>
      </c>
      <c r="J261" s="3">
        <v>24.221794871795453</v>
      </c>
      <c r="K261" s="3">
        <v>25.171794871795441</v>
      </c>
      <c r="L261" s="3">
        <v>24.696794871795419</v>
      </c>
      <c r="M261" s="1">
        <v>0.19</v>
      </c>
      <c r="N261" s="3">
        <v>304.22179487179545</v>
      </c>
      <c r="O261" s="3">
        <v>305.17179487179544</v>
      </c>
      <c r="P261" s="3">
        <v>304.69679487179542</v>
      </c>
      <c r="Q261" s="3">
        <v>308.22179487179545</v>
      </c>
      <c r="R261" s="3">
        <v>309.17179487179544</v>
      </c>
      <c r="S261" s="3">
        <v>308.7</v>
      </c>
      <c r="T261" s="3">
        <v>308.7</v>
      </c>
      <c r="U261" s="7">
        <f t="shared" si="52"/>
        <v>0.47499999999999432</v>
      </c>
      <c r="V261" s="3">
        <v>3941.93</v>
      </c>
      <c r="W261" s="3">
        <v>4423.5200000000004</v>
      </c>
      <c r="X261" s="3">
        <v>4150.99</v>
      </c>
      <c r="Y261" s="3">
        <v>4158.18</v>
      </c>
      <c r="Z261" s="3">
        <f t="shared" si="53"/>
        <v>240.7950000000003</v>
      </c>
      <c r="AA261" s="4">
        <f t="shared" si="54"/>
        <v>0.125260960334029</v>
      </c>
      <c r="AB261" s="4">
        <f t="shared" si="55"/>
        <v>7.4464458365020988E-3</v>
      </c>
      <c r="AC261">
        <v>1.1476266666666668</v>
      </c>
      <c r="AD261" s="2">
        <v>5.6332999999999984</v>
      </c>
      <c r="AE261" s="2">
        <v>2.0762</v>
      </c>
      <c r="AF261" s="2">
        <f t="shared" si="56"/>
        <v>3.5570999999999984</v>
      </c>
      <c r="AG261" s="2">
        <v>0.92857333333333325</v>
      </c>
      <c r="AH261" s="1">
        <f t="shared" si="57"/>
        <v>79.299131605660094</v>
      </c>
      <c r="AI261" s="1">
        <f t="shared" si="58"/>
        <v>20.700868394339906</v>
      </c>
      <c r="AJ261" s="1">
        <f t="shared" si="59"/>
        <v>1.0350434197169953</v>
      </c>
      <c r="AK261" s="8">
        <v>9.6300000000000274E-2</v>
      </c>
      <c r="AL261" s="9">
        <v>77.568134171907715</v>
      </c>
      <c r="AM261" s="10">
        <v>3.8784067085953859</v>
      </c>
      <c r="AN261" s="9">
        <v>38.784067085953858</v>
      </c>
      <c r="AO261" s="11">
        <v>3.8794508112976116</v>
      </c>
      <c r="AP261" s="2">
        <v>3.6094300000000006</v>
      </c>
      <c r="AQ261" s="2">
        <f t="shared" si="60"/>
        <v>0.19310450500000004</v>
      </c>
      <c r="AR261" s="2">
        <v>1.2427650164522739</v>
      </c>
      <c r="AS261" s="2">
        <v>0.25726315050668197</v>
      </c>
      <c r="AT261" s="2">
        <f t="shared" si="61"/>
        <v>2.5726315050668198E-2</v>
      </c>
      <c r="AU261" s="2">
        <f t="shared" si="62"/>
        <v>3.2225029291024825E-2</v>
      </c>
      <c r="AV261" s="2">
        <f t="shared" si="63"/>
        <v>4.9465419961723109E-3</v>
      </c>
      <c r="AW261" s="3">
        <f t="shared" si="64"/>
        <v>15.35</v>
      </c>
    </row>
    <row r="262" spans="1:49" x14ac:dyDescent="0.2">
      <c r="A262" t="s">
        <v>45</v>
      </c>
      <c r="B262" s="5" t="s">
        <v>46</v>
      </c>
      <c r="C262" s="5" t="s">
        <v>296</v>
      </c>
      <c r="D262" s="5" t="s">
        <v>315</v>
      </c>
      <c r="E262">
        <v>8</v>
      </c>
      <c r="F262" s="6">
        <v>313</v>
      </c>
      <c r="G262" s="3">
        <v>2.1</v>
      </c>
      <c r="H262" s="3">
        <v>2.5</v>
      </c>
      <c r="I262" s="3">
        <v>1</v>
      </c>
      <c r="J262" s="3">
        <v>25.36538461538521</v>
      </c>
      <c r="K262" s="3">
        <v>26.36538461538521</v>
      </c>
      <c r="L262" s="3">
        <v>25.86538461538521</v>
      </c>
      <c r="M262" s="1">
        <v>0.19</v>
      </c>
      <c r="N262" s="3">
        <v>305.36538461538521</v>
      </c>
      <c r="O262" s="3">
        <v>306.36538461538521</v>
      </c>
      <c r="P262" s="3">
        <v>305.86538461538521</v>
      </c>
      <c r="Q262" s="3">
        <v>309.36538461538521</v>
      </c>
      <c r="R262" s="3">
        <v>310.36538461538521</v>
      </c>
      <c r="S262" s="3">
        <v>309.89999999999998</v>
      </c>
      <c r="T262" s="3">
        <v>309.89999999999998</v>
      </c>
      <c r="U262" s="7">
        <f t="shared" si="52"/>
        <v>0.5</v>
      </c>
      <c r="V262" s="3">
        <v>3945.77</v>
      </c>
      <c r="W262" s="3">
        <v>4439.95</v>
      </c>
      <c r="X262" s="3">
        <v>4160.91</v>
      </c>
      <c r="Y262" s="3">
        <v>4167.76</v>
      </c>
      <c r="Z262" s="3">
        <f t="shared" si="53"/>
        <v>247.08999999999992</v>
      </c>
      <c r="AA262" s="4">
        <f t="shared" si="54"/>
        <v>0.11661807580175411</v>
      </c>
      <c r="AB262" s="4">
        <f t="shared" si="55"/>
        <v>7.1019786620745429E-3</v>
      </c>
      <c r="AC262">
        <v>1.1476266666666668</v>
      </c>
      <c r="AD262">
        <v>6.1513999999999989</v>
      </c>
      <c r="AE262" s="2">
        <v>2.1873</v>
      </c>
      <c r="AF262" s="2">
        <f t="shared" si="56"/>
        <v>3.9640999999999988</v>
      </c>
      <c r="AG262" s="2">
        <v>1.0396733333333332</v>
      </c>
      <c r="AH262" s="1">
        <f t="shared" si="57"/>
        <v>79.222213636109288</v>
      </c>
      <c r="AI262" s="1">
        <f t="shared" si="58"/>
        <v>20.777786363890712</v>
      </c>
      <c r="AJ262" s="1">
        <f t="shared" si="59"/>
        <v>1.0388893181945356</v>
      </c>
      <c r="AK262" s="8">
        <v>9.360000000000035E-2</v>
      </c>
      <c r="AL262" s="9">
        <v>77.036310107948907</v>
      </c>
      <c r="AM262" s="10">
        <v>3.8518155053974454</v>
      </c>
      <c r="AN262" s="9">
        <v>38.518155053974453</v>
      </c>
      <c r="AO262" s="11">
        <v>3.8528668141554254</v>
      </c>
      <c r="AP262" s="2">
        <v>4.1526499999999995</v>
      </c>
      <c r="AQ262" s="2">
        <f t="shared" si="60"/>
        <v>0.23254839999999999</v>
      </c>
      <c r="AR262" s="2">
        <v>1.2049590823530356</v>
      </c>
      <c r="AS262" s="2">
        <v>0.25036382390361173</v>
      </c>
      <c r="AT262" s="2">
        <f t="shared" si="61"/>
        <v>2.5036382390361173E-2</v>
      </c>
      <c r="AU262" s="2">
        <f t="shared" si="62"/>
        <v>2.919694739400841E-2</v>
      </c>
      <c r="AV262" s="2">
        <f t="shared" si="63"/>
        <v>4.5547237934653118E-3</v>
      </c>
      <c r="AW262" s="3">
        <f t="shared" si="64"/>
        <v>15.6</v>
      </c>
    </row>
    <row r="263" spans="1:49" x14ac:dyDescent="0.2">
      <c r="A263" t="s">
        <v>45</v>
      </c>
      <c r="B263" s="5" t="s">
        <v>46</v>
      </c>
      <c r="C263" s="5" t="s">
        <v>296</v>
      </c>
      <c r="D263" s="5" t="s">
        <v>316</v>
      </c>
      <c r="E263">
        <v>8</v>
      </c>
      <c r="F263" s="6">
        <v>314</v>
      </c>
      <c r="G263" s="3">
        <v>2.1</v>
      </c>
      <c r="H263" s="3">
        <v>2.4500000000000002</v>
      </c>
      <c r="I263" s="3">
        <v>1.05</v>
      </c>
      <c r="J263" s="3">
        <v>26.558974358974979</v>
      </c>
      <c r="K263" s="3">
        <v>27.60897435897499</v>
      </c>
      <c r="L263" s="3">
        <v>27.083974358974956</v>
      </c>
      <c r="M263" s="1">
        <v>0.19</v>
      </c>
      <c r="N263" s="3">
        <v>306.55897435897498</v>
      </c>
      <c r="O263" s="3">
        <v>307.60897435897499</v>
      </c>
      <c r="P263" s="3">
        <v>307.08397435897496</v>
      </c>
      <c r="Q263" s="3">
        <v>310.55897435897498</v>
      </c>
      <c r="R263" s="3">
        <v>311.60897435897499</v>
      </c>
      <c r="S263" s="3">
        <v>311.10000000000002</v>
      </c>
      <c r="T263" s="3">
        <v>311.10000000000002</v>
      </c>
      <c r="U263" s="7">
        <f t="shared" si="52"/>
        <v>0.52500000000000568</v>
      </c>
      <c r="V263" s="3">
        <v>3958.67</v>
      </c>
      <c r="W263" s="3">
        <v>4451.6499999999996</v>
      </c>
      <c r="X263" s="3">
        <v>4172.88</v>
      </c>
      <c r="Y263" s="3">
        <v>4178.05</v>
      </c>
      <c r="Z263" s="3">
        <f t="shared" si="53"/>
        <v>246.48999999999978</v>
      </c>
      <c r="AA263" s="4">
        <f t="shared" si="54"/>
        <v>0.11586452762922683</v>
      </c>
      <c r="AB263" s="4">
        <f t="shared" si="55"/>
        <v>7.0311209143876403E-3</v>
      </c>
      <c r="AC263">
        <v>1.1476266666666668</v>
      </c>
      <c r="AD263" s="2">
        <v>6.0213000000000001</v>
      </c>
      <c r="AE263" s="2">
        <v>2.0629</v>
      </c>
      <c r="AF263" s="2">
        <f t="shared" si="56"/>
        <v>3.9584000000000001</v>
      </c>
      <c r="AG263" s="2">
        <v>0.91527333333333316</v>
      </c>
      <c r="AH263" s="1">
        <f t="shared" si="57"/>
        <v>81.220051679021026</v>
      </c>
      <c r="AI263" s="1">
        <f t="shared" si="58"/>
        <v>18.779948320978974</v>
      </c>
      <c r="AJ263" s="1">
        <f t="shared" si="59"/>
        <v>0.93899741604894871</v>
      </c>
      <c r="AK263" s="8">
        <v>0.10549999999999926</v>
      </c>
      <c r="AL263" s="9">
        <v>77.723817567567693</v>
      </c>
      <c r="AM263" s="10">
        <v>3.8861908783783847</v>
      </c>
      <c r="AN263" s="9">
        <v>38.861908783783846</v>
      </c>
      <c r="AO263" s="11">
        <v>3.887232890269293</v>
      </c>
      <c r="AP263" s="2">
        <v>4.2660089062500015</v>
      </c>
      <c r="AQ263" s="2">
        <f t="shared" si="60"/>
        <v>0.2388964987500001</v>
      </c>
      <c r="AR263" s="2">
        <v>1.1424433095282716</v>
      </c>
      <c r="AS263" s="2">
        <v>0.21455026312589121</v>
      </c>
      <c r="AT263" s="2">
        <f t="shared" si="61"/>
        <v>2.1455026312589123E-2</v>
      </c>
      <c r="AU263" s="2">
        <f t="shared" si="62"/>
        <v>2.4858764889807709E-2</v>
      </c>
      <c r="AV263" s="2">
        <f t="shared" si="63"/>
        <v>3.8779673228100031E-3</v>
      </c>
      <c r="AW263" s="3">
        <f t="shared" si="64"/>
        <v>15.600000000000003</v>
      </c>
    </row>
    <row r="264" spans="1:49" x14ac:dyDescent="0.2">
      <c r="A264" t="s">
        <v>45</v>
      </c>
      <c r="B264" s="5" t="s">
        <v>46</v>
      </c>
      <c r="C264" s="5" t="s">
        <v>296</v>
      </c>
      <c r="D264" s="5" t="s">
        <v>317</v>
      </c>
      <c r="E264">
        <v>8</v>
      </c>
      <c r="F264" s="6">
        <v>315</v>
      </c>
      <c r="G264" s="3">
        <v>1.9</v>
      </c>
      <c r="H264" s="3">
        <v>2.4500000000000002</v>
      </c>
      <c r="I264" s="3">
        <v>1.1000000000000001</v>
      </c>
      <c r="J264" s="3">
        <v>27.802564102564759</v>
      </c>
      <c r="K264" s="3">
        <v>28.902564102564781</v>
      </c>
      <c r="L264" s="3">
        <v>28.35256410256477</v>
      </c>
      <c r="M264" s="1">
        <v>0.19</v>
      </c>
      <c r="N264" s="3">
        <v>307.80256410256476</v>
      </c>
      <c r="O264" s="3">
        <v>308.90256410256478</v>
      </c>
      <c r="P264" s="3">
        <v>308.35256410256477</v>
      </c>
      <c r="Q264" s="3">
        <v>311.80256410256476</v>
      </c>
      <c r="R264" s="3">
        <v>312.90256410256478</v>
      </c>
      <c r="S264" s="3">
        <v>312.39999999999998</v>
      </c>
      <c r="T264" s="3">
        <v>312.39999999999998</v>
      </c>
      <c r="U264" s="7">
        <f t="shared" si="52"/>
        <v>0.55000000000001137</v>
      </c>
      <c r="V264" s="3">
        <v>3970.25</v>
      </c>
      <c r="W264" s="3">
        <v>4461.58</v>
      </c>
      <c r="X264" s="3">
        <v>4184.93</v>
      </c>
      <c r="Y264" s="3">
        <v>4189.2700000000004</v>
      </c>
      <c r="Z264" s="3">
        <f t="shared" si="53"/>
        <v>245.66499999999996</v>
      </c>
      <c r="AA264" s="4">
        <f t="shared" si="54"/>
        <v>0.11583011583012388</v>
      </c>
      <c r="AB264" s="4">
        <f t="shared" si="55"/>
        <v>6.996375876881851E-3</v>
      </c>
      <c r="AC264">
        <v>1.1476266666666668</v>
      </c>
      <c r="AD264" s="2">
        <v>5.7391000000000005</v>
      </c>
      <c r="AE264" s="2">
        <v>1.9575</v>
      </c>
      <c r="AF264" s="2">
        <f t="shared" si="56"/>
        <v>3.7816000000000005</v>
      </c>
      <c r="AG264" s="2">
        <v>0.80987333333333322</v>
      </c>
      <c r="AH264" s="1">
        <f t="shared" si="57"/>
        <v>82.36136258368775</v>
      </c>
      <c r="AI264" s="1">
        <f t="shared" si="58"/>
        <v>17.63863741631225</v>
      </c>
      <c r="AJ264" s="1">
        <f t="shared" si="59"/>
        <v>0.88193187081561253</v>
      </c>
      <c r="AK264" s="8">
        <v>8.2399999999999807E-2</v>
      </c>
      <c r="AL264" s="9">
        <v>79.30688096433957</v>
      </c>
      <c r="AM264" s="10">
        <v>3.9653440482169788</v>
      </c>
      <c r="AN264" s="9">
        <v>39.653440482169785</v>
      </c>
      <c r="AO264" s="11">
        <v>3.9663652656720632</v>
      </c>
      <c r="AP264" s="2">
        <v>4.0848946874999994</v>
      </c>
      <c r="AQ264" s="2">
        <f t="shared" si="60"/>
        <v>0.22262676046874996</v>
      </c>
      <c r="AR264" s="2">
        <v>1.124012657507057</v>
      </c>
      <c r="AS264" s="2">
        <v>0.19826051717112556</v>
      </c>
      <c r="AT264" s="2">
        <f t="shared" si="61"/>
        <v>1.9826051717112558E-2</v>
      </c>
      <c r="AU264" s="2">
        <f t="shared" si="62"/>
        <v>2.2964538668471739E-2</v>
      </c>
      <c r="AV264" s="2">
        <f t="shared" si="63"/>
        <v>3.5480212242788838E-3</v>
      </c>
      <c r="AW264" s="3">
        <f t="shared" si="64"/>
        <v>15.45</v>
      </c>
    </row>
    <row r="265" spans="1:49" x14ac:dyDescent="0.2">
      <c r="A265" t="s">
        <v>45</v>
      </c>
      <c r="B265" s="5" t="s">
        <v>46</v>
      </c>
      <c r="C265" s="5" t="s">
        <v>296</v>
      </c>
      <c r="D265" s="5" t="s">
        <v>318</v>
      </c>
      <c r="E265">
        <v>8</v>
      </c>
      <c r="F265" s="6">
        <v>316</v>
      </c>
      <c r="G265" s="3">
        <v>2.1</v>
      </c>
      <c r="H265" s="3">
        <v>2.35</v>
      </c>
      <c r="I265" s="3">
        <v>1.1000000000000001</v>
      </c>
      <c r="J265" s="3">
        <v>29.09615384615455</v>
      </c>
      <c r="K265" s="3">
        <v>30.196153846154573</v>
      </c>
      <c r="L265" s="3">
        <v>29.646153846154562</v>
      </c>
      <c r="M265" s="1">
        <v>0.19</v>
      </c>
      <c r="N265" s="3">
        <v>309.09615384615455</v>
      </c>
      <c r="O265" s="3">
        <v>310.19615384615457</v>
      </c>
      <c r="P265" s="3">
        <v>309.64615384615456</v>
      </c>
      <c r="Q265" s="3">
        <v>313.09615384615455</v>
      </c>
      <c r="R265" s="3">
        <v>314.19615384615457</v>
      </c>
      <c r="S265" s="3">
        <v>313.60000000000002</v>
      </c>
      <c r="T265" s="3">
        <v>313.60000000000002</v>
      </c>
      <c r="U265" s="7">
        <f t="shared" si="52"/>
        <v>0.55000000000001137</v>
      </c>
      <c r="V265" s="3">
        <v>3978.85</v>
      </c>
      <c r="W265" s="3">
        <v>4470.75</v>
      </c>
      <c r="X265" s="3">
        <v>4194.7700000000004</v>
      </c>
      <c r="Y265" s="3">
        <v>4199.63</v>
      </c>
      <c r="Z265" s="3">
        <f t="shared" si="53"/>
        <v>245.95000000000005</v>
      </c>
      <c r="AA265" s="4">
        <f t="shared" si="54"/>
        <v>0.11576135351736465</v>
      </c>
      <c r="AB265" s="4">
        <f t="shared" si="55"/>
        <v>6.9825523145847744E-3</v>
      </c>
      <c r="AC265">
        <v>1.1476266666666668</v>
      </c>
      <c r="AD265" s="2">
        <v>6.2234999999999978</v>
      </c>
      <c r="AE265" s="2">
        <v>2.0354000000000001</v>
      </c>
      <c r="AF265" s="2">
        <f t="shared" si="56"/>
        <v>4.1880999999999977</v>
      </c>
      <c r="AG265" s="2">
        <v>0.8877733333333333</v>
      </c>
      <c r="AH265" s="1">
        <f t="shared" si="57"/>
        <v>82.509939176312514</v>
      </c>
      <c r="AI265" s="1">
        <f t="shared" si="58"/>
        <v>17.490060823687486</v>
      </c>
      <c r="AJ265" s="1">
        <f t="shared" si="59"/>
        <v>0.87450304118437439</v>
      </c>
      <c r="AK265" s="8">
        <v>9.4299999999999606E-2</v>
      </c>
      <c r="AL265" s="9">
        <v>79.729148753224521</v>
      </c>
      <c r="AM265" s="10">
        <v>3.9864574376612261</v>
      </c>
      <c r="AN265" s="9">
        <v>39.864574376612261</v>
      </c>
      <c r="AO265" s="11">
        <v>3.9874732478456214</v>
      </c>
      <c r="AP265" s="2">
        <v>4.2748646875000009</v>
      </c>
      <c r="AQ265" s="2">
        <f t="shared" si="60"/>
        <v>0.23725499015625007</v>
      </c>
      <c r="AR265" s="2">
        <v>1.1873763743155508</v>
      </c>
      <c r="AS265" s="2">
        <v>0.20767285007388508</v>
      </c>
      <c r="AT265" s="2">
        <f t="shared" si="61"/>
        <v>2.076728500738851E-2</v>
      </c>
      <c r="AU265" s="2">
        <f t="shared" si="62"/>
        <v>2.404049021336168E-2</v>
      </c>
      <c r="AV265" s="2">
        <f t="shared" si="63"/>
        <v>3.7382962281777414E-3</v>
      </c>
      <c r="AW265" s="3">
        <f t="shared" si="64"/>
        <v>15.55</v>
      </c>
    </row>
    <row r="266" spans="1:49" x14ac:dyDescent="0.2">
      <c r="A266" t="s">
        <v>45</v>
      </c>
      <c r="B266" s="5" t="s">
        <v>46</v>
      </c>
      <c r="C266" s="5" t="s">
        <v>296</v>
      </c>
      <c r="D266" s="5" t="s">
        <v>319</v>
      </c>
      <c r="E266">
        <v>8</v>
      </c>
      <c r="F266" s="6">
        <v>317</v>
      </c>
      <c r="G266" s="3">
        <v>2.1</v>
      </c>
      <c r="H266" s="3">
        <v>2.4500000000000002</v>
      </c>
      <c r="I266" s="3">
        <v>1.1000000000000001</v>
      </c>
      <c r="J266" s="3">
        <v>30.389743589744342</v>
      </c>
      <c r="K266" s="3">
        <v>31.489743589744364</v>
      </c>
      <c r="L266" s="3">
        <v>30.939743589744353</v>
      </c>
      <c r="M266" s="1">
        <v>0.19</v>
      </c>
      <c r="N266" s="3">
        <v>310.38974358974434</v>
      </c>
      <c r="O266" s="3">
        <v>311.48974358974436</v>
      </c>
      <c r="P266" s="3">
        <v>310.93974358974435</v>
      </c>
      <c r="Q266" s="3">
        <v>314.38974358974434</v>
      </c>
      <c r="R266" s="3">
        <v>315.48974358974436</v>
      </c>
      <c r="S266" s="3">
        <v>314.89999999999998</v>
      </c>
      <c r="T266" s="3">
        <v>314.89999999999998</v>
      </c>
      <c r="U266" s="7">
        <f t="shared" si="52"/>
        <v>0.55000000000001137</v>
      </c>
      <c r="V266" s="3">
        <v>3989.65</v>
      </c>
      <c r="W266" s="3">
        <v>4479.8599999999997</v>
      </c>
      <c r="X266" s="3">
        <v>4204.8500000000004</v>
      </c>
      <c r="Y266" s="3">
        <v>4210.8599999999997</v>
      </c>
      <c r="Z266" s="3">
        <f t="shared" si="53"/>
        <v>245.10499999999979</v>
      </c>
      <c r="AA266" s="4">
        <f t="shared" si="54"/>
        <v>0.1158645276292319</v>
      </c>
      <c r="AB266" s="4">
        <f t="shared" si="55"/>
        <v>6.946589480577337E-3</v>
      </c>
      <c r="AC266">
        <v>1.1476266666666668</v>
      </c>
      <c r="AD266" s="2">
        <v>6.0999999999999979</v>
      </c>
      <c r="AE266" s="2">
        <v>1.9737</v>
      </c>
      <c r="AF266" s="2">
        <f t="shared" si="56"/>
        <v>4.1262999999999979</v>
      </c>
      <c r="AG266" s="2">
        <v>0.82607333333333322</v>
      </c>
      <c r="AH266" s="1">
        <f t="shared" si="57"/>
        <v>83.319647414842166</v>
      </c>
      <c r="AI266" s="1">
        <f t="shared" si="58"/>
        <v>16.680352585157834</v>
      </c>
      <c r="AJ266" s="1">
        <f t="shared" si="59"/>
        <v>0.8340176292578918</v>
      </c>
      <c r="AK266" s="8">
        <v>8.1400000000000361E-2</v>
      </c>
      <c r="AL266" s="9">
        <v>79.355820441288287</v>
      </c>
      <c r="AM266" s="10">
        <v>3.9677910220644144</v>
      </c>
      <c r="AN266" s="9">
        <v>39.677910220644144</v>
      </c>
      <c r="AO266" s="11">
        <v>3.9688116098871422</v>
      </c>
      <c r="AP266" s="2">
        <v>4.4691521875000015</v>
      </c>
      <c r="AQ266" s="2">
        <f t="shared" si="60"/>
        <v>0.25250709859375009</v>
      </c>
      <c r="AR266" s="2">
        <v>1.1081236721329104</v>
      </c>
      <c r="AS266" s="2">
        <v>0.18483893559136777</v>
      </c>
      <c r="AT266" s="2">
        <f t="shared" si="61"/>
        <v>1.8483893559136776E-2</v>
      </c>
      <c r="AU266" s="2">
        <f t="shared" si="62"/>
        <v>2.1416275959783845E-2</v>
      </c>
      <c r="AV266" s="2">
        <f t="shared" si="63"/>
        <v>3.3516471877061715E-3</v>
      </c>
      <c r="AW266" s="3">
        <f t="shared" si="64"/>
        <v>15.65</v>
      </c>
    </row>
    <row r="267" spans="1:49" x14ac:dyDescent="0.2">
      <c r="A267" t="s">
        <v>45</v>
      </c>
      <c r="B267" s="5" t="s">
        <v>46</v>
      </c>
      <c r="C267" s="5" t="s">
        <v>296</v>
      </c>
      <c r="D267" s="5" t="s">
        <v>320</v>
      </c>
      <c r="E267">
        <v>8</v>
      </c>
      <c r="F267" s="6">
        <v>318</v>
      </c>
      <c r="G267" s="3">
        <v>2</v>
      </c>
      <c r="H267" s="3">
        <v>2.4</v>
      </c>
      <c r="I267" s="3">
        <v>1.1000000000000001</v>
      </c>
      <c r="J267" s="3">
        <v>31.683333333334133</v>
      </c>
      <c r="K267" s="3">
        <v>32.783333333334156</v>
      </c>
      <c r="L267" s="3">
        <v>32.233333333334144</v>
      </c>
      <c r="M267" s="1">
        <v>0.19</v>
      </c>
      <c r="N267" s="3">
        <v>311.68333333333413</v>
      </c>
      <c r="O267" s="3">
        <v>312.78333333333416</v>
      </c>
      <c r="P267" s="3">
        <v>312.23333333333414</v>
      </c>
      <c r="Q267" s="3">
        <v>315.68333333333413</v>
      </c>
      <c r="R267" s="3">
        <v>316.78333333333416</v>
      </c>
      <c r="S267" s="3">
        <v>316.2</v>
      </c>
      <c r="T267" s="3">
        <v>316.2</v>
      </c>
      <c r="U267" s="7">
        <f t="shared" si="52"/>
        <v>0.55000000000001137</v>
      </c>
      <c r="V267" s="3">
        <v>3994.52</v>
      </c>
      <c r="W267" s="3">
        <v>4490.58</v>
      </c>
      <c r="X267" s="3">
        <v>4214.6099999999997</v>
      </c>
      <c r="Y267" s="3">
        <v>4222.08</v>
      </c>
      <c r="Z267" s="3">
        <f t="shared" si="53"/>
        <v>248.02999999999997</v>
      </c>
      <c r="AA267" s="4">
        <f t="shared" si="54"/>
        <v>0.1158645276292319</v>
      </c>
      <c r="AB267" s="4">
        <f t="shared" si="55"/>
        <v>7.0081043764356962E-3</v>
      </c>
      <c r="AC267">
        <v>1.1476266666666668</v>
      </c>
      <c r="AD267" s="2">
        <v>6.1182999999999979</v>
      </c>
      <c r="AE267" s="2">
        <v>1.8854</v>
      </c>
      <c r="AF267" s="2">
        <f t="shared" si="56"/>
        <v>4.2328999999999981</v>
      </c>
      <c r="AG267" s="2">
        <v>0.73777333333333317</v>
      </c>
      <c r="AH267" s="1">
        <f t="shared" si="57"/>
        <v>85.157476988362404</v>
      </c>
      <c r="AI267" s="1">
        <f t="shared" si="58"/>
        <v>14.842523011637596</v>
      </c>
      <c r="AJ267" s="1">
        <f t="shared" si="59"/>
        <v>0.74212615058187981</v>
      </c>
      <c r="AK267" s="8">
        <v>7.6499999999999346E-2</v>
      </c>
      <c r="AL267" s="9">
        <v>76.308454629916568</v>
      </c>
      <c r="AM267" s="10">
        <v>3.8154227314958287</v>
      </c>
      <c r="AN267" s="9">
        <v>38.154227314958284</v>
      </c>
      <c r="AO267" s="11">
        <v>3.8164840652117351</v>
      </c>
      <c r="AP267" s="2">
        <v>4.1793400000000016</v>
      </c>
      <c r="AQ267" s="2">
        <f t="shared" si="60"/>
        <v>0.22986370000000009</v>
      </c>
      <c r="AR267" s="2">
        <v>1.1893440910127746</v>
      </c>
      <c r="AS267" s="2">
        <v>0.17652867039612305</v>
      </c>
      <c r="AT267" s="2">
        <f t="shared" si="61"/>
        <v>1.7652867039612306E-2</v>
      </c>
      <c r="AU267" s="2">
        <f t="shared" si="62"/>
        <v>2.0453411008463169E-2</v>
      </c>
      <c r="AV267" s="2">
        <f t="shared" si="63"/>
        <v>3.1702787063117911E-3</v>
      </c>
      <c r="AW267" s="3">
        <f t="shared" si="64"/>
        <v>15.5</v>
      </c>
    </row>
    <row r="268" spans="1:49" x14ac:dyDescent="0.2">
      <c r="A268" t="s">
        <v>45</v>
      </c>
      <c r="B268" s="5" t="s">
        <v>46</v>
      </c>
      <c r="C268" s="5" t="s">
        <v>296</v>
      </c>
      <c r="D268" s="5" t="s">
        <v>321</v>
      </c>
      <c r="E268">
        <v>8</v>
      </c>
      <c r="F268" s="6">
        <v>319</v>
      </c>
      <c r="G268" s="3">
        <v>2.25</v>
      </c>
      <c r="H268" s="3">
        <v>2.5</v>
      </c>
      <c r="I268" s="3">
        <v>1</v>
      </c>
      <c r="J268" s="3">
        <v>32.976923076923924</v>
      </c>
      <c r="K268" s="3">
        <v>33.976923076923924</v>
      </c>
      <c r="L268" s="3">
        <v>33.476923076923924</v>
      </c>
      <c r="M268" s="1">
        <v>0.19</v>
      </c>
      <c r="N268" s="3">
        <v>312.97692307692392</v>
      </c>
      <c r="O268" s="3">
        <v>313.97692307692392</v>
      </c>
      <c r="P268" s="3">
        <v>313.47692307692392</v>
      </c>
      <c r="Q268" s="3">
        <v>316.97692307692392</v>
      </c>
      <c r="R268" s="3">
        <v>317.97692307692392</v>
      </c>
      <c r="S268" s="3">
        <v>317.5</v>
      </c>
      <c r="T268" s="3">
        <v>317.5</v>
      </c>
      <c r="U268" s="7">
        <f t="shared" si="52"/>
        <v>0.5</v>
      </c>
      <c r="V268" s="3">
        <v>4002.73</v>
      </c>
      <c r="W268" s="3">
        <v>4506.34</v>
      </c>
      <c r="X268" s="3">
        <v>4225.17</v>
      </c>
      <c r="Y268" s="3">
        <v>4233.3</v>
      </c>
      <c r="Z268" s="3">
        <f t="shared" si="53"/>
        <v>251.80500000000006</v>
      </c>
      <c r="AA268" s="4">
        <f t="shared" si="54"/>
        <v>0.11583011583011839</v>
      </c>
      <c r="AB268" s="4">
        <f t="shared" si="55"/>
        <v>7.0722124603696205E-3</v>
      </c>
      <c r="AC268">
        <v>1.1476266666666668</v>
      </c>
      <c r="AD268" s="2">
        <v>6.5414999999999992</v>
      </c>
      <c r="AE268" s="2">
        <v>1.9524999999999999</v>
      </c>
      <c r="AF268" s="2">
        <f t="shared" si="56"/>
        <v>4.5889999999999995</v>
      </c>
      <c r="AG268" s="2">
        <v>0.80487333333333311</v>
      </c>
      <c r="AH268" s="1">
        <f t="shared" si="57"/>
        <v>85.078008258752831</v>
      </c>
      <c r="AI268" s="1">
        <f t="shared" si="58"/>
        <v>14.921991741247169</v>
      </c>
      <c r="AJ268" s="1">
        <f t="shared" si="59"/>
        <v>0.74609958706235846</v>
      </c>
      <c r="AK268" s="8">
        <v>6.6399999999999793E-2</v>
      </c>
      <c r="AL268" s="9">
        <v>82.087941731858677</v>
      </c>
      <c r="AM268" s="10">
        <v>4.1043970865929342</v>
      </c>
      <c r="AN268" s="9">
        <v>41.043970865929339</v>
      </c>
      <c r="AO268" s="11">
        <v>4.1053837146401513</v>
      </c>
      <c r="AP268" s="2">
        <v>4.4278906249999999</v>
      </c>
      <c r="AQ268" s="2">
        <f t="shared" si="60"/>
        <v>0.25460371093750001</v>
      </c>
      <c r="AR268" s="2">
        <v>1.2181586651845839</v>
      </c>
      <c r="AS268" s="2">
        <v>0.18177353541413033</v>
      </c>
      <c r="AT268" s="2">
        <f t="shared" si="61"/>
        <v>1.8177353541413033E-2</v>
      </c>
      <c r="AU268" s="2">
        <f t="shared" si="62"/>
        <v>2.1054849661868841E-2</v>
      </c>
      <c r="AV268" s="2">
        <f t="shared" si="63"/>
        <v>3.3161388217443424E-3</v>
      </c>
      <c r="AW268" s="3">
        <f t="shared" si="64"/>
        <v>15.75</v>
      </c>
    </row>
    <row r="269" spans="1:49" x14ac:dyDescent="0.2">
      <c r="A269" t="s">
        <v>45</v>
      </c>
      <c r="B269" s="5" t="s">
        <v>46</v>
      </c>
      <c r="C269" s="5" t="s">
        <v>296</v>
      </c>
      <c r="D269" s="5" t="s">
        <v>322</v>
      </c>
      <c r="E269">
        <v>8</v>
      </c>
      <c r="F269" s="6">
        <v>320</v>
      </c>
      <c r="G269" s="3">
        <v>2.2000000000000002</v>
      </c>
      <c r="H269" s="3">
        <v>2.4500000000000002</v>
      </c>
      <c r="I269" s="3">
        <v>1.1000000000000001</v>
      </c>
      <c r="J269" s="3">
        <v>34.170512820513693</v>
      </c>
      <c r="K269" s="3">
        <v>35.270512820513716</v>
      </c>
      <c r="L269" s="3">
        <v>34.720512820513704</v>
      </c>
      <c r="M269" s="1">
        <v>0.19</v>
      </c>
      <c r="N269" s="3">
        <v>314.17051282051369</v>
      </c>
      <c r="O269" s="3">
        <v>315.27051282051372</v>
      </c>
      <c r="P269" s="3">
        <v>314.7205128205137</v>
      </c>
      <c r="Q269" s="3">
        <v>318.17051282051369</v>
      </c>
      <c r="R269" s="3">
        <v>319.27051282051372</v>
      </c>
      <c r="S269" s="3">
        <v>318.7</v>
      </c>
      <c r="T269" s="3">
        <v>318.7</v>
      </c>
      <c r="U269" s="7">
        <f t="shared" si="52"/>
        <v>0.55000000000001137</v>
      </c>
      <c r="V269" s="3">
        <v>4009.27</v>
      </c>
      <c r="W269" s="3">
        <v>4524.01</v>
      </c>
      <c r="X269" s="3">
        <v>4235.13</v>
      </c>
      <c r="Y269" s="3">
        <v>4243.66</v>
      </c>
      <c r="Z269" s="3">
        <f t="shared" si="53"/>
        <v>257.37000000000012</v>
      </c>
      <c r="AA269" s="4">
        <f t="shared" si="54"/>
        <v>0.1158645276292319</v>
      </c>
      <c r="AB269" s="4">
        <f t="shared" si="55"/>
        <v>7.2269202222089435E-3</v>
      </c>
      <c r="AC269">
        <v>1.1476266666666668</v>
      </c>
      <c r="AD269" s="2">
        <v>6.8556999999999988</v>
      </c>
      <c r="AE269" s="2">
        <v>2.0125999999999999</v>
      </c>
      <c r="AF269" s="2">
        <f t="shared" si="56"/>
        <v>4.8430999999999989</v>
      </c>
      <c r="AG269" s="2">
        <v>0.86497333333333315</v>
      </c>
      <c r="AH269" s="1">
        <f t="shared" si="57"/>
        <v>84.846492278188435</v>
      </c>
      <c r="AI269" s="1">
        <f t="shared" si="58"/>
        <v>15.153507721811565</v>
      </c>
      <c r="AJ269" s="1">
        <f t="shared" si="59"/>
        <v>0.75767538609057827</v>
      </c>
      <c r="AK269" s="8">
        <v>5.2699999999999747E-2</v>
      </c>
      <c r="AL269" s="9">
        <v>79.636785162287566</v>
      </c>
      <c r="AM269" s="10">
        <v>3.9818392581143787</v>
      </c>
      <c r="AN269" s="9">
        <v>39.818392581143783</v>
      </c>
      <c r="AO269" s="11">
        <v>3.9828562461455808</v>
      </c>
      <c r="AP269" s="2">
        <v>4.6677571875000012</v>
      </c>
      <c r="AQ269" s="2">
        <f t="shared" si="60"/>
        <v>0.26839603828125008</v>
      </c>
      <c r="AR269" s="2">
        <v>1.2228728067987857</v>
      </c>
      <c r="AS269" s="2">
        <v>0.18530812520618778</v>
      </c>
      <c r="AT269" s="2">
        <f t="shared" si="61"/>
        <v>1.8530812520618778E-2</v>
      </c>
      <c r="AU269" s="2">
        <f t="shared" si="62"/>
        <v>2.1470638392873508E-2</v>
      </c>
      <c r="AV269" s="2">
        <f t="shared" si="63"/>
        <v>3.3816255468775776E-3</v>
      </c>
      <c r="AW269" s="3">
        <f t="shared" si="64"/>
        <v>15.75</v>
      </c>
    </row>
    <row r="270" spans="1:49" x14ac:dyDescent="0.2">
      <c r="A270" t="s">
        <v>45</v>
      </c>
      <c r="B270" s="5" t="s">
        <v>46</v>
      </c>
      <c r="C270" s="5" t="s">
        <v>296</v>
      </c>
      <c r="D270" s="5" t="s">
        <v>323</v>
      </c>
      <c r="E270">
        <v>8</v>
      </c>
      <c r="F270" s="6">
        <v>321</v>
      </c>
      <c r="G270" s="3">
        <v>2.2999999999999998</v>
      </c>
      <c r="H270" s="3">
        <v>2.4</v>
      </c>
      <c r="I270" s="3">
        <v>1</v>
      </c>
      <c r="J270" s="3">
        <v>35.464102564103484</v>
      </c>
      <c r="K270" s="3">
        <v>36.464102564103484</v>
      </c>
      <c r="L270" s="3">
        <v>35.964102564103484</v>
      </c>
      <c r="M270" s="1">
        <v>0.19</v>
      </c>
      <c r="N270" s="3">
        <v>315.46410256410348</v>
      </c>
      <c r="O270" s="3">
        <v>316.46410256410348</v>
      </c>
      <c r="P270" s="3">
        <v>315.96410256410348</v>
      </c>
      <c r="Q270" s="3">
        <v>319.46410256410348</v>
      </c>
      <c r="R270" s="3">
        <v>320.46410256410348</v>
      </c>
      <c r="S270" s="3">
        <v>320</v>
      </c>
      <c r="T270" s="3">
        <v>320</v>
      </c>
      <c r="U270" s="7">
        <f t="shared" si="52"/>
        <v>0.5</v>
      </c>
      <c r="V270" s="3">
        <v>4016.27</v>
      </c>
      <c r="W270" s="3">
        <v>4544.7299999999996</v>
      </c>
      <c r="X270" s="3">
        <v>4245.58</v>
      </c>
      <c r="Y270" s="3">
        <v>4254.88</v>
      </c>
      <c r="Z270" s="3">
        <f t="shared" si="53"/>
        <v>264.22999999999979</v>
      </c>
      <c r="AA270" s="4">
        <f t="shared" si="54"/>
        <v>8.8300220750550093E-2</v>
      </c>
      <c r="AB270" s="4">
        <f t="shared" si="55"/>
        <v>5.6214533127897084E-3</v>
      </c>
      <c r="AC270">
        <v>1.1476266666666668</v>
      </c>
      <c r="AD270" s="2">
        <v>6.4954000000000001</v>
      </c>
      <c r="AE270" s="2">
        <v>2.0285000000000002</v>
      </c>
      <c r="AF270" s="2">
        <f t="shared" si="56"/>
        <v>4.4668999999999999</v>
      </c>
      <c r="AG270" s="2">
        <v>0.8808733333333334</v>
      </c>
      <c r="AH270" s="1">
        <f t="shared" si="57"/>
        <v>83.528222338019802</v>
      </c>
      <c r="AI270" s="1">
        <f t="shared" si="58"/>
        <v>16.471777661980198</v>
      </c>
      <c r="AJ270" s="1">
        <f t="shared" si="59"/>
        <v>0.82358888309900991</v>
      </c>
      <c r="AK270" s="8">
        <v>8.0499999999999794E-2</v>
      </c>
      <c r="AL270" s="9">
        <v>82.126998223801124</v>
      </c>
      <c r="AM270" s="10">
        <v>4.1063499111900565</v>
      </c>
      <c r="AN270" s="9">
        <v>41.063499111900562</v>
      </c>
      <c r="AO270" s="11">
        <v>4.1073360701469976</v>
      </c>
      <c r="AP270" s="2">
        <v>4.3351624999999991</v>
      </c>
      <c r="AQ270" s="2">
        <f t="shared" si="60"/>
        <v>0.24710426249999995</v>
      </c>
      <c r="AR270" s="2">
        <v>1.2335808250171325</v>
      </c>
      <c r="AS270" s="2">
        <v>0.20319269077764296</v>
      </c>
      <c r="AT270" s="2">
        <f t="shared" si="61"/>
        <v>2.0319269077764296E-2</v>
      </c>
      <c r="AU270" s="2">
        <f t="shared" si="62"/>
        <v>1.7941959450564138E-2</v>
      </c>
      <c r="AV270" s="2">
        <f t="shared" si="63"/>
        <v>2.8168876337385696E-3</v>
      </c>
      <c r="AW270" s="3">
        <f t="shared" si="64"/>
        <v>15.7</v>
      </c>
    </row>
    <row r="271" spans="1:49" x14ac:dyDescent="0.2">
      <c r="A271" t="s">
        <v>45</v>
      </c>
      <c r="B271" s="5" t="s">
        <v>46</v>
      </c>
      <c r="C271" s="5" t="s">
        <v>296</v>
      </c>
      <c r="D271" s="5" t="s">
        <v>324</v>
      </c>
      <c r="E271">
        <v>8</v>
      </c>
      <c r="F271" s="6">
        <v>322</v>
      </c>
      <c r="G271" s="3">
        <v>2.4500000000000002</v>
      </c>
      <c r="H271" s="3">
        <v>2.1</v>
      </c>
      <c r="I271" s="3">
        <v>1.1000000000000001</v>
      </c>
      <c r="J271" s="3">
        <v>36.657692307693253</v>
      </c>
      <c r="K271" s="3">
        <v>37.757692307693276</v>
      </c>
      <c r="L271" s="3">
        <v>37.207692307693264</v>
      </c>
      <c r="M271" s="1">
        <v>0.19</v>
      </c>
      <c r="N271" s="3">
        <v>316.65769230769325</v>
      </c>
      <c r="O271" s="3">
        <v>317.75769230769328</v>
      </c>
      <c r="P271" s="3">
        <v>317.20769230769326</v>
      </c>
      <c r="Q271" s="3">
        <v>320.65769230769325</v>
      </c>
      <c r="R271" s="3">
        <v>321.75769230769328</v>
      </c>
      <c r="S271" s="3">
        <v>321.2</v>
      </c>
      <c r="T271" s="3">
        <v>321.2</v>
      </c>
      <c r="U271" s="7">
        <f t="shared" si="52"/>
        <v>0.55000000000001137</v>
      </c>
      <c r="V271" s="3">
        <v>4032.64</v>
      </c>
      <c r="W271" s="3">
        <v>4555.68</v>
      </c>
      <c r="X271" s="3">
        <v>4258.8599999999997</v>
      </c>
      <c r="Y271" s="3">
        <v>4268.47</v>
      </c>
      <c r="Z271" s="3">
        <f t="shared" si="53"/>
        <v>261.52000000000021</v>
      </c>
      <c r="AA271" s="4">
        <f t="shared" si="54"/>
        <v>8.8255261371354365E-2</v>
      </c>
      <c r="AB271" s="4">
        <f t="shared" si="55"/>
        <v>5.5583325582487814E-3</v>
      </c>
      <c r="AC271">
        <v>1.1476266666666668</v>
      </c>
      <c r="AD271" s="2">
        <v>5.7093999999999987</v>
      </c>
      <c r="AE271" s="2">
        <v>1.9631000000000001</v>
      </c>
      <c r="AF271" s="2">
        <f t="shared" si="56"/>
        <v>3.7462999999999989</v>
      </c>
      <c r="AG271" s="2">
        <v>0.81547333333333327</v>
      </c>
      <c r="AH271" s="1">
        <f t="shared" si="57"/>
        <v>82.123764734766894</v>
      </c>
      <c r="AI271" s="1">
        <f t="shared" si="58"/>
        <v>17.876235265233106</v>
      </c>
      <c r="AJ271" s="1">
        <f t="shared" si="59"/>
        <v>0.89381176326165535</v>
      </c>
      <c r="AK271" s="8">
        <v>5.200000000000049E-2</v>
      </c>
      <c r="AL271" s="9">
        <v>83.407785577536558</v>
      </c>
      <c r="AM271" s="10">
        <v>4.1703892788768284</v>
      </c>
      <c r="AN271" s="9">
        <v>41.703892788768279</v>
      </c>
      <c r="AO271" s="11">
        <v>4.1713602981965963</v>
      </c>
      <c r="AP271" s="2">
        <v>4.4691521875000015</v>
      </c>
      <c r="AQ271" s="2">
        <f t="shared" si="60"/>
        <v>0.25250709859375009</v>
      </c>
      <c r="AR271" s="2">
        <v>1.0207245450473554</v>
      </c>
      <c r="AS271" s="2">
        <v>0.18246712108264562</v>
      </c>
      <c r="AT271" s="2">
        <f t="shared" si="61"/>
        <v>1.8246712108264562E-2</v>
      </c>
      <c r="AU271" s="2">
        <f t="shared" si="62"/>
        <v>1.6103683462827454E-2</v>
      </c>
      <c r="AV271" s="2">
        <f t="shared" si="63"/>
        <v>2.5202264619324966E-3</v>
      </c>
      <c r="AW271" s="3">
        <f t="shared" si="64"/>
        <v>15.65</v>
      </c>
    </row>
    <row r="272" spans="1:49" x14ac:dyDescent="0.2">
      <c r="A272" t="s">
        <v>45</v>
      </c>
      <c r="B272" s="5" t="s">
        <v>46</v>
      </c>
      <c r="C272" s="5" t="s">
        <v>296</v>
      </c>
      <c r="D272" s="5" t="s">
        <v>325</v>
      </c>
      <c r="E272">
        <v>8</v>
      </c>
      <c r="F272" s="6">
        <v>323</v>
      </c>
      <c r="G272" s="3">
        <v>1.95</v>
      </c>
      <c r="H272" s="3">
        <v>2.4</v>
      </c>
      <c r="I272" s="3">
        <v>1.1499999999999999</v>
      </c>
      <c r="J272" s="3">
        <v>37.951282051283044</v>
      </c>
      <c r="K272" s="3">
        <v>39.101282051283022</v>
      </c>
      <c r="L272" s="3">
        <v>38.526282051283033</v>
      </c>
      <c r="M272" s="1">
        <v>0.19</v>
      </c>
      <c r="N272" s="3">
        <v>317.95128205128304</v>
      </c>
      <c r="O272" s="3">
        <v>319.10128205128302</v>
      </c>
      <c r="P272" s="3">
        <v>318.52628205128303</v>
      </c>
      <c r="Q272" s="3">
        <v>321.95128205128304</v>
      </c>
      <c r="R272" s="3">
        <v>323.10128205128302</v>
      </c>
      <c r="S272" s="3">
        <v>322.5</v>
      </c>
      <c r="T272" s="3">
        <v>322.5</v>
      </c>
      <c r="U272" s="7">
        <f t="shared" si="52"/>
        <v>0.57499999999998863</v>
      </c>
      <c r="V272" s="3">
        <v>4048.29</v>
      </c>
      <c r="W272" s="3">
        <v>4568.22</v>
      </c>
      <c r="X272" s="3">
        <v>4273.42</v>
      </c>
      <c r="Y272" s="3">
        <v>4283.2</v>
      </c>
      <c r="Z272" s="3">
        <f t="shared" si="53"/>
        <v>259.96500000000015</v>
      </c>
      <c r="AA272" s="4">
        <f t="shared" si="54"/>
        <v>8.8315217391303588E-2</v>
      </c>
      <c r="AB272" s="4">
        <f t="shared" si="55"/>
        <v>5.5176745128937147E-3</v>
      </c>
      <c r="AC272">
        <v>1.1476266666666668</v>
      </c>
      <c r="AD272" s="2">
        <v>5.5609999999999999</v>
      </c>
      <c r="AE272" s="2">
        <v>1.9161999999999999</v>
      </c>
      <c r="AF272" s="2">
        <f t="shared" si="56"/>
        <v>3.6448</v>
      </c>
      <c r="AG272" s="2">
        <v>0.76857333333333311</v>
      </c>
      <c r="AH272" s="1">
        <f t="shared" si="57"/>
        <v>82.585354211291133</v>
      </c>
      <c r="AI272" s="1">
        <f t="shared" si="58"/>
        <v>17.414645788708867</v>
      </c>
      <c r="AJ272" s="1">
        <f t="shared" si="59"/>
        <v>0.87073228943544345</v>
      </c>
      <c r="AK272" s="8">
        <v>6.0599999999999987E-2</v>
      </c>
      <c r="AL272" s="9">
        <v>84.127815610267163</v>
      </c>
      <c r="AM272" s="10">
        <v>4.2063907805133587</v>
      </c>
      <c r="AN272" s="9">
        <v>42.063907805133582</v>
      </c>
      <c r="AO272" s="11">
        <v>4.2073534910187638</v>
      </c>
      <c r="AP272" s="2">
        <v>4.2705717187499985</v>
      </c>
      <c r="AQ272" s="2">
        <f t="shared" si="60"/>
        <v>0.2348814445312499</v>
      </c>
      <c r="AR272" s="2">
        <v>1.0334385239232402</v>
      </c>
      <c r="AS272" s="2">
        <v>0.17996965838529355</v>
      </c>
      <c r="AT272" s="2">
        <f t="shared" si="61"/>
        <v>1.7996965838529357E-2</v>
      </c>
      <c r="AU272" s="2">
        <f t="shared" si="62"/>
        <v>1.5894059504135843E-2</v>
      </c>
      <c r="AV272" s="2">
        <f t="shared" si="63"/>
        <v>2.4635792231410556E-3</v>
      </c>
      <c r="AW272" s="3">
        <f t="shared" si="64"/>
        <v>15.5</v>
      </c>
    </row>
    <row r="273" spans="1:49" x14ac:dyDescent="0.2">
      <c r="A273" t="s">
        <v>45</v>
      </c>
      <c r="B273" s="5" t="s">
        <v>46</v>
      </c>
      <c r="C273" s="5" t="s">
        <v>296</v>
      </c>
      <c r="D273" s="5" t="s">
        <v>326</v>
      </c>
      <c r="E273">
        <v>8</v>
      </c>
      <c r="F273" s="6">
        <v>324</v>
      </c>
      <c r="G273" s="3">
        <v>1.95</v>
      </c>
      <c r="H273" s="3">
        <v>2.4</v>
      </c>
      <c r="I273" s="3">
        <v>1</v>
      </c>
      <c r="J273" s="3">
        <v>39.29487179487279</v>
      </c>
      <c r="K273" s="3">
        <v>40.29487179487279</v>
      </c>
      <c r="L273" s="3">
        <v>39.79487179487279</v>
      </c>
      <c r="M273" s="1">
        <v>0.19</v>
      </c>
      <c r="N273" s="3">
        <v>319.29487179487279</v>
      </c>
      <c r="O273" s="3">
        <v>320.29487179487279</v>
      </c>
      <c r="P273" s="3">
        <v>319.79487179487279</v>
      </c>
      <c r="Q273" s="3">
        <v>323.29487179487279</v>
      </c>
      <c r="R273" s="3">
        <v>324.29487179487279</v>
      </c>
      <c r="S273" s="3">
        <v>323.8</v>
      </c>
      <c r="T273" s="3">
        <v>323.8</v>
      </c>
      <c r="U273" s="7">
        <f t="shared" si="52"/>
        <v>0.5</v>
      </c>
      <c r="V273" s="3">
        <v>4062.12</v>
      </c>
      <c r="W273" s="3">
        <v>4584.53</v>
      </c>
      <c r="X273" s="3">
        <v>4287.8999999999996</v>
      </c>
      <c r="Y273" s="3">
        <v>4297.92</v>
      </c>
      <c r="Z273" s="3">
        <f t="shared" si="53"/>
        <v>261.20499999999993</v>
      </c>
      <c r="AA273" s="4">
        <f t="shared" si="54"/>
        <v>8.8300220750550093E-2</v>
      </c>
      <c r="AB273" s="4">
        <f t="shared" si="55"/>
        <v>5.5027735026852587E-3</v>
      </c>
      <c r="AC273">
        <v>1.1476266666666668</v>
      </c>
      <c r="AD273" s="2">
        <v>5.8401999999999994</v>
      </c>
      <c r="AE273" s="2">
        <v>1.9958</v>
      </c>
      <c r="AF273" s="2">
        <f t="shared" si="56"/>
        <v>3.8443999999999994</v>
      </c>
      <c r="AG273" s="2">
        <v>0.84817333333333322</v>
      </c>
      <c r="AH273" s="1">
        <f t="shared" si="57"/>
        <v>81.925198114467392</v>
      </c>
      <c r="AI273" s="1">
        <f t="shared" si="58"/>
        <v>18.074801885532608</v>
      </c>
      <c r="AJ273" s="1">
        <f t="shared" si="59"/>
        <v>0.90374009427663049</v>
      </c>
      <c r="AK273" s="8">
        <v>0.26239999999999952</v>
      </c>
      <c r="AL273" s="9">
        <v>58.592393877229</v>
      </c>
      <c r="AM273" s="10">
        <v>2.9296196938614503</v>
      </c>
      <c r="AN273" s="9">
        <v>29.2961969386145</v>
      </c>
      <c r="AO273" s="11">
        <v>2.931001799839239</v>
      </c>
      <c r="AP273" s="2">
        <v>3.7135406249999994</v>
      </c>
      <c r="AQ273" s="2">
        <f t="shared" si="60"/>
        <v>0.19867442343749997</v>
      </c>
      <c r="AR273" s="2">
        <v>1.2636386153263999</v>
      </c>
      <c r="AS273" s="2">
        <v>0.22840017626933418</v>
      </c>
      <c r="AT273" s="2">
        <f t="shared" si="61"/>
        <v>2.2840017626933419E-2</v>
      </c>
      <c r="AU273" s="2">
        <f t="shared" si="62"/>
        <v>2.0167785984046761E-2</v>
      </c>
      <c r="AV273" s="2">
        <f t="shared" si="63"/>
        <v>3.0957551485511778E-3</v>
      </c>
      <c r="AW273" s="3">
        <f t="shared" si="64"/>
        <v>15.35</v>
      </c>
    </row>
    <row r="274" spans="1:49" x14ac:dyDescent="0.2">
      <c r="A274" t="s">
        <v>45</v>
      </c>
      <c r="B274" s="5" t="s">
        <v>46</v>
      </c>
      <c r="C274" s="5" t="s">
        <v>296</v>
      </c>
      <c r="D274" s="5" t="s">
        <v>327</v>
      </c>
      <c r="E274">
        <v>8</v>
      </c>
      <c r="F274" s="6">
        <v>325</v>
      </c>
      <c r="G274" s="3">
        <v>2.1</v>
      </c>
      <c r="H274" s="3">
        <v>2.4</v>
      </c>
      <c r="I274" s="3">
        <v>1</v>
      </c>
      <c r="J274" s="3">
        <v>40.488461538462559</v>
      </c>
      <c r="K274" s="3">
        <v>41.488461538462559</v>
      </c>
      <c r="L274" s="3">
        <v>40.988461538462559</v>
      </c>
      <c r="M274" s="1">
        <v>0.19</v>
      </c>
      <c r="N274" s="3">
        <v>320.48846153846256</v>
      </c>
      <c r="O274" s="3">
        <v>321.48846153846256</v>
      </c>
      <c r="P274" s="3">
        <v>320.98846153846256</v>
      </c>
      <c r="Q274" s="3">
        <v>324.48846153846256</v>
      </c>
      <c r="R274" s="3">
        <v>325.48846153846256</v>
      </c>
      <c r="S274" s="3">
        <v>325</v>
      </c>
      <c r="T274" s="3">
        <v>325</v>
      </c>
      <c r="U274" s="7">
        <f t="shared" si="52"/>
        <v>0.5</v>
      </c>
      <c r="V274" s="3">
        <v>4074.69</v>
      </c>
      <c r="W274" s="3">
        <v>4597.83</v>
      </c>
      <c r="X274" s="3">
        <v>4303.09</v>
      </c>
      <c r="Y274" s="3">
        <v>4311.51</v>
      </c>
      <c r="Z274" s="3">
        <f t="shared" si="53"/>
        <v>261.56999999999994</v>
      </c>
      <c r="AA274" s="4">
        <f t="shared" si="54"/>
        <v>8.8287227781048805E-2</v>
      </c>
      <c r="AB274" s="4">
        <f t="shared" si="55"/>
        <v>5.4920219371289601E-3</v>
      </c>
      <c r="AC274">
        <v>1.1476266666666668</v>
      </c>
      <c r="AD274" s="2">
        <v>6.5655000000000001</v>
      </c>
      <c r="AE274" s="2">
        <v>2.1404000000000001</v>
      </c>
      <c r="AF274" s="2">
        <f t="shared" si="56"/>
        <v>4.4251000000000005</v>
      </c>
      <c r="AG274" s="2">
        <v>0.99277333333333329</v>
      </c>
      <c r="AH274" s="1">
        <f t="shared" si="57"/>
        <v>81.675958955604983</v>
      </c>
      <c r="AI274" s="1">
        <f t="shared" si="58"/>
        <v>18.324041044395017</v>
      </c>
      <c r="AJ274" s="1">
        <f t="shared" si="59"/>
        <v>0.91620205221975093</v>
      </c>
      <c r="AK274" s="8">
        <v>0.17490000000000006</v>
      </c>
      <c r="AL274" s="9">
        <v>71.313760865999626</v>
      </c>
      <c r="AM274" s="10">
        <v>3.5656880432999816</v>
      </c>
      <c r="AN274" s="9">
        <v>35.656880432999813</v>
      </c>
      <c r="AO274" s="11">
        <v>3.5668236881197886</v>
      </c>
      <c r="AP274" s="2">
        <v>3.9740625000000001</v>
      </c>
      <c r="AQ274" s="2">
        <f t="shared" si="60"/>
        <v>0.2185734375</v>
      </c>
      <c r="AR274" s="2">
        <v>1.3633085371287779</v>
      </c>
      <c r="AS274" s="2">
        <v>0.24981321590521871</v>
      </c>
      <c r="AT274" s="2">
        <f t="shared" si="61"/>
        <v>2.4981321590521872E-2</v>
      </c>
      <c r="AU274" s="2">
        <f t="shared" si="62"/>
        <v>2.2055316295340369E-2</v>
      </c>
      <c r="AV274" s="2">
        <f t="shared" si="63"/>
        <v>3.4185740257777573E-3</v>
      </c>
      <c r="AW274" s="3">
        <f t="shared" si="64"/>
        <v>15.5</v>
      </c>
    </row>
    <row r="275" spans="1:49" x14ac:dyDescent="0.2">
      <c r="A275" t="s">
        <v>45</v>
      </c>
      <c r="B275" s="5" t="s">
        <v>46</v>
      </c>
      <c r="C275" s="5" t="s">
        <v>328</v>
      </c>
      <c r="D275" s="5" t="s">
        <v>329</v>
      </c>
      <c r="E275">
        <v>9</v>
      </c>
      <c r="F275" s="6">
        <v>337</v>
      </c>
      <c r="G275" s="3">
        <v>2.2999999999999998</v>
      </c>
      <c r="H275" s="3">
        <v>2.35</v>
      </c>
      <c r="I275" s="3">
        <v>1.05</v>
      </c>
      <c r="J275" s="3">
        <v>5.9999999999999432</v>
      </c>
      <c r="K275" s="3">
        <v>7.0499999999999545</v>
      </c>
      <c r="L275" s="3">
        <v>6.5249999999999773</v>
      </c>
      <c r="M275" s="1">
        <v>0.2</v>
      </c>
      <c r="N275" s="3">
        <v>325.99999999999994</v>
      </c>
      <c r="O275" s="3">
        <v>327.04999999999995</v>
      </c>
      <c r="P275" s="3">
        <v>326.52499999999998</v>
      </c>
      <c r="Q275" s="3">
        <v>325.99999999999994</v>
      </c>
      <c r="R275" s="3">
        <v>327.04999999999995</v>
      </c>
      <c r="S275" s="3">
        <v>326.5</v>
      </c>
      <c r="T275" s="3">
        <v>326.5</v>
      </c>
      <c r="U275" s="7">
        <f t="shared" si="52"/>
        <v>0.52500000000000568</v>
      </c>
      <c r="V275" s="3">
        <v>4086.38</v>
      </c>
      <c r="W275" s="3">
        <v>4616.92</v>
      </c>
      <c r="X275" s="3">
        <v>4319.97</v>
      </c>
      <c r="Y275" s="3">
        <v>4328.5</v>
      </c>
      <c r="Z275" s="3">
        <f t="shared" si="53"/>
        <v>265.27</v>
      </c>
      <c r="AA275" s="4">
        <f t="shared" si="54"/>
        <v>8.8315217391303588E-2</v>
      </c>
      <c r="AB275" s="4">
        <f t="shared" si="55"/>
        <v>5.5543624157272948E-3</v>
      </c>
      <c r="AC275">
        <v>1.1476266666666668</v>
      </c>
      <c r="AD275" s="2">
        <v>5.3592999999999975</v>
      </c>
      <c r="AE275" s="2">
        <v>1.9129</v>
      </c>
      <c r="AF275" s="2">
        <f t="shared" si="56"/>
        <v>3.4463999999999975</v>
      </c>
      <c r="AG275" s="2">
        <v>0.76527333333333325</v>
      </c>
      <c r="AH275" s="1">
        <f t="shared" si="57"/>
        <v>81.829708223651394</v>
      </c>
      <c r="AI275" s="1">
        <f t="shared" si="58"/>
        <v>18.170291776348606</v>
      </c>
      <c r="AJ275" s="1">
        <f t="shared" si="59"/>
        <v>0.9085145888174303</v>
      </c>
      <c r="AK275" s="8">
        <v>8.5099999999999731E-2</v>
      </c>
      <c r="AL275" s="9">
        <v>79.060039370078783</v>
      </c>
      <c r="AM275" s="10">
        <v>3.9530019685039393</v>
      </c>
      <c r="AN275" s="9">
        <v>39.530019685039392</v>
      </c>
      <c r="AO275" s="11">
        <v>3.95402637358377</v>
      </c>
      <c r="AP275" s="2">
        <v>4.455586406250001</v>
      </c>
      <c r="AQ275" s="2">
        <f t="shared" si="60"/>
        <v>0.25396842515625007</v>
      </c>
      <c r="AR275" s="2">
        <v>0.94525679659707085</v>
      </c>
      <c r="AS275" s="2">
        <v>0.17175591797745379</v>
      </c>
      <c r="AT275" s="2">
        <f t="shared" si="61"/>
        <v>1.7175591797745381E-2</v>
      </c>
      <c r="AU275" s="2">
        <f t="shared" si="62"/>
        <v>1.5168661234421741E-2</v>
      </c>
      <c r="AV275" s="2">
        <f t="shared" si="63"/>
        <v>2.3814798138042134E-3</v>
      </c>
      <c r="AW275" s="3">
        <f t="shared" si="64"/>
        <v>15.7</v>
      </c>
    </row>
    <row r="276" spans="1:49" x14ac:dyDescent="0.2">
      <c r="A276" t="s">
        <v>45</v>
      </c>
      <c r="B276" s="5" t="s">
        <v>46</v>
      </c>
      <c r="C276" s="5" t="s">
        <v>328</v>
      </c>
      <c r="D276" s="5" t="s">
        <v>330</v>
      </c>
      <c r="E276">
        <v>9</v>
      </c>
      <c r="F276" s="6">
        <v>338</v>
      </c>
      <c r="G276" s="3">
        <v>1.9</v>
      </c>
      <c r="H276" s="3">
        <v>2.4</v>
      </c>
      <c r="I276" s="3">
        <v>1.1000000000000001</v>
      </c>
      <c r="J276" s="3">
        <v>7.2499999999999432</v>
      </c>
      <c r="K276" s="3">
        <v>8.3499999999999659</v>
      </c>
      <c r="L276" s="3">
        <v>7.7999999999999545</v>
      </c>
      <c r="M276" s="1">
        <v>0.2</v>
      </c>
      <c r="N276" s="3">
        <v>327.24999999999994</v>
      </c>
      <c r="O276" s="3">
        <v>328.34999999999997</v>
      </c>
      <c r="P276" s="3">
        <v>327.79999999999995</v>
      </c>
      <c r="Q276" s="3">
        <v>327.24999999999994</v>
      </c>
      <c r="R276" s="3">
        <v>328.34999999999997</v>
      </c>
      <c r="S276" s="3">
        <v>327.8</v>
      </c>
      <c r="T276" s="3">
        <v>327.8</v>
      </c>
      <c r="U276" s="7">
        <f t="shared" si="52"/>
        <v>0.55000000000001137</v>
      </c>
      <c r="V276" s="3">
        <v>4096.2</v>
      </c>
      <c r="W276" s="3">
        <v>4640.49</v>
      </c>
      <c r="X276" s="3">
        <v>4334.2299999999996</v>
      </c>
      <c r="Y276" s="3">
        <v>4343.22</v>
      </c>
      <c r="Z276" s="3">
        <f t="shared" si="53"/>
        <v>272.14499999999998</v>
      </c>
      <c r="AA276" s="4">
        <f t="shared" si="54"/>
        <v>8.8315217391309042E-2</v>
      </c>
      <c r="AB276" s="4">
        <f t="shared" si="55"/>
        <v>5.6819877234656853E-3</v>
      </c>
      <c r="AC276">
        <v>1.1476266666666668</v>
      </c>
      <c r="AD276" s="2">
        <v>5.0632999999999981</v>
      </c>
      <c r="AE276" s="2">
        <v>1.8301000000000001</v>
      </c>
      <c r="AF276" s="2">
        <f t="shared" si="56"/>
        <v>3.2331999999999983</v>
      </c>
      <c r="AG276" s="2">
        <v>0.68247333333333327</v>
      </c>
      <c r="AH276" s="1">
        <f t="shared" si="57"/>
        <v>82.570728576268706</v>
      </c>
      <c r="AI276" s="1">
        <f t="shared" si="58"/>
        <v>17.429271423731294</v>
      </c>
      <c r="AJ276" s="1">
        <f t="shared" si="59"/>
        <v>0.8714635711865647</v>
      </c>
      <c r="AK276" s="8">
        <v>0.15969999999999995</v>
      </c>
      <c r="AL276" s="9">
        <v>68.225228810187048</v>
      </c>
      <c r="AM276" s="10">
        <v>3.4112614405093526</v>
      </c>
      <c r="AN276" s="9">
        <v>34.112614405093524</v>
      </c>
      <c r="AO276" s="11">
        <v>3.4124484780734705</v>
      </c>
      <c r="AP276" s="2">
        <v>3.9915287500000001</v>
      </c>
      <c r="AQ276" s="2">
        <f t="shared" si="60"/>
        <v>0.21554255250000001</v>
      </c>
      <c r="AR276" s="2">
        <v>0.98099589871006976</v>
      </c>
      <c r="AS276" s="2">
        <v>0.17098043784185027</v>
      </c>
      <c r="AT276" s="2">
        <f t="shared" si="61"/>
        <v>1.7098043784185026E-2</v>
      </c>
      <c r="AU276" s="2">
        <f t="shared" si="62"/>
        <v>1.5100174537664209E-2</v>
      </c>
      <c r="AV276" s="2">
        <f t="shared" si="63"/>
        <v>2.325426878800288E-3</v>
      </c>
      <c r="AW276" s="3">
        <f t="shared" si="64"/>
        <v>15.399999999999997</v>
      </c>
    </row>
    <row r="277" spans="1:49" x14ac:dyDescent="0.2">
      <c r="A277" t="s">
        <v>45</v>
      </c>
      <c r="B277" s="5" t="s">
        <v>46</v>
      </c>
      <c r="C277" s="5" t="s">
        <v>328</v>
      </c>
      <c r="D277" s="5" t="s">
        <v>331</v>
      </c>
      <c r="E277">
        <v>9</v>
      </c>
      <c r="F277" s="6">
        <v>339</v>
      </c>
      <c r="G277" s="3">
        <v>2.2999999999999998</v>
      </c>
      <c r="H277" s="3">
        <v>2.25</v>
      </c>
      <c r="I277" s="3">
        <v>1</v>
      </c>
      <c r="J277" s="3">
        <v>8.5499999999999545</v>
      </c>
      <c r="K277" s="3">
        <v>9.5499999999999545</v>
      </c>
      <c r="L277" s="3">
        <v>9.0499999999999545</v>
      </c>
      <c r="M277" s="1">
        <v>0.2</v>
      </c>
      <c r="N277" s="3">
        <v>328.54999999999995</v>
      </c>
      <c r="O277" s="3">
        <v>329.54999999999995</v>
      </c>
      <c r="P277" s="3">
        <v>329.04999999999995</v>
      </c>
      <c r="Q277" s="3">
        <v>328.54999999999995</v>
      </c>
      <c r="R277" s="3">
        <v>329.54999999999995</v>
      </c>
      <c r="S277" s="3">
        <v>329.1</v>
      </c>
      <c r="T277" s="3">
        <v>329.1</v>
      </c>
      <c r="U277" s="7">
        <f t="shared" si="52"/>
        <v>0.5</v>
      </c>
      <c r="V277" s="3">
        <v>4102.6000000000004</v>
      </c>
      <c r="W277" s="3">
        <v>4660.54</v>
      </c>
      <c r="X277" s="3">
        <v>4347.58</v>
      </c>
      <c r="Y277" s="3">
        <v>4357.9399999999996</v>
      </c>
      <c r="Z277" s="3">
        <f t="shared" si="53"/>
        <v>278.9699999999998</v>
      </c>
      <c r="AA277" s="4">
        <f t="shared" si="54"/>
        <v>8.8626292466764539E-2</v>
      </c>
      <c r="AB277" s="4">
        <f t="shared" si="55"/>
        <v>5.807989829058423E-3</v>
      </c>
      <c r="AC277">
        <v>1.1476266666666668</v>
      </c>
      <c r="AD277" s="2">
        <v>5.3830999999999989</v>
      </c>
      <c r="AE277" s="2">
        <v>1.9645999999999999</v>
      </c>
      <c r="AF277" s="2">
        <f t="shared" si="56"/>
        <v>3.418499999999999</v>
      </c>
      <c r="AG277" s="2">
        <v>0.81697333333333311</v>
      </c>
      <c r="AH277" s="1">
        <f t="shared" si="57"/>
        <v>80.711168055203586</v>
      </c>
      <c r="AI277" s="1">
        <f t="shared" si="58"/>
        <v>19.288831944796414</v>
      </c>
      <c r="AJ277" s="1">
        <f t="shared" si="59"/>
        <v>0.9644415972398207</v>
      </c>
      <c r="AK277" s="8">
        <v>9.3800000000000772E-2</v>
      </c>
      <c r="AL277" s="9">
        <v>72.581116632563379</v>
      </c>
      <c r="AM277" s="10">
        <v>3.6290558316281691</v>
      </c>
      <c r="AN277" s="9">
        <v>36.29055831628169</v>
      </c>
      <c r="AO277" s="11">
        <v>3.6301716528388051</v>
      </c>
      <c r="AP277" s="2">
        <v>4.0628656249999997</v>
      </c>
      <c r="AQ277" s="2">
        <f t="shared" si="60"/>
        <v>0.22548904218749999</v>
      </c>
      <c r="AR277" s="2">
        <v>1.042484227701558</v>
      </c>
      <c r="AS277" s="2">
        <v>0.20108303073236225</v>
      </c>
      <c r="AT277" s="2">
        <f t="shared" si="61"/>
        <v>2.0108303073236227E-2</v>
      </c>
      <c r="AU277" s="2">
        <f t="shared" si="62"/>
        <v>1.7821243491789738E-2</v>
      </c>
      <c r="AV277" s="2">
        <f t="shared" si="63"/>
        <v>2.7712033629733041E-3</v>
      </c>
      <c r="AW277" s="3">
        <f t="shared" si="64"/>
        <v>15.55</v>
      </c>
    </row>
    <row r="278" spans="1:49" x14ac:dyDescent="0.2">
      <c r="A278" t="s">
        <v>45</v>
      </c>
      <c r="B278" s="5" t="s">
        <v>46</v>
      </c>
      <c r="C278" s="5" t="s">
        <v>328</v>
      </c>
      <c r="D278" s="5" t="s">
        <v>332</v>
      </c>
      <c r="E278">
        <v>9</v>
      </c>
      <c r="F278" s="6">
        <v>340</v>
      </c>
      <c r="G278" s="3">
        <v>2.2000000000000002</v>
      </c>
      <c r="H278" s="3">
        <v>2.2999999999999998</v>
      </c>
      <c r="I278" s="3">
        <v>1</v>
      </c>
      <c r="J278" s="3">
        <v>9.7499999999999432</v>
      </c>
      <c r="K278" s="3">
        <v>10.749999999999943</v>
      </c>
      <c r="L278" s="3">
        <v>10.249999999999943</v>
      </c>
      <c r="M278" s="1">
        <v>0.2</v>
      </c>
      <c r="N278" s="3">
        <v>329.74999999999994</v>
      </c>
      <c r="O278" s="3">
        <v>330.74999999999994</v>
      </c>
      <c r="P278" s="3">
        <v>330.24999999999994</v>
      </c>
      <c r="Q278" s="3">
        <v>329.74999999999994</v>
      </c>
      <c r="R278" s="3">
        <v>330.74999999999994</v>
      </c>
      <c r="S278" s="3">
        <v>330.3</v>
      </c>
      <c r="T278" s="3">
        <v>330.3</v>
      </c>
      <c r="U278" s="7">
        <f t="shared" si="52"/>
        <v>0.5</v>
      </c>
      <c r="V278" s="3">
        <v>4110.9399999999996</v>
      </c>
      <c r="W278" s="3">
        <v>4681.5</v>
      </c>
      <c r="X278" s="3">
        <v>4360.3</v>
      </c>
      <c r="Y278" s="3">
        <v>4371.4799999999996</v>
      </c>
      <c r="Z278" s="3">
        <f t="shared" si="53"/>
        <v>285.2800000000002</v>
      </c>
      <c r="AA278" s="4">
        <f t="shared" si="54"/>
        <v>8.9795918367344157E-2</v>
      </c>
      <c r="AB278" s="4">
        <f t="shared" si="55"/>
        <v>5.9959552774878329E-3</v>
      </c>
      <c r="AC278">
        <v>1.1476266666666668</v>
      </c>
      <c r="AD278" s="2">
        <v>5.3792999999999971</v>
      </c>
      <c r="AE278" s="2">
        <v>1.9486000000000001</v>
      </c>
      <c r="AF278" s="2">
        <f t="shared" si="56"/>
        <v>3.4306999999999972</v>
      </c>
      <c r="AG278" s="2">
        <v>0.80097333333333331</v>
      </c>
      <c r="AH278" s="1">
        <f t="shared" si="57"/>
        <v>81.07194789767955</v>
      </c>
      <c r="AI278" s="1">
        <f t="shared" si="58"/>
        <v>18.92805210232045</v>
      </c>
      <c r="AJ278" s="1">
        <f t="shared" si="59"/>
        <v>0.94640260511602259</v>
      </c>
      <c r="AK278" s="8">
        <v>8.9699999999999669E-2</v>
      </c>
      <c r="AL278" s="9">
        <v>74.16474654377889</v>
      </c>
      <c r="AM278" s="10">
        <v>3.7082373271889448</v>
      </c>
      <c r="AN278" s="9">
        <v>37.082373271889445</v>
      </c>
      <c r="AO278" s="11">
        <v>3.7093293295092322</v>
      </c>
      <c r="AP278" s="2">
        <v>3.9740625000000001</v>
      </c>
      <c r="AQ278" s="2">
        <f t="shared" si="60"/>
        <v>0.2185734375</v>
      </c>
      <c r="AR278" s="2">
        <v>1.0648230452674889</v>
      </c>
      <c r="AS278" s="2">
        <v>0.20155026080574559</v>
      </c>
      <c r="AT278" s="2">
        <f t="shared" si="61"/>
        <v>2.015502608057456E-2</v>
      </c>
      <c r="AU278" s="2">
        <f t="shared" si="62"/>
        <v>1.8098390766229655E-2</v>
      </c>
      <c r="AV278" s="2">
        <f t="shared" si="63"/>
        <v>2.8052505687655967E-3</v>
      </c>
      <c r="AW278" s="3">
        <f t="shared" si="64"/>
        <v>15.5</v>
      </c>
    </row>
    <row r="279" spans="1:49" x14ac:dyDescent="0.2">
      <c r="A279" t="s">
        <v>45</v>
      </c>
      <c r="B279" s="5" t="s">
        <v>46</v>
      </c>
      <c r="C279" s="5" t="s">
        <v>328</v>
      </c>
      <c r="D279" s="5" t="s">
        <v>333</v>
      </c>
      <c r="E279">
        <v>9</v>
      </c>
      <c r="F279" s="6">
        <v>341</v>
      </c>
      <c r="G279" s="3">
        <v>2.2000000000000002</v>
      </c>
      <c r="H279" s="3">
        <v>2.2999999999999998</v>
      </c>
      <c r="I279" s="3">
        <v>0.95</v>
      </c>
      <c r="J279" s="3">
        <v>10.949999999999932</v>
      </c>
      <c r="K279" s="3">
        <v>11.89999999999992</v>
      </c>
      <c r="L279" s="3">
        <v>11.424999999999955</v>
      </c>
      <c r="M279" s="1">
        <v>0.2</v>
      </c>
      <c r="N279" s="3">
        <v>330.94999999999993</v>
      </c>
      <c r="O279" s="3">
        <v>331.89999999999992</v>
      </c>
      <c r="P279" s="3">
        <v>331.42499999999995</v>
      </c>
      <c r="Q279" s="3">
        <v>330.94999999999993</v>
      </c>
      <c r="R279" s="3">
        <v>331.89999999999992</v>
      </c>
      <c r="S279" s="3">
        <v>331.4</v>
      </c>
      <c r="T279" s="3">
        <v>331.4</v>
      </c>
      <c r="U279" s="7">
        <f t="shared" si="52"/>
        <v>0.47499999999999432</v>
      </c>
      <c r="V279" s="3">
        <v>4126.08</v>
      </c>
      <c r="W279" s="3">
        <v>4693.63</v>
      </c>
      <c r="X279" s="3">
        <v>4372.41</v>
      </c>
      <c r="Y279" s="3">
        <v>4383.7299999999996</v>
      </c>
      <c r="Z279" s="3">
        <f t="shared" si="53"/>
        <v>283.77500000000009</v>
      </c>
      <c r="AA279" s="4">
        <f t="shared" si="54"/>
        <v>8.9820359281436613E-2</v>
      </c>
      <c r="AB279" s="4">
        <f t="shared" si="55"/>
        <v>5.943143614988617E-3</v>
      </c>
      <c r="AC279">
        <v>1.1476266666666668</v>
      </c>
      <c r="AD279" s="2">
        <v>5.4401999999999973</v>
      </c>
      <c r="AE279" s="2">
        <v>2.0158999999999998</v>
      </c>
      <c r="AF279" s="2">
        <f t="shared" si="56"/>
        <v>3.4242999999999975</v>
      </c>
      <c r="AG279" s="2">
        <v>0.86827333333333301</v>
      </c>
      <c r="AH279" s="1">
        <f t="shared" si="57"/>
        <v>79.772661620224696</v>
      </c>
      <c r="AI279" s="1">
        <f t="shared" si="58"/>
        <v>20.227338379775304</v>
      </c>
      <c r="AJ279" s="1">
        <f t="shared" si="59"/>
        <v>1.0113669189887653</v>
      </c>
      <c r="AK279" s="8">
        <v>7.2099999999999831E-2</v>
      </c>
      <c r="AL279" s="9">
        <v>75.567604201965466</v>
      </c>
      <c r="AM279" s="10">
        <v>3.7783802100982733</v>
      </c>
      <c r="AN279" s="9">
        <v>37.783802100982733</v>
      </c>
      <c r="AO279" s="11">
        <v>3.7794519459919416</v>
      </c>
      <c r="AP279" s="2">
        <v>3.7753593750000003</v>
      </c>
      <c r="AQ279" s="2">
        <f t="shared" si="60"/>
        <v>0.20575708593750003</v>
      </c>
      <c r="AR279" s="2">
        <v>1.1369972781288749</v>
      </c>
      <c r="AS279" s="2">
        <v>0.2299842868159625</v>
      </c>
      <c r="AT279" s="2">
        <f t="shared" si="61"/>
        <v>2.2998428681596253E-2</v>
      </c>
      <c r="AU279" s="2">
        <f t="shared" si="62"/>
        <v>2.0657271270894718E-2</v>
      </c>
      <c r="AV279" s="2">
        <f t="shared" si="63"/>
        <v>3.1915484113532338E-3</v>
      </c>
      <c r="AW279" s="3">
        <f t="shared" si="64"/>
        <v>15.45</v>
      </c>
    </row>
    <row r="280" spans="1:49" x14ac:dyDescent="0.2">
      <c r="A280" t="s">
        <v>45</v>
      </c>
      <c r="B280" s="5" t="s">
        <v>46</v>
      </c>
      <c r="C280" s="5" t="s">
        <v>328</v>
      </c>
      <c r="D280" s="5" t="s">
        <v>334</v>
      </c>
      <c r="E280">
        <v>9</v>
      </c>
      <c r="F280" s="6">
        <v>342</v>
      </c>
      <c r="G280" s="3">
        <v>2.4</v>
      </c>
      <c r="H280" s="3">
        <v>2.35</v>
      </c>
      <c r="I280" s="3">
        <v>1</v>
      </c>
      <c r="J280" s="3">
        <v>12.099999999999909</v>
      </c>
      <c r="K280" s="3">
        <v>13.099999999999909</v>
      </c>
      <c r="L280" s="3">
        <v>12.599999999999909</v>
      </c>
      <c r="M280" s="1">
        <v>0.2</v>
      </c>
      <c r="N280" s="3">
        <v>332.09999999999991</v>
      </c>
      <c r="O280" s="3">
        <v>333.09999999999991</v>
      </c>
      <c r="P280" s="3">
        <v>332.59999999999991</v>
      </c>
      <c r="Q280" s="3">
        <v>332.09999999999991</v>
      </c>
      <c r="R280" s="3">
        <v>333.09999999999991</v>
      </c>
      <c r="S280" s="3">
        <v>332.6</v>
      </c>
      <c r="T280" s="3">
        <v>332.6</v>
      </c>
      <c r="U280" s="7">
        <f t="shared" si="52"/>
        <v>0.5</v>
      </c>
      <c r="V280" s="3">
        <v>4136.82</v>
      </c>
      <c r="W280" s="3">
        <v>4707.24</v>
      </c>
      <c r="X280" s="3">
        <v>4386.8900000000003</v>
      </c>
      <c r="Y280" s="3">
        <v>4397.09</v>
      </c>
      <c r="Z280" s="3">
        <f t="shared" si="53"/>
        <v>285.21000000000004</v>
      </c>
      <c r="AA280" s="4">
        <f t="shared" si="54"/>
        <v>8.9753178758414237E-2</v>
      </c>
      <c r="AB280" s="4">
        <f t="shared" si="55"/>
        <v>5.9566187061488463E-3</v>
      </c>
      <c r="AC280">
        <v>1.1476266666666668</v>
      </c>
      <c r="AD280" s="2">
        <v>3.8896999999999977</v>
      </c>
      <c r="AE280" s="2">
        <v>2.4045999999999998</v>
      </c>
      <c r="AF280" s="2">
        <f t="shared" si="56"/>
        <v>1.4850999999999979</v>
      </c>
      <c r="AG280" s="2">
        <v>1.2569733333333331</v>
      </c>
      <c r="AH280" s="1">
        <f t="shared" si="57"/>
        <v>54.159747733466865</v>
      </c>
      <c r="AI280" s="1">
        <f t="shared" si="58"/>
        <v>45.840252266533135</v>
      </c>
      <c r="AJ280" s="1">
        <f t="shared" si="59"/>
        <v>2.2920126133266567</v>
      </c>
      <c r="AK280" s="8">
        <v>0.12629999999999963</v>
      </c>
      <c r="AL280" s="9">
        <v>68.983300589391078</v>
      </c>
      <c r="AM280" s="10">
        <v>3.4491650294695542</v>
      </c>
      <c r="AN280" s="9">
        <v>34.491650294695539</v>
      </c>
      <c r="AO280" s="11">
        <v>3.4503390268951413</v>
      </c>
      <c r="AP280" s="2">
        <v>4.4278906249999999</v>
      </c>
      <c r="AQ280" s="2">
        <f t="shared" si="60"/>
        <v>0.25460371093750001</v>
      </c>
      <c r="AR280" s="2">
        <v>0.61927305020849088</v>
      </c>
      <c r="AS280" s="2">
        <v>0.28387632843422667</v>
      </c>
      <c r="AT280" s="2">
        <f t="shared" si="61"/>
        <v>2.8387632843422668E-2</v>
      </c>
      <c r="AU280" s="2">
        <f t="shared" si="62"/>
        <v>2.5478802851239456E-2</v>
      </c>
      <c r="AV280" s="2">
        <f t="shared" si="63"/>
        <v>4.0129114490702143E-3</v>
      </c>
      <c r="AW280" s="3">
        <f t="shared" si="64"/>
        <v>15.75</v>
      </c>
    </row>
    <row r="281" spans="1:49" x14ac:dyDescent="0.2">
      <c r="A281" t="s">
        <v>45</v>
      </c>
      <c r="B281" s="5" t="s">
        <v>46</v>
      </c>
      <c r="C281" s="5" t="s">
        <v>328</v>
      </c>
      <c r="D281" s="5" t="s">
        <v>335</v>
      </c>
      <c r="E281">
        <v>9</v>
      </c>
      <c r="F281" s="6">
        <v>343</v>
      </c>
      <c r="G281" s="3">
        <v>2.5</v>
      </c>
      <c r="H281" s="3">
        <v>2.2999999999999998</v>
      </c>
      <c r="I281" s="3">
        <v>0.95</v>
      </c>
      <c r="J281" s="3">
        <v>13.299999999999898</v>
      </c>
      <c r="K281" s="3">
        <v>14.249999999999886</v>
      </c>
      <c r="L281" s="3">
        <v>13.774999999999864</v>
      </c>
      <c r="M281" s="1">
        <v>0.2</v>
      </c>
      <c r="N281" s="3">
        <v>333.2999999999999</v>
      </c>
      <c r="O281" s="3">
        <v>334.24999999999989</v>
      </c>
      <c r="P281" s="3">
        <v>333.77499999999986</v>
      </c>
      <c r="Q281" s="3">
        <v>333.2999999999999</v>
      </c>
      <c r="R281" s="3">
        <v>334.24999999999989</v>
      </c>
      <c r="S281" s="3">
        <v>333.8</v>
      </c>
      <c r="T281" s="3">
        <v>333.8</v>
      </c>
      <c r="U281" s="7">
        <f t="shared" si="52"/>
        <v>0.47499999999999432</v>
      </c>
      <c r="V281" s="3">
        <v>4148.93</v>
      </c>
      <c r="W281" s="3">
        <v>4720.66</v>
      </c>
      <c r="X281" s="3">
        <v>4401.34</v>
      </c>
      <c r="Y281" s="3">
        <v>4410.46</v>
      </c>
      <c r="Z281" s="3">
        <f t="shared" si="53"/>
        <v>285.86499999999978</v>
      </c>
      <c r="AA281" s="4">
        <f t="shared" si="54"/>
        <v>8.9820359281438472E-2</v>
      </c>
      <c r="AB281" s="4">
        <f t="shared" si="55"/>
        <v>5.9495427378295626E-3</v>
      </c>
      <c r="AC281">
        <v>1.1476266666666668</v>
      </c>
      <c r="AD281" s="2">
        <v>6.1112000000000002</v>
      </c>
      <c r="AE281" s="2">
        <v>2.1596000000000002</v>
      </c>
      <c r="AF281" s="2">
        <f t="shared" si="56"/>
        <v>3.9516</v>
      </c>
      <c r="AG281" s="2">
        <v>1.0119733333333334</v>
      </c>
      <c r="AH281" s="1">
        <f t="shared" si="57"/>
        <v>79.611999957020203</v>
      </c>
      <c r="AI281" s="1">
        <f t="shared" si="58"/>
        <v>20.388000042979797</v>
      </c>
      <c r="AJ281" s="1">
        <f t="shared" si="59"/>
        <v>1.01940000214899</v>
      </c>
      <c r="AK281" s="8">
        <v>0.1969000000000003</v>
      </c>
      <c r="AL281" s="9">
        <v>61.163708086784993</v>
      </c>
      <c r="AM281" s="10">
        <v>3.05818540433925</v>
      </c>
      <c r="AN281" s="9">
        <v>30.581854043392497</v>
      </c>
      <c r="AO281" s="11">
        <v>3.0595094324603123</v>
      </c>
      <c r="AP281" s="2">
        <v>4.2955199999999998</v>
      </c>
      <c r="AQ281" s="2">
        <f t="shared" si="60"/>
        <v>0.2469924</v>
      </c>
      <c r="AR281" s="2">
        <v>1.1555232738605183</v>
      </c>
      <c r="AS281" s="2">
        <v>0.23558808557132394</v>
      </c>
      <c r="AT281" s="2">
        <f t="shared" si="61"/>
        <v>2.3558808557132396E-2</v>
      </c>
      <c r="AU281" s="2">
        <f t="shared" si="62"/>
        <v>2.1160606488442587E-2</v>
      </c>
      <c r="AV281" s="2">
        <f t="shared" si="63"/>
        <v>3.3327955219297073E-3</v>
      </c>
      <c r="AW281" s="3">
        <f t="shared" si="64"/>
        <v>15.75</v>
      </c>
    </row>
    <row r="282" spans="1:49" x14ac:dyDescent="0.2">
      <c r="A282" t="s">
        <v>45</v>
      </c>
      <c r="B282" s="5" t="s">
        <v>46</v>
      </c>
      <c r="C282" s="5" t="s">
        <v>328</v>
      </c>
      <c r="D282" s="5" t="s">
        <v>336</v>
      </c>
      <c r="E282">
        <v>9</v>
      </c>
      <c r="F282" s="6">
        <v>344</v>
      </c>
      <c r="G282" s="3">
        <v>2.4</v>
      </c>
      <c r="H282" s="3">
        <v>2.2999999999999998</v>
      </c>
      <c r="I282" s="3">
        <v>1.05</v>
      </c>
      <c r="J282" s="3">
        <v>14.449999999999875</v>
      </c>
      <c r="K282" s="3">
        <v>15.499999999999886</v>
      </c>
      <c r="L282" s="3">
        <v>14.974999999999909</v>
      </c>
      <c r="M282" s="1">
        <v>0.2</v>
      </c>
      <c r="N282" s="3">
        <v>334.44999999999987</v>
      </c>
      <c r="O282" s="3">
        <v>335.49999999999989</v>
      </c>
      <c r="P282" s="3">
        <v>334.97499999999991</v>
      </c>
      <c r="Q282" s="3">
        <v>334.44999999999987</v>
      </c>
      <c r="R282" s="3">
        <v>335.49999999999989</v>
      </c>
      <c r="S282" s="3">
        <v>335</v>
      </c>
      <c r="T282" s="3">
        <v>335</v>
      </c>
      <c r="U282" s="7">
        <f t="shared" si="52"/>
        <v>0.52500000000000568</v>
      </c>
      <c r="V282" s="3">
        <v>4160.1099999999997</v>
      </c>
      <c r="W282" s="3">
        <v>4731.8599999999997</v>
      </c>
      <c r="X282" s="3">
        <v>4414.92</v>
      </c>
      <c r="Y282" s="3">
        <v>4423.82</v>
      </c>
      <c r="Z282" s="3">
        <f t="shared" si="53"/>
        <v>285.875</v>
      </c>
      <c r="AA282" s="4">
        <f t="shared" si="54"/>
        <v>8.9753178758414237E-2</v>
      </c>
      <c r="AB282" s="4">
        <f t="shared" si="55"/>
        <v>5.9406656473041178E-3</v>
      </c>
      <c r="AC282">
        <v>1.1476266666666668</v>
      </c>
      <c r="AD282" s="2">
        <v>5.9121999999999986</v>
      </c>
      <c r="AE282" s="2">
        <v>2.0326</v>
      </c>
      <c r="AF282" s="2">
        <f t="shared" si="56"/>
        <v>3.8795999999999986</v>
      </c>
      <c r="AG282" s="2">
        <v>0.88497333333333317</v>
      </c>
      <c r="AH282" s="1">
        <f t="shared" si="57"/>
        <v>81.425968887035708</v>
      </c>
      <c r="AI282" s="1">
        <f t="shared" si="58"/>
        <v>18.574031112964292</v>
      </c>
      <c r="AJ282" s="1">
        <f t="shared" si="59"/>
        <v>0.92870155564821466</v>
      </c>
      <c r="AK282" s="8">
        <v>8.5799999999999876E-2</v>
      </c>
      <c r="AL282" s="9">
        <v>76.665760130541187</v>
      </c>
      <c r="AM282" s="10">
        <v>3.8332880065270594</v>
      </c>
      <c r="AN282" s="9">
        <v>38.332880065270594</v>
      </c>
      <c r="AO282" s="11">
        <v>3.8343443951977236</v>
      </c>
      <c r="AP282" s="2">
        <v>4.5519206249999993</v>
      </c>
      <c r="AQ282" s="2">
        <f t="shared" si="60"/>
        <v>0.26173543593749998</v>
      </c>
      <c r="AR282" s="2">
        <v>1.0467171389512824</v>
      </c>
      <c r="AS282" s="2">
        <v>0.19441756705354091</v>
      </c>
      <c r="AT282" s="2">
        <f t="shared" si="61"/>
        <v>1.9441756705354092E-2</v>
      </c>
      <c r="AU282" s="2">
        <f t="shared" si="62"/>
        <v>1.7449594649532444E-2</v>
      </c>
      <c r="AV282" s="2">
        <f t="shared" si="63"/>
        <v>2.7483111573013601E-3</v>
      </c>
      <c r="AW282" s="3">
        <f t="shared" si="64"/>
        <v>15.75</v>
      </c>
    </row>
    <row r="283" spans="1:49" x14ac:dyDescent="0.2">
      <c r="A283" t="s">
        <v>45</v>
      </c>
      <c r="B283" s="5" t="s">
        <v>46</v>
      </c>
      <c r="C283" s="5" t="s">
        <v>328</v>
      </c>
      <c r="D283" s="5" t="s">
        <v>337</v>
      </c>
      <c r="E283">
        <v>9</v>
      </c>
      <c r="F283" s="6">
        <v>345</v>
      </c>
      <c r="G283" s="3">
        <v>2.35</v>
      </c>
      <c r="H283" s="3">
        <v>2.2999999999999998</v>
      </c>
      <c r="I283" s="3">
        <v>1.05</v>
      </c>
      <c r="J283" s="3">
        <v>15.699999999999875</v>
      </c>
      <c r="K283" s="3">
        <v>16.749999999999886</v>
      </c>
      <c r="L283" s="3">
        <v>16.224999999999909</v>
      </c>
      <c r="M283" s="1">
        <v>0.2</v>
      </c>
      <c r="N283" s="3">
        <v>335.69999999999987</v>
      </c>
      <c r="O283" s="3">
        <v>336.74999999999989</v>
      </c>
      <c r="P283" s="3">
        <v>336.22499999999991</v>
      </c>
      <c r="Q283" s="3">
        <v>335.69999999999987</v>
      </c>
      <c r="R283" s="3">
        <v>336.74999999999989</v>
      </c>
      <c r="S283" s="3">
        <v>336.2</v>
      </c>
      <c r="T283" s="3">
        <v>336.2</v>
      </c>
      <c r="U283" s="7">
        <f t="shared" si="52"/>
        <v>0.52500000000000568</v>
      </c>
      <c r="V283" s="3">
        <v>4168.6000000000004</v>
      </c>
      <c r="W283" s="3">
        <v>4747.7700000000004</v>
      </c>
      <c r="X283" s="3">
        <v>4426.87</v>
      </c>
      <c r="Y283" s="3">
        <v>4437.1899999999996</v>
      </c>
      <c r="Z283" s="3">
        <f t="shared" si="53"/>
        <v>289.58500000000004</v>
      </c>
      <c r="AA283" s="4">
        <f t="shared" si="54"/>
        <v>8.9779005524859734E-2</v>
      </c>
      <c r="AB283" s="4">
        <f t="shared" si="55"/>
        <v>5.999457020241167E-3</v>
      </c>
      <c r="AC283">
        <v>1.1476266666666668</v>
      </c>
      <c r="AD283" s="2">
        <v>5.7900999999999989</v>
      </c>
      <c r="AE283" s="2">
        <v>2.0181</v>
      </c>
      <c r="AF283" s="2">
        <f t="shared" si="56"/>
        <v>3.7719999999999989</v>
      </c>
      <c r="AG283" s="2">
        <v>0.87047333333333321</v>
      </c>
      <c r="AH283" s="1">
        <f t="shared" si="57"/>
        <v>81.249793572678925</v>
      </c>
      <c r="AI283" s="1">
        <f t="shared" si="58"/>
        <v>18.750206427321075</v>
      </c>
      <c r="AJ283" s="1">
        <f t="shared" si="59"/>
        <v>0.93751032136605383</v>
      </c>
      <c r="AK283" s="8">
        <v>7.3100000000000165E-2</v>
      </c>
      <c r="AL283" s="9">
        <v>76.77890724269372</v>
      </c>
      <c r="AM283" s="10">
        <v>3.8389453621346861</v>
      </c>
      <c r="AN283" s="9">
        <v>38.38945362134686</v>
      </c>
      <c r="AO283" s="11">
        <v>3.8400001944603357</v>
      </c>
      <c r="AP283" s="2">
        <v>4.455586406250001</v>
      </c>
      <c r="AQ283" s="2">
        <f t="shared" si="60"/>
        <v>0.25396842515625007</v>
      </c>
      <c r="AR283" s="2">
        <v>1.0419444064245234</v>
      </c>
      <c r="AS283" s="2">
        <v>0.19536672706252334</v>
      </c>
      <c r="AT283" s="2">
        <f t="shared" si="61"/>
        <v>1.9536672706252336E-2</v>
      </c>
      <c r="AU283" s="2">
        <f t="shared" si="62"/>
        <v>1.7539830468320045E-2</v>
      </c>
      <c r="AV283" s="2">
        <f t="shared" si="63"/>
        <v>2.7537533835262471E-3</v>
      </c>
      <c r="AW283" s="3">
        <f t="shared" si="64"/>
        <v>15.7</v>
      </c>
    </row>
    <row r="284" spans="1:49" x14ac:dyDescent="0.2">
      <c r="A284" t="s">
        <v>45</v>
      </c>
      <c r="B284" s="5" t="s">
        <v>46</v>
      </c>
      <c r="C284" s="5" t="s">
        <v>328</v>
      </c>
      <c r="D284" s="5" t="s">
        <v>338</v>
      </c>
      <c r="E284">
        <v>9</v>
      </c>
      <c r="F284" s="6">
        <v>346</v>
      </c>
      <c r="G284" s="3">
        <v>2.0499999999999998</v>
      </c>
      <c r="H284" s="3">
        <v>2.2999999999999998</v>
      </c>
      <c r="I284" s="3">
        <v>1</v>
      </c>
      <c r="J284" s="3">
        <v>16.949999999999875</v>
      </c>
      <c r="K284" s="3">
        <v>17.949999999999875</v>
      </c>
      <c r="L284" s="3">
        <v>17.449999999999875</v>
      </c>
      <c r="M284" s="1">
        <v>0.2</v>
      </c>
      <c r="N284" s="3">
        <v>336.94999999999987</v>
      </c>
      <c r="O284" s="3">
        <v>337.94999999999987</v>
      </c>
      <c r="P284" s="3">
        <v>337.44999999999987</v>
      </c>
      <c r="Q284" s="3">
        <v>336.94999999999987</v>
      </c>
      <c r="R284" s="3">
        <v>337.94999999999987</v>
      </c>
      <c r="S284" s="3">
        <v>337.5</v>
      </c>
      <c r="T284" s="3">
        <v>337.5</v>
      </c>
      <c r="U284" s="7">
        <f t="shared" si="52"/>
        <v>0.5</v>
      </c>
      <c r="V284" s="3">
        <v>4179.1000000000004</v>
      </c>
      <c r="W284" s="3">
        <v>4770.29</v>
      </c>
      <c r="X284" s="3">
        <v>4441.47</v>
      </c>
      <c r="Y284" s="3">
        <v>4451.67</v>
      </c>
      <c r="Z284" s="3">
        <f t="shared" si="53"/>
        <v>295.5949999999998</v>
      </c>
      <c r="AA284" s="4">
        <f t="shared" si="54"/>
        <v>8.9753178758414237E-2</v>
      </c>
      <c r="AB284" s="4">
        <f t="shared" si="55"/>
        <v>6.0926616466518034E-3</v>
      </c>
      <c r="AC284">
        <v>1.1476266666666668</v>
      </c>
      <c r="AD284" s="2">
        <v>5.8265999999999991</v>
      </c>
      <c r="AE284" s="2">
        <v>1.9861</v>
      </c>
      <c r="AF284" s="2">
        <f t="shared" si="56"/>
        <v>3.8404999999999991</v>
      </c>
      <c r="AG284" s="2">
        <v>0.83847333333333318</v>
      </c>
      <c r="AH284" s="1">
        <f t="shared" si="57"/>
        <v>82.079971959660668</v>
      </c>
      <c r="AI284" s="1">
        <f t="shared" si="58"/>
        <v>17.920028040339332</v>
      </c>
      <c r="AJ284" s="1">
        <f t="shared" si="59"/>
        <v>0.89600140201696665</v>
      </c>
      <c r="AK284" s="8">
        <v>7.9900000000000304E-2</v>
      </c>
      <c r="AL284" s="9">
        <v>76.092160383004099</v>
      </c>
      <c r="AM284" s="10">
        <v>3.804608019150205</v>
      </c>
      <c r="AN284" s="9">
        <v>38.04608019150205</v>
      </c>
      <c r="AO284" s="11">
        <v>3.8056723688964671</v>
      </c>
      <c r="AP284" s="2">
        <v>3.7135406249999994</v>
      </c>
      <c r="AQ284" s="2">
        <f t="shared" si="60"/>
        <v>0.19867442343749997</v>
      </c>
      <c r="AR284" s="2">
        <v>1.2599763422093526</v>
      </c>
      <c r="AS284" s="2">
        <v>0.22578811382555788</v>
      </c>
      <c r="AT284" s="2">
        <f t="shared" si="61"/>
        <v>2.257881138255579E-2</v>
      </c>
      <c r="AU284" s="2">
        <f t="shared" si="62"/>
        <v>2.0265200941710478E-2</v>
      </c>
      <c r="AV284" s="2">
        <f t="shared" si="63"/>
        <v>3.1107083445525581E-3</v>
      </c>
      <c r="AW284" s="3">
        <f t="shared" si="64"/>
        <v>15.35</v>
      </c>
    </row>
    <row r="285" spans="1:49" x14ac:dyDescent="0.2">
      <c r="A285" t="s">
        <v>45</v>
      </c>
      <c r="B285" s="5" t="s">
        <v>46</v>
      </c>
      <c r="C285" s="5" t="s">
        <v>328</v>
      </c>
      <c r="D285" s="5" t="s">
        <v>339</v>
      </c>
      <c r="E285">
        <v>9</v>
      </c>
      <c r="F285" s="6">
        <v>347</v>
      </c>
      <c r="G285" s="3">
        <v>2.2999999999999998</v>
      </c>
      <c r="H285" s="3">
        <v>2.4500000000000002</v>
      </c>
      <c r="I285" s="3">
        <v>1.1000000000000001</v>
      </c>
      <c r="J285" s="3">
        <v>18.149999999999864</v>
      </c>
      <c r="K285" s="3">
        <v>19.249999999999886</v>
      </c>
      <c r="L285" s="3">
        <v>18.699999999999875</v>
      </c>
      <c r="M285" s="1">
        <v>0.2</v>
      </c>
      <c r="N285" s="3">
        <v>338.14999999999986</v>
      </c>
      <c r="O285" s="3">
        <v>339.24999999999989</v>
      </c>
      <c r="P285" s="3">
        <v>338.69999999999987</v>
      </c>
      <c r="Q285" s="3">
        <v>338.14999999999986</v>
      </c>
      <c r="R285" s="3">
        <v>339.24999999999989</v>
      </c>
      <c r="S285" s="3">
        <v>338.7</v>
      </c>
      <c r="T285" s="3">
        <v>338.7</v>
      </c>
      <c r="U285" s="7">
        <f t="shared" si="52"/>
        <v>0.55000000000001137</v>
      </c>
      <c r="V285" s="3">
        <v>4184.57</v>
      </c>
      <c r="W285" s="3">
        <v>4790.1000000000004</v>
      </c>
      <c r="X285" s="3">
        <v>4457.08</v>
      </c>
      <c r="Y285" s="3">
        <v>4465.04</v>
      </c>
      <c r="Z285" s="3">
        <f t="shared" si="53"/>
        <v>302.76500000000033</v>
      </c>
      <c r="AA285" s="4">
        <f t="shared" si="54"/>
        <v>8.9779005524859734E-2</v>
      </c>
      <c r="AB285" s="4">
        <f t="shared" si="55"/>
        <v>6.2335142835139405E-3</v>
      </c>
      <c r="AC285">
        <v>1.1476266666666668</v>
      </c>
      <c r="AD285" s="2">
        <v>6.5400999999999989</v>
      </c>
      <c r="AE285" s="2">
        <v>2.1798000000000002</v>
      </c>
      <c r="AF285" s="2">
        <f t="shared" si="56"/>
        <v>4.3602999999999987</v>
      </c>
      <c r="AG285" s="2">
        <v>1.0321733333333334</v>
      </c>
      <c r="AH285" s="1">
        <f t="shared" si="57"/>
        <v>80.858999766340972</v>
      </c>
      <c r="AI285" s="1">
        <f t="shared" si="58"/>
        <v>19.141000233659028</v>
      </c>
      <c r="AJ285" s="1">
        <f t="shared" si="59"/>
        <v>0.95705001168295145</v>
      </c>
      <c r="AK285" s="8">
        <v>8.2600000000000229E-2</v>
      </c>
      <c r="AL285" s="9">
        <v>79.902676399026689</v>
      </c>
      <c r="AM285" s="10">
        <v>3.9951338199513344</v>
      </c>
      <c r="AN285" s="9">
        <v>39.951338199513344</v>
      </c>
      <c r="AO285" s="11">
        <v>3.996147424622738</v>
      </c>
      <c r="AP285" s="2">
        <v>4.8706796875</v>
      </c>
      <c r="AQ285" s="2">
        <f t="shared" si="60"/>
        <v>0.28493476171875004</v>
      </c>
      <c r="AR285" s="2">
        <v>1.1071295341330802</v>
      </c>
      <c r="AS285" s="2">
        <v>0.21191566671532092</v>
      </c>
      <c r="AT285" s="2">
        <f t="shared" si="61"/>
        <v>2.1191566671532092E-2</v>
      </c>
      <c r="AU285" s="2">
        <f t="shared" si="62"/>
        <v>1.9025577812839131E-2</v>
      </c>
      <c r="AV285" s="2">
        <f t="shared" si="63"/>
        <v>3.0155540833350027E-3</v>
      </c>
      <c r="AW285" s="3">
        <f t="shared" si="64"/>
        <v>15.850000000000003</v>
      </c>
    </row>
    <row r="286" spans="1:49" x14ac:dyDescent="0.2">
      <c r="A286" t="s">
        <v>45</v>
      </c>
      <c r="B286" s="5" t="s">
        <v>46</v>
      </c>
      <c r="C286" s="5" t="s">
        <v>328</v>
      </c>
      <c r="D286" s="5" t="s">
        <v>340</v>
      </c>
      <c r="E286">
        <v>9</v>
      </c>
      <c r="F286" s="6">
        <v>348</v>
      </c>
      <c r="G286" s="3">
        <v>2.5499999999999998</v>
      </c>
      <c r="H286" s="3">
        <v>2.4</v>
      </c>
      <c r="I286" s="3">
        <v>1</v>
      </c>
      <c r="J286" s="3">
        <v>19.449999999999875</v>
      </c>
      <c r="K286" s="3">
        <v>20.449999999999875</v>
      </c>
      <c r="L286" s="3">
        <v>19.949999999999875</v>
      </c>
      <c r="M286" s="1">
        <v>0.2</v>
      </c>
      <c r="N286" s="3">
        <v>339.44999999999987</v>
      </c>
      <c r="O286" s="3">
        <v>340.44999999999987</v>
      </c>
      <c r="P286" s="3">
        <v>339.94999999999987</v>
      </c>
      <c r="Q286" s="3">
        <v>339.44999999999987</v>
      </c>
      <c r="R286" s="3">
        <v>340.44999999999987</v>
      </c>
      <c r="S286" s="3">
        <v>340</v>
      </c>
      <c r="T286" s="3">
        <v>340</v>
      </c>
      <c r="U286" s="7">
        <f t="shared" si="52"/>
        <v>0.5</v>
      </c>
      <c r="V286" s="3">
        <v>4191.33</v>
      </c>
      <c r="W286" s="3">
        <v>4811.78</v>
      </c>
      <c r="X286" s="3">
        <v>4471.25</v>
      </c>
      <c r="Y286" s="3">
        <v>4479.5200000000004</v>
      </c>
      <c r="Z286" s="3">
        <f t="shared" si="53"/>
        <v>310.22499999999991</v>
      </c>
      <c r="AA286" s="4">
        <f t="shared" si="54"/>
        <v>9.1603053435117446E-2</v>
      </c>
      <c r="AB286" s="4">
        <f t="shared" si="55"/>
        <v>6.4785948183333445E-3</v>
      </c>
      <c r="AC286">
        <v>1.1476266666666668</v>
      </c>
      <c r="AD286" s="2">
        <v>6.7452000000000005</v>
      </c>
      <c r="AE286" s="2">
        <v>2.2711999999999999</v>
      </c>
      <c r="AF286" s="2">
        <f t="shared" si="56"/>
        <v>4.4740000000000002</v>
      </c>
      <c r="AG286" s="2">
        <v>1.1235733333333331</v>
      </c>
      <c r="AH286" s="1">
        <f t="shared" si="57"/>
        <v>79.927492389559291</v>
      </c>
      <c r="AI286" s="1">
        <f t="shared" si="58"/>
        <v>20.072507610440709</v>
      </c>
      <c r="AJ286" s="1">
        <f t="shared" si="59"/>
        <v>1.0036253805220354</v>
      </c>
      <c r="AK286" s="8">
        <v>7.6200000000000045E-2</v>
      </c>
      <c r="AL286" s="9">
        <v>78.643497757847499</v>
      </c>
      <c r="AM286" s="10">
        <v>3.932174887892375</v>
      </c>
      <c r="AN286" s="9">
        <v>39.321748878923749</v>
      </c>
      <c r="AO286" s="11">
        <v>3.9332047173992115</v>
      </c>
      <c r="AP286" s="2">
        <v>4.8086156249999989</v>
      </c>
      <c r="AQ286" s="2">
        <f t="shared" si="60"/>
        <v>0.28611262968749995</v>
      </c>
      <c r="AR286" s="2">
        <v>1.1640716933646231</v>
      </c>
      <c r="AS286" s="2">
        <v>0.23365837924159999</v>
      </c>
      <c r="AT286" s="2">
        <f t="shared" si="61"/>
        <v>2.3365837924159999E-2</v>
      </c>
      <c r="AU286" s="2">
        <f t="shared" si="62"/>
        <v>2.1403820999231219E-2</v>
      </c>
      <c r="AV286" s="2">
        <f t="shared" si="63"/>
        <v>3.4139094493773796E-3</v>
      </c>
      <c r="AW286" s="3">
        <f t="shared" si="64"/>
        <v>15.950000000000001</v>
      </c>
    </row>
    <row r="287" spans="1:49" x14ac:dyDescent="0.2">
      <c r="A287" t="s">
        <v>45</v>
      </c>
      <c r="B287" s="5" t="s">
        <v>46</v>
      </c>
      <c r="C287" s="5" t="s">
        <v>328</v>
      </c>
      <c r="D287" s="5" t="s">
        <v>341</v>
      </c>
      <c r="E287">
        <v>9</v>
      </c>
      <c r="F287" s="6">
        <v>349</v>
      </c>
      <c r="G287" s="3">
        <v>2.5</v>
      </c>
      <c r="H287" s="3">
        <v>2.4</v>
      </c>
      <c r="I287" s="3">
        <v>1.05</v>
      </c>
      <c r="J287" s="3">
        <v>20.649999999999864</v>
      </c>
      <c r="K287" s="3">
        <v>21.699999999999875</v>
      </c>
      <c r="L287" s="3">
        <v>21.174999999999841</v>
      </c>
      <c r="M287" s="1">
        <v>0.2</v>
      </c>
      <c r="N287" s="3">
        <v>340.64999999999986</v>
      </c>
      <c r="O287" s="3">
        <v>341.69999999999987</v>
      </c>
      <c r="P287" s="3">
        <v>341.17499999999984</v>
      </c>
      <c r="Q287" s="3">
        <v>340.64999999999986</v>
      </c>
      <c r="R287" s="3">
        <v>341.69999999999987</v>
      </c>
      <c r="S287" s="3">
        <v>341.2</v>
      </c>
      <c r="T287" s="3">
        <v>341.2</v>
      </c>
      <c r="U287" s="7">
        <f t="shared" si="52"/>
        <v>0.52500000000000568</v>
      </c>
      <c r="V287" s="3">
        <v>4208.91</v>
      </c>
      <c r="W287" s="3">
        <v>4823.63</v>
      </c>
      <c r="X287" s="3">
        <v>4485.2</v>
      </c>
      <c r="Y287" s="3">
        <v>4492.62</v>
      </c>
      <c r="Z287" s="3">
        <f t="shared" si="53"/>
        <v>307.36000000000013</v>
      </c>
      <c r="AA287" s="4">
        <f t="shared" si="54"/>
        <v>9.160305343511109E-2</v>
      </c>
      <c r="AB287" s="4">
        <f t="shared" si="55"/>
        <v>6.4079183689646577E-3</v>
      </c>
      <c r="AC287">
        <v>1.1476266666666668</v>
      </c>
      <c r="AD287" s="2">
        <v>6.4861000000000004</v>
      </c>
      <c r="AE287" s="2">
        <v>2.1968999999999999</v>
      </c>
      <c r="AF287" s="2">
        <f t="shared" si="56"/>
        <v>4.289200000000001</v>
      </c>
      <c r="AG287" s="2">
        <v>1.0492733333333331</v>
      </c>
      <c r="AH287" s="1">
        <f t="shared" si="57"/>
        <v>80.345067441253505</v>
      </c>
      <c r="AI287" s="1">
        <f t="shared" si="58"/>
        <v>19.654932558746495</v>
      </c>
      <c r="AJ287" s="1">
        <f t="shared" si="59"/>
        <v>0.98274662793732481</v>
      </c>
      <c r="AK287" s="8">
        <v>6.7200000000000593E-2</v>
      </c>
      <c r="AL287" s="9">
        <v>81.385041551246402</v>
      </c>
      <c r="AM287" s="10">
        <v>4.0692520775623207</v>
      </c>
      <c r="AN287" s="9">
        <v>40.692520775623201</v>
      </c>
      <c r="AO287" s="11">
        <v>4.0702472247696777</v>
      </c>
      <c r="AP287" s="2">
        <v>4.9475606250000004</v>
      </c>
      <c r="AQ287" s="2">
        <f t="shared" si="60"/>
        <v>0.29437985718750004</v>
      </c>
      <c r="AR287" s="2">
        <v>1.0790112012691777</v>
      </c>
      <c r="AS287" s="2">
        <v>0.21207892391077734</v>
      </c>
      <c r="AT287" s="2">
        <f t="shared" si="61"/>
        <v>2.1207892391077735E-2</v>
      </c>
      <c r="AU287" s="2">
        <f t="shared" si="62"/>
        <v>1.9427076999459798E-2</v>
      </c>
      <c r="AV287" s="2">
        <f t="shared" si="63"/>
        <v>3.0986187814138377E-3</v>
      </c>
      <c r="AW287" s="3">
        <f t="shared" si="64"/>
        <v>15.950000000000001</v>
      </c>
    </row>
    <row r="288" spans="1:49" x14ac:dyDescent="0.2">
      <c r="A288" t="s">
        <v>45</v>
      </c>
      <c r="B288" s="5" t="s">
        <v>46</v>
      </c>
      <c r="C288" s="5" t="s">
        <v>328</v>
      </c>
      <c r="D288" s="5" t="s">
        <v>342</v>
      </c>
      <c r="E288">
        <v>9</v>
      </c>
      <c r="F288" s="6">
        <v>350</v>
      </c>
      <c r="G288" s="3">
        <v>2.1</v>
      </c>
      <c r="H288" s="3">
        <v>2.4</v>
      </c>
      <c r="I288" s="3">
        <v>1.05</v>
      </c>
      <c r="J288" s="3">
        <v>21.899999999999864</v>
      </c>
      <c r="K288" s="3">
        <v>22.949999999999875</v>
      </c>
      <c r="L288" s="3">
        <v>22.424999999999841</v>
      </c>
      <c r="M288" s="1">
        <v>0.2</v>
      </c>
      <c r="N288" s="3">
        <v>341.89999999999986</v>
      </c>
      <c r="O288" s="3">
        <v>342.94999999999987</v>
      </c>
      <c r="P288" s="3">
        <v>342.42499999999984</v>
      </c>
      <c r="Q288" s="3">
        <v>341.89999999999986</v>
      </c>
      <c r="R288" s="3">
        <v>342.94999999999987</v>
      </c>
      <c r="S288" s="3">
        <v>342.4</v>
      </c>
      <c r="T288" s="3">
        <v>342.4</v>
      </c>
      <c r="U288" s="7">
        <f t="shared" si="52"/>
        <v>0.52500000000000568</v>
      </c>
      <c r="V288" s="3">
        <v>4222.04</v>
      </c>
      <c r="W288" s="3">
        <v>4832.9399999999996</v>
      </c>
      <c r="X288" s="3">
        <v>4498.43</v>
      </c>
      <c r="Y288" s="3">
        <v>4505.72</v>
      </c>
      <c r="Z288" s="3">
        <f t="shared" si="53"/>
        <v>305.44999999999982</v>
      </c>
      <c r="AA288" s="4">
        <f t="shared" si="54"/>
        <v>9.161381254404849E-2</v>
      </c>
      <c r="AB288" s="4">
        <f t="shared" si="55"/>
        <v>6.3511185311375179E-3</v>
      </c>
      <c r="AC288">
        <v>1.1476266666666668</v>
      </c>
      <c r="AD288" s="2">
        <v>5.7320999999999991</v>
      </c>
      <c r="AE288" s="2">
        <v>2.0567000000000002</v>
      </c>
      <c r="AF288" s="2">
        <f t="shared" si="56"/>
        <v>3.6753999999999989</v>
      </c>
      <c r="AG288" s="2">
        <v>0.9090733333333334</v>
      </c>
      <c r="AH288" s="1">
        <f t="shared" si="57"/>
        <v>80.17060483865103</v>
      </c>
      <c r="AI288" s="1">
        <f t="shared" si="58"/>
        <v>19.82939516134897</v>
      </c>
      <c r="AJ288" s="1">
        <f t="shared" si="59"/>
        <v>0.99146975806744853</v>
      </c>
      <c r="AK288" s="8">
        <v>6.2800000000000189E-2</v>
      </c>
      <c r="AL288" s="9">
        <v>80.509000620732436</v>
      </c>
      <c r="AM288" s="10">
        <v>4.0254500310366224</v>
      </c>
      <c r="AN288" s="9">
        <v>40.254500310366218</v>
      </c>
      <c r="AO288" s="11">
        <v>4.0264560040279518</v>
      </c>
      <c r="AP288" s="2">
        <v>4.1727656250000003</v>
      </c>
      <c r="AQ288" s="2">
        <f t="shared" si="60"/>
        <v>0.23158849218750002</v>
      </c>
      <c r="AR288" s="2">
        <v>1.0986654284790636</v>
      </c>
      <c r="AS288" s="2">
        <v>0.21785870931424128</v>
      </c>
      <c r="AT288" s="2">
        <f t="shared" si="61"/>
        <v>2.1785870931424131E-2</v>
      </c>
      <c r="AU288" s="2">
        <f t="shared" si="62"/>
        <v>1.9958866956203251E-2</v>
      </c>
      <c r="AV288" s="2">
        <f t="shared" si="63"/>
        <v>3.1036038116896061E-3</v>
      </c>
      <c r="AW288" s="3">
        <f t="shared" si="64"/>
        <v>15.550000000000002</v>
      </c>
    </row>
    <row r="289" spans="1:49" x14ac:dyDescent="0.2">
      <c r="A289" t="s">
        <v>45</v>
      </c>
      <c r="B289" s="5" t="s">
        <v>46</v>
      </c>
      <c r="C289" s="5" t="s">
        <v>328</v>
      </c>
      <c r="D289" s="5" t="s">
        <v>343</v>
      </c>
      <c r="E289">
        <v>9</v>
      </c>
      <c r="F289" s="6">
        <v>351</v>
      </c>
      <c r="G289" s="3">
        <v>2.1</v>
      </c>
      <c r="H289" s="3">
        <v>2.2999999999999998</v>
      </c>
      <c r="I289" s="3">
        <v>1.05</v>
      </c>
      <c r="J289" s="3">
        <v>23.149999999999864</v>
      </c>
      <c r="K289" s="3">
        <v>24.199999999999875</v>
      </c>
      <c r="L289" s="3">
        <v>23.674999999999841</v>
      </c>
      <c r="M289" s="1">
        <v>0.2</v>
      </c>
      <c r="N289" s="3">
        <v>343.14999999999986</v>
      </c>
      <c r="O289" s="3">
        <v>344.19999999999987</v>
      </c>
      <c r="P289" s="3">
        <v>343.67499999999984</v>
      </c>
      <c r="Q289" s="3">
        <v>343.14999999999986</v>
      </c>
      <c r="R289" s="3">
        <v>344.19999999999987</v>
      </c>
      <c r="S289" s="3">
        <v>343.7</v>
      </c>
      <c r="T289" s="3">
        <v>343.7</v>
      </c>
      <c r="U289" s="7">
        <f t="shared" si="52"/>
        <v>0.52500000000000568</v>
      </c>
      <c r="V289" s="3">
        <v>4240.5600000000004</v>
      </c>
      <c r="W289" s="3">
        <v>4843.2299999999996</v>
      </c>
      <c r="X289" s="3">
        <v>4512.29</v>
      </c>
      <c r="Y289" s="3">
        <v>4519.91</v>
      </c>
      <c r="Z289" s="3">
        <f t="shared" si="53"/>
        <v>301.33499999999958</v>
      </c>
      <c r="AA289" s="4">
        <f t="shared" si="54"/>
        <v>9.160305343511109E-2</v>
      </c>
      <c r="AB289" s="4">
        <f t="shared" si="55"/>
        <v>6.2469488037233548E-3</v>
      </c>
      <c r="AC289">
        <v>1.1476266666666668</v>
      </c>
      <c r="AD289" s="2">
        <v>6.2887999999999984</v>
      </c>
      <c r="AE289" s="2">
        <v>2.1389</v>
      </c>
      <c r="AF289" s="2">
        <f t="shared" si="56"/>
        <v>4.1498999999999988</v>
      </c>
      <c r="AG289" s="2">
        <v>0.99127333333333323</v>
      </c>
      <c r="AH289" s="1">
        <f t="shared" si="57"/>
        <v>80.718927974936989</v>
      </c>
      <c r="AI289" s="1">
        <f t="shared" si="58"/>
        <v>19.281072025063011</v>
      </c>
      <c r="AJ289" s="1">
        <f t="shared" si="59"/>
        <v>0.96405360125315065</v>
      </c>
      <c r="AK289" s="8">
        <v>6.4199999999999591E-2</v>
      </c>
      <c r="AL289" s="9">
        <v>80.621792936915298</v>
      </c>
      <c r="AM289" s="10">
        <v>4.0310896468457651</v>
      </c>
      <c r="AN289" s="9">
        <v>40.310896468457649</v>
      </c>
      <c r="AO289" s="11">
        <v>4.0320942128014714</v>
      </c>
      <c r="AP289" s="2">
        <v>3.9893700000000014</v>
      </c>
      <c r="AQ289" s="2">
        <f t="shared" si="60"/>
        <v>0.21742066500000007</v>
      </c>
      <c r="AR289" s="2">
        <v>1.2887181016885698</v>
      </c>
      <c r="AS289" s="2">
        <v>0.2484786653865981</v>
      </c>
      <c r="AT289" s="2">
        <f t="shared" si="61"/>
        <v>2.4847866538659811E-2</v>
      </c>
      <c r="AU289" s="2">
        <f t="shared" si="62"/>
        <v>2.2761404462893636E-2</v>
      </c>
      <c r="AV289" s="2">
        <f t="shared" si="63"/>
        <v>3.5166369895170669E-3</v>
      </c>
      <c r="AW289" s="3">
        <f t="shared" si="64"/>
        <v>15.45</v>
      </c>
    </row>
    <row r="290" spans="1:49" x14ac:dyDescent="0.2">
      <c r="A290" t="s">
        <v>45</v>
      </c>
      <c r="B290" s="5" t="s">
        <v>46</v>
      </c>
      <c r="C290" s="5" t="s">
        <v>328</v>
      </c>
      <c r="D290" s="5" t="s">
        <v>344</v>
      </c>
      <c r="E290">
        <v>9</v>
      </c>
      <c r="F290" s="6">
        <v>352</v>
      </c>
      <c r="G290" s="3">
        <v>2.2000000000000002</v>
      </c>
      <c r="H290" s="3">
        <v>2.4</v>
      </c>
      <c r="I290" s="3">
        <v>1.05</v>
      </c>
      <c r="J290" s="3">
        <v>24.399999999999864</v>
      </c>
      <c r="K290" s="3">
        <v>25.449999999999875</v>
      </c>
      <c r="L290" s="3">
        <v>24.924999999999841</v>
      </c>
      <c r="M290" s="1">
        <v>0.2</v>
      </c>
      <c r="N290" s="3">
        <v>344.39999999999986</v>
      </c>
      <c r="O290" s="3">
        <v>345.44999999999987</v>
      </c>
      <c r="P290" s="3">
        <v>344.92499999999984</v>
      </c>
      <c r="Q290" s="3">
        <v>344.39999999999986</v>
      </c>
      <c r="R290" s="3">
        <v>345.44999999999987</v>
      </c>
      <c r="S290" s="3">
        <v>344.9</v>
      </c>
      <c r="T290" s="3">
        <v>344.9</v>
      </c>
      <c r="U290" s="7">
        <f t="shared" si="52"/>
        <v>0.52500000000000568</v>
      </c>
      <c r="V290" s="3">
        <v>4252.5600000000004</v>
      </c>
      <c r="W290" s="3">
        <v>4857.07</v>
      </c>
      <c r="X290" s="3">
        <v>4527.04</v>
      </c>
      <c r="Y290" s="3">
        <v>4533.01</v>
      </c>
      <c r="Z290" s="3">
        <f t="shared" si="53"/>
        <v>302.25499999999965</v>
      </c>
      <c r="AA290" s="4">
        <f t="shared" si="54"/>
        <v>9.161381254404849E-2</v>
      </c>
      <c r="AB290" s="4">
        <f t="shared" si="55"/>
        <v>6.2481383442672435E-3</v>
      </c>
      <c r="AC290">
        <v>1.1476266666666668</v>
      </c>
      <c r="AD290" s="2">
        <v>6.5122999999999998</v>
      </c>
      <c r="AE290" s="2">
        <v>2.7673000000000001</v>
      </c>
      <c r="AF290" s="2">
        <f t="shared" si="56"/>
        <v>3.7449999999999997</v>
      </c>
      <c r="AG290" s="2">
        <v>1.6196733333333333</v>
      </c>
      <c r="AH290" s="1">
        <f t="shared" si="57"/>
        <v>69.808537581039417</v>
      </c>
      <c r="AI290" s="1">
        <f t="shared" si="58"/>
        <v>30.191462418960583</v>
      </c>
      <c r="AJ290" s="1">
        <f t="shared" si="59"/>
        <v>1.5095731209480292</v>
      </c>
      <c r="AK290" s="8">
        <v>0.2782</v>
      </c>
      <c r="AL290" s="9">
        <v>61.643457879498129</v>
      </c>
      <c r="AM290" s="10">
        <v>3.0821728939749065</v>
      </c>
      <c r="AN290" s="9">
        <v>30.821728939749065</v>
      </c>
      <c r="AO290" s="11">
        <v>3.0834866220487562</v>
      </c>
      <c r="AP290" s="2">
        <v>4.3602824999999994</v>
      </c>
      <c r="AQ290" s="2">
        <f t="shared" si="60"/>
        <v>0.24635596124999998</v>
      </c>
      <c r="AR290" s="2">
        <v>1.2303499448334676</v>
      </c>
      <c r="AS290" s="2">
        <v>0.37146064121609862</v>
      </c>
      <c r="AT290" s="2">
        <f t="shared" si="61"/>
        <v>3.7146064121609861E-2</v>
      </c>
      <c r="AU290" s="2">
        <f t="shared" si="62"/>
        <v>3.4030925551863711E-2</v>
      </c>
      <c r="AV290" s="2">
        <f t="shared" si="63"/>
        <v>5.3258398488666711E-3</v>
      </c>
      <c r="AW290" s="3">
        <f t="shared" si="64"/>
        <v>15.65</v>
      </c>
    </row>
    <row r="291" spans="1:49" x14ac:dyDescent="0.2">
      <c r="A291" t="s">
        <v>45</v>
      </c>
      <c r="B291" s="5" t="s">
        <v>46</v>
      </c>
      <c r="C291" s="5" t="s">
        <v>328</v>
      </c>
      <c r="D291" s="5" t="s">
        <v>345</v>
      </c>
      <c r="E291">
        <v>9</v>
      </c>
      <c r="F291" s="6">
        <v>353</v>
      </c>
      <c r="G291" s="3">
        <v>2.4</v>
      </c>
      <c r="H291" s="3">
        <v>2.2999999999999998</v>
      </c>
      <c r="I291" s="3">
        <v>1.05</v>
      </c>
      <c r="J291" s="3">
        <v>25.649999999999864</v>
      </c>
      <c r="K291" s="3">
        <v>26.699999999999875</v>
      </c>
      <c r="L291" s="3">
        <v>26.174999999999841</v>
      </c>
      <c r="M291" s="1">
        <v>0.2</v>
      </c>
      <c r="N291" s="3">
        <v>345.64999999999986</v>
      </c>
      <c r="O291" s="3">
        <v>346.69999999999987</v>
      </c>
      <c r="P291" s="3">
        <v>346.17499999999984</v>
      </c>
      <c r="Q291" s="3">
        <v>345.64999999999986</v>
      </c>
      <c r="R291" s="3">
        <v>346.69999999999987</v>
      </c>
      <c r="S291" s="3">
        <v>346.2</v>
      </c>
      <c r="T291" s="3">
        <v>346.2</v>
      </c>
      <c r="U291" s="7">
        <f t="shared" si="52"/>
        <v>0.52500000000000568</v>
      </c>
      <c r="V291" s="3">
        <v>4262.53</v>
      </c>
      <c r="W291" s="3">
        <v>4870.6099999999997</v>
      </c>
      <c r="X291" s="3">
        <v>4541.08</v>
      </c>
      <c r="Y291" s="3">
        <v>4547.2</v>
      </c>
      <c r="Z291" s="3">
        <f t="shared" si="53"/>
        <v>304.03999999999996</v>
      </c>
      <c r="AA291" s="4">
        <f t="shared" si="54"/>
        <v>9.160305343511109E-2</v>
      </c>
      <c r="AB291" s="4">
        <f t="shared" si="55"/>
        <v>6.2637791479300924E-3</v>
      </c>
      <c r="AC291">
        <v>1.1476266666666668</v>
      </c>
      <c r="AD291" s="2">
        <v>7.1383999999999972</v>
      </c>
      <c r="AE291" s="2">
        <v>3.5945999999999998</v>
      </c>
      <c r="AF291" s="2">
        <f t="shared" si="56"/>
        <v>3.5437999999999974</v>
      </c>
      <c r="AG291" s="2">
        <v>2.4469733333333332</v>
      </c>
      <c r="AH291" s="1">
        <f t="shared" si="57"/>
        <v>59.154299500565301</v>
      </c>
      <c r="AI291" s="1">
        <f t="shared" si="58"/>
        <v>40.845700499434699</v>
      </c>
      <c r="AJ291" s="1">
        <f t="shared" si="59"/>
        <v>2.042285024971735</v>
      </c>
      <c r="AK291" s="8">
        <v>0.14310000000000045</v>
      </c>
      <c r="AL291" s="9">
        <v>63.909205548549743</v>
      </c>
      <c r="AM291" s="10">
        <v>3.1954602774274874</v>
      </c>
      <c r="AN291" s="9">
        <v>31.954602774274871</v>
      </c>
      <c r="AO291" s="11">
        <v>3.1967274492231823</v>
      </c>
      <c r="AP291" s="2">
        <v>4.5519206249999993</v>
      </c>
      <c r="AQ291" s="2">
        <f t="shared" si="60"/>
        <v>0.26173543593749998</v>
      </c>
      <c r="AR291" s="2">
        <v>1.3160979346675958</v>
      </c>
      <c r="AS291" s="2">
        <v>0.53756942067357194</v>
      </c>
      <c r="AT291" s="2">
        <f t="shared" si="61"/>
        <v>5.3756942067357198E-2</v>
      </c>
      <c r="AU291" s="2">
        <f t="shared" si="62"/>
        <v>4.9243000367042926E-2</v>
      </c>
      <c r="AV291" s="2">
        <f t="shared" si="63"/>
        <v>7.7557725578092608E-3</v>
      </c>
      <c r="AW291" s="3">
        <f t="shared" si="64"/>
        <v>15.75</v>
      </c>
    </row>
    <row r="292" spans="1:49" x14ac:dyDescent="0.2">
      <c r="A292" t="s">
        <v>45</v>
      </c>
      <c r="B292" s="5" t="s">
        <v>46</v>
      </c>
      <c r="C292" s="5" t="s">
        <v>328</v>
      </c>
      <c r="D292" s="5" t="s">
        <v>346</v>
      </c>
      <c r="E292">
        <v>9</v>
      </c>
      <c r="F292" s="6">
        <v>354</v>
      </c>
      <c r="G292" s="3">
        <v>2.1</v>
      </c>
      <c r="H292" s="3">
        <v>2.4500000000000002</v>
      </c>
      <c r="I292" s="3">
        <v>1.05</v>
      </c>
      <c r="J292" s="3">
        <v>26.899999999999864</v>
      </c>
      <c r="K292" s="3">
        <v>27.949999999999875</v>
      </c>
      <c r="L292" s="3">
        <v>27.424999999999841</v>
      </c>
      <c r="M292" s="1">
        <v>0.2</v>
      </c>
      <c r="N292" s="3">
        <v>346.89999999999986</v>
      </c>
      <c r="O292" s="3">
        <v>347.94999999999987</v>
      </c>
      <c r="P292" s="3">
        <v>347.42499999999984</v>
      </c>
      <c r="Q292" s="3">
        <v>346.89999999999986</v>
      </c>
      <c r="R292" s="3">
        <v>347.94999999999987</v>
      </c>
      <c r="S292" s="3">
        <v>347.4</v>
      </c>
      <c r="T292" s="3">
        <v>347.4</v>
      </c>
      <c r="U292" s="7">
        <f t="shared" si="52"/>
        <v>0.52500000000000568</v>
      </c>
      <c r="V292" s="3">
        <v>4274.24</v>
      </c>
      <c r="W292" s="3">
        <v>4880.88</v>
      </c>
      <c r="X292" s="3">
        <v>4554.96</v>
      </c>
      <c r="Y292" s="3">
        <v>4560.3</v>
      </c>
      <c r="Z292" s="3">
        <f t="shared" si="53"/>
        <v>303.32000000000016</v>
      </c>
      <c r="AA292" s="4">
        <f t="shared" si="54"/>
        <v>9.161381254404849E-2</v>
      </c>
      <c r="AB292" s="4">
        <f t="shared" si="55"/>
        <v>6.23197410282902E-3</v>
      </c>
      <c r="AC292">
        <v>1.1476266666666668</v>
      </c>
      <c r="AD292" s="2">
        <v>5.7949999999999982</v>
      </c>
      <c r="AE292" s="2">
        <v>2.3054000000000001</v>
      </c>
      <c r="AF292" s="2">
        <f t="shared" si="56"/>
        <v>3.489599999999998</v>
      </c>
      <c r="AG292" s="2">
        <v>1.1577733333333333</v>
      </c>
      <c r="AH292" s="1">
        <f t="shared" si="57"/>
        <v>75.087576351372675</v>
      </c>
      <c r="AI292" s="1">
        <f t="shared" si="58"/>
        <v>24.912423648627325</v>
      </c>
      <c r="AJ292" s="1">
        <f t="shared" si="59"/>
        <v>1.2456211824313663</v>
      </c>
      <c r="AK292" s="8">
        <v>0.14100000000000001</v>
      </c>
      <c r="AL292" s="9">
        <v>71.053171833299118</v>
      </c>
      <c r="AM292" s="10">
        <v>3.5526585916649562</v>
      </c>
      <c r="AN292" s="9">
        <v>35.526585916649559</v>
      </c>
      <c r="AO292" s="11">
        <v>3.5537984001531138</v>
      </c>
      <c r="AP292" s="2">
        <v>4.2660089062500015</v>
      </c>
      <c r="AQ292" s="2">
        <f t="shared" si="60"/>
        <v>0.2388964987500001</v>
      </c>
      <c r="AR292" s="2">
        <v>1.0893960691278926</v>
      </c>
      <c r="AS292" s="2">
        <v>0.27139496395263368</v>
      </c>
      <c r="AT292" s="2">
        <f t="shared" si="61"/>
        <v>2.713949639526337E-2</v>
      </c>
      <c r="AU292" s="2">
        <f t="shared" si="62"/>
        <v>2.486352735295538E-2</v>
      </c>
      <c r="AV292" s="2">
        <f t="shared" si="63"/>
        <v>3.8787102670610391E-3</v>
      </c>
      <c r="AW292" s="3">
        <f t="shared" si="64"/>
        <v>15.6</v>
      </c>
    </row>
    <row r="293" spans="1:49" x14ac:dyDescent="0.2">
      <c r="A293" t="s">
        <v>45</v>
      </c>
      <c r="B293" s="5" t="s">
        <v>46</v>
      </c>
      <c r="C293" s="5" t="s">
        <v>328</v>
      </c>
      <c r="D293" s="5" t="s">
        <v>347</v>
      </c>
      <c r="E293">
        <v>9</v>
      </c>
      <c r="F293" s="6">
        <v>355</v>
      </c>
      <c r="G293" s="3">
        <v>2.15</v>
      </c>
      <c r="H293" s="3">
        <v>2.2999999999999998</v>
      </c>
      <c r="I293" s="3">
        <v>1</v>
      </c>
      <c r="J293" s="3">
        <v>28.149999999999864</v>
      </c>
      <c r="K293" s="3">
        <v>29.149999999999864</v>
      </c>
      <c r="L293" s="3">
        <v>28.649999999999864</v>
      </c>
      <c r="M293" s="1">
        <v>0.2</v>
      </c>
      <c r="N293" s="3">
        <v>348.14999999999986</v>
      </c>
      <c r="O293" s="3">
        <v>349.14999999999986</v>
      </c>
      <c r="P293" s="3">
        <v>348.64999999999986</v>
      </c>
      <c r="Q293" s="3">
        <v>348.14999999999986</v>
      </c>
      <c r="R293" s="3">
        <v>349.14999999999986</v>
      </c>
      <c r="S293" s="3">
        <v>348.7</v>
      </c>
      <c r="T293" s="3">
        <v>348.7</v>
      </c>
      <c r="U293" s="7">
        <f t="shared" si="52"/>
        <v>0.5</v>
      </c>
      <c r="V293" s="3">
        <v>4281.6499999999996</v>
      </c>
      <c r="W293" s="3">
        <v>4901.8500000000004</v>
      </c>
      <c r="X293" s="3">
        <v>4568.7299999999996</v>
      </c>
      <c r="Y293" s="3">
        <v>4574.49</v>
      </c>
      <c r="Z293" s="3">
        <f t="shared" si="53"/>
        <v>310.10000000000036</v>
      </c>
      <c r="AA293" s="4">
        <f t="shared" si="54"/>
        <v>9.160305343511109E-2</v>
      </c>
      <c r="AB293" s="4">
        <f t="shared" si="55"/>
        <v>6.3410267085831449E-3</v>
      </c>
      <c r="AC293">
        <v>1.1476266666666668</v>
      </c>
      <c r="AD293" s="2">
        <v>5.3190999999999988</v>
      </c>
      <c r="AE293" s="2">
        <v>2.0804</v>
      </c>
      <c r="AF293" s="2">
        <f t="shared" si="56"/>
        <v>3.2386999999999988</v>
      </c>
      <c r="AG293" s="2">
        <v>0.93277333333333323</v>
      </c>
      <c r="AH293" s="1">
        <f t="shared" si="57"/>
        <v>77.639235378067852</v>
      </c>
      <c r="AI293" s="1">
        <f t="shared" si="58"/>
        <v>22.360764621932148</v>
      </c>
      <c r="AJ293" s="1">
        <f t="shared" si="59"/>
        <v>1.1180382310966075</v>
      </c>
      <c r="AK293" s="8">
        <v>0.16769999999999996</v>
      </c>
      <c r="AL293" s="9">
        <v>67.239695252979089</v>
      </c>
      <c r="AM293" s="10">
        <v>3.3619847626489547</v>
      </c>
      <c r="AN293" s="9">
        <v>33.619847626489545</v>
      </c>
      <c r="AO293" s="11">
        <v>3.3631891924605952</v>
      </c>
      <c r="AP293" s="2">
        <v>3.8862406249999992</v>
      </c>
      <c r="AQ293" s="2">
        <f t="shared" si="60"/>
        <v>0.21180011406249996</v>
      </c>
      <c r="AR293" s="2">
        <v>1.07339553461987</v>
      </c>
      <c r="AS293" s="2">
        <v>0.2400194489586793</v>
      </c>
      <c r="AT293" s="2">
        <f t="shared" si="61"/>
        <v>2.4001944895867933E-2</v>
      </c>
      <c r="AU293" s="2">
        <f t="shared" si="62"/>
        <v>2.1986514408427818E-2</v>
      </c>
      <c r="AV293" s="2">
        <f t="shared" si="63"/>
        <v>3.3969164761020977E-3</v>
      </c>
      <c r="AW293" s="3">
        <f t="shared" si="64"/>
        <v>15.45</v>
      </c>
    </row>
    <row r="294" spans="1:49" x14ac:dyDescent="0.2">
      <c r="A294" t="s">
        <v>45</v>
      </c>
      <c r="B294" s="5" t="s">
        <v>46</v>
      </c>
      <c r="C294" s="5" t="s">
        <v>328</v>
      </c>
      <c r="D294" s="5" t="s">
        <v>348</v>
      </c>
      <c r="E294">
        <v>9</v>
      </c>
      <c r="F294" s="6">
        <v>356</v>
      </c>
      <c r="G294" s="3">
        <v>2.2999999999999998</v>
      </c>
      <c r="H294" s="3">
        <v>2.2999999999999998</v>
      </c>
      <c r="I294" s="3">
        <v>1.05</v>
      </c>
      <c r="J294" s="3">
        <v>29.349999999999852</v>
      </c>
      <c r="K294" s="3">
        <v>30.399999999999864</v>
      </c>
      <c r="L294" s="3">
        <v>29.874999999999886</v>
      </c>
      <c r="M294" s="1">
        <v>0.2</v>
      </c>
      <c r="N294" s="3">
        <v>349.34999999999985</v>
      </c>
      <c r="O294" s="3">
        <v>350.39999999999986</v>
      </c>
      <c r="P294" s="3">
        <v>349.87499999999989</v>
      </c>
      <c r="Q294" s="3">
        <v>349.34999999999985</v>
      </c>
      <c r="R294" s="3">
        <v>350.39999999999986</v>
      </c>
      <c r="S294" s="3">
        <v>349.9</v>
      </c>
      <c r="T294" s="3">
        <v>349.9</v>
      </c>
      <c r="U294" s="7">
        <f t="shared" si="52"/>
        <v>0.52500000000000568</v>
      </c>
      <c r="V294" s="3">
        <v>4291.0600000000004</v>
      </c>
      <c r="W294" s="3">
        <v>4917.3599999999997</v>
      </c>
      <c r="X294" s="3">
        <v>4582.57</v>
      </c>
      <c r="Y294" s="3">
        <v>4587.59</v>
      </c>
      <c r="Z294" s="3">
        <f t="shared" si="53"/>
        <v>313.14999999999964</v>
      </c>
      <c r="AA294" s="4">
        <f t="shared" si="54"/>
        <v>9.7891566265062971E-2</v>
      </c>
      <c r="AB294" s="4">
        <f t="shared" si="55"/>
        <v>6.8289812411790477E-3</v>
      </c>
      <c r="AC294">
        <v>1.1476266666666668</v>
      </c>
      <c r="AD294" s="2">
        <v>5.3607999999999976</v>
      </c>
      <c r="AE294" s="2">
        <v>2.0409000000000002</v>
      </c>
      <c r="AF294" s="2">
        <f t="shared" si="56"/>
        <v>3.3198999999999974</v>
      </c>
      <c r="AG294" s="2">
        <v>0.89327333333333336</v>
      </c>
      <c r="AH294" s="1">
        <f t="shared" si="57"/>
        <v>78.798087269136801</v>
      </c>
      <c r="AI294" s="1">
        <f t="shared" si="58"/>
        <v>21.201912730863199</v>
      </c>
      <c r="AJ294" s="1">
        <f t="shared" si="59"/>
        <v>1.06009563654316</v>
      </c>
      <c r="AK294" s="8">
        <v>0.1122999999999994</v>
      </c>
      <c r="AL294" s="9">
        <v>74.064665127020916</v>
      </c>
      <c r="AM294" s="10">
        <v>3.7032332563510462</v>
      </c>
      <c r="AN294" s="9">
        <v>37.032332563510458</v>
      </c>
      <c r="AO294" s="11">
        <v>3.7043267338268602</v>
      </c>
      <c r="AP294" s="2">
        <v>4.3602824999999994</v>
      </c>
      <c r="AQ294" s="2">
        <f t="shared" si="60"/>
        <v>0.24635596124999998</v>
      </c>
      <c r="AR294" s="2">
        <v>0.9662615514782199</v>
      </c>
      <c r="AS294" s="2">
        <v>0.20486593089629709</v>
      </c>
      <c r="AT294" s="2">
        <f t="shared" si="61"/>
        <v>2.0486593089629711E-2</v>
      </c>
      <c r="AU294" s="2">
        <f t="shared" si="62"/>
        <v>2.0054646849788679E-2</v>
      </c>
      <c r="AV294" s="2">
        <f t="shared" si="63"/>
        <v>3.1385522319919285E-3</v>
      </c>
      <c r="AW294" s="3">
        <f t="shared" si="64"/>
        <v>15.65</v>
      </c>
    </row>
    <row r="295" spans="1:49" x14ac:dyDescent="0.2">
      <c r="A295" t="s">
        <v>45</v>
      </c>
      <c r="B295" s="5" t="s">
        <v>46</v>
      </c>
      <c r="C295" s="5" t="s">
        <v>328</v>
      </c>
      <c r="D295" s="5" t="s">
        <v>349</v>
      </c>
      <c r="E295">
        <v>9</v>
      </c>
      <c r="F295" s="6">
        <v>357</v>
      </c>
      <c r="G295" s="3">
        <v>2.2000000000000002</v>
      </c>
      <c r="H295" s="3">
        <v>2.35</v>
      </c>
      <c r="I295" s="3">
        <v>1.1000000000000001</v>
      </c>
      <c r="J295" s="3">
        <v>30.599999999999852</v>
      </c>
      <c r="K295" s="3">
        <v>31.699999999999875</v>
      </c>
      <c r="L295" s="3">
        <v>31.149999999999864</v>
      </c>
      <c r="M295" s="1">
        <v>0.2</v>
      </c>
      <c r="N295" s="3">
        <v>350.59999999999985</v>
      </c>
      <c r="O295" s="3">
        <v>351.69999999999987</v>
      </c>
      <c r="P295" s="3">
        <v>351.14999999999986</v>
      </c>
      <c r="Q295" s="3">
        <v>350.59999999999985</v>
      </c>
      <c r="R295" s="3">
        <v>351.69999999999987</v>
      </c>
      <c r="S295" s="3">
        <v>351.2</v>
      </c>
      <c r="T295" s="3">
        <v>351.2</v>
      </c>
      <c r="U295" s="7">
        <f t="shared" si="52"/>
        <v>0.55000000000001137</v>
      </c>
      <c r="V295" s="3">
        <v>4310.93</v>
      </c>
      <c r="W295" s="3">
        <v>4928.9399999999996</v>
      </c>
      <c r="X295" s="3">
        <v>4597.3</v>
      </c>
      <c r="Y295" s="3">
        <v>4600.87</v>
      </c>
      <c r="Z295" s="3">
        <f t="shared" si="53"/>
        <v>309.00499999999965</v>
      </c>
      <c r="AA295" s="4">
        <f t="shared" si="54"/>
        <v>9.8441345365048283E-2</v>
      </c>
      <c r="AB295" s="4">
        <f t="shared" si="55"/>
        <v>6.7657119072324278E-3</v>
      </c>
      <c r="AC295">
        <v>1.1476266666666668</v>
      </c>
      <c r="AD295" s="2">
        <v>6.0991</v>
      </c>
      <c r="AE295" s="2">
        <v>2.1764000000000001</v>
      </c>
      <c r="AF295" s="2">
        <f t="shared" si="56"/>
        <v>3.9226999999999999</v>
      </c>
      <c r="AG295" s="2">
        <v>1.0287733333333333</v>
      </c>
      <c r="AH295" s="1">
        <f t="shared" si="57"/>
        <v>79.222884501717331</v>
      </c>
      <c r="AI295" s="1">
        <f t="shared" si="58"/>
        <v>20.777115498282669</v>
      </c>
      <c r="AJ295" s="1">
        <f t="shared" si="59"/>
        <v>1.0388557749141334</v>
      </c>
      <c r="AK295" s="8">
        <v>8.7299999999999933E-2</v>
      </c>
      <c r="AL295" s="9">
        <v>77.998991935483872</v>
      </c>
      <c r="AM295" s="10">
        <v>3.8999495967741939</v>
      </c>
      <c r="AN295" s="9">
        <v>38.999495967741936</v>
      </c>
      <c r="AO295" s="11">
        <v>3.900987933508536</v>
      </c>
      <c r="AP295" s="2">
        <v>4.4691521875000015</v>
      </c>
      <c r="AQ295" s="2">
        <f t="shared" si="60"/>
        <v>0.25250709859375009</v>
      </c>
      <c r="AR295" s="2">
        <v>1.1079222916557552</v>
      </c>
      <c r="AS295" s="2">
        <v>0.2301942941685364</v>
      </c>
      <c r="AT295" s="2">
        <f t="shared" si="61"/>
        <v>2.3019429416853643E-2</v>
      </c>
      <c r="AU295" s="2">
        <f t="shared" si="62"/>
        <v>2.2660636013308411E-2</v>
      </c>
      <c r="AV295" s="2">
        <f t="shared" si="63"/>
        <v>3.5463895360827663E-3</v>
      </c>
      <c r="AW295" s="3">
        <f t="shared" si="64"/>
        <v>15.65</v>
      </c>
    </row>
    <row r="296" spans="1:49" x14ac:dyDescent="0.2">
      <c r="A296" t="s">
        <v>45</v>
      </c>
      <c r="B296" s="5" t="s">
        <v>46</v>
      </c>
      <c r="C296" s="5" t="s">
        <v>328</v>
      </c>
      <c r="D296" s="5" t="s">
        <v>350</v>
      </c>
      <c r="E296">
        <v>9</v>
      </c>
      <c r="F296" s="6">
        <v>358</v>
      </c>
      <c r="G296" s="3">
        <v>2.0499999999999998</v>
      </c>
      <c r="H296" s="3">
        <v>2.2999999999999998</v>
      </c>
      <c r="I296" s="3">
        <v>1</v>
      </c>
      <c r="J296" s="3">
        <v>31.899999999999864</v>
      </c>
      <c r="K296" s="3">
        <v>32.899999999999864</v>
      </c>
      <c r="L296" s="3">
        <v>32.399999999999864</v>
      </c>
      <c r="M296" s="1">
        <v>0.2</v>
      </c>
      <c r="N296" s="3">
        <v>351.89999999999986</v>
      </c>
      <c r="O296" s="3">
        <v>352.89999999999986</v>
      </c>
      <c r="P296" s="3">
        <v>352.39999999999986</v>
      </c>
      <c r="Q296" s="3">
        <v>351.89999999999986</v>
      </c>
      <c r="R296" s="3">
        <v>352.89999999999986</v>
      </c>
      <c r="S296" s="3">
        <v>352.4</v>
      </c>
      <c r="T296" s="3">
        <v>352.4</v>
      </c>
      <c r="U296" s="7">
        <f t="shared" si="52"/>
        <v>0.5</v>
      </c>
      <c r="V296" s="3">
        <v>4323.4399999999996</v>
      </c>
      <c r="W296" s="3">
        <v>4934.51</v>
      </c>
      <c r="X296" s="3">
        <v>4609.75</v>
      </c>
      <c r="Y296" s="3">
        <v>4613.0600000000004</v>
      </c>
      <c r="Z296" s="3">
        <f t="shared" si="53"/>
        <v>305.53500000000031</v>
      </c>
      <c r="AA296" s="4">
        <f t="shared" si="54"/>
        <v>9.8484848484850701E-2</v>
      </c>
      <c r="AB296" s="4">
        <f t="shared" si="55"/>
        <v>6.6626429391585407E-3</v>
      </c>
      <c r="AC296">
        <v>1.1476266666666668</v>
      </c>
      <c r="AD296" s="2">
        <v>5.4172999999999973</v>
      </c>
      <c r="AE296" s="2">
        <v>2.0274000000000001</v>
      </c>
      <c r="AF296" s="2">
        <f t="shared" si="56"/>
        <v>3.3898999999999972</v>
      </c>
      <c r="AG296" s="2">
        <v>0.8797733333333333</v>
      </c>
      <c r="AH296" s="1">
        <f t="shared" si="57"/>
        <v>79.394832703828996</v>
      </c>
      <c r="AI296" s="1">
        <f t="shared" si="58"/>
        <v>20.605167296171004</v>
      </c>
      <c r="AJ296" s="1">
        <f t="shared" si="59"/>
        <v>1.0302583648085502</v>
      </c>
      <c r="AK296" s="8">
        <v>7.0100000000000051E-2</v>
      </c>
      <c r="AL296" s="9">
        <v>78.993107581660183</v>
      </c>
      <c r="AM296" s="10">
        <v>3.9496553790830093</v>
      </c>
      <c r="AN296" s="9">
        <v>39.496553790830092</v>
      </c>
      <c r="AO296" s="11">
        <v>3.9506806519281397</v>
      </c>
      <c r="AP296" s="2">
        <v>3.7135406249999994</v>
      </c>
      <c r="AQ296" s="2">
        <f t="shared" si="60"/>
        <v>0.19867442343749997</v>
      </c>
      <c r="AR296" s="2">
        <v>1.1497580784735137</v>
      </c>
      <c r="AS296" s="2">
        <v>0.23690957557070846</v>
      </c>
      <c r="AT296" s="2">
        <f t="shared" si="61"/>
        <v>2.3690957557070846E-2</v>
      </c>
      <c r="AU296" s="2">
        <f t="shared" si="62"/>
        <v>2.333200365469151E-2</v>
      </c>
      <c r="AV296" s="2">
        <f t="shared" si="63"/>
        <v>3.5814625609951467E-3</v>
      </c>
      <c r="AW296" s="3">
        <f t="shared" si="64"/>
        <v>15.35</v>
      </c>
    </row>
    <row r="297" spans="1:49" x14ac:dyDescent="0.2">
      <c r="A297" t="s">
        <v>45</v>
      </c>
      <c r="B297" s="5" t="s">
        <v>46</v>
      </c>
      <c r="C297" s="5" t="s">
        <v>328</v>
      </c>
      <c r="D297" s="5" t="s">
        <v>351</v>
      </c>
      <c r="E297">
        <v>9</v>
      </c>
      <c r="F297" s="6">
        <v>359</v>
      </c>
      <c r="G297" s="3">
        <v>2.2000000000000002</v>
      </c>
      <c r="H297" s="3">
        <v>2.4</v>
      </c>
      <c r="I297" s="3">
        <v>1.1000000000000001</v>
      </c>
      <c r="J297" s="3">
        <v>33.099999999999852</v>
      </c>
      <c r="K297" s="3">
        <v>34.199999999999875</v>
      </c>
      <c r="L297" s="3">
        <v>33.649999999999864</v>
      </c>
      <c r="M297" s="1">
        <v>0.2</v>
      </c>
      <c r="N297" s="3">
        <v>353.09999999999985</v>
      </c>
      <c r="O297" s="3">
        <v>354.19999999999987</v>
      </c>
      <c r="P297" s="3">
        <v>353.64999999999986</v>
      </c>
      <c r="Q297" s="3">
        <v>353.09999999999985</v>
      </c>
      <c r="R297" s="3">
        <v>354.19999999999987</v>
      </c>
      <c r="S297" s="3">
        <v>353.7</v>
      </c>
      <c r="T297" s="3">
        <v>353.7</v>
      </c>
      <c r="U297" s="7">
        <f t="shared" si="52"/>
        <v>0.55000000000001137</v>
      </c>
      <c r="V297" s="3">
        <v>4339.3100000000004</v>
      </c>
      <c r="W297" s="3">
        <v>4943.0200000000004</v>
      </c>
      <c r="X297" s="3">
        <v>4623.96</v>
      </c>
      <c r="Y297" s="3">
        <v>4626.26</v>
      </c>
      <c r="Z297" s="3">
        <f t="shared" si="53"/>
        <v>301.85500000000002</v>
      </c>
      <c r="AA297" s="4">
        <f t="shared" si="54"/>
        <v>9.8410295230886277E-2</v>
      </c>
      <c r="AB297" s="4">
        <f t="shared" si="55"/>
        <v>6.5741187307097717E-3</v>
      </c>
      <c r="AC297">
        <v>1.1476266666666668</v>
      </c>
      <c r="AD297" s="2">
        <v>6.0173999999999985</v>
      </c>
      <c r="AE297" s="2">
        <v>2.1690999999999998</v>
      </c>
      <c r="AF297" s="2">
        <f t="shared" si="56"/>
        <v>3.8482999999999987</v>
      </c>
      <c r="AG297" s="2">
        <v>1.021473333333333</v>
      </c>
      <c r="AH297" s="1">
        <f t="shared" si="57"/>
        <v>79.024211941418216</v>
      </c>
      <c r="AI297" s="1">
        <f t="shared" si="58"/>
        <v>20.975788058581784</v>
      </c>
      <c r="AJ297" s="1">
        <f t="shared" si="59"/>
        <v>1.0487894029290892</v>
      </c>
      <c r="AK297" s="8">
        <v>6.5700000000000536E-2</v>
      </c>
      <c r="AL297" s="9">
        <v>77.576791808873551</v>
      </c>
      <c r="AM297" s="10">
        <v>3.8788395904436777</v>
      </c>
      <c r="AN297" s="9">
        <v>38.788395904436776</v>
      </c>
      <c r="AO297" s="11">
        <v>3.8798835766544952</v>
      </c>
      <c r="AP297" s="2">
        <v>4.5679150000000002</v>
      </c>
      <c r="AQ297" s="2">
        <f t="shared" si="60"/>
        <v>0.26037115500000002</v>
      </c>
      <c r="AR297" s="2">
        <v>1.066082300860093</v>
      </c>
      <c r="AS297" s="2">
        <v>0.22361916395846529</v>
      </c>
      <c r="AT297" s="2">
        <f t="shared" si="61"/>
        <v>2.2361916395846532E-2</v>
      </c>
      <c r="AU297" s="2">
        <f t="shared" si="62"/>
        <v>2.2006427944436534E-2</v>
      </c>
      <c r="AV297" s="2">
        <f t="shared" si="63"/>
        <v>3.4550091872765361E-3</v>
      </c>
      <c r="AW297" s="3">
        <f t="shared" si="64"/>
        <v>15.7</v>
      </c>
    </row>
    <row r="298" spans="1:49" x14ac:dyDescent="0.2">
      <c r="A298" t="s">
        <v>45</v>
      </c>
      <c r="B298" s="5" t="s">
        <v>46</v>
      </c>
      <c r="C298" s="5" t="s">
        <v>328</v>
      </c>
      <c r="D298" s="5" t="s">
        <v>352</v>
      </c>
      <c r="E298">
        <v>9</v>
      </c>
      <c r="F298" s="6">
        <v>360</v>
      </c>
      <c r="G298" s="3">
        <v>2.4500000000000002</v>
      </c>
      <c r="H298" s="3">
        <v>2.4</v>
      </c>
      <c r="I298" s="3">
        <v>1.1000000000000001</v>
      </c>
      <c r="J298" s="3">
        <v>34.399999999999864</v>
      </c>
      <c r="K298" s="3">
        <v>35.499999999999886</v>
      </c>
      <c r="L298" s="3">
        <v>34.949999999999875</v>
      </c>
      <c r="M298" s="1">
        <v>0.2</v>
      </c>
      <c r="N298" s="3">
        <v>354.39999999999986</v>
      </c>
      <c r="O298" s="3">
        <v>355.49999999999989</v>
      </c>
      <c r="P298" s="3">
        <v>354.94999999999987</v>
      </c>
      <c r="Q298" s="3">
        <v>354.39999999999986</v>
      </c>
      <c r="R298" s="3">
        <v>355.49999999999989</v>
      </c>
      <c r="S298" s="3">
        <v>355</v>
      </c>
      <c r="T298" s="3">
        <v>355</v>
      </c>
      <c r="U298" s="7">
        <f t="shared" si="52"/>
        <v>0.55000000000001137</v>
      </c>
      <c r="V298" s="3">
        <v>4346.79</v>
      </c>
      <c r="W298" s="3">
        <v>4952.7700000000004</v>
      </c>
      <c r="X298" s="3">
        <v>4635.26</v>
      </c>
      <c r="Y298" s="3">
        <v>4639.47</v>
      </c>
      <c r="Z298" s="3">
        <f t="shared" si="53"/>
        <v>302.99000000000024</v>
      </c>
      <c r="AA298" s="4">
        <f t="shared" si="54"/>
        <v>9.8441345365055624E-2</v>
      </c>
      <c r="AB298" s="4">
        <f t="shared" si="55"/>
        <v>6.5814265180518432E-3</v>
      </c>
      <c r="AC298">
        <v>1.1476266666666668</v>
      </c>
      <c r="AD298" s="2">
        <v>6.2317</v>
      </c>
      <c r="AE298" s="2">
        <v>2.2042999999999999</v>
      </c>
      <c r="AF298" s="2">
        <f t="shared" si="56"/>
        <v>4.0274000000000001</v>
      </c>
      <c r="AG298" s="2">
        <v>1.0566733333333331</v>
      </c>
      <c r="AH298" s="1">
        <f t="shared" si="57"/>
        <v>79.216009210462474</v>
      </c>
      <c r="AI298" s="1">
        <f t="shared" si="58"/>
        <v>20.783990789537526</v>
      </c>
      <c r="AJ298" s="1">
        <f t="shared" si="59"/>
        <v>1.0391995394768763</v>
      </c>
      <c r="AK298" s="8">
        <v>6.7000000000000171E-2</v>
      </c>
      <c r="AL298" s="9">
        <v>77.696404793608451</v>
      </c>
      <c r="AM298" s="10">
        <v>3.8848202396804226</v>
      </c>
      <c r="AN298" s="9">
        <v>38.848202396804226</v>
      </c>
      <c r="AO298" s="11">
        <v>3.8858626191144041</v>
      </c>
      <c r="AP298" s="2">
        <v>5.0779196874999997</v>
      </c>
      <c r="AQ298" s="2">
        <f t="shared" si="60"/>
        <v>0.30213622140625002</v>
      </c>
      <c r="AR298" s="2">
        <v>1.0012118438675748</v>
      </c>
      <c r="AS298" s="2">
        <v>0.20809177741319548</v>
      </c>
      <c r="AT298" s="2">
        <f t="shared" si="61"/>
        <v>2.0809177741319549E-2</v>
      </c>
      <c r="AU298" s="2">
        <f t="shared" si="62"/>
        <v>2.0484834527960658E-2</v>
      </c>
      <c r="AV298" s="2">
        <f t="shared" si="63"/>
        <v>3.2673311072097251E-3</v>
      </c>
      <c r="AW298" s="3">
        <f t="shared" si="64"/>
        <v>15.950000000000001</v>
      </c>
    </row>
    <row r="299" spans="1:49" x14ac:dyDescent="0.2">
      <c r="A299" t="s">
        <v>45</v>
      </c>
      <c r="B299" s="5" t="s">
        <v>46</v>
      </c>
      <c r="C299" s="5" t="s">
        <v>328</v>
      </c>
      <c r="D299" s="5" t="s">
        <v>353</v>
      </c>
      <c r="E299">
        <v>9</v>
      </c>
      <c r="F299" s="6">
        <v>361</v>
      </c>
      <c r="G299" s="3">
        <v>2.25</v>
      </c>
      <c r="H299" s="3">
        <v>2.4</v>
      </c>
      <c r="I299" s="3">
        <v>1</v>
      </c>
      <c r="J299" s="3">
        <v>35.699999999999875</v>
      </c>
      <c r="K299" s="3">
        <v>36.699999999999875</v>
      </c>
      <c r="L299" s="3">
        <v>36.199999999999875</v>
      </c>
      <c r="M299" s="1">
        <v>0.2</v>
      </c>
      <c r="N299" s="3">
        <v>355.69999999999987</v>
      </c>
      <c r="O299" s="3">
        <v>356.69999999999987</v>
      </c>
      <c r="P299" s="3">
        <v>356.19999999999987</v>
      </c>
      <c r="Q299" s="3">
        <v>355.69999999999987</v>
      </c>
      <c r="R299" s="3">
        <v>356.69999999999987</v>
      </c>
      <c r="S299" s="3">
        <v>356.2</v>
      </c>
      <c r="T299" s="3">
        <v>356.2</v>
      </c>
      <c r="U299" s="7">
        <f t="shared" si="52"/>
        <v>0.5</v>
      </c>
      <c r="V299" s="3">
        <v>4358.53</v>
      </c>
      <c r="W299" s="3">
        <v>4961.7700000000004</v>
      </c>
      <c r="X299" s="3">
        <v>4647.03</v>
      </c>
      <c r="Y299" s="3">
        <v>4651.66</v>
      </c>
      <c r="Z299" s="3">
        <f t="shared" si="53"/>
        <v>301.62000000000035</v>
      </c>
      <c r="AA299" s="4">
        <f t="shared" si="54"/>
        <v>9.8484848484850701E-2</v>
      </c>
      <c r="AB299" s="4">
        <f t="shared" si="55"/>
        <v>6.5241360994905797E-3</v>
      </c>
      <c r="AC299">
        <v>1.1476266666666668</v>
      </c>
      <c r="AD299" s="2">
        <v>5.8463999999999992</v>
      </c>
      <c r="AE299" s="2">
        <v>2.2980999999999998</v>
      </c>
      <c r="AF299" s="2">
        <f t="shared" si="56"/>
        <v>3.5482999999999993</v>
      </c>
      <c r="AG299" s="2">
        <v>1.150473333333333</v>
      </c>
      <c r="AH299" s="1">
        <f t="shared" si="57"/>
        <v>75.515453678690605</v>
      </c>
      <c r="AI299" s="1">
        <f t="shared" si="58"/>
        <v>24.484546321309395</v>
      </c>
      <c r="AJ299" s="1">
        <f t="shared" si="59"/>
        <v>1.2242273160654698</v>
      </c>
      <c r="AK299" s="8">
        <v>0.1034000000000006</v>
      </c>
      <c r="AL299" s="9">
        <v>75.716298731798858</v>
      </c>
      <c r="AM299" s="10">
        <v>3.7858149365899432</v>
      </c>
      <c r="AN299" s="9">
        <v>37.858149365899429</v>
      </c>
      <c r="AO299" s="11">
        <v>3.7868845683632233</v>
      </c>
      <c r="AP299" s="2">
        <v>4.2434156250000008</v>
      </c>
      <c r="AQ299" s="2">
        <f t="shared" si="60"/>
        <v>0.23975298281250004</v>
      </c>
      <c r="AR299" s="2">
        <v>1.1073092406151781</v>
      </c>
      <c r="AS299" s="2">
        <v>0.27111964393856253</v>
      </c>
      <c r="AT299" s="2">
        <f t="shared" si="61"/>
        <v>2.7111964393856255E-2</v>
      </c>
      <c r="AU299" s="2">
        <f t="shared" si="62"/>
        <v>2.6701177054556002E-2</v>
      </c>
      <c r="AV299" s="2">
        <f t="shared" si="63"/>
        <v>4.1787342090380142E-3</v>
      </c>
      <c r="AW299" s="3">
        <f t="shared" si="64"/>
        <v>15.65</v>
      </c>
    </row>
    <row r="300" spans="1:49" x14ac:dyDescent="0.2">
      <c r="A300" t="s">
        <v>45</v>
      </c>
      <c r="B300" s="5" t="s">
        <v>46</v>
      </c>
      <c r="C300" s="5" t="s">
        <v>328</v>
      </c>
      <c r="D300" s="5" t="s">
        <v>354</v>
      </c>
      <c r="E300">
        <v>9</v>
      </c>
      <c r="F300" s="6">
        <v>362</v>
      </c>
      <c r="G300" s="3">
        <v>2.2999999999999998</v>
      </c>
      <c r="H300" s="3">
        <v>2.2999999999999998</v>
      </c>
      <c r="I300" s="3">
        <v>1.1000000000000001</v>
      </c>
      <c r="J300" s="3">
        <v>36.899999999999864</v>
      </c>
      <c r="K300" s="3">
        <v>37.999999999999886</v>
      </c>
      <c r="L300" s="3">
        <v>37.449999999999875</v>
      </c>
      <c r="M300" s="1">
        <v>0.2</v>
      </c>
      <c r="N300" s="3">
        <v>356.89999999999986</v>
      </c>
      <c r="O300" s="3">
        <v>357.99999999999989</v>
      </c>
      <c r="P300" s="3">
        <v>357.44999999999987</v>
      </c>
      <c r="Q300" s="3">
        <v>356.89999999999986</v>
      </c>
      <c r="R300" s="3">
        <v>357.99999999999989</v>
      </c>
      <c r="S300" s="3">
        <v>357.5</v>
      </c>
      <c r="T300" s="3">
        <v>357.5</v>
      </c>
      <c r="U300" s="7">
        <f t="shared" si="52"/>
        <v>0.55000000000001137</v>
      </c>
      <c r="V300" s="3">
        <v>4368.18</v>
      </c>
      <c r="W300" s="3">
        <v>4972.1899999999996</v>
      </c>
      <c r="X300" s="3">
        <v>4660.54</v>
      </c>
      <c r="Y300" s="3">
        <v>4664.8599999999997</v>
      </c>
      <c r="Z300" s="3">
        <f t="shared" si="53"/>
        <v>302.00499999999965</v>
      </c>
      <c r="AA300" s="4">
        <f t="shared" si="54"/>
        <v>9.8441345365048283E-2</v>
      </c>
      <c r="AB300" s="4">
        <f t="shared" si="55"/>
        <v>6.5245823599194503E-3</v>
      </c>
      <c r="AC300">
        <v>1.1476266666666668</v>
      </c>
      <c r="AD300" s="2">
        <v>5.9592999999999989</v>
      </c>
      <c r="AE300" s="2">
        <v>2.2063000000000001</v>
      </c>
      <c r="AF300" s="2">
        <f t="shared" si="56"/>
        <v>3.7529999999999988</v>
      </c>
      <c r="AG300" s="2">
        <v>1.0586733333333334</v>
      </c>
      <c r="AH300" s="1">
        <f t="shared" si="57"/>
        <v>77.997813650414059</v>
      </c>
      <c r="AI300" s="1">
        <f t="shared" si="58"/>
        <v>22.002186349585941</v>
      </c>
      <c r="AJ300" s="1">
        <f t="shared" si="59"/>
        <v>1.1001093174792971</v>
      </c>
      <c r="AK300" s="8">
        <v>0.10380000000000056</v>
      </c>
      <c r="AL300" s="9">
        <v>70.07783222830777</v>
      </c>
      <c r="AM300" s="10">
        <v>3.5038916114153889</v>
      </c>
      <c r="AN300" s="9">
        <v>35.038916114153885</v>
      </c>
      <c r="AO300" s="11">
        <v>3.5050472785038336</v>
      </c>
      <c r="AP300" s="2">
        <v>4.5679150000000002</v>
      </c>
      <c r="AQ300" s="2">
        <f t="shared" si="60"/>
        <v>0.26037115500000002</v>
      </c>
      <c r="AR300" s="2">
        <v>1.0533631500002369</v>
      </c>
      <c r="AS300" s="2">
        <v>0.23176292320092062</v>
      </c>
      <c r="AT300" s="2">
        <f t="shared" si="61"/>
        <v>2.3176292320092065E-2</v>
      </c>
      <c r="AU300" s="2">
        <f t="shared" si="62"/>
        <v>2.2815053965634987E-2</v>
      </c>
      <c r="AV300" s="2">
        <f t="shared" si="63"/>
        <v>3.5819634726046929E-3</v>
      </c>
      <c r="AW300" s="3">
        <f t="shared" si="64"/>
        <v>15.7</v>
      </c>
    </row>
    <row r="301" spans="1:49" x14ac:dyDescent="0.2">
      <c r="A301" t="s">
        <v>45</v>
      </c>
      <c r="B301" s="5" t="s">
        <v>46</v>
      </c>
      <c r="C301" s="5" t="s">
        <v>328</v>
      </c>
      <c r="D301" s="5" t="s">
        <v>355</v>
      </c>
      <c r="E301">
        <v>9</v>
      </c>
      <c r="F301" s="6">
        <v>363</v>
      </c>
      <c r="G301" s="3">
        <v>2.1</v>
      </c>
      <c r="H301" s="3">
        <v>2.25</v>
      </c>
      <c r="I301" s="3">
        <v>1.05</v>
      </c>
      <c r="J301" s="3">
        <v>38.199999999999875</v>
      </c>
      <c r="K301" s="3">
        <v>39.249999999999886</v>
      </c>
      <c r="L301" s="3">
        <v>38.724999999999909</v>
      </c>
      <c r="M301" s="1">
        <v>0.2</v>
      </c>
      <c r="N301" s="3">
        <v>358.19999999999987</v>
      </c>
      <c r="O301" s="3">
        <v>359.24999999999989</v>
      </c>
      <c r="P301" s="3">
        <v>358.72499999999991</v>
      </c>
      <c r="Q301" s="3">
        <v>358.19999999999987</v>
      </c>
      <c r="R301" s="3">
        <v>359.24999999999989</v>
      </c>
      <c r="S301" s="3">
        <v>358.7</v>
      </c>
      <c r="T301" s="3">
        <v>358.7</v>
      </c>
      <c r="U301" s="7">
        <f t="shared" si="52"/>
        <v>0.52500000000000568</v>
      </c>
      <c r="V301" s="3">
        <v>4378.45</v>
      </c>
      <c r="W301" s="3">
        <v>4983.71</v>
      </c>
      <c r="X301" s="3">
        <v>4673.2</v>
      </c>
      <c r="Y301" s="3">
        <v>4677.05</v>
      </c>
      <c r="Z301" s="3">
        <f t="shared" si="53"/>
        <v>302.63000000000011</v>
      </c>
      <c r="AA301" s="4">
        <f t="shared" si="54"/>
        <v>9.8410295230886277E-2</v>
      </c>
      <c r="AB301" s="4">
        <f t="shared" si="55"/>
        <v>6.5117044292636915E-3</v>
      </c>
      <c r="AC301">
        <v>1.1476266666666668</v>
      </c>
      <c r="AD301" s="2">
        <v>5.8190999999999988</v>
      </c>
      <c r="AE301" s="2">
        <v>2.1507000000000001</v>
      </c>
      <c r="AF301" s="2">
        <f t="shared" si="56"/>
        <v>3.6683999999999988</v>
      </c>
      <c r="AG301" s="2">
        <v>1.0030733333333333</v>
      </c>
      <c r="AH301" s="1">
        <f t="shared" si="57"/>
        <v>78.527687910024099</v>
      </c>
      <c r="AI301" s="1">
        <f t="shared" si="58"/>
        <v>21.472312089975901</v>
      </c>
      <c r="AJ301" s="1">
        <f t="shared" si="59"/>
        <v>1.073615604498795</v>
      </c>
      <c r="AK301" s="8">
        <v>9.7999999999999865E-2</v>
      </c>
      <c r="AL301" s="9">
        <v>76.385542168674732</v>
      </c>
      <c r="AM301" s="10">
        <v>3.8192771084337367</v>
      </c>
      <c r="AN301" s="9">
        <v>38.192771084337366</v>
      </c>
      <c r="AO301" s="11">
        <v>3.8203373713594937</v>
      </c>
      <c r="AP301" s="2">
        <v>3.8992176562499994</v>
      </c>
      <c r="AQ301" s="2">
        <f t="shared" si="60"/>
        <v>0.21055775343749997</v>
      </c>
      <c r="AR301" s="2">
        <v>1.1980540059992535</v>
      </c>
      <c r="AS301" s="2">
        <v>0.25724989517461833</v>
      </c>
      <c r="AT301" s="2">
        <f t="shared" si="61"/>
        <v>2.5724989517461834E-2</v>
      </c>
      <c r="AU301" s="2">
        <f t="shared" si="62"/>
        <v>2.5316038132248735E-2</v>
      </c>
      <c r="AV301" s="2">
        <f t="shared" si="63"/>
        <v>3.8986698723663051E-3</v>
      </c>
      <c r="AW301" s="3">
        <f t="shared" si="64"/>
        <v>15.4</v>
      </c>
    </row>
    <row r="302" spans="1:49" x14ac:dyDescent="0.2">
      <c r="A302" t="s">
        <v>45</v>
      </c>
      <c r="B302" s="5" t="s">
        <v>46</v>
      </c>
      <c r="C302" s="5" t="s">
        <v>328</v>
      </c>
      <c r="D302" s="5" t="s">
        <v>356</v>
      </c>
      <c r="E302">
        <v>9</v>
      </c>
      <c r="F302" s="6">
        <v>364</v>
      </c>
      <c r="G302" s="3">
        <v>2.0499999999999998</v>
      </c>
      <c r="H302" s="3">
        <v>2.25</v>
      </c>
      <c r="I302" s="3">
        <v>1</v>
      </c>
      <c r="J302" s="3">
        <v>39.449999999999875</v>
      </c>
      <c r="K302" s="3">
        <v>40.449999999999875</v>
      </c>
      <c r="L302" s="3">
        <v>39.949999999999875</v>
      </c>
      <c r="M302" s="1">
        <v>0.2</v>
      </c>
      <c r="N302" s="3">
        <v>359.44999999999987</v>
      </c>
      <c r="O302" s="3">
        <v>360.44999999999987</v>
      </c>
      <c r="P302" s="3">
        <v>359.94999999999987</v>
      </c>
      <c r="Q302" s="3">
        <v>359.44999999999987</v>
      </c>
      <c r="R302" s="3">
        <v>360.44999999999987</v>
      </c>
      <c r="S302" s="3">
        <v>360</v>
      </c>
      <c r="T302" s="3">
        <v>360</v>
      </c>
      <c r="U302" s="7">
        <f t="shared" si="52"/>
        <v>0.5</v>
      </c>
      <c r="V302" s="3">
        <v>4386.2</v>
      </c>
      <c r="W302" s="3">
        <v>4995.4399999999996</v>
      </c>
      <c r="X302" s="3">
        <v>4686.5</v>
      </c>
      <c r="Y302" s="3">
        <v>4690.26</v>
      </c>
      <c r="Z302" s="3">
        <f t="shared" si="53"/>
        <v>304.61999999999989</v>
      </c>
      <c r="AA302" s="4">
        <f t="shared" si="54"/>
        <v>9.404388714733293E-2</v>
      </c>
      <c r="AB302" s="4">
        <f t="shared" si="55"/>
        <v>6.2385186097721783E-3</v>
      </c>
      <c r="AC302">
        <v>1.1476266666666668</v>
      </c>
      <c r="AD302" s="2">
        <v>5.7932999999999986</v>
      </c>
      <c r="AE302" s="2">
        <v>2.2524999999999999</v>
      </c>
      <c r="AF302" s="2">
        <f t="shared" si="56"/>
        <v>3.5407999999999986</v>
      </c>
      <c r="AG302" s="2">
        <v>1.1048733333333332</v>
      </c>
      <c r="AH302" s="1">
        <f t="shared" si="57"/>
        <v>76.217154025753004</v>
      </c>
      <c r="AI302" s="1">
        <f t="shared" si="58"/>
        <v>23.782845974246996</v>
      </c>
      <c r="AJ302" s="1">
        <f t="shared" si="59"/>
        <v>1.1891422987123499</v>
      </c>
      <c r="AK302" s="8">
        <v>7.2799999999999976E-2</v>
      </c>
      <c r="AL302" s="9">
        <v>78.682284040995611</v>
      </c>
      <c r="AM302" s="10">
        <v>3.9341142020497806</v>
      </c>
      <c r="AN302" s="9">
        <v>39.341142020497806</v>
      </c>
      <c r="AO302" s="11">
        <v>3.9351435240369295</v>
      </c>
      <c r="AP302" s="2">
        <v>3.6286624999999999</v>
      </c>
      <c r="AQ302" s="2">
        <f t="shared" si="60"/>
        <v>0.1923191125</v>
      </c>
      <c r="AR302" s="2">
        <v>1.2802715417411601</v>
      </c>
      <c r="AS302" s="2">
        <v>0.30448500882441759</v>
      </c>
      <c r="AT302" s="2">
        <f t="shared" si="61"/>
        <v>3.0448500882441762E-2</v>
      </c>
      <c r="AU302" s="2">
        <f t="shared" si="62"/>
        <v>2.86349538079382E-2</v>
      </c>
      <c r="AV302" s="2">
        <f t="shared" si="63"/>
        <v>4.3811479326145448E-3</v>
      </c>
      <c r="AW302" s="3">
        <f t="shared" si="64"/>
        <v>15.299999999999999</v>
      </c>
    </row>
    <row r="303" spans="1:49" x14ac:dyDescent="0.2">
      <c r="A303" t="s">
        <v>45</v>
      </c>
      <c r="B303" s="5" t="s">
        <v>46</v>
      </c>
      <c r="C303" s="5" t="s">
        <v>328</v>
      </c>
      <c r="D303" s="5" t="s">
        <v>357</v>
      </c>
      <c r="E303">
        <v>9</v>
      </c>
      <c r="F303" s="6">
        <v>365</v>
      </c>
      <c r="G303" s="3">
        <v>2.1</v>
      </c>
      <c r="H303" s="3">
        <v>2.2000000000000002</v>
      </c>
      <c r="I303" s="3">
        <v>1</v>
      </c>
      <c r="J303" s="3">
        <v>40.649999999999864</v>
      </c>
      <c r="K303" s="3">
        <v>41.649999999999864</v>
      </c>
      <c r="L303" s="3">
        <v>41.149999999999864</v>
      </c>
      <c r="M303" s="1">
        <v>0.2</v>
      </c>
      <c r="N303" s="3">
        <v>360.64999999999986</v>
      </c>
      <c r="O303" s="3">
        <v>361.64999999999986</v>
      </c>
      <c r="P303" s="3">
        <v>361.14999999999986</v>
      </c>
      <c r="Q303" s="3">
        <v>360.64999999999986</v>
      </c>
      <c r="R303" s="3">
        <v>361.64999999999986</v>
      </c>
      <c r="S303" s="3">
        <v>361.2</v>
      </c>
      <c r="T303" s="3">
        <v>361.2</v>
      </c>
      <c r="U303" s="7">
        <f t="shared" si="52"/>
        <v>0.5</v>
      </c>
      <c r="V303" s="3">
        <v>4404.8100000000004</v>
      </c>
      <c r="W303" s="3">
        <v>5005.8100000000004</v>
      </c>
      <c r="X303" s="3">
        <v>4699.3100000000004</v>
      </c>
      <c r="Y303" s="3">
        <v>4703.0200000000004</v>
      </c>
      <c r="Z303" s="3">
        <f t="shared" si="53"/>
        <v>300.5</v>
      </c>
      <c r="AA303" s="4">
        <f t="shared" si="54"/>
        <v>9.4043887147339633E-2</v>
      </c>
      <c r="AB303" s="4">
        <f t="shared" si="55"/>
        <v>6.1391274774268614E-3</v>
      </c>
      <c r="AC303">
        <v>1.1476266666666668</v>
      </c>
      <c r="AD303" s="2">
        <v>5.6771999999999991</v>
      </c>
      <c r="AE303" s="2">
        <v>2.2606999999999999</v>
      </c>
      <c r="AF303" s="2">
        <f t="shared" si="56"/>
        <v>3.4164999999999992</v>
      </c>
      <c r="AG303" s="2">
        <v>1.1130733333333331</v>
      </c>
      <c r="AH303" s="1">
        <f t="shared" si="57"/>
        <v>75.426530239787112</v>
      </c>
      <c r="AI303" s="1">
        <f t="shared" si="58"/>
        <v>24.573469760212888</v>
      </c>
      <c r="AJ303" s="1">
        <f t="shared" si="59"/>
        <v>1.2286734880106445</v>
      </c>
      <c r="AK303" s="8">
        <v>8.2600000000000229E-2</v>
      </c>
      <c r="AL303" s="9">
        <v>74.163278073193553</v>
      </c>
      <c r="AM303" s="10">
        <v>3.7081639036596776</v>
      </c>
      <c r="AN303" s="9">
        <v>37.081639036596776</v>
      </c>
      <c r="AO303" s="11">
        <v>3.7092559275958004</v>
      </c>
      <c r="AP303" s="2">
        <v>3.6286625000000012</v>
      </c>
      <c r="AQ303" s="2">
        <f t="shared" si="60"/>
        <v>0.19231911250000008</v>
      </c>
      <c r="AR303" s="2">
        <v>1.2482762817796726</v>
      </c>
      <c r="AS303" s="2">
        <v>0.30674479462703758</v>
      </c>
      <c r="AT303" s="2">
        <f t="shared" si="61"/>
        <v>3.0674479462703758E-2</v>
      </c>
      <c r="AU303" s="2">
        <f t="shared" si="62"/>
        <v>2.8847472848938994E-2</v>
      </c>
      <c r="AV303" s="2">
        <f t="shared" si="63"/>
        <v>4.4136633458876666E-3</v>
      </c>
      <c r="AW303" s="3">
        <f t="shared" si="64"/>
        <v>15.300000000000002</v>
      </c>
    </row>
    <row r="304" spans="1:49" x14ac:dyDescent="0.2">
      <c r="A304" t="s">
        <v>45</v>
      </c>
      <c r="B304" s="5" t="s">
        <v>46</v>
      </c>
      <c r="C304" s="5" t="s">
        <v>328</v>
      </c>
      <c r="D304" s="5" t="s">
        <v>358</v>
      </c>
      <c r="E304">
        <v>9</v>
      </c>
      <c r="F304" s="6">
        <v>366</v>
      </c>
      <c r="G304" s="3">
        <v>2.0499999999999998</v>
      </c>
      <c r="H304" s="3">
        <v>2.2999999999999998</v>
      </c>
      <c r="I304" s="3">
        <v>1.05</v>
      </c>
      <c r="J304" s="3">
        <v>41.849999999999852</v>
      </c>
      <c r="K304" s="3">
        <v>42.899999999999864</v>
      </c>
      <c r="L304" s="3">
        <v>42.374999999999886</v>
      </c>
      <c r="M304" s="1">
        <v>0.2</v>
      </c>
      <c r="N304" s="3">
        <v>361.84999999999985</v>
      </c>
      <c r="O304" s="3">
        <v>362.89999999999986</v>
      </c>
      <c r="P304" s="3">
        <v>362.37499999999989</v>
      </c>
      <c r="Q304" s="3">
        <v>361.84999999999985</v>
      </c>
      <c r="R304" s="3">
        <v>362.89999999999986</v>
      </c>
      <c r="S304" s="3">
        <v>362.4</v>
      </c>
      <c r="T304" s="3">
        <v>362.4</v>
      </c>
      <c r="U304" s="7">
        <f t="shared" si="52"/>
        <v>0.52500000000000568</v>
      </c>
      <c r="V304" s="3">
        <v>4423.57</v>
      </c>
      <c r="W304" s="3">
        <v>5015.03</v>
      </c>
      <c r="X304" s="3">
        <v>4713.3100000000004</v>
      </c>
      <c r="Y304" s="3">
        <v>4715.78</v>
      </c>
      <c r="Z304" s="3">
        <f t="shared" si="53"/>
        <v>295.73</v>
      </c>
      <c r="AA304" s="4">
        <f t="shared" si="54"/>
        <v>9.4043887147337385E-2</v>
      </c>
      <c r="AB304" s="4">
        <f t="shared" si="55"/>
        <v>6.0337997639469659E-3</v>
      </c>
      <c r="AC304">
        <v>1.1476266666666668</v>
      </c>
      <c r="AD304" s="2">
        <v>5.4854999999999983</v>
      </c>
      <c r="AE304" s="2">
        <v>2.2054999999999998</v>
      </c>
      <c r="AF304" s="2">
        <f t="shared" si="56"/>
        <v>3.2799999999999985</v>
      </c>
      <c r="AG304" s="2">
        <v>1.057873333333333</v>
      </c>
      <c r="AH304" s="1">
        <f t="shared" si="57"/>
        <v>75.613088441186989</v>
      </c>
      <c r="AI304" s="1">
        <f t="shared" si="58"/>
        <v>24.386911558813011</v>
      </c>
      <c r="AJ304" s="1">
        <f t="shared" si="59"/>
        <v>1.2193455779406506</v>
      </c>
      <c r="AK304" s="8">
        <v>0.12510000000000066</v>
      </c>
      <c r="AL304" s="9">
        <v>71.568181818181699</v>
      </c>
      <c r="AM304" s="10">
        <v>3.5784090909090853</v>
      </c>
      <c r="AN304" s="9">
        <v>35.78409090909085</v>
      </c>
      <c r="AO304" s="11">
        <v>3.5795406998525365</v>
      </c>
      <c r="AP304" s="2">
        <v>3.8992176562499994</v>
      </c>
      <c r="AQ304" s="2">
        <f t="shared" si="60"/>
        <v>0.21055775343749997</v>
      </c>
      <c r="AR304" s="2">
        <v>1.1124983819203367</v>
      </c>
      <c r="AS304" s="2">
        <v>0.27130399649213816</v>
      </c>
      <c r="AT304" s="2">
        <f t="shared" si="61"/>
        <v>2.7130399649213818E-2</v>
      </c>
      <c r="AU304" s="2">
        <f t="shared" si="62"/>
        <v>2.5514482428728259E-2</v>
      </c>
      <c r="AV304" s="2">
        <f t="shared" si="63"/>
        <v>3.9292302940241519E-3</v>
      </c>
      <c r="AW304" s="3">
        <f t="shared" si="64"/>
        <v>15.4</v>
      </c>
    </row>
    <row r="305" spans="1:49" x14ac:dyDescent="0.2">
      <c r="A305" t="s">
        <v>45</v>
      </c>
      <c r="B305" s="5" t="s">
        <v>46</v>
      </c>
      <c r="C305" s="5" t="s">
        <v>328</v>
      </c>
      <c r="D305" s="5" t="s">
        <v>359</v>
      </c>
      <c r="E305">
        <v>9</v>
      </c>
      <c r="F305" s="6">
        <v>367</v>
      </c>
      <c r="G305" s="3">
        <v>2.25</v>
      </c>
      <c r="H305" s="3">
        <v>2.25</v>
      </c>
      <c r="I305" s="3">
        <v>1</v>
      </c>
      <c r="J305" s="3">
        <v>43.099999999999852</v>
      </c>
      <c r="K305" s="3">
        <v>44.099999999999852</v>
      </c>
      <c r="L305" s="3">
        <v>43.599999999999852</v>
      </c>
      <c r="M305" s="1">
        <v>0.2</v>
      </c>
      <c r="N305" s="3">
        <v>363.09999999999985</v>
      </c>
      <c r="O305" s="3">
        <v>364.09999999999985</v>
      </c>
      <c r="P305" s="3">
        <v>363.59999999999985</v>
      </c>
      <c r="Q305" s="3">
        <v>363.09999999999985</v>
      </c>
      <c r="R305" s="3">
        <v>364.09999999999985</v>
      </c>
      <c r="S305" s="3">
        <v>363.6</v>
      </c>
      <c r="T305" s="3">
        <v>363.6</v>
      </c>
      <c r="U305" s="7">
        <f t="shared" si="52"/>
        <v>0.5</v>
      </c>
      <c r="V305" s="3">
        <v>4437.1499999999996</v>
      </c>
      <c r="W305" s="3">
        <v>5022.55</v>
      </c>
      <c r="X305" s="3">
        <v>4727.5200000000004</v>
      </c>
      <c r="Y305" s="3">
        <v>4728.54</v>
      </c>
      <c r="Z305" s="3">
        <f t="shared" si="53"/>
        <v>292.70000000000027</v>
      </c>
      <c r="AA305" s="4">
        <f t="shared" si="54"/>
        <v>9.3970242756456351E-2</v>
      </c>
      <c r="AB305" s="4">
        <f t="shared" si="55"/>
        <v>5.946047084094074E-3</v>
      </c>
      <c r="AC305">
        <v>1.1476266666666668</v>
      </c>
      <c r="AD305" s="2">
        <v>5.867799999999999</v>
      </c>
      <c r="AE305" s="2">
        <v>2.1476999999999999</v>
      </c>
      <c r="AF305" s="2">
        <f t="shared" si="56"/>
        <v>3.7200999999999991</v>
      </c>
      <c r="AG305" s="2">
        <v>1.0000733333333331</v>
      </c>
      <c r="AH305" s="1">
        <f t="shared" si="57"/>
        <v>78.812783711332628</v>
      </c>
      <c r="AI305" s="1">
        <f t="shared" si="58"/>
        <v>21.187216288667372</v>
      </c>
      <c r="AJ305" s="1">
        <f t="shared" si="59"/>
        <v>1.0593608144333686</v>
      </c>
      <c r="AK305" s="8">
        <v>6.7099999999999937E-2</v>
      </c>
      <c r="AL305" s="9">
        <v>76.45614035087722</v>
      </c>
      <c r="AM305" s="10">
        <v>3.8228070175438611</v>
      </c>
      <c r="AN305" s="9">
        <v>38.22807017543861</v>
      </c>
      <c r="AO305" s="11">
        <v>3.8238663017138284</v>
      </c>
      <c r="AP305" s="2">
        <v>3.9740625000000001</v>
      </c>
      <c r="AQ305" s="2">
        <f t="shared" si="60"/>
        <v>0.2185734375</v>
      </c>
      <c r="AR305" s="2">
        <v>1.1877451180834051</v>
      </c>
      <c r="AS305" s="2">
        <v>0.25165012712641865</v>
      </c>
      <c r="AT305" s="2">
        <f t="shared" si="61"/>
        <v>2.5165012712641866E-2</v>
      </c>
      <c r="AU305" s="2">
        <f t="shared" si="62"/>
        <v>2.3647623535762663E-2</v>
      </c>
      <c r="AV305" s="2">
        <f t="shared" si="63"/>
        <v>3.6653816480432125E-3</v>
      </c>
      <c r="AW305" s="3">
        <f t="shared" si="64"/>
        <v>15.5</v>
      </c>
    </row>
    <row r="306" spans="1:49" x14ac:dyDescent="0.2">
      <c r="A306" t="s">
        <v>45</v>
      </c>
      <c r="B306" s="5" t="s">
        <v>46</v>
      </c>
      <c r="C306" s="5" t="s">
        <v>328</v>
      </c>
      <c r="D306" s="5" t="s">
        <v>360</v>
      </c>
      <c r="E306">
        <v>9</v>
      </c>
      <c r="F306" s="6">
        <v>368</v>
      </c>
      <c r="G306" s="3">
        <v>1.7</v>
      </c>
      <c r="H306" s="3">
        <v>2.25</v>
      </c>
      <c r="I306" s="3">
        <v>1</v>
      </c>
      <c r="J306" s="3">
        <v>44.299999999999841</v>
      </c>
      <c r="K306" s="3">
        <v>45.299999999999841</v>
      </c>
      <c r="L306" s="3">
        <v>44.799999999999841</v>
      </c>
      <c r="M306" s="1">
        <v>0.2</v>
      </c>
      <c r="N306" s="3">
        <v>364.29999999999984</v>
      </c>
      <c r="O306" s="3">
        <v>365.29999999999984</v>
      </c>
      <c r="P306" s="3">
        <v>364.79999999999984</v>
      </c>
      <c r="Q306" s="3">
        <v>364.29999999999984</v>
      </c>
      <c r="R306" s="3">
        <v>365.29999999999984</v>
      </c>
      <c r="S306" s="3">
        <v>364.8</v>
      </c>
      <c r="T306" s="3">
        <v>364.8</v>
      </c>
      <c r="U306" s="7">
        <f t="shared" si="52"/>
        <v>0.5</v>
      </c>
      <c r="V306" s="3">
        <v>4448.55</v>
      </c>
      <c r="W306" s="3">
        <v>5032.5</v>
      </c>
      <c r="X306" s="3">
        <v>4742.87</v>
      </c>
      <c r="Y306" s="3">
        <v>4741.3100000000004</v>
      </c>
      <c r="Z306" s="3">
        <f t="shared" si="53"/>
        <v>291.97499999999991</v>
      </c>
      <c r="AA306" s="4">
        <f t="shared" si="54"/>
        <v>9.4043887147339633E-2</v>
      </c>
      <c r="AB306" s="4">
        <f t="shared" si="55"/>
        <v>5.9202221996920903E-3</v>
      </c>
      <c r="AC306">
        <v>1.1476266666666668</v>
      </c>
      <c r="AD306" s="2">
        <v>4.5581999999999994</v>
      </c>
      <c r="AE306" s="2">
        <v>1.8125</v>
      </c>
      <c r="AF306" s="2">
        <f t="shared" si="56"/>
        <v>2.7456999999999994</v>
      </c>
      <c r="AG306" s="2">
        <v>0.66487333333333321</v>
      </c>
      <c r="AH306" s="1">
        <f t="shared" si="57"/>
        <v>80.505525952625746</v>
      </c>
      <c r="AI306" s="1">
        <f t="shared" si="58"/>
        <v>19.494474047374254</v>
      </c>
      <c r="AJ306" s="1">
        <f t="shared" si="59"/>
        <v>0.97472370236871275</v>
      </c>
      <c r="AK306" s="8">
        <v>0.12999999999999989</v>
      </c>
      <c r="AL306" s="9">
        <v>74.762182100563038</v>
      </c>
      <c r="AM306" s="10">
        <v>3.7381091050281521</v>
      </c>
      <c r="AN306" s="9">
        <v>37.381091050281519</v>
      </c>
      <c r="AO306" s="11">
        <v>3.739192383536099</v>
      </c>
      <c r="AP306" s="2">
        <v>3.0619906250000004</v>
      </c>
      <c r="AQ306" s="2">
        <f t="shared" si="60"/>
        <v>0.15156853593750003</v>
      </c>
      <c r="AR306" s="2">
        <v>1.1138418600916953</v>
      </c>
      <c r="AS306" s="2">
        <v>0.21713761234436604</v>
      </c>
      <c r="AT306" s="2">
        <f t="shared" si="61"/>
        <v>2.1713761234436607E-2</v>
      </c>
      <c r="AU306" s="2">
        <f t="shared" si="62"/>
        <v>2.042046511075634E-2</v>
      </c>
      <c r="AV306" s="2">
        <f t="shared" si="63"/>
        <v>3.0528595340580732E-3</v>
      </c>
      <c r="AW306" s="3">
        <f t="shared" si="64"/>
        <v>14.950000000000003</v>
      </c>
    </row>
    <row r="307" spans="1:49" x14ac:dyDescent="0.2">
      <c r="A307" t="s">
        <v>45</v>
      </c>
      <c r="B307" s="5" t="s">
        <v>46</v>
      </c>
      <c r="C307" s="5" t="s">
        <v>328</v>
      </c>
      <c r="D307" s="5" t="s">
        <v>361</v>
      </c>
      <c r="E307">
        <v>9</v>
      </c>
      <c r="F307" s="6">
        <v>369</v>
      </c>
      <c r="G307" s="3">
        <v>2.4</v>
      </c>
      <c r="H307" s="3">
        <v>2.25</v>
      </c>
      <c r="I307" s="3">
        <v>1.05</v>
      </c>
      <c r="J307" s="3">
        <v>45.499999999999829</v>
      </c>
      <c r="K307" s="3">
        <v>46.549999999999841</v>
      </c>
      <c r="L307" s="3">
        <v>46.024999999999864</v>
      </c>
      <c r="M307" s="1">
        <v>0.2</v>
      </c>
      <c r="N307" s="3">
        <v>365.49999999999983</v>
      </c>
      <c r="O307" s="3">
        <v>366.54999999999984</v>
      </c>
      <c r="P307" s="3">
        <v>366.02499999999986</v>
      </c>
      <c r="Q307" s="3">
        <v>365.49999999999983</v>
      </c>
      <c r="R307" s="3">
        <v>366.54999999999984</v>
      </c>
      <c r="S307" s="3">
        <v>366</v>
      </c>
      <c r="T307" s="3">
        <v>366</v>
      </c>
      <c r="U307" s="7">
        <f t="shared" si="52"/>
        <v>0.52500000000000568</v>
      </c>
      <c r="V307" s="3">
        <v>4459.66</v>
      </c>
      <c r="W307" s="3">
        <v>5043.9399999999996</v>
      </c>
      <c r="X307" s="3">
        <v>4755.32</v>
      </c>
      <c r="Y307" s="3">
        <v>4754.07</v>
      </c>
      <c r="Z307" s="3">
        <f t="shared" si="53"/>
        <v>292.13999999999987</v>
      </c>
      <c r="AA307" s="4">
        <f t="shared" si="54"/>
        <v>9.3998553868403348E-2</v>
      </c>
      <c r="AB307" s="4">
        <f t="shared" si="55"/>
        <v>5.9110925501058599E-3</v>
      </c>
      <c r="AC307">
        <v>1.1476266666666668</v>
      </c>
      <c r="AD307" s="2">
        <v>5.4604999999999997</v>
      </c>
      <c r="AE307" s="2">
        <v>2.1084999999999998</v>
      </c>
      <c r="AF307" s="2">
        <f t="shared" si="56"/>
        <v>3.3519999999999999</v>
      </c>
      <c r="AG307" s="2">
        <v>0.96087333333333302</v>
      </c>
      <c r="AH307" s="1">
        <f t="shared" si="57"/>
        <v>77.720807937786262</v>
      </c>
      <c r="AI307" s="1">
        <f t="shared" si="58"/>
        <v>22.279192062213738</v>
      </c>
      <c r="AJ307" s="1">
        <f t="shared" si="59"/>
        <v>1.1139596031106869</v>
      </c>
      <c r="AK307" s="8">
        <v>4.3800000000000061E-2</v>
      </c>
      <c r="AL307" s="9">
        <v>78.001004520341567</v>
      </c>
      <c r="AM307" s="10">
        <v>3.9000502260170786</v>
      </c>
      <c r="AN307" s="9">
        <v>39.000502260170784</v>
      </c>
      <c r="AO307" s="11">
        <v>3.9010885359673479</v>
      </c>
      <c r="AP307" s="2">
        <v>4.455586406250001</v>
      </c>
      <c r="AQ307" s="2">
        <f t="shared" si="60"/>
        <v>0.25396842515625007</v>
      </c>
      <c r="AR307" s="2">
        <v>0.96796985628727128</v>
      </c>
      <c r="AS307" s="2">
        <v>0.21565586338657547</v>
      </c>
      <c r="AT307" s="2">
        <f t="shared" si="61"/>
        <v>2.1565586338657548E-2</v>
      </c>
      <c r="AU307" s="2">
        <f t="shared" si="62"/>
        <v>2.0271339291580048E-2</v>
      </c>
      <c r="AV307" s="2">
        <f t="shared" si="63"/>
        <v>3.1826002687780673E-3</v>
      </c>
      <c r="AW307" s="3">
        <f t="shared" si="64"/>
        <v>15.7</v>
      </c>
    </row>
    <row r="308" spans="1:49" x14ac:dyDescent="0.2">
      <c r="A308" t="s">
        <v>45</v>
      </c>
      <c r="B308" s="5" t="s">
        <v>46</v>
      </c>
      <c r="C308" s="5" t="s">
        <v>328</v>
      </c>
      <c r="D308" s="5" t="s">
        <v>362</v>
      </c>
      <c r="E308">
        <v>9</v>
      </c>
      <c r="F308" s="6">
        <v>370</v>
      </c>
      <c r="G308" s="3">
        <v>2</v>
      </c>
      <c r="H308" s="3">
        <v>2.2000000000000002</v>
      </c>
      <c r="I308" s="3">
        <v>1</v>
      </c>
      <c r="J308" s="3">
        <v>46.749999999999829</v>
      </c>
      <c r="K308" s="3">
        <v>47.749999999999829</v>
      </c>
      <c r="L308" s="3">
        <v>47.249999999999829</v>
      </c>
      <c r="M308" s="1">
        <v>0.2</v>
      </c>
      <c r="N308" s="3">
        <v>366.74999999999983</v>
      </c>
      <c r="O308" s="3">
        <v>367.74999999999983</v>
      </c>
      <c r="P308" s="3">
        <v>367.24999999999983</v>
      </c>
      <c r="Q308" s="3">
        <v>366.74999999999983</v>
      </c>
      <c r="R308" s="3">
        <v>367.74999999999983</v>
      </c>
      <c r="S308" s="3">
        <v>367.3</v>
      </c>
      <c r="T308" s="3">
        <v>367.3</v>
      </c>
      <c r="U308" s="7">
        <f t="shared" si="52"/>
        <v>0.5</v>
      </c>
      <c r="V308" s="3">
        <v>4473.16</v>
      </c>
      <c r="W308" s="3">
        <v>5056.37</v>
      </c>
      <c r="X308" s="3">
        <v>4770.43</v>
      </c>
      <c r="Y308" s="3">
        <v>4767.8999999999996</v>
      </c>
      <c r="Z308" s="3">
        <f t="shared" si="53"/>
        <v>291.60500000000002</v>
      </c>
      <c r="AA308" s="4">
        <f t="shared" si="54"/>
        <v>9.411764705882486E-2</v>
      </c>
      <c r="AB308" s="4">
        <f t="shared" si="55"/>
        <v>5.8843608988963219E-3</v>
      </c>
      <c r="AC308">
        <v>1.1476266666666668</v>
      </c>
      <c r="AD308" s="2">
        <v>5.0829999999999984</v>
      </c>
      <c r="AE308" s="2">
        <v>2.0722</v>
      </c>
      <c r="AF308" s="2">
        <f t="shared" si="56"/>
        <v>3.0107999999999984</v>
      </c>
      <c r="AG308" s="2">
        <v>0.92457333333333325</v>
      </c>
      <c r="AH308" s="1">
        <f t="shared" si="57"/>
        <v>76.506083285617962</v>
      </c>
      <c r="AI308" s="1">
        <f t="shared" si="58"/>
        <v>23.493916714382038</v>
      </c>
      <c r="AJ308" s="1">
        <f t="shared" si="59"/>
        <v>1.174695835719102</v>
      </c>
      <c r="AK308" s="8">
        <v>6.9700000000000095E-2</v>
      </c>
      <c r="AL308" s="9">
        <v>76.920529801324449</v>
      </c>
      <c r="AM308" s="10">
        <v>3.8460264900662224</v>
      </c>
      <c r="AN308" s="9">
        <v>38.460264900662224</v>
      </c>
      <c r="AO308" s="11">
        <v>3.8470793808148938</v>
      </c>
      <c r="AP308" s="2">
        <v>3.4618500000000001</v>
      </c>
      <c r="AQ308" s="2">
        <f t="shared" si="60"/>
        <v>0.18001620000000002</v>
      </c>
      <c r="AR308" s="2">
        <v>1.1367833191309074</v>
      </c>
      <c r="AS308" s="2">
        <v>0.26707492621960316</v>
      </c>
      <c r="AT308" s="2">
        <f t="shared" si="61"/>
        <v>2.6707492621960316E-2</v>
      </c>
      <c r="AU308" s="2">
        <f t="shared" si="62"/>
        <v>2.51364636441983E-2</v>
      </c>
      <c r="AV308" s="2">
        <f t="shared" si="63"/>
        <v>3.8207424739181424E-3</v>
      </c>
      <c r="AW308" s="3">
        <f t="shared" si="64"/>
        <v>15.200000000000003</v>
      </c>
    </row>
    <row r="309" spans="1:49" x14ac:dyDescent="0.2">
      <c r="A309" t="s">
        <v>45</v>
      </c>
      <c r="B309" s="5" t="s">
        <v>46</v>
      </c>
      <c r="C309" s="5" t="s">
        <v>363</v>
      </c>
      <c r="D309" s="5" t="s">
        <v>364</v>
      </c>
      <c r="E309">
        <v>10</v>
      </c>
      <c r="F309" s="6">
        <v>380</v>
      </c>
      <c r="G309" s="3">
        <v>2.4500000000000002</v>
      </c>
      <c r="H309" s="3">
        <v>2.2999999999999998</v>
      </c>
      <c r="I309" s="3">
        <v>1</v>
      </c>
      <c r="J309" s="3">
        <v>8.5800000000000409</v>
      </c>
      <c r="K309" s="3">
        <v>9.5800000000000409</v>
      </c>
      <c r="L309" s="3">
        <v>9.0800000000000409</v>
      </c>
      <c r="M309" s="1">
        <v>0.19</v>
      </c>
      <c r="N309" s="3">
        <v>368.58000000000004</v>
      </c>
      <c r="O309" s="3">
        <v>369.58000000000004</v>
      </c>
      <c r="P309" s="3">
        <v>369.08000000000004</v>
      </c>
      <c r="Q309" s="3">
        <v>367.58000000000004</v>
      </c>
      <c r="R309" s="3">
        <v>368.58000000000004</v>
      </c>
      <c r="S309" s="3">
        <v>368.1</v>
      </c>
      <c r="T309" s="3">
        <v>368.1</v>
      </c>
      <c r="U309" s="7">
        <f t="shared" si="52"/>
        <v>0.5</v>
      </c>
      <c r="V309" s="3">
        <v>4478.1400000000003</v>
      </c>
      <c r="W309" s="3">
        <v>5063.74</v>
      </c>
      <c r="X309" s="3">
        <v>4779.25</v>
      </c>
      <c r="Y309" s="3">
        <v>4776.3999999999996</v>
      </c>
      <c r="Z309" s="3">
        <f t="shared" si="53"/>
        <v>292.79999999999973</v>
      </c>
      <c r="AA309" s="4">
        <f t="shared" si="54"/>
        <v>9.3970242756456351E-2</v>
      </c>
      <c r="AB309" s="4">
        <f t="shared" si="55"/>
        <v>5.8881495772466824E-3</v>
      </c>
      <c r="AC309">
        <v>1.1476266666666668</v>
      </c>
      <c r="AD309" s="2">
        <v>6.9798</v>
      </c>
      <c r="AE309" s="2">
        <v>2.6263999999999998</v>
      </c>
      <c r="AF309" s="2">
        <f t="shared" si="56"/>
        <v>4.3534000000000006</v>
      </c>
      <c r="AG309" s="2">
        <v>1.4787733333333331</v>
      </c>
      <c r="AH309" s="1">
        <f t="shared" si="57"/>
        <v>74.644557889225979</v>
      </c>
      <c r="AI309" s="1">
        <f t="shared" si="58"/>
        <v>25.355442110774021</v>
      </c>
      <c r="AJ309" s="1">
        <f t="shared" si="59"/>
        <v>1.2677721055387012</v>
      </c>
      <c r="AK309" s="8">
        <v>8.8599999999999568E-2</v>
      </c>
      <c r="AL309" s="9">
        <v>72.987804878048863</v>
      </c>
      <c r="AM309" s="10">
        <v>3.6493902439024435</v>
      </c>
      <c r="AN309" s="9">
        <v>36.493902439024431</v>
      </c>
      <c r="AO309" s="11">
        <v>3.6504998496494059</v>
      </c>
      <c r="AP309" s="2">
        <v>4.4278906249999999</v>
      </c>
      <c r="AQ309" s="2">
        <f t="shared" si="60"/>
        <v>0.25460371093750001</v>
      </c>
      <c r="AR309" s="2">
        <v>1.3171448500567544</v>
      </c>
      <c r="AS309" s="2">
        <v>0.33396789997118165</v>
      </c>
      <c r="AT309" s="2">
        <f t="shared" si="61"/>
        <v>3.3396789997118169E-2</v>
      </c>
      <c r="AU309" s="2">
        <f t="shared" si="62"/>
        <v>3.1383044633155874E-2</v>
      </c>
      <c r="AV309" s="2">
        <f t="shared" si="63"/>
        <v>4.9428295297220502E-3</v>
      </c>
      <c r="AW309" s="3">
        <f t="shared" si="64"/>
        <v>15.75</v>
      </c>
    </row>
    <row r="310" spans="1:49" x14ac:dyDescent="0.2">
      <c r="A310" t="s">
        <v>45</v>
      </c>
      <c r="B310" s="5" t="s">
        <v>46</v>
      </c>
      <c r="C310" s="5" t="s">
        <v>363</v>
      </c>
      <c r="D310" s="5" t="s">
        <v>365</v>
      </c>
      <c r="E310">
        <v>10</v>
      </c>
      <c r="F310" s="6">
        <v>381</v>
      </c>
      <c r="G310" s="3">
        <v>1.95</v>
      </c>
      <c r="H310" s="3">
        <v>2.4500000000000002</v>
      </c>
      <c r="I310" s="3">
        <v>1</v>
      </c>
      <c r="J310" s="3">
        <v>9.7700000000000387</v>
      </c>
      <c r="K310" s="3">
        <v>10.770000000000039</v>
      </c>
      <c r="L310" s="3">
        <v>10.270000000000039</v>
      </c>
      <c r="M310" s="1">
        <v>0.19</v>
      </c>
      <c r="N310" s="3">
        <v>369.77000000000004</v>
      </c>
      <c r="O310" s="3">
        <v>370.77000000000004</v>
      </c>
      <c r="P310" s="3">
        <v>370.27000000000004</v>
      </c>
      <c r="Q310" s="3">
        <v>368.77000000000004</v>
      </c>
      <c r="R310" s="3">
        <v>369.77000000000004</v>
      </c>
      <c r="S310" s="3">
        <v>369.3</v>
      </c>
      <c r="T310" s="3">
        <v>369.3</v>
      </c>
      <c r="U310" s="7">
        <f t="shared" si="52"/>
        <v>0.5</v>
      </c>
      <c r="V310" s="3">
        <v>4486.46</v>
      </c>
      <c r="W310" s="3">
        <v>5080.22</v>
      </c>
      <c r="X310" s="3">
        <v>4791.71</v>
      </c>
      <c r="Y310" s="3">
        <v>4789.17</v>
      </c>
      <c r="Z310" s="3">
        <f t="shared" si="53"/>
        <v>296.88000000000011</v>
      </c>
      <c r="AA310" s="4">
        <f t="shared" si="54"/>
        <v>9.3299406276502905E-2</v>
      </c>
      <c r="AB310" s="4">
        <f t="shared" si="55"/>
        <v>5.9099368264714583E-3</v>
      </c>
      <c r="AC310">
        <v>1.1476266666666668</v>
      </c>
      <c r="AD310" s="2">
        <v>5.6460999999999997</v>
      </c>
      <c r="AE310" s="2">
        <v>2.1208</v>
      </c>
      <c r="AF310" s="2">
        <f t="shared" si="56"/>
        <v>3.5252999999999997</v>
      </c>
      <c r="AG310" s="2">
        <v>0.97317333333333322</v>
      </c>
      <c r="AH310" s="1">
        <f t="shared" si="57"/>
        <v>78.366586590117237</v>
      </c>
      <c r="AI310" s="1">
        <f t="shared" si="58"/>
        <v>21.633413409882763</v>
      </c>
      <c r="AJ310" s="1">
        <f t="shared" si="59"/>
        <v>1.0816706704941381</v>
      </c>
      <c r="AK310" s="8">
        <v>9.6300000000000274E-2</v>
      </c>
      <c r="AL310" s="9">
        <v>75.038880248833564</v>
      </c>
      <c r="AM310" s="10">
        <v>3.7519440124416783</v>
      </c>
      <c r="AN310" s="9">
        <v>37.519440124416782</v>
      </c>
      <c r="AO310" s="11">
        <v>3.7530232976224593</v>
      </c>
      <c r="AP310" s="2">
        <v>3.7994000000000008</v>
      </c>
      <c r="AQ310" s="2">
        <f t="shared" si="60"/>
        <v>0.20516760000000003</v>
      </c>
      <c r="AR310" s="2">
        <v>1.1839957186222383</v>
      </c>
      <c r="AS310" s="2">
        <v>0.25613868856486105</v>
      </c>
      <c r="AT310" s="2">
        <f t="shared" si="61"/>
        <v>2.5613868856486106E-2</v>
      </c>
      <c r="AU310" s="2">
        <f t="shared" si="62"/>
        <v>2.3897587567543621E-2</v>
      </c>
      <c r="AV310" s="2">
        <f t="shared" si="63"/>
        <v>3.6802284854017178E-3</v>
      </c>
      <c r="AW310" s="3">
        <f t="shared" si="64"/>
        <v>15.4</v>
      </c>
    </row>
    <row r="311" spans="1:49" x14ac:dyDescent="0.2">
      <c r="A311" t="s">
        <v>45</v>
      </c>
      <c r="B311" s="5" t="s">
        <v>46</v>
      </c>
      <c r="C311" s="5" t="s">
        <v>363</v>
      </c>
      <c r="D311" s="5" t="s">
        <v>366</v>
      </c>
      <c r="E311">
        <v>10</v>
      </c>
      <c r="F311" s="6">
        <v>382</v>
      </c>
      <c r="G311" s="3">
        <v>2.15</v>
      </c>
      <c r="H311" s="3">
        <v>2.4500000000000002</v>
      </c>
      <c r="I311" s="3">
        <v>0.95</v>
      </c>
      <c r="J311" s="3">
        <v>10.960000000000036</v>
      </c>
      <c r="K311" s="3">
        <v>11.910000000000025</v>
      </c>
      <c r="L311" s="3">
        <v>11.435000000000059</v>
      </c>
      <c r="M311" s="1">
        <v>0.19</v>
      </c>
      <c r="N311" s="3">
        <v>370.96000000000004</v>
      </c>
      <c r="O311" s="3">
        <v>371.91</v>
      </c>
      <c r="P311" s="3">
        <v>371.43500000000006</v>
      </c>
      <c r="Q311" s="3">
        <v>369.96000000000004</v>
      </c>
      <c r="R311" s="3">
        <v>370.91</v>
      </c>
      <c r="S311" s="3">
        <v>370.4</v>
      </c>
      <c r="T311" s="3">
        <v>370.4</v>
      </c>
      <c r="U311" s="7">
        <f t="shared" si="52"/>
        <v>0.47499999999999432</v>
      </c>
      <c r="V311" s="3">
        <v>4497.41</v>
      </c>
      <c r="W311" s="3">
        <v>5091.1400000000003</v>
      </c>
      <c r="X311" s="3">
        <v>4804.1000000000004</v>
      </c>
      <c r="Y311" s="3">
        <v>4800.96</v>
      </c>
      <c r="Z311" s="3">
        <f t="shared" si="53"/>
        <v>296.86500000000024</v>
      </c>
      <c r="AA311" s="4">
        <f t="shared" si="54"/>
        <v>9.2095165003842586E-2</v>
      </c>
      <c r="AB311" s="4">
        <f t="shared" si="55"/>
        <v>5.8127618271611352E-3</v>
      </c>
      <c r="AC311">
        <v>1.1476266666666668</v>
      </c>
      <c r="AD311" s="2">
        <v>5.9055</v>
      </c>
      <c r="AE311" s="2">
        <v>2.1448</v>
      </c>
      <c r="AF311" s="2">
        <f t="shared" si="56"/>
        <v>3.7606999999999999</v>
      </c>
      <c r="AG311" s="2">
        <v>0.99717333333333324</v>
      </c>
      <c r="AH311" s="1">
        <f t="shared" si="57"/>
        <v>79.041616632641194</v>
      </c>
      <c r="AI311" s="1">
        <f t="shared" si="58"/>
        <v>20.958383367358806</v>
      </c>
      <c r="AJ311" s="1">
        <f t="shared" si="59"/>
        <v>1.0479191683679403</v>
      </c>
      <c r="AK311" s="8">
        <v>0.12019999999999964</v>
      </c>
      <c r="AL311" s="9">
        <v>78.318903318903352</v>
      </c>
      <c r="AM311" s="10">
        <v>3.9159451659451676</v>
      </c>
      <c r="AN311" s="9">
        <v>39.159451659451676</v>
      </c>
      <c r="AO311" s="11">
        <v>3.9169792624788462</v>
      </c>
      <c r="AP311" s="2">
        <v>3.9450174999999992</v>
      </c>
      <c r="AQ311" s="2">
        <f t="shared" si="60"/>
        <v>0.21894847124999997</v>
      </c>
      <c r="AR311" s="2">
        <v>1.2060461920215397</v>
      </c>
      <c r="AS311" s="2">
        <v>0.2527677845113066</v>
      </c>
      <c r="AT311" s="2">
        <f t="shared" si="61"/>
        <v>2.527677845113066E-2</v>
      </c>
      <c r="AU311" s="2">
        <f t="shared" si="62"/>
        <v>2.3278690822224508E-2</v>
      </c>
      <c r="AV311" s="2">
        <f t="shared" si="63"/>
        <v>3.6198364228559109E-3</v>
      </c>
      <c r="AW311" s="3">
        <f t="shared" si="64"/>
        <v>15.55</v>
      </c>
    </row>
    <row r="312" spans="1:49" x14ac:dyDescent="0.2">
      <c r="A312" t="s">
        <v>45</v>
      </c>
      <c r="B312" s="5" t="s">
        <v>46</v>
      </c>
      <c r="C312" s="5" t="s">
        <v>363</v>
      </c>
      <c r="D312" s="5" t="s">
        <v>367</v>
      </c>
      <c r="E312">
        <v>10</v>
      </c>
      <c r="F312" s="6">
        <v>383</v>
      </c>
      <c r="G312" s="3">
        <v>2.25</v>
      </c>
      <c r="H312" s="3">
        <v>2.35</v>
      </c>
      <c r="I312" s="3">
        <v>1</v>
      </c>
      <c r="J312" s="3">
        <v>12.100000000000023</v>
      </c>
      <c r="K312" s="3">
        <v>13.100000000000023</v>
      </c>
      <c r="L312" s="3">
        <v>12.600000000000023</v>
      </c>
      <c r="M312" s="1">
        <v>0.19</v>
      </c>
      <c r="N312" s="3">
        <v>372.1</v>
      </c>
      <c r="O312" s="3">
        <v>373.1</v>
      </c>
      <c r="P312" s="3">
        <v>372.6</v>
      </c>
      <c r="Q312" s="3">
        <v>371.1</v>
      </c>
      <c r="R312" s="3">
        <v>372.1</v>
      </c>
      <c r="S312" s="3">
        <v>371.6</v>
      </c>
      <c r="T312" s="3">
        <v>371.6</v>
      </c>
      <c r="U312" s="7">
        <f t="shared" si="52"/>
        <v>0.5</v>
      </c>
      <c r="V312" s="3">
        <v>4513.0600000000004</v>
      </c>
      <c r="W312" s="3">
        <v>5097.29</v>
      </c>
      <c r="X312" s="3">
        <v>4816.16</v>
      </c>
      <c r="Y312" s="3">
        <v>4813.99</v>
      </c>
      <c r="Z312" s="3">
        <f t="shared" si="53"/>
        <v>292.11499999999978</v>
      </c>
      <c r="AA312" s="4">
        <f t="shared" si="54"/>
        <v>9.2095165003831803E-2</v>
      </c>
      <c r="AB312" s="4">
        <f t="shared" si="55"/>
        <v>5.7122916025385672E-3</v>
      </c>
      <c r="AC312">
        <v>1.1476266666666668</v>
      </c>
      <c r="AD312" s="2">
        <v>6.4054000000000002</v>
      </c>
      <c r="AE312" s="2">
        <v>2.3401000000000001</v>
      </c>
      <c r="AF312" s="2">
        <f t="shared" si="56"/>
        <v>4.0653000000000006</v>
      </c>
      <c r="AG312" s="2">
        <v>1.1924733333333333</v>
      </c>
      <c r="AH312" s="1">
        <f t="shared" si="57"/>
        <v>77.319803313443217</v>
      </c>
      <c r="AI312" s="1">
        <f t="shared" si="58"/>
        <v>22.680196686556783</v>
      </c>
      <c r="AJ312" s="1">
        <f t="shared" si="59"/>
        <v>1.1340098343278393</v>
      </c>
      <c r="AK312" s="8">
        <v>8.4699999999999775E-2</v>
      </c>
      <c r="AL312" s="9">
        <v>76.90839694656492</v>
      </c>
      <c r="AM312" s="10">
        <v>3.8454198473282464</v>
      </c>
      <c r="AN312" s="9">
        <v>38.45419847328246</v>
      </c>
      <c r="AO312" s="11">
        <v>3.8464729041325634</v>
      </c>
      <c r="AP312" s="2">
        <v>4.1526499999999995</v>
      </c>
      <c r="AQ312" s="2">
        <f t="shared" si="60"/>
        <v>0.23254839999999999</v>
      </c>
      <c r="AR312" s="2">
        <v>1.2661248439751325</v>
      </c>
      <c r="AS312" s="2">
        <v>0.28715960491092035</v>
      </c>
      <c r="AT312" s="2">
        <f t="shared" si="61"/>
        <v>2.8715960491092037E-2</v>
      </c>
      <c r="AU312" s="2">
        <f t="shared" si="62"/>
        <v>2.6446011196706358E-2</v>
      </c>
      <c r="AV312" s="2">
        <f t="shared" si="63"/>
        <v>4.1255777466861921E-3</v>
      </c>
      <c r="AW312" s="3">
        <f t="shared" si="64"/>
        <v>15.6</v>
      </c>
    </row>
    <row r="313" spans="1:49" x14ac:dyDescent="0.2">
      <c r="A313" t="s">
        <v>45</v>
      </c>
      <c r="B313" s="5" t="s">
        <v>46</v>
      </c>
      <c r="C313" s="5" t="s">
        <v>363</v>
      </c>
      <c r="D313" s="5" t="s">
        <v>368</v>
      </c>
      <c r="E313">
        <v>10</v>
      </c>
      <c r="F313" s="6">
        <v>384</v>
      </c>
      <c r="G313" s="3">
        <v>2.5</v>
      </c>
      <c r="H313" s="3">
        <v>2.2999999999999998</v>
      </c>
      <c r="I313" s="3">
        <v>0.95</v>
      </c>
      <c r="J313" s="3">
        <v>13.29000000000002</v>
      </c>
      <c r="K313" s="3">
        <v>14.240000000000009</v>
      </c>
      <c r="L313" s="3">
        <v>13.764999999999986</v>
      </c>
      <c r="M313" s="1">
        <v>0.19</v>
      </c>
      <c r="N313" s="3">
        <v>373.29</v>
      </c>
      <c r="O313" s="3">
        <v>374.24</v>
      </c>
      <c r="P313" s="3">
        <v>373.76499999999999</v>
      </c>
      <c r="Q313" s="3">
        <v>372.29</v>
      </c>
      <c r="R313" s="3">
        <v>373.24</v>
      </c>
      <c r="S313" s="3">
        <v>372.8</v>
      </c>
      <c r="T313" s="3">
        <v>372.8</v>
      </c>
      <c r="U313" s="7">
        <f t="shared" si="52"/>
        <v>0.47499999999999432</v>
      </c>
      <c r="V313" s="3">
        <v>4528.57</v>
      </c>
      <c r="W313" s="3">
        <v>5104.1099999999997</v>
      </c>
      <c r="X313" s="3">
        <v>4830.47</v>
      </c>
      <c r="Y313" s="3">
        <v>4827.0200000000004</v>
      </c>
      <c r="Z313" s="3">
        <f t="shared" si="53"/>
        <v>287.77</v>
      </c>
      <c r="AA313" s="4">
        <f t="shared" si="54"/>
        <v>9.2095165003838228E-2</v>
      </c>
      <c r="AB313" s="4">
        <f t="shared" si="55"/>
        <v>5.6077329664253328E-3</v>
      </c>
      <c r="AC313">
        <v>1.1476266666666668</v>
      </c>
      <c r="AD313" s="2">
        <v>6.5674999999999999</v>
      </c>
      <c r="AE313" s="2">
        <v>2.3786</v>
      </c>
      <c r="AF313" s="2">
        <f t="shared" si="56"/>
        <v>4.1889000000000003</v>
      </c>
      <c r="AG313" s="2">
        <v>1.2309733333333333</v>
      </c>
      <c r="AH313" s="1">
        <f t="shared" si="57"/>
        <v>77.287784093355199</v>
      </c>
      <c r="AI313" s="1">
        <f t="shared" si="58"/>
        <v>22.712215906644801</v>
      </c>
      <c r="AJ313" s="1">
        <f t="shared" si="59"/>
        <v>1.1356107953322401</v>
      </c>
      <c r="AK313" s="8">
        <v>8.4999999999999964E-2</v>
      </c>
      <c r="AL313" s="9">
        <v>75.376593279258415</v>
      </c>
      <c r="AM313" s="10">
        <v>3.7688296639629209</v>
      </c>
      <c r="AN313" s="9">
        <v>37.688296639629208</v>
      </c>
      <c r="AO313" s="11">
        <v>3.769904114956621</v>
      </c>
      <c r="AP313" s="2">
        <v>4.2955199999999998</v>
      </c>
      <c r="AQ313" s="2">
        <f t="shared" si="60"/>
        <v>0.2469924</v>
      </c>
      <c r="AR313" s="2">
        <v>1.2617502265926672</v>
      </c>
      <c r="AS313" s="2">
        <v>0.28657143566630661</v>
      </c>
      <c r="AT313" s="2">
        <f t="shared" si="61"/>
        <v>2.8657143566630662E-2</v>
      </c>
      <c r="AU313" s="2">
        <f t="shared" si="62"/>
        <v>2.6391843653075318E-2</v>
      </c>
      <c r="AV313" s="2">
        <f t="shared" si="63"/>
        <v>4.1567153753593626E-3</v>
      </c>
      <c r="AW313" s="3">
        <f t="shared" si="64"/>
        <v>15.75</v>
      </c>
    </row>
    <row r="314" spans="1:49" x14ac:dyDescent="0.2">
      <c r="A314" t="s">
        <v>45</v>
      </c>
      <c r="B314" s="5" t="s">
        <v>46</v>
      </c>
      <c r="C314" s="5" t="s">
        <v>363</v>
      </c>
      <c r="D314" s="5" t="s">
        <v>369</v>
      </c>
      <c r="E314">
        <v>10</v>
      </c>
      <c r="F314" s="6">
        <v>385</v>
      </c>
      <c r="G314" s="3">
        <v>2.2000000000000002</v>
      </c>
      <c r="H314" s="3">
        <v>2.35</v>
      </c>
      <c r="I314" s="3">
        <v>1.05</v>
      </c>
      <c r="J314" s="3">
        <v>14.430000000000007</v>
      </c>
      <c r="K314" s="3">
        <v>15.480000000000018</v>
      </c>
      <c r="L314" s="3">
        <v>14.955000000000041</v>
      </c>
      <c r="M314" s="1">
        <v>0.19</v>
      </c>
      <c r="N314" s="3">
        <v>374.43</v>
      </c>
      <c r="O314" s="3">
        <v>375.48</v>
      </c>
      <c r="P314" s="3">
        <v>374.95500000000004</v>
      </c>
      <c r="Q314" s="3">
        <v>373.43</v>
      </c>
      <c r="R314" s="3">
        <v>374.48</v>
      </c>
      <c r="S314" s="3">
        <v>374</v>
      </c>
      <c r="T314" s="3">
        <v>374</v>
      </c>
      <c r="U314" s="7">
        <f t="shared" si="52"/>
        <v>0.52500000000000568</v>
      </c>
      <c r="V314" s="3">
        <v>4543.09</v>
      </c>
      <c r="W314" s="3">
        <v>5112.67</v>
      </c>
      <c r="X314" s="3">
        <v>4843.26</v>
      </c>
      <c r="Y314" s="3">
        <v>4840.05</v>
      </c>
      <c r="Z314" s="3">
        <f t="shared" si="53"/>
        <v>284.78999999999996</v>
      </c>
      <c r="AA314" s="4">
        <f t="shared" si="54"/>
        <v>9.2050209205024228E-2</v>
      </c>
      <c r="AB314" s="4">
        <f t="shared" si="55"/>
        <v>5.5454769043744292E-3</v>
      </c>
      <c r="AC314">
        <v>1.1476266666666668</v>
      </c>
      <c r="AD314" s="2">
        <v>5.9123999999999999</v>
      </c>
      <c r="AE314" s="2">
        <v>2.4573999999999998</v>
      </c>
      <c r="AF314" s="2">
        <f t="shared" si="56"/>
        <v>3.4550000000000001</v>
      </c>
      <c r="AG314" s="2">
        <v>1.309773333333333</v>
      </c>
      <c r="AH314" s="1">
        <f t="shared" si="57"/>
        <v>72.511319181325177</v>
      </c>
      <c r="AI314" s="1">
        <f t="shared" si="58"/>
        <v>27.488680818674823</v>
      </c>
      <c r="AJ314" s="1">
        <f t="shared" si="59"/>
        <v>1.3744340409337412</v>
      </c>
      <c r="AK314" s="8">
        <v>9.9599999999999689E-2</v>
      </c>
      <c r="AL314" s="9">
        <v>73.768764814327156</v>
      </c>
      <c r="AM314" s="10">
        <v>3.6884382407163581</v>
      </c>
      <c r="AN314" s="9">
        <v>36.884382407163578</v>
      </c>
      <c r="AO314" s="11">
        <v>3.6895361030323017</v>
      </c>
      <c r="AP314" s="2">
        <v>4.2660089062500015</v>
      </c>
      <c r="AQ314" s="2">
        <f t="shared" si="60"/>
        <v>0.2388964987500001</v>
      </c>
      <c r="AR314" s="2">
        <v>1.116915936662159</v>
      </c>
      <c r="AS314" s="2">
        <v>0.30702545684197319</v>
      </c>
      <c r="AT314" s="2">
        <f t="shared" si="61"/>
        <v>3.0702545684197322E-2</v>
      </c>
      <c r="AU314" s="2">
        <f t="shared" si="62"/>
        <v>2.8261757533571769E-2</v>
      </c>
      <c r="AV314" s="2">
        <f t="shared" si="63"/>
        <v>4.4088341752371958E-3</v>
      </c>
      <c r="AW314" s="3">
        <f t="shared" si="64"/>
        <v>15.6</v>
      </c>
    </row>
    <row r="315" spans="1:49" x14ac:dyDescent="0.2">
      <c r="A315" t="s">
        <v>45</v>
      </c>
      <c r="B315" s="5" t="s">
        <v>46</v>
      </c>
      <c r="C315" s="5" t="s">
        <v>363</v>
      </c>
      <c r="D315" s="5" t="s">
        <v>370</v>
      </c>
      <c r="E315">
        <v>10</v>
      </c>
      <c r="F315" s="6">
        <v>386</v>
      </c>
      <c r="G315" s="3">
        <v>2.1</v>
      </c>
      <c r="H315" s="3">
        <v>2.2000000000000002</v>
      </c>
      <c r="I315" s="3">
        <v>0.95</v>
      </c>
      <c r="J315" s="3">
        <v>15.670000000000016</v>
      </c>
      <c r="K315" s="3">
        <v>16.620000000000005</v>
      </c>
      <c r="L315" s="3">
        <v>16.144999999999982</v>
      </c>
      <c r="M315" s="1">
        <v>0.19</v>
      </c>
      <c r="N315" s="3">
        <v>375.67</v>
      </c>
      <c r="O315" s="3">
        <v>376.62</v>
      </c>
      <c r="P315" s="3">
        <v>376.14499999999998</v>
      </c>
      <c r="Q315" s="3">
        <v>374.67</v>
      </c>
      <c r="R315" s="3">
        <v>375.62</v>
      </c>
      <c r="S315" s="3">
        <v>375.1</v>
      </c>
      <c r="T315" s="3">
        <v>375.1</v>
      </c>
      <c r="U315" s="7">
        <f t="shared" si="52"/>
        <v>0.47499999999999432</v>
      </c>
      <c r="V315" s="3">
        <v>4556.78</v>
      </c>
      <c r="W315" s="3">
        <v>5122.87</v>
      </c>
      <c r="X315" s="3">
        <v>4855.1499999999996</v>
      </c>
      <c r="Y315" s="3">
        <v>4852</v>
      </c>
      <c r="Z315" s="3">
        <f t="shared" si="53"/>
        <v>283.04500000000007</v>
      </c>
      <c r="AA315" s="4">
        <f t="shared" si="54"/>
        <v>9.2133238837702677E-2</v>
      </c>
      <c r="AB315" s="4">
        <f t="shared" si="55"/>
        <v>5.4913314574560924E-3</v>
      </c>
      <c r="AC315">
        <v>1.1476266666666668</v>
      </c>
      <c r="AD315" s="2">
        <v>5.6616999999999997</v>
      </c>
      <c r="AE315" s="2">
        <v>2.4056000000000002</v>
      </c>
      <c r="AF315" s="2">
        <f t="shared" si="56"/>
        <v>3.2560999999999996</v>
      </c>
      <c r="AG315" s="2">
        <v>1.2579733333333334</v>
      </c>
      <c r="AH315" s="1">
        <f t="shared" si="57"/>
        <v>72.132191029240417</v>
      </c>
      <c r="AI315" s="1">
        <f t="shared" si="58"/>
        <v>27.867808970759583</v>
      </c>
      <c r="AJ315" s="1">
        <f t="shared" si="59"/>
        <v>1.3933904485379793</v>
      </c>
      <c r="AK315" s="8">
        <v>0.12290000000000045</v>
      </c>
      <c r="AL315" s="9">
        <v>73.77853637721347</v>
      </c>
      <c r="AM315" s="10">
        <v>3.6889268188606739</v>
      </c>
      <c r="AN315" s="9">
        <v>36.889268188606735</v>
      </c>
      <c r="AO315" s="11">
        <v>3.690024535814028</v>
      </c>
      <c r="AP315" s="2">
        <v>3.4472293750000009</v>
      </c>
      <c r="AQ315" s="2">
        <f t="shared" si="60"/>
        <v>0.18097954218750006</v>
      </c>
      <c r="AR315" s="2">
        <v>1.3094786688899493</v>
      </c>
      <c r="AS315" s="2">
        <v>0.36492301395909665</v>
      </c>
      <c r="AT315" s="2">
        <f t="shared" si="61"/>
        <v>3.6492301395909664E-2</v>
      </c>
      <c r="AU315" s="2">
        <f t="shared" si="62"/>
        <v>3.3621539202467757E-2</v>
      </c>
      <c r="AV315" s="2">
        <f t="shared" si="63"/>
        <v>5.1272847283763325E-3</v>
      </c>
      <c r="AW315" s="3">
        <f t="shared" si="64"/>
        <v>15.25</v>
      </c>
    </row>
    <row r="316" spans="1:49" x14ac:dyDescent="0.2">
      <c r="A316" t="s">
        <v>45</v>
      </c>
      <c r="B316" s="5" t="s">
        <v>46</v>
      </c>
      <c r="C316" s="5" t="s">
        <v>363</v>
      </c>
      <c r="D316" s="5" t="s">
        <v>371</v>
      </c>
      <c r="E316">
        <v>10</v>
      </c>
      <c r="F316" s="6">
        <v>387</v>
      </c>
      <c r="G316" s="3">
        <v>1.85</v>
      </c>
      <c r="H316" s="3">
        <v>2.4500000000000002</v>
      </c>
      <c r="I316" s="3">
        <v>1.1000000000000001</v>
      </c>
      <c r="J316" s="3">
        <v>16.810000000000002</v>
      </c>
      <c r="K316" s="3">
        <v>17.910000000000025</v>
      </c>
      <c r="L316" s="3">
        <v>17.360000000000014</v>
      </c>
      <c r="M316" s="1">
        <v>0.19</v>
      </c>
      <c r="N316" s="3">
        <v>376.81</v>
      </c>
      <c r="O316" s="3">
        <v>377.91</v>
      </c>
      <c r="P316" s="3">
        <v>377.36</v>
      </c>
      <c r="Q316" s="3">
        <v>375.81</v>
      </c>
      <c r="R316" s="3">
        <v>376.91</v>
      </c>
      <c r="S316" s="3">
        <v>376.4</v>
      </c>
      <c r="T316" s="3">
        <v>376.4</v>
      </c>
      <c r="U316" s="7">
        <f t="shared" si="52"/>
        <v>0.55000000000001137</v>
      </c>
      <c r="V316" s="3">
        <v>4567.24</v>
      </c>
      <c r="W316" s="3">
        <v>5135.99</v>
      </c>
      <c r="X316" s="3">
        <v>4871.3900000000003</v>
      </c>
      <c r="Y316" s="3">
        <v>4866.1099999999997</v>
      </c>
      <c r="Z316" s="3">
        <f t="shared" si="53"/>
        <v>284.375</v>
      </c>
      <c r="AA316" s="4">
        <f t="shared" si="54"/>
        <v>9.2024539877304357E-2</v>
      </c>
      <c r="AB316" s="4">
        <f t="shared" si="55"/>
        <v>5.5123725662179881E-3</v>
      </c>
      <c r="AC316">
        <v>1.1476266666666668</v>
      </c>
      <c r="AD316" s="2">
        <v>5.2164999999999999</v>
      </c>
      <c r="AE316" s="2">
        <v>2.1396999999999999</v>
      </c>
      <c r="AF316" s="2">
        <f t="shared" si="56"/>
        <v>3.0768</v>
      </c>
      <c r="AG316" s="2">
        <v>0.99207333333333314</v>
      </c>
      <c r="AH316" s="1">
        <f t="shared" si="57"/>
        <v>75.617984339645218</v>
      </c>
      <c r="AI316" s="1">
        <f t="shared" si="58"/>
        <v>24.382015660354782</v>
      </c>
      <c r="AJ316" s="1">
        <f t="shared" si="59"/>
        <v>1.2191007830177392</v>
      </c>
      <c r="AK316" s="8">
        <v>0.10020000000000007</v>
      </c>
      <c r="AL316" s="9">
        <v>71.428571428571402</v>
      </c>
      <c r="AM316" s="10">
        <v>3.5714285714285703</v>
      </c>
      <c r="AN316" s="9">
        <v>35.714285714285701</v>
      </c>
      <c r="AO316" s="11">
        <v>3.5725623914518718</v>
      </c>
      <c r="AP316" s="2">
        <v>3.9915287500000014</v>
      </c>
      <c r="AQ316" s="2">
        <f t="shared" si="60"/>
        <v>0.2155425525000001</v>
      </c>
      <c r="AR316" s="2">
        <v>1.0193771830738616</v>
      </c>
      <c r="AS316" s="2">
        <v>0.24854470441515242</v>
      </c>
      <c r="AT316" s="2">
        <f t="shared" si="61"/>
        <v>2.4854470441515245E-2</v>
      </c>
      <c r="AU316" s="2">
        <f t="shared" si="62"/>
        <v>2.2872212062745017E-2</v>
      </c>
      <c r="AV316" s="2">
        <f t="shared" si="63"/>
        <v>3.5223206576627331E-3</v>
      </c>
      <c r="AW316" s="3">
        <f t="shared" si="64"/>
        <v>15.400000000000002</v>
      </c>
    </row>
    <row r="317" spans="1:49" x14ac:dyDescent="0.2">
      <c r="A317" t="s">
        <v>45</v>
      </c>
      <c r="B317" s="5" t="s">
        <v>46</v>
      </c>
      <c r="C317" s="5" t="s">
        <v>363</v>
      </c>
      <c r="D317" s="5" t="s">
        <v>372</v>
      </c>
      <c r="E317">
        <v>10</v>
      </c>
      <c r="F317" s="6">
        <v>388</v>
      </c>
      <c r="G317" s="3">
        <v>2.15</v>
      </c>
      <c r="H317" s="3">
        <v>2.2999999999999998</v>
      </c>
      <c r="I317" s="3">
        <v>1</v>
      </c>
      <c r="J317" s="3">
        <v>18.100000000000023</v>
      </c>
      <c r="K317" s="3">
        <v>19.100000000000023</v>
      </c>
      <c r="L317" s="3">
        <v>18.600000000000023</v>
      </c>
      <c r="M317" s="1">
        <v>0.19</v>
      </c>
      <c r="N317" s="3">
        <v>378.1</v>
      </c>
      <c r="O317" s="3">
        <v>379.1</v>
      </c>
      <c r="P317" s="3">
        <v>378.6</v>
      </c>
      <c r="Q317" s="3">
        <v>377.1</v>
      </c>
      <c r="R317" s="3">
        <v>378.1</v>
      </c>
      <c r="S317" s="3">
        <v>377.6</v>
      </c>
      <c r="T317" s="3">
        <v>377.6</v>
      </c>
      <c r="U317" s="7">
        <f t="shared" si="52"/>
        <v>0.5</v>
      </c>
      <c r="V317" s="3">
        <v>4574.3599999999997</v>
      </c>
      <c r="W317" s="3">
        <v>5148.59</v>
      </c>
      <c r="X317" s="3">
        <v>4886.7299999999996</v>
      </c>
      <c r="Y317" s="3">
        <v>4879.1499999999996</v>
      </c>
      <c r="Z317" s="3">
        <f t="shared" si="53"/>
        <v>287.11500000000024</v>
      </c>
      <c r="AA317" s="4">
        <f t="shared" si="54"/>
        <v>9.2095165003831803E-2</v>
      </c>
      <c r="AB317" s="4">
        <f t="shared" si="55"/>
        <v>5.5413148013506667E-3</v>
      </c>
      <c r="AC317">
        <v>1.1476266666666668</v>
      </c>
      <c r="AD317" s="2">
        <v>5.7378</v>
      </c>
      <c r="AE317" s="2">
        <v>2.2315999999999998</v>
      </c>
      <c r="AF317" s="2">
        <f t="shared" si="56"/>
        <v>3.5062000000000002</v>
      </c>
      <c r="AG317" s="2">
        <v>1.083973333333333</v>
      </c>
      <c r="AH317" s="1">
        <f t="shared" si="57"/>
        <v>76.384915021364492</v>
      </c>
      <c r="AI317" s="1">
        <f t="shared" si="58"/>
        <v>23.615084978635508</v>
      </c>
      <c r="AJ317" s="1">
        <f t="shared" si="59"/>
        <v>1.1807542489317755</v>
      </c>
      <c r="AK317" s="8">
        <v>7.3400000000000354E-2</v>
      </c>
      <c r="AL317" s="9">
        <v>74.326687653025388</v>
      </c>
      <c r="AM317" s="10">
        <v>3.7163343826512696</v>
      </c>
      <c r="AN317" s="9">
        <v>37.163343826512694</v>
      </c>
      <c r="AO317" s="11">
        <v>3.7174240064426325</v>
      </c>
      <c r="AP317" s="2">
        <v>3.8862406249999992</v>
      </c>
      <c r="AQ317" s="2">
        <f t="shared" si="60"/>
        <v>0.21180011406249996</v>
      </c>
      <c r="AR317" s="2">
        <v>1.1811346172969757</v>
      </c>
      <c r="AS317" s="2">
        <v>0.27892594358676215</v>
      </c>
      <c r="AT317" s="2">
        <f t="shared" si="61"/>
        <v>2.7892594358676217E-2</v>
      </c>
      <c r="AU317" s="2">
        <f t="shared" si="62"/>
        <v>2.5687730798472343E-2</v>
      </c>
      <c r="AV317" s="2">
        <f t="shared" si="63"/>
        <v>3.9687544083639769E-3</v>
      </c>
      <c r="AW317" s="3">
        <f t="shared" si="64"/>
        <v>15.45</v>
      </c>
    </row>
    <row r="318" spans="1:49" s="12" customFormat="1" x14ac:dyDescent="0.2">
      <c r="A318" t="s">
        <v>45</v>
      </c>
      <c r="B318" s="5" t="s">
        <v>46</v>
      </c>
      <c r="C318" s="5" t="s">
        <v>363</v>
      </c>
      <c r="D318" s="5" t="s">
        <v>373</v>
      </c>
      <c r="E318">
        <v>10</v>
      </c>
      <c r="F318" s="6">
        <v>389</v>
      </c>
      <c r="G318" s="3">
        <v>2.2000000000000002</v>
      </c>
      <c r="H318" s="3">
        <v>2.2999999999999998</v>
      </c>
      <c r="I318" s="3">
        <v>1.05</v>
      </c>
      <c r="J318" s="3">
        <v>19.29000000000002</v>
      </c>
      <c r="K318" s="3">
        <v>20.340000000000032</v>
      </c>
      <c r="L318" s="3">
        <v>19.815000000000055</v>
      </c>
      <c r="M318" s="1">
        <v>0.19</v>
      </c>
      <c r="N318" s="3">
        <v>379.29</v>
      </c>
      <c r="O318" s="3">
        <v>380.34000000000003</v>
      </c>
      <c r="P318" s="3">
        <v>379.81500000000005</v>
      </c>
      <c r="Q318" s="3">
        <v>378.29</v>
      </c>
      <c r="R318" s="3">
        <v>379.34000000000003</v>
      </c>
      <c r="S318" s="3">
        <v>378.8</v>
      </c>
      <c r="T318" s="3">
        <v>378.8</v>
      </c>
      <c r="U318" s="7">
        <f t="shared" si="52"/>
        <v>0.52500000000000568</v>
      </c>
      <c r="V318" s="3">
        <v>4582.6099999999997</v>
      </c>
      <c r="W318" s="3">
        <v>5158.95</v>
      </c>
      <c r="X318" s="3">
        <v>4901</v>
      </c>
      <c r="Y318" s="3">
        <v>4892.18</v>
      </c>
      <c r="Z318" s="3">
        <f t="shared" si="53"/>
        <v>288.17000000000007</v>
      </c>
      <c r="AA318" s="4">
        <f t="shared" si="54"/>
        <v>9.2095165003838228E-2</v>
      </c>
      <c r="AB318" s="4">
        <f t="shared" si="55"/>
        <v>5.5524327897773715E-3</v>
      </c>
      <c r="AC318">
        <v>1.1476266666666668</v>
      </c>
      <c r="AD318" s="2">
        <v>5.9013999999999998</v>
      </c>
      <c r="AE318" s="2">
        <v>2.2092000000000001</v>
      </c>
      <c r="AF318" s="2">
        <f t="shared" si="56"/>
        <v>3.6921999999999997</v>
      </c>
      <c r="AG318" s="2">
        <v>1.0615733333333333</v>
      </c>
      <c r="AH318" s="1">
        <f t="shared" si="57"/>
        <v>77.668827289479509</v>
      </c>
      <c r="AI318" s="1">
        <f t="shared" si="58"/>
        <v>22.331172710520491</v>
      </c>
      <c r="AJ318" s="1">
        <f t="shared" si="59"/>
        <v>1.1165586355260246</v>
      </c>
      <c r="AK318" s="8">
        <v>0.11340000000000039</v>
      </c>
      <c r="AL318" s="9">
        <v>73.572593800978709</v>
      </c>
      <c r="AM318" s="10">
        <v>3.6786296900489357</v>
      </c>
      <c r="AN318" s="9">
        <v>36.786296900489354</v>
      </c>
      <c r="AO318" s="11">
        <v>3.679730478786392</v>
      </c>
      <c r="AP318" s="2">
        <v>4.1727656250000003</v>
      </c>
      <c r="AQ318" s="2">
        <f t="shared" si="60"/>
        <v>0.23158849218750002</v>
      </c>
      <c r="AR318" s="2">
        <v>1.1392380403184836</v>
      </c>
      <c r="AS318" s="2">
        <v>0.2544052143674696</v>
      </c>
      <c r="AT318" s="2">
        <f t="shared" si="61"/>
        <v>2.5440521436746962E-2</v>
      </c>
      <c r="AU318" s="2">
        <f t="shared" si="62"/>
        <v>2.3429490195008947E-2</v>
      </c>
      <c r="AV318" s="2">
        <f t="shared" si="63"/>
        <v>3.6432857253238912E-3</v>
      </c>
      <c r="AW318" s="3">
        <f t="shared" si="64"/>
        <v>15.55</v>
      </c>
    </row>
    <row r="319" spans="1:49" s="12" customFormat="1" x14ac:dyDescent="0.2">
      <c r="A319" t="s">
        <v>45</v>
      </c>
      <c r="B319" s="5" t="s">
        <v>46</v>
      </c>
      <c r="C319" s="5" t="s">
        <v>363</v>
      </c>
      <c r="D319" s="5" t="s">
        <v>374</v>
      </c>
      <c r="E319">
        <v>10</v>
      </c>
      <c r="F319" s="6">
        <v>390</v>
      </c>
      <c r="G319" s="3">
        <v>2.1</v>
      </c>
      <c r="H319" s="3">
        <v>2.35</v>
      </c>
      <c r="I319" s="3">
        <v>1</v>
      </c>
      <c r="J319" s="3">
        <v>20.53000000000003</v>
      </c>
      <c r="K319" s="3">
        <v>21.53000000000003</v>
      </c>
      <c r="L319" s="3">
        <v>21.03000000000003</v>
      </c>
      <c r="M319" s="1">
        <v>0.19</v>
      </c>
      <c r="N319" s="3">
        <v>380.53000000000003</v>
      </c>
      <c r="O319" s="3">
        <v>381.53000000000003</v>
      </c>
      <c r="P319" s="3">
        <v>381.03000000000003</v>
      </c>
      <c r="Q319" s="3">
        <v>379.53000000000003</v>
      </c>
      <c r="R319" s="3">
        <v>380.53000000000003</v>
      </c>
      <c r="S319" s="3">
        <v>380</v>
      </c>
      <c r="T319" s="3">
        <v>380</v>
      </c>
      <c r="U319" s="7">
        <f t="shared" si="52"/>
        <v>0.5</v>
      </c>
      <c r="V319" s="3">
        <v>4589.05</v>
      </c>
      <c r="W319" s="3">
        <v>5171.2</v>
      </c>
      <c r="X319" s="3">
        <v>4915.0600000000004</v>
      </c>
      <c r="Y319" s="3">
        <v>4905.21</v>
      </c>
      <c r="Z319" s="3">
        <f t="shared" si="53"/>
        <v>291.07499999999982</v>
      </c>
      <c r="AA319" s="4">
        <f t="shared" si="54"/>
        <v>9.1324200913238868E-2</v>
      </c>
      <c r="AB319" s="4">
        <f t="shared" si="55"/>
        <v>5.5393384995335183E-3</v>
      </c>
      <c r="AC319">
        <v>1.1476266666666668</v>
      </c>
      <c r="AD319" s="2">
        <v>5.5113000000000003</v>
      </c>
      <c r="AE319" s="2">
        <v>2.0775000000000001</v>
      </c>
      <c r="AF319" s="2">
        <f t="shared" si="56"/>
        <v>3.4338000000000002</v>
      </c>
      <c r="AG319" s="2">
        <v>0.92987333333333333</v>
      </c>
      <c r="AH319" s="1">
        <f t="shared" si="57"/>
        <v>78.690583315891359</v>
      </c>
      <c r="AI319" s="1">
        <f t="shared" si="58"/>
        <v>21.309416684108641</v>
      </c>
      <c r="AJ319" s="1">
        <f t="shared" si="59"/>
        <v>1.065470834205432</v>
      </c>
      <c r="AK319" s="8">
        <v>0.11770000000000014</v>
      </c>
      <c r="AL319" s="9">
        <v>74.726218595662417</v>
      </c>
      <c r="AM319" s="10">
        <v>3.7363109297831212</v>
      </c>
      <c r="AN319" s="9">
        <v>37.363109297831208</v>
      </c>
      <c r="AO319" s="11">
        <v>3.737394729489623</v>
      </c>
      <c r="AP319" s="2">
        <v>3.8862406250000006</v>
      </c>
      <c r="AQ319" s="2">
        <f t="shared" si="60"/>
        <v>0.21180011406250002</v>
      </c>
      <c r="AR319" s="2">
        <v>1.1228520707807004</v>
      </c>
      <c r="AS319" s="2">
        <v>0.23927322650880198</v>
      </c>
      <c r="AT319" s="2">
        <f t="shared" si="61"/>
        <v>2.3927322650880198E-2</v>
      </c>
      <c r="AU319" s="2">
        <f t="shared" si="62"/>
        <v>2.1851436210848743E-2</v>
      </c>
      <c r="AV319" s="2">
        <f t="shared" si="63"/>
        <v>3.3760468945761308E-3</v>
      </c>
      <c r="AW319" s="3">
        <f t="shared" si="64"/>
        <v>15.45</v>
      </c>
    </row>
    <row r="320" spans="1:49" s="12" customFormat="1" x14ac:dyDescent="0.2">
      <c r="A320" t="s">
        <v>45</v>
      </c>
      <c r="B320" s="5" t="s">
        <v>46</v>
      </c>
      <c r="C320" s="5" t="s">
        <v>363</v>
      </c>
      <c r="D320" s="5" t="s">
        <v>375</v>
      </c>
      <c r="E320">
        <v>10</v>
      </c>
      <c r="F320" s="6">
        <v>391</v>
      </c>
      <c r="G320" s="3">
        <v>2.2999999999999998</v>
      </c>
      <c r="H320" s="3">
        <v>2.1</v>
      </c>
      <c r="I320" s="3">
        <v>1</v>
      </c>
      <c r="J320" s="3">
        <v>21.720000000000027</v>
      </c>
      <c r="K320" s="3">
        <v>22.720000000000027</v>
      </c>
      <c r="L320" s="3">
        <v>22.220000000000027</v>
      </c>
      <c r="M320" s="1">
        <v>0.19</v>
      </c>
      <c r="N320" s="3">
        <v>381.72</v>
      </c>
      <c r="O320" s="3">
        <v>382.72</v>
      </c>
      <c r="P320" s="3">
        <v>382.22</v>
      </c>
      <c r="Q320" s="3">
        <v>380.72</v>
      </c>
      <c r="R320" s="3">
        <v>381.72</v>
      </c>
      <c r="S320" s="3">
        <v>381.2</v>
      </c>
      <c r="T320" s="3">
        <v>381.2</v>
      </c>
      <c r="U320" s="7">
        <f t="shared" si="52"/>
        <v>0.5</v>
      </c>
      <c r="V320" s="3">
        <v>4616.16</v>
      </c>
      <c r="W320" s="3">
        <v>5180.01</v>
      </c>
      <c r="X320" s="3">
        <v>4927.93</v>
      </c>
      <c r="Y320" s="3">
        <v>4918.3500000000004</v>
      </c>
      <c r="Z320" s="3">
        <f t="shared" si="53"/>
        <v>281.92500000000018</v>
      </c>
      <c r="AA320" s="4">
        <f t="shared" si="54"/>
        <v>9.1324200913245196E-2</v>
      </c>
      <c r="AB320" s="4">
        <f t="shared" si="55"/>
        <v>5.3545844950929709E-3</v>
      </c>
      <c r="AC320">
        <v>1.1476266666666668</v>
      </c>
      <c r="AD320" s="2">
        <v>5.6645000000000003</v>
      </c>
      <c r="AE320" s="2">
        <v>2.1286</v>
      </c>
      <c r="AF320" s="2">
        <f t="shared" si="56"/>
        <v>3.5359000000000003</v>
      </c>
      <c r="AG320" s="2">
        <v>0.98097333333333325</v>
      </c>
      <c r="AH320" s="1">
        <f t="shared" si="57"/>
        <v>78.282026947844457</v>
      </c>
      <c r="AI320" s="1">
        <f t="shared" si="58"/>
        <v>21.717973052155543</v>
      </c>
      <c r="AJ320" s="1">
        <f t="shared" si="59"/>
        <v>1.0858986526077772</v>
      </c>
      <c r="AK320" s="8">
        <v>0.15979999999999972</v>
      </c>
      <c r="AL320" s="9">
        <v>64.801762114537482</v>
      </c>
      <c r="AM320" s="10">
        <v>3.2400881057268744</v>
      </c>
      <c r="AN320" s="9">
        <v>32.400881057268741</v>
      </c>
      <c r="AO320" s="11">
        <v>3.2413378307224883</v>
      </c>
      <c r="AP320" s="2">
        <v>3.7994000000000008</v>
      </c>
      <c r="AQ320" s="2">
        <f t="shared" si="60"/>
        <v>0.20516760000000003</v>
      </c>
      <c r="AR320" s="2">
        <v>1.1888385885490691</v>
      </c>
      <c r="AS320" s="2">
        <v>0.25819164429471314</v>
      </c>
      <c r="AT320" s="2">
        <f t="shared" si="61"/>
        <v>2.5819164429471315E-2</v>
      </c>
      <c r="AU320" s="2">
        <f t="shared" si="62"/>
        <v>2.3579145597691521E-2</v>
      </c>
      <c r="AV320" s="2">
        <f t="shared" si="63"/>
        <v>3.631188422044494E-3</v>
      </c>
      <c r="AW320" s="3">
        <f t="shared" si="64"/>
        <v>15.4</v>
      </c>
    </row>
    <row r="321" spans="1:49" s="12" customFormat="1" x14ac:dyDescent="0.2">
      <c r="A321" t="s">
        <v>45</v>
      </c>
      <c r="B321" s="5" t="s">
        <v>46</v>
      </c>
      <c r="C321" s="5" t="s">
        <v>363</v>
      </c>
      <c r="D321" s="5" t="s">
        <v>376</v>
      </c>
      <c r="E321">
        <v>10</v>
      </c>
      <c r="F321" s="6">
        <v>392</v>
      </c>
      <c r="G321" s="3">
        <v>2.0499999999999998</v>
      </c>
      <c r="H321" s="3">
        <v>2.2999999999999998</v>
      </c>
      <c r="I321" s="3">
        <v>1.05</v>
      </c>
      <c r="J321" s="3">
        <v>22.910000000000025</v>
      </c>
      <c r="K321" s="3">
        <v>23.960000000000036</v>
      </c>
      <c r="L321" s="3">
        <v>23.435000000000059</v>
      </c>
      <c r="M321" s="1">
        <v>0.19</v>
      </c>
      <c r="N321" s="3">
        <v>382.91</v>
      </c>
      <c r="O321" s="3">
        <v>383.96000000000004</v>
      </c>
      <c r="P321" s="3">
        <v>383.43500000000006</v>
      </c>
      <c r="Q321" s="3">
        <v>381.91</v>
      </c>
      <c r="R321" s="3">
        <v>382.96000000000004</v>
      </c>
      <c r="S321" s="3">
        <v>382.4</v>
      </c>
      <c r="T321" s="3">
        <v>382.4</v>
      </c>
      <c r="U321" s="7">
        <f t="shared" si="52"/>
        <v>0.52500000000000568</v>
      </c>
      <c r="V321" s="3">
        <v>4637.01</v>
      </c>
      <c r="W321" s="3">
        <v>5184.82</v>
      </c>
      <c r="X321" s="3">
        <v>4940.4399999999996</v>
      </c>
      <c r="Y321" s="3">
        <v>4931.49</v>
      </c>
      <c r="Z321" s="3">
        <f t="shared" si="53"/>
        <v>273.90499999999975</v>
      </c>
      <c r="AA321" s="4">
        <f t="shared" si="54"/>
        <v>9.1254752851710697E-2</v>
      </c>
      <c r="AB321" s="4">
        <f t="shared" si="55"/>
        <v>5.1937592341267675E-3</v>
      </c>
      <c r="AC321">
        <v>1.1476266666666668</v>
      </c>
      <c r="AD321" s="2">
        <v>5.7514000000000003</v>
      </c>
      <c r="AE321" s="2">
        <v>2.4329000000000001</v>
      </c>
      <c r="AF321" s="2">
        <f t="shared" si="56"/>
        <v>3.3185000000000002</v>
      </c>
      <c r="AG321" s="2">
        <v>1.2852733333333333</v>
      </c>
      <c r="AH321" s="1">
        <f t="shared" si="57"/>
        <v>72.082176070064264</v>
      </c>
      <c r="AI321" s="1">
        <f t="shared" si="58"/>
        <v>27.917823929935736</v>
      </c>
      <c r="AJ321" s="1">
        <f t="shared" si="59"/>
        <v>1.3958911964967868</v>
      </c>
      <c r="AK321" s="8">
        <v>0.10839999999999961</v>
      </c>
      <c r="AL321" s="9">
        <v>71.116440181188437</v>
      </c>
      <c r="AM321" s="10">
        <v>3.5558220090594221</v>
      </c>
      <c r="AN321" s="9">
        <v>35.558220090594219</v>
      </c>
      <c r="AO321" s="11">
        <v>3.5569608038480527</v>
      </c>
      <c r="AP321" s="2">
        <v>3.8992176562499994</v>
      </c>
      <c r="AQ321" s="2">
        <f t="shared" si="60"/>
        <v>0.21055775343749997</v>
      </c>
      <c r="AR321" s="2">
        <v>1.1806915487146536</v>
      </c>
      <c r="AS321" s="2">
        <v>0.32962338772578836</v>
      </c>
      <c r="AT321" s="2">
        <f t="shared" si="61"/>
        <v>3.2962338772578835E-2</v>
      </c>
      <c r="AU321" s="2">
        <f t="shared" si="62"/>
        <v>3.0079700781060426E-2</v>
      </c>
      <c r="AV321" s="2">
        <f t="shared" si="63"/>
        <v>4.6322739202833054E-3</v>
      </c>
      <c r="AW321" s="3">
        <f t="shared" si="64"/>
        <v>15.4</v>
      </c>
    </row>
    <row r="322" spans="1:49" s="12" customFormat="1" x14ac:dyDescent="0.2">
      <c r="A322" t="s">
        <v>45</v>
      </c>
      <c r="B322" s="5" t="s">
        <v>46</v>
      </c>
      <c r="C322" s="5" t="s">
        <v>363</v>
      </c>
      <c r="D322" s="5" t="s">
        <v>377</v>
      </c>
      <c r="E322">
        <v>10</v>
      </c>
      <c r="F322" s="6">
        <v>393</v>
      </c>
      <c r="G322" s="3">
        <v>2.25</v>
      </c>
      <c r="H322" s="3">
        <v>2.25</v>
      </c>
      <c r="I322" s="3">
        <v>0.9</v>
      </c>
      <c r="J322" s="3">
        <v>24.150000000000034</v>
      </c>
      <c r="K322" s="3">
        <v>25.050000000000011</v>
      </c>
      <c r="L322" s="3">
        <v>24.600000000000023</v>
      </c>
      <c r="M322" s="1">
        <v>0.19</v>
      </c>
      <c r="N322" s="3">
        <v>384.15000000000003</v>
      </c>
      <c r="O322" s="3">
        <v>385.05</v>
      </c>
      <c r="P322" s="3">
        <v>384.6</v>
      </c>
      <c r="Q322" s="3">
        <v>383.15000000000003</v>
      </c>
      <c r="R322" s="3">
        <v>384.05</v>
      </c>
      <c r="S322" s="3">
        <v>383.6</v>
      </c>
      <c r="T322" s="3">
        <v>383.6</v>
      </c>
      <c r="U322" s="7">
        <f t="shared" si="52"/>
        <v>0.44999999999998863</v>
      </c>
      <c r="V322" s="3">
        <v>4655.09</v>
      </c>
      <c r="W322" s="3">
        <v>5193.28</v>
      </c>
      <c r="X322" s="3">
        <v>4953.01</v>
      </c>
      <c r="Y322" s="3">
        <v>4944.6400000000003</v>
      </c>
      <c r="Z322" s="3">
        <f t="shared" si="53"/>
        <v>269.0949999999998</v>
      </c>
      <c r="AA322" s="4">
        <f t="shared" si="54"/>
        <v>9.1362126245844624E-2</v>
      </c>
      <c r="AB322" s="4">
        <f t="shared" si="55"/>
        <v>5.0792456546428803E-3</v>
      </c>
      <c r="AC322">
        <v>1.1476266666666668</v>
      </c>
      <c r="AD322" s="2">
        <v>5.3038999999999996</v>
      </c>
      <c r="AE322" s="2">
        <v>2.1379000000000001</v>
      </c>
      <c r="AF322" s="2">
        <f t="shared" si="56"/>
        <v>3.1659999999999995</v>
      </c>
      <c r="AG322" s="2">
        <v>0.99027333333333334</v>
      </c>
      <c r="AH322" s="1">
        <f t="shared" si="57"/>
        <v>76.174008446669362</v>
      </c>
      <c r="AI322" s="1">
        <f t="shared" si="58"/>
        <v>23.825991553330638</v>
      </c>
      <c r="AJ322" s="1">
        <f t="shared" si="59"/>
        <v>1.1912995776665321</v>
      </c>
      <c r="AK322" s="8">
        <v>0.16020000000000056</v>
      </c>
      <c r="AL322" s="9">
        <v>70.761087789742561</v>
      </c>
      <c r="AM322" s="10">
        <v>3.5380543894871281</v>
      </c>
      <c r="AN322" s="9">
        <v>35.38054389487128</v>
      </c>
      <c r="AO322" s="11">
        <v>3.5391989013008489</v>
      </c>
      <c r="AP322" s="2">
        <v>3.5766562500000001</v>
      </c>
      <c r="AQ322" s="2">
        <f t="shared" si="60"/>
        <v>0.19313943750000001</v>
      </c>
      <c r="AR322" s="2">
        <v>1.1620555744861791</v>
      </c>
      <c r="AS322" s="2">
        <v>0.27687126302208476</v>
      </c>
      <c r="AT322" s="2">
        <f t="shared" si="61"/>
        <v>2.7687126302208476E-2</v>
      </c>
      <c r="AU322" s="2">
        <f t="shared" si="62"/>
        <v>2.5295547286070159E-2</v>
      </c>
      <c r="AV322" s="2">
        <f t="shared" si="63"/>
        <v>3.8955142820548045E-3</v>
      </c>
      <c r="AW322" s="3">
        <f t="shared" si="64"/>
        <v>15.4</v>
      </c>
    </row>
    <row r="323" spans="1:49" s="12" customFormat="1" x14ac:dyDescent="0.2">
      <c r="A323" t="s">
        <v>45</v>
      </c>
      <c r="B323" s="5" t="s">
        <v>46</v>
      </c>
      <c r="C323" s="5" t="s">
        <v>363</v>
      </c>
      <c r="D323" s="5" t="s">
        <v>378</v>
      </c>
      <c r="E323">
        <v>10</v>
      </c>
      <c r="F323" s="6">
        <v>394</v>
      </c>
      <c r="G323" s="3">
        <v>2.25</v>
      </c>
      <c r="H323" s="3">
        <v>2.25</v>
      </c>
      <c r="I323" s="3">
        <v>0.95</v>
      </c>
      <c r="J323" s="3">
        <v>25.240000000000009</v>
      </c>
      <c r="K323" s="3">
        <v>26.189999999999998</v>
      </c>
      <c r="L323" s="3">
        <v>25.715000000000032</v>
      </c>
      <c r="M323" s="1">
        <v>0.19</v>
      </c>
      <c r="N323" s="3">
        <v>385.24</v>
      </c>
      <c r="O323" s="3">
        <v>386.19</v>
      </c>
      <c r="P323" s="3">
        <v>385.71500000000003</v>
      </c>
      <c r="Q323" s="3">
        <v>384.24</v>
      </c>
      <c r="R323" s="3">
        <v>385.19</v>
      </c>
      <c r="S323" s="3">
        <v>384.7</v>
      </c>
      <c r="T323" s="3">
        <v>384.7</v>
      </c>
      <c r="U323" s="7">
        <f t="shared" ref="U323:U386" si="65">((R323-S323)+(S323-Q323))/2</f>
        <v>0.47499999999999432</v>
      </c>
      <c r="V323" s="3">
        <v>4664.46</v>
      </c>
      <c r="W323" s="3">
        <v>5202.47</v>
      </c>
      <c r="X323" s="3">
        <v>4965.25</v>
      </c>
      <c r="Y323" s="3">
        <v>4956.68</v>
      </c>
      <c r="Z323" s="3">
        <f t="shared" ref="Z323:Z386" si="66">((W323-Y323)+(Y323-V323))/2</f>
        <v>269.00500000000011</v>
      </c>
      <c r="AA323" s="4">
        <f t="shared" ref="AA323:AA386" si="67">(T324-T323)/(Y324-Y323)</f>
        <v>9.1254752851712681E-2</v>
      </c>
      <c r="AB323" s="4">
        <f t="shared" ref="AB323:AB386" si="68">AA323*((Z323/Y323)+(U323/T323))</f>
        <v>5.0651802968373089E-3</v>
      </c>
      <c r="AC323">
        <v>1.1476266666666668</v>
      </c>
      <c r="AD323" s="2">
        <v>5.3552999999999997</v>
      </c>
      <c r="AE323" s="2">
        <v>2.0089000000000001</v>
      </c>
      <c r="AF323" s="2">
        <f t="shared" ref="AF323:AF386" si="69">AD323-AE323</f>
        <v>3.3463999999999996</v>
      </c>
      <c r="AG323" s="2">
        <v>0.86127333333333334</v>
      </c>
      <c r="AH323" s="1">
        <f t="shared" ref="AH323:AH386" si="70">((AD323-AC323)-(AE323-AC323))/(AD323-AC323)*100</f>
        <v>79.530888804739291</v>
      </c>
      <c r="AI323" s="1">
        <f t="shared" ref="AI323:AI386" si="71">100-AH323</f>
        <v>20.469111195260709</v>
      </c>
      <c r="AJ323" s="1">
        <f t="shared" ref="AJ323:AJ386" si="72">AI323*0.05</f>
        <v>1.0234555597630355</v>
      </c>
      <c r="AK323" s="8">
        <v>8.8000000000000078E-2</v>
      </c>
      <c r="AL323" s="9">
        <v>78.452497551420137</v>
      </c>
      <c r="AM323" s="10">
        <v>3.9226248775710069</v>
      </c>
      <c r="AN323" s="9">
        <v>39.226248775710069</v>
      </c>
      <c r="AO323" s="11">
        <v>3.9236572136386938</v>
      </c>
      <c r="AP323" s="2">
        <v>3.7753593750000003</v>
      </c>
      <c r="AQ323" s="2">
        <f t="shared" ref="AQ323:AQ386" si="73">AP323*((G323*0.01)+(H323*0.01)+(I323*0.01))</f>
        <v>0.20575708593750003</v>
      </c>
      <c r="AR323" s="2">
        <v>1.1145093527244232</v>
      </c>
      <c r="AS323" s="2">
        <v>0.22813015869074271</v>
      </c>
      <c r="AT323" s="2">
        <f t="shared" ref="AT323:AT386" si="74">AS323*0.1</f>
        <v>2.2813015869074273E-2</v>
      </c>
      <c r="AU323" s="2">
        <f t="shared" ref="AU323:AU386" si="75">AS323*AA323</f>
        <v>2.0817961249345721E-2</v>
      </c>
      <c r="AV323" s="2">
        <f t="shared" ref="AV323:AV386" si="76">AU323*((AT323/AS323)+(AQ323/AP323))</f>
        <v>3.2163750130239136E-3</v>
      </c>
      <c r="AW323" s="3">
        <f t="shared" ref="AW323:AW386" si="77">(AV323/AU323)*100</f>
        <v>15.45</v>
      </c>
    </row>
    <row r="324" spans="1:49" s="12" customFormat="1" x14ac:dyDescent="0.2">
      <c r="A324" t="s">
        <v>45</v>
      </c>
      <c r="B324" s="5" t="s">
        <v>46</v>
      </c>
      <c r="C324" s="5" t="s">
        <v>363</v>
      </c>
      <c r="D324" s="5" t="s">
        <v>379</v>
      </c>
      <c r="E324">
        <v>10</v>
      </c>
      <c r="F324" s="6">
        <v>395</v>
      </c>
      <c r="G324" s="3">
        <v>2.2000000000000002</v>
      </c>
      <c r="H324" s="3">
        <v>2.25</v>
      </c>
      <c r="I324" s="3">
        <v>1.1000000000000001</v>
      </c>
      <c r="J324" s="3">
        <v>26.379999999999995</v>
      </c>
      <c r="K324" s="3">
        <v>27.480000000000018</v>
      </c>
      <c r="L324" s="3">
        <v>26.930000000000007</v>
      </c>
      <c r="M324" s="1">
        <v>0.19</v>
      </c>
      <c r="N324" s="3">
        <v>386.38</v>
      </c>
      <c r="O324" s="3">
        <v>387.48</v>
      </c>
      <c r="P324" s="3">
        <v>386.93</v>
      </c>
      <c r="Q324" s="3">
        <v>385.38</v>
      </c>
      <c r="R324" s="3">
        <v>386.48</v>
      </c>
      <c r="S324" s="3">
        <v>385.9</v>
      </c>
      <c r="T324" s="3">
        <v>385.9</v>
      </c>
      <c r="U324" s="7">
        <f t="shared" si="65"/>
        <v>0.55000000000001137</v>
      </c>
      <c r="V324" s="3">
        <v>4676.2700000000004</v>
      </c>
      <c r="W324" s="3">
        <v>5208.33</v>
      </c>
      <c r="X324" s="3">
        <v>4978.82</v>
      </c>
      <c r="Y324" s="3">
        <v>4969.83</v>
      </c>
      <c r="Z324" s="3">
        <f t="shared" si="66"/>
        <v>266.02999999999975</v>
      </c>
      <c r="AA324" s="4">
        <f t="shared" si="67"/>
        <v>9.13562895291615E-2</v>
      </c>
      <c r="AB324" s="4">
        <f t="shared" si="68"/>
        <v>5.0204148800816594E-3</v>
      </c>
      <c r="AC324">
        <v>1.1476266666666668</v>
      </c>
      <c r="AD324" s="2">
        <v>6.3331999999999997</v>
      </c>
      <c r="AE324" s="2">
        <v>2.2585000000000002</v>
      </c>
      <c r="AF324" s="2">
        <f t="shared" si="69"/>
        <v>4.0747</v>
      </c>
      <c r="AG324" s="2">
        <v>1.1108733333333334</v>
      </c>
      <c r="AH324" s="1">
        <f t="shared" si="70"/>
        <v>78.577617904031186</v>
      </c>
      <c r="AI324" s="1">
        <f t="shared" si="71"/>
        <v>21.422382095968814</v>
      </c>
      <c r="AJ324" s="1">
        <f t="shared" si="72"/>
        <v>1.0711191047984407</v>
      </c>
      <c r="AK324" s="8">
        <v>0.10699999999999932</v>
      </c>
      <c r="AL324" s="9">
        <v>79.411198768520407</v>
      </c>
      <c r="AM324" s="10">
        <v>3.9705599384260206</v>
      </c>
      <c r="AN324" s="9">
        <v>39.705599384260204</v>
      </c>
      <c r="AO324" s="11">
        <v>3.9715798147127352</v>
      </c>
      <c r="AP324" s="2">
        <v>4.2748646875000009</v>
      </c>
      <c r="AQ324" s="2">
        <f t="shared" si="73"/>
        <v>0.23725499015625007</v>
      </c>
      <c r="AR324" s="2">
        <v>1.2130380052721452</v>
      </c>
      <c r="AS324" s="2">
        <v>0.25986163645871729</v>
      </c>
      <c r="AT324" s="2">
        <f t="shared" si="74"/>
        <v>2.5986163645871731E-2</v>
      </c>
      <c r="AU324" s="2">
        <f t="shared" si="75"/>
        <v>2.3739994897844285E-2</v>
      </c>
      <c r="AV324" s="2">
        <f t="shared" si="76"/>
        <v>3.6915692066147865E-3</v>
      </c>
      <c r="AW324" s="3">
        <f t="shared" si="77"/>
        <v>15.55</v>
      </c>
    </row>
    <row r="325" spans="1:49" s="12" customFormat="1" x14ac:dyDescent="0.2">
      <c r="A325" t="s">
        <v>45</v>
      </c>
      <c r="B325" s="5" t="s">
        <v>46</v>
      </c>
      <c r="C325" s="5" t="s">
        <v>363</v>
      </c>
      <c r="D325" s="5" t="s">
        <v>380</v>
      </c>
      <c r="E325">
        <v>10</v>
      </c>
      <c r="F325" s="6">
        <v>396</v>
      </c>
      <c r="G325" s="3">
        <v>2.4</v>
      </c>
      <c r="H325" s="3">
        <v>2.4</v>
      </c>
      <c r="I325" s="3">
        <v>1.1000000000000001</v>
      </c>
      <c r="J325" s="3">
        <v>27.670000000000016</v>
      </c>
      <c r="K325" s="3">
        <v>28.770000000000039</v>
      </c>
      <c r="L325" s="3">
        <v>28.220000000000027</v>
      </c>
      <c r="M325" s="1">
        <v>0.19</v>
      </c>
      <c r="N325" s="3">
        <v>387.67</v>
      </c>
      <c r="O325" s="3">
        <v>388.77000000000004</v>
      </c>
      <c r="P325" s="3">
        <v>388.22</v>
      </c>
      <c r="Q325" s="3">
        <v>386.67</v>
      </c>
      <c r="R325" s="3">
        <v>387.77000000000004</v>
      </c>
      <c r="S325" s="3">
        <v>387.2</v>
      </c>
      <c r="T325" s="3">
        <v>387.2</v>
      </c>
      <c r="U325" s="7">
        <f t="shared" si="65"/>
        <v>0.55000000000001137</v>
      </c>
      <c r="V325" s="3">
        <v>4691.26</v>
      </c>
      <c r="W325" s="3">
        <v>5219.72</v>
      </c>
      <c r="X325" s="3">
        <v>4993.8900000000003</v>
      </c>
      <c r="Y325" s="3">
        <v>4984.0600000000004</v>
      </c>
      <c r="Z325" s="3">
        <f t="shared" si="66"/>
        <v>264.23</v>
      </c>
      <c r="AA325" s="4">
        <f t="shared" si="67"/>
        <v>9.1292134831462868E-2</v>
      </c>
      <c r="AB325" s="4">
        <f t="shared" si="68"/>
        <v>4.9695299384997279E-3</v>
      </c>
      <c r="AC325">
        <v>1.1476266666666668</v>
      </c>
      <c r="AD325" s="2">
        <v>6.7576000000000001</v>
      </c>
      <c r="AE325" s="2">
        <v>2.2526999999999999</v>
      </c>
      <c r="AF325" s="2">
        <f t="shared" si="69"/>
        <v>4.5049000000000001</v>
      </c>
      <c r="AG325" s="2">
        <v>1.1050733333333331</v>
      </c>
      <c r="AH325" s="1">
        <f t="shared" si="70"/>
        <v>80.301629478928007</v>
      </c>
      <c r="AI325" s="1">
        <f t="shared" si="71"/>
        <v>19.698370521071993</v>
      </c>
      <c r="AJ325" s="1">
        <f t="shared" si="72"/>
        <v>0.98491852605359975</v>
      </c>
      <c r="AK325" s="8">
        <v>6.8699999999999761E-2</v>
      </c>
      <c r="AL325" s="9">
        <v>82.990839316662601</v>
      </c>
      <c r="AM325" s="10">
        <v>4.1495419658331301</v>
      </c>
      <c r="AN325" s="9">
        <v>41.495419658331301</v>
      </c>
      <c r="AO325" s="11">
        <v>4.1505178624131087</v>
      </c>
      <c r="AP325" s="2">
        <v>4.9737599999999995</v>
      </c>
      <c r="AQ325" s="2">
        <f t="shared" si="73"/>
        <v>0.29345183999999996</v>
      </c>
      <c r="AR325" s="2">
        <v>1.1279139591241503</v>
      </c>
      <c r="AS325" s="2">
        <v>0.22218067082716764</v>
      </c>
      <c r="AT325" s="2">
        <f t="shared" si="74"/>
        <v>2.2218067082716765E-2</v>
      </c>
      <c r="AU325" s="2">
        <f t="shared" si="75"/>
        <v>2.0283347758098657E-2</v>
      </c>
      <c r="AV325" s="2">
        <f t="shared" si="76"/>
        <v>3.2250522935376863E-3</v>
      </c>
      <c r="AW325" s="3">
        <f t="shared" si="77"/>
        <v>15.9</v>
      </c>
    </row>
    <row r="326" spans="1:49" s="12" customFormat="1" x14ac:dyDescent="0.2">
      <c r="A326" t="s">
        <v>45</v>
      </c>
      <c r="B326" s="5" t="s">
        <v>46</v>
      </c>
      <c r="C326" s="5" t="s">
        <v>363</v>
      </c>
      <c r="D326" s="5" t="s">
        <v>381</v>
      </c>
      <c r="E326">
        <v>10</v>
      </c>
      <c r="F326" s="6">
        <v>397</v>
      </c>
      <c r="G326" s="3">
        <v>2.2000000000000002</v>
      </c>
      <c r="H326" s="3">
        <v>2.4</v>
      </c>
      <c r="I326" s="3">
        <v>1</v>
      </c>
      <c r="J326" s="3">
        <v>28.960000000000036</v>
      </c>
      <c r="K326" s="3">
        <v>29.960000000000036</v>
      </c>
      <c r="L326" s="3">
        <v>29.460000000000036</v>
      </c>
      <c r="M326" s="1">
        <v>0.19</v>
      </c>
      <c r="N326" s="3">
        <v>388.96000000000004</v>
      </c>
      <c r="O326" s="3">
        <v>389.96000000000004</v>
      </c>
      <c r="P326" s="3">
        <v>389.46000000000004</v>
      </c>
      <c r="Q326" s="3">
        <v>387.96000000000004</v>
      </c>
      <c r="R326" s="3">
        <v>388.96000000000004</v>
      </c>
      <c r="S326" s="3">
        <v>388.5</v>
      </c>
      <c r="T326" s="3">
        <v>388.5</v>
      </c>
      <c r="U326" s="7">
        <f t="shared" si="65"/>
        <v>0.5</v>
      </c>
      <c r="V326" s="3">
        <v>4703.25</v>
      </c>
      <c r="W326" s="3">
        <v>5231.42</v>
      </c>
      <c r="X326" s="3">
        <v>5007.53</v>
      </c>
      <c r="Y326" s="3">
        <v>4998.3</v>
      </c>
      <c r="Z326" s="3">
        <f t="shared" si="66"/>
        <v>264.08500000000004</v>
      </c>
      <c r="AA326" s="4">
        <f t="shared" si="67"/>
        <v>9.1324200913245196E-2</v>
      </c>
      <c r="AB326" s="4">
        <f t="shared" si="68"/>
        <v>4.9426452214360733E-3</v>
      </c>
      <c r="AC326">
        <v>1.1476266666666668</v>
      </c>
      <c r="AD326" s="2">
        <v>6.3285</v>
      </c>
      <c r="AE326" s="2">
        <v>2.1349</v>
      </c>
      <c r="AF326" s="2">
        <f t="shared" si="69"/>
        <v>4.1936</v>
      </c>
      <c r="AG326" s="2">
        <v>0.98727333333333323</v>
      </c>
      <c r="AH326" s="1">
        <f t="shared" si="70"/>
        <v>80.943882048200365</v>
      </c>
      <c r="AI326" s="1">
        <f t="shared" si="71"/>
        <v>19.056117951799635</v>
      </c>
      <c r="AJ326" s="1">
        <f t="shared" si="72"/>
        <v>0.9528058975899818</v>
      </c>
      <c r="AK326" s="8">
        <v>7.690000000000019E-2</v>
      </c>
      <c r="AL326" s="9">
        <v>82.338079926504307</v>
      </c>
      <c r="AM326" s="10">
        <v>4.1169039963252159</v>
      </c>
      <c r="AN326" s="9">
        <v>41.169039963252153</v>
      </c>
      <c r="AO326" s="11">
        <v>4.1178876277720997</v>
      </c>
      <c r="AP326" s="2">
        <v>4.1526499999999995</v>
      </c>
      <c r="AQ326" s="2">
        <f t="shared" si="73"/>
        <v>0.23254839999999999</v>
      </c>
      <c r="AR326" s="2">
        <v>1.2476065484289149</v>
      </c>
      <c r="AS326" s="2">
        <v>0.23774537544299021</v>
      </c>
      <c r="AT326" s="2">
        <f t="shared" si="74"/>
        <v>2.3774537544299021E-2</v>
      </c>
      <c r="AU326" s="2">
        <f t="shared" si="75"/>
        <v>2.171190643315055E-2</v>
      </c>
      <c r="AV326" s="2">
        <f t="shared" si="76"/>
        <v>3.3870574035714859E-3</v>
      </c>
      <c r="AW326" s="3">
        <f t="shared" si="77"/>
        <v>15.6</v>
      </c>
    </row>
    <row r="327" spans="1:49" s="12" customFormat="1" x14ac:dyDescent="0.2">
      <c r="A327" t="s">
        <v>45</v>
      </c>
      <c r="B327" s="5" t="s">
        <v>46</v>
      </c>
      <c r="C327" s="5" t="s">
        <v>363</v>
      </c>
      <c r="D327" s="5" t="s">
        <v>382</v>
      </c>
      <c r="E327">
        <v>10</v>
      </c>
      <c r="F327" s="6">
        <v>398</v>
      </c>
      <c r="G327" s="3">
        <v>2.4</v>
      </c>
      <c r="H327" s="3">
        <v>2.35</v>
      </c>
      <c r="I327" s="3">
        <v>1</v>
      </c>
      <c r="J327" s="3">
        <v>30.150000000000034</v>
      </c>
      <c r="K327" s="3">
        <v>31.150000000000034</v>
      </c>
      <c r="L327" s="3">
        <v>30.650000000000034</v>
      </c>
      <c r="M327" s="1">
        <v>0.19</v>
      </c>
      <c r="N327" s="3">
        <v>390.15000000000003</v>
      </c>
      <c r="O327" s="3">
        <v>391.15000000000003</v>
      </c>
      <c r="P327" s="3">
        <v>390.65000000000003</v>
      </c>
      <c r="Q327" s="3">
        <v>389.15000000000003</v>
      </c>
      <c r="R327" s="3">
        <v>390.15000000000003</v>
      </c>
      <c r="S327" s="3">
        <v>389.7</v>
      </c>
      <c r="T327" s="3">
        <v>389.7</v>
      </c>
      <c r="U327" s="7">
        <f t="shared" si="65"/>
        <v>0.5</v>
      </c>
      <c r="V327" s="3">
        <v>4712.7</v>
      </c>
      <c r="W327" s="3">
        <v>5246.87</v>
      </c>
      <c r="X327" s="3">
        <v>5021.8599999999997</v>
      </c>
      <c r="Y327" s="3">
        <v>5011.4399999999996</v>
      </c>
      <c r="Z327" s="3">
        <f t="shared" si="66"/>
        <v>267.08500000000004</v>
      </c>
      <c r="AA327" s="4">
        <f t="shared" si="67"/>
        <v>9.2307692307691439E-2</v>
      </c>
      <c r="AB327" s="4">
        <f t="shared" si="68"/>
        <v>5.0379783817106009E-3</v>
      </c>
      <c r="AC327">
        <v>1.1476266666666668</v>
      </c>
      <c r="AD327" s="2">
        <v>6.6052</v>
      </c>
      <c r="AE327" s="2">
        <v>2.2139000000000002</v>
      </c>
      <c r="AF327" s="2">
        <f t="shared" si="69"/>
        <v>4.3912999999999993</v>
      </c>
      <c r="AG327" s="2">
        <v>1.0662733333333334</v>
      </c>
      <c r="AH327" s="1">
        <f t="shared" si="70"/>
        <v>80.462501038312524</v>
      </c>
      <c r="AI327" s="1">
        <f t="shared" si="71"/>
        <v>19.537498961687476</v>
      </c>
      <c r="AJ327" s="1">
        <f t="shared" si="72"/>
        <v>0.97687494808437381</v>
      </c>
      <c r="AK327" s="8">
        <v>7.8299999999999592E-2</v>
      </c>
      <c r="AL327" s="9">
        <v>77.76199943197966</v>
      </c>
      <c r="AM327" s="10">
        <v>3.888099971598983</v>
      </c>
      <c r="AN327" s="9">
        <v>38.88099971598983</v>
      </c>
      <c r="AO327" s="11">
        <v>3.8891414719894173</v>
      </c>
      <c r="AP327" s="2">
        <v>4.4278906249999999</v>
      </c>
      <c r="AQ327" s="2">
        <f t="shared" si="73"/>
        <v>0.25460371093750001</v>
      </c>
      <c r="AR327" s="2">
        <v>1.2325447477224742</v>
      </c>
      <c r="AS327" s="2">
        <v>0.2408084172886121</v>
      </c>
      <c r="AT327" s="2">
        <f t="shared" si="74"/>
        <v>2.4080841728861213E-2</v>
      </c>
      <c r="AU327" s="2">
        <f t="shared" si="75"/>
        <v>2.222846928817937E-2</v>
      </c>
      <c r="AV327" s="2">
        <f t="shared" si="76"/>
        <v>3.5009839128882507E-3</v>
      </c>
      <c r="AW327" s="3">
        <f t="shared" si="77"/>
        <v>15.75</v>
      </c>
    </row>
    <row r="328" spans="1:49" s="12" customFormat="1" x14ac:dyDescent="0.2">
      <c r="A328" t="s">
        <v>45</v>
      </c>
      <c r="B328" s="5" t="s">
        <v>46</v>
      </c>
      <c r="C328" s="5" t="s">
        <v>363</v>
      </c>
      <c r="D328" s="5" t="s">
        <v>383</v>
      </c>
      <c r="E328">
        <v>10</v>
      </c>
      <c r="F328" s="6">
        <v>399</v>
      </c>
      <c r="G328" s="3">
        <v>2.2999999999999998</v>
      </c>
      <c r="H328" s="3">
        <v>2.35</v>
      </c>
      <c r="I328" s="3">
        <v>1.05</v>
      </c>
      <c r="J328" s="3">
        <v>31.340000000000032</v>
      </c>
      <c r="K328" s="3">
        <v>32.390000000000043</v>
      </c>
      <c r="L328" s="3">
        <v>31.865000000000009</v>
      </c>
      <c r="M328" s="1">
        <v>0.19</v>
      </c>
      <c r="N328" s="3">
        <v>391.34000000000003</v>
      </c>
      <c r="O328" s="3">
        <v>392.39000000000004</v>
      </c>
      <c r="P328" s="3">
        <v>391.86500000000001</v>
      </c>
      <c r="Q328" s="3">
        <v>390.34000000000003</v>
      </c>
      <c r="R328" s="3">
        <v>391.39000000000004</v>
      </c>
      <c r="S328" s="3">
        <v>390.9</v>
      </c>
      <c r="T328" s="3">
        <v>390.9</v>
      </c>
      <c r="U328" s="7">
        <f t="shared" si="65"/>
        <v>0.52500000000000568</v>
      </c>
      <c r="V328" s="3">
        <v>4731.03</v>
      </c>
      <c r="W328" s="3">
        <v>5255.85</v>
      </c>
      <c r="X328" s="3">
        <v>5034.66</v>
      </c>
      <c r="Y328" s="3">
        <v>5024.4399999999996</v>
      </c>
      <c r="Z328" s="3">
        <f t="shared" si="66"/>
        <v>262.41000000000031</v>
      </c>
      <c r="AA328" s="4">
        <f t="shared" si="67"/>
        <v>9.2735703245749479E-2</v>
      </c>
      <c r="AB328" s="4">
        <f t="shared" si="68"/>
        <v>4.967830321738316E-3</v>
      </c>
      <c r="AC328">
        <v>1.1476266666666668</v>
      </c>
      <c r="AD328" s="2">
        <v>5.7713000000000001</v>
      </c>
      <c r="AE328" s="2">
        <v>2.0709</v>
      </c>
      <c r="AF328" s="2">
        <f t="shared" si="69"/>
        <v>3.7004000000000001</v>
      </c>
      <c r="AG328" s="2">
        <v>0.92327333333333317</v>
      </c>
      <c r="AH328" s="1">
        <f t="shared" si="70"/>
        <v>80.031605462323611</v>
      </c>
      <c r="AI328" s="1">
        <f t="shared" si="71"/>
        <v>19.968394537676389</v>
      </c>
      <c r="AJ328" s="1">
        <f t="shared" si="72"/>
        <v>0.99841972688381952</v>
      </c>
      <c r="AK328" s="8">
        <v>0.1036999999999999</v>
      </c>
      <c r="AL328" s="9">
        <v>79.63072087998431</v>
      </c>
      <c r="AM328" s="10">
        <v>3.9815360439992156</v>
      </c>
      <c r="AN328" s="9">
        <v>39.815360439992155</v>
      </c>
      <c r="AO328" s="11">
        <v>3.9825531094594235</v>
      </c>
      <c r="AP328" s="2">
        <v>4.455586406250001</v>
      </c>
      <c r="AQ328" s="2">
        <f t="shared" si="73"/>
        <v>0.25396842515625007</v>
      </c>
      <c r="AR328" s="2">
        <v>1.0377249842686367</v>
      </c>
      <c r="AS328" s="2">
        <v>0.20721701907480161</v>
      </c>
      <c r="AT328" s="2">
        <f t="shared" si="74"/>
        <v>2.0721701907480163E-2</v>
      </c>
      <c r="AU328" s="2">
        <f t="shared" si="75"/>
        <v>1.921641598838961E-2</v>
      </c>
      <c r="AV328" s="2">
        <f t="shared" si="76"/>
        <v>3.0169773101771688E-3</v>
      </c>
      <c r="AW328" s="3">
        <f t="shared" si="77"/>
        <v>15.7</v>
      </c>
    </row>
    <row r="329" spans="1:49" s="12" customFormat="1" x14ac:dyDescent="0.2">
      <c r="A329" t="s">
        <v>45</v>
      </c>
      <c r="B329" s="5" t="s">
        <v>46</v>
      </c>
      <c r="C329" s="5" t="s">
        <v>363</v>
      </c>
      <c r="D329" s="5" t="s">
        <v>384</v>
      </c>
      <c r="E329">
        <v>10</v>
      </c>
      <c r="F329" s="6">
        <v>400</v>
      </c>
      <c r="G329" s="3">
        <v>2.2999999999999998</v>
      </c>
      <c r="H329" s="3">
        <v>2.4</v>
      </c>
      <c r="I329" s="3">
        <v>1.1000000000000001</v>
      </c>
      <c r="J329" s="3">
        <v>32.580000000000041</v>
      </c>
      <c r="K329" s="3">
        <v>33.680000000000064</v>
      </c>
      <c r="L329" s="3">
        <v>33.130000000000052</v>
      </c>
      <c r="M329" s="1">
        <v>0.19</v>
      </c>
      <c r="N329" s="3">
        <v>392.58000000000004</v>
      </c>
      <c r="O329" s="3">
        <v>393.68000000000006</v>
      </c>
      <c r="P329" s="3">
        <v>393.13000000000005</v>
      </c>
      <c r="Q329" s="3">
        <v>391.58000000000004</v>
      </c>
      <c r="R329" s="3">
        <v>392.68000000000006</v>
      </c>
      <c r="S329" s="3">
        <v>392.1</v>
      </c>
      <c r="T329" s="3">
        <v>392.1</v>
      </c>
      <c r="U329" s="7">
        <f t="shared" si="65"/>
        <v>0.55000000000001137</v>
      </c>
      <c r="V329" s="3">
        <v>4753.1000000000004</v>
      </c>
      <c r="W329" s="3">
        <v>5261.67</v>
      </c>
      <c r="X329" s="3">
        <v>5046.3500000000004</v>
      </c>
      <c r="Y329" s="3">
        <v>5037.38</v>
      </c>
      <c r="Z329" s="3">
        <f t="shared" si="66"/>
        <v>254.28499999999985</v>
      </c>
      <c r="AA329" s="4">
        <f t="shared" si="67"/>
        <v>9.265858873841612E-2</v>
      </c>
      <c r="AB329" s="4">
        <f t="shared" si="68"/>
        <v>4.8073423473364973E-3</v>
      </c>
      <c r="AC329">
        <v>1.1476266666666668</v>
      </c>
      <c r="AD329" s="2">
        <v>6.9104000000000001</v>
      </c>
      <c r="AE329" s="2">
        <v>2.2884000000000002</v>
      </c>
      <c r="AF329" s="2">
        <f t="shared" si="69"/>
        <v>4.6219999999999999</v>
      </c>
      <c r="AG329" s="2">
        <v>1.1407733333333334</v>
      </c>
      <c r="AH329" s="1">
        <f t="shared" si="70"/>
        <v>80.204438603635282</v>
      </c>
      <c r="AI329" s="1">
        <f t="shared" si="71"/>
        <v>19.795561396364718</v>
      </c>
      <c r="AJ329" s="1">
        <f t="shared" si="72"/>
        <v>0.98977806981823591</v>
      </c>
      <c r="AK329" s="8">
        <v>0.10630000000000006</v>
      </c>
      <c r="AL329" s="9">
        <v>78.551251008878126</v>
      </c>
      <c r="AM329" s="10">
        <v>3.9275625504439065</v>
      </c>
      <c r="AN329" s="9">
        <v>39.275625504439063</v>
      </c>
      <c r="AO329" s="11">
        <v>3.9285935890149601</v>
      </c>
      <c r="AP329" s="2">
        <v>4.7686787499999985</v>
      </c>
      <c r="AQ329" s="2">
        <f t="shared" si="73"/>
        <v>0.27658336749999995</v>
      </c>
      <c r="AR329" s="2">
        <v>1.2084633156161622</v>
      </c>
      <c r="AS329" s="2">
        <v>0.23922209759534205</v>
      </c>
      <c r="AT329" s="2">
        <f t="shared" si="74"/>
        <v>2.3922209759534206E-2</v>
      </c>
      <c r="AU329" s="2">
        <f t="shared" si="75"/>
        <v>2.2165981958228043E-2</v>
      </c>
      <c r="AV329" s="2">
        <f t="shared" si="76"/>
        <v>3.5022251494000313E-3</v>
      </c>
      <c r="AW329" s="3">
        <f t="shared" si="77"/>
        <v>15.800000000000002</v>
      </c>
    </row>
    <row r="330" spans="1:49" s="12" customFormat="1" x14ac:dyDescent="0.2">
      <c r="A330" t="s">
        <v>45</v>
      </c>
      <c r="B330" s="5" t="s">
        <v>46</v>
      </c>
      <c r="C330" s="5" t="s">
        <v>363</v>
      </c>
      <c r="D330" s="5" t="s">
        <v>385</v>
      </c>
      <c r="E330">
        <v>10</v>
      </c>
      <c r="F330" s="6">
        <v>401</v>
      </c>
      <c r="G330" s="3">
        <v>2.15</v>
      </c>
      <c r="H330" s="3">
        <v>2.5</v>
      </c>
      <c r="I330" s="3">
        <v>1.05</v>
      </c>
      <c r="J330" s="3">
        <v>33.870000000000061</v>
      </c>
      <c r="K330" s="3">
        <v>34.920000000000073</v>
      </c>
      <c r="L330" s="3">
        <v>34.395000000000095</v>
      </c>
      <c r="M330" s="1">
        <v>0.19</v>
      </c>
      <c r="N330" s="3">
        <v>393.87000000000006</v>
      </c>
      <c r="O330" s="3">
        <v>394.92000000000007</v>
      </c>
      <c r="P330" s="3">
        <v>394.3950000000001</v>
      </c>
      <c r="Q330" s="3">
        <v>392.87000000000006</v>
      </c>
      <c r="R330" s="3">
        <v>393.92000000000007</v>
      </c>
      <c r="S330" s="3">
        <v>393.4</v>
      </c>
      <c r="T330" s="3">
        <v>393.4</v>
      </c>
      <c r="U330" s="7">
        <f t="shared" si="65"/>
        <v>0.52500000000000568</v>
      </c>
      <c r="V330" s="3">
        <v>4774.72</v>
      </c>
      <c r="W330" s="3">
        <v>5267.87</v>
      </c>
      <c r="X330" s="3">
        <v>5060.3500000000004</v>
      </c>
      <c r="Y330" s="3">
        <v>5051.41</v>
      </c>
      <c r="Z330" s="3">
        <f t="shared" si="66"/>
        <v>246.57499999999982</v>
      </c>
      <c r="AA330" s="4">
        <f t="shared" si="67"/>
        <v>9.2735703245749479E-2</v>
      </c>
      <c r="AB330" s="4">
        <f t="shared" si="68"/>
        <v>4.6504751073605929E-3</v>
      </c>
      <c r="AC330">
        <v>1.1476266666666668</v>
      </c>
      <c r="AD330" s="2">
        <v>6.4733999999999998</v>
      </c>
      <c r="AE330" s="2">
        <v>2.2605</v>
      </c>
      <c r="AF330" s="2">
        <f t="shared" si="69"/>
        <v>4.2128999999999994</v>
      </c>
      <c r="AG330" s="2">
        <v>1.1128733333333332</v>
      </c>
      <c r="AH330" s="1">
        <f t="shared" si="70"/>
        <v>79.104004926984004</v>
      </c>
      <c r="AI330" s="1">
        <f t="shared" si="71"/>
        <v>20.895995073015996</v>
      </c>
      <c r="AJ330" s="1">
        <f t="shared" si="72"/>
        <v>1.0447997536507998</v>
      </c>
      <c r="AK330" s="8">
        <v>0.11629999999999985</v>
      </c>
      <c r="AL330" s="9">
        <v>77.033965244865755</v>
      </c>
      <c r="AM330" s="10">
        <v>3.8516982622432878</v>
      </c>
      <c r="AN330" s="9">
        <v>38.516982622432877</v>
      </c>
      <c r="AO330" s="11">
        <v>3.8527496029936805</v>
      </c>
      <c r="AP330" s="2">
        <v>4.455586406250001</v>
      </c>
      <c r="AQ330" s="2">
        <f t="shared" si="73"/>
        <v>0.25396842515625007</v>
      </c>
      <c r="AR330" s="2">
        <v>1.195302446803117</v>
      </c>
      <c r="AS330" s="2">
        <v>0.24977034039161899</v>
      </c>
      <c r="AT330" s="2">
        <f t="shared" si="74"/>
        <v>2.4977034039161902E-2</v>
      </c>
      <c r="AU330" s="2">
        <f t="shared" si="75"/>
        <v>2.3162628166147014E-2</v>
      </c>
      <c r="AV330" s="2">
        <f t="shared" si="76"/>
        <v>3.6365326220850814E-3</v>
      </c>
      <c r="AW330" s="3">
        <f t="shared" si="77"/>
        <v>15.7</v>
      </c>
    </row>
    <row r="331" spans="1:49" s="12" customFormat="1" x14ac:dyDescent="0.2">
      <c r="A331" t="s">
        <v>45</v>
      </c>
      <c r="B331" s="5" t="s">
        <v>46</v>
      </c>
      <c r="C331" s="5" t="s">
        <v>363</v>
      </c>
      <c r="D331" s="5" t="s">
        <v>386</v>
      </c>
      <c r="E331">
        <v>10</v>
      </c>
      <c r="F331" s="6">
        <v>402</v>
      </c>
      <c r="G331" s="3">
        <v>2.4</v>
      </c>
      <c r="H331" s="3">
        <v>2.35</v>
      </c>
      <c r="I331" s="3">
        <v>1</v>
      </c>
      <c r="J331" s="3">
        <v>35.11000000000007</v>
      </c>
      <c r="K331" s="3">
        <v>36.11000000000007</v>
      </c>
      <c r="L331" s="3">
        <v>35.61000000000007</v>
      </c>
      <c r="M331" s="1">
        <v>0.19</v>
      </c>
      <c r="N331" s="3">
        <v>395.11000000000007</v>
      </c>
      <c r="O331" s="3">
        <v>396.11000000000007</v>
      </c>
      <c r="P331" s="3">
        <v>395.61000000000007</v>
      </c>
      <c r="Q331" s="3">
        <v>394.11000000000007</v>
      </c>
      <c r="R331" s="3">
        <v>395.11000000000007</v>
      </c>
      <c r="S331" s="3">
        <v>394.6</v>
      </c>
      <c r="T331" s="3">
        <v>394.6</v>
      </c>
      <c r="U331" s="7">
        <f t="shared" si="65"/>
        <v>0.5</v>
      </c>
      <c r="V331" s="3">
        <v>4792.51</v>
      </c>
      <c r="W331" s="3">
        <v>5279.54</v>
      </c>
      <c r="X331" s="3">
        <v>5073.2</v>
      </c>
      <c r="Y331" s="3">
        <v>5064.3500000000004</v>
      </c>
      <c r="Z331" s="3">
        <f t="shared" si="66"/>
        <v>243.51499999999987</v>
      </c>
      <c r="AA331" s="4">
        <f t="shared" si="67"/>
        <v>9.266409266409309E-2</v>
      </c>
      <c r="AB331" s="4">
        <f t="shared" si="68"/>
        <v>4.5730899920380626E-3</v>
      </c>
      <c r="AC331">
        <v>1.1476266666666668</v>
      </c>
      <c r="AD331" s="2">
        <v>6.6760999999999999</v>
      </c>
      <c r="AE331" s="2">
        <v>2.3290000000000002</v>
      </c>
      <c r="AF331" s="2">
        <f t="shared" si="69"/>
        <v>4.3470999999999993</v>
      </c>
      <c r="AG331" s="2">
        <v>1.1813733333333334</v>
      </c>
      <c r="AH331" s="1">
        <f t="shared" si="70"/>
        <v>78.631110939608405</v>
      </c>
      <c r="AI331" s="1">
        <f t="shared" si="71"/>
        <v>21.368889060391595</v>
      </c>
      <c r="AJ331" s="1">
        <f t="shared" si="72"/>
        <v>1.0684444530195798</v>
      </c>
      <c r="AK331" s="8">
        <v>0.1379999999999999</v>
      </c>
      <c r="AL331" s="9">
        <v>74.990938745922449</v>
      </c>
      <c r="AM331" s="10">
        <v>3.7495469372961225</v>
      </c>
      <c r="AN331" s="9">
        <v>37.495469372961225</v>
      </c>
      <c r="AO331" s="11">
        <v>3.7506269122623666</v>
      </c>
      <c r="AP331" s="2">
        <v>4.4278906249999999</v>
      </c>
      <c r="AQ331" s="2">
        <f t="shared" si="73"/>
        <v>0.25460371093750001</v>
      </c>
      <c r="AR331" s="2">
        <v>1.2485568866853691</v>
      </c>
      <c r="AS331" s="2">
        <v>0.26680273597167575</v>
      </c>
      <c r="AT331" s="2">
        <f t="shared" si="74"/>
        <v>2.6680273597167577E-2</v>
      </c>
      <c r="AU331" s="2">
        <f t="shared" si="75"/>
        <v>2.4723033449112926E-2</v>
      </c>
      <c r="AV331" s="2">
        <f t="shared" si="76"/>
        <v>3.8938777682352857E-3</v>
      </c>
      <c r="AW331" s="3">
        <f t="shared" si="77"/>
        <v>15.75</v>
      </c>
    </row>
    <row r="332" spans="1:49" s="12" customFormat="1" x14ac:dyDescent="0.2">
      <c r="A332" t="s">
        <v>45</v>
      </c>
      <c r="B332" s="5" t="s">
        <v>46</v>
      </c>
      <c r="C332" s="5" t="s">
        <v>363</v>
      </c>
      <c r="D332" s="5" t="s">
        <v>387</v>
      </c>
      <c r="E332">
        <v>10</v>
      </c>
      <c r="F332" s="6">
        <v>403</v>
      </c>
      <c r="G332" s="3">
        <v>2.1</v>
      </c>
      <c r="H332" s="3">
        <v>2.2999999999999998</v>
      </c>
      <c r="I332" s="3">
        <v>1.05</v>
      </c>
      <c r="J332" s="3">
        <v>36.300000000000068</v>
      </c>
      <c r="K332" s="3">
        <v>37.35000000000008</v>
      </c>
      <c r="L332" s="3">
        <v>36.825000000000045</v>
      </c>
      <c r="M332" s="1">
        <v>0.19</v>
      </c>
      <c r="N332" s="3">
        <v>396.30000000000007</v>
      </c>
      <c r="O332" s="3">
        <v>397.35000000000008</v>
      </c>
      <c r="P332" s="3">
        <v>396.82500000000005</v>
      </c>
      <c r="Q332" s="3">
        <v>395.30000000000007</v>
      </c>
      <c r="R332" s="3">
        <v>396.35000000000008</v>
      </c>
      <c r="S332" s="3">
        <v>395.8</v>
      </c>
      <c r="T332" s="3">
        <v>395.8</v>
      </c>
      <c r="U332" s="7">
        <f t="shared" si="65"/>
        <v>0.52500000000000568</v>
      </c>
      <c r="V332" s="3">
        <v>4811.72</v>
      </c>
      <c r="W332" s="3">
        <v>5284.94</v>
      </c>
      <c r="X332" s="3">
        <v>5088.3599999999997</v>
      </c>
      <c r="Y332" s="3">
        <v>5077.3</v>
      </c>
      <c r="Z332" s="3">
        <f t="shared" si="66"/>
        <v>236.60999999999967</v>
      </c>
      <c r="AA332" s="4">
        <f t="shared" si="67"/>
        <v>9.266409266409309E-2</v>
      </c>
      <c r="AB332" s="4">
        <f t="shared" si="68"/>
        <v>4.4412016380522392E-3</v>
      </c>
      <c r="AC332">
        <v>1.1476266666666668</v>
      </c>
      <c r="AD332" s="2">
        <v>6.6715999999999998</v>
      </c>
      <c r="AE332" s="2">
        <v>2.3788999999999998</v>
      </c>
      <c r="AF332" s="2">
        <f t="shared" si="69"/>
        <v>4.2927</v>
      </c>
      <c r="AG332" s="2">
        <v>1.231273333333333</v>
      </c>
      <c r="AH332" s="1">
        <f t="shared" si="70"/>
        <v>77.710367899434701</v>
      </c>
      <c r="AI332" s="1">
        <f t="shared" si="71"/>
        <v>22.289632100565299</v>
      </c>
      <c r="AJ332" s="1">
        <f t="shared" si="72"/>
        <v>1.1144816050282651</v>
      </c>
      <c r="AK332" s="8">
        <v>0.10119999999999951</v>
      </c>
      <c r="AL332" s="9">
        <v>78.712663020614301</v>
      </c>
      <c r="AM332" s="10">
        <v>3.9356331510307152</v>
      </c>
      <c r="AN332" s="9">
        <v>39.35633151030715</v>
      </c>
      <c r="AO332" s="11">
        <v>3.936662075857154</v>
      </c>
      <c r="AP332" s="2">
        <v>3.9893700000000014</v>
      </c>
      <c r="AQ332" s="2">
        <f t="shared" si="73"/>
        <v>0.21742066500000007</v>
      </c>
      <c r="AR332" s="2">
        <v>1.3846731021021694</v>
      </c>
      <c r="AS332" s="2">
        <v>0.30863854025405829</v>
      </c>
      <c r="AT332" s="2">
        <f t="shared" si="74"/>
        <v>3.086385402540583E-2</v>
      </c>
      <c r="AU332" s="2">
        <f t="shared" si="75"/>
        <v>2.8599710293812482E-2</v>
      </c>
      <c r="AV332" s="2">
        <f t="shared" si="76"/>
        <v>4.4186552403940281E-3</v>
      </c>
      <c r="AW332" s="3">
        <f t="shared" si="77"/>
        <v>15.45</v>
      </c>
    </row>
    <row r="333" spans="1:49" s="12" customFormat="1" x14ac:dyDescent="0.2">
      <c r="A333" t="s">
        <v>45</v>
      </c>
      <c r="B333" s="5" t="s">
        <v>46</v>
      </c>
      <c r="C333" s="5" t="s">
        <v>363</v>
      </c>
      <c r="D333" s="5" t="s">
        <v>388</v>
      </c>
      <c r="E333">
        <v>10</v>
      </c>
      <c r="F333" s="6">
        <v>404</v>
      </c>
      <c r="G333" s="3">
        <v>2.2000000000000002</v>
      </c>
      <c r="H333" s="3">
        <v>2.4</v>
      </c>
      <c r="I333" s="3">
        <v>1</v>
      </c>
      <c r="J333" s="3">
        <v>37.540000000000077</v>
      </c>
      <c r="K333" s="3">
        <v>38.540000000000077</v>
      </c>
      <c r="L333" s="3">
        <v>38.040000000000077</v>
      </c>
      <c r="M333" s="1">
        <v>0.19</v>
      </c>
      <c r="N333" s="3">
        <v>397.54000000000008</v>
      </c>
      <c r="O333" s="3">
        <v>398.54000000000008</v>
      </c>
      <c r="P333" s="3">
        <v>398.04000000000008</v>
      </c>
      <c r="Q333" s="3">
        <v>396.54000000000008</v>
      </c>
      <c r="R333" s="3">
        <v>397.54000000000008</v>
      </c>
      <c r="S333" s="3">
        <v>397</v>
      </c>
      <c r="T333" s="3">
        <v>397</v>
      </c>
      <c r="U333" s="7">
        <f t="shared" si="65"/>
        <v>0.5</v>
      </c>
      <c r="V333" s="3">
        <v>4826.8100000000004</v>
      </c>
      <c r="W333" s="3">
        <v>5296.7</v>
      </c>
      <c r="X333" s="3">
        <v>5101.78</v>
      </c>
      <c r="Y333" s="3">
        <v>5090.25</v>
      </c>
      <c r="Z333" s="3">
        <f t="shared" si="66"/>
        <v>234.94499999999971</v>
      </c>
      <c r="AA333" s="4">
        <f t="shared" si="67"/>
        <v>9.2735703245751602E-2</v>
      </c>
      <c r="AB333" s="4">
        <f t="shared" si="68"/>
        <v>4.3970941666424098E-3</v>
      </c>
      <c r="AC333">
        <v>1.1476266666666668</v>
      </c>
      <c r="AD333" s="2">
        <v>5.8852000000000002</v>
      </c>
      <c r="AE333" s="2">
        <v>2.1960000000000002</v>
      </c>
      <c r="AF333" s="2">
        <f t="shared" si="69"/>
        <v>3.6892</v>
      </c>
      <c r="AG333" s="2">
        <v>1.0483733333333334</v>
      </c>
      <c r="AH333" s="1">
        <f t="shared" si="70"/>
        <v>77.871090122087821</v>
      </c>
      <c r="AI333" s="1">
        <f t="shared" si="71"/>
        <v>22.128909877912179</v>
      </c>
      <c r="AJ333" s="1">
        <f t="shared" si="72"/>
        <v>1.106445493895609</v>
      </c>
      <c r="AK333" s="8">
        <v>0.1012000000000004</v>
      </c>
      <c r="AL333" s="9">
        <v>79.658291457286367</v>
      </c>
      <c r="AM333" s="10">
        <v>3.9829145728643187</v>
      </c>
      <c r="AN333" s="9">
        <v>39.829145728643184</v>
      </c>
      <c r="AO333" s="11">
        <v>3.9839312863972638</v>
      </c>
      <c r="AP333" s="2">
        <v>4.1526499999999995</v>
      </c>
      <c r="AQ333" s="2">
        <f t="shared" si="73"/>
        <v>0.23254839999999999</v>
      </c>
      <c r="AR333" s="2">
        <v>1.1408554376923974</v>
      </c>
      <c r="AS333" s="2">
        <v>0.25245887164421116</v>
      </c>
      <c r="AT333" s="2">
        <f t="shared" si="74"/>
        <v>2.5245887164421117E-2</v>
      </c>
      <c r="AU333" s="2">
        <f t="shared" si="75"/>
        <v>2.3411951002554859E-2</v>
      </c>
      <c r="AV333" s="2">
        <f t="shared" si="76"/>
        <v>3.6522643563985579E-3</v>
      </c>
      <c r="AW333" s="3">
        <f t="shared" si="77"/>
        <v>15.6</v>
      </c>
    </row>
    <row r="334" spans="1:49" x14ac:dyDescent="0.2">
      <c r="A334" t="s">
        <v>45</v>
      </c>
      <c r="B334" s="5" t="s">
        <v>46</v>
      </c>
      <c r="C334" s="5" t="s">
        <v>363</v>
      </c>
      <c r="D334" s="5" t="s">
        <v>389</v>
      </c>
      <c r="E334">
        <v>10</v>
      </c>
      <c r="F334" s="6">
        <v>405</v>
      </c>
      <c r="G334" s="3">
        <v>2.15</v>
      </c>
      <c r="H334" s="3">
        <v>2.2999999999999998</v>
      </c>
      <c r="I334" s="3">
        <v>1</v>
      </c>
      <c r="J334" s="3">
        <v>38.730000000000075</v>
      </c>
      <c r="K334" s="3">
        <v>39.730000000000075</v>
      </c>
      <c r="L334" s="3">
        <v>39.230000000000075</v>
      </c>
      <c r="M334" s="1">
        <v>0.19</v>
      </c>
      <c r="N334" s="3">
        <v>398.73000000000008</v>
      </c>
      <c r="O334" s="3">
        <v>399.73000000000008</v>
      </c>
      <c r="P334" s="3">
        <v>399.23000000000008</v>
      </c>
      <c r="Q334" s="3">
        <v>397.73000000000008</v>
      </c>
      <c r="R334" s="3">
        <v>398.73000000000008</v>
      </c>
      <c r="S334" s="3">
        <v>398.2</v>
      </c>
      <c r="T334" s="3">
        <v>398.2</v>
      </c>
      <c r="U334" s="7">
        <f t="shared" si="65"/>
        <v>0.5</v>
      </c>
      <c r="V334" s="3">
        <v>4842.03</v>
      </c>
      <c r="W334" s="3">
        <v>5319.78</v>
      </c>
      <c r="X334" s="3">
        <v>5116.5200000000004</v>
      </c>
      <c r="Y334" s="3">
        <v>5103.1899999999996</v>
      </c>
      <c r="Z334" s="3">
        <f t="shared" si="66"/>
        <v>238.875</v>
      </c>
      <c r="AA334" s="4">
        <f t="shared" si="67"/>
        <v>9.2664092664086581E-2</v>
      </c>
      <c r="AB334" s="4">
        <f t="shared" si="68"/>
        <v>4.4538632133590272E-3</v>
      </c>
      <c r="AC334">
        <v>1.1476266666666668</v>
      </c>
      <c r="AD334" s="2">
        <v>5.7508999999999997</v>
      </c>
      <c r="AE334" s="2">
        <v>2.2907999999999999</v>
      </c>
      <c r="AF334" s="2">
        <f t="shared" si="69"/>
        <v>3.4600999999999997</v>
      </c>
      <c r="AG334" s="2">
        <v>1.1431733333333332</v>
      </c>
      <c r="AH334" s="1">
        <f t="shared" si="70"/>
        <v>75.166077472407309</v>
      </c>
      <c r="AI334" s="1">
        <f t="shared" si="71"/>
        <v>24.833922527592691</v>
      </c>
      <c r="AJ334" s="1">
        <f t="shared" si="72"/>
        <v>1.2416961263796347</v>
      </c>
      <c r="AK334" s="8">
        <v>0.12920000000000087</v>
      </c>
      <c r="AL334" s="9">
        <v>76.745860331173361</v>
      </c>
      <c r="AM334" s="10">
        <v>3.8372930165586681</v>
      </c>
      <c r="AN334" s="9">
        <v>38.372930165586681</v>
      </c>
      <c r="AO334" s="11">
        <v>3.8383483029722463</v>
      </c>
      <c r="AP334" s="2">
        <v>3.8862406249999992</v>
      </c>
      <c r="AQ334" s="2">
        <f t="shared" si="73"/>
        <v>0.21180011406249996</v>
      </c>
      <c r="AR334" s="2">
        <v>1.1845054842257314</v>
      </c>
      <c r="AS334" s="2">
        <v>0.29415917428770466</v>
      </c>
      <c r="AT334" s="2">
        <f t="shared" si="74"/>
        <v>2.9415917428770467E-2</v>
      </c>
      <c r="AU334" s="2">
        <f t="shared" si="75"/>
        <v>2.725799298418706E-2</v>
      </c>
      <c r="AV334" s="2">
        <f t="shared" si="76"/>
        <v>4.2113599160569009E-3</v>
      </c>
      <c r="AW334" s="3">
        <f t="shared" si="77"/>
        <v>15.45</v>
      </c>
    </row>
    <row r="335" spans="1:49" x14ac:dyDescent="0.2">
      <c r="A335" t="s">
        <v>45</v>
      </c>
      <c r="B335" s="5" t="s">
        <v>46</v>
      </c>
      <c r="C335" s="5" t="s">
        <v>363</v>
      </c>
      <c r="D335" s="5" t="s">
        <v>390</v>
      </c>
      <c r="E335">
        <v>10</v>
      </c>
      <c r="F335" s="6">
        <v>406</v>
      </c>
      <c r="G335" s="3">
        <v>2</v>
      </c>
      <c r="H335" s="3">
        <v>2.4</v>
      </c>
      <c r="I335" s="3">
        <v>1</v>
      </c>
      <c r="J335" s="3">
        <v>39.920000000000073</v>
      </c>
      <c r="K335" s="3">
        <v>40.920000000000073</v>
      </c>
      <c r="L335" s="3">
        <v>40.420000000000073</v>
      </c>
      <c r="M335" s="1">
        <v>0.19</v>
      </c>
      <c r="N335" s="3">
        <v>399.92000000000007</v>
      </c>
      <c r="O335" s="3">
        <v>400.92000000000007</v>
      </c>
      <c r="P335" s="3">
        <v>400.42000000000007</v>
      </c>
      <c r="Q335" s="3">
        <v>398.92000000000007</v>
      </c>
      <c r="R335" s="3">
        <v>399.92000000000007</v>
      </c>
      <c r="S335" s="3">
        <v>399.4</v>
      </c>
      <c r="T335" s="3">
        <v>399.4</v>
      </c>
      <c r="U335" s="7">
        <f t="shared" si="65"/>
        <v>0.5</v>
      </c>
      <c r="V335" s="3">
        <v>4856.1499999999996</v>
      </c>
      <c r="W335" s="3">
        <v>5338.79</v>
      </c>
      <c r="X335" s="3">
        <v>5130.43</v>
      </c>
      <c r="Y335" s="3">
        <v>5116.1400000000003</v>
      </c>
      <c r="Z335" s="3">
        <f t="shared" si="66"/>
        <v>241.32000000000016</v>
      </c>
      <c r="AA335" s="4">
        <f t="shared" si="67"/>
        <v>7.7821011673154333E-2</v>
      </c>
      <c r="AB335" s="4">
        <f t="shared" si="68"/>
        <v>3.7681129064558211E-3</v>
      </c>
      <c r="AC335">
        <v>1.1476266666666668</v>
      </c>
      <c r="AD335" s="2">
        <v>5.7797000000000001</v>
      </c>
      <c r="AE335" s="2">
        <v>2.1482000000000001</v>
      </c>
      <c r="AF335" s="2">
        <f t="shared" si="69"/>
        <v>3.6315</v>
      </c>
      <c r="AG335" s="2">
        <v>1.0005733333333333</v>
      </c>
      <c r="AH335" s="1">
        <f t="shared" si="70"/>
        <v>78.399017862411498</v>
      </c>
      <c r="AI335" s="1">
        <f t="shared" si="71"/>
        <v>21.600982137588502</v>
      </c>
      <c r="AJ335" s="1">
        <f t="shared" si="72"/>
        <v>1.0800491068794251</v>
      </c>
      <c r="AK335" s="8">
        <v>0.16859999999999964</v>
      </c>
      <c r="AL335" s="9">
        <v>72.893890675241209</v>
      </c>
      <c r="AM335" s="10">
        <v>3.6446945337620607</v>
      </c>
      <c r="AN335" s="9">
        <v>36.446945337620605</v>
      </c>
      <c r="AO335" s="11">
        <v>3.6458055686548954</v>
      </c>
      <c r="AP335" s="2">
        <v>3.7994000000000008</v>
      </c>
      <c r="AQ335" s="2">
        <f t="shared" si="73"/>
        <v>0.20516760000000003</v>
      </c>
      <c r="AR335" s="2">
        <v>1.2191591654822689</v>
      </c>
      <c r="AS335" s="2">
        <v>0.26335035356459785</v>
      </c>
      <c r="AT335" s="2">
        <f t="shared" si="74"/>
        <v>2.6335035356459785E-2</v>
      </c>
      <c r="AU335" s="2">
        <f t="shared" si="75"/>
        <v>2.0494190938879889E-2</v>
      </c>
      <c r="AV335" s="2">
        <f t="shared" si="76"/>
        <v>3.156105404587503E-3</v>
      </c>
      <c r="AW335" s="3">
        <f t="shared" si="77"/>
        <v>15.4</v>
      </c>
    </row>
    <row r="336" spans="1:49" x14ac:dyDescent="0.2">
      <c r="A336" t="s">
        <v>45</v>
      </c>
      <c r="B336" s="5" t="s">
        <v>46</v>
      </c>
      <c r="C336" s="5" t="s">
        <v>363</v>
      </c>
      <c r="D336" s="5" t="s">
        <v>391</v>
      </c>
      <c r="E336">
        <v>10</v>
      </c>
      <c r="F336" s="6">
        <v>407</v>
      </c>
      <c r="G336" s="3">
        <v>2.2000000000000002</v>
      </c>
      <c r="H336" s="3">
        <v>2.4</v>
      </c>
      <c r="I336" s="3">
        <v>1</v>
      </c>
      <c r="J336" s="3">
        <v>41.11000000000007</v>
      </c>
      <c r="K336" s="3">
        <v>42.11000000000007</v>
      </c>
      <c r="L336" s="3">
        <v>41.61000000000007</v>
      </c>
      <c r="M336" s="1">
        <v>0.19</v>
      </c>
      <c r="N336" s="3">
        <v>401.11000000000007</v>
      </c>
      <c r="O336" s="3">
        <v>402.11000000000007</v>
      </c>
      <c r="P336" s="3">
        <v>401.61000000000007</v>
      </c>
      <c r="Q336" s="3">
        <v>400.11000000000007</v>
      </c>
      <c r="R336" s="3">
        <v>401.11000000000007</v>
      </c>
      <c r="S336" s="3">
        <v>400.6</v>
      </c>
      <c r="T336" s="3">
        <v>400.6</v>
      </c>
      <c r="U336" s="7">
        <f t="shared" si="65"/>
        <v>0.5</v>
      </c>
      <c r="V336" s="3">
        <v>4885.68</v>
      </c>
      <c r="W336" s="3">
        <v>5357.09</v>
      </c>
      <c r="X336" s="3">
        <v>5145.55</v>
      </c>
      <c r="Y336" s="3">
        <v>5131.5600000000004</v>
      </c>
      <c r="Z336" s="3">
        <f t="shared" si="66"/>
        <v>235.70499999999993</v>
      </c>
      <c r="AA336" s="4">
        <f t="shared" si="67"/>
        <v>6.7076579094467723E-2</v>
      </c>
      <c r="AB336" s="4">
        <f t="shared" si="68"/>
        <v>3.1647101497056401E-3</v>
      </c>
      <c r="AC336">
        <v>1.1476266666666668</v>
      </c>
      <c r="AD336" s="2">
        <v>6.2083000000000004</v>
      </c>
      <c r="AE336" s="2">
        <v>2.1787000000000001</v>
      </c>
      <c r="AF336" s="2">
        <f t="shared" si="69"/>
        <v>4.0296000000000003</v>
      </c>
      <c r="AG336" s="2">
        <v>1.0310733333333333</v>
      </c>
      <c r="AH336" s="1">
        <f t="shared" si="70"/>
        <v>79.625767849074109</v>
      </c>
      <c r="AI336" s="1">
        <f t="shared" si="71"/>
        <v>20.374232150925891</v>
      </c>
      <c r="AJ336" s="1">
        <f t="shared" si="72"/>
        <v>1.0187116075462945</v>
      </c>
      <c r="AK336" s="8">
        <v>0.33110000000000017</v>
      </c>
      <c r="AL336" s="9">
        <v>52.229115567739136</v>
      </c>
      <c r="AM336" s="10">
        <v>2.611455778386957</v>
      </c>
      <c r="AN336" s="9">
        <v>26.114557783869568</v>
      </c>
      <c r="AO336" s="11">
        <v>2.6130061772737214</v>
      </c>
      <c r="AP336" s="2">
        <v>4.1526499999999995</v>
      </c>
      <c r="AQ336" s="2">
        <f t="shared" si="73"/>
        <v>0.23254839999999999</v>
      </c>
      <c r="AR336" s="2">
        <v>1.2186611761967261</v>
      </c>
      <c r="AS336" s="2">
        <v>0.24829285717152502</v>
      </c>
      <c r="AT336" s="2">
        <f t="shared" si="74"/>
        <v>2.4829285717152504E-2</v>
      </c>
      <c r="AU336" s="2">
        <f t="shared" si="75"/>
        <v>1.6654635472657175E-2</v>
      </c>
      <c r="AV336" s="2">
        <f t="shared" si="76"/>
        <v>2.5981231337345195E-3</v>
      </c>
      <c r="AW336" s="3">
        <f t="shared" si="77"/>
        <v>15.6</v>
      </c>
    </row>
    <row r="337" spans="1:49" x14ac:dyDescent="0.2">
      <c r="A337" t="s">
        <v>45</v>
      </c>
      <c r="B337" s="5" t="s">
        <v>46</v>
      </c>
      <c r="C337" s="5" t="s">
        <v>363</v>
      </c>
      <c r="D337" s="5" t="s">
        <v>392</v>
      </c>
      <c r="E337">
        <v>10</v>
      </c>
      <c r="F337" s="6">
        <v>408</v>
      </c>
      <c r="G337" s="3">
        <v>2.2000000000000002</v>
      </c>
      <c r="H337" s="3">
        <v>2.35</v>
      </c>
      <c r="I337" s="3">
        <v>0.9</v>
      </c>
      <c r="J337" s="3">
        <v>42.300000000000068</v>
      </c>
      <c r="K337" s="3">
        <v>43.200000000000045</v>
      </c>
      <c r="L337" s="3">
        <v>42.750000000000057</v>
      </c>
      <c r="M337" s="1">
        <v>0.19</v>
      </c>
      <c r="N337" s="3">
        <v>402.30000000000007</v>
      </c>
      <c r="O337" s="3">
        <v>403.20000000000005</v>
      </c>
      <c r="P337" s="3">
        <v>402.75000000000006</v>
      </c>
      <c r="Q337" s="3">
        <v>401.30000000000007</v>
      </c>
      <c r="R337" s="3">
        <v>402.20000000000005</v>
      </c>
      <c r="S337" s="3">
        <v>401.8</v>
      </c>
      <c r="T337" s="3">
        <v>401.8</v>
      </c>
      <c r="U337" s="7">
        <f t="shared" si="65"/>
        <v>0.44999999999998863</v>
      </c>
      <c r="V337" s="3">
        <v>4916.97</v>
      </c>
      <c r="W337" s="3">
        <v>5373.74</v>
      </c>
      <c r="X337" s="3">
        <v>5162.1899999999996</v>
      </c>
      <c r="Y337" s="3">
        <v>5149.45</v>
      </c>
      <c r="Z337" s="3">
        <f t="shared" si="66"/>
        <v>228.38499999999976</v>
      </c>
      <c r="AA337" s="4">
        <f t="shared" si="67"/>
        <v>6.7073170731703005E-2</v>
      </c>
      <c r="AB337" s="4">
        <f t="shared" si="68"/>
        <v>3.0499041791961028E-3</v>
      </c>
      <c r="AC337">
        <v>1.1476266666666668</v>
      </c>
      <c r="AD337" s="2">
        <v>6.1653000000000002</v>
      </c>
      <c r="AE337" s="2">
        <v>2.1202999999999999</v>
      </c>
      <c r="AF337" s="2">
        <f t="shared" si="69"/>
        <v>4.0449999999999999</v>
      </c>
      <c r="AG337" s="2">
        <v>0.97267333333333306</v>
      </c>
      <c r="AH337" s="1">
        <f t="shared" si="70"/>
        <v>80.615052660529258</v>
      </c>
      <c r="AI337" s="1">
        <f t="shared" si="71"/>
        <v>19.384947339470742</v>
      </c>
      <c r="AJ337" s="1">
        <f t="shared" si="72"/>
        <v>0.96924736697353708</v>
      </c>
      <c r="AK337" s="8">
        <v>9.5799999999999663E-2</v>
      </c>
      <c r="AL337" s="9">
        <v>80.292120962764912</v>
      </c>
      <c r="AM337" s="10">
        <v>4.014606048138246</v>
      </c>
      <c r="AN337" s="9">
        <v>40.146060481382456</v>
      </c>
      <c r="AO337" s="11">
        <v>4.0156147377142872</v>
      </c>
      <c r="AP337" s="2">
        <v>3.6565790625000014</v>
      </c>
      <c r="AQ337" s="2">
        <f t="shared" si="73"/>
        <v>0.19928355890625007</v>
      </c>
      <c r="AR337" s="2">
        <v>1.3722315988712008</v>
      </c>
      <c r="AS337" s="2">
        <v>0.26600637281675971</v>
      </c>
      <c r="AT337" s="2">
        <f t="shared" si="74"/>
        <v>2.6600637281675971E-2</v>
      </c>
      <c r="AU337" s="2">
        <f t="shared" si="75"/>
        <v>1.7841890859659565E-2</v>
      </c>
      <c r="AV337" s="2">
        <f t="shared" si="76"/>
        <v>2.7565721378174026E-3</v>
      </c>
      <c r="AW337" s="3">
        <f t="shared" si="77"/>
        <v>15.45</v>
      </c>
    </row>
    <row r="338" spans="1:49" x14ac:dyDescent="0.2">
      <c r="A338" t="s">
        <v>45</v>
      </c>
      <c r="B338" s="5" t="s">
        <v>46</v>
      </c>
      <c r="C338" s="5" t="s">
        <v>363</v>
      </c>
      <c r="D338" s="5" t="s">
        <v>393</v>
      </c>
      <c r="E338">
        <v>10</v>
      </c>
      <c r="F338" s="6">
        <v>409</v>
      </c>
      <c r="G338" s="3">
        <v>2.2000000000000002</v>
      </c>
      <c r="H338" s="3">
        <v>2.4</v>
      </c>
      <c r="I338" s="3">
        <v>1</v>
      </c>
      <c r="J338" s="3">
        <v>43.390000000000043</v>
      </c>
      <c r="K338" s="3">
        <v>44.390000000000043</v>
      </c>
      <c r="L338" s="3">
        <v>43.890000000000043</v>
      </c>
      <c r="M338" s="1">
        <v>0.19</v>
      </c>
      <c r="N338" s="3">
        <v>403.39000000000004</v>
      </c>
      <c r="O338" s="3">
        <v>404.39000000000004</v>
      </c>
      <c r="P338" s="3">
        <v>403.89000000000004</v>
      </c>
      <c r="Q338" s="3">
        <v>402.39000000000004</v>
      </c>
      <c r="R338" s="3">
        <v>403.39000000000004</v>
      </c>
      <c r="S338" s="3">
        <v>402.9</v>
      </c>
      <c r="T338" s="3">
        <v>402.9</v>
      </c>
      <c r="U338" s="7">
        <f t="shared" si="65"/>
        <v>0.5</v>
      </c>
      <c r="V338" s="3">
        <v>4942.24</v>
      </c>
      <c r="W338" s="3">
        <v>5387.94</v>
      </c>
      <c r="X338" s="3">
        <v>5176.9799999999996</v>
      </c>
      <c r="Y338" s="3">
        <v>5165.8500000000004</v>
      </c>
      <c r="Z338" s="3">
        <f t="shared" si="66"/>
        <v>222.84999999999991</v>
      </c>
      <c r="AA338" s="4">
        <f t="shared" si="67"/>
        <v>6.7076579094470901E-2</v>
      </c>
      <c r="AB338" s="4">
        <f t="shared" si="68"/>
        <v>2.9768639162903966E-3</v>
      </c>
      <c r="AC338">
        <v>1.1476266666666668</v>
      </c>
      <c r="AD338" s="2">
        <v>6.2050000000000001</v>
      </c>
      <c r="AE338" s="2">
        <v>2.0617999999999999</v>
      </c>
      <c r="AF338" s="2">
        <f t="shared" si="69"/>
        <v>4.1432000000000002</v>
      </c>
      <c r="AG338" s="2">
        <v>0.91417333333333306</v>
      </c>
      <c r="AH338" s="1">
        <f t="shared" si="70"/>
        <v>81.923949981940552</v>
      </c>
      <c r="AI338" s="1">
        <f t="shared" si="71"/>
        <v>18.076050018059448</v>
      </c>
      <c r="AJ338" s="1">
        <f t="shared" si="72"/>
        <v>0.90380250090297243</v>
      </c>
      <c r="AK338" s="8">
        <v>7.43999999999998E-2</v>
      </c>
      <c r="AL338" s="9">
        <v>78.899602949517913</v>
      </c>
      <c r="AM338" s="10">
        <v>3.9449801474758956</v>
      </c>
      <c r="AN338" s="9">
        <v>39.449801474758956</v>
      </c>
      <c r="AO338" s="11">
        <v>3.9460066350652454</v>
      </c>
      <c r="AP338" s="2">
        <v>4.1526499999999995</v>
      </c>
      <c r="AQ338" s="2">
        <f t="shared" si="73"/>
        <v>0.23254839999999999</v>
      </c>
      <c r="AR338" s="2">
        <v>1.2178665029158089</v>
      </c>
      <c r="AS338" s="2">
        <v>0.2201421582202529</v>
      </c>
      <c r="AT338" s="2">
        <f t="shared" si="74"/>
        <v>2.2014215822025292E-2</v>
      </c>
      <c r="AU338" s="2">
        <f t="shared" si="75"/>
        <v>1.4766382887888322E-2</v>
      </c>
      <c r="AV338" s="2">
        <f t="shared" si="76"/>
        <v>2.3035557305105783E-3</v>
      </c>
      <c r="AW338" s="3">
        <f t="shared" si="77"/>
        <v>15.6</v>
      </c>
    </row>
    <row r="339" spans="1:49" x14ac:dyDescent="0.2">
      <c r="A339" t="s">
        <v>45</v>
      </c>
      <c r="B339" s="5" t="s">
        <v>46</v>
      </c>
      <c r="C339" s="5" t="s">
        <v>363</v>
      </c>
      <c r="D339" s="5" t="s">
        <v>394</v>
      </c>
      <c r="E339">
        <v>10</v>
      </c>
      <c r="F339" s="6">
        <v>410</v>
      </c>
      <c r="G339" s="3">
        <v>2.4</v>
      </c>
      <c r="H339" s="3">
        <v>2.1</v>
      </c>
      <c r="I339" s="3">
        <v>1</v>
      </c>
      <c r="J339" s="3">
        <v>44.580000000000041</v>
      </c>
      <c r="K339" s="3">
        <v>45.580000000000041</v>
      </c>
      <c r="L339" s="3">
        <v>45.080000000000041</v>
      </c>
      <c r="M339" s="1">
        <v>0.19</v>
      </c>
      <c r="N339" s="3">
        <v>404.58000000000004</v>
      </c>
      <c r="O339" s="3">
        <v>405.58000000000004</v>
      </c>
      <c r="P339" s="3">
        <v>405.08000000000004</v>
      </c>
      <c r="Q339" s="3">
        <v>403.58000000000004</v>
      </c>
      <c r="R339" s="3">
        <v>404.58000000000004</v>
      </c>
      <c r="S339" s="3">
        <v>404.1</v>
      </c>
      <c r="T339" s="3">
        <v>404.1</v>
      </c>
      <c r="U339" s="7">
        <f t="shared" si="65"/>
        <v>0.5</v>
      </c>
      <c r="V339" s="3">
        <v>4963.59</v>
      </c>
      <c r="W339" s="3">
        <v>5399.88</v>
      </c>
      <c r="X339" s="3">
        <v>5193.8599999999997</v>
      </c>
      <c r="Y339" s="3">
        <v>5183.74</v>
      </c>
      <c r="Z339" s="3">
        <f t="shared" si="66"/>
        <v>218.14499999999998</v>
      </c>
      <c r="AA339" s="4">
        <f t="shared" si="67"/>
        <v>6.7076579094464323E-2</v>
      </c>
      <c r="AB339" s="4">
        <f t="shared" si="68"/>
        <v>2.9057485477177584E-3</v>
      </c>
      <c r="AC339">
        <v>1.1476266666666668</v>
      </c>
      <c r="AD339" s="2">
        <v>6.0297999999999998</v>
      </c>
      <c r="AE339" s="2">
        <v>2.0528</v>
      </c>
      <c r="AF339" s="2">
        <f t="shared" si="69"/>
        <v>3.9769999999999999</v>
      </c>
      <c r="AG339" s="2">
        <v>0.90517333333333316</v>
      </c>
      <c r="AH339" s="1">
        <f t="shared" si="70"/>
        <v>81.459623173286218</v>
      </c>
      <c r="AI339" s="1">
        <f t="shared" si="71"/>
        <v>18.540376826713782</v>
      </c>
      <c r="AJ339" s="1">
        <f t="shared" si="72"/>
        <v>0.92701884133568913</v>
      </c>
      <c r="AK339" s="8">
        <v>6.8700000000000649E-2</v>
      </c>
      <c r="AL339" s="9">
        <v>80.772460117548121</v>
      </c>
      <c r="AM339" s="10">
        <v>4.0386230058774064</v>
      </c>
      <c r="AN339" s="9">
        <v>40.386230058774061</v>
      </c>
      <c r="AO339" s="11">
        <v>4.0396256984530456</v>
      </c>
      <c r="AP339" s="2">
        <v>3.9740625000000001</v>
      </c>
      <c r="AQ339" s="2">
        <f t="shared" si="73"/>
        <v>0.2185734375</v>
      </c>
      <c r="AR339" s="2">
        <v>1.2285094492935964</v>
      </c>
      <c r="AS339" s="2">
        <v>0.22777028125081908</v>
      </c>
      <c r="AT339" s="2">
        <f t="shared" si="74"/>
        <v>2.2777028125081908E-2</v>
      </c>
      <c r="AU339" s="2">
        <f t="shared" si="75"/>
        <v>1.5278051285688951E-2</v>
      </c>
      <c r="AV339" s="2">
        <f t="shared" si="76"/>
        <v>2.3680979492817873E-3</v>
      </c>
      <c r="AW339" s="3">
        <f t="shared" si="77"/>
        <v>15.5</v>
      </c>
    </row>
    <row r="340" spans="1:49" x14ac:dyDescent="0.2">
      <c r="A340" t="s">
        <v>45</v>
      </c>
      <c r="B340" s="5" t="s">
        <v>46</v>
      </c>
      <c r="C340" s="5" t="s">
        <v>363</v>
      </c>
      <c r="D340" s="5" t="s">
        <v>395</v>
      </c>
      <c r="E340">
        <v>10</v>
      </c>
      <c r="F340" s="6">
        <v>411</v>
      </c>
      <c r="G340" s="3">
        <v>2.25</v>
      </c>
      <c r="H340" s="3">
        <v>2.35</v>
      </c>
      <c r="I340" s="3">
        <v>1</v>
      </c>
      <c r="J340" s="3">
        <v>45.770000000000039</v>
      </c>
      <c r="K340" s="3">
        <v>46.770000000000039</v>
      </c>
      <c r="L340" s="3">
        <v>46.270000000000039</v>
      </c>
      <c r="M340" s="1">
        <v>0.19</v>
      </c>
      <c r="N340" s="3">
        <v>405.77000000000004</v>
      </c>
      <c r="O340" s="3">
        <v>406.77000000000004</v>
      </c>
      <c r="P340" s="3">
        <v>406.27000000000004</v>
      </c>
      <c r="Q340" s="3">
        <v>404.77000000000004</v>
      </c>
      <c r="R340" s="3">
        <v>405.77000000000004</v>
      </c>
      <c r="S340" s="3">
        <v>405.3</v>
      </c>
      <c r="T340" s="3">
        <v>405.3</v>
      </c>
      <c r="U340" s="7">
        <f t="shared" si="65"/>
        <v>0.5</v>
      </c>
      <c r="V340" s="3">
        <v>4980.8500000000004</v>
      </c>
      <c r="W340" s="3">
        <v>5415.51</v>
      </c>
      <c r="X340" s="3">
        <v>5211.53</v>
      </c>
      <c r="Y340" s="3">
        <v>5201.63</v>
      </c>
      <c r="Z340" s="3">
        <f t="shared" si="66"/>
        <v>217.32999999999993</v>
      </c>
      <c r="AA340" s="4">
        <f t="shared" si="67"/>
        <v>6.7076579094464323E-2</v>
      </c>
      <c r="AB340" s="4">
        <f t="shared" si="68"/>
        <v>2.8852848344830756E-3</v>
      </c>
      <c r="AC340">
        <v>1.1476266666666668</v>
      </c>
      <c r="AD340" s="2">
        <v>6.1258999999999997</v>
      </c>
      <c r="AE340" s="2">
        <v>2.0863999999999998</v>
      </c>
      <c r="AF340" s="2">
        <f t="shared" si="69"/>
        <v>4.0395000000000003</v>
      </c>
      <c r="AG340" s="2">
        <v>0.93877333333333302</v>
      </c>
      <c r="AH340" s="1">
        <f t="shared" si="70"/>
        <v>81.142591608067605</v>
      </c>
      <c r="AI340" s="1">
        <f t="shared" si="71"/>
        <v>18.857408391932395</v>
      </c>
      <c r="AJ340" s="1">
        <f t="shared" si="72"/>
        <v>0.94287041959661977</v>
      </c>
      <c r="AK340" s="8">
        <v>9.9699999999999456E-2</v>
      </c>
      <c r="AL340" s="9">
        <v>77.433227704843929</v>
      </c>
      <c r="AM340" s="10">
        <v>3.8716613852421968</v>
      </c>
      <c r="AN340" s="9">
        <v>38.716613852421965</v>
      </c>
      <c r="AO340" s="11">
        <v>3.8727073065202755</v>
      </c>
      <c r="AP340" s="2">
        <v>4.1526499999999995</v>
      </c>
      <c r="AQ340" s="2">
        <f t="shared" si="73"/>
        <v>0.23254839999999999</v>
      </c>
      <c r="AR340" s="2">
        <v>1.1988184251823133</v>
      </c>
      <c r="AS340" s="2">
        <v>0.22606608631436145</v>
      </c>
      <c r="AT340" s="2">
        <f t="shared" si="74"/>
        <v>2.2606608631436147E-2</v>
      </c>
      <c r="AU340" s="2">
        <f t="shared" si="75"/>
        <v>1.5163739719241265E-2</v>
      </c>
      <c r="AV340" s="2">
        <f t="shared" si="76"/>
        <v>2.3655433962016374E-3</v>
      </c>
      <c r="AW340" s="3">
        <f t="shared" si="77"/>
        <v>15.6</v>
      </c>
    </row>
    <row r="341" spans="1:49" x14ac:dyDescent="0.2">
      <c r="A341" t="s">
        <v>45</v>
      </c>
      <c r="B341" s="5" t="s">
        <v>46</v>
      </c>
      <c r="C341" s="5" t="s">
        <v>363</v>
      </c>
      <c r="D341" s="5" t="s">
        <v>396</v>
      </c>
      <c r="E341">
        <v>10</v>
      </c>
      <c r="F341" s="6">
        <v>412</v>
      </c>
      <c r="G341" s="3">
        <v>2.15</v>
      </c>
      <c r="H341" s="3">
        <v>2.2000000000000002</v>
      </c>
      <c r="I341" s="3">
        <v>1</v>
      </c>
      <c r="J341" s="3">
        <v>46.960000000000036</v>
      </c>
      <c r="K341" s="3">
        <v>47.960000000000036</v>
      </c>
      <c r="L341" s="3">
        <v>47.460000000000036</v>
      </c>
      <c r="M341" s="1">
        <v>0.19</v>
      </c>
      <c r="N341" s="3">
        <v>406.96000000000004</v>
      </c>
      <c r="O341" s="3">
        <v>407.96000000000004</v>
      </c>
      <c r="P341" s="3">
        <v>407.46000000000004</v>
      </c>
      <c r="Q341" s="3">
        <v>405.96000000000004</v>
      </c>
      <c r="R341" s="3">
        <v>406.96000000000004</v>
      </c>
      <c r="S341" s="3">
        <v>406.5</v>
      </c>
      <c r="T341" s="3">
        <v>406.5</v>
      </c>
      <c r="U341" s="7">
        <f t="shared" si="65"/>
        <v>0.5</v>
      </c>
      <c r="V341" s="3">
        <v>4997.41</v>
      </c>
      <c r="W341" s="3">
        <v>5431.1</v>
      </c>
      <c r="X341" s="3">
        <v>5230.95</v>
      </c>
      <c r="Y341" s="3">
        <v>5219.5200000000004</v>
      </c>
      <c r="Z341" s="3">
        <f t="shared" si="66"/>
        <v>216.84500000000025</v>
      </c>
      <c r="AA341" s="4">
        <f t="shared" si="67"/>
        <v>6.7085953878409196E-2</v>
      </c>
      <c r="AB341" s="4">
        <f t="shared" si="68"/>
        <v>2.8696030369949632E-3</v>
      </c>
      <c r="AC341">
        <v>1.1476266666666668</v>
      </c>
      <c r="AD341" s="2">
        <v>5.9553000000000003</v>
      </c>
      <c r="AE341" s="2">
        <v>2.2479</v>
      </c>
      <c r="AF341" s="2">
        <f t="shared" si="69"/>
        <v>3.7074000000000003</v>
      </c>
      <c r="AG341" s="2">
        <v>1.1002733333333332</v>
      </c>
      <c r="AH341" s="1">
        <f t="shared" si="70"/>
        <v>77.114224344138748</v>
      </c>
      <c r="AI341" s="1">
        <f t="shared" si="71"/>
        <v>22.885775655861252</v>
      </c>
      <c r="AJ341" s="1">
        <f t="shared" si="72"/>
        <v>1.1442887827930626</v>
      </c>
      <c r="AK341" s="8">
        <v>0.15119999999999933</v>
      </c>
      <c r="AL341" s="9">
        <v>72.205882352941273</v>
      </c>
      <c r="AM341" s="10">
        <v>3.6102941176470638</v>
      </c>
      <c r="AN341" s="9">
        <v>36.102941176470637</v>
      </c>
      <c r="AO341" s="11">
        <v>3.6114157356799828</v>
      </c>
      <c r="AP341" s="2">
        <v>3.7135406249999994</v>
      </c>
      <c r="AQ341" s="2">
        <f t="shared" si="73"/>
        <v>0.19867442343749997</v>
      </c>
      <c r="AR341" s="2">
        <v>1.2946332944272918</v>
      </c>
      <c r="AS341" s="2">
        <v>0.29628687132871567</v>
      </c>
      <c r="AT341" s="2">
        <f t="shared" si="74"/>
        <v>2.9628687132871569E-2</v>
      </c>
      <c r="AU341" s="2">
        <f t="shared" si="75"/>
        <v>1.9876687384736379E-2</v>
      </c>
      <c r="AV341" s="2">
        <f t="shared" si="76"/>
        <v>3.051071513557034E-3</v>
      </c>
      <c r="AW341" s="3">
        <f t="shared" si="77"/>
        <v>15.35</v>
      </c>
    </row>
    <row r="342" spans="1:49" x14ac:dyDescent="0.2">
      <c r="A342" t="s">
        <v>45</v>
      </c>
      <c r="B342" s="5" t="s">
        <v>46</v>
      </c>
      <c r="C342" s="5" t="s">
        <v>363</v>
      </c>
      <c r="D342" s="5" t="s">
        <v>397</v>
      </c>
      <c r="E342">
        <v>10</v>
      </c>
      <c r="F342" s="6">
        <v>413</v>
      </c>
      <c r="G342" s="3">
        <v>2.1</v>
      </c>
      <c r="H342" s="3">
        <v>2.2000000000000002</v>
      </c>
      <c r="I342" s="3">
        <v>1.85</v>
      </c>
      <c r="J342" s="3">
        <v>48.150000000000034</v>
      </c>
      <c r="K342" s="3">
        <v>50.000000000000057</v>
      </c>
      <c r="L342" s="3">
        <v>49.075000000000045</v>
      </c>
      <c r="M342" s="1">
        <v>0.19</v>
      </c>
      <c r="N342" s="3">
        <v>408.15000000000003</v>
      </c>
      <c r="O342" s="3">
        <v>410.00000000000006</v>
      </c>
      <c r="P342" s="3">
        <v>409.07500000000005</v>
      </c>
      <c r="Q342" s="3">
        <v>407.15000000000003</v>
      </c>
      <c r="R342" s="3">
        <v>409.00000000000006</v>
      </c>
      <c r="S342" s="3">
        <v>408.1</v>
      </c>
      <c r="T342" s="3">
        <v>408.1</v>
      </c>
      <c r="U342" s="7">
        <f t="shared" si="65"/>
        <v>0.92500000000001137</v>
      </c>
      <c r="V342" s="3">
        <v>5014.97</v>
      </c>
      <c r="W342" s="3">
        <v>5459.56</v>
      </c>
      <c r="X342" s="3">
        <v>5253.31</v>
      </c>
      <c r="Y342" s="3">
        <v>5243.37</v>
      </c>
      <c r="Z342" s="3">
        <f t="shared" si="66"/>
        <v>222.29500000000007</v>
      </c>
      <c r="AA342" s="4">
        <f t="shared" si="67"/>
        <v>6.696428571426849E-2</v>
      </c>
      <c r="AB342" s="4">
        <f t="shared" si="68"/>
        <v>2.9907619737434984E-3</v>
      </c>
      <c r="AC342">
        <v>1.1476266666666668</v>
      </c>
      <c r="AD342" s="2">
        <v>5.4287000000000001</v>
      </c>
      <c r="AE342" s="2">
        <v>2.0821000000000001</v>
      </c>
      <c r="AF342" s="2">
        <f t="shared" si="69"/>
        <v>3.3466</v>
      </c>
      <c r="AG342" s="2">
        <v>0.93447333333333327</v>
      </c>
      <c r="AH342" s="1">
        <f t="shared" si="70"/>
        <v>78.171984907211751</v>
      </c>
      <c r="AI342" s="1">
        <f t="shared" si="71"/>
        <v>21.828015092788249</v>
      </c>
      <c r="AJ342" s="1">
        <f t="shared" si="72"/>
        <v>1.0914007546394124</v>
      </c>
      <c r="AK342" s="8">
        <v>0.11150000000000038</v>
      </c>
      <c r="AL342" s="9">
        <v>75.975005386770022</v>
      </c>
      <c r="AM342" s="10">
        <v>3.7987502693385014</v>
      </c>
      <c r="AN342" s="9">
        <v>37.987502693385011</v>
      </c>
      <c r="AO342" s="11">
        <v>3.7998162598735399</v>
      </c>
      <c r="AP342" s="2">
        <v>6.7130256250000029</v>
      </c>
      <c r="AQ342" s="2">
        <f t="shared" si="73"/>
        <v>0.4128510759375002</v>
      </c>
      <c r="AR342" s="2">
        <v>0.63772635060265115</v>
      </c>
      <c r="AS342" s="2">
        <v>0.13920300406023445</v>
      </c>
      <c r="AT342" s="2">
        <f t="shared" si="74"/>
        <v>1.3920300406023446E-2</v>
      </c>
      <c r="AU342" s="2">
        <f t="shared" si="75"/>
        <v>9.3216297361740155E-3</v>
      </c>
      <c r="AV342" s="2">
        <f t="shared" si="76"/>
        <v>1.5054432023921035E-3</v>
      </c>
      <c r="AW342" s="3">
        <f t="shared" si="77"/>
        <v>16.150000000000002</v>
      </c>
    </row>
    <row r="343" spans="1:49" x14ac:dyDescent="0.2">
      <c r="A343" t="s">
        <v>45</v>
      </c>
      <c r="B343" s="5" t="s">
        <v>46</v>
      </c>
      <c r="C343" s="5" t="s">
        <v>398</v>
      </c>
      <c r="D343" s="5" t="s">
        <v>399</v>
      </c>
      <c r="E343">
        <v>11</v>
      </c>
      <c r="F343" s="6">
        <v>418</v>
      </c>
      <c r="G343" s="3">
        <v>2.15</v>
      </c>
      <c r="H343" s="3">
        <v>2.65</v>
      </c>
      <c r="I343" s="3">
        <v>1</v>
      </c>
      <c r="J343" s="3">
        <v>4.92999999999995</v>
      </c>
      <c r="K343" s="3">
        <v>5.92999999999995</v>
      </c>
      <c r="L343" s="3">
        <v>5.42999999999995</v>
      </c>
      <c r="M343" s="1">
        <v>0.21</v>
      </c>
      <c r="N343" s="3">
        <v>404.92999999999995</v>
      </c>
      <c r="O343" s="3">
        <v>405.92999999999995</v>
      </c>
      <c r="P343" s="3">
        <v>405.42999999999995</v>
      </c>
      <c r="Q343" s="3">
        <v>407.92999999999995</v>
      </c>
      <c r="R343" s="3">
        <v>408.92999999999995</v>
      </c>
      <c r="S343" s="3">
        <v>408.4</v>
      </c>
      <c r="T343" s="3">
        <v>408.4</v>
      </c>
      <c r="U343" s="7">
        <f t="shared" si="65"/>
        <v>0.5</v>
      </c>
      <c r="V343" s="3">
        <v>5018.8599999999997</v>
      </c>
      <c r="W343" s="3">
        <v>5464.7</v>
      </c>
      <c r="X343" s="3">
        <v>5256.96</v>
      </c>
      <c r="Y343" s="3">
        <v>5247.85</v>
      </c>
      <c r="Z343" s="3">
        <f t="shared" si="66"/>
        <v>222.92000000000007</v>
      </c>
      <c r="AA343" s="4">
        <f t="shared" si="67"/>
        <v>6.7079463364296446E-2</v>
      </c>
      <c r="AB343" s="4">
        <f t="shared" si="68"/>
        <v>2.9315495172424224E-3</v>
      </c>
      <c r="AC343">
        <v>1.1476266666666668</v>
      </c>
      <c r="AD343" s="2">
        <v>5.9901999999999997</v>
      </c>
      <c r="AE343" s="2">
        <v>2.2296</v>
      </c>
      <c r="AF343" s="2">
        <f t="shared" si="69"/>
        <v>3.7605999999999997</v>
      </c>
      <c r="AG343" s="2">
        <v>1.0819733333333332</v>
      </c>
      <c r="AH343" s="1">
        <f t="shared" si="70"/>
        <v>77.657058368415704</v>
      </c>
      <c r="AI343" s="1">
        <f t="shared" si="71"/>
        <v>22.342941631584296</v>
      </c>
      <c r="AJ343" s="1">
        <f t="shared" si="72"/>
        <v>1.1171470815792148</v>
      </c>
      <c r="AK343" s="8">
        <v>0.12919999999999998</v>
      </c>
      <c r="AL343" s="9">
        <v>75.604229607250772</v>
      </c>
      <c r="AM343" s="10">
        <v>3.7802114803625386</v>
      </c>
      <c r="AN343" s="9">
        <v>37.802114803625386</v>
      </c>
      <c r="AO343" s="11">
        <v>3.7812826972159508</v>
      </c>
      <c r="AP343" s="2">
        <v>4.5215999999999994</v>
      </c>
      <c r="AQ343" s="2">
        <f t="shared" si="73"/>
        <v>0.26225279999999995</v>
      </c>
      <c r="AR343" s="2">
        <v>1.0709866713847607</v>
      </c>
      <c r="AS343" s="2">
        <v>0.2392899268695447</v>
      </c>
      <c r="AT343" s="2">
        <f t="shared" si="74"/>
        <v>2.3928992686954472E-2</v>
      </c>
      <c r="AU343" s="2">
        <f t="shared" si="75"/>
        <v>1.6051439882890799E-2</v>
      </c>
      <c r="AV343" s="2">
        <f t="shared" si="76"/>
        <v>2.5361275014967465E-3</v>
      </c>
      <c r="AW343" s="3">
        <f t="shared" si="77"/>
        <v>15.8</v>
      </c>
    </row>
    <row r="344" spans="1:49" x14ac:dyDescent="0.2">
      <c r="A344" t="s">
        <v>45</v>
      </c>
      <c r="B344" s="5" t="s">
        <v>46</v>
      </c>
      <c r="C344" s="5" t="s">
        <v>398</v>
      </c>
      <c r="D344" s="5" t="s">
        <v>400</v>
      </c>
      <c r="E344">
        <v>11</v>
      </c>
      <c r="F344" s="6">
        <v>419</v>
      </c>
      <c r="G344" s="3">
        <v>2.2999999999999998</v>
      </c>
      <c r="H344" s="3">
        <v>2.7</v>
      </c>
      <c r="I344" s="3">
        <v>1.05</v>
      </c>
      <c r="J344" s="3">
        <v>6.1374999999999318</v>
      </c>
      <c r="K344" s="3">
        <v>7.1874999999999432</v>
      </c>
      <c r="L344" s="3">
        <v>6.6624999999999091</v>
      </c>
      <c r="M344" s="1">
        <v>0.21</v>
      </c>
      <c r="N344" s="3">
        <v>406.13749999999993</v>
      </c>
      <c r="O344" s="3">
        <v>407.18749999999994</v>
      </c>
      <c r="P344" s="3">
        <v>406.66249999999991</v>
      </c>
      <c r="Q344" s="3">
        <v>409.13749999999993</v>
      </c>
      <c r="R344" s="3">
        <v>410.18749999999994</v>
      </c>
      <c r="S344" s="3">
        <v>409.7</v>
      </c>
      <c r="T344" s="3">
        <v>409.7</v>
      </c>
      <c r="U344" s="7">
        <f t="shared" si="65"/>
        <v>0.52500000000000568</v>
      </c>
      <c r="V344" s="3">
        <v>5031.0200000000004</v>
      </c>
      <c r="W344" s="3">
        <v>5487.99</v>
      </c>
      <c r="X344" s="3">
        <v>5273.22</v>
      </c>
      <c r="Y344" s="3">
        <v>5267.23</v>
      </c>
      <c r="Z344" s="3">
        <f t="shared" si="66"/>
        <v>228.48499999999967</v>
      </c>
      <c r="AA344" s="4">
        <f t="shared" si="67"/>
        <v>3.0721966205836566E-2</v>
      </c>
      <c r="AB344" s="4">
        <f t="shared" si="68"/>
        <v>1.3720434230328042E-3</v>
      </c>
      <c r="AC344">
        <v>1.1476266666666668</v>
      </c>
      <c r="AD344" s="2">
        <v>6.4264999999999999</v>
      </c>
      <c r="AE344" s="2">
        <v>2.3481999999999998</v>
      </c>
      <c r="AF344" s="2">
        <f t="shared" si="69"/>
        <v>4.0783000000000005</v>
      </c>
      <c r="AG344" s="2">
        <v>1.200573333333333</v>
      </c>
      <c r="AH344" s="1">
        <f t="shared" si="70"/>
        <v>77.257015701582802</v>
      </c>
      <c r="AI344" s="1">
        <f t="shared" si="71"/>
        <v>22.742984298417198</v>
      </c>
      <c r="AJ344" s="1">
        <f t="shared" si="72"/>
        <v>1.13714921492086</v>
      </c>
      <c r="AK344" s="8">
        <v>0.19449999999999967</v>
      </c>
      <c r="AL344" s="9">
        <v>73.33790267306378</v>
      </c>
      <c r="AM344" s="10">
        <v>3.6668951336531892</v>
      </c>
      <c r="AN344" s="9">
        <v>36.66895133653189</v>
      </c>
      <c r="AO344" s="11">
        <v>3.667999444003426</v>
      </c>
      <c r="AP344" s="2">
        <v>5.1515625000000007</v>
      </c>
      <c r="AQ344" s="2">
        <f t="shared" si="73"/>
        <v>0.31166953125000008</v>
      </c>
      <c r="AR344" s="2">
        <v>1.0247130522697401</v>
      </c>
      <c r="AS344" s="2">
        <v>0.23305032858153868</v>
      </c>
      <c r="AT344" s="2">
        <f t="shared" si="74"/>
        <v>2.3305032858153871E-2</v>
      </c>
      <c r="AU344" s="2">
        <f t="shared" si="75"/>
        <v>7.159764318941139E-3</v>
      </c>
      <c r="AV344" s="2">
        <f t="shared" si="76"/>
        <v>1.1491421731900529E-3</v>
      </c>
      <c r="AW344" s="3">
        <f t="shared" si="77"/>
        <v>16.05</v>
      </c>
    </row>
    <row r="345" spans="1:49" x14ac:dyDescent="0.2">
      <c r="A345" t="s">
        <v>45</v>
      </c>
      <c r="B345" s="5" t="s">
        <v>46</v>
      </c>
      <c r="C345" s="5" t="s">
        <v>398</v>
      </c>
      <c r="D345" s="5" t="s">
        <v>401</v>
      </c>
      <c r="E345">
        <v>11</v>
      </c>
      <c r="F345" s="6">
        <v>420</v>
      </c>
      <c r="G345" s="3">
        <v>2.1</v>
      </c>
      <c r="H345" s="3">
        <v>2.8</v>
      </c>
      <c r="I345" s="3">
        <v>1</v>
      </c>
      <c r="J345" s="3">
        <v>7.394999999999925</v>
      </c>
      <c r="K345" s="3">
        <v>8.394999999999925</v>
      </c>
      <c r="L345" s="3">
        <v>7.894999999999925</v>
      </c>
      <c r="M345" s="1">
        <v>0.21</v>
      </c>
      <c r="N345" s="3">
        <v>407.39499999999992</v>
      </c>
      <c r="O345" s="3">
        <v>408.39499999999992</v>
      </c>
      <c r="P345" s="3">
        <v>407.89499999999992</v>
      </c>
      <c r="Q345" s="3">
        <v>410.39499999999992</v>
      </c>
      <c r="R345" s="3">
        <v>411.39499999999992</v>
      </c>
      <c r="S345" s="3">
        <v>410.9</v>
      </c>
      <c r="T345" s="3">
        <v>410.9</v>
      </c>
      <c r="U345" s="7">
        <f t="shared" si="65"/>
        <v>0.5</v>
      </c>
      <c r="V345" s="3">
        <v>5080.43</v>
      </c>
      <c r="W345" s="3">
        <v>5520.94</v>
      </c>
      <c r="X345" s="3">
        <v>5309.93</v>
      </c>
      <c r="Y345" s="3">
        <v>5306.29</v>
      </c>
      <c r="Z345" s="3">
        <f t="shared" si="66"/>
        <v>220.25499999999965</v>
      </c>
      <c r="AA345" s="4">
        <f t="shared" si="67"/>
        <v>2.6019080659151091E-2</v>
      </c>
      <c r="AB345" s="4">
        <f t="shared" si="68"/>
        <v>1.1116685133685858E-3</v>
      </c>
      <c r="AC345">
        <v>1.1476266666666668</v>
      </c>
      <c r="AD345" s="2">
        <v>5.9882</v>
      </c>
      <c r="AE345" s="2">
        <v>2.1627999999999998</v>
      </c>
      <c r="AF345" s="2">
        <f t="shared" si="69"/>
        <v>3.8254000000000001</v>
      </c>
      <c r="AG345" s="2">
        <v>1.015173333333333</v>
      </c>
      <c r="AH345" s="1">
        <f t="shared" si="70"/>
        <v>79.027828659415007</v>
      </c>
      <c r="AI345" s="1">
        <f t="shared" si="71"/>
        <v>20.972171340584993</v>
      </c>
      <c r="AJ345" s="1">
        <f t="shared" si="72"/>
        <v>1.0486085670292498</v>
      </c>
      <c r="AK345" s="8">
        <v>0.12629999999999963</v>
      </c>
      <c r="AL345" s="9">
        <v>74.689378757515087</v>
      </c>
      <c r="AM345" s="10">
        <v>3.7344689378757545</v>
      </c>
      <c r="AN345" s="9">
        <v>37.344689378757543</v>
      </c>
      <c r="AO345" s="11">
        <v>3.7355532720011992</v>
      </c>
      <c r="AP345" s="2">
        <v>4.7119625000000003</v>
      </c>
      <c r="AQ345" s="2">
        <f t="shared" si="73"/>
        <v>0.27800578750000005</v>
      </c>
      <c r="AR345" s="2">
        <v>1.027294536688977</v>
      </c>
      <c r="AS345" s="2">
        <v>0.21544597040688099</v>
      </c>
      <c r="AT345" s="2">
        <f t="shared" si="74"/>
        <v>2.1544597040688101E-2</v>
      </c>
      <c r="AU345" s="2">
        <f t="shared" si="75"/>
        <v>5.6057060817057153E-3</v>
      </c>
      <c r="AV345" s="2">
        <f t="shared" si="76"/>
        <v>8.913072669912088E-4</v>
      </c>
      <c r="AW345" s="3">
        <f t="shared" si="77"/>
        <v>15.9</v>
      </c>
    </row>
    <row r="346" spans="1:49" x14ac:dyDescent="0.2">
      <c r="A346" t="s">
        <v>45</v>
      </c>
      <c r="B346" s="5" t="s">
        <v>46</v>
      </c>
      <c r="C346" s="5" t="s">
        <v>398</v>
      </c>
      <c r="D346" s="5" t="s">
        <v>402</v>
      </c>
      <c r="E346">
        <v>11</v>
      </c>
      <c r="F346" s="6">
        <v>421</v>
      </c>
      <c r="G346" s="3">
        <v>2.2999999999999998</v>
      </c>
      <c r="H346" s="3">
        <v>2.6</v>
      </c>
      <c r="I346" s="3">
        <v>1.05</v>
      </c>
      <c r="J346" s="3">
        <v>8.6024999999999068</v>
      </c>
      <c r="K346" s="3">
        <v>9.6524999999999181</v>
      </c>
      <c r="L346" s="3">
        <v>9.1274999999999409</v>
      </c>
      <c r="M346" s="1">
        <v>0.21</v>
      </c>
      <c r="N346" s="3">
        <v>408.60249999999991</v>
      </c>
      <c r="O346" s="3">
        <v>409.65249999999992</v>
      </c>
      <c r="P346" s="3">
        <v>409.12749999999994</v>
      </c>
      <c r="Q346" s="3">
        <v>411.60249999999991</v>
      </c>
      <c r="R346" s="3">
        <v>412.65249999999992</v>
      </c>
      <c r="S346" s="3">
        <v>412.1</v>
      </c>
      <c r="T346" s="3">
        <v>412.1</v>
      </c>
      <c r="U346" s="7">
        <f t="shared" si="65"/>
        <v>0.52500000000000568</v>
      </c>
      <c r="V346" s="3">
        <v>5123.6499999999996</v>
      </c>
      <c r="W346" s="3">
        <v>5558.35</v>
      </c>
      <c r="X346" s="3">
        <v>5354.43</v>
      </c>
      <c r="Y346" s="3">
        <v>5352.41</v>
      </c>
      <c r="Z346" s="3">
        <f t="shared" si="66"/>
        <v>217.35000000000036</v>
      </c>
      <c r="AA346" s="4">
        <f t="shared" si="67"/>
        <v>2.6020816653321729E-2</v>
      </c>
      <c r="AB346" s="4">
        <f t="shared" si="68"/>
        <v>1.0897996364195839E-3</v>
      </c>
      <c r="AC346">
        <v>1.1476266666666668</v>
      </c>
      <c r="AD346" s="2">
        <v>6.4401999999999999</v>
      </c>
      <c r="AE346" s="2">
        <v>2.1575000000000002</v>
      </c>
      <c r="AF346" s="2">
        <f t="shared" si="69"/>
        <v>4.2827000000000002</v>
      </c>
      <c r="AG346" s="2">
        <v>1.0098733333333334</v>
      </c>
      <c r="AH346" s="1">
        <f t="shared" si="70"/>
        <v>80.919048830688538</v>
      </c>
      <c r="AI346" s="1">
        <f t="shared" si="71"/>
        <v>19.080951169311462</v>
      </c>
      <c r="AJ346" s="1">
        <f t="shared" si="72"/>
        <v>0.9540475584655731</v>
      </c>
      <c r="AK346" s="8">
        <v>0.3653000000000004</v>
      </c>
      <c r="AL346" s="9">
        <v>54.901234567901213</v>
      </c>
      <c r="AM346" s="10">
        <v>2.7450617283950609</v>
      </c>
      <c r="AN346" s="9">
        <v>27.450617283950606</v>
      </c>
      <c r="AO346" s="11">
        <v>2.7465367087842245</v>
      </c>
      <c r="AP346" s="2">
        <v>4.9475606250000004</v>
      </c>
      <c r="AQ346" s="2">
        <f t="shared" si="73"/>
        <v>0.29437985718750004</v>
      </c>
      <c r="AR346" s="2">
        <v>1.0697339021153143</v>
      </c>
      <c r="AS346" s="2">
        <v>0.20411540350419322</v>
      </c>
      <c r="AT346" s="2">
        <f t="shared" si="74"/>
        <v>2.0411540350419324E-2</v>
      </c>
      <c r="AU346" s="2">
        <f t="shared" si="75"/>
        <v>5.311249490701395E-3</v>
      </c>
      <c r="AV346" s="2">
        <f t="shared" si="76"/>
        <v>8.4714429376687268E-4</v>
      </c>
      <c r="AW346" s="3">
        <f t="shared" si="77"/>
        <v>15.950000000000003</v>
      </c>
    </row>
    <row r="347" spans="1:49" x14ac:dyDescent="0.2">
      <c r="A347" t="s">
        <v>45</v>
      </c>
      <c r="B347" s="5" t="s">
        <v>46</v>
      </c>
      <c r="C347" s="5" t="s">
        <v>398</v>
      </c>
      <c r="D347" s="5" t="s">
        <v>403</v>
      </c>
      <c r="E347">
        <v>11</v>
      </c>
      <c r="F347" s="6">
        <v>422</v>
      </c>
      <c r="G347" s="3">
        <v>2.15</v>
      </c>
      <c r="H347" s="3">
        <v>2.4</v>
      </c>
      <c r="I347" s="3">
        <v>1</v>
      </c>
      <c r="J347" s="3">
        <v>9.8599999999999</v>
      </c>
      <c r="K347" s="3">
        <v>10.8599999999999</v>
      </c>
      <c r="L347" s="3">
        <v>10.3599999999999</v>
      </c>
      <c r="M347" s="1">
        <v>0.21</v>
      </c>
      <c r="N347" s="3">
        <v>409.8599999999999</v>
      </c>
      <c r="O347" s="3">
        <v>410.8599999999999</v>
      </c>
      <c r="P347" s="3">
        <v>410.3599999999999</v>
      </c>
      <c r="Q347" s="3">
        <v>412.8599999999999</v>
      </c>
      <c r="R347" s="3">
        <v>413.8599999999999</v>
      </c>
      <c r="S347" s="3">
        <v>413.4</v>
      </c>
      <c r="T347" s="3">
        <v>413.4</v>
      </c>
      <c r="U347" s="7">
        <f t="shared" si="65"/>
        <v>0.5</v>
      </c>
      <c r="V347" s="3">
        <v>5159.3500000000004</v>
      </c>
      <c r="W347" s="3">
        <v>5626.72</v>
      </c>
      <c r="X347" s="3">
        <v>5401.7</v>
      </c>
      <c r="Y347" s="3">
        <v>5402.37</v>
      </c>
      <c r="Z347" s="3">
        <f t="shared" si="66"/>
        <v>233.68499999999995</v>
      </c>
      <c r="AA347" s="4">
        <f t="shared" si="67"/>
        <v>2.60170293282883E-2</v>
      </c>
      <c r="AB347" s="4">
        <f t="shared" si="68"/>
        <v>1.1568601592411801E-3</v>
      </c>
      <c r="AC347">
        <v>1.1476266666666668</v>
      </c>
      <c r="AD347" s="2">
        <v>5.9745999999999997</v>
      </c>
      <c r="AE347" s="2">
        <v>2.5108000000000001</v>
      </c>
      <c r="AF347" s="2">
        <f t="shared" si="69"/>
        <v>3.4637999999999995</v>
      </c>
      <c r="AG347" s="2">
        <v>1.3631733333333333</v>
      </c>
      <c r="AH347" s="1">
        <f t="shared" si="70"/>
        <v>71.759252865149463</v>
      </c>
      <c r="AI347" s="1">
        <f t="shared" si="71"/>
        <v>28.240747134850537</v>
      </c>
      <c r="AJ347" s="1">
        <f t="shared" si="72"/>
        <v>1.4120373567425268</v>
      </c>
      <c r="AK347" s="8">
        <v>0.1593</v>
      </c>
      <c r="AL347" s="9">
        <v>72.295652173913055</v>
      </c>
      <c r="AM347" s="10">
        <v>3.6147826086956529</v>
      </c>
      <c r="AN347" s="9">
        <v>36.147826086956528</v>
      </c>
      <c r="AO347" s="11">
        <v>3.6159028344423958</v>
      </c>
      <c r="AP347" s="2">
        <v>4.0628656249999997</v>
      </c>
      <c r="AQ347" s="2">
        <f t="shared" si="73"/>
        <v>0.22548904218749999</v>
      </c>
      <c r="AR347" s="2">
        <v>1.188071124880812</v>
      </c>
      <c r="AS347" s="2">
        <v>0.3355201621597646</v>
      </c>
      <c r="AT347" s="2">
        <f t="shared" si="74"/>
        <v>3.3552016215976463E-2</v>
      </c>
      <c r="AU347" s="2">
        <f t="shared" si="75"/>
        <v>8.7292378991426414E-3</v>
      </c>
      <c r="AV347" s="2">
        <f t="shared" si="76"/>
        <v>1.3573964933166808E-3</v>
      </c>
      <c r="AW347" s="3">
        <f t="shared" si="77"/>
        <v>15.55</v>
      </c>
    </row>
    <row r="348" spans="1:49" x14ac:dyDescent="0.2">
      <c r="A348" t="s">
        <v>45</v>
      </c>
      <c r="B348" s="5" t="s">
        <v>46</v>
      </c>
      <c r="C348" s="5" t="s">
        <v>398</v>
      </c>
      <c r="D348" s="5" t="s">
        <v>404</v>
      </c>
      <c r="E348">
        <v>11</v>
      </c>
      <c r="F348" s="6">
        <v>423</v>
      </c>
      <c r="G348" s="3">
        <v>2.15</v>
      </c>
      <c r="H348" s="3">
        <v>2.35</v>
      </c>
      <c r="I348" s="3">
        <v>0.95</v>
      </c>
      <c r="J348" s="3">
        <v>11.067499999999882</v>
      </c>
      <c r="K348" s="3">
        <v>12.01749999999987</v>
      </c>
      <c r="L348" s="3">
        <v>11.542499999999905</v>
      </c>
      <c r="M348" s="1">
        <v>0.21</v>
      </c>
      <c r="N348" s="3">
        <v>411.06749999999988</v>
      </c>
      <c r="O348" s="3">
        <v>412.01749999999987</v>
      </c>
      <c r="P348" s="3">
        <v>411.5424999999999</v>
      </c>
      <c r="Q348" s="3">
        <v>414.06749999999988</v>
      </c>
      <c r="R348" s="3">
        <v>415.01749999999987</v>
      </c>
      <c r="S348" s="3">
        <v>414.5</v>
      </c>
      <c r="T348" s="3">
        <v>414.5</v>
      </c>
      <c r="U348" s="7">
        <f t="shared" si="65"/>
        <v>0.47499999999999432</v>
      </c>
      <c r="V348" s="3">
        <v>5185.8900000000003</v>
      </c>
      <c r="W348" s="3">
        <v>5694.82</v>
      </c>
      <c r="X348" s="3">
        <v>5441.46</v>
      </c>
      <c r="Y348" s="3">
        <v>5444.65</v>
      </c>
      <c r="Z348" s="3">
        <f t="shared" si="66"/>
        <v>254.46499999999969</v>
      </c>
      <c r="AA348" s="4">
        <f t="shared" si="67"/>
        <v>2.6019080659149346E-2</v>
      </c>
      <c r="AB348" s="4">
        <f t="shared" si="68"/>
        <v>1.2458628922486865E-3</v>
      </c>
      <c r="AC348">
        <v>1.1476266666666668</v>
      </c>
      <c r="AD348" s="2">
        <v>5.6580000000000004</v>
      </c>
      <c r="AE348" s="2">
        <v>2.0840000000000001</v>
      </c>
      <c r="AF348" s="2">
        <f t="shared" si="69"/>
        <v>3.5740000000000003</v>
      </c>
      <c r="AG348" s="2">
        <v>0.93637333333333328</v>
      </c>
      <c r="AH348" s="1">
        <f t="shared" si="70"/>
        <v>79.239560361596091</v>
      </c>
      <c r="AI348" s="1">
        <f t="shared" si="71"/>
        <v>20.760439638403909</v>
      </c>
      <c r="AJ348" s="1">
        <f t="shared" si="72"/>
        <v>1.0380219819201955</v>
      </c>
      <c r="AK348" s="8">
        <v>0.13100000000000023</v>
      </c>
      <c r="AL348" s="9">
        <v>76.220729715011771</v>
      </c>
      <c r="AM348" s="10">
        <v>3.8110364857505887</v>
      </c>
      <c r="AN348" s="9">
        <v>38.110364857505886</v>
      </c>
      <c r="AO348" s="11">
        <v>3.8120990406496786</v>
      </c>
      <c r="AP348" s="2">
        <v>3.7753593750000003</v>
      </c>
      <c r="AQ348" s="2">
        <f t="shared" si="73"/>
        <v>0.20575708593750003</v>
      </c>
      <c r="AR348" s="2">
        <v>1.1946871503678596</v>
      </c>
      <c r="AS348" s="2">
        <v>0.24802230471988729</v>
      </c>
      <c r="AT348" s="2">
        <f t="shared" si="74"/>
        <v>2.4802230471988731E-2</v>
      </c>
      <c r="AU348" s="2">
        <f t="shared" si="75"/>
        <v>6.4533123517748646E-3</v>
      </c>
      <c r="AV348" s="2">
        <f t="shared" si="76"/>
        <v>9.9703675834921651E-4</v>
      </c>
      <c r="AW348" s="3">
        <f t="shared" si="77"/>
        <v>15.45</v>
      </c>
    </row>
    <row r="349" spans="1:49" x14ac:dyDescent="0.2">
      <c r="A349" t="s">
        <v>45</v>
      </c>
      <c r="B349" s="5" t="s">
        <v>46</v>
      </c>
      <c r="C349" s="5" t="s">
        <v>398</v>
      </c>
      <c r="D349" s="5" t="s">
        <v>405</v>
      </c>
      <c r="E349">
        <v>11</v>
      </c>
      <c r="F349" s="6">
        <v>424</v>
      </c>
      <c r="G349" s="3">
        <v>2.1</v>
      </c>
      <c r="H349" s="3">
        <v>2.7</v>
      </c>
      <c r="I349" s="3">
        <v>1</v>
      </c>
      <c r="J349" s="3">
        <v>12.224999999999852</v>
      </c>
      <c r="K349" s="3">
        <v>13.224999999999852</v>
      </c>
      <c r="L349" s="3">
        <v>12.724999999999852</v>
      </c>
      <c r="M349" s="1">
        <v>0.21</v>
      </c>
      <c r="N349" s="3">
        <v>412.22499999999985</v>
      </c>
      <c r="O349" s="3">
        <v>413.22499999999985</v>
      </c>
      <c r="P349" s="3">
        <v>412.72499999999985</v>
      </c>
      <c r="Q349" s="3">
        <v>415.22499999999985</v>
      </c>
      <c r="R349" s="3">
        <v>416.22499999999985</v>
      </c>
      <c r="S349" s="3">
        <v>415.7</v>
      </c>
      <c r="T349" s="3">
        <v>415.7</v>
      </c>
      <c r="U349" s="7">
        <f t="shared" si="65"/>
        <v>0.5</v>
      </c>
      <c r="V349" s="3">
        <v>5208.6899999999996</v>
      </c>
      <c r="W349" s="3">
        <v>5782.4</v>
      </c>
      <c r="X349" s="3">
        <v>5484.1</v>
      </c>
      <c r="Y349" s="3">
        <v>5490.77</v>
      </c>
      <c r="Z349" s="3">
        <f t="shared" si="66"/>
        <v>286.85500000000002</v>
      </c>
      <c r="AA349" s="4">
        <f t="shared" si="67"/>
        <v>2.601908065914986E-2</v>
      </c>
      <c r="AB349" s="4">
        <f t="shared" si="68"/>
        <v>1.3906136640132697E-3</v>
      </c>
      <c r="AC349">
        <v>1.1476266666666668</v>
      </c>
      <c r="AD349" s="2">
        <v>5.8201000000000001</v>
      </c>
      <c r="AE349" s="2">
        <v>1.9878</v>
      </c>
      <c r="AF349" s="2">
        <f t="shared" si="69"/>
        <v>3.8323</v>
      </c>
      <c r="AG349" s="2">
        <v>0.84017333333333322</v>
      </c>
      <c r="AH349" s="1">
        <f t="shared" si="70"/>
        <v>82.018659639220331</v>
      </c>
      <c r="AI349" s="1">
        <f t="shared" si="71"/>
        <v>17.981340360779669</v>
      </c>
      <c r="AJ349" s="1">
        <f t="shared" si="72"/>
        <v>0.89906701803898348</v>
      </c>
      <c r="AK349" s="8">
        <v>0.1426999999999996</v>
      </c>
      <c r="AL349" s="9">
        <v>76.436591809775493</v>
      </c>
      <c r="AM349" s="10">
        <v>3.8218295904887749</v>
      </c>
      <c r="AN349" s="9">
        <v>38.218295904887746</v>
      </c>
      <c r="AO349" s="11">
        <v>3.8228891454939675</v>
      </c>
      <c r="AP349" s="2">
        <v>4.5216000000000012</v>
      </c>
      <c r="AQ349" s="2">
        <f t="shared" si="73"/>
        <v>0.26225280000000006</v>
      </c>
      <c r="AR349" s="2">
        <v>1.0333672446331679</v>
      </c>
      <c r="AS349" s="2">
        <v>0.18581328143430048</v>
      </c>
      <c r="AT349" s="2">
        <f t="shared" si="74"/>
        <v>1.858132814343005E-2</v>
      </c>
      <c r="AU349" s="2">
        <f t="shared" si="75"/>
        <v>4.8346907571803774E-3</v>
      </c>
      <c r="AV349" s="2">
        <f t="shared" si="76"/>
        <v>7.638811396344996E-4</v>
      </c>
      <c r="AW349" s="3">
        <f t="shared" si="77"/>
        <v>15.8</v>
      </c>
    </row>
    <row r="350" spans="1:49" x14ac:dyDescent="0.2">
      <c r="A350" t="s">
        <v>45</v>
      </c>
      <c r="B350" s="5" t="s">
        <v>46</v>
      </c>
      <c r="C350" s="5" t="s">
        <v>398</v>
      </c>
      <c r="D350" s="5" t="s">
        <v>406</v>
      </c>
      <c r="E350">
        <v>11</v>
      </c>
      <c r="F350" s="6">
        <v>425</v>
      </c>
      <c r="G350" s="3">
        <v>2.25</v>
      </c>
      <c r="H350" s="3">
        <v>2.5499999999999998</v>
      </c>
      <c r="I350" s="3">
        <v>1</v>
      </c>
      <c r="J350" s="3">
        <v>13.432499999999834</v>
      </c>
      <c r="K350" s="3">
        <v>14.432499999999834</v>
      </c>
      <c r="L350" s="3">
        <v>13.932499999999834</v>
      </c>
      <c r="M350" s="1">
        <v>0.21</v>
      </c>
      <c r="N350" s="3">
        <v>413.43249999999983</v>
      </c>
      <c r="O350" s="3">
        <v>414.43249999999983</v>
      </c>
      <c r="P350" s="3">
        <v>413.93249999999983</v>
      </c>
      <c r="Q350" s="3">
        <v>416.43249999999983</v>
      </c>
      <c r="R350" s="3">
        <v>417.43249999999983</v>
      </c>
      <c r="S350" s="3">
        <v>416.9</v>
      </c>
      <c r="T350" s="3">
        <v>416.9</v>
      </c>
      <c r="U350" s="7">
        <f t="shared" si="65"/>
        <v>0.5</v>
      </c>
      <c r="V350" s="3">
        <v>5224.58</v>
      </c>
      <c r="W350" s="3">
        <v>5868.89</v>
      </c>
      <c r="X350" s="3">
        <v>5528.3</v>
      </c>
      <c r="Y350" s="3">
        <v>5536.89</v>
      </c>
      <c r="Z350" s="3">
        <f t="shared" si="66"/>
        <v>322.1550000000002</v>
      </c>
      <c r="AA350" s="4">
        <f t="shared" si="67"/>
        <v>2.6019080659151091E-2</v>
      </c>
      <c r="AB350" s="4">
        <f t="shared" si="68"/>
        <v>1.5450835970027851E-3</v>
      </c>
      <c r="AC350">
        <v>1.1476266666666668</v>
      </c>
      <c r="AD350" s="2">
        <v>6.2401</v>
      </c>
      <c r="AE350" s="2">
        <v>2.1076999999999999</v>
      </c>
      <c r="AF350" s="2">
        <f t="shared" si="69"/>
        <v>4.1324000000000005</v>
      </c>
      <c r="AG350" s="2">
        <v>0.96007333333333311</v>
      </c>
      <c r="AH350" s="1">
        <f t="shared" si="70"/>
        <v>81.147209411013122</v>
      </c>
      <c r="AI350" s="1">
        <f t="shared" si="71"/>
        <v>18.852790588986878</v>
      </c>
      <c r="AJ350" s="1">
        <f t="shared" si="72"/>
        <v>0.94263952944934393</v>
      </c>
      <c r="AK350" s="8">
        <v>0.11220000000000052</v>
      </c>
      <c r="AL350" s="9">
        <v>77.125382262996837</v>
      </c>
      <c r="AM350" s="10">
        <v>3.8562691131498421</v>
      </c>
      <c r="AN350" s="9">
        <v>38.562691131498418</v>
      </c>
      <c r="AO350" s="11">
        <v>3.8573192080813676</v>
      </c>
      <c r="AP350" s="2">
        <v>4.5215999999999994</v>
      </c>
      <c r="AQ350" s="2">
        <f t="shared" si="73"/>
        <v>0.26225279999999995</v>
      </c>
      <c r="AR350" s="2">
        <v>1.1262547180938902</v>
      </c>
      <c r="AS350" s="2">
        <v>0.21233044350082564</v>
      </c>
      <c r="AT350" s="2">
        <f t="shared" si="74"/>
        <v>2.1233044350082567E-2</v>
      </c>
      <c r="AU350" s="2">
        <f t="shared" si="75"/>
        <v>5.5246429358413061E-3</v>
      </c>
      <c r="AV350" s="2">
        <f t="shared" si="76"/>
        <v>8.7289358386292656E-4</v>
      </c>
      <c r="AW350" s="3">
        <f t="shared" si="77"/>
        <v>15.800000000000002</v>
      </c>
    </row>
    <row r="351" spans="1:49" x14ac:dyDescent="0.2">
      <c r="A351" t="s">
        <v>45</v>
      </c>
      <c r="B351" s="5" t="s">
        <v>46</v>
      </c>
      <c r="C351" s="5" t="s">
        <v>398</v>
      </c>
      <c r="D351" s="5" t="s">
        <v>407</v>
      </c>
      <c r="E351">
        <v>11</v>
      </c>
      <c r="F351" s="6">
        <v>426</v>
      </c>
      <c r="G351" s="3">
        <v>2.0499999999999998</v>
      </c>
      <c r="H351" s="3">
        <v>2.5</v>
      </c>
      <c r="I351" s="3">
        <v>1</v>
      </c>
      <c r="J351" s="3">
        <v>14.639999999999816</v>
      </c>
      <c r="K351" s="3">
        <v>15.639999999999816</v>
      </c>
      <c r="L351" s="3">
        <v>15.139999999999816</v>
      </c>
      <c r="M351" s="1">
        <v>0.21</v>
      </c>
      <c r="N351" s="3">
        <v>414.63999999999982</v>
      </c>
      <c r="O351" s="3">
        <v>415.63999999999982</v>
      </c>
      <c r="P351" s="3">
        <v>415.13999999999982</v>
      </c>
      <c r="Q351" s="3">
        <v>417.63999999999982</v>
      </c>
      <c r="R351" s="3">
        <v>418.63999999999982</v>
      </c>
      <c r="S351" s="3">
        <v>418.1</v>
      </c>
      <c r="T351" s="3">
        <v>418.1</v>
      </c>
      <c r="U351" s="7">
        <f t="shared" si="65"/>
        <v>0.5</v>
      </c>
      <c r="V351" s="3">
        <v>5244.14</v>
      </c>
      <c r="W351" s="3">
        <v>5960.21</v>
      </c>
      <c r="X351" s="3">
        <v>5572.96</v>
      </c>
      <c r="Y351" s="3">
        <v>5583.01</v>
      </c>
      <c r="Z351" s="3">
        <f t="shared" si="66"/>
        <v>358.03499999999985</v>
      </c>
      <c r="AA351" s="4">
        <f t="shared" si="67"/>
        <v>2.601908065914986E-2</v>
      </c>
      <c r="AB351" s="4">
        <f t="shared" si="68"/>
        <v>1.699703509666581E-3</v>
      </c>
      <c r="AC351">
        <v>1.1476266666666668</v>
      </c>
      <c r="AD351" s="2">
        <v>5.8182999999999998</v>
      </c>
      <c r="AE351" s="2">
        <v>2.1223000000000001</v>
      </c>
      <c r="AF351" s="2">
        <f t="shared" si="69"/>
        <v>3.6959999999999997</v>
      </c>
      <c r="AG351" s="2">
        <v>0.97467333333333328</v>
      </c>
      <c r="AH351" s="1">
        <f t="shared" si="70"/>
        <v>79.132059474651044</v>
      </c>
      <c r="AI351" s="1">
        <f t="shared" si="71"/>
        <v>20.867940525348956</v>
      </c>
      <c r="AJ351" s="1">
        <f t="shared" si="72"/>
        <v>1.0433970262674479</v>
      </c>
      <c r="AK351" s="8">
        <v>0.15339999999999954</v>
      </c>
      <c r="AL351" s="9">
        <v>74.50980392156869</v>
      </c>
      <c r="AM351" s="10">
        <v>3.7254901960784346</v>
      </c>
      <c r="AN351" s="9">
        <v>37.254901960784345</v>
      </c>
      <c r="AO351" s="11">
        <v>3.7265771427781464</v>
      </c>
      <c r="AP351" s="2">
        <v>4.0628656249999997</v>
      </c>
      <c r="AQ351" s="2">
        <f t="shared" si="73"/>
        <v>0.22548904218749999</v>
      </c>
      <c r="AR351" s="2">
        <v>1.1496007410615097</v>
      </c>
      <c r="AS351" s="2">
        <v>0.23989799892368663</v>
      </c>
      <c r="AT351" s="2">
        <f t="shared" si="74"/>
        <v>2.3989799892368664E-2</v>
      </c>
      <c r="AU351" s="2">
        <f t="shared" si="75"/>
        <v>6.2419253839640487E-3</v>
      </c>
      <c r="AV351" s="2">
        <f t="shared" si="76"/>
        <v>9.7061939720640951E-4</v>
      </c>
      <c r="AW351" s="3">
        <f t="shared" si="77"/>
        <v>15.55</v>
      </c>
    </row>
    <row r="352" spans="1:49" x14ac:dyDescent="0.2">
      <c r="A352" t="s">
        <v>45</v>
      </c>
      <c r="B352" s="5" t="s">
        <v>46</v>
      </c>
      <c r="C352" s="5" t="s">
        <v>398</v>
      </c>
      <c r="D352" s="5" t="s">
        <v>408</v>
      </c>
      <c r="E352">
        <v>11</v>
      </c>
      <c r="F352" s="6">
        <v>427</v>
      </c>
      <c r="G352" s="3">
        <v>2</v>
      </c>
      <c r="H352" s="3">
        <v>2.5</v>
      </c>
      <c r="I352" s="3">
        <v>1</v>
      </c>
      <c r="J352" s="3">
        <v>15.847499999999798</v>
      </c>
      <c r="K352" s="3">
        <v>16.847499999999798</v>
      </c>
      <c r="L352" s="3">
        <v>16.347499999999798</v>
      </c>
      <c r="M352" s="1">
        <v>0.21</v>
      </c>
      <c r="N352" s="3">
        <v>415.8474999999998</v>
      </c>
      <c r="O352" s="3">
        <v>416.8474999999998</v>
      </c>
      <c r="P352" s="3">
        <v>416.3474999999998</v>
      </c>
      <c r="Q352" s="3">
        <v>418.8474999999998</v>
      </c>
      <c r="R352" s="3">
        <v>419.8474999999998</v>
      </c>
      <c r="S352" s="3">
        <v>419.3</v>
      </c>
      <c r="T352" s="3">
        <v>419.3</v>
      </c>
      <c r="U352" s="7">
        <f t="shared" si="65"/>
        <v>0.5</v>
      </c>
      <c r="V352" s="3">
        <v>5261.99</v>
      </c>
      <c r="W352" s="3">
        <v>6052.97</v>
      </c>
      <c r="X352" s="3">
        <v>5614.8</v>
      </c>
      <c r="Y352" s="3">
        <v>5629.13</v>
      </c>
      <c r="Z352" s="3">
        <f t="shared" si="66"/>
        <v>395.49000000000024</v>
      </c>
      <c r="AA352" s="4">
        <f t="shared" si="67"/>
        <v>2.4335454885810737E-2</v>
      </c>
      <c r="AB352" s="4">
        <f t="shared" si="68"/>
        <v>1.7387734146727439E-3</v>
      </c>
      <c r="AC352">
        <v>1.1476266666666668</v>
      </c>
      <c r="AD352" s="2">
        <v>6.1384999999999996</v>
      </c>
      <c r="AE352" s="2">
        <v>2.2679</v>
      </c>
      <c r="AF352" s="2">
        <f t="shared" si="69"/>
        <v>3.8705999999999996</v>
      </c>
      <c r="AG352" s="2">
        <v>1.1202733333333332</v>
      </c>
      <c r="AH352" s="1">
        <f t="shared" si="70"/>
        <v>77.553561100194884</v>
      </c>
      <c r="AI352" s="1">
        <f t="shared" si="71"/>
        <v>22.446438899805116</v>
      </c>
      <c r="AJ352" s="1">
        <f t="shared" si="72"/>
        <v>1.1223219449902559</v>
      </c>
      <c r="AK352" s="8">
        <v>0.13710000000000022</v>
      </c>
      <c r="AL352" s="9">
        <v>70.091623036649182</v>
      </c>
      <c r="AM352" s="10">
        <v>3.5045811518324594</v>
      </c>
      <c r="AN352" s="9">
        <v>35.045811518324591</v>
      </c>
      <c r="AO352" s="11">
        <v>3.5057365916137124</v>
      </c>
      <c r="AP352" s="2">
        <v>3.9740625000000001</v>
      </c>
      <c r="AQ352" s="2">
        <f t="shared" si="73"/>
        <v>0.2185734375</v>
      </c>
      <c r="AR352" s="2">
        <v>1.2558618122722864</v>
      </c>
      <c r="AS352" s="2">
        <v>0.2818962543576839</v>
      </c>
      <c r="AT352" s="2">
        <f t="shared" si="74"/>
        <v>2.818962543576839E-2</v>
      </c>
      <c r="AU352" s="2">
        <f t="shared" si="75"/>
        <v>6.8600735804004451E-3</v>
      </c>
      <c r="AV352" s="2">
        <f t="shared" si="76"/>
        <v>1.063311404962069E-3</v>
      </c>
      <c r="AW352" s="3">
        <f t="shared" si="77"/>
        <v>15.5</v>
      </c>
    </row>
    <row r="353" spans="1:49" x14ac:dyDescent="0.2">
      <c r="A353" t="s">
        <v>45</v>
      </c>
      <c r="B353" s="5" t="s">
        <v>46</v>
      </c>
      <c r="C353" s="5" t="s">
        <v>398</v>
      </c>
      <c r="D353" s="5" t="s">
        <v>409</v>
      </c>
      <c r="E353">
        <v>11</v>
      </c>
      <c r="F353" s="6">
        <v>428</v>
      </c>
      <c r="G353" s="3">
        <v>2.2999999999999998</v>
      </c>
      <c r="H353" s="3">
        <v>2.5499999999999998</v>
      </c>
      <c r="I353" s="3">
        <v>1</v>
      </c>
      <c r="J353" s="3">
        <v>17.054999999999779</v>
      </c>
      <c r="K353" s="3">
        <v>18.054999999999779</v>
      </c>
      <c r="L353" s="3">
        <v>17.554999999999779</v>
      </c>
      <c r="M353" s="1">
        <v>0.21</v>
      </c>
      <c r="N353" s="3">
        <v>417.05499999999978</v>
      </c>
      <c r="O353" s="3">
        <v>418.05499999999978</v>
      </c>
      <c r="P353" s="3">
        <v>417.55499999999978</v>
      </c>
      <c r="Q353" s="3">
        <v>420.05499999999978</v>
      </c>
      <c r="R353" s="3">
        <v>421.05499999999978</v>
      </c>
      <c r="S353" s="3">
        <v>420.6</v>
      </c>
      <c r="T353" s="3">
        <v>420.6</v>
      </c>
      <c r="U353" s="7">
        <f t="shared" si="65"/>
        <v>0.5</v>
      </c>
      <c r="V353" s="3">
        <v>5311.39</v>
      </c>
      <c r="W353" s="3">
        <v>6116.42</v>
      </c>
      <c r="X353" s="3">
        <v>5665.6</v>
      </c>
      <c r="Y353" s="3">
        <v>5682.55</v>
      </c>
      <c r="Z353" s="3">
        <f t="shared" si="66"/>
        <v>402.51499999999987</v>
      </c>
      <c r="AA353" s="4">
        <f t="shared" si="67"/>
        <v>2.2628700735432668E-2</v>
      </c>
      <c r="AB353" s="4">
        <f t="shared" si="68"/>
        <v>1.6297709503150105E-3</v>
      </c>
      <c r="AC353">
        <v>1.1476266666666668</v>
      </c>
      <c r="AD353" s="2">
        <v>6.3865999999999996</v>
      </c>
      <c r="AE353" s="2">
        <v>2.1871999999999998</v>
      </c>
      <c r="AF353" s="2">
        <f t="shared" si="69"/>
        <v>4.1993999999999998</v>
      </c>
      <c r="AG353" s="2">
        <v>1.039573333333333</v>
      </c>
      <c r="AH353" s="1">
        <f t="shared" si="70"/>
        <v>80.156926420698198</v>
      </c>
      <c r="AI353" s="1">
        <f t="shared" si="71"/>
        <v>19.843073579301802</v>
      </c>
      <c r="AJ353" s="1">
        <f t="shared" si="72"/>
        <v>0.9921536789650901</v>
      </c>
      <c r="AK353" s="8">
        <v>6.1399999999999899E-2</v>
      </c>
      <c r="AL353" s="9">
        <v>78.732248008313192</v>
      </c>
      <c r="AM353" s="10">
        <v>3.93661240041566</v>
      </c>
      <c r="AN353" s="9">
        <v>39.366124004156596</v>
      </c>
      <c r="AO353" s="11">
        <v>3.9376410693594641</v>
      </c>
      <c r="AP353" s="2">
        <v>4.6162906249999995</v>
      </c>
      <c r="AQ353" s="2">
        <f t="shared" si="73"/>
        <v>0.27005300156250001</v>
      </c>
      <c r="AR353" s="2">
        <v>1.1348881079889406</v>
      </c>
      <c r="AS353" s="2">
        <v>0.22519668231099144</v>
      </c>
      <c r="AT353" s="2">
        <f t="shared" si="74"/>
        <v>2.2519668231099146E-2</v>
      </c>
      <c r="AU353" s="2">
        <f t="shared" si="75"/>
        <v>5.0959083306277289E-3</v>
      </c>
      <c r="AV353" s="2">
        <f t="shared" si="76"/>
        <v>8.0770147040449517E-4</v>
      </c>
      <c r="AW353" s="3">
        <f t="shared" si="77"/>
        <v>15.850000000000003</v>
      </c>
    </row>
    <row r="354" spans="1:49" x14ac:dyDescent="0.2">
      <c r="A354" t="s">
        <v>45</v>
      </c>
      <c r="B354" s="5" t="s">
        <v>46</v>
      </c>
      <c r="C354" s="5" t="s">
        <v>398</v>
      </c>
      <c r="D354" s="5" t="s">
        <v>410</v>
      </c>
      <c r="E354">
        <v>11</v>
      </c>
      <c r="F354" s="6">
        <v>429</v>
      </c>
      <c r="G354" s="3">
        <v>2.5</v>
      </c>
      <c r="H354" s="3">
        <v>2.5499999999999998</v>
      </c>
      <c r="I354" s="3">
        <v>1.05</v>
      </c>
      <c r="J354" s="3">
        <v>18.262499999999761</v>
      </c>
      <c r="K354" s="3">
        <v>19.312499999999773</v>
      </c>
      <c r="L354" s="3">
        <v>18.787499999999795</v>
      </c>
      <c r="M354" s="1">
        <v>0.21</v>
      </c>
      <c r="N354" s="3">
        <v>418.26249999999976</v>
      </c>
      <c r="O354" s="3">
        <v>419.31249999999977</v>
      </c>
      <c r="P354" s="3">
        <v>418.7874999999998</v>
      </c>
      <c r="Q354" s="3">
        <v>421.26249999999976</v>
      </c>
      <c r="R354" s="3">
        <v>422.31249999999977</v>
      </c>
      <c r="S354" s="3">
        <v>421.8</v>
      </c>
      <c r="T354" s="3">
        <v>421.8</v>
      </c>
      <c r="U354" s="7">
        <f t="shared" si="65"/>
        <v>0.52500000000000568</v>
      </c>
      <c r="V354" s="3">
        <v>5397.8</v>
      </c>
      <c r="W354" s="3">
        <v>6127</v>
      </c>
      <c r="X354" s="3">
        <v>5717.76</v>
      </c>
      <c r="Y354" s="3">
        <v>5735.58</v>
      </c>
      <c r="Z354" s="3">
        <f t="shared" si="66"/>
        <v>364.59999999999991</v>
      </c>
      <c r="AA354" s="4">
        <f t="shared" si="67"/>
        <v>2.2628700735432668E-2</v>
      </c>
      <c r="AB354" s="4">
        <f t="shared" si="68"/>
        <v>1.4666289830738109E-3</v>
      </c>
      <c r="AC354">
        <v>1.1476266666666668</v>
      </c>
      <c r="AD354" s="2">
        <v>6.7625000000000002</v>
      </c>
      <c r="AE354" s="2">
        <v>2.3157999999999999</v>
      </c>
      <c r="AF354" s="2">
        <f t="shared" si="69"/>
        <v>4.4466999999999999</v>
      </c>
      <c r="AG354" s="2">
        <v>1.1681733333333331</v>
      </c>
      <c r="AH354" s="1">
        <f t="shared" si="70"/>
        <v>79.19501894373397</v>
      </c>
      <c r="AI354" s="1">
        <f t="shared" si="71"/>
        <v>20.80498105626603</v>
      </c>
      <c r="AJ354" s="1">
        <f t="shared" si="72"/>
        <v>1.0402490528133015</v>
      </c>
      <c r="AK354" s="8">
        <v>8.2100000000000506E-2</v>
      </c>
      <c r="AL354" s="9">
        <v>76.918751757098562</v>
      </c>
      <c r="AM354" s="10">
        <v>3.8459375878549285</v>
      </c>
      <c r="AN354" s="9">
        <v>38.459375878549281</v>
      </c>
      <c r="AO354" s="11">
        <v>3.8469905029354292</v>
      </c>
      <c r="AP354" s="2">
        <v>5.2551089062500003</v>
      </c>
      <c r="AQ354" s="2">
        <f t="shared" si="73"/>
        <v>0.32056164328125003</v>
      </c>
      <c r="AR354" s="2">
        <v>1.0684599374630388</v>
      </c>
      <c r="AS354" s="2">
        <v>0.22229288758297711</v>
      </c>
      <c r="AT354" s="2">
        <f t="shared" si="74"/>
        <v>2.2229288758297713E-2</v>
      </c>
      <c r="AU354" s="2">
        <f t="shared" si="75"/>
        <v>5.0301992287303653E-3</v>
      </c>
      <c r="AV354" s="2">
        <f t="shared" si="76"/>
        <v>8.0986207582558882E-4</v>
      </c>
      <c r="AW354" s="3">
        <f t="shared" si="77"/>
        <v>16.100000000000001</v>
      </c>
    </row>
    <row r="355" spans="1:49" x14ac:dyDescent="0.2">
      <c r="A355" t="s">
        <v>45</v>
      </c>
      <c r="B355" s="5" t="s">
        <v>46</v>
      </c>
      <c r="C355" s="5" t="s">
        <v>398</v>
      </c>
      <c r="D355" s="5" t="s">
        <v>411</v>
      </c>
      <c r="E355">
        <v>11</v>
      </c>
      <c r="F355" s="6">
        <v>430</v>
      </c>
      <c r="G355" s="3">
        <v>2</v>
      </c>
      <c r="H355" s="3">
        <v>2.4</v>
      </c>
      <c r="I355" s="3">
        <v>1</v>
      </c>
      <c r="J355" s="3">
        <v>19.519999999999754</v>
      </c>
      <c r="K355" s="3">
        <v>20.519999999999754</v>
      </c>
      <c r="L355" s="3">
        <v>20.019999999999754</v>
      </c>
      <c r="M355" s="1">
        <v>0.21</v>
      </c>
      <c r="N355" s="3">
        <v>419.51999999999975</v>
      </c>
      <c r="O355" s="3">
        <v>420.51999999999975</v>
      </c>
      <c r="P355" s="3">
        <v>420.01999999999975</v>
      </c>
      <c r="Q355" s="3">
        <v>422.51999999999975</v>
      </c>
      <c r="R355" s="3">
        <v>423.51999999999975</v>
      </c>
      <c r="S355" s="3">
        <v>423</v>
      </c>
      <c r="T355" s="3">
        <v>423</v>
      </c>
      <c r="U355" s="7">
        <f t="shared" si="65"/>
        <v>0.5</v>
      </c>
      <c r="V355" s="3">
        <v>5475.05</v>
      </c>
      <c r="W355" s="3">
        <v>6141.18</v>
      </c>
      <c r="X355" s="3">
        <v>5769.96</v>
      </c>
      <c r="Y355" s="3">
        <v>5788.61</v>
      </c>
      <c r="Z355" s="3">
        <f t="shared" si="66"/>
        <v>333.06500000000005</v>
      </c>
      <c r="AA355" s="4">
        <f t="shared" si="67"/>
        <v>2.2628372497824106E-2</v>
      </c>
      <c r="AB355" s="4">
        <f t="shared" si="68"/>
        <v>1.3287386171151265E-3</v>
      </c>
      <c r="AC355">
        <v>1.1476266666666668</v>
      </c>
      <c r="AD355" s="2">
        <v>5.7415000000000003</v>
      </c>
      <c r="AE355" s="2">
        <v>2.0988000000000002</v>
      </c>
      <c r="AF355" s="2">
        <f t="shared" si="69"/>
        <v>3.6427</v>
      </c>
      <c r="AG355" s="2">
        <v>0.95117333333333343</v>
      </c>
      <c r="AH355" s="1">
        <f t="shared" si="70"/>
        <v>79.294741837316664</v>
      </c>
      <c r="AI355" s="1">
        <f t="shared" si="71"/>
        <v>20.705258162683336</v>
      </c>
      <c r="AJ355" s="1">
        <f t="shared" si="72"/>
        <v>1.0352629081341669</v>
      </c>
      <c r="AK355" s="8">
        <v>9.3799999999999883E-2</v>
      </c>
      <c r="AL355" s="9">
        <v>80.579710144927546</v>
      </c>
      <c r="AM355" s="10">
        <v>4.0289855072463778</v>
      </c>
      <c r="AN355" s="9">
        <v>40.289855072463773</v>
      </c>
      <c r="AO355" s="11">
        <v>4.0299905977063206</v>
      </c>
      <c r="AP355" s="2">
        <v>3.7994000000000008</v>
      </c>
      <c r="AQ355" s="2">
        <f t="shared" si="73"/>
        <v>0.20516760000000003</v>
      </c>
      <c r="AR355" s="2">
        <v>1.2091049463950447</v>
      </c>
      <c r="AS355" s="2">
        <v>0.25034830060886804</v>
      </c>
      <c r="AT355" s="2">
        <f t="shared" si="74"/>
        <v>2.5034830060886804E-2</v>
      </c>
      <c r="AU355" s="2">
        <f t="shared" si="75"/>
        <v>5.6649746003747115E-3</v>
      </c>
      <c r="AV355" s="2">
        <f t="shared" si="76"/>
        <v>8.7240608845770551E-4</v>
      </c>
      <c r="AW355" s="3">
        <f t="shared" si="77"/>
        <v>15.4</v>
      </c>
    </row>
    <row r="356" spans="1:49" x14ac:dyDescent="0.2">
      <c r="A356" t="s">
        <v>45</v>
      </c>
      <c r="B356" s="5" t="s">
        <v>46</v>
      </c>
      <c r="C356" s="5" t="s">
        <v>398</v>
      </c>
      <c r="D356" s="5" t="s">
        <v>412</v>
      </c>
      <c r="E356">
        <v>11</v>
      </c>
      <c r="F356" s="6">
        <v>431</v>
      </c>
      <c r="G356" s="3">
        <v>2.2000000000000002</v>
      </c>
      <c r="H356" s="3">
        <v>2.4</v>
      </c>
      <c r="I356" s="3">
        <v>1.1000000000000001</v>
      </c>
      <c r="J356" s="3">
        <v>20.727499999999736</v>
      </c>
      <c r="K356" s="3">
        <v>21.827499999999759</v>
      </c>
      <c r="L356" s="3">
        <v>21.277499999999748</v>
      </c>
      <c r="M356" s="1">
        <v>0.21</v>
      </c>
      <c r="N356" s="3">
        <v>420.72749999999974</v>
      </c>
      <c r="O356" s="3">
        <v>421.82749999999976</v>
      </c>
      <c r="P356" s="3">
        <v>421.27749999999975</v>
      </c>
      <c r="Q356" s="3">
        <v>423.72749999999974</v>
      </c>
      <c r="R356" s="3">
        <v>424.82749999999976</v>
      </c>
      <c r="S356" s="3">
        <v>424.3</v>
      </c>
      <c r="T356" s="3">
        <v>424.3</v>
      </c>
      <c r="U356" s="7">
        <f t="shared" si="65"/>
        <v>0.55000000000001137</v>
      </c>
      <c r="V356" s="3">
        <v>5542.1</v>
      </c>
      <c r="W356" s="3">
        <v>6158.09</v>
      </c>
      <c r="X356" s="3">
        <v>5838.79</v>
      </c>
      <c r="Y356" s="3">
        <v>5846.06</v>
      </c>
      <c r="Z356" s="3">
        <f t="shared" si="66"/>
        <v>307.99499999999989</v>
      </c>
      <c r="AA356" s="4">
        <f t="shared" si="67"/>
        <v>2.2628700735432668E-2</v>
      </c>
      <c r="AB356" s="4">
        <f t="shared" si="68"/>
        <v>1.2215075308614431E-3</v>
      </c>
      <c r="AC356">
        <v>1.1476266666666668</v>
      </c>
      <c r="AD356" s="2">
        <v>5.9861000000000004</v>
      </c>
      <c r="AE356" s="2">
        <v>2.1669999999999998</v>
      </c>
      <c r="AF356" s="2">
        <f t="shared" si="69"/>
        <v>3.8191000000000006</v>
      </c>
      <c r="AG356" s="2">
        <v>1.019373333333333</v>
      </c>
      <c r="AH356" s="1">
        <f t="shared" si="70"/>
        <v>78.931922052548259</v>
      </c>
      <c r="AI356" s="1">
        <f t="shared" si="71"/>
        <v>21.068077947451741</v>
      </c>
      <c r="AJ356" s="1">
        <f t="shared" si="72"/>
        <v>1.053403897372587</v>
      </c>
      <c r="AK356" s="8">
        <v>8.5700000000000109E-2</v>
      </c>
      <c r="AL356" s="9">
        <v>82.460090053213236</v>
      </c>
      <c r="AM356" s="10">
        <v>4.1230045026606623</v>
      </c>
      <c r="AN356" s="9">
        <v>41.230045026606618</v>
      </c>
      <c r="AO356" s="11">
        <v>4.1239866790473627</v>
      </c>
      <c r="AP356" s="2">
        <v>4.5679150000000002</v>
      </c>
      <c r="AQ356" s="2">
        <f t="shared" si="73"/>
        <v>0.26037115500000002</v>
      </c>
      <c r="AR356" s="2">
        <v>1.0592301593469524</v>
      </c>
      <c r="AS356" s="2">
        <v>0.22315943561413315</v>
      </c>
      <c r="AT356" s="2">
        <f t="shared" si="74"/>
        <v>2.2315943561413316E-2</v>
      </c>
      <c r="AU356" s="2">
        <f t="shared" si="75"/>
        <v>5.0498080848002738E-3</v>
      </c>
      <c r="AV356" s="2">
        <f t="shared" si="76"/>
        <v>7.9281986931364304E-4</v>
      </c>
      <c r="AW356" s="3">
        <f t="shared" si="77"/>
        <v>15.7</v>
      </c>
    </row>
    <row r="357" spans="1:49" x14ac:dyDescent="0.2">
      <c r="A357" t="s">
        <v>45</v>
      </c>
      <c r="B357" s="5" t="s">
        <v>46</v>
      </c>
      <c r="C357" s="5" t="s">
        <v>398</v>
      </c>
      <c r="D357" s="5" t="s">
        <v>413</v>
      </c>
      <c r="E357">
        <v>11</v>
      </c>
      <c r="F357" s="6">
        <v>432</v>
      </c>
      <c r="G357" s="3">
        <v>2.4500000000000002</v>
      </c>
      <c r="H357" s="3">
        <v>2.0499999999999998</v>
      </c>
      <c r="I357" s="3">
        <v>0.95</v>
      </c>
      <c r="J357" s="3">
        <v>22.034999999999741</v>
      </c>
      <c r="K357" s="3">
        <v>22.984999999999729</v>
      </c>
      <c r="L357" s="3">
        <v>22.509999999999764</v>
      </c>
      <c r="M357" s="1">
        <v>0.21</v>
      </c>
      <c r="N357" s="3">
        <v>422.03499999999974</v>
      </c>
      <c r="O357" s="3">
        <v>422.98499999999973</v>
      </c>
      <c r="P357" s="3">
        <v>422.50999999999976</v>
      </c>
      <c r="Q357" s="3">
        <v>425.03499999999974</v>
      </c>
      <c r="R357" s="3">
        <v>425.98499999999973</v>
      </c>
      <c r="S357" s="3">
        <v>425.5</v>
      </c>
      <c r="T357" s="3">
        <v>425.5</v>
      </c>
      <c r="U357" s="7">
        <f t="shared" si="65"/>
        <v>0.47499999999999432</v>
      </c>
      <c r="V357" s="3">
        <v>5588.03</v>
      </c>
      <c r="W357" s="3">
        <v>6175.55</v>
      </c>
      <c r="X357" s="3">
        <v>5901.78</v>
      </c>
      <c r="Y357" s="3">
        <v>5899.09</v>
      </c>
      <c r="Z357" s="3">
        <f t="shared" si="66"/>
        <v>293.76000000000022</v>
      </c>
      <c r="AA357" s="4">
        <f t="shared" si="67"/>
        <v>2.2628700735432668E-2</v>
      </c>
      <c r="AB357" s="4">
        <f t="shared" si="68"/>
        <v>1.1521141587760462E-3</v>
      </c>
      <c r="AC357">
        <v>1.1476266666666668</v>
      </c>
      <c r="AD357" s="2">
        <v>5.3696000000000002</v>
      </c>
      <c r="AE357" s="2">
        <v>2.0348999999999999</v>
      </c>
      <c r="AF357" s="2">
        <f t="shared" si="69"/>
        <v>3.3347000000000002</v>
      </c>
      <c r="AG357" s="2">
        <v>0.88727333333333314</v>
      </c>
      <c r="AH357" s="1">
        <f t="shared" si="70"/>
        <v>78.984392764205055</v>
      </c>
      <c r="AI357" s="1">
        <f t="shared" si="71"/>
        <v>21.015607235794945</v>
      </c>
      <c r="AJ357" s="1">
        <f t="shared" si="72"/>
        <v>1.0507803617897473</v>
      </c>
      <c r="AK357" s="8">
        <v>8.6000000000000298E-2</v>
      </c>
      <c r="AL357" s="9">
        <v>77.650727650727589</v>
      </c>
      <c r="AM357" s="10">
        <v>3.8825363825363794</v>
      </c>
      <c r="AN357" s="9">
        <v>38.825363825363794</v>
      </c>
      <c r="AO357" s="11">
        <v>3.8835793749733862</v>
      </c>
      <c r="AP357" s="2">
        <v>3.7753593750000003</v>
      </c>
      <c r="AQ357" s="2">
        <f t="shared" si="73"/>
        <v>0.20575708593750003</v>
      </c>
      <c r="AR357" s="2">
        <v>1.118297071608801</v>
      </c>
      <c r="AS357" s="2">
        <v>0.23501692029870216</v>
      </c>
      <c r="AT357" s="2">
        <f t="shared" si="74"/>
        <v>2.3501692029870219E-2</v>
      </c>
      <c r="AU357" s="2">
        <f t="shared" si="75"/>
        <v>5.3181275572023621E-3</v>
      </c>
      <c r="AV357" s="2">
        <f t="shared" si="76"/>
        <v>8.2165070758776491E-4</v>
      </c>
      <c r="AW357" s="3">
        <f t="shared" si="77"/>
        <v>15.45</v>
      </c>
    </row>
    <row r="358" spans="1:49" x14ac:dyDescent="0.2">
      <c r="A358" t="s">
        <v>45</v>
      </c>
      <c r="B358" s="5" t="s">
        <v>46</v>
      </c>
      <c r="C358" s="5" t="s">
        <v>398</v>
      </c>
      <c r="D358" s="5" t="s">
        <v>414</v>
      </c>
      <c r="E358">
        <v>11</v>
      </c>
      <c r="F358" s="6">
        <v>433</v>
      </c>
      <c r="G358" s="3">
        <v>1.9</v>
      </c>
      <c r="H358" s="3">
        <v>2.5499999999999998</v>
      </c>
      <c r="I358" s="3">
        <v>1</v>
      </c>
      <c r="J358" s="3">
        <v>23.192499999999711</v>
      </c>
      <c r="K358" s="3">
        <v>24.192499999999711</v>
      </c>
      <c r="L358" s="3">
        <v>23.692499999999711</v>
      </c>
      <c r="M358" s="1">
        <v>0.21</v>
      </c>
      <c r="N358" s="3">
        <v>423.19249999999971</v>
      </c>
      <c r="O358" s="3">
        <v>424.19249999999971</v>
      </c>
      <c r="P358" s="3">
        <v>423.69249999999971</v>
      </c>
      <c r="Q358" s="3">
        <v>426.19249999999971</v>
      </c>
      <c r="R358" s="3">
        <v>427.19249999999971</v>
      </c>
      <c r="S358" s="3">
        <v>426.7</v>
      </c>
      <c r="T358" s="3">
        <v>426.7</v>
      </c>
      <c r="U358" s="7">
        <f t="shared" si="65"/>
        <v>0.5</v>
      </c>
      <c r="V358" s="3">
        <v>5626.61</v>
      </c>
      <c r="W358" s="3">
        <v>6198.49</v>
      </c>
      <c r="X358" s="3">
        <v>5965.16</v>
      </c>
      <c r="Y358" s="3">
        <v>5952.12</v>
      </c>
      <c r="Z358" s="3">
        <f t="shared" si="66"/>
        <v>285.94000000000005</v>
      </c>
      <c r="AA358" s="4">
        <f t="shared" si="67"/>
        <v>2.2628700735432668E-2</v>
      </c>
      <c r="AB358" s="4">
        <f t="shared" si="68"/>
        <v>1.1135993104844923E-3</v>
      </c>
      <c r="AC358">
        <v>1.1476266666666668</v>
      </c>
      <c r="AD358" s="2">
        <v>5.5762</v>
      </c>
      <c r="AE358" s="2">
        <v>2.0167000000000002</v>
      </c>
      <c r="AF358" s="2">
        <f t="shared" si="69"/>
        <v>3.5594999999999999</v>
      </c>
      <c r="AG358" s="2">
        <v>0.86907333333333336</v>
      </c>
      <c r="AH358" s="1">
        <f t="shared" si="70"/>
        <v>80.375771881388431</v>
      </c>
      <c r="AI358" s="1">
        <f t="shared" si="71"/>
        <v>19.624228118611569</v>
      </c>
      <c r="AJ358" s="1">
        <f t="shared" si="72"/>
        <v>0.98121140593057854</v>
      </c>
      <c r="AK358" s="8">
        <v>0.10620000000000029</v>
      </c>
      <c r="AL358" s="9">
        <v>79.61612284069092</v>
      </c>
      <c r="AM358" s="10">
        <v>3.9808061420345462</v>
      </c>
      <c r="AN358" s="9">
        <v>39.80806142034546</v>
      </c>
      <c r="AO358" s="11">
        <v>3.9818233939314749</v>
      </c>
      <c r="AP358" s="2">
        <v>3.8862406249999992</v>
      </c>
      <c r="AQ358" s="2">
        <f t="shared" si="73"/>
        <v>0.21180011406249996</v>
      </c>
      <c r="AR358" s="2">
        <v>1.1395520145727811</v>
      </c>
      <c r="AS358" s="2">
        <v>0.22362828686999625</v>
      </c>
      <c r="AT358" s="2">
        <f t="shared" si="74"/>
        <v>2.2362828686999625E-2</v>
      </c>
      <c r="AU358" s="2">
        <f t="shared" si="75"/>
        <v>5.0604175795586313E-3</v>
      </c>
      <c r="AV358" s="2">
        <f t="shared" si="76"/>
        <v>7.8183451604180848E-4</v>
      </c>
      <c r="AW358" s="3">
        <f t="shared" si="77"/>
        <v>15.45</v>
      </c>
    </row>
    <row r="359" spans="1:49" x14ac:dyDescent="0.2">
      <c r="A359" t="s">
        <v>45</v>
      </c>
      <c r="B359" s="5" t="s">
        <v>46</v>
      </c>
      <c r="C359" s="5" t="s">
        <v>398</v>
      </c>
      <c r="D359" s="5" t="s">
        <v>415</v>
      </c>
      <c r="E359">
        <v>11</v>
      </c>
      <c r="F359" s="6">
        <v>434</v>
      </c>
      <c r="G359" s="3">
        <v>2.4500000000000002</v>
      </c>
      <c r="H359" s="3">
        <v>2.2999999999999998</v>
      </c>
      <c r="I359" s="3">
        <v>1</v>
      </c>
      <c r="J359" s="3">
        <v>24.399999999999693</v>
      </c>
      <c r="K359" s="3">
        <v>25.399999999999693</v>
      </c>
      <c r="L359" s="3">
        <v>24.899999999999693</v>
      </c>
      <c r="M359" s="1">
        <v>0.21</v>
      </c>
      <c r="N359" s="3">
        <v>424.39999999999969</v>
      </c>
      <c r="O359" s="3">
        <v>425.39999999999969</v>
      </c>
      <c r="P359" s="3">
        <v>424.89999999999969</v>
      </c>
      <c r="Q359" s="3">
        <v>427.39999999999969</v>
      </c>
      <c r="R359" s="3">
        <v>428.39999999999969</v>
      </c>
      <c r="S359" s="3">
        <v>427.9</v>
      </c>
      <c r="T359" s="3">
        <v>427.9</v>
      </c>
      <c r="U359" s="7">
        <f t="shared" si="65"/>
        <v>0.5</v>
      </c>
      <c r="V359" s="3">
        <v>5659.45</v>
      </c>
      <c r="W359" s="3">
        <v>6233.52</v>
      </c>
      <c r="X359" s="3">
        <v>6027.1</v>
      </c>
      <c r="Y359" s="3">
        <v>6005.15</v>
      </c>
      <c r="Z359" s="3">
        <f t="shared" si="66"/>
        <v>287.03500000000031</v>
      </c>
      <c r="AA359" s="4">
        <f t="shared" si="67"/>
        <v>2.2628700735433351E-2</v>
      </c>
      <c r="AB359" s="4">
        <f t="shared" si="68"/>
        <v>1.1080513801776579E-3</v>
      </c>
      <c r="AC359">
        <v>1.1476266666666668</v>
      </c>
      <c r="AD359" s="2">
        <v>5.9908000000000001</v>
      </c>
      <c r="AE359" s="2">
        <v>2.1962000000000002</v>
      </c>
      <c r="AF359" s="2">
        <f t="shared" si="69"/>
        <v>3.7946</v>
      </c>
      <c r="AG359" s="2">
        <v>1.0485733333333334</v>
      </c>
      <c r="AH359" s="1">
        <f t="shared" si="70"/>
        <v>78.349456829957205</v>
      </c>
      <c r="AI359" s="1">
        <f t="shared" si="71"/>
        <v>21.650543170042795</v>
      </c>
      <c r="AJ359" s="1">
        <f t="shared" si="72"/>
        <v>1.0825271585021399</v>
      </c>
      <c r="AK359" s="8">
        <v>6.3800000000000523E-2</v>
      </c>
      <c r="AL359" s="9">
        <v>80.429447852760603</v>
      </c>
      <c r="AM359" s="10">
        <v>4.0214723926380307</v>
      </c>
      <c r="AN359" s="9">
        <v>40.214723926380302</v>
      </c>
      <c r="AO359" s="11">
        <v>4.0224793603882976</v>
      </c>
      <c r="AP359" s="2">
        <v>4.4278906249999999</v>
      </c>
      <c r="AQ359" s="2">
        <f t="shared" si="73"/>
        <v>0.25460371093750001</v>
      </c>
      <c r="AR359" s="2">
        <v>1.0937879327887268</v>
      </c>
      <c r="AS359" s="2">
        <v>0.23681102857714184</v>
      </c>
      <c r="AT359" s="2">
        <f t="shared" si="74"/>
        <v>2.3681102857714187E-2</v>
      </c>
      <c r="AU359" s="2">
        <f t="shared" si="75"/>
        <v>5.3587258965222982E-3</v>
      </c>
      <c r="AV359" s="2">
        <f t="shared" si="76"/>
        <v>8.4399932870226192E-4</v>
      </c>
      <c r="AW359" s="3">
        <f t="shared" si="77"/>
        <v>15.75</v>
      </c>
    </row>
    <row r="360" spans="1:49" x14ac:dyDescent="0.2">
      <c r="A360" t="s">
        <v>45</v>
      </c>
      <c r="B360" s="5" t="s">
        <v>46</v>
      </c>
      <c r="C360" s="5" t="s">
        <v>398</v>
      </c>
      <c r="D360" s="5" t="s">
        <v>416</v>
      </c>
      <c r="E360">
        <v>11</v>
      </c>
      <c r="F360" s="6">
        <v>435</v>
      </c>
      <c r="G360" s="3">
        <v>2.25</v>
      </c>
      <c r="H360" s="3">
        <v>2.2999999999999998</v>
      </c>
      <c r="I360" s="3">
        <v>0.95</v>
      </c>
      <c r="J360" s="3">
        <v>25.607499999999675</v>
      </c>
      <c r="K360" s="3">
        <v>26.557499999999663</v>
      </c>
      <c r="L360" s="3">
        <v>26.082499999999641</v>
      </c>
      <c r="M360" s="1">
        <v>0.21</v>
      </c>
      <c r="N360" s="3">
        <v>425.60749999999967</v>
      </c>
      <c r="O360" s="3">
        <v>426.55749999999966</v>
      </c>
      <c r="P360" s="3">
        <v>426.08249999999964</v>
      </c>
      <c r="Q360" s="3">
        <v>428.60749999999967</v>
      </c>
      <c r="R360" s="3">
        <v>429.55749999999966</v>
      </c>
      <c r="S360" s="3">
        <v>429.1</v>
      </c>
      <c r="T360" s="3">
        <v>429.1</v>
      </c>
      <c r="U360" s="7">
        <f t="shared" si="65"/>
        <v>0.47499999999999432</v>
      </c>
      <c r="V360" s="3">
        <v>5692.91</v>
      </c>
      <c r="W360" s="3">
        <v>6283.27</v>
      </c>
      <c r="X360" s="3">
        <v>6086.79</v>
      </c>
      <c r="Y360" s="3">
        <v>6058.18</v>
      </c>
      <c r="Z360" s="3">
        <f t="shared" si="66"/>
        <v>295.18000000000029</v>
      </c>
      <c r="AA360" s="4">
        <f t="shared" si="67"/>
        <v>2.5559105431309761E-2</v>
      </c>
      <c r="AB360" s="4">
        <f t="shared" si="68"/>
        <v>1.2736401884138266E-3</v>
      </c>
      <c r="AC360">
        <v>1.1476266666666668</v>
      </c>
      <c r="AD360" s="2">
        <v>5.5472999999999999</v>
      </c>
      <c r="AE360" s="2">
        <v>2.1023999999999998</v>
      </c>
      <c r="AF360" s="2">
        <f t="shared" si="69"/>
        <v>3.4449000000000001</v>
      </c>
      <c r="AG360" s="2">
        <v>0.95477333333333303</v>
      </c>
      <c r="AH360" s="1">
        <f t="shared" si="70"/>
        <v>78.298994925380839</v>
      </c>
      <c r="AI360" s="1">
        <f t="shared" si="71"/>
        <v>21.701005074619161</v>
      </c>
      <c r="AJ360" s="1">
        <f t="shared" si="72"/>
        <v>1.0850502537309581</v>
      </c>
      <c r="AK360" s="8">
        <v>9.5900000000000318E-2</v>
      </c>
      <c r="AL360" s="9">
        <v>74.723247232472261</v>
      </c>
      <c r="AM360" s="10">
        <v>3.736162361623613</v>
      </c>
      <c r="AN360" s="9">
        <v>37.36162361623613</v>
      </c>
      <c r="AO360" s="11">
        <v>3.7372462044148143</v>
      </c>
      <c r="AP360" s="2">
        <v>3.8597223437499997</v>
      </c>
      <c r="AQ360" s="2">
        <f t="shared" si="73"/>
        <v>0.21228472890624997</v>
      </c>
      <c r="AR360" s="2">
        <v>1.1398937388482542</v>
      </c>
      <c r="AS360" s="2">
        <v>0.24736839811272579</v>
      </c>
      <c r="AT360" s="2">
        <f t="shared" si="74"/>
        <v>2.473683981127258E-2</v>
      </c>
      <c r="AU360" s="2">
        <f t="shared" si="75"/>
        <v>6.3225149677373646E-3</v>
      </c>
      <c r="AV360" s="2">
        <f t="shared" si="76"/>
        <v>9.7998981999929146E-4</v>
      </c>
      <c r="AW360" s="3">
        <f t="shared" si="77"/>
        <v>15.5</v>
      </c>
    </row>
    <row r="361" spans="1:49" x14ac:dyDescent="0.2">
      <c r="A361" t="s">
        <v>45</v>
      </c>
      <c r="B361" s="5" t="s">
        <v>46</v>
      </c>
      <c r="C361" s="5" t="s">
        <v>398</v>
      </c>
      <c r="D361" s="5" t="s">
        <v>417</v>
      </c>
      <c r="E361">
        <v>11</v>
      </c>
      <c r="F361" s="6">
        <v>436</v>
      </c>
      <c r="G361" s="3">
        <v>2</v>
      </c>
      <c r="H361" s="3">
        <v>2.4</v>
      </c>
      <c r="I361" s="3">
        <v>1</v>
      </c>
      <c r="J361" s="3">
        <v>26.764999999999645</v>
      </c>
      <c r="K361" s="3">
        <v>27.764999999999645</v>
      </c>
      <c r="L361" s="3">
        <v>27.264999999999645</v>
      </c>
      <c r="M361" s="1">
        <v>0.21</v>
      </c>
      <c r="N361" s="3">
        <v>426.76499999999965</v>
      </c>
      <c r="O361" s="3">
        <v>427.76499999999965</v>
      </c>
      <c r="P361" s="3">
        <v>427.26499999999965</v>
      </c>
      <c r="Q361" s="3">
        <v>429.76499999999965</v>
      </c>
      <c r="R361" s="3">
        <v>430.76499999999965</v>
      </c>
      <c r="S361" s="3">
        <v>430.3</v>
      </c>
      <c r="T361" s="3">
        <v>430.3</v>
      </c>
      <c r="U361" s="7">
        <f t="shared" si="65"/>
        <v>0.5</v>
      </c>
      <c r="V361" s="3">
        <v>5725.72</v>
      </c>
      <c r="W361" s="3">
        <v>6330.71</v>
      </c>
      <c r="X361" s="3">
        <v>6136.3</v>
      </c>
      <c r="Y361" s="3">
        <v>6105.13</v>
      </c>
      <c r="Z361" s="3">
        <f t="shared" si="66"/>
        <v>302.49499999999989</v>
      </c>
      <c r="AA361" s="4">
        <f t="shared" si="67"/>
        <v>4.1856925418568364E-2</v>
      </c>
      <c r="AB361" s="4">
        <f t="shared" si="68"/>
        <v>2.1225502679892744E-3</v>
      </c>
      <c r="AC361">
        <v>1.1476266666666668</v>
      </c>
      <c r="AD361" s="2">
        <v>5.6999000000000004</v>
      </c>
      <c r="AE361" s="2">
        <v>2.1385999999999998</v>
      </c>
      <c r="AF361" s="2">
        <f t="shared" si="69"/>
        <v>3.5613000000000006</v>
      </c>
      <c r="AG361" s="2">
        <v>0.99097333333333304</v>
      </c>
      <c r="AH361" s="1">
        <f t="shared" si="70"/>
        <v>78.231242705109992</v>
      </c>
      <c r="AI361" s="1">
        <f t="shared" si="71"/>
        <v>21.768757294890008</v>
      </c>
      <c r="AJ361" s="1">
        <f t="shared" si="72"/>
        <v>1.0884378647445005</v>
      </c>
      <c r="AK361" s="8">
        <v>9.9800000000000111E-2</v>
      </c>
      <c r="AL361" s="9">
        <v>77.436129323988183</v>
      </c>
      <c r="AM361" s="10">
        <v>3.8718064661994092</v>
      </c>
      <c r="AN361" s="9">
        <v>38.718064661994092</v>
      </c>
      <c r="AO361" s="11">
        <v>3.8728523482962216</v>
      </c>
      <c r="AP361" s="2">
        <v>3.7994000000000008</v>
      </c>
      <c r="AQ361" s="2">
        <f t="shared" si="73"/>
        <v>0.20516760000000003</v>
      </c>
      <c r="AR361" s="2">
        <v>1.1981558491691668</v>
      </c>
      <c r="AS361" s="2">
        <v>0.26082363882016446</v>
      </c>
      <c r="AT361" s="2">
        <f t="shared" si="74"/>
        <v>2.6082363882016447E-2</v>
      </c>
      <c r="AU361" s="2">
        <f t="shared" si="75"/>
        <v>1.0917275597495236E-2</v>
      </c>
      <c r="AV361" s="2">
        <f t="shared" si="76"/>
        <v>1.6812604420142663E-3</v>
      </c>
      <c r="AW361" s="3">
        <f t="shared" si="77"/>
        <v>15.4</v>
      </c>
    </row>
    <row r="362" spans="1:49" x14ac:dyDescent="0.2">
      <c r="A362" t="s">
        <v>45</v>
      </c>
      <c r="B362" s="5" t="s">
        <v>46</v>
      </c>
      <c r="C362" s="5" t="s">
        <v>398</v>
      </c>
      <c r="D362" s="5" t="s">
        <v>418</v>
      </c>
      <c r="E362">
        <v>11</v>
      </c>
      <c r="F362" s="6">
        <v>437</v>
      </c>
      <c r="G362" s="3">
        <v>2.35</v>
      </c>
      <c r="H362" s="3">
        <v>2.1</v>
      </c>
      <c r="I362" s="3">
        <v>0.95</v>
      </c>
      <c r="J362" s="3">
        <v>27.972499999999627</v>
      </c>
      <c r="K362" s="3">
        <v>28.922499999999616</v>
      </c>
      <c r="L362" s="3">
        <v>28.44749999999965</v>
      </c>
      <c r="M362" s="1">
        <v>0.21</v>
      </c>
      <c r="N362" s="3">
        <v>427.97249999999963</v>
      </c>
      <c r="O362" s="3">
        <v>428.92249999999962</v>
      </c>
      <c r="P362" s="3">
        <v>428.44749999999965</v>
      </c>
      <c r="Q362" s="3">
        <v>430.97249999999963</v>
      </c>
      <c r="R362" s="3">
        <v>431.92249999999962</v>
      </c>
      <c r="S362" s="3">
        <v>431.4</v>
      </c>
      <c r="T362" s="3">
        <v>431.4</v>
      </c>
      <c r="U362" s="7">
        <f t="shared" si="65"/>
        <v>0.47499999999999432</v>
      </c>
      <c r="V362" s="3">
        <v>5791.66</v>
      </c>
      <c r="W362" s="3">
        <v>6336.56</v>
      </c>
      <c r="X362" s="3">
        <v>6159.24</v>
      </c>
      <c r="Y362" s="3">
        <v>6131.41</v>
      </c>
      <c r="Z362" s="3">
        <f t="shared" si="66"/>
        <v>272.45000000000027</v>
      </c>
      <c r="AA362" s="4">
        <f t="shared" si="67"/>
        <v>4.1855598186258891E-2</v>
      </c>
      <c r="AB362" s="4">
        <f t="shared" si="68"/>
        <v>1.9059447321289396E-3</v>
      </c>
      <c r="AC362">
        <v>1.1476266666666668</v>
      </c>
      <c r="AD362" s="2">
        <v>5.4608999999999996</v>
      </c>
      <c r="AE362" s="2">
        <v>2.1223000000000001</v>
      </c>
      <c r="AF362" s="2">
        <f t="shared" si="69"/>
        <v>3.3385999999999996</v>
      </c>
      <c r="AG362" s="2">
        <v>0.97467333333333328</v>
      </c>
      <c r="AH362" s="1">
        <f t="shared" si="70"/>
        <v>77.402931416356637</v>
      </c>
      <c r="AI362" s="1">
        <f t="shared" si="71"/>
        <v>22.597068583643363</v>
      </c>
      <c r="AJ362" s="1">
        <f t="shared" si="72"/>
        <v>1.1298534291821682</v>
      </c>
      <c r="AK362" s="8">
        <v>5.6500000000000661E-2</v>
      </c>
      <c r="AL362" s="9">
        <v>80.306727082606969</v>
      </c>
      <c r="AM362" s="10">
        <v>4.0153363541303486</v>
      </c>
      <c r="AN362" s="9">
        <v>40.153363541303484</v>
      </c>
      <c r="AO362" s="11">
        <v>4.0163448602928513</v>
      </c>
      <c r="AP362" s="2">
        <v>3.6919285937500002</v>
      </c>
      <c r="AQ362" s="2">
        <f t="shared" si="73"/>
        <v>0.1993641440625</v>
      </c>
      <c r="AR362" s="2">
        <v>1.168298146566322</v>
      </c>
      <c r="AS362" s="2">
        <v>0.26400113344102599</v>
      </c>
      <c r="AT362" s="2">
        <f t="shared" si="74"/>
        <v>2.64001133441026E-2</v>
      </c>
      <c r="AU362" s="2">
        <f t="shared" si="75"/>
        <v>1.1049925362024499E-2</v>
      </c>
      <c r="AV362" s="2">
        <f t="shared" si="76"/>
        <v>1.701688505751773E-3</v>
      </c>
      <c r="AW362" s="3">
        <f t="shared" si="77"/>
        <v>15.4</v>
      </c>
    </row>
    <row r="363" spans="1:49" x14ac:dyDescent="0.2">
      <c r="A363" t="s">
        <v>45</v>
      </c>
      <c r="B363" s="5" t="s">
        <v>46</v>
      </c>
      <c r="C363" s="5" t="s">
        <v>398</v>
      </c>
      <c r="D363" s="5" t="s">
        <v>419</v>
      </c>
      <c r="E363">
        <v>11</v>
      </c>
      <c r="F363" s="6">
        <v>438</v>
      </c>
      <c r="G363" s="3">
        <v>2.2999999999999998</v>
      </c>
      <c r="H363" s="3">
        <v>2.4</v>
      </c>
      <c r="I363" s="3">
        <v>1</v>
      </c>
      <c r="J363" s="3">
        <v>29.129999999999598</v>
      </c>
      <c r="K363" s="3">
        <v>30.129999999999598</v>
      </c>
      <c r="L363" s="3">
        <v>29.629999999999598</v>
      </c>
      <c r="M363" s="1">
        <v>0.21</v>
      </c>
      <c r="N363" s="3">
        <v>429.1299999999996</v>
      </c>
      <c r="O363" s="3">
        <v>430.1299999999996</v>
      </c>
      <c r="P363" s="3">
        <v>429.6299999999996</v>
      </c>
      <c r="Q363" s="3">
        <v>432.1299999999996</v>
      </c>
      <c r="R363" s="3">
        <v>433.1299999999996</v>
      </c>
      <c r="S363" s="3">
        <v>432.6</v>
      </c>
      <c r="T363" s="3">
        <v>432.6</v>
      </c>
      <c r="U363" s="7">
        <f t="shared" si="65"/>
        <v>0.5</v>
      </c>
      <c r="V363" s="3">
        <v>5851.92</v>
      </c>
      <c r="W363" s="3">
        <v>6347.72</v>
      </c>
      <c r="X363" s="3">
        <v>6183.58</v>
      </c>
      <c r="Y363" s="3">
        <v>6160.08</v>
      </c>
      <c r="Z363" s="3">
        <f t="shared" si="66"/>
        <v>247.90000000000009</v>
      </c>
      <c r="AA363" s="4">
        <f t="shared" si="67"/>
        <v>4.1855598186256907E-2</v>
      </c>
      <c r="AB363" s="4">
        <f t="shared" si="68"/>
        <v>1.732770951546338E-3</v>
      </c>
      <c r="AC363">
        <v>1.1476266666666668</v>
      </c>
      <c r="AD363" s="2">
        <v>6.218</v>
      </c>
      <c r="AE363" s="2">
        <v>2.3932000000000002</v>
      </c>
      <c r="AF363" s="2">
        <f t="shared" si="69"/>
        <v>3.8247999999999998</v>
      </c>
      <c r="AG363" s="2">
        <v>1.2455733333333334</v>
      </c>
      <c r="AH363" s="1">
        <f t="shared" si="70"/>
        <v>75.434287547531014</v>
      </c>
      <c r="AI363" s="1">
        <f t="shared" si="71"/>
        <v>24.565712452468986</v>
      </c>
      <c r="AJ363" s="1">
        <f t="shared" si="72"/>
        <v>1.2282856226234493</v>
      </c>
      <c r="AK363" s="8">
        <v>5.259999999999998E-2</v>
      </c>
      <c r="AL363" s="9">
        <v>78.934721665999191</v>
      </c>
      <c r="AM363" s="10">
        <v>3.9467360832999598</v>
      </c>
      <c r="AN363" s="9">
        <v>39.467360832999596</v>
      </c>
      <c r="AO363" s="11">
        <v>3.9477621143151356</v>
      </c>
      <c r="AP363" s="2">
        <v>4.3351624999999991</v>
      </c>
      <c r="AQ363" s="2">
        <f t="shared" si="73"/>
        <v>0.24710426249999995</v>
      </c>
      <c r="AR363" s="2">
        <v>1.1695924508789082</v>
      </c>
      <c r="AS363" s="2">
        <v>0.2873187183486971</v>
      </c>
      <c r="AT363" s="2">
        <f t="shared" si="74"/>
        <v>2.8731871834869711E-2</v>
      </c>
      <c r="AU363" s="2">
        <f t="shared" si="75"/>
        <v>1.2025896826593385E-2</v>
      </c>
      <c r="AV363" s="2">
        <f t="shared" si="76"/>
        <v>1.8880658017751614E-3</v>
      </c>
      <c r="AW363" s="3">
        <f t="shared" si="77"/>
        <v>15.7</v>
      </c>
    </row>
    <row r="364" spans="1:49" x14ac:dyDescent="0.2">
      <c r="A364" t="s">
        <v>45</v>
      </c>
      <c r="B364" s="5" t="s">
        <v>46</v>
      </c>
      <c r="C364" s="5" t="s">
        <v>398</v>
      </c>
      <c r="D364" s="5" t="s">
        <v>420</v>
      </c>
      <c r="E364">
        <v>11</v>
      </c>
      <c r="F364" s="6">
        <v>439</v>
      </c>
      <c r="G364" s="3">
        <v>2.0499999999999998</v>
      </c>
      <c r="H364" s="3">
        <v>1.6</v>
      </c>
      <c r="I364" s="3">
        <v>1</v>
      </c>
      <c r="J364" s="3">
        <v>30.337499999999579</v>
      </c>
      <c r="K364" s="3">
        <v>31.337499999999579</v>
      </c>
      <c r="L364" s="3">
        <v>30.837499999999579</v>
      </c>
      <c r="M364" s="1">
        <v>0.21</v>
      </c>
      <c r="N364" s="3">
        <v>430.33749999999958</v>
      </c>
      <c r="O364" s="3">
        <v>431.33749999999958</v>
      </c>
      <c r="P364" s="3">
        <v>430.83749999999958</v>
      </c>
      <c r="Q364" s="3">
        <v>433.33749999999958</v>
      </c>
      <c r="R364" s="3">
        <v>434.33749999999958</v>
      </c>
      <c r="S364" s="3">
        <v>433.8</v>
      </c>
      <c r="T364" s="3">
        <v>433.8</v>
      </c>
      <c r="U364" s="7">
        <f t="shared" si="65"/>
        <v>0.5</v>
      </c>
      <c r="V364" s="3">
        <v>5914.84</v>
      </c>
      <c r="W364" s="3">
        <v>6357.29</v>
      </c>
      <c r="X364" s="3">
        <v>6209.07</v>
      </c>
      <c r="Y364" s="3">
        <v>6188.75</v>
      </c>
      <c r="Z364" s="3">
        <f t="shared" si="66"/>
        <v>221.22499999999991</v>
      </c>
      <c r="AA364" s="4">
        <f t="shared" si="67"/>
        <v>4.1855598186256907E-2</v>
      </c>
      <c r="AB364" s="4">
        <f t="shared" si="68"/>
        <v>1.5444263172526924E-3</v>
      </c>
      <c r="AC364">
        <v>1.1476266666666668</v>
      </c>
      <c r="AD364" s="2">
        <v>4.4463999999999997</v>
      </c>
      <c r="AE364" s="2">
        <v>1.9702999999999999</v>
      </c>
      <c r="AF364" s="2">
        <f t="shared" si="69"/>
        <v>2.4760999999999997</v>
      </c>
      <c r="AG364" s="2">
        <v>0.82267333333333315</v>
      </c>
      <c r="AH364" s="1">
        <f t="shared" si="70"/>
        <v>75.061234883269734</v>
      </c>
      <c r="AI364" s="1">
        <f t="shared" si="71"/>
        <v>24.938765116730266</v>
      </c>
      <c r="AJ364" s="1">
        <f t="shared" si="72"/>
        <v>1.2469382558365134</v>
      </c>
      <c r="AK364" s="8">
        <v>0.15479999999999983</v>
      </c>
      <c r="AL364" s="9">
        <v>76.933392936969184</v>
      </c>
      <c r="AM364" s="10">
        <v>3.8466696468484596</v>
      </c>
      <c r="AN364" s="9">
        <v>38.466696468484592</v>
      </c>
      <c r="AO364" s="11">
        <v>3.8477223616037128</v>
      </c>
      <c r="AP364" s="2">
        <v>2.6145406250000001</v>
      </c>
      <c r="AQ364" s="2">
        <f t="shared" si="73"/>
        <v>0.1215761390625</v>
      </c>
      <c r="AR364" s="2">
        <v>1.2617028405643278</v>
      </c>
      <c r="AS364" s="2">
        <v>0.31465310787945133</v>
      </c>
      <c r="AT364" s="2">
        <f t="shared" si="74"/>
        <v>3.1465310787945136E-2</v>
      </c>
      <c r="AU364" s="2">
        <f t="shared" si="75"/>
        <v>1.3169994051459261E-2</v>
      </c>
      <c r="AV364" s="2">
        <f t="shared" si="76"/>
        <v>1.9294041285387821E-3</v>
      </c>
      <c r="AW364" s="3">
        <f t="shared" si="77"/>
        <v>14.650000000000002</v>
      </c>
    </row>
    <row r="365" spans="1:49" x14ac:dyDescent="0.2">
      <c r="A365" t="s">
        <v>45</v>
      </c>
      <c r="B365" s="5" t="s">
        <v>46</v>
      </c>
      <c r="C365" s="5" t="s">
        <v>398</v>
      </c>
      <c r="D365" s="5" t="s">
        <v>421</v>
      </c>
      <c r="E365">
        <v>11</v>
      </c>
      <c r="F365" s="6">
        <v>440</v>
      </c>
      <c r="G365" s="3">
        <v>2.2000000000000002</v>
      </c>
      <c r="H365" s="3">
        <v>2.2999999999999998</v>
      </c>
      <c r="I365" s="3">
        <v>1</v>
      </c>
      <c r="J365" s="3">
        <v>31.544999999999561</v>
      </c>
      <c r="K365" s="3">
        <v>32.544999999999561</v>
      </c>
      <c r="L365" s="3">
        <v>32.044999999999561</v>
      </c>
      <c r="M365" s="1">
        <v>0.21</v>
      </c>
      <c r="N365" s="3">
        <v>431.54499999999956</v>
      </c>
      <c r="O365" s="3">
        <v>432.54499999999956</v>
      </c>
      <c r="P365" s="3">
        <v>432.04499999999956</v>
      </c>
      <c r="Q365" s="3">
        <v>434.54499999999956</v>
      </c>
      <c r="R365" s="3">
        <v>435.54499999999956</v>
      </c>
      <c r="S365" s="3">
        <v>435</v>
      </c>
      <c r="T365" s="3">
        <v>435</v>
      </c>
      <c r="U365" s="7">
        <f t="shared" si="65"/>
        <v>0.5</v>
      </c>
      <c r="V365" s="3">
        <v>5964.96</v>
      </c>
      <c r="W365" s="3">
        <v>6369.93</v>
      </c>
      <c r="X365" s="3">
        <v>6236.66</v>
      </c>
      <c r="Y365" s="3">
        <v>6217.42</v>
      </c>
      <c r="Z365" s="3">
        <f t="shared" si="66"/>
        <v>202.48500000000013</v>
      </c>
      <c r="AA365" s="4">
        <f t="shared" si="67"/>
        <v>4.1854475209273427E-2</v>
      </c>
      <c r="AB365" s="4">
        <f t="shared" si="68"/>
        <v>1.4111986541092737E-3</v>
      </c>
      <c r="AC365">
        <v>1.1476266666666668</v>
      </c>
      <c r="AD365" s="2">
        <v>6.0411999999999999</v>
      </c>
      <c r="AE365" s="2">
        <v>2.3026</v>
      </c>
      <c r="AF365" s="2">
        <f t="shared" si="69"/>
        <v>3.7385999999999999</v>
      </c>
      <c r="AG365" s="2">
        <v>1.1549733333333332</v>
      </c>
      <c r="AH365" s="1">
        <f t="shared" si="70"/>
        <v>76.398160308213775</v>
      </c>
      <c r="AI365" s="1">
        <f t="shared" si="71"/>
        <v>23.601839691786225</v>
      </c>
      <c r="AJ365" s="1">
        <f t="shared" si="72"/>
        <v>1.1800919845893112</v>
      </c>
      <c r="AK365" s="8">
        <v>0.10879999999999956</v>
      </c>
      <c r="AL365" s="9">
        <v>77.881683268957204</v>
      </c>
      <c r="AM365" s="10">
        <v>3.8940841634478605</v>
      </c>
      <c r="AN365" s="9">
        <v>38.940841634478602</v>
      </c>
      <c r="AO365" s="11">
        <v>3.8951240637514264</v>
      </c>
      <c r="AP365" s="2">
        <v>3.9740625000000001</v>
      </c>
      <c r="AQ365" s="2">
        <f t="shared" si="73"/>
        <v>0.2185734375</v>
      </c>
      <c r="AR365" s="2">
        <v>1.2313780503787581</v>
      </c>
      <c r="AS365" s="2">
        <v>0.29062787345023716</v>
      </c>
      <c r="AT365" s="2">
        <f t="shared" si="74"/>
        <v>2.9062787345023718E-2</v>
      </c>
      <c r="AU365" s="2">
        <f t="shared" si="75"/>
        <v>1.2164077124446806E-2</v>
      </c>
      <c r="AV365" s="2">
        <f t="shared" si="76"/>
        <v>1.885431954289255E-3</v>
      </c>
      <c r="AW365" s="3">
        <f t="shared" si="77"/>
        <v>15.5</v>
      </c>
    </row>
    <row r="366" spans="1:49" x14ac:dyDescent="0.2">
      <c r="A366" t="s">
        <v>45</v>
      </c>
      <c r="B366" s="5" t="s">
        <v>46</v>
      </c>
      <c r="C366" s="5" t="s">
        <v>398</v>
      </c>
      <c r="D366" s="5" t="s">
        <v>422</v>
      </c>
      <c r="E366">
        <v>11</v>
      </c>
      <c r="F366" s="6">
        <v>441</v>
      </c>
      <c r="G366" s="3">
        <v>2.1</v>
      </c>
      <c r="H366" s="3">
        <v>2.4500000000000002</v>
      </c>
      <c r="I366" s="3">
        <v>1</v>
      </c>
      <c r="J366" s="3">
        <v>32.752499999999543</v>
      </c>
      <c r="K366" s="3">
        <v>33.752499999999543</v>
      </c>
      <c r="L366" s="3">
        <v>33.252499999999543</v>
      </c>
      <c r="M366" s="1">
        <v>0.21</v>
      </c>
      <c r="N366" s="3">
        <v>432.75249999999954</v>
      </c>
      <c r="O366" s="3">
        <v>433.75249999999954</v>
      </c>
      <c r="P366" s="3">
        <v>433.25249999999954</v>
      </c>
      <c r="Q366" s="3">
        <v>435.75249999999954</v>
      </c>
      <c r="R366" s="3">
        <v>436.75249999999954</v>
      </c>
      <c r="S366" s="3">
        <v>436.3</v>
      </c>
      <c r="T366" s="3">
        <v>436.3</v>
      </c>
      <c r="U366" s="7">
        <f t="shared" si="65"/>
        <v>0.5</v>
      </c>
      <c r="V366" s="3">
        <v>6014.32</v>
      </c>
      <c r="W366" s="3">
        <v>6385.11</v>
      </c>
      <c r="X366" s="3">
        <v>6278.95</v>
      </c>
      <c r="Y366" s="3">
        <v>6248.48</v>
      </c>
      <c r="Z366" s="3">
        <f t="shared" si="66"/>
        <v>185.39499999999998</v>
      </c>
      <c r="AA366" s="4">
        <f t="shared" si="67"/>
        <v>4.1855598186256907E-2</v>
      </c>
      <c r="AB366" s="4">
        <f t="shared" si="68"/>
        <v>1.2898395383411237E-3</v>
      </c>
      <c r="AC366">
        <v>1.1476266666666668</v>
      </c>
      <c r="AD366">
        <v>6.0293999999999999</v>
      </c>
      <c r="AE366" s="2">
        <v>2.1840000000000002</v>
      </c>
      <c r="AF366" s="2">
        <f t="shared" si="69"/>
        <v>3.8453999999999997</v>
      </c>
      <c r="AG366" s="2">
        <v>1.0363733333333334</v>
      </c>
      <c r="AH366" s="1">
        <f t="shared" si="70"/>
        <v>78.770556054766985</v>
      </c>
      <c r="AI366" s="1">
        <f t="shared" si="71"/>
        <v>21.229443945233015</v>
      </c>
      <c r="AJ366" s="1">
        <f t="shared" si="72"/>
        <v>1.0614721972616508</v>
      </c>
      <c r="AK366" s="8">
        <v>9.3300000000000161E-2</v>
      </c>
      <c r="AL366" s="9">
        <v>80.982470444353808</v>
      </c>
      <c r="AM366" s="10">
        <v>4.0491235222176902</v>
      </c>
      <c r="AN366" s="9">
        <v>40.491235222176904</v>
      </c>
      <c r="AO366" s="11">
        <v>4.050123615172331</v>
      </c>
      <c r="AP366" s="2">
        <v>4.0628656250000015</v>
      </c>
      <c r="AQ366" s="2">
        <f t="shared" si="73"/>
        <v>0.22548904218750007</v>
      </c>
      <c r="AR366" s="2">
        <v>1.2015591417285261</v>
      </c>
      <c r="AS366" s="2">
        <v>0.2550843244620804</v>
      </c>
      <c r="AT366" s="2">
        <f t="shared" si="74"/>
        <v>2.550843244620804E-2</v>
      </c>
      <c r="AU366" s="2">
        <f t="shared" si="75"/>
        <v>1.067670698829762E-2</v>
      </c>
      <c r="AV366" s="2">
        <f t="shared" si="76"/>
        <v>1.66022793668028E-3</v>
      </c>
      <c r="AW366" s="3">
        <f t="shared" si="77"/>
        <v>15.55</v>
      </c>
    </row>
    <row r="367" spans="1:49" x14ac:dyDescent="0.2">
      <c r="A367" t="s">
        <v>45</v>
      </c>
      <c r="B367" s="5" t="s">
        <v>46</v>
      </c>
      <c r="C367" s="5" t="s">
        <v>398</v>
      </c>
      <c r="D367" s="5" t="s">
        <v>423</v>
      </c>
      <c r="E367">
        <v>11</v>
      </c>
      <c r="F367" s="6">
        <v>442</v>
      </c>
      <c r="G367" s="3">
        <v>2.4</v>
      </c>
      <c r="H367" s="3">
        <v>2.1</v>
      </c>
      <c r="I367" s="3">
        <v>1</v>
      </c>
      <c r="J367" s="3">
        <v>33.959999999999525</v>
      </c>
      <c r="K367" s="3">
        <v>34.959999999999525</v>
      </c>
      <c r="L367" s="3">
        <v>34.459999999999525</v>
      </c>
      <c r="M367" s="1">
        <v>0.21</v>
      </c>
      <c r="N367" s="3">
        <v>433.95999999999952</v>
      </c>
      <c r="O367" s="3">
        <v>434.95999999999952</v>
      </c>
      <c r="P367" s="3">
        <v>434.45999999999952</v>
      </c>
      <c r="Q367" s="3">
        <v>436.95999999999952</v>
      </c>
      <c r="R367" s="3">
        <v>437.95999999999952</v>
      </c>
      <c r="S367" s="3">
        <v>437.5</v>
      </c>
      <c r="T367" s="3">
        <v>437.5</v>
      </c>
      <c r="U367" s="7">
        <f t="shared" si="65"/>
        <v>0.5</v>
      </c>
      <c r="V367" s="3">
        <v>6040.5</v>
      </c>
      <c r="W367" s="3">
        <v>6411.91</v>
      </c>
      <c r="X367" s="3">
        <v>6299.93</v>
      </c>
      <c r="Y367" s="3">
        <v>6277.15</v>
      </c>
      <c r="Z367" s="3">
        <f t="shared" si="66"/>
        <v>185.70499999999993</v>
      </c>
      <c r="AA367" s="4">
        <f t="shared" si="67"/>
        <v>4.1855598186256907E-2</v>
      </c>
      <c r="AB367" s="4">
        <f t="shared" si="68"/>
        <v>1.2861029510319345E-3</v>
      </c>
      <c r="AC367">
        <v>1.1476266666666668</v>
      </c>
      <c r="AD367" s="2">
        <v>5.9080000000000004</v>
      </c>
      <c r="AE367" s="2">
        <v>2.1587999999999998</v>
      </c>
      <c r="AF367" s="2">
        <f t="shared" si="69"/>
        <v>3.7492000000000005</v>
      </c>
      <c r="AG367" s="2">
        <v>1.011173333333333</v>
      </c>
      <c r="AH367" s="1">
        <f t="shared" si="70"/>
        <v>78.758528742843708</v>
      </c>
      <c r="AI367" s="1">
        <f t="shared" si="71"/>
        <v>21.241471257156292</v>
      </c>
      <c r="AJ367" s="1">
        <f t="shared" si="72"/>
        <v>1.0620735628578146</v>
      </c>
      <c r="AK367" s="8">
        <v>0.10020000000000007</v>
      </c>
      <c r="AL367" s="9">
        <v>77.673796791443849</v>
      </c>
      <c r="AM367" s="10">
        <v>3.8836898395721926</v>
      </c>
      <c r="AN367" s="9">
        <v>38.836898395721924</v>
      </c>
      <c r="AO367" s="11">
        <v>3.8847325223232918</v>
      </c>
      <c r="AP367" s="2">
        <v>3.9740625000000001</v>
      </c>
      <c r="AQ367" s="2">
        <f t="shared" si="73"/>
        <v>0.2185734375</v>
      </c>
      <c r="AR367" s="2">
        <v>1.1978607113837121</v>
      </c>
      <c r="AS367" s="2">
        <v>0.2544432387093391</v>
      </c>
      <c r="AT367" s="2">
        <f t="shared" si="74"/>
        <v>2.5444323870933913E-2</v>
      </c>
      <c r="AU367" s="2">
        <f t="shared" si="75"/>
        <v>1.0649873960627948E-2</v>
      </c>
      <c r="AV367" s="2">
        <f t="shared" si="76"/>
        <v>1.6507304638973318E-3</v>
      </c>
      <c r="AW367" s="3">
        <f t="shared" si="77"/>
        <v>15.5</v>
      </c>
    </row>
    <row r="368" spans="1:49" x14ac:dyDescent="0.2">
      <c r="A368" t="s">
        <v>45</v>
      </c>
      <c r="B368" s="5" t="s">
        <v>46</v>
      </c>
      <c r="C368" s="5" t="s">
        <v>398</v>
      </c>
      <c r="D368" s="5" t="s">
        <v>424</v>
      </c>
      <c r="E368">
        <v>11</v>
      </c>
      <c r="F368" s="6">
        <v>443</v>
      </c>
      <c r="G368" s="3">
        <v>2.1</v>
      </c>
      <c r="H368" s="3">
        <v>2.2999999999999998</v>
      </c>
      <c r="I368" s="3">
        <v>1.1000000000000001</v>
      </c>
      <c r="J368" s="3">
        <v>35.167499999999507</v>
      </c>
      <c r="K368" s="3">
        <v>36.267499999999529</v>
      </c>
      <c r="L368" s="3">
        <v>35.717499999999518</v>
      </c>
      <c r="M368" s="1">
        <v>0.21</v>
      </c>
      <c r="N368" s="3">
        <v>435.16749999999951</v>
      </c>
      <c r="O368" s="3">
        <v>436.26749999999953</v>
      </c>
      <c r="P368" s="3">
        <v>435.71749999999952</v>
      </c>
      <c r="Q368" s="3">
        <v>438.16749999999951</v>
      </c>
      <c r="R368" s="3">
        <v>439.26749999999953</v>
      </c>
      <c r="S368" s="3">
        <v>438.7</v>
      </c>
      <c r="T368" s="3">
        <v>438.7</v>
      </c>
      <c r="U368" s="7">
        <f t="shared" si="65"/>
        <v>0.55000000000001137</v>
      </c>
      <c r="V368" s="3">
        <v>6059.78</v>
      </c>
      <c r="W368" s="3">
        <v>6458.25</v>
      </c>
      <c r="X368" s="3">
        <v>6321.45</v>
      </c>
      <c r="Y368" s="3">
        <v>6305.82</v>
      </c>
      <c r="Z368" s="3">
        <f t="shared" si="66"/>
        <v>199.23500000000013</v>
      </c>
      <c r="AA368" s="4">
        <f t="shared" si="67"/>
        <v>4.1854475209272206E-2</v>
      </c>
      <c r="AB368" s="4">
        <f t="shared" si="68"/>
        <v>1.374882643324263E-3</v>
      </c>
      <c r="AC368">
        <v>1.1476266666666668</v>
      </c>
      <c r="AD368" s="2">
        <v>6.5286999999999997</v>
      </c>
      <c r="AE368" s="2">
        <v>2.2223999999999999</v>
      </c>
      <c r="AF368" s="2">
        <f t="shared" si="69"/>
        <v>4.3063000000000002</v>
      </c>
      <c r="AG368" s="2">
        <v>1.0747733333333331</v>
      </c>
      <c r="AH368" s="1">
        <f t="shared" si="70"/>
        <v>80.026785238632698</v>
      </c>
      <c r="AI368" s="1">
        <f t="shared" si="71"/>
        <v>19.973214761367302</v>
      </c>
      <c r="AJ368" s="1">
        <f t="shared" si="72"/>
        <v>0.99866073806836519</v>
      </c>
      <c r="AK368" s="8">
        <v>9.1199999999999726E-2</v>
      </c>
      <c r="AL368" s="9">
        <v>81.523500810372823</v>
      </c>
      <c r="AM368" s="10">
        <v>4.076175040518641</v>
      </c>
      <c r="AN368" s="9">
        <v>40.761750405186412</v>
      </c>
      <c r="AO368" s="11">
        <v>4.0771684979832683</v>
      </c>
      <c r="AP368" s="2">
        <v>4.1793400000000016</v>
      </c>
      <c r="AQ368" s="2">
        <f t="shared" si="73"/>
        <v>0.22986370000000009</v>
      </c>
      <c r="AR368" s="2">
        <v>1.2875414140350705</v>
      </c>
      <c r="AS368" s="2">
        <v>0.25716341176677004</v>
      </c>
      <c r="AT368" s="2">
        <f t="shared" si="74"/>
        <v>2.5716341176677007E-2</v>
      </c>
      <c r="AU368" s="2">
        <f t="shared" si="75"/>
        <v>1.0763439642524138E-2</v>
      </c>
      <c r="AV368" s="2">
        <f t="shared" si="76"/>
        <v>1.6683331445912412E-3</v>
      </c>
      <c r="AW368" s="3">
        <f t="shared" si="77"/>
        <v>15.5</v>
      </c>
    </row>
    <row r="369" spans="1:49" x14ac:dyDescent="0.2">
      <c r="A369" t="s">
        <v>45</v>
      </c>
      <c r="B369" s="5" t="s">
        <v>46</v>
      </c>
      <c r="C369" s="5" t="s">
        <v>398</v>
      </c>
      <c r="D369" s="5" t="s">
        <v>425</v>
      </c>
      <c r="E369">
        <v>11</v>
      </c>
      <c r="F369" s="6">
        <v>444</v>
      </c>
      <c r="G369" s="3">
        <v>2.2999999999999998</v>
      </c>
      <c r="H369" s="3">
        <v>2.2999999999999998</v>
      </c>
      <c r="I369" s="3">
        <v>1</v>
      </c>
      <c r="J369" s="3">
        <v>36.474999999999511</v>
      </c>
      <c r="K369" s="3">
        <v>37.474999999999511</v>
      </c>
      <c r="L369" s="3">
        <v>36.974999999999511</v>
      </c>
      <c r="M369" s="1">
        <v>0.21</v>
      </c>
      <c r="N369" s="3">
        <v>436.47499999999951</v>
      </c>
      <c r="O369" s="3">
        <v>437.47499999999951</v>
      </c>
      <c r="P369" s="3">
        <v>436.97499999999951</v>
      </c>
      <c r="Q369" s="3">
        <v>439.47499999999951</v>
      </c>
      <c r="R369" s="3">
        <v>440.47499999999951</v>
      </c>
      <c r="S369" s="3">
        <v>440</v>
      </c>
      <c r="T369" s="3">
        <v>440</v>
      </c>
      <c r="U369" s="7">
        <f t="shared" si="65"/>
        <v>0.5</v>
      </c>
      <c r="V369" s="3">
        <v>6076.98</v>
      </c>
      <c r="W369" s="3">
        <v>6524.12</v>
      </c>
      <c r="X369" s="3">
        <v>6346.02</v>
      </c>
      <c r="Y369" s="3">
        <v>6336.88</v>
      </c>
      <c r="Z369" s="3">
        <f t="shared" si="66"/>
        <v>223.57000000000016</v>
      </c>
      <c r="AA369" s="4">
        <f t="shared" si="67"/>
        <v>9.5923261390884709E-2</v>
      </c>
      <c r="AB369" s="4">
        <f t="shared" si="68"/>
        <v>3.4932501411476732E-3</v>
      </c>
      <c r="AC369">
        <v>1.1476266666666668</v>
      </c>
      <c r="AD369" s="2">
        <v>6.1967999999999996</v>
      </c>
      <c r="AE369" s="2">
        <v>2.2252999999999998</v>
      </c>
      <c r="AF369" s="2">
        <f t="shared" si="69"/>
        <v>3.9714999999999998</v>
      </c>
      <c r="AG369" s="2">
        <v>1.077673333333333</v>
      </c>
      <c r="AH369" s="1">
        <f t="shared" si="70"/>
        <v>78.656440130133504</v>
      </c>
      <c r="AI369" s="1">
        <f t="shared" si="71"/>
        <v>21.343559869866496</v>
      </c>
      <c r="AJ369" s="1">
        <f t="shared" si="72"/>
        <v>1.0671779934933248</v>
      </c>
      <c r="AK369" s="8">
        <v>9.4799999999999329E-2</v>
      </c>
      <c r="AL369" s="9">
        <v>81.556420233463143</v>
      </c>
      <c r="AM369" s="10">
        <v>4.0778210116731577</v>
      </c>
      <c r="AN369" s="9">
        <v>40.778210116731572</v>
      </c>
      <c r="AO369" s="11">
        <v>4.0788140682363903</v>
      </c>
      <c r="AP369" s="2">
        <v>4.1526499999999995</v>
      </c>
      <c r="AQ369" s="2">
        <f t="shared" si="73"/>
        <v>0.23254839999999999</v>
      </c>
      <c r="AR369" s="2">
        <v>1.2158918602177726</v>
      </c>
      <c r="AS369" s="2">
        <v>0.25951460713841357</v>
      </c>
      <c r="AT369" s="2">
        <f t="shared" si="74"/>
        <v>2.5951460713841357E-2</v>
      </c>
      <c r="AU369" s="2">
        <f t="shared" si="75"/>
        <v>2.48934874952908E-2</v>
      </c>
      <c r="AV369" s="2">
        <f t="shared" si="76"/>
        <v>3.8833840492653649E-3</v>
      </c>
      <c r="AW369" s="3">
        <f t="shared" si="77"/>
        <v>15.6</v>
      </c>
    </row>
    <row r="370" spans="1:49" x14ac:dyDescent="0.2">
      <c r="A370" t="s">
        <v>45</v>
      </c>
      <c r="B370" s="5" t="s">
        <v>46</v>
      </c>
      <c r="C370" s="5" t="s">
        <v>398</v>
      </c>
      <c r="D370" s="5" t="s">
        <v>426</v>
      </c>
      <c r="E370">
        <v>11</v>
      </c>
      <c r="F370" s="6">
        <v>445</v>
      </c>
      <c r="G370" s="3">
        <v>2.1</v>
      </c>
      <c r="H370" s="3">
        <v>2.2999999999999998</v>
      </c>
      <c r="I370" s="3">
        <v>1</v>
      </c>
      <c r="J370" s="3">
        <v>37.682499999999493</v>
      </c>
      <c r="K370" s="3">
        <v>38.682499999999493</v>
      </c>
      <c r="L370" s="3">
        <v>38.182499999999493</v>
      </c>
      <c r="M370" s="1">
        <v>0.21</v>
      </c>
      <c r="N370" s="3">
        <v>437.68249999999949</v>
      </c>
      <c r="O370" s="3">
        <v>438.68249999999949</v>
      </c>
      <c r="P370" s="3">
        <v>438.18249999999949</v>
      </c>
      <c r="Q370" s="3">
        <v>440.68249999999949</v>
      </c>
      <c r="R370" s="3">
        <v>441.68249999999949</v>
      </c>
      <c r="S370" s="3">
        <v>441.2</v>
      </c>
      <c r="T370" s="3">
        <v>441.2</v>
      </c>
      <c r="U370" s="7">
        <f t="shared" si="65"/>
        <v>0.5</v>
      </c>
      <c r="V370" s="3">
        <v>6101.55</v>
      </c>
      <c r="W370" s="3">
        <v>6531.67</v>
      </c>
      <c r="X370" s="3">
        <v>6358.35</v>
      </c>
      <c r="Y370" s="3">
        <v>6349.39</v>
      </c>
      <c r="Z370" s="3">
        <f t="shared" si="66"/>
        <v>215.05999999999995</v>
      </c>
      <c r="AA370" s="4">
        <f t="shared" si="67"/>
        <v>9.5923261390891676E-2</v>
      </c>
      <c r="AB370" s="4">
        <f t="shared" si="68"/>
        <v>3.3577211677984268E-3</v>
      </c>
      <c r="AC370">
        <v>1.1476266666666668</v>
      </c>
      <c r="AD370" s="2">
        <v>5.8078000000000003</v>
      </c>
      <c r="AE370" s="2">
        <v>2.09</v>
      </c>
      <c r="AF370" s="2">
        <f t="shared" si="69"/>
        <v>3.7178000000000004</v>
      </c>
      <c r="AG370" s="2">
        <v>0.94237333333333306</v>
      </c>
      <c r="AH370" s="1">
        <f t="shared" si="70"/>
        <v>79.778148452275019</v>
      </c>
      <c r="AI370" s="1">
        <f t="shared" si="71"/>
        <v>20.221851547724981</v>
      </c>
      <c r="AJ370" s="1">
        <f t="shared" si="72"/>
        <v>1.0110925773862491</v>
      </c>
      <c r="AK370" s="8">
        <v>8.8000000000000078E-2</v>
      </c>
      <c r="AL370" s="9">
        <v>82.272360999194191</v>
      </c>
      <c r="AM370" s="10">
        <v>4.1136180499597099</v>
      </c>
      <c r="AN370" s="9">
        <v>41.136180499597096</v>
      </c>
      <c r="AO370" s="11">
        <v>4.1146024669406795</v>
      </c>
      <c r="AP370" s="2">
        <v>3.7994000000000008</v>
      </c>
      <c r="AQ370" s="2">
        <f t="shared" si="73"/>
        <v>0.20516760000000003</v>
      </c>
      <c r="AR370" s="2">
        <v>1.2265550700987873</v>
      </c>
      <c r="AS370" s="2">
        <v>0.24803214542647073</v>
      </c>
      <c r="AT370" s="2">
        <f t="shared" si="74"/>
        <v>2.4803214542647074E-2</v>
      </c>
      <c r="AU370" s="2">
        <f t="shared" si="75"/>
        <v>2.3792052319087008E-2</v>
      </c>
      <c r="AV370" s="2">
        <f t="shared" si="76"/>
        <v>3.6639760571393993E-3</v>
      </c>
      <c r="AW370" s="3">
        <f t="shared" si="77"/>
        <v>15.4</v>
      </c>
    </row>
    <row r="371" spans="1:49" x14ac:dyDescent="0.2">
      <c r="A371" t="s">
        <v>45</v>
      </c>
      <c r="B371" s="5" t="s">
        <v>46</v>
      </c>
      <c r="C371" s="5" t="s">
        <v>398</v>
      </c>
      <c r="D371" s="5" t="s">
        <v>427</v>
      </c>
      <c r="E371">
        <v>11</v>
      </c>
      <c r="F371" s="6">
        <v>446</v>
      </c>
      <c r="G371" s="3">
        <v>2.1</v>
      </c>
      <c r="H371" s="3">
        <v>2.4500000000000002</v>
      </c>
      <c r="I371" s="3">
        <v>1</v>
      </c>
      <c r="J371" s="3">
        <v>38.889999999999475</v>
      </c>
      <c r="K371" s="3">
        <v>39.889999999999475</v>
      </c>
      <c r="L371" s="3">
        <v>39.389999999999475</v>
      </c>
      <c r="M371" s="1">
        <v>0.21</v>
      </c>
      <c r="N371" s="3">
        <v>438.88999999999947</v>
      </c>
      <c r="O371" s="3">
        <v>439.88999999999947</v>
      </c>
      <c r="P371" s="3">
        <v>439.38999999999947</v>
      </c>
      <c r="Q371" s="3">
        <v>441.88999999999947</v>
      </c>
      <c r="R371" s="3">
        <v>442.88999999999947</v>
      </c>
      <c r="S371" s="3">
        <v>442.4</v>
      </c>
      <c r="T371" s="3">
        <v>442.4</v>
      </c>
      <c r="U371" s="7">
        <f t="shared" si="65"/>
        <v>0.5</v>
      </c>
      <c r="V371" s="3">
        <v>6119.86</v>
      </c>
      <c r="W371" s="3">
        <v>6541.26</v>
      </c>
      <c r="X371" s="3">
        <v>6371.1</v>
      </c>
      <c r="Y371" s="3">
        <v>6361.9</v>
      </c>
      <c r="Z371" s="3">
        <f t="shared" si="66"/>
        <v>210.70000000000027</v>
      </c>
      <c r="AA371" s="4">
        <f t="shared" si="67"/>
        <v>9.6011816838996664E-2</v>
      </c>
      <c r="AB371" s="4">
        <f t="shared" si="68"/>
        <v>3.2883313430562941E-3</v>
      </c>
      <c r="AC371">
        <v>1.1476266666666668</v>
      </c>
      <c r="AD371" s="2">
        <v>6.2431000000000001</v>
      </c>
      <c r="AE371" s="2">
        <v>2.1219999999999999</v>
      </c>
      <c r="AF371" s="2">
        <f t="shared" si="69"/>
        <v>4.1211000000000002</v>
      </c>
      <c r="AG371" s="2">
        <v>0.97437333333333309</v>
      </c>
      <c r="AH371" s="1">
        <f t="shared" si="70"/>
        <v>80.877667890846908</v>
      </c>
      <c r="AI371" s="1">
        <f t="shared" si="71"/>
        <v>19.122332109153092</v>
      </c>
      <c r="AJ371" s="1">
        <f t="shared" si="72"/>
        <v>0.95611660545765464</v>
      </c>
      <c r="AK371" s="8">
        <v>4.7200000000000131E-2</v>
      </c>
      <c r="AL371" s="9">
        <v>89.267849022282832</v>
      </c>
      <c r="AM371" s="10">
        <v>4.4633924511141414</v>
      </c>
      <c r="AN371" s="9">
        <v>44.633924511141416</v>
      </c>
      <c r="AO371" s="11">
        <v>4.4642997404590457</v>
      </c>
      <c r="AP371" s="2">
        <v>4.0628656250000015</v>
      </c>
      <c r="AQ371" s="2">
        <f t="shared" si="73"/>
        <v>0.22548904218750007</v>
      </c>
      <c r="AR371" s="2">
        <v>1.2541574848007264</v>
      </c>
      <c r="AS371" s="2">
        <v>0.23982415941539606</v>
      </c>
      <c r="AT371" s="2">
        <f t="shared" si="74"/>
        <v>2.3982415941539607E-2</v>
      </c>
      <c r="AU371" s="2">
        <f t="shared" si="75"/>
        <v>2.3025953267357343E-2</v>
      </c>
      <c r="AV371" s="2">
        <f t="shared" si="76"/>
        <v>3.5805357330740669E-3</v>
      </c>
      <c r="AW371" s="3">
        <f t="shared" si="77"/>
        <v>15.55</v>
      </c>
    </row>
    <row r="372" spans="1:49" x14ac:dyDescent="0.2">
      <c r="A372" t="s">
        <v>45</v>
      </c>
      <c r="B372" s="5" t="s">
        <v>46</v>
      </c>
      <c r="C372" s="5" t="s">
        <v>398</v>
      </c>
      <c r="D372" s="5" t="s">
        <v>428</v>
      </c>
      <c r="E372">
        <v>11</v>
      </c>
      <c r="F372" s="6">
        <v>447</v>
      </c>
      <c r="G372" s="3">
        <v>2</v>
      </c>
      <c r="H372" s="3">
        <v>2.2999999999999998</v>
      </c>
      <c r="I372" s="3">
        <v>1.1499999999999999</v>
      </c>
      <c r="J372" s="3">
        <v>40.097499999999457</v>
      </c>
      <c r="K372" s="3">
        <v>41.247499999999434</v>
      </c>
      <c r="L372" s="3">
        <v>40.672499999999445</v>
      </c>
      <c r="M372" s="1">
        <v>0.21</v>
      </c>
      <c r="N372" s="3">
        <v>440.09749999999946</v>
      </c>
      <c r="O372" s="3">
        <v>441.24749999999943</v>
      </c>
      <c r="P372" s="3">
        <v>440.67249999999945</v>
      </c>
      <c r="Q372" s="3">
        <v>443.09749999999946</v>
      </c>
      <c r="R372" s="3">
        <v>444.24749999999943</v>
      </c>
      <c r="S372" s="3">
        <v>443.7</v>
      </c>
      <c r="T372" s="3">
        <v>443.7</v>
      </c>
      <c r="U372" s="7">
        <f t="shared" si="65"/>
        <v>0.57499999999998863</v>
      </c>
      <c r="V372" s="3">
        <v>6139.69</v>
      </c>
      <c r="W372" s="3">
        <v>6550.91</v>
      </c>
      <c r="X372" s="3">
        <v>6384.5</v>
      </c>
      <c r="Y372" s="3">
        <v>6375.44</v>
      </c>
      <c r="Z372" s="3">
        <f t="shared" si="66"/>
        <v>205.61000000000013</v>
      </c>
      <c r="AA372" s="4">
        <f t="shared" si="67"/>
        <v>9.5940959409593643E-2</v>
      </c>
      <c r="AB372" s="4">
        <f t="shared" si="68"/>
        <v>3.2184588130400116E-3</v>
      </c>
      <c r="AC372">
        <v>1.1476266666666668</v>
      </c>
      <c r="AD372" s="2">
        <v>5.3715999999999999</v>
      </c>
      <c r="AE372" s="2">
        <v>2.4512</v>
      </c>
      <c r="AF372" s="2">
        <f t="shared" si="69"/>
        <v>2.9203999999999999</v>
      </c>
      <c r="AG372" s="2">
        <v>1.3035733333333333</v>
      </c>
      <c r="AH372" s="1">
        <f t="shared" si="70"/>
        <v>69.138694057411982</v>
      </c>
      <c r="AI372" s="1">
        <f t="shared" si="71"/>
        <v>30.861305942588018</v>
      </c>
      <c r="AJ372" s="1">
        <f t="shared" si="72"/>
        <v>1.543065297129401</v>
      </c>
      <c r="AK372" s="8">
        <v>0.13349999999999973</v>
      </c>
      <c r="AL372" s="9">
        <v>60.79295154185035</v>
      </c>
      <c r="AM372" s="10">
        <v>3.0396475770925178</v>
      </c>
      <c r="AN372" s="9">
        <v>30.396475770925175</v>
      </c>
      <c r="AO372" s="11">
        <v>3.0409796765063088</v>
      </c>
      <c r="AP372" s="2">
        <v>4.1729618749999995</v>
      </c>
      <c r="AQ372" s="2">
        <f t="shared" si="73"/>
        <v>0.22742642218749995</v>
      </c>
      <c r="AR372" s="2">
        <v>1.0122242809451343</v>
      </c>
      <c r="AS372" s="2">
        <v>0.31238563216763954</v>
      </c>
      <c r="AT372" s="2">
        <f t="shared" si="74"/>
        <v>3.1238563216763954E-2</v>
      </c>
      <c r="AU372" s="2">
        <f t="shared" si="75"/>
        <v>2.9970577255935753E-2</v>
      </c>
      <c r="AV372" s="2">
        <f t="shared" si="76"/>
        <v>4.6304541860420741E-3</v>
      </c>
      <c r="AW372" s="3">
        <f t="shared" si="77"/>
        <v>15.45</v>
      </c>
    </row>
    <row r="373" spans="1:49" x14ac:dyDescent="0.2">
      <c r="A373" t="s">
        <v>45</v>
      </c>
      <c r="B373" s="5" t="s">
        <v>46</v>
      </c>
      <c r="C373" s="5" t="s">
        <v>398</v>
      </c>
      <c r="D373" s="5" t="s">
        <v>429</v>
      </c>
      <c r="E373">
        <v>11</v>
      </c>
      <c r="F373" s="6">
        <v>448</v>
      </c>
      <c r="G373" s="3">
        <v>2.2000000000000002</v>
      </c>
      <c r="H373" s="3">
        <v>2.35</v>
      </c>
      <c r="I373" s="3">
        <v>1.1000000000000001</v>
      </c>
      <c r="J373" s="3">
        <v>41.454999999999416</v>
      </c>
      <c r="K373" s="3">
        <v>42.554999999999438</v>
      </c>
      <c r="L373" s="3">
        <v>42.004999999999427</v>
      </c>
      <c r="M373" s="1">
        <v>0.21</v>
      </c>
      <c r="N373" s="3">
        <v>441.45499999999942</v>
      </c>
      <c r="O373" s="3">
        <v>442.55499999999944</v>
      </c>
      <c r="P373" s="3">
        <v>442.00499999999943</v>
      </c>
      <c r="Q373" s="3">
        <v>444.45499999999942</v>
      </c>
      <c r="R373" s="3">
        <v>445.55499999999944</v>
      </c>
      <c r="S373" s="3">
        <v>445</v>
      </c>
      <c r="T373" s="3">
        <v>445</v>
      </c>
      <c r="U373" s="7">
        <f t="shared" si="65"/>
        <v>0.55000000000001137</v>
      </c>
      <c r="V373" s="3">
        <v>6157.11</v>
      </c>
      <c r="W373" s="3">
        <v>6564.25</v>
      </c>
      <c r="X373" s="3">
        <v>6397.73</v>
      </c>
      <c r="Y373" s="3">
        <v>6388.99</v>
      </c>
      <c r="Z373" s="3">
        <f t="shared" si="66"/>
        <v>203.57000000000016</v>
      </c>
      <c r="AA373" s="4">
        <f t="shared" si="67"/>
        <v>9.5940959409593643E-2</v>
      </c>
      <c r="AB373" s="4">
        <f t="shared" si="68"/>
        <v>3.1755096383284669E-3</v>
      </c>
      <c r="AC373">
        <v>1.1476266666666668</v>
      </c>
      <c r="AD373" s="2">
        <v>6.1383000000000001</v>
      </c>
      <c r="AE373" s="2">
        <v>2.4741</v>
      </c>
      <c r="AF373" s="2">
        <f t="shared" si="69"/>
        <v>3.6642000000000001</v>
      </c>
      <c r="AG373" s="2">
        <v>1.3264733333333332</v>
      </c>
      <c r="AH373" s="1">
        <f t="shared" si="70"/>
        <v>73.420954553894532</v>
      </c>
      <c r="AI373" s="1">
        <f t="shared" si="71"/>
        <v>26.579045446105468</v>
      </c>
      <c r="AJ373" s="1">
        <f t="shared" si="72"/>
        <v>1.3289522723052736</v>
      </c>
      <c r="AK373" s="8">
        <v>7.8800000000000203E-2</v>
      </c>
      <c r="AL373" s="9">
        <v>83.762621059138652</v>
      </c>
      <c r="AM373" s="10">
        <v>4.1881310529569324</v>
      </c>
      <c r="AN373" s="9">
        <v>41.881310529569326</v>
      </c>
      <c r="AO373" s="11">
        <v>4.189097959793032</v>
      </c>
      <c r="AP373" s="2">
        <v>4.4691521875000015</v>
      </c>
      <c r="AQ373" s="2">
        <f t="shared" si="73"/>
        <v>0.25250709859375009</v>
      </c>
      <c r="AR373" s="2">
        <v>1.1166935302163128</v>
      </c>
      <c r="AS373" s="2">
        <v>0.29680648088991324</v>
      </c>
      <c r="AT373" s="2">
        <f t="shared" si="74"/>
        <v>2.9680648088991325E-2</v>
      </c>
      <c r="AU373" s="2">
        <f t="shared" si="75"/>
        <v>2.8475898535563496E-2</v>
      </c>
      <c r="AV373" s="2">
        <f t="shared" si="76"/>
        <v>4.4564781208156871E-3</v>
      </c>
      <c r="AW373" s="3">
        <f t="shared" si="77"/>
        <v>15.65</v>
      </c>
    </row>
    <row r="374" spans="1:49" x14ac:dyDescent="0.2">
      <c r="A374" t="s">
        <v>45</v>
      </c>
      <c r="B374" s="5" t="s">
        <v>46</v>
      </c>
      <c r="C374" s="5" t="s">
        <v>398</v>
      </c>
      <c r="D374" s="5" t="s">
        <v>430</v>
      </c>
      <c r="E374">
        <v>11</v>
      </c>
      <c r="F374" s="6">
        <v>449</v>
      </c>
      <c r="G374" s="3">
        <v>2.1</v>
      </c>
      <c r="H374" s="3">
        <v>2.4</v>
      </c>
      <c r="I374" s="3">
        <v>1.05</v>
      </c>
      <c r="J374" s="3">
        <v>42.76249999999942</v>
      </c>
      <c r="K374" s="3">
        <v>43.812499999999432</v>
      </c>
      <c r="L374" s="3">
        <v>43.287499999999454</v>
      </c>
      <c r="M374" s="1">
        <v>0.21</v>
      </c>
      <c r="N374" s="3">
        <v>442.76249999999942</v>
      </c>
      <c r="O374" s="3">
        <v>443.81249999999943</v>
      </c>
      <c r="P374" s="3">
        <v>443.28749999999945</v>
      </c>
      <c r="Q374" s="3">
        <v>445.76249999999942</v>
      </c>
      <c r="R374" s="3">
        <v>446.81249999999943</v>
      </c>
      <c r="S374" s="3">
        <v>446.3</v>
      </c>
      <c r="T374" s="3">
        <v>446.3</v>
      </c>
      <c r="U374" s="7">
        <f t="shared" si="65"/>
        <v>0.52500000000000568</v>
      </c>
      <c r="V374" s="3">
        <v>6175.54</v>
      </c>
      <c r="W374" s="3">
        <v>6579.74</v>
      </c>
      <c r="X374" s="3">
        <v>6410.29</v>
      </c>
      <c r="Y374" s="3">
        <v>6402.54</v>
      </c>
      <c r="Z374" s="3">
        <f t="shared" si="66"/>
        <v>202.09999999999991</v>
      </c>
      <c r="AA374" s="4">
        <f t="shared" si="67"/>
        <v>9.5923261390884709E-2</v>
      </c>
      <c r="AB374" s="4">
        <f t="shared" si="68"/>
        <v>3.1407133035107754E-3</v>
      </c>
      <c r="AC374">
        <v>1.1476266666666668</v>
      </c>
      <c r="AD374" s="2">
        <v>5.8863000000000003</v>
      </c>
      <c r="AE374" s="2">
        <v>2.0929000000000002</v>
      </c>
      <c r="AF374" s="2">
        <f t="shared" si="69"/>
        <v>3.7934000000000001</v>
      </c>
      <c r="AG374" s="2">
        <v>0.94527333333333341</v>
      </c>
      <c r="AH374" s="1">
        <f t="shared" si="70"/>
        <v>80.051941401320477</v>
      </c>
      <c r="AI374" s="1">
        <f t="shared" si="71"/>
        <v>19.948058598679523</v>
      </c>
      <c r="AJ374" s="1">
        <f t="shared" si="72"/>
        <v>0.99740292993397617</v>
      </c>
      <c r="AK374" s="8">
        <v>7.0700000000000429E-2</v>
      </c>
      <c r="AL374" s="9">
        <v>86.255832037324964</v>
      </c>
      <c r="AM374" s="10">
        <v>4.3127916018662482</v>
      </c>
      <c r="AN374" s="9">
        <v>43.127916018662482</v>
      </c>
      <c r="AO374" s="11">
        <v>4.313730566589439</v>
      </c>
      <c r="AP374" s="2">
        <v>4.1727656250000003</v>
      </c>
      <c r="AQ374" s="2">
        <f t="shared" si="73"/>
        <v>0.23158849218750002</v>
      </c>
      <c r="AR374" s="2">
        <v>1.1356193371951806</v>
      </c>
      <c r="AS374" s="2">
        <v>0.22653401084163058</v>
      </c>
      <c r="AT374" s="2">
        <f t="shared" si="74"/>
        <v>2.2653401084163059E-2</v>
      </c>
      <c r="AU374" s="2">
        <f t="shared" si="75"/>
        <v>2.1729881135887242E-2</v>
      </c>
      <c r="AV374" s="2">
        <f t="shared" si="76"/>
        <v>3.3789965166304663E-3</v>
      </c>
      <c r="AW374" s="3">
        <f t="shared" si="77"/>
        <v>15.55</v>
      </c>
    </row>
    <row r="375" spans="1:49" x14ac:dyDescent="0.2">
      <c r="A375" t="s">
        <v>45</v>
      </c>
      <c r="B375" s="5" t="s">
        <v>46</v>
      </c>
      <c r="C375" s="5" t="s">
        <v>398</v>
      </c>
      <c r="D375" s="5" t="s">
        <v>431</v>
      </c>
      <c r="E375">
        <v>11</v>
      </c>
      <c r="F375" s="6">
        <v>450</v>
      </c>
      <c r="G375" s="3">
        <v>2.1</v>
      </c>
      <c r="H375" s="3">
        <v>2.35</v>
      </c>
      <c r="I375" s="3">
        <v>1</v>
      </c>
      <c r="J375" s="3">
        <v>44.019999999999413</v>
      </c>
      <c r="K375" s="3">
        <v>45.019999999999413</v>
      </c>
      <c r="L375" s="3">
        <v>44.519999999999413</v>
      </c>
      <c r="M375" s="1">
        <v>0.21</v>
      </c>
      <c r="N375" s="3">
        <v>444.01999999999941</v>
      </c>
      <c r="O375" s="3">
        <v>445.01999999999941</v>
      </c>
      <c r="P375" s="3">
        <v>444.51999999999941</v>
      </c>
      <c r="Q375" s="3">
        <v>447.01999999999941</v>
      </c>
      <c r="R375" s="3">
        <v>448.01999999999941</v>
      </c>
      <c r="S375" s="3">
        <v>447.5</v>
      </c>
      <c r="T375" s="3">
        <v>447.5</v>
      </c>
      <c r="U375" s="7">
        <f t="shared" si="65"/>
        <v>0.5</v>
      </c>
      <c r="V375" s="3">
        <v>6190.09</v>
      </c>
      <c r="W375" s="3">
        <v>6598.61</v>
      </c>
      <c r="X375" s="3">
        <v>6422.19</v>
      </c>
      <c r="Y375" s="3">
        <v>6415.05</v>
      </c>
      <c r="Z375" s="3">
        <f t="shared" si="66"/>
        <v>204.25999999999976</v>
      </c>
      <c r="AA375" s="4">
        <f t="shared" si="67"/>
        <v>9.5999999999999086E-2</v>
      </c>
      <c r="AB375" s="4">
        <f t="shared" si="68"/>
        <v>3.1639745206355576E-3</v>
      </c>
      <c r="AC375">
        <v>1.1476266666666668</v>
      </c>
      <c r="AD375" s="2">
        <v>5.9294000000000002</v>
      </c>
      <c r="AE375" s="2">
        <v>2.0647000000000002</v>
      </c>
      <c r="AF375" s="2">
        <f t="shared" si="69"/>
        <v>3.8647</v>
      </c>
      <c r="AG375" s="2">
        <v>0.91707333333333341</v>
      </c>
      <c r="AH375" s="1">
        <f t="shared" si="70"/>
        <v>80.821480454949764</v>
      </c>
      <c r="AI375" s="1">
        <f t="shared" si="71"/>
        <v>19.178519545050236</v>
      </c>
      <c r="AJ375" s="1">
        <f t="shared" si="72"/>
        <v>0.95892597725251183</v>
      </c>
      <c r="AK375" s="8">
        <v>6.1499999999999666E-2</v>
      </c>
      <c r="AL375" s="9">
        <v>87.816957210776621</v>
      </c>
      <c r="AM375" s="10">
        <v>4.3908478605388312</v>
      </c>
      <c r="AN375" s="9">
        <v>43.908478605388311</v>
      </c>
      <c r="AO375" s="11">
        <v>4.391770136789769</v>
      </c>
      <c r="AP375" s="2">
        <v>3.8862406250000006</v>
      </c>
      <c r="AQ375" s="2">
        <f t="shared" si="73"/>
        <v>0.21180011406250002</v>
      </c>
      <c r="AR375" s="2">
        <v>1.2304367626061068</v>
      </c>
      <c r="AS375" s="2">
        <v>0.23597955500589551</v>
      </c>
      <c r="AT375" s="2">
        <f t="shared" si="74"/>
        <v>2.3597955500589553E-2</v>
      </c>
      <c r="AU375" s="2">
        <f t="shared" si="75"/>
        <v>2.2654037280565753E-2</v>
      </c>
      <c r="AV375" s="2">
        <f t="shared" si="76"/>
        <v>3.5000487598474089E-3</v>
      </c>
      <c r="AW375" s="3">
        <f t="shared" si="77"/>
        <v>15.45</v>
      </c>
    </row>
    <row r="376" spans="1:49" x14ac:dyDescent="0.2">
      <c r="A376" t="s">
        <v>45</v>
      </c>
      <c r="B376" s="5" t="s">
        <v>46</v>
      </c>
      <c r="C376" s="5" t="s">
        <v>398</v>
      </c>
      <c r="D376" s="5" t="s">
        <v>432</v>
      </c>
      <c r="E376">
        <v>11</v>
      </c>
      <c r="F376" s="6">
        <v>451</v>
      </c>
      <c r="G376" s="3">
        <v>2.2000000000000002</v>
      </c>
      <c r="H376" s="3">
        <v>2.2000000000000002</v>
      </c>
      <c r="I376" s="3">
        <v>1</v>
      </c>
      <c r="J376" s="3">
        <v>45.227499999999395</v>
      </c>
      <c r="K376" s="3">
        <v>46.227499999999395</v>
      </c>
      <c r="L376" s="3">
        <v>45.727499999999395</v>
      </c>
      <c r="M376" s="1">
        <v>0.21</v>
      </c>
      <c r="N376" s="3">
        <v>445.2274999999994</v>
      </c>
      <c r="O376" s="3">
        <v>446.2274999999994</v>
      </c>
      <c r="P376" s="3">
        <v>445.7274999999994</v>
      </c>
      <c r="Q376" s="3">
        <v>448.2274999999994</v>
      </c>
      <c r="R376" s="3">
        <v>449.2274999999994</v>
      </c>
      <c r="S376" s="3">
        <v>448.7</v>
      </c>
      <c r="T376" s="3">
        <v>448.7</v>
      </c>
      <c r="U376" s="7">
        <f t="shared" si="65"/>
        <v>0.5</v>
      </c>
      <c r="V376" s="3">
        <v>6200.35</v>
      </c>
      <c r="W376" s="3">
        <v>6615.4</v>
      </c>
      <c r="X376" s="3">
        <v>6432.96</v>
      </c>
      <c r="Y376" s="3">
        <v>6427.55</v>
      </c>
      <c r="Z376" s="3">
        <f t="shared" si="66"/>
        <v>207.52499999999964</v>
      </c>
      <c r="AA376" s="4">
        <f t="shared" si="67"/>
        <v>9.5923261390884709E-2</v>
      </c>
      <c r="AB376" s="4">
        <f t="shared" si="68"/>
        <v>3.2039450328453893E-3</v>
      </c>
      <c r="AC376">
        <v>1.1476266666666668</v>
      </c>
      <c r="AD376" s="2">
        <v>5.0911</v>
      </c>
      <c r="AE376" s="2">
        <v>2.0615999999999999</v>
      </c>
      <c r="AF376" s="2">
        <f t="shared" si="69"/>
        <v>3.0295000000000001</v>
      </c>
      <c r="AG376" s="2">
        <v>0.91397333333333308</v>
      </c>
      <c r="AH376" s="1">
        <f t="shared" si="70"/>
        <v>76.823138992529437</v>
      </c>
      <c r="AI376" s="1">
        <f t="shared" si="71"/>
        <v>23.176861007470563</v>
      </c>
      <c r="AJ376" s="1">
        <f t="shared" si="72"/>
        <v>1.1588430503735283</v>
      </c>
      <c r="AK376" s="8">
        <v>0.10179999999999989</v>
      </c>
      <c r="AL376" s="9">
        <v>76.248250116658937</v>
      </c>
      <c r="AM376" s="10">
        <v>3.8124125058329472</v>
      </c>
      <c r="AN376" s="9">
        <v>38.124125058329469</v>
      </c>
      <c r="AO376" s="11">
        <v>3.8134746773292534</v>
      </c>
      <c r="AP376" s="2">
        <v>3.7994000000000008</v>
      </c>
      <c r="AQ376" s="2">
        <f t="shared" si="73"/>
        <v>0.20516760000000006</v>
      </c>
      <c r="AR376" s="2">
        <v>1.0379200224596865</v>
      </c>
      <c r="AS376" s="2">
        <v>0.2405572809741888</v>
      </c>
      <c r="AT376" s="2">
        <f t="shared" si="74"/>
        <v>2.405572809741888E-2</v>
      </c>
      <c r="AU376" s="2">
        <f t="shared" si="75"/>
        <v>2.307503894236761E-2</v>
      </c>
      <c r="AV376" s="2">
        <f t="shared" si="76"/>
        <v>3.5535559971246124E-3</v>
      </c>
      <c r="AW376" s="3">
        <f t="shared" si="77"/>
        <v>15.400000000000002</v>
      </c>
    </row>
    <row r="377" spans="1:49" x14ac:dyDescent="0.2">
      <c r="A377" t="s">
        <v>45</v>
      </c>
      <c r="B377" s="5" t="s">
        <v>46</v>
      </c>
      <c r="C377" s="5" t="s">
        <v>398</v>
      </c>
      <c r="D377" s="5" t="s">
        <v>433</v>
      </c>
      <c r="E377">
        <v>11</v>
      </c>
      <c r="F377" s="6">
        <v>452</v>
      </c>
      <c r="G377" s="3">
        <v>2.2000000000000002</v>
      </c>
      <c r="H377" s="3">
        <v>2.2999999999999998</v>
      </c>
      <c r="I377" s="3">
        <v>1</v>
      </c>
      <c r="J377" s="3">
        <v>46.434999999999377</v>
      </c>
      <c r="K377" s="3">
        <v>47.434999999999377</v>
      </c>
      <c r="L377" s="3">
        <v>46.934999999999377</v>
      </c>
      <c r="M377" s="1">
        <v>0.21</v>
      </c>
      <c r="N377" s="3">
        <v>446.43499999999938</v>
      </c>
      <c r="O377" s="3">
        <v>447.43499999999938</v>
      </c>
      <c r="P377" s="3">
        <v>446.93499999999938</v>
      </c>
      <c r="Q377" s="3">
        <v>449.43499999999938</v>
      </c>
      <c r="R377" s="3">
        <v>450.43499999999938</v>
      </c>
      <c r="S377" s="3">
        <v>449.9</v>
      </c>
      <c r="T377" s="3">
        <v>449.9</v>
      </c>
      <c r="U377" s="7">
        <f t="shared" si="65"/>
        <v>0.5</v>
      </c>
      <c r="V377" s="3">
        <v>6211.15</v>
      </c>
      <c r="W377" s="3">
        <v>6640.89</v>
      </c>
      <c r="X377" s="3">
        <v>6444.07</v>
      </c>
      <c r="Y377" s="3">
        <v>6440.06</v>
      </c>
      <c r="Z377" s="3">
        <f t="shared" si="66"/>
        <v>214.87000000000035</v>
      </c>
      <c r="AA377" s="4">
        <f t="shared" si="67"/>
        <v>9.8522167487705495E-2</v>
      </c>
      <c r="AB377" s="4">
        <f t="shared" si="68"/>
        <v>3.3966457203552279E-3</v>
      </c>
      <c r="AC377">
        <v>1.1476266666666668</v>
      </c>
      <c r="AD377" s="2">
        <v>6.1372</v>
      </c>
      <c r="AE377" s="2">
        <v>2.0133000000000001</v>
      </c>
      <c r="AF377" s="2">
        <f t="shared" si="69"/>
        <v>4.1238999999999999</v>
      </c>
      <c r="AG377" s="2">
        <v>0.86567333333333329</v>
      </c>
      <c r="AH377" s="1">
        <f t="shared" si="70"/>
        <v>82.650353537242992</v>
      </c>
      <c r="AI377" s="1">
        <f t="shared" si="71"/>
        <v>17.349646462757008</v>
      </c>
      <c r="AJ377" s="1">
        <f t="shared" si="72"/>
        <v>0.86748232313785045</v>
      </c>
      <c r="AK377" s="8">
        <v>6.0599999999999987E-2</v>
      </c>
      <c r="AL377" s="9">
        <v>84.758551307847071</v>
      </c>
      <c r="AM377" s="10">
        <v>4.2379275653923534</v>
      </c>
      <c r="AN377" s="9">
        <v>42.379275653923536</v>
      </c>
      <c r="AO377" s="11">
        <v>4.2388831134524523</v>
      </c>
      <c r="AP377" s="2">
        <v>3.9740625000000001</v>
      </c>
      <c r="AQ377" s="2">
        <f t="shared" si="73"/>
        <v>0.2185734375</v>
      </c>
      <c r="AR377" s="2">
        <v>1.2555346910959084</v>
      </c>
      <c r="AS377" s="2">
        <v>0.21783083012240831</v>
      </c>
      <c r="AT377" s="2">
        <f t="shared" si="74"/>
        <v>2.1783083012240832E-2</v>
      </c>
      <c r="AU377" s="2">
        <f t="shared" si="75"/>
        <v>2.1461165529305836E-2</v>
      </c>
      <c r="AV377" s="2">
        <f t="shared" si="76"/>
        <v>3.3264806570424046E-3</v>
      </c>
      <c r="AW377" s="3">
        <f t="shared" si="77"/>
        <v>15.5</v>
      </c>
    </row>
    <row r="378" spans="1:49" x14ac:dyDescent="0.2">
      <c r="A378" t="s">
        <v>45</v>
      </c>
      <c r="B378" s="5" t="s">
        <v>46</v>
      </c>
      <c r="C378" s="5" t="s">
        <v>434</v>
      </c>
      <c r="D378" s="5" t="s">
        <v>435</v>
      </c>
      <c r="E378">
        <v>12</v>
      </c>
      <c r="F378" s="6">
        <v>459</v>
      </c>
      <c r="G378" s="3">
        <v>1.95</v>
      </c>
      <c r="H378" s="3">
        <v>2</v>
      </c>
      <c r="I378" s="3">
        <v>1</v>
      </c>
      <c r="J378" s="3">
        <v>4.7868421052631902</v>
      </c>
      <c r="K378" s="3">
        <v>5.7868421052631902</v>
      </c>
      <c r="L378" s="3">
        <v>5.2868421052631902</v>
      </c>
      <c r="M378" s="1">
        <v>0.22</v>
      </c>
      <c r="N378" s="3">
        <v>444.78684210526319</v>
      </c>
      <c r="O378" s="3">
        <v>445.78684210526319</v>
      </c>
      <c r="P378" s="3">
        <v>445.28684210526319</v>
      </c>
      <c r="Q378" s="3">
        <v>449.78684210526319</v>
      </c>
      <c r="R378" s="3">
        <v>450.78684210526319</v>
      </c>
      <c r="S378" s="3">
        <v>450.3</v>
      </c>
      <c r="T378" s="3">
        <v>450.3</v>
      </c>
      <c r="U378" s="7">
        <f t="shared" si="65"/>
        <v>0.5</v>
      </c>
      <c r="V378" s="3">
        <v>6218.58</v>
      </c>
      <c r="W378" s="3">
        <v>6645.03</v>
      </c>
      <c r="X378" s="3">
        <v>6447.7</v>
      </c>
      <c r="Y378" s="3">
        <v>6444.12</v>
      </c>
      <c r="Z378" s="3">
        <f t="shared" si="66"/>
        <v>213.22499999999991</v>
      </c>
      <c r="AA378" s="4">
        <f t="shared" si="67"/>
        <v>9.9616858237547373E-2</v>
      </c>
      <c r="AB378" s="4">
        <f t="shared" si="68"/>
        <v>3.4067645215176781E-3</v>
      </c>
      <c r="AC378">
        <v>1.1476266666666668</v>
      </c>
      <c r="AD378" s="2">
        <v>4.6763000000000003</v>
      </c>
      <c r="AE378" s="2">
        <v>2.0575999999999999</v>
      </c>
      <c r="AF378" s="2">
        <f t="shared" si="69"/>
        <v>2.6187000000000005</v>
      </c>
      <c r="AG378" s="2">
        <v>0.90997333333333308</v>
      </c>
      <c r="AH378" s="1">
        <f t="shared" si="70"/>
        <v>74.212026805163802</v>
      </c>
      <c r="AI378" s="1">
        <f t="shared" si="71"/>
        <v>25.787973194836198</v>
      </c>
      <c r="AJ378" s="1">
        <f t="shared" si="72"/>
        <v>1.2893986597418099</v>
      </c>
      <c r="AK378" s="8">
        <v>7.1699999999999875E-2</v>
      </c>
      <c r="AL378" s="9">
        <v>72.953602414183322</v>
      </c>
      <c r="AM378" s="10">
        <v>3.6476801207091665</v>
      </c>
      <c r="AN378" s="9">
        <v>36.476801207091661</v>
      </c>
      <c r="AO378" s="11">
        <v>3.6487902465086752</v>
      </c>
      <c r="AP378" s="2">
        <v>3.0619906250000004</v>
      </c>
      <c r="AQ378" s="2">
        <f t="shared" si="73"/>
        <v>0.15156853593750003</v>
      </c>
      <c r="AR378" s="2">
        <v>1.152411540558957</v>
      </c>
      <c r="AS378" s="2">
        <v>0.29718357917354271</v>
      </c>
      <c r="AT378" s="2">
        <f t="shared" si="74"/>
        <v>2.9718357917354273E-2</v>
      </c>
      <c r="AU378" s="2">
        <f t="shared" si="75"/>
        <v>2.9604494477057739E-2</v>
      </c>
      <c r="AV378" s="2">
        <f t="shared" si="76"/>
        <v>4.4258719243201322E-3</v>
      </c>
      <c r="AW378" s="3">
        <f t="shared" si="77"/>
        <v>14.95</v>
      </c>
    </row>
    <row r="379" spans="1:49" x14ac:dyDescent="0.2">
      <c r="A379" t="s">
        <v>45</v>
      </c>
      <c r="B379" s="5" t="s">
        <v>46</v>
      </c>
      <c r="C379" s="5" t="s">
        <v>434</v>
      </c>
      <c r="D379" s="5" t="s">
        <v>436</v>
      </c>
      <c r="E379">
        <v>12</v>
      </c>
      <c r="F379" s="6">
        <v>460</v>
      </c>
      <c r="G379" s="3">
        <v>2.1</v>
      </c>
      <c r="H379" s="3">
        <v>1.9</v>
      </c>
      <c r="I379" s="3">
        <v>1.1499999999999999</v>
      </c>
      <c r="J379" s="3">
        <v>6.0085526315789934</v>
      </c>
      <c r="K379" s="3">
        <v>7.1585526315789707</v>
      </c>
      <c r="L379" s="3">
        <v>6.5835526315789821</v>
      </c>
      <c r="M379" s="1">
        <v>0.22</v>
      </c>
      <c r="N379" s="3">
        <v>446.00855263157899</v>
      </c>
      <c r="O379" s="3">
        <v>447.15855263157897</v>
      </c>
      <c r="P379" s="3">
        <v>446.58355263157898</v>
      </c>
      <c r="Q379" s="3">
        <v>451.00855263157899</v>
      </c>
      <c r="R379" s="3">
        <v>452.15855263157897</v>
      </c>
      <c r="S379" s="3">
        <v>451.6</v>
      </c>
      <c r="T379" s="3">
        <v>451.6</v>
      </c>
      <c r="U379" s="7">
        <f t="shared" si="65"/>
        <v>0.57499999999998863</v>
      </c>
      <c r="V379" s="3">
        <v>6243.34</v>
      </c>
      <c r="W379" s="3">
        <v>6653.97</v>
      </c>
      <c r="X379" s="3">
        <v>6459.81</v>
      </c>
      <c r="Y379" s="3">
        <v>6457.17</v>
      </c>
      <c r="Z379" s="3">
        <f t="shared" si="66"/>
        <v>205.31500000000005</v>
      </c>
      <c r="AA379" s="4">
        <f t="shared" si="67"/>
        <v>9.9573257467996307E-2</v>
      </c>
      <c r="AB379" s="4">
        <f t="shared" si="68"/>
        <v>3.2928565380118124E-3</v>
      </c>
      <c r="AC379">
        <v>1.1476266666666668</v>
      </c>
      <c r="AD379" s="2">
        <v>5.5353000000000003</v>
      </c>
      <c r="AE379" s="2">
        <v>2.6945999999999999</v>
      </c>
      <c r="AF379" s="2">
        <f t="shared" si="69"/>
        <v>2.8407000000000004</v>
      </c>
      <c r="AG379" s="2">
        <v>1.5469733333333331</v>
      </c>
      <c r="AH379" s="1">
        <f t="shared" si="70"/>
        <v>64.742741407367021</v>
      </c>
      <c r="AI379" s="1">
        <f t="shared" si="71"/>
        <v>35.257258592632979</v>
      </c>
      <c r="AJ379" s="1">
        <f t="shared" si="72"/>
        <v>1.7628629296316491</v>
      </c>
      <c r="AK379" s="8">
        <v>0.24210000000000065</v>
      </c>
      <c r="AL379" s="9">
        <v>49.792617171298147</v>
      </c>
      <c r="AM379" s="10">
        <v>2.4896308585649076</v>
      </c>
      <c r="AN379" s="9">
        <v>24.896308585649074</v>
      </c>
      <c r="AO379" s="11">
        <v>2.4912570746349401</v>
      </c>
      <c r="AP379" s="2">
        <v>3.6109999999999998</v>
      </c>
      <c r="AQ379" s="2">
        <f t="shared" si="73"/>
        <v>0.18596650000000001</v>
      </c>
      <c r="AR379" s="2">
        <v>1.2150853872426846</v>
      </c>
      <c r="AS379" s="2">
        <v>0.42840579710144921</v>
      </c>
      <c r="AT379" s="2">
        <f t="shared" si="74"/>
        <v>4.2840579710144926E-2</v>
      </c>
      <c r="AU379" s="2">
        <f t="shared" si="75"/>
        <v>4.2657760735564786E-2</v>
      </c>
      <c r="AV379" s="2">
        <f t="shared" si="76"/>
        <v>6.4626507514380658E-3</v>
      </c>
      <c r="AW379" s="3">
        <f t="shared" si="77"/>
        <v>15.150000000000002</v>
      </c>
    </row>
    <row r="380" spans="1:49" x14ac:dyDescent="0.2">
      <c r="A380" t="s">
        <v>45</v>
      </c>
      <c r="B380" s="5" t="s">
        <v>46</v>
      </c>
      <c r="C380" s="5" t="s">
        <v>434</v>
      </c>
      <c r="D380" s="5" t="s">
        <v>437</v>
      </c>
      <c r="E380">
        <v>12</v>
      </c>
      <c r="F380" s="6">
        <v>461</v>
      </c>
      <c r="G380" s="3">
        <v>2.25</v>
      </c>
      <c r="H380" s="3">
        <v>2.1</v>
      </c>
      <c r="I380" s="3">
        <v>1.2</v>
      </c>
      <c r="J380" s="3">
        <v>7.3802631578947739</v>
      </c>
      <c r="K380" s="3">
        <v>8.5802631578947626</v>
      </c>
      <c r="L380" s="3">
        <v>7.9802631578947967</v>
      </c>
      <c r="M380" s="1">
        <v>0.22</v>
      </c>
      <c r="N380" s="3">
        <v>447.38026315789477</v>
      </c>
      <c r="O380" s="3">
        <v>448.58026315789476</v>
      </c>
      <c r="P380" s="3">
        <v>447.9802631578948</v>
      </c>
      <c r="Q380" s="3">
        <v>452.38026315789477</v>
      </c>
      <c r="R380" s="3">
        <v>453.58026315789476</v>
      </c>
      <c r="S380" s="3">
        <v>453</v>
      </c>
      <c r="T380" s="3">
        <v>453</v>
      </c>
      <c r="U380" s="7">
        <f t="shared" si="65"/>
        <v>0.59999999999999432</v>
      </c>
      <c r="V380" s="3">
        <v>6271.25</v>
      </c>
      <c r="W380" s="3">
        <v>6662.83</v>
      </c>
      <c r="X380" s="3">
        <v>6471.7</v>
      </c>
      <c r="Y380" s="3">
        <v>6471.23</v>
      </c>
      <c r="Z380" s="3">
        <f t="shared" si="66"/>
        <v>195.78999999999996</v>
      </c>
      <c r="AA380" s="4">
        <f t="shared" si="67"/>
        <v>9.9573257467989854E-2</v>
      </c>
      <c r="AB380" s="4">
        <f t="shared" si="68"/>
        <v>3.1445191957409206E-3</v>
      </c>
      <c r="AC380">
        <v>1.1476266666666668</v>
      </c>
      <c r="AD380" s="2">
        <v>7.2106000000000003</v>
      </c>
      <c r="AE380" s="2">
        <v>4.5941000000000001</v>
      </c>
      <c r="AF380" s="2">
        <f t="shared" si="69"/>
        <v>2.6165000000000003</v>
      </c>
      <c r="AG380" s="2">
        <v>3.4464733333333335</v>
      </c>
      <c r="AH380" s="1">
        <f t="shared" si="70"/>
        <v>43.15539350329761</v>
      </c>
      <c r="AI380" s="1">
        <f t="shared" si="71"/>
        <v>56.84460649670239</v>
      </c>
      <c r="AJ380" s="1">
        <f t="shared" si="72"/>
        <v>2.8422303248351195</v>
      </c>
      <c r="AK380" s="8">
        <v>1.5415000000000001</v>
      </c>
      <c r="AL380" s="9">
        <v>13.350196739741419</v>
      </c>
      <c r="AM380" s="10">
        <v>0.667509836987071</v>
      </c>
      <c r="AN380" s="9">
        <v>6.6750983698707094</v>
      </c>
      <c r="AO380" s="11">
        <v>0.67354983666726997</v>
      </c>
      <c r="AP380" s="2">
        <v>4.4562487499999994</v>
      </c>
      <c r="AQ380" s="2">
        <f t="shared" si="73"/>
        <v>0.24732180562499995</v>
      </c>
      <c r="AR380" s="2">
        <v>1.3605554073554207</v>
      </c>
      <c r="AS380" s="2">
        <v>0.77340236748079516</v>
      </c>
      <c r="AT380" s="2">
        <f t="shared" si="74"/>
        <v>7.7340236748079522E-2</v>
      </c>
      <c r="AU380" s="2">
        <f t="shared" si="75"/>
        <v>7.7010193063518126E-2</v>
      </c>
      <c r="AV380" s="2">
        <f t="shared" si="76"/>
        <v>1.1975085021377068E-2</v>
      </c>
      <c r="AW380" s="3">
        <f t="shared" si="77"/>
        <v>15.55</v>
      </c>
    </row>
    <row r="381" spans="1:49" x14ac:dyDescent="0.2">
      <c r="A381" t="s">
        <v>45</v>
      </c>
      <c r="B381" s="5" t="s">
        <v>46</v>
      </c>
      <c r="C381" s="5" t="s">
        <v>434</v>
      </c>
      <c r="D381" s="5" t="s">
        <v>438</v>
      </c>
      <c r="E381">
        <v>12</v>
      </c>
      <c r="F381" s="6">
        <v>462</v>
      </c>
      <c r="G381" s="3">
        <v>2.25</v>
      </c>
      <c r="H381" s="3">
        <v>2.2000000000000002</v>
      </c>
      <c r="I381" s="3">
        <v>1.1000000000000001</v>
      </c>
      <c r="J381" s="3">
        <v>8.8019736842105658</v>
      </c>
      <c r="K381" s="3">
        <v>9.9019736842105885</v>
      </c>
      <c r="L381" s="3">
        <v>9.3519736842105772</v>
      </c>
      <c r="M381" s="1">
        <v>0.22</v>
      </c>
      <c r="N381" s="3">
        <v>448.80197368421057</v>
      </c>
      <c r="O381" s="3">
        <v>449.90197368421059</v>
      </c>
      <c r="P381" s="3">
        <v>449.35197368421058</v>
      </c>
      <c r="Q381" s="3">
        <v>453.80197368421057</v>
      </c>
      <c r="R381" s="3">
        <v>454.90197368421059</v>
      </c>
      <c r="S381" s="3">
        <v>454.4</v>
      </c>
      <c r="T381" s="3">
        <v>454.4</v>
      </c>
      <c r="U381" s="7">
        <f t="shared" si="65"/>
        <v>0.55000000000001137</v>
      </c>
      <c r="V381" s="3">
        <v>6290.72</v>
      </c>
      <c r="W381" s="3">
        <v>6669.12</v>
      </c>
      <c r="X381" s="3">
        <v>6485.38</v>
      </c>
      <c r="Y381" s="3">
        <v>6485.29</v>
      </c>
      <c r="Z381" s="3">
        <f t="shared" si="66"/>
        <v>189.19999999999982</v>
      </c>
      <c r="AA381" s="4">
        <f t="shared" si="67"/>
        <v>9.9502487562189518E-2</v>
      </c>
      <c r="AB381" s="4">
        <f t="shared" si="68"/>
        <v>3.0232937305534288E-3</v>
      </c>
      <c r="AC381">
        <v>1.1476266666666668</v>
      </c>
      <c r="AD381" s="2">
        <v>6.2319000000000004</v>
      </c>
      <c r="AE381" s="2">
        <v>3.4432999999999998</v>
      </c>
      <c r="AF381" s="2">
        <f t="shared" si="69"/>
        <v>2.7886000000000006</v>
      </c>
      <c r="AG381" s="2">
        <v>2.2956733333333332</v>
      </c>
      <c r="AH381" s="1">
        <f t="shared" si="70"/>
        <v>54.847562614650933</v>
      </c>
      <c r="AI381" s="1">
        <f t="shared" si="71"/>
        <v>45.152437385349067</v>
      </c>
      <c r="AJ381" s="1">
        <f t="shared" si="72"/>
        <v>2.2576218692674535</v>
      </c>
      <c r="AK381" s="8">
        <v>2.2710999999999997</v>
      </c>
      <c r="AL381" s="9">
        <v>9.4096529716793</v>
      </c>
      <c r="AM381" s="10">
        <v>0.47048264858396505</v>
      </c>
      <c r="AN381" s="9">
        <v>4.70482648583965</v>
      </c>
      <c r="AO381" s="11">
        <v>0.47901348897351809</v>
      </c>
      <c r="AP381" s="2">
        <v>4.2748646875000009</v>
      </c>
      <c r="AQ381" s="2">
        <f t="shared" si="73"/>
        <v>0.23725499015625007</v>
      </c>
      <c r="AR381" s="2">
        <v>1.1893413487917173</v>
      </c>
      <c r="AS381" s="2">
        <v>0.53701660781124616</v>
      </c>
      <c r="AT381" s="2">
        <f t="shared" si="74"/>
        <v>5.3701660781124622E-2</v>
      </c>
      <c r="AU381" s="2">
        <f t="shared" si="75"/>
        <v>5.3434488339427724E-2</v>
      </c>
      <c r="AV381" s="2">
        <f t="shared" si="76"/>
        <v>8.3090629367810111E-3</v>
      </c>
      <c r="AW381" s="3">
        <f t="shared" si="77"/>
        <v>15.55</v>
      </c>
    </row>
    <row r="382" spans="1:49" x14ac:dyDescent="0.2">
      <c r="A382" t="s">
        <v>45</v>
      </c>
      <c r="B382" s="5" t="s">
        <v>46</v>
      </c>
      <c r="C382" s="5" t="s">
        <v>434</v>
      </c>
      <c r="D382" s="5" t="s">
        <v>439</v>
      </c>
      <c r="E382">
        <v>12</v>
      </c>
      <c r="F382" s="6">
        <v>463</v>
      </c>
      <c r="G382" s="3">
        <v>2.15</v>
      </c>
      <c r="H382" s="3">
        <v>2.5</v>
      </c>
      <c r="I382" s="3">
        <v>1</v>
      </c>
      <c r="J382" s="3">
        <v>10.123684210526392</v>
      </c>
      <c r="K382" s="3">
        <v>11.123684210526392</v>
      </c>
      <c r="L382" s="3">
        <v>10.623684210526392</v>
      </c>
      <c r="M382" s="1">
        <v>0.22</v>
      </c>
      <c r="N382" s="3">
        <v>450.12368421052639</v>
      </c>
      <c r="O382" s="3">
        <v>451.12368421052639</v>
      </c>
      <c r="P382" s="3">
        <v>450.62368421052639</v>
      </c>
      <c r="Q382" s="3">
        <v>455.12368421052639</v>
      </c>
      <c r="R382" s="3">
        <v>456.12368421052639</v>
      </c>
      <c r="S382" s="3">
        <v>455.6</v>
      </c>
      <c r="T382" s="3">
        <v>455.6</v>
      </c>
      <c r="U382" s="7">
        <f t="shared" si="65"/>
        <v>0.5</v>
      </c>
      <c r="V382" s="3">
        <v>6306.43</v>
      </c>
      <c r="W382" s="3">
        <v>6679.92</v>
      </c>
      <c r="X382" s="3">
        <v>6497.11</v>
      </c>
      <c r="Y382" s="3">
        <v>6497.35</v>
      </c>
      <c r="Z382" s="3">
        <f t="shared" si="66"/>
        <v>186.74499999999989</v>
      </c>
      <c r="AA382" s="4">
        <f t="shared" si="67"/>
        <v>9.9585062240668973E-2</v>
      </c>
      <c r="AB382" s="4">
        <f t="shared" si="68"/>
        <v>2.9715357693794247E-3</v>
      </c>
      <c r="AC382">
        <v>1.1476266666666668</v>
      </c>
      <c r="AD382" s="2">
        <v>5.8929999999999998</v>
      </c>
      <c r="AE382" s="2">
        <v>3.3349000000000002</v>
      </c>
      <c r="AF382" s="2">
        <f t="shared" si="69"/>
        <v>2.5580999999999996</v>
      </c>
      <c r="AG382" s="2">
        <v>2.1872733333333336</v>
      </c>
      <c r="AH382" s="1">
        <f t="shared" si="70"/>
        <v>53.90724438962301</v>
      </c>
      <c r="AI382" s="1">
        <f t="shared" si="71"/>
        <v>46.09275561037699</v>
      </c>
      <c r="AJ382" s="1">
        <f t="shared" si="72"/>
        <v>2.3046377805188496</v>
      </c>
      <c r="AK382" s="8">
        <v>0.89420000000000055</v>
      </c>
      <c r="AL382" s="9">
        <v>20.217701641684464</v>
      </c>
      <c r="AM382" s="10">
        <v>1.0108850820842232</v>
      </c>
      <c r="AN382" s="9">
        <v>10.108850820842232</v>
      </c>
      <c r="AO382" s="11">
        <v>1.0148835643463867</v>
      </c>
      <c r="AP382" s="2">
        <v>4.2434156250000008</v>
      </c>
      <c r="AQ382" s="2">
        <f t="shared" si="73"/>
        <v>0.23975298281250004</v>
      </c>
      <c r="AR382" s="2">
        <v>1.1182909600879203</v>
      </c>
      <c r="AS382" s="2">
        <v>0.51545111924626363</v>
      </c>
      <c r="AT382" s="2">
        <f t="shared" si="74"/>
        <v>5.1545111924626366E-2</v>
      </c>
      <c r="AU382" s="2">
        <f t="shared" si="75"/>
        <v>5.1331231792161647E-2</v>
      </c>
      <c r="AV382" s="2">
        <f t="shared" si="76"/>
        <v>8.0333377754732982E-3</v>
      </c>
      <c r="AW382" s="3">
        <f t="shared" si="77"/>
        <v>15.65</v>
      </c>
    </row>
    <row r="383" spans="1:49" x14ac:dyDescent="0.2">
      <c r="A383" t="s">
        <v>45</v>
      </c>
      <c r="B383" s="5" t="s">
        <v>46</v>
      </c>
      <c r="C383" s="5" t="s">
        <v>434</v>
      </c>
      <c r="D383" s="5" t="s">
        <v>440</v>
      </c>
      <c r="E383">
        <v>12</v>
      </c>
      <c r="F383" s="6">
        <v>464</v>
      </c>
      <c r="G383" s="3">
        <v>2.2000000000000002</v>
      </c>
      <c r="H383" s="3">
        <v>2.1</v>
      </c>
      <c r="I383" s="3">
        <v>1</v>
      </c>
      <c r="J383" s="3">
        <v>11.345394736842195</v>
      </c>
      <c r="K383" s="3">
        <v>12.345394736842195</v>
      </c>
      <c r="L383" s="3">
        <v>11.845394736842195</v>
      </c>
      <c r="M383" s="1">
        <v>0.22</v>
      </c>
      <c r="N383" s="3">
        <v>451.3453947368422</v>
      </c>
      <c r="O383" s="3">
        <v>452.3453947368422</v>
      </c>
      <c r="P383" s="3">
        <v>451.8453947368422</v>
      </c>
      <c r="Q383" s="3">
        <v>456.3453947368422</v>
      </c>
      <c r="R383" s="3">
        <v>457.3453947368422</v>
      </c>
      <c r="S383" s="3">
        <v>456.8</v>
      </c>
      <c r="T383" s="3">
        <v>456.8</v>
      </c>
      <c r="U383" s="7">
        <f t="shared" si="65"/>
        <v>0.5</v>
      </c>
      <c r="V383" s="3">
        <v>6321.86</v>
      </c>
      <c r="W383" s="3">
        <v>6690.38</v>
      </c>
      <c r="X383" s="3">
        <v>6509.15</v>
      </c>
      <c r="Y383" s="3">
        <v>6509.4</v>
      </c>
      <c r="Z383" s="3">
        <f t="shared" si="66"/>
        <v>184.26000000000022</v>
      </c>
      <c r="AA383" s="4">
        <f t="shared" si="67"/>
        <v>9.9540581929553715E-2</v>
      </c>
      <c r="AB383" s="4">
        <f t="shared" si="68"/>
        <v>2.9266252300653916E-3</v>
      </c>
      <c r="AC383">
        <v>1.1476266666666668</v>
      </c>
      <c r="AD383" s="2">
        <v>5.4001999999999999</v>
      </c>
      <c r="AE383" s="2">
        <v>2.5093000000000001</v>
      </c>
      <c r="AF383" s="2">
        <f t="shared" si="69"/>
        <v>2.8908999999999998</v>
      </c>
      <c r="AG383" s="2">
        <v>1.3616733333333333</v>
      </c>
      <c r="AH383" s="1">
        <f t="shared" si="70"/>
        <v>67.980015237832475</v>
      </c>
      <c r="AI383" s="1">
        <f t="shared" si="71"/>
        <v>32.019984762167525</v>
      </c>
      <c r="AJ383" s="1">
        <f t="shared" si="72"/>
        <v>1.6009992381083764</v>
      </c>
      <c r="AK383" s="8">
        <v>1.1740999999999993</v>
      </c>
      <c r="AL383" s="9">
        <v>15.080283523795805</v>
      </c>
      <c r="AM383" s="10">
        <v>0.75401417618979028</v>
      </c>
      <c r="AN383" s="9">
        <v>7.5401417618979023</v>
      </c>
      <c r="AO383" s="11">
        <v>0.75936643189909847</v>
      </c>
      <c r="AP383" s="2">
        <v>3.6286625000000012</v>
      </c>
      <c r="AQ383" s="2">
        <f t="shared" si="73"/>
        <v>0.19231911250000008</v>
      </c>
      <c r="AR383" s="2">
        <v>1.1719396150326276</v>
      </c>
      <c r="AS383" s="2">
        <v>0.37525488615525221</v>
      </c>
      <c r="AT383" s="2">
        <f t="shared" si="74"/>
        <v>3.7525488615525224E-2</v>
      </c>
      <c r="AU383" s="2">
        <f t="shared" si="75"/>
        <v>3.7353089739802232E-2</v>
      </c>
      <c r="AV383" s="2">
        <f t="shared" si="76"/>
        <v>5.7150227301897422E-3</v>
      </c>
      <c r="AW383" s="3">
        <f t="shared" si="77"/>
        <v>15.300000000000002</v>
      </c>
    </row>
    <row r="384" spans="1:49" x14ac:dyDescent="0.2">
      <c r="A384" t="s">
        <v>45</v>
      </c>
      <c r="B384" s="5" t="s">
        <v>46</v>
      </c>
      <c r="C384" s="5" t="s">
        <v>434</v>
      </c>
      <c r="D384" s="5" t="s">
        <v>441</v>
      </c>
      <c r="E384">
        <v>12</v>
      </c>
      <c r="F384" s="6">
        <v>465</v>
      </c>
      <c r="G384" s="3">
        <v>2.1</v>
      </c>
      <c r="H384" s="3">
        <v>2.25</v>
      </c>
      <c r="I384" s="3">
        <v>1.1000000000000001</v>
      </c>
      <c r="J384" s="3">
        <v>12.567105263157998</v>
      </c>
      <c r="K384" s="3">
        <v>13.667105263158021</v>
      </c>
      <c r="L384" s="3">
        <v>13.11710526315801</v>
      </c>
      <c r="M384" s="1">
        <v>0.22</v>
      </c>
      <c r="N384" s="3">
        <v>452.567105263158</v>
      </c>
      <c r="O384" s="3">
        <v>453.66710526315802</v>
      </c>
      <c r="P384" s="3">
        <v>453.11710526315801</v>
      </c>
      <c r="Q384" s="3">
        <v>457.567105263158</v>
      </c>
      <c r="R384" s="3">
        <v>458.66710526315802</v>
      </c>
      <c r="S384" s="3">
        <v>458.1</v>
      </c>
      <c r="T384" s="3">
        <v>458.1</v>
      </c>
      <c r="U384" s="7">
        <f t="shared" si="65"/>
        <v>0.55000000000001137</v>
      </c>
      <c r="V384" s="3">
        <v>6333.49</v>
      </c>
      <c r="W384" s="3">
        <v>6706.93</v>
      </c>
      <c r="X384" s="3">
        <v>6521.63</v>
      </c>
      <c r="Y384" s="3">
        <v>6522.46</v>
      </c>
      <c r="Z384" s="3">
        <f t="shared" si="66"/>
        <v>186.72000000000025</v>
      </c>
      <c r="AA384" s="4">
        <f t="shared" si="67"/>
        <v>9.9573257467989854E-2</v>
      </c>
      <c r="AB384" s="4">
        <f t="shared" si="68"/>
        <v>2.9700558847121465E-3</v>
      </c>
      <c r="AC384">
        <v>1.1476266666666668</v>
      </c>
      <c r="AD384" s="2">
        <v>5.9908999999999999</v>
      </c>
      <c r="AE384" s="2">
        <v>2.6901999999999999</v>
      </c>
      <c r="AF384" s="2">
        <f t="shared" si="69"/>
        <v>3.3007</v>
      </c>
      <c r="AG384" s="2">
        <v>1.5425733333333331</v>
      </c>
      <c r="AH384" s="1">
        <f t="shared" si="70"/>
        <v>68.150190435944836</v>
      </c>
      <c r="AI384" s="1">
        <f t="shared" si="71"/>
        <v>31.849809564055164</v>
      </c>
      <c r="AJ384" s="1">
        <f t="shared" si="72"/>
        <v>1.5924904782027582</v>
      </c>
      <c r="AK384" s="8">
        <v>0.37190000000000012</v>
      </c>
      <c r="AL384" s="9">
        <v>36.055708390646558</v>
      </c>
      <c r="AM384" s="10">
        <v>1.8027854195323281</v>
      </c>
      <c r="AN384" s="9">
        <v>18.027854195323279</v>
      </c>
      <c r="AO384" s="11">
        <v>1.8050305451372153</v>
      </c>
      <c r="AP384" s="2">
        <v>4.0848946874999994</v>
      </c>
      <c r="AQ384" s="2">
        <f t="shared" si="73"/>
        <v>0.22262676046874996</v>
      </c>
      <c r="AR384" s="2">
        <v>1.1856543935279442</v>
      </c>
      <c r="AS384" s="2">
        <v>0.37762866642650339</v>
      </c>
      <c r="AT384" s="2">
        <f t="shared" si="74"/>
        <v>3.7762866642650342E-2</v>
      </c>
      <c r="AU384" s="2">
        <f t="shared" si="75"/>
        <v>3.7601716429379879E-2</v>
      </c>
      <c r="AV384" s="2">
        <f t="shared" si="76"/>
        <v>5.8094651883391912E-3</v>
      </c>
      <c r="AW384" s="3">
        <f t="shared" si="77"/>
        <v>15.45</v>
      </c>
    </row>
    <row r="385" spans="1:49" x14ac:dyDescent="0.2">
      <c r="A385" t="s">
        <v>45</v>
      </c>
      <c r="B385" s="5" t="s">
        <v>46</v>
      </c>
      <c r="C385" s="5" t="s">
        <v>434</v>
      </c>
      <c r="D385" s="5" t="s">
        <v>442</v>
      </c>
      <c r="E385">
        <v>12</v>
      </c>
      <c r="F385" s="6">
        <v>466</v>
      </c>
      <c r="G385" s="3">
        <v>2</v>
      </c>
      <c r="H385" s="3">
        <v>2.2000000000000002</v>
      </c>
      <c r="I385" s="3">
        <v>1.2</v>
      </c>
      <c r="J385" s="3">
        <v>13.888815789473824</v>
      </c>
      <c r="K385" s="3">
        <v>15.088815789473813</v>
      </c>
      <c r="L385" s="3">
        <v>14.488815789473847</v>
      </c>
      <c r="M385" s="1">
        <v>0.22</v>
      </c>
      <c r="N385" s="3">
        <v>453.88881578947382</v>
      </c>
      <c r="O385" s="3">
        <v>455.08881578947381</v>
      </c>
      <c r="P385" s="3">
        <v>454.48881578947385</v>
      </c>
      <c r="Q385" s="3">
        <v>458.88881578947382</v>
      </c>
      <c r="R385" s="3">
        <v>460.08881578947381</v>
      </c>
      <c r="S385" s="3">
        <v>459.5</v>
      </c>
      <c r="T385" s="3">
        <v>459.5</v>
      </c>
      <c r="U385" s="7">
        <f t="shared" si="65"/>
        <v>0.59999999999999432</v>
      </c>
      <c r="V385" s="3">
        <v>6348.06</v>
      </c>
      <c r="W385" s="3">
        <v>6729.55</v>
      </c>
      <c r="X385" s="3">
        <v>6535.54</v>
      </c>
      <c r="Y385" s="3">
        <v>6536.52</v>
      </c>
      <c r="Z385" s="3">
        <f t="shared" si="66"/>
        <v>190.74499999999989</v>
      </c>
      <c r="AA385" s="4">
        <f t="shared" si="67"/>
        <v>9.2961487383799779E-2</v>
      </c>
      <c r="AB385" s="4">
        <f t="shared" si="68"/>
        <v>2.834135180416481E-3</v>
      </c>
      <c r="AC385">
        <v>1.1476266666666668</v>
      </c>
      <c r="AD385" s="2">
        <v>6.6477000000000004</v>
      </c>
      <c r="AE385" s="2">
        <v>2.8822999999999999</v>
      </c>
      <c r="AF385" s="2">
        <f t="shared" si="69"/>
        <v>3.7654000000000005</v>
      </c>
      <c r="AG385" s="2">
        <v>1.7346733333333331</v>
      </c>
      <c r="AH385" s="1">
        <f t="shared" si="70"/>
        <v>68.460905369746598</v>
      </c>
      <c r="AI385" s="1">
        <f t="shared" si="71"/>
        <v>31.539094630253402</v>
      </c>
      <c r="AJ385" s="1">
        <f t="shared" si="72"/>
        <v>1.5769547315126702</v>
      </c>
      <c r="AK385" s="8">
        <v>0.42860000000000031</v>
      </c>
      <c r="AL385" s="9">
        <v>39.188422247446006</v>
      </c>
      <c r="AM385" s="10">
        <v>1.9594211123723004</v>
      </c>
      <c r="AN385" s="9">
        <v>19.594211123723003</v>
      </c>
      <c r="AO385" s="11">
        <v>1.9614869603467426</v>
      </c>
      <c r="AP385" s="2">
        <v>4.1542200000000005</v>
      </c>
      <c r="AQ385" s="2">
        <f t="shared" si="73"/>
        <v>0.22432788000000006</v>
      </c>
      <c r="AR385" s="2">
        <v>1.323972570863684</v>
      </c>
      <c r="AS385" s="2">
        <v>0.41756896200329613</v>
      </c>
      <c r="AT385" s="2">
        <f t="shared" si="74"/>
        <v>4.1756896200329616E-2</v>
      </c>
      <c r="AU385" s="2">
        <f t="shared" si="75"/>
        <v>3.8817831793135783E-2</v>
      </c>
      <c r="AV385" s="2">
        <f t="shared" si="76"/>
        <v>5.9779460961429118E-3</v>
      </c>
      <c r="AW385" s="3">
        <f t="shared" si="77"/>
        <v>15.400000000000002</v>
      </c>
    </row>
    <row r="386" spans="1:49" x14ac:dyDescent="0.2">
      <c r="A386" t="s">
        <v>45</v>
      </c>
      <c r="B386" s="5" t="s">
        <v>46</v>
      </c>
      <c r="C386" s="5" t="s">
        <v>434</v>
      </c>
      <c r="D386" s="5" t="s">
        <v>443</v>
      </c>
      <c r="E386">
        <v>12</v>
      </c>
      <c r="F386" s="6">
        <v>467</v>
      </c>
      <c r="G386" s="3">
        <v>1.9</v>
      </c>
      <c r="H386" s="3">
        <v>2.1</v>
      </c>
      <c r="I386" s="3">
        <v>1.1499999999999999</v>
      </c>
      <c r="J386" s="3">
        <v>15.310526315789616</v>
      </c>
      <c r="K386" s="3">
        <v>16.460526315789593</v>
      </c>
      <c r="L386" s="3">
        <v>15.885526315789605</v>
      </c>
      <c r="M386" s="1">
        <v>0.22</v>
      </c>
      <c r="N386" s="3">
        <v>455.31052631578962</v>
      </c>
      <c r="O386" s="3">
        <v>456.46052631578959</v>
      </c>
      <c r="P386" s="3">
        <v>455.8855263157896</v>
      </c>
      <c r="Q386" s="3">
        <v>460.31052631578962</v>
      </c>
      <c r="R386" s="3">
        <v>461.46052631578959</v>
      </c>
      <c r="S386" s="3">
        <v>460.9</v>
      </c>
      <c r="T386" s="3">
        <v>460.9</v>
      </c>
      <c r="U386" s="7">
        <f t="shared" si="65"/>
        <v>0.57499999999998863</v>
      </c>
      <c r="V386" s="3">
        <v>6372.76</v>
      </c>
      <c r="W386" s="3">
        <v>6745.27</v>
      </c>
      <c r="X386" s="3">
        <v>6549.49</v>
      </c>
      <c r="Y386" s="3">
        <v>6551.58</v>
      </c>
      <c r="Z386" s="3">
        <f t="shared" si="66"/>
        <v>186.25500000000011</v>
      </c>
      <c r="AA386" s="4">
        <f t="shared" si="67"/>
        <v>8.9593383873190338E-2</v>
      </c>
      <c r="AB386" s="4">
        <f t="shared" si="68"/>
        <v>2.6588251611551926E-3</v>
      </c>
      <c r="AC386">
        <v>1.1476266666666668</v>
      </c>
      <c r="AD386" s="2">
        <v>5.109</v>
      </c>
      <c r="AE386" s="2">
        <v>2.3224999999999998</v>
      </c>
      <c r="AF386" s="2">
        <f t="shared" si="69"/>
        <v>2.7865000000000002</v>
      </c>
      <c r="AG386" s="2">
        <v>1.174873333333333</v>
      </c>
      <c r="AH386" s="1">
        <f t="shared" si="70"/>
        <v>70.34176699663081</v>
      </c>
      <c r="AI386" s="1">
        <f t="shared" si="71"/>
        <v>29.65823300336919</v>
      </c>
      <c r="AJ386" s="1">
        <f t="shared" si="72"/>
        <v>1.4829116501684596</v>
      </c>
      <c r="AK386" s="8">
        <v>0.25150000000000006</v>
      </c>
      <c r="AL386" s="9">
        <v>58.851439790575924</v>
      </c>
      <c r="AM386" s="10">
        <v>2.9425719895287963</v>
      </c>
      <c r="AN386" s="9">
        <v>29.425719895287962</v>
      </c>
      <c r="AO386" s="11">
        <v>2.9439480147515273</v>
      </c>
      <c r="AP386" s="2">
        <v>3.6109999999999998</v>
      </c>
      <c r="AQ386" s="2">
        <f t="shared" si="73"/>
        <v>0.18596650000000001</v>
      </c>
      <c r="AR386" s="2">
        <v>1.0970294470599096</v>
      </c>
      <c r="AS386" s="2">
        <v>0.32535954952460067</v>
      </c>
      <c r="AT386" s="2">
        <f t="shared" si="74"/>
        <v>3.2535954952460068E-2</v>
      </c>
      <c r="AU386" s="2">
        <f t="shared" si="75"/>
        <v>2.9150063017365831E-2</v>
      </c>
      <c r="AV386" s="2">
        <f t="shared" si="76"/>
        <v>4.4162345471309246E-3</v>
      </c>
      <c r="AW386" s="3">
        <f t="shared" si="77"/>
        <v>15.150000000000006</v>
      </c>
    </row>
    <row r="387" spans="1:49" x14ac:dyDescent="0.2">
      <c r="A387" t="s">
        <v>45</v>
      </c>
      <c r="B387" s="5" t="s">
        <v>46</v>
      </c>
      <c r="C387" s="5" t="s">
        <v>434</v>
      </c>
      <c r="D387" s="5" t="s">
        <v>444</v>
      </c>
      <c r="E387">
        <v>12</v>
      </c>
      <c r="F387" s="6">
        <v>468</v>
      </c>
      <c r="G387" s="3">
        <v>2</v>
      </c>
      <c r="H387" s="3">
        <v>2</v>
      </c>
      <c r="I387" s="3">
        <v>1</v>
      </c>
      <c r="J387" s="3">
        <v>16.682236842105397</v>
      </c>
      <c r="K387" s="3">
        <v>17.682236842105397</v>
      </c>
      <c r="L387" s="3">
        <v>17.182236842105397</v>
      </c>
      <c r="M387" s="1">
        <v>0.22</v>
      </c>
      <c r="N387" s="3">
        <v>456.6822368421054</v>
      </c>
      <c r="O387" s="3">
        <v>457.6822368421054</v>
      </c>
      <c r="P387" s="3">
        <v>457.1822368421054</v>
      </c>
      <c r="Q387" s="3">
        <v>461.6822368421054</v>
      </c>
      <c r="R387" s="3">
        <v>462.6822368421054</v>
      </c>
      <c r="S387" s="3">
        <v>462.2</v>
      </c>
      <c r="T387" s="3">
        <v>462.2</v>
      </c>
      <c r="U387" s="7">
        <f t="shared" ref="U387:U421" si="78">((R387-S387)+(S387-Q387))/2</f>
        <v>0.5</v>
      </c>
      <c r="V387" s="3">
        <v>6404.04</v>
      </c>
      <c r="W387" s="3">
        <v>6755.91</v>
      </c>
      <c r="X387" s="3">
        <v>6560.88</v>
      </c>
      <c r="Y387" s="3">
        <v>6566.09</v>
      </c>
      <c r="Z387" s="3">
        <f t="shared" ref="Z387:Z421" si="79">((W387-Y387)+(Y387-V387))/2</f>
        <v>175.93499999999995</v>
      </c>
      <c r="AA387" s="4">
        <f t="shared" ref="AA387:AA421" si="80">(T388-T387)/(Y388-Y387)</f>
        <v>8.9619118745335388E-2</v>
      </c>
      <c r="AB387" s="4">
        <f t="shared" ref="AB387:AB421" si="81">AA387*((Z387/Y387)+(U387/T387))</f>
        <v>2.4982465519886709E-3</v>
      </c>
      <c r="AC387">
        <v>1.1476266666666668</v>
      </c>
      <c r="AD387" s="2">
        <v>3.9055</v>
      </c>
      <c r="AE387" s="2">
        <v>1.873</v>
      </c>
      <c r="AF387" s="2">
        <f t="shared" ref="AF387:AF421" si="82">AD387-AE387</f>
        <v>2.0324999999999998</v>
      </c>
      <c r="AG387" s="2">
        <v>0.7253733333333332</v>
      </c>
      <c r="AH387" s="1">
        <f t="shared" ref="AH387:AH421" si="83">((AD387-AC387)-(AE387-AC387))/(AD387-AC387)*100</f>
        <v>73.698091041164574</v>
      </c>
      <c r="AI387" s="1">
        <f t="shared" ref="AI387:AI421" si="84">100-AH387</f>
        <v>26.301908958835426</v>
      </c>
      <c r="AJ387" s="1">
        <f t="shared" ref="AJ387:AJ421" si="85">AI387*0.05</f>
        <v>1.3150954479417714</v>
      </c>
      <c r="AK387" s="8">
        <v>0.38070000000000004</v>
      </c>
      <c r="AL387" s="9">
        <v>50.756693830034884</v>
      </c>
      <c r="AM387" s="10">
        <v>2.5378346915017445</v>
      </c>
      <c r="AN387" s="9">
        <v>25.378346915017442</v>
      </c>
      <c r="AO387" s="11">
        <v>2.5394300386877671</v>
      </c>
      <c r="AP387" s="2">
        <v>3.14</v>
      </c>
      <c r="AQ387" s="2">
        <f t="shared" ref="AQ387:AQ421" si="86">AP387*((G387*0.01)+(H387*0.01)+(I387*0.01))</f>
        <v>0.15700000000000003</v>
      </c>
      <c r="AR387" s="2">
        <v>0.87830360934182594</v>
      </c>
      <c r="AS387" s="2">
        <v>0.23101061571125261</v>
      </c>
      <c r="AT387" s="2">
        <f t="shared" ref="AT387:AT421" si="87">AS387*0.1</f>
        <v>2.3101061571125264E-2</v>
      </c>
      <c r="AU387" s="2">
        <f t="shared" ref="AU387:AU421" si="88">AS387*AA387</f>
        <v>2.0702967800859787E-2</v>
      </c>
      <c r="AV387" s="2">
        <f t="shared" ref="AV387:AV421" si="89">AU387*((AT387/AS387)+(AQ387/AP387))</f>
        <v>3.1054451701289687E-3</v>
      </c>
      <c r="AW387" s="3">
        <f t="shared" ref="AW387:AW421" si="90">(AV387/AU387)*100</f>
        <v>15.000000000000002</v>
      </c>
    </row>
    <row r="388" spans="1:49" x14ac:dyDescent="0.2">
      <c r="A388" t="s">
        <v>45</v>
      </c>
      <c r="B388" s="5" t="s">
        <v>46</v>
      </c>
      <c r="C388" s="5" t="s">
        <v>434</v>
      </c>
      <c r="D388" s="5" t="s">
        <v>445</v>
      </c>
      <c r="E388">
        <v>12</v>
      </c>
      <c r="F388" s="6">
        <v>469</v>
      </c>
      <c r="G388" s="3">
        <v>1.9</v>
      </c>
      <c r="H388" s="3">
        <v>2.35</v>
      </c>
      <c r="I388" s="3">
        <v>1</v>
      </c>
      <c r="J388" s="3">
        <v>17.9039473684212</v>
      </c>
      <c r="K388" s="3">
        <v>18.9039473684212</v>
      </c>
      <c r="L388" s="3">
        <v>18.4039473684212</v>
      </c>
      <c r="M388" s="1">
        <v>0.22</v>
      </c>
      <c r="N388" s="3">
        <v>457.9039473684212</v>
      </c>
      <c r="O388" s="3">
        <v>458.9039473684212</v>
      </c>
      <c r="P388" s="3">
        <v>458.4039473684212</v>
      </c>
      <c r="Q388" s="3">
        <v>462.9039473684212</v>
      </c>
      <c r="R388" s="3">
        <v>463.9039473684212</v>
      </c>
      <c r="S388" s="3">
        <v>463.4</v>
      </c>
      <c r="T388" s="3">
        <v>463.4</v>
      </c>
      <c r="U388" s="7">
        <f t="shared" si="78"/>
        <v>0.5</v>
      </c>
      <c r="V388" s="3">
        <v>6429</v>
      </c>
      <c r="W388" s="3">
        <v>6767.05</v>
      </c>
      <c r="X388" s="3">
        <v>6572.78</v>
      </c>
      <c r="Y388" s="3">
        <v>6579.48</v>
      </c>
      <c r="Z388" s="3">
        <f t="shared" si="79"/>
        <v>169.02500000000009</v>
      </c>
      <c r="AA388" s="4">
        <f t="shared" si="80"/>
        <v>8.9593383873190338E-2</v>
      </c>
      <c r="AB388" s="4">
        <f t="shared" si="81"/>
        <v>2.3982985583947168E-3</v>
      </c>
      <c r="AC388">
        <v>1.1476266666666668</v>
      </c>
      <c r="AD388" s="2">
        <v>5.8140999999999998</v>
      </c>
      <c r="AE388" s="2">
        <v>2.9449000000000001</v>
      </c>
      <c r="AF388" s="2">
        <f t="shared" si="82"/>
        <v>2.8691999999999998</v>
      </c>
      <c r="AG388" s="2">
        <v>1.7972733333333333</v>
      </c>
      <c r="AH388" s="1">
        <f t="shared" si="83"/>
        <v>61.485404395324949</v>
      </c>
      <c r="AI388" s="1">
        <f t="shared" si="84"/>
        <v>38.514595604675051</v>
      </c>
      <c r="AJ388" s="1">
        <f t="shared" si="85"/>
        <v>1.9257297802337527</v>
      </c>
      <c r="AK388" s="8">
        <v>0.59919999999999973</v>
      </c>
      <c r="AL388" s="9">
        <v>40.109945027486269</v>
      </c>
      <c r="AM388" s="10">
        <v>2.0054972513743134</v>
      </c>
      <c r="AN388" s="9">
        <v>20.054972513743134</v>
      </c>
      <c r="AO388" s="11">
        <v>2.0075156849374616</v>
      </c>
      <c r="AP388" s="2">
        <v>3.5447656250000001</v>
      </c>
      <c r="AQ388" s="2">
        <f t="shared" si="86"/>
        <v>0.18610019531249999</v>
      </c>
      <c r="AR388" s="2">
        <v>1.3164405850762935</v>
      </c>
      <c r="AS388" s="2">
        <v>0.5070217677179526</v>
      </c>
      <c r="AT388" s="2">
        <f t="shared" si="87"/>
        <v>5.0702176771795261E-2</v>
      </c>
      <c r="AU388" s="2">
        <f t="shared" si="88"/>
        <v>4.5425795867218073E-2</v>
      </c>
      <c r="AV388" s="2">
        <f t="shared" si="89"/>
        <v>6.927433869750756E-3</v>
      </c>
      <c r="AW388" s="3">
        <f t="shared" si="90"/>
        <v>15.25</v>
      </c>
    </row>
    <row r="389" spans="1:49" x14ac:dyDescent="0.2">
      <c r="A389" t="s">
        <v>45</v>
      </c>
      <c r="B389" s="5" t="s">
        <v>46</v>
      </c>
      <c r="C389" s="5" t="s">
        <v>434</v>
      </c>
      <c r="D389" s="5" t="s">
        <v>446</v>
      </c>
      <c r="E389">
        <v>12</v>
      </c>
      <c r="F389" s="6">
        <v>470</v>
      </c>
      <c r="G389" s="3">
        <v>2.0499999999999998</v>
      </c>
      <c r="H389" s="3">
        <v>2.35</v>
      </c>
      <c r="I389" s="3">
        <v>1.1000000000000001</v>
      </c>
      <c r="J389" s="3">
        <v>19.125657894737003</v>
      </c>
      <c r="K389" s="3">
        <v>20.225657894737026</v>
      </c>
      <c r="L389" s="3">
        <v>19.675657894737014</v>
      </c>
      <c r="M389" s="1">
        <v>0.22</v>
      </c>
      <c r="N389" s="3">
        <v>459.125657894737</v>
      </c>
      <c r="O389" s="3">
        <v>460.22565789473703</v>
      </c>
      <c r="P389" s="3">
        <v>459.67565789473701</v>
      </c>
      <c r="Q389" s="3">
        <v>464.125657894737</v>
      </c>
      <c r="R389" s="3">
        <v>465.22565789473703</v>
      </c>
      <c r="S389" s="3">
        <v>464.7</v>
      </c>
      <c r="T389" s="3">
        <v>464.7</v>
      </c>
      <c r="U389" s="7">
        <f t="shared" si="78"/>
        <v>0.55000000000001137</v>
      </c>
      <c r="V389" s="3">
        <v>6451.42</v>
      </c>
      <c r="W389" s="3">
        <v>6778.42</v>
      </c>
      <c r="X389" s="3">
        <v>6586.51</v>
      </c>
      <c r="Y389" s="3">
        <v>6593.99</v>
      </c>
      <c r="Z389" s="3">
        <f t="shared" si="79"/>
        <v>163.5</v>
      </c>
      <c r="AA389" s="4">
        <f t="shared" si="80"/>
        <v>8.9655172413793893E-2</v>
      </c>
      <c r="AB389" s="4">
        <f t="shared" si="81"/>
        <v>2.3291396488622144E-3</v>
      </c>
      <c r="AC389">
        <v>1.1476266666666668</v>
      </c>
      <c r="AD389" s="2">
        <v>6.6483999999999996</v>
      </c>
      <c r="AE389" s="2">
        <v>3.0348999999999999</v>
      </c>
      <c r="AF389" s="2">
        <f t="shared" si="82"/>
        <v>3.6134999999999997</v>
      </c>
      <c r="AG389" s="2">
        <v>1.8872733333333331</v>
      </c>
      <c r="AH389" s="1">
        <f t="shared" si="83"/>
        <v>65.690763480528801</v>
      </c>
      <c r="AI389" s="1">
        <f t="shared" si="84"/>
        <v>34.309236519471199</v>
      </c>
      <c r="AJ389" s="1">
        <f t="shared" si="85"/>
        <v>1.7154618259735601</v>
      </c>
      <c r="AK389" s="8">
        <v>0.27360000000000007</v>
      </c>
      <c r="AL389" s="9">
        <v>57.369897164225605</v>
      </c>
      <c r="AM389" s="10">
        <v>2.8684948582112804</v>
      </c>
      <c r="AN389" s="9">
        <v>28.684948582112803</v>
      </c>
      <c r="AO389" s="11">
        <v>2.8699064011888185</v>
      </c>
      <c r="AP389" s="2">
        <v>4.1793400000000016</v>
      </c>
      <c r="AQ389" s="2">
        <f t="shared" si="86"/>
        <v>0.22986370000000009</v>
      </c>
      <c r="AR389" s="2">
        <v>1.3161822999165731</v>
      </c>
      <c r="AS389" s="2">
        <v>0.45157209830579287</v>
      </c>
      <c r="AT389" s="2">
        <f t="shared" si="87"/>
        <v>4.515720983057929E-2</v>
      </c>
      <c r="AU389" s="2">
        <f t="shared" si="88"/>
        <v>4.0485774330864546E-2</v>
      </c>
      <c r="AV389" s="2">
        <f t="shared" si="89"/>
        <v>6.2752950212840043E-3</v>
      </c>
      <c r="AW389" s="3">
        <f t="shared" si="90"/>
        <v>15.5</v>
      </c>
    </row>
    <row r="390" spans="1:49" x14ac:dyDescent="0.2">
      <c r="A390" t="s">
        <v>45</v>
      </c>
      <c r="B390" s="5" t="s">
        <v>46</v>
      </c>
      <c r="C390" s="5" t="s">
        <v>434</v>
      </c>
      <c r="D390" s="5" t="s">
        <v>447</v>
      </c>
      <c r="E390">
        <v>12</v>
      </c>
      <c r="F390" s="6">
        <v>471</v>
      </c>
      <c r="G390" s="3">
        <v>2.4500000000000002</v>
      </c>
      <c r="H390" s="3">
        <v>2.4</v>
      </c>
      <c r="I390" s="3">
        <v>1.1000000000000001</v>
      </c>
      <c r="J390" s="3">
        <v>20.447368421052829</v>
      </c>
      <c r="K390" s="3">
        <v>21.547368421052852</v>
      </c>
      <c r="L390" s="3">
        <v>20.99736842105284</v>
      </c>
      <c r="M390" s="1">
        <v>0.22</v>
      </c>
      <c r="N390" s="3">
        <v>460.44736842105283</v>
      </c>
      <c r="O390" s="3">
        <v>461.54736842105285</v>
      </c>
      <c r="P390" s="3">
        <v>460.99736842105284</v>
      </c>
      <c r="Q390" s="3">
        <v>465.44736842105283</v>
      </c>
      <c r="R390" s="3">
        <v>466.54736842105285</v>
      </c>
      <c r="S390" s="3">
        <v>466</v>
      </c>
      <c r="T390" s="3">
        <v>466</v>
      </c>
      <c r="U390" s="7">
        <f t="shared" si="78"/>
        <v>0.55000000000001137</v>
      </c>
      <c r="V390" s="3">
        <v>6469.09</v>
      </c>
      <c r="W390" s="3">
        <v>6803.74</v>
      </c>
      <c r="X390" s="3">
        <v>6600.64</v>
      </c>
      <c r="Y390" s="3">
        <v>6608.49</v>
      </c>
      <c r="Z390" s="3">
        <f t="shared" si="79"/>
        <v>167.32499999999982</v>
      </c>
      <c r="AA390" s="4">
        <f t="shared" si="80"/>
        <v>8.9593383873190338E-2</v>
      </c>
      <c r="AB390" s="4">
        <f t="shared" si="81"/>
        <v>2.3742210793690787E-3</v>
      </c>
      <c r="AC390">
        <v>1.1476266666666668</v>
      </c>
      <c r="AD390" s="2">
        <v>6.4945000000000004</v>
      </c>
      <c r="AE390" s="2">
        <v>2.4727999999999999</v>
      </c>
      <c r="AF390" s="2">
        <f t="shared" si="82"/>
        <v>4.0217000000000009</v>
      </c>
      <c r="AG390" s="2">
        <v>1.3251733333333331</v>
      </c>
      <c r="AH390" s="1">
        <f t="shared" si="83"/>
        <v>75.215920581623422</v>
      </c>
      <c r="AI390" s="1">
        <f t="shared" si="84"/>
        <v>24.784079418376578</v>
      </c>
      <c r="AJ390" s="1">
        <f t="shared" si="85"/>
        <v>1.2392039709188289</v>
      </c>
      <c r="AK390" s="8">
        <v>0.50709999999999944</v>
      </c>
      <c r="AL390" s="9">
        <v>43.073641670408655</v>
      </c>
      <c r="AM390" s="10">
        <v>2.1536820835204327</v>
      </c>
      <c r="AN390" s="9">
        <v>21.536820835204328</v>
      </c>
      <c r="AO390" s="11">
        <v>2.1555617636423485</v>
      </c>
      <c r="AP390" s="2">
        <v>5.0779196874999997</v>
      </c>
      <c r="AQ390" s="2">
        <f t="shared" si="86"/>
        <v>0.30213622140625002</v>
      </c>
      <c r="AR390" s="2">
        <v>1.0529653209158469</v>
      </c>
      <c r="AS390" s="2">
        <v>0.26096776138374739</v>
      </c>
      <c r="AT390" s="2">
        <f t="shared" si="87"/>
        <v>2.6096776138374741E-2</v>
      </c>
      <c r="AU390" s="2">
        <f t="shared" si="88"/>
        <v>2.3380984824181217E-2</v>
      </c>
      <c r="AV390" s="2">
        <f t="shared" si="89"/>
        <v>3.7292670794569042E-3</v>
      </c>
      <c r="AW390" s="3">
        <f t="shared" si="90"/>
        <v>15.950000000000001</v>
      </c>
    </row>
    <row r="391" spans="1:49" x14ac:dyDescent="0.2">
      <c r="A391" t="s">
        <v>45</v>
      </c>
      <c r="B391" s="5" t="s">
        <v>46</v>
      </c>
      <c r="C391" s="5" t="s">
        <v>434</v>
      </c>
      <c r="D391" s="5" t="s">
        <v>448</v>
      </c>
      <c r="E391">
        <v>12</v>
      </c>
      <c r="F391" s="6">
        <v>472</v>
      </c>
      <c r="G391" s="3">
        <v>2.4500000000000002</v>
      </c>
      <c r="H391" s="3">
        <v>2.2999999999999998</v>
      </c>
      <c r="I391" s="3">
        <v>1.05</v>
      </c>
      <c r="J391" s="3">
        <v>21.769078947368655</v>
      </c>
      <c r="K391" s="3">
        <v>22.819078947368666</v>
      </c>
      <c r="L391" s="3">
        <v>22.294078947368689</v>
      </c>
      <c r="M391" s="1">
        <v>0.22</v>
      </c>
      <c r="N391" s="3">
        <v>461.76907894736866</v>
      </c>
      <c r="O391" s="3">
        <v>462.81907894736867</v>
      </c>
      <c r="P391" s="3">
        <v>462.29407894736869</v>
      </c>
      <c r="Q391" s="3">
        <v>466.76907894736866</v>
      </c>
      <c r="R391" s="3">
        <v>467.81907894736867</v>
      </c>
      <c r="S391" s="3">
        <v>467.3</v>
      </c>
      <c r="T391" s="3">
        <v>467.3</v>
      </c>
      <c r="U391" s="7">
        <f t="shared" si="78"/>
        <v>0.52500000000000568</v>
      </c>
      <c r="V391" s="3">
        <v>6486.72</v>
      </c>
      <c r="W391" s="3">
        <v>6821.95</v>
      </c>
      <c r="X391" s="3">
        <v>6614.74</v>
      </c>
      <c r="Y391" s="3">
        <v>6623</v>
      </c>
      <c r="Z391" s="3">
        <f t="shared" si="79"/>
        <v>167.61499999999978</v>
      </c>
      <c r="AA391" s="4">
        <f t="shared" si="80"/>
        <v>8.9619118745329296E-2</v>
      </c>
      <c r="AB391" s="4">
        <f t="shared" si="81"/>
        <v>2.3687670917040423E-3</v>
      </c>
      <c r="AC391">
        <v>1.1476266666666668</v>
      </c>
      <c r="AD391" s="2">
        <v>6.0941999999999998</v>
      </c>
      <c r="AE391" s="2">
        <v>2.3235999999999999</v>
      </c>
      <c r="AF391" s="2">
        <f t="shared" si="82"/>
        <v>3.7706</v>
      </c>
      <c r="AG391" s="2">
        <v>1.1759733333333331</v>
      </c>
      <c r="AH391" s="1">
        <f t="shared" si="83"/>
        <v>76.226505621399866</v>
      </c>
      <c r="AI391" s="1">
        <f t="shared" si="84"/>
        <v>23.773494378600134</v>
      </c>
      <c r="AJ391" s="1">
        <f t="shared" si="85"/>
        <v>1.1886747189300066</v>
      </c>
      <c r="AK391" s="8">
        <v>0.16549999999999976</v>
      </c>
      <c r="AL391" s="9">
        <v>69.73299195318215</v>
      </c>
      <c r="AM391" s="10">
        <v>3.4866495976591079</v>
      </c>
      <c r="AN391" s="9">
        <v>34.866495976591075</v>
      </c>
      <c r="AO391" s="11">
        <v>3.4878109777991724</v>
      </c>
      <c r="AP391" s="2">
        <v>4.6492851562500004</v>
      </c>
      <c r="AQ391" s="2">
        <f t="shared" si="86"/>
        <v>0.26965853906250004</v>
      </c>
      <c r="AR391" s="2">
        <v>1.0639427712201499</v>
      </c>
      <c r="AS391" s="2">
        <v>0.25293637490754478</v>
      </c>
      <c r="AT391" s="2">
        <f t="shared" si="87"/>
        <v>2.5293637490754479E-2</v>
      </c>
      <c r="AU391" s="2">
        <f t="shared" si="88"/>
        <v>2.2667935017852386E-2</v>
      </c>
      <c r="AV391" s="2">
        <f t="shared" si="89"/>
        <v>3.581533732820677E-3</v>
      </c>
      <c r="AW391" s="3">
        <f t="shared" si="90"/>
        <v>15.8</v>
      </c>
    </row>
    <row r="392" spans="1:49" x14ac:dyDescent="0.2">
      <c r="A392" t="s">
        <v>45</v>
      </c>
      <c r="B392" s="5" t="s">
        <v>46</v>
      </c>
      <c r="C392" s="5" t="s">
        <v>434</v>
      </c>
      <c r="D392" s="5" t="s">
        <v>449</v>
      </c>
      <c r="E392">
        <v>12</v>
      </c>
      <c r="F392" s="6">
        <v>473</v>
      </c>
      <c r="G392" s="3">
        <v>2.2999999999999998</v>
      </c>
      <c r="H392" s="3">
        <v>2.4</v>
      </c>
      <c r="I392" s="3">
        <v>1</v>
      </c>
      <c r="J392" s="3">
        <v>23.04078947368447</v>
      </c>
      <c r="K392" s="3">
        <v>24.04078947368447</v>
      </c>
      <c r="L392" s="3">
        <v>23.54078947368447</v>
      </c>
      <c r="M392" s="1">
        <v>0.22</v>
      </c>
      <c r="N392" s="3">
        <v>463.04078947368447</v>
      </c>
      <c r="O392" s="3">
        <v>464.04078947368447</v>
      </c>
      <c r="P392" s="3">
        <v>463.54078947368447</v>
      </c>
      <c r="Q392" s="3">
        <v>468.04078947368447</v>
      </c>
      <c r="R392" s="3">
        <v>469.04078947368447</v>
      </c>
      <c r="S392" s="3">
        <v>468.5</v>
      </c>
      <c r="T392" s="3">
        <v>468.5</v>
      </c>
      <c r="U392" s="7">
        <f t="shared" si="78"/>
        <v>0.5</v>
      </c>
      <c r="V392" s="3">
        <v>6499.22</v>
      </c>
      <c r="W392" s="3">
        <v>6837.41</v>
      </c>
      <c r="X392" s="3">
        <v>6627.61</v>
      </c>
      <c r="Y392" s="3">
        <v>6636.39</v>
      </c>
      <c r="Z392" s="3">
        <f t="shared" si="79"/>
        <v>169.0949999999998</v>
      </c>
      <c r="AA392" s="4">
        <f t="shared" si="80"/>
        <v>8.9593383873195959E-2</v>
      </c>
      <c r="AB392" s="4">
        <f t="shared" si="81"/>
        <v>2.3784537608294966E-3</v>
      </c>
      <c r="AC392">
        <v>1.1476266666666668</v>
      </c>
      <c r="AD392" s="2">
        <v>6.1741999999999999</v>
      </c>
      <c r="AE392" s="2">
        <v>2.3384</v>
      </c>
      <c r="AF392" s="2">
        <f t="shared" si="82"/>
        <v>3.8357999999999999</v>
      </c>
      <c r="AG392" s="2">
        <v>1.1907733333333332</v>
      </c>
      <c r="AH392" s="1">
        <f t="shared" si="83"/>
        <v>76.310435472276666</v>
      </c>
      <c r="AI392" s="1">
        <f t="shared" si="84"/>
        <v>23.689564527723334</v>
      </c>
      <c r="AJ392" s="1">
        <f t="shared" si="85"/>
        <v>1.1844782263861668</v>
      </c>
      <c r="AK392" s="8">
        <v>0.13540000000000063</v>
      </c>
      <c r="AL392" s="9">
        <v>72.479674796747844</v>
      </c>
      <c r="AM392" s="10">
        <v>3.6239837398373922</v>
      </c>
      <c r="AN392" s="9">
        <v>36.239837398373922</v>
      </c>
      <c r="AO392" s="11">
        <v>3.6251011222593243</v>
      </c>
      <c r="AP392" s="2">
        <v>4.3351624999999991</v>
      </c>
      <c r="AQ392" s="2">
        <f t="shared" si="86"/>
        <v>0.24710426249999995</v>
      </c>
      <c r="AR392" s="2">
        <v>1.159489023383399</v>
      </c>
      <c r="AS392" s="2">
        <v>0.27467790038627926</v>
      </c>
      <c r="AT392" s="2">
        <f t="shared" si="87"/>
        <v>2.7467790038627926E-2</v>
      </c>
      <c r="AU392" s="2">
        <f t="shared" si="88"/>
        <v>2.46093225707914E-2</v>
      </c>
      <c r="AV392" s="2">
        <f t="shared" si="89"/>
        <v>3.8636636436142498E-3</v>
      </c>
      <c r="AW392" s="3">
        <f t="shared" si="90"/>
        <v>15.7</v>
      </c>
    </row>
    <row r="393" spans="1:49" x14ac:dyDescent="0.2">
      <c r="A393" t="s">
        <v>45</v>
      </c>
      <c r="B393" s="5" t="s">
        <v>46</v>
      </c>
      <c r="C393" s="5" t="s">
        <v>434</v>
      </c>
      <c r="D393" s="5" t="s">
        <v>450</v>
      </c>
      <c r="E393">
        <v>12</v>
      </c>
      <c r="F393" s="6">
        <v>474</v>
      </c>
      <c r="G393" s="3">
        <v>2.0499999999999998</v>
      </c>
      <c r="H393" s="3">
        <v>2.35</v>
      </c>
      <c r="I393" s="3">
        <v>1.05</v>
      </c>
      <c r="J393" s="3">
        <v>24.262500000000273</v>
      </c>
      <c r="K393" s="3">
        <v>25.312500000000284</v>
      </c>
      <c r="L393" s="3">
        <v>24.78750000000025</v>
      </c>
      <c r="M393" s="1">
        <v>0.22</v>
      </c>
      <c r="N393" s="3">
        <v>464.26250000000027</v>
      </c>
      <c r="O393" s="3">
        <v>465.31250000000028</v>
      </c>
      <c r="P393" s="3">
        <v>464.78750000000025</v>
      </c>
      <c r="Q393" s="3">
        <v>469.26250000000027</v>
      </c>
      <c r="R393" s="3">
        <v>470.31250000000028</v>
      </c>
      <c r="S393" s="3">
        <v>469.8</v>
      </c>
      <c r="T393" s="3">
        <v>469.8</v>
      </c>
      <c r="U393" s="7">
        <f t="shared" si="78"/>
        <v>0.52500000000000568</v>
      </c>
      <c r="V393" s="3">
        <v>6510.52</v>
      </c>
      <c r="W393" s="3">
        <v>6858.26</v>
      </c>
      <c r="X393" s="3">
        <v>6641.57</v>
      </c>
      <c r="Y393" s="3">
        <v>6650.9</v>
      </c>
      <c r="Z393" s="3">
        <f t="shared" si="79"/>
        <v>173.86999999999989</v>
      </c>
      <c r="AA393" s="4">
        <f t="shared" si="80"/>
        <v>2.6057326117458465E-2</v>
      </c>
      <c r="AB393" s="4">
        <f t="shared" si="81"/>
        <v>7.1031810848740768E-4</v>
      </c>
      <c r="AC393">
        <v>1.1476266666666668</v>
      </c>
      <c r="AD393" s="2">
        <v>5.7534999999999998</v>
      </c>
      <c r="AE393" s="2">
        <v>2.2290000000000001</v>
      </c>
      <c r="AF393" s="2">
        <f t="shared" si="82"/>
        <v>3.5244999999999997</v>
      </c>
      <c r="AG393" s="2">
        <v>1.0813733333333333</v>
      </c>
      <c r="AH393" s="1">
        <f t="shared" si="83"/>
        <v>76.521861217778451</v>
      </c>
      <c r="AI393" s="1">
        <f t="shared" si="84"/>
        <v>23.478138782221549</v>
      </c>
      <c r="AJ393" s="1">
        <f t="shared" si="85"/>
        <v>1.1739069391110775</v>
      </c>
      <c r="AK393" s="8">
        <v>0.13279999999999959</v>
      </c>
      <c r="AL393" s="9">
        <v>59.226281854467466</v>
      </c>
      <c r="AM393" s="10">
        <v>2.9613140927233736</v>
      </c>
      <c r="AN393" s="9">
        <v>29.613140927233733</v>
      </c>
      <c r="AO393" s="11">
        <v>2.9626814131394652</v>
      </c>
      <c r="AP393" s="2">
        <v>3.9893700000000014</v>
      </c>
      <c r="AQ393" s="2">
        <f t="shared" si="86"/>
        <v>0.21742066500000007</v>
      </c>
      <c r="AR393" s="2">
        <v>1.1545365141196058</v>
      </c>
      <c r="AS393" s="2">
        <v>0.27106368507642381</v>
      </c>
      <c r="AT393" s="2">
        <f t="shared" si="87"/>
        <v>2.7106368507642382E-2</v>
      </c>
      <c r="AU393" s="2">
        <f t="shared" si="88"/>
        <v>7.0631948406364347E-3</v>
      </c>
      <c r="AV393" s="2">
        <f t="shared" si="89"/>
        <v>1.0912636028783292E-3</v>
      </c>
      <c r="AW393" s="3">
        <f t="shared" si="90"/>
        <v>15.45</v>
      </c>
    </row>
    <row r="394" spans="1:49" x14ac:dyDescent="0.2">
      <c r="A394" t="s">
        <v>45</v>
      </c>
      <c r="B394" s="5" t="s">
        <v>46</v>
      </c>
      <c r="C394" s="5" t="s">
        <v>434</v>
      </c>
      <c r="D394" s="5" t="s">
        <v>451</v>
      </c>
      <c r="E394">
        <v>12</v>
      </c>
      <c r="F394" s="6">
        <v>475</v>
      </c>
      <c r="G394" s="3">
        <v>2.2999999999999998</v>
      </c>
      <c r="H394" s="3">
        <v>1.6</v>
      </c>
      <c r="I394" s="3">
        <v>1.1000000000000001</v>
      </c>
      <c r="J394" s="3">
        <v>25.534210526316087</v>
      </c>
      <c r="K394" s="3">
        <v>26.63421052631611</v>
      </c>
      <c r="L394" s="3">
        <v>26.084210526316099</v>
      </c>
      <c r="M394" s="1">
        <v>0.22</v>
      </c>
      <c r="N394" s="3">
        <v>465.53421052631609</v>
      </c>
      <c r="O394" s="3">
        <v>466.63421052631611</v>
      </c>
      <c r="P394" s="3">
        <v>466.0842105263161</v>
      </c>
      <c r="Q394" s="3">
        <v>470.53421052631609</v>
      </c>
      <c r="R394" s="3">
        <v>471.63421052631611</v>
      </c>
      <c r="S394" s="3">
        <v>471.1</v>
      </c>
      <c r="T394" s="3">
        <v>471.1</v>
      </c>
      <c r="U394" s="7">
        <f t="shared" si="78"/>
        <v>0.55000000000001137</v>
      </c>
      <c r="V394" s="3">
        <v>6545.63</v>
      </c>
      <c r="W394" s="3">
        <v>6917.91</v>
      </c>
      <c r="X394" s="3">
        <v>6691.65</v>
      </c>
      <c r="Y394" s="3">
        <v>6700.79</v>
      </c>
      <c r="Z394" s="3">
        <f t="shared" si="79"/>
        <v>186.13999999999987</v>
      </c>
      <c r="AA394" s="4">
        <f t="shared" si="80"/>
        <v>2.307828865613272E-2</v>
      </c>
      <c r="AB394" s="4">
        <f t="shared" si="81"/>
        <v>6.680309401101628E-4</v>
      </c>
      <c r="AC394">
        <v>1.1476266666666668</v>
      </c>
      <c r="AD394" s="2">
        <v>6.2466999999999997</v>
      </c>
      <c r="AE394" s="2">
        <v>4.4433999999999996</v>
      </c>
      <c r="AF394" s="2">
        <f t="shared" si="82"/>
        <v>1.8033000000000001</v>
      </c>
      <c r="AG394" s="2">
        <v>3.295773333333333</v>
      </c>
      <c r="AH394" s="1">
        <f t="shared" si="83"/>
        <v>35.365249372108138</v>
      </c>
      <c r="AI394" s="1">
        <f t="shared" si="84"/>
        <v>64.634750627891862</v>
      </c>
      <c r="AJ394" s="1">
        <f t="shared" si="85"/>
        <v>3.2317375313945931</v>
      </c>
      <c r="AK394" s="8">
        <v>7.0952000000000011</v>
      </c>
      <c r="AL394" s="9">
        <v>2.3533621425229057</v>
      </c>
      <c r="AM394" s="10">
        <v>0.11766810712614528</v>
      </c>
      <c r="AN394" s="9">
        <v>1.1766810712614528</v>
      </c>
      <c r="AO394" s="11">
        <v>0.14814109299802672</v>
      </c>
      <c r="AP394" s="2">
        <v>3.2834587500000003</v>
      </c>
      <c r="AQ394" s="2">
        <f t="shared" si="86"/>
        <v>0.16417293750000003</v>
      </c>
      <c r="AR394" s="2">
        <v>1.5529579390431911</v>
      </c>
      <c r="AS394" s="2">
        <v>1.0037504912566155</v>
      </c>
      <c r="AT394" s="2">
        <f t="shared" si="87"/>
        <v>0.10037504912566156</v>
      </c>
      <c r="AU394" s="2">
        <f t="shared" si="88"/>
        <v>2.3164843575955194E-2</v>
      </c>
      <c r="AV394" s="2">
        <f t="shared" si="89"/>
        <v>3.4747265363932796E-3</v>
      </c>
      <c r="AW394" s="3">
        <f t="shared" si="90"/>
        <v>15.000000000000002</v>
      </c>
    </row>
    <row r="395" spans="1:49" x14ac:dyDescent="0.2">
      <c r="A395" t="s">
        <v>45</v>
      </c>
      <c r="B395" s="5" t="s">
        <v>46</v>
      </c>
      <c r="C395" s="5" t="s">
        <v>434</v>
      </c>
      <c r="D395" s="5" t="s">
        <v>452</v>
      </c>
      <c r="E395">
        <v>12</v>
      </c>
      <c r="F395" s="6">
        <v>476</v>
      </c>
      <c r="G395" s="3">
        <v>2.4500000000000002</v>
      </c>
      <c r="H395" s="3">
        <v>1.8</v>
      </c>
      <c r="I395" s="3">
        <v>1</v>
      </c>
      <c r="J395" s="3">
        <v>26.855921052631913</v>
      </c>
      <c r="K395" s="3">
        <v>27.855921052631913</v>
      </c>
      <c r="L395" s="3">
        <v>27.355921052631913</v>
      </c>
      <c r="M395" s="1">
        <v>0.22</v>
      </c>
      <c r="N395" s="3">
        <v>466.85592105263191</v>
      </c>
      <c r="O395" s="3">
        <v>467.85592105263191</v>
      </c>
      <c r="P395" s="3">
        <v>467.35592105263191</v>
      </c>
      <c r="Q395" s="3">
        <v>471.85592105263191</v>
      </c>
      <c r="R395" s="3">
        <v>472.85592105263191</v>
      </c>
      <c r="S395" s="3">
        <v>472.4</v>
      </c>
      <c r="T395" s="3">
        <v>472.4</v>
      </c>
      <c r="U395" s="7">
        <f t="shared" si="78"/>
        <v>0.5</v>
      </c>
      <c r="V395" s="3">
        <v>6573.5</v>
      </c>
      <c r="W395" s="3">
        <v>6995.79</v>
      </c>
      <c r="X395" s="3">
        <v>6744.34</v>
      </c>
      <c r="Y395" s="3">
        <v>6757.12</v>
      </c>
      <c r="Z395" s="3">
        <f t="shared" si="79"/>
        <v>211.14499999999998</v>
      </c>
      <c r="AA395" s="4">
        <f t="shared" si="80"/>
        <v>2.3076923076923953E-2</v>
      </c>
      <c r="AB395" s="4">
        <f t="shared" si="81"/>
        <v>7.455278119118656E-4</v>
      </c>
      <c r="AC395">
        <v>1.1476266666666668</v>
      </c>
      <c r="AD395" s="2">
        <v>5.1261000000000001</v>
      </c>
      <c r="AE395" s="2">
        <v>2.8344</v>
      </c>
      <c r="AF395" s="2">
        <f t="shared" si="82"/>
        <v>2.2917000000000001</v>
      </c>
      <c r="AG395" s="2">
        <v>1.6867733333333332</v>
      </c>
      <c r="AH395" s="1">
        <f t="shared" si="83"/>
        <v>57.602497440391723</v>
      </c>
      <c r="AI395" s="1">
        <f t="shared" si="84"/>
        <v>42.397502559608277</v>
      </c>
      <c r="AJ395" s="1">
        <f t="shared" si="85"/>
        <v>2.1198751279804138</v>
      </c>
      <c r="AK395" s="8">
        <v>0.11430000000000007</v>
      </c>
      <c r="AL395" s="9">
        <v>65.509957754978799</v>
      </c>
      <c r="AM395" s="10">
        <v>3.2754978877489402</v>
      </c>
      <c r="AN395" s="9">
        <v>32.7549788774894</v>
      </c>
      <c r="AO395" s="11">
        <v>3.2767341077127039</v>
      </c>
      <c r="AP395" s="2">
        <v>3.5447656250000001</v>
      </c>
      <c r="AQ395" s="2">
        <f t="shared" si="86"/>
        <v>0.18610019531250002</v>
      </c>
      <c r="AR395" s="2">
        <v>1.1223515894180827</v>
      </c>
      <c r="AS395" s="2">
        <v>0.47584904385133592</v>
      </c>
      <c r="AT395" s="2">
        <f t="shared" si="87"/>
        <v>4.7584904385133596E-2</v>
      </c>
      <c r="AU395" s="2">
        <f t="shared" si="88"/>
        <v>1.0981131781185092E-2</v>
      </c>
      <c r="AV395" s="2">
        <f t="shared" si="89"/>
        <v>1.6746225966307268E-3</v>
      </c>
      <c r="AW395" s="3">
        <f t="shared" si="90"/>
        <v>15.250000000000002</v>
      </c>
    </row>
    <row r="396" spans="1:49" x14ac:dyDescent="0.2">
      <c r="A396" t="s">
        <v>45</v>
      </c>
      <c r="B396" s="5" t="s">
        <v>46</v>
      </c>
      <c r="C396" s="5" t="s">
        <v>434</v>
      </c>
      <c r="D396" s="5" t="s">
        <v>453</v>
      </c>
      <c r="E396">
        <v>12</v>
      </c>
      <c r="F396" s="6">
        <v>477</v>
      </c>
      <c r="G396" s="3">
        <v>2.35</v>
      </c>
      <c r="H396" s="3">
        <v>2</v>
      </c>
      <c r="I396" s="3">
        <v>1.1000000000000001</v>
      </c>
      <c r="J396" s="3">
        <v>28.077631578947717</v>
      </c>
      <c r="K396" s="3">
        <v>29.177631578947739</v>
      </c>
      <c r="L396" s="3">
        <v>28.627631578947728</v>
      </c>
      <c r="M396" s="1">
        <v>0.22</v>
      </c>
      <c r="N396" s="3">
        <v>468.07763157894772</v>
      </c>
      <c r="O396" s="3">
        <v>469.17763157894774</v>
      </c>
      <c r="P396" s="3">
        <v>468.62763157894773</v>
      </c>
      <c r="Q396" s="3">
        <v>473.07763157894772</v>
      </c>
      <c r="R396" s="3">
        <v>474.17763157894774</v>
      </c>
      <c r="S396" s="3">
        <v>473.6</v>
      </c>
      <c r="T396" s="3">
        <v>473.6</v>
      </c>
      <c r="U396" s="7">
        <f t="shared" si="78"/>
        <v>0.55000000000001137</v>
      </c>
      <c r="V396" s="3">
        <v>6590.33</v>
      </c>
      <c r="W396" s="3">
        <v>7104.28</v>
      </c>
      <c r="X396" s="3">
        <v>6790.85</v>
      </c>
      <c r="Y396" s="3">
        <v>6809.12</v>
      </c>
      <c r="Z396" s="3">
        <f t="shared" si="79"/>
        <v>256.97499999999991</v>
      </c>
      <c r="AA396" s="4">
        <f t="shared" si="80"/>
        <v>2.307828865613272E-2</v>
      </c>
      <c r="AB396" s="4">
        <f t="shared" si="81"/>
        <v>8.9777180670423619E-4</v>
      </c>
      <c r="AC396">
        <v>1.1476266666666668</v>
      </c>
      <c r="AD396" s="2">
        <v>5.5674999999999999</v>
      </c>
      <c r="AE396" s="2">
        <v>2.266</v>
      </c>
      <c r="AF396" s="2">
        <f t="shared" si="82"/>
        <v>3.3014999999999999</v>
      </c>
      <c r="AG396" s="2">
        <v>1.1183733333333332</v>
      </c>
      <c r="AH396" s="1">
        <f t="shared" si="83"/>
        <v>74.696710765466875</v>
      </c>
      <c r="AI396" s="1">
        <f t="shared" si="84"/>
        <v>25.303289234533125</v>
      </c>
      <c r="AJ396" s="1">
        <f t="shared" si="85"/>
        <v>1.2651644617266564</v>
      </c>
      <c r="AK396" s="8">
        <v>0.10069999999999979</v>
      </c>
      <c r="AL396" s="9">
        <v>69.77791116446582</v>
      </c>
      <c r="AM396" s="10">
        <v>3.488895558223291</v>
      </c>
      <c r="AN396" s="9">
        <v>34.88895558223291</v>
      </c>
      <c r="AO396" s="11">
        <v>3.4900561909789087</v>
      </c>
      <c r="AP396" s="2">
        <v>4.0848946874999994</v>
      </c>
      <c r="AQ396" s="2">
        <f t="shared" si="86"/>
        <v>0.22262676046874996</v>
      </c>
      <c r="AR396" s="2">
        <v>1.0820042305762219</v>
      </c>
      <c r="AS396" s="2">
        <v>0.273782659992586</v>
      </c>
      <c r="AT396" s="2">
        <f t="shared" si="87"/>
        <v>2.7378265999258602E-2</v>
      </c>
      <c r="AU396" s="2">
        <f t="shared" si="88"/>
        <v>6.3184352563527392E-3</v>
      </c>
      <c r="AV396" s="2">
        <f t="shared" si="89"/>
        <v>9.7619824710649819E-4</v>
      </c>
      <c r="AW396" s="3">
        <f t="shared" si="90"/>
        <v>15.45</v>
      </c>
    </row>
    <row r="397" spans="1:49" x14ac:dyDescent="0.2">
      <c r="A397" t="s">
        <v>45</v>
      </c>
      <c r="B397" s="5" t="s">
        <v>46</v>
      </c>
      <c r="C397" s="5" t="s">
        <v>434</v>
      </c>
      <c r="D397" s="5" t="s">
        <v>454</v>
      </c>
      <c r="E397">
        <v>12</v>
      </c>
      <c r="F397" s="6">
        <v>478</v>
      </c>
      <c r="G397" s="3">
        <v>1.9</v>
      </c>
      <c r="H397" s="3">
        <v>2.6</v>
      </c>
      <c r="I397" s="3">
        <v>1.1000000000000001</v>
      </c>
      <c r="J397" s="3">
        <v>29.399342105263543</v>
      </c>
      <c r="K397" s="3">
        <v>30.499342105263565</v>
      </c>
      <c r="L397" s="3">
        <v>29.949342105263554</v>
      </c>
      <c r="M397" s="1">
        <v>0.22</v>
      </c>
      <c r="N397" s="3">
        <v>469.39934210526354</v>
      </c>
      <c r="O397" s="3">
        <v>470.49934210526357</v>
      </c>
      <c r="P397" s="3">
        <v>469.94934210526355</v>
      </c>
      <c r="Q397" s="3">
        <v>474.39934210526354</v>
      </c>
      <c r="R397" s="3">
        <v>475.49934210526357</v>
      </c>
      <c r="S397" s="3">
        <v>474.9</v>
      </c>
      <c r="T397" s="3">
        <v>474.9</v>
      </c>
      <c r="U397" s="7">
        <f t="shared" si="78"/>
        <v>0.55000000000001137</v>
      </c>
      <c r="V397" s="3">
        <v>6603.63</v>
      </c>
      <c r="W397" s="3">
        <v>7237.83</v>
      </c>
      <c r="X397" s="3">
        <v>6841.82</v>
      </c>
      <c r="Y397" s="3">
        <v>6865.45</v>
      </c>
      <c r="Z397" s="3">
        <f t="shared" si="79"/>
        <v>317.09999999999991</v>
      </c>
      <c r="AA397" s="4">
        <f t="shared" si="80"/>
        <v>2.307828865613373E-2</v>
      </c>
      <c r="AB397" s="4">
        <f t="shared" si="81"/>
        <v>1.0926631307578375E-3</v>
      </c>
      <c r="AC397">
        <v>1.1476266666666668</v>
      </c>
      <c r="AD397" s="2">
        <v>4.4809000000000001</v>
      </c>
      <c r="AE397" s="2">
        <v>2.1229</v>
      </c>
      <c r="AF397" s="2">
        <f t="shared" si="82"/>
        <v>2.3580000000000001</v>
      </c>
      <c r="AG397" s="2">
        <v>0.97527333333333321</v>
      </c>
      <c r="AH397" s="1">
        <f t="shared" si="83"/>
        <v>70.741273342920181</v>
      </c>
      <c r="AI397" s="1">
        <f t="shared" si="84"/>
        <v>29.258726657079819</v>
      </c>
      <c r="AJ397" s="1">
        <f t="shared" si="85"/>
        <v>1.4629363328539911</v>
      </c>
      <c r="AK397" s="8">
        <v>0.40340000000000042</v>
      </c>
      <c r="AL397" s="9">
        <v>40.571596935769008</v>
      </c>
      <c r="AM397" s="10">
        <v>2.0285798467884506</v>
      </c>
      <c r="AN397" s="9">
        <v>20.285798467884504</v>
      </c>
      <c r="AO397" s="11">
        <v>2.0305753359075975</v>
      </c>
      <c r="AP397" s="2">
        <v>4.3714687500000009</v>
      </c>
      <c r="AQ397" s="2">
        <f t="shared" si="86"/>
        <v>0.24480225000000005</v>
      </c>
      <c r="AR397" s="2">
        <v>0.76250649929347725</v>
      </c>
      <c r="AS397" s="2">
        <v>0.22309969237074678</v>
      </c>
      <c r="AT397" s="2">
        <f t="shared" si="87"/>
        <v>2.2309969237074678E-2</v>
      </c>
      <c r="AU397" s="2">
        <f t="shared" si="88"/>
        <v>5.1487590996267306E-3</v>
      </c>
      <c r="AV397" s="2">
        <f t="shared" si="89"/>
        <v>8.0320641954177003E-4</v>
      </c>
      <c r="AW397" s="3">
        <f t="shared" si="90"/>
        <v>15.6</v>
      </c>
    </row>
    <row r="398" spans="1:49" x14ac:dyDescent="0.2">
      <c r="A398" t="s">
        <v>45</v>
      </c>
      <c r="B398" s="5" t="s">
        <v>46</v>
      </c>
      <c r="C398" s="5" t="s">
        <v>434</v>
      </c>
      <c r="D398" s="5" t="s">
        <v>455</v>
      </c>
      <c r="E398">
        <v>12</v>
      </c>
      <c r="F398" s="6">
        <v>479</v>
      </c>
      <c r="G398" s="3">
        <v>2.4</v>
      </c>
      <c r="H398" s="3">
        <v>2.4</v>
      </c>
      <c r="I398" s="3">
        <v>1</v>
      </c>
      <c r="J398" s="3">
        <v>30.721052631579369</v>
      </c>
      <c r="K398" s="3">
        <v>31.721052631579369</v>
      </c>
      <c r="L398" s="3">
        <v>31.221052631579369</v>
      </c>
      <c r="M398" s="1">
        <v>0.22</v>
      </c>
      <c r="N398" s="3">
        <v>470.72105263157937</v>
      </c>
      <c r="O398" s="3">
        <v>471.72105263157937</v>
      </c>
      <c r="P398" s="3">
        <v>471.22105263157937</v>
      </c>
      <c r="Q398" s="3">
        <v>475.72105263157937</v>
      </c>
      <c r="R398" s="3">
        <v>476.72105263157937</v>
      </c>
      <c r="S398" s="3">
        <v>476.2</v>
      </c>
      <c r="T398" s="3">
        <v>476.2</v>
      </c>
      <c r="U398" s="7">
        <f t="shared" si="78"/>
        <v>0.5</v>
      </c>
      <c r="V398" s="3">
        <v>6613.62</v>
      </c>
      <c r="W398" s="3">
        <v>7371.15</v>
      </c>
      <c r="X398" s="3">
        <v>6892.45</v>
      </c>
      <c r="Y398" s="3">
        <v>6921.78</v>
      </c>
      <c r="Z398" s="3">
        <f t="shared" si="79"/>
        <v>378.76499999999987</v>
      </c>
      <c r="AA398" s="4">
        <f t="shared" si="80"/>
        <v>2.307828865613373E-2</v>
      </c>
      <c r="AB398" s="4">
        <f t="shared" si="81"/>
        <v>1.2870930059905069E-3</v>
      </c>
      <c r="AC398">
        <v>1.1476266666666668</v>
      </c>
      <c r="AD398" s="2">
        <v>6.4804000000000004</v>
      </c>
      <c r="AE398" s="2">
        <v>2.7235999999999998</v>
      </c>
      <c r="AF398" s="2">
        <f t="shared" si="82"/>
        <v>3.7568000000000006</v>
      </c>
      <c r="AG398" s="2">
        <v>1.575973333333333</v>
      </c>
      <c r="AH398" s="1">
        <f t="shared" si="83"/>
        <v>70.447396976682569</v>
      </c>
      <c r="AI398" s="1">
        <f t="shared" si="84"/>
        <v>29.552603023317431</v>
      </c>
      <c r="AJ398" s="1">
        <f t="shared" si="85"/>
        <v>1.4776301511658716</v>
      </c>
      <c r="AK398" s="8">
        <v>0.32559999999999967</v>
      </c>
      <c r="AL398" s="9">
        <v>49.527205084483093</v>
      </c>
      <c r="AM398" s="10">
        <v>2.4763602542241547</v>
      </c>
      <c r="AN398" s="9">
        <v>24.763602542241546</v>
      </c>
      <c r="AO398" s="11">
        <v>2.4779951793135355</v>
      </c>
      <c r="AP398" s="2">
        <v>4.5215999999999994</v>
      </c>
      <c r="AQ398" s="2">
        <f t="shared" si="86"/>
        <v>0.26225279999999995</v>
      </c>
      <c r="AR398" s="2">
        <v>1.179399622552489</v>
      </c>
      <c r="AS398" s="2">
        <v>0.34854328851144134</v>
      </c>
      <c r="AT398" s="2">
        <f t="shared" si="87"/>
        <v>3.4854328851144138E-2</v>
      </c>
      <c r="AU398" s="2">
        <f t="shared" si="88"/>
        <v>8.0437826214251416E-3</v>
      </c>
      <c r="AV398" s="2">
        <f t="shared" si="89"/>
        <v>1.2709176541851723E-3</v>
      </c>
      <c r="AW398" s="3">
        <f t="shared" si="90"/>
        <v>15.8</v>
      </c>
    </row>
    <row r="399" spans="1:49" x14ac:dyDescent="0.2">
      <c r="A399" t="s">
        <v>45</v>
      </c>
      <c r="B399" s="5" t="s">
        <v>46</v>
      </c>
      <c r="C399" s="5" t="s">
        <v>434</v>
      </c>
      <c r="D399" s="5" t="s">
        <v>456</v>
      </c>
      <c r="E399">
        <v>12</v>
      </c>
      <c r="F399" s="6">
        <v>480</v>
      </c>
      <c r="G399" s="3">
        <v>2.35</v>
      </c>
      <c r="H399" s="3">
        <v>2.4</v>
      </c>
      <c r="I399" s="3">
        <v>1.1000000000000001</v>
      </c>
      <c r="J399" s="3">
        <v>31.942763157895172</v>
      </c>
      <c r="K399" s="3">
        <v>33.042763157895195</v>
      </c>
      <c r="L399" s="3">
        <v>32.492763157895183</v>
      </c>
      <c r="M399" s="1">
        <v>0.22</v>
      </c>
      <c r="N399" s="3">
        <v>471.94276315789517</v>
      </c>
      <c r="O399" s="3">
        <v>473.04276315789519</v>
      </c>
      <c r="P399" s="3">
        <v>472.49276315789518</v>
      </c>
      <c r="Q399" s="3">
        <v>476.94276315789517</v>
      </c>
      <c r="R399" s="3">
        <v>478.04276315789519</v>
      </c>
      <c r="S399" s="3">
        <v>477.5</v>
      </c>
      <c r="T399" s="3">
        <v>477.5</v>
      </c>
      <c r="U399" s="7">
        <f t="shared" si="78"/>
        <v>0.55000000000001137</v>
      </c>
      <c r="V399" s="3">
        <v>6625.1</v>
      </c>
      <c r="W399" s="3">
        <v>7506.26</v>
      </c>
      <c r="X399" s="3">
        <v>6942.5</v>
      </c>
      <c r="Y399" s="3">
        <v>6978.11</v>
      </c>
      <c r="Z399" s="3">
        <f t="shared" si="79"/>
        <v>440.57999999999993</v>
      </c>
      <c r="AA399" s="4">
        <f t="shared" si="80"/>
        <v>2.3082386363636312E-2</v>
      </c>
      <c r="AB399" s="4">
        <f t="shared" si="81"/>
        <v>1.4839498212177436E-3</v>
      </c>
      <c r="AC399">
        <v>1.1476266666666668</v>
      </c>
      <c r="AD399" s="2">
        <v>6.2846000000000002</v>
      </c>
      <c r="AE399" s="2">
        <v>2.3843999999999999</v>
      </c>
      <c r="AF399" s="2">
        <f t="shared" si="82"/>
        <v>3.9002000000000003</v>
      </c>
      <c r="AG399" s="2">
        <v>1.2367733333333331</v>
      </c>
      <c r="AH399" s="1">
        <f t="shared" si="83"/>
        <v>75.924084999467922</v>
      </c>
      <c r="AI399" s="1">
        <f t="shared" si="84"/>
        <v>24.075915000532078</v>
      </c>
      <c r="AJ399" s="1">
        <f t="shared" si="85"/>
        <v>1.2037957500266039</v>
      </c>
      <c r="AK399" s="8">
        <v>0.17859999999999943</v>
      </c>
      <c r="AL399" s="9">
        <v>68.852459016393524</v>
      </c>
      <c r="AM399" s="10">
        <v>3.4426229508196764</v>
      </c>
      <c r="AN399" s="9">
        <v>34.426229508196762</v>
      </c>
      <c r="AO399" s="11">
        <v>3.4437991784525384</v>
      </c>
      <c r="AP399" s="2">
        <v>4.8706796875</v>
      </c>
      <c r="AQ399" s="2">
        <f t="shared" si="86"/>
        <v>0.28493476171875004</v>
      </c>
      <c r="AR399" s="2">
        <v>1.0546727896143004</v>
      </c>
      <c r="AS399" s="2">
        <v>0.25392212436127953</v>
      </c>
      <c r="AT399" s="2">
        <f t="shared" si="87"/>
        <v>2.5392212436127954E-2</v>
      </c>
      <c r="AU399" s="2">
        <f t="shared" si="88"/>
        <v>5.8611285807823625E-3</v>
      </c>
      <c r="AV399" s="2">
        <f t="shared" si="89"/>
        <v>9.2898888005400466E-4</v>
      </c>
      <c r="AW399" s="3">
        <f t="shared" si="90"/>
        <v>15.850000000000003</v>
      </c>
    </row>
    <row r="400" spans="1:49" x14ac:dyDescent="0.2">
      <c r="A400" t="s">
        <v>45</v>
      </c>
      <c r="B400" s="5" t="s">
        <v>46</v>
      </c>
      <c r="C400" s="5" t="s">
        <v>434</v>
      </c>
      <c r="D400" s="5" t="s">
        <v>457</v>
      </c>
      <c r="E400">
        <v>12</v>
      </c>
      <c r="F400" s="6">
        <v>481</v>
      </c>
      <c r="G400" s="3">
        <v>2</v>
      </c>
      <c r="H400" s="3">
        <v>2.4500000000000002</v>
      </c>
      <c r="I400" s="3">
        <v>1.05</v>
      </c>
      <c r="J400" s="3">
        <v>33.264473684210998</v>
      </c>
      <c r="K400" s="3">
        <v>34.314473684211009</v>
      </c>
      <c r="L400" s="3">
        <v>33.789473684210975</v>
      </c>
      <c r="M400" s="1">
        <v>0.22</v>
      </c>
      <c r="N400" s="3">
        <v>473.264473684211</v>
      </c>
      <c r="O400" s="3">
        <v>474.31447368421101</v>
      </c>
      <c r="P400" s="3">
        <v>473.78947368421098</v>
      </c>
      <c r="Q400" s="3">
        <v>478.264473684211</v>
      </c>
      <c r="R400" s="3">
        <v>479.31447368421101</v>
      </c>
      <c r="S400" s="3">
        <v>478.8</v>
      </c>
      <c r="T400" s="3">
        <v>478.8</v>
      </c>
      <c r="U400" s="7">
        <f t="shared" si="78"/>
        <v>0.52500000000000568</v>
      </c>
      <c r="V400" s="3">
        <v>6632.87</v>
      </c>
      <c r="W400" s="3">
        <v>7649.45</v>
      </c>
      <c r="X400" s="3">
        <v>6993.05</v>
      </c>
      <c r="Y400" s="3">
        <v>7034.43</v>
      </c>
      <c r="Z400" s="3">
        <f t="shared" si="79"/>
        <v>508.28999999999996</v>
      </c>
      <c r="AA400" s="4">
        <f t="shared" si="80"/>
        <v>2.3041474654378051E-2</v>
      </c>
      <c r="AB400" s="4">
        <f t="shared" si="81"/>
        <v>1.6901830627575885E-3</v>
      </c>
      <c r="AC400">
        <v>1.1476266666666668</v>
      </c>
      <c r="AD400" s="2">
        <v>5.9653999999999998</v>
      </c>
      <c r="AE400" s="2">
        <v>2.2467999999999999</v>
      </c>
      <c r="AF400" s="2">
        <f t="shared" si="82"/>
        <v>3.7185999999999999</v>
      </c>
      <c r="AG400" s="2">
        <v>1.0991733333333331</v>
      </c>
      <c r="AH400" s="1">
        <f t="shared" si="83"/>
        <v>77.185034303537194</v>
      </c>
      <c r="AI400" s="1">
        <f t="shared" si="84"/>
        <v>22.814965696462806</v>
      </c>
      <c r="AJ400" s="1">
        <f t="shared" si="85"/>
        <v>1.1407482848231403</v>
      </c>
      <c r="AK400" s="8">
        <v>0.20239999999999991</v>
      </c>
      <c r="AL400" s="9">
        <v>71.34362169049983</v>
      </c>
      <c r="AM400" s="10">
        <v>3.5671810845249916</v>
      </c>
      <c r="AN400" s="9">
        <v>35.671810845249915</v>
      </c>
      <c r="AO400" s="11">
        <v>3.568316254172673</v>
      </c>
      <c r="AP400" s="2">
        <v>4.080552656250001</v>
      </c>
      <c r="AQ400" s="2">
        <f t="shared" si="86"/>
        <v>0.22443039609375007</v>
      </c>
      <c r="AR400" s="2">
        <v>1.1806668701981249</v>
      </c>
      <c r="AS400" s="2">
        <v>0.26936874142520334</v>
      </c>
      <c r="AT400" s="2">
        <f t="shared" si="87"/>
        <v>2.6936874142520335E-2</v>
      </c>
      <c r="AU400" s="2">
        <f t="shared" si="88"/>
        <v>6.206653028230538E-3</v>
      </c>
      <c r="AV400" s="2">
        <f t="shared" si="89"/>
        <v>9.6203121937573342E-4</v>
      </c>
      <c r="AW400" s="3">
        <f t="shared" si="90"/>
        <v>15.5</v>
      </c>
    </row>
    <row r="401" spans="1:49" x14ac:dyDescent="0.2">
      <c r="A401" t="s">
        <v>45</v>
      </c>
      <c r="B401" s="5" t="s">
        <v>46</v>
      </c>
      <c r="C401" s="5" t="s">
        <v>434</v>
      </c>
      <c r="D401" s="5" t="s">
        <v>458</v>
      </c>
      <c r="E401">
        <v>12</v>
      </c>
      <c r="F401" s="6">
        <v>482</v>
      </c>
      <c r="G401" s="3">
        <v>2.1</v>
      </c>
      <c r="H401" s="3">
        <v>2.4</v>
      </c>
      <c r="I401" s="3">
        <v>1.2</v>
      </c>
      <c r="J401" s="3">
        <v>34.536184210526812</v>
      </c>
      <c r="K401" s="3">
        <v>35.736184210526801</v>
      </c>
      <c r="L401" s="3">
        <v>35.136184210526835</v>
      </c>
      <c r="M401" s="1">
        <v>0.22</v>
      </c>
      <c r="N401" s="3">
        <v>474.53618421052681</v>
      </c>
      <c r="O401" s="3">
        <v>475.7361842105268</v>
      </c>
      <c r="P401" s="3">
        <v>475.13618421052684</v>
      </c>
      <c r="Q401" s="3">
        <v>479.53618421052681</v>
      </c>
      <c r="R401" s="3">
        <v>480.7361842105268</v>
      </c>
      <c r="S401" s="3">
        <v>480.1</v>
      </c>
      <c r="T401" s="3">
        <v>480.1</v>
      </c>
      <c r="U401" s="7">
        <f t="shared" si="78"/>
        <v>0.59999999999999432</v>
      </c>
      <c r="V401" s="3">
        <v>6644.97</v>
      </c>
      <c r="W401" s="3">
        <v>7785.52</v>
      </c>
      <c r="X401" s="3">
        <v>7043.6</v>
      </c>
      <c r="Y401" s="3">
        <v>7090.85</v>
      </c>
      <c r="Z401" s="3">
        <f t="shared" si="79"/>
        <v>570.27500000000009</v>
      </c>
      <c r="AA401" s="4">
        <f t="shared" si="80"/>
        <v>2.2624434389140829E-2</v>
      </c>
      <c r="AB401" s="4">
        <f t="shared" si="81"/>
        <v>1.8478236939827735E-3</v>
      </c>
      <c r="AC401">
        <v>1.1476266666666668</v>
      </c>
      <c r="AD401" s="2">
        <v>6.165</v>
      </c>
      <c r="AE401" s="2">
        <v>2.3180999999999998</v>
      </c>
      <c r="AF401" s="2">
        <f t="shared" si="82"/>
        <v>3.8469000000000002</v>
      </c>
      <c r="AG401" s="2">
        <v>1.170473333333333</v>
      </c>
      <c r="AH401" s="1">
        <f t="shared" si="83"/>
        <v>76.671591775776449</v>
      </c>
      <c r="AI401" s="1">
        <f t="shared" si="84"/>
        <v>23.328408224223551</v>
      </c>
      <c r="AJ401" s="1">
        <f t="shared" si="85"/>
        <v>1.1664204112111776</v>
      </c>
      <c r="AK401" s="8">
        <v>0.2676999999999996</v>
      </c>
      <c r="AL401" s="9">
        <v>60.533687159074226</v>
      </c>
      <c r="AM401" s="10">
        <v>3.0266843579537115</v>
      </c>
      <c r="AN401" s="9">
        <v>30.266843579537113</v>
      </c>
      <c r="AO401" s="11">
        <v>3.0280221602032031</v>
      </c>
      <c r="AP401" s="2">
        <v>4.7688749999999995</v>
      </c>
      <c r="AQ401" s="2">
        <f t="shared" si="86"/>
        <v>0.27182587499999994</v>
      </c>
      <c r="AR401" s="2">
        <v>1.0521083763640973</v>
      </c>
      <c r="AS401" s="2">
        <v>0.24544013699946698</v>
      </c>
      <c r="AT401" s="2">
        <f t="shared" si="87"/>
        <v>2.4544013699946701E-2</v>
      </c>
      <c r="AU401" s="2">
        <f t="shared" si="88"/>
        <v>5.5529442760061777E-3</v>
      </c>
      <c r="AV401" s="2">
        <f t="shared" si="89"/>
        <v>8.7181225133296987E-4</v>
      </c>
      <c r="AW401" s="3">
        <f t="shared" si="90"/>
        <v>15.7</v>
      </c>
    </row>
    <row r="402" spans="1:49" x14ac:dyDescent="0.2">
      <c r="A402" t="s">
        <v>45</v>
      </c>
      <c r="B402" s="5" t="s">
        <v>46</v>
      </c>
      <c r="C402" s="5" t="s">
        <v>459</v>
      </c>
      <c r="D402" s="5" t="s">
        <v>460</v>
      </c>
      <c r="E402">
        <v>13</v>
      </c>
      <c r="F402" s="6">
        <v>511</v>
      </c>
      <c r="G402" s="3">
        <v>1.95</v>
      </c>
      <c r="H402" s="3">
        <v>2.2999999999999998</v>
      </c>
      <c r="I402" s="3">
        <v>1</v>
      </c>
      <c r="J402" s="3">
        <v>23.055833333333396</v>
      </c>
      <c r="K402" s="3">
        <v>24.055833333333396</v>
      </c>
      <c r="L402" s="3">
        <v>23.555833333333396</v>
      </c>
      <c r="M402" s="1">
        <v>0.24</v>
      </c>
      <c r="N402" s="3">
        <v>480.0558333333334</v>
      </c>
      <c r="O402" s="3">
        <v>481.0558333333334</v>
      </c>
      <c r="P402" s="3">
        <v>480.5558333333334</v>
      </c>
      <c r="Q402" s="3">
        <v>480.0558333333334</v>
      </c>
      <c r="R402" s="3">
        <v>481.0558333333334</v>
      </c>
      <c r="S402" s="3">
        <v>480.6</v>
      </c>
      <c r="T402" s="3">
        <v>480.6</v>
      </c>
      <c r="U402" s="7">
        <f t="shared" si="78"/>
        <v>0.5</v>
      </c>
      <c r="V402" s="3">
        <v>6669.96</v>
      </c>
      <c r="W402" s="3">
        <v>7793.83</v>
      </c>
      <c r="X402" s="3">
        <v>7066.35</v>
      </c>
      <c r="Y402" s="3">
        <v>7112.95</v>
      </c>
      <c r="Z402" s="3">
        <f t="shared" si="79"/>
        <v>561.93499999999995</v>
      </c>
      <c r="AA402" s="4">
        <f t="shared" si="80"/>
        <v>2.2624434389140073E-2</v>
      </c>
      <c r="AB402" s="4">
        <f t="shared" si="81"/>
        <v>1.8109060236020011E-3</v>
      </c>
      <c r="AC402">
        <v>1.1476266666666668</v>
      </c>
      <c r="AD402" s="2">
        <v>4.6467000000000001</v>
      </c>
      <c r="AE402" s="2">
        <v>2.0388999999999999</v>
      </c>
      <c r="AF402" s="2">
        <f t="shared" si="82"/>
        <v>2.6078000000000001</v>
      </c>
      <c r="AG402" s="2">
        <v>0.89127333333333314</v>
      </c>
      <c r="AH402" s="1">
        <f t="shared" si="83"/>
        <v>74.52830368421354</v>
      </c>
      <c r="AI402" s="1">
        <f t="shared" si="84"/>
        <v>25.47169631578646</v>
      </c>
      <c r="AJ402" s="1">
        <f t="shared" si="85"/>
        <v>1.273584815789323</v>
      </c>
      <c r="AK402" s="8">
        <v>0.11660000000000004</v>
      </c>
      <c r="AL402" s="9">
        <v>74.446635985097558</v>
      </c>
      <c r="AM402" s="10">
        <v>3.7223317992548779</v>
      </c>
      <c r="AN402" s="9">
        <v>37.223317992548779</v>
      </c>
      <c r="AO402" s="11">
        <v>3.7234196679590199</v>
      </c>
      <c r="AP402" s="2">
        <v>3.5447656250000001</v>
      </c>
      <c r="AQ402" s="2">
        <f t="shared" si="86"/>
        <v>0.18610019531249999</v>
      </c>
      <c r="AR402" s="2">
        <v>0.98710992587368407</v>
      </c>
      <c r="AS402" s="2">
        <v>0.25143364262152962</v>
      </c>
      <c r="AT402" s="2">
        <f t="shared" si="87"/>
        <v>2.5143364262152964E-2</v>
      </c>
      <c r="AU402" s="2">
        <f t="shared" si="88"/>
        <v>5.6885439507132901E-3</v>
      </c>
      <c r="AV402" s="2">
        <f t="shared" si="89"/>
        <v>8.6750295248377678E-4</v>
      </c>
      <c r="AW402" s="3">
        <f t="shared" si="90"/>
        <v>15.25</v>
      </c>
    </row>
    <row r="403" spans="1:49" x14ac:dyDescent="0.2">
      <c r="A403" t="s">
        <v>45</v>
      </c>
      <c r="B403" s="5" t="s">
        <v>46</v>
      </c>
      <c r="C403" s="5" t="s">
        <v>459</v>
      </c>
      <c r="D403" s="5" t="s">
        <v>461</v>
      </c>
      <c r="E403">
        <v>13</v>
      </c>
      <c r="F403" s="6">
        <v>512</v>
      </c>
      <c r="G403" s="3">
        <v>1.95</v>
      </c>
      <c r="H403" s="3">
        <v>2.2999999999999998</v>
      </c>
      <c r="I403" s="3">
        <v>0.95</v>
      </c>
      <c r="J403" s="3">
        <v>24.295000000000073</v>
      </c>
      <c r="K403" s="3">
        <v>25.245000000000061</v>
      </c>
      <c r="L403" s="3">
        <v>24.770000000000095</v>
      </c>
      <c r="M403" s="1">
        <v>0.24</v>
      </c>
      <c r="N403" s="3">
        <v>481.29500000000007</v>
      </c>
      <c r="O403" s="3">
        <v>482.24500000000006</v>
      </c>
      <c r="P403" s="3">
        <v>481.7700000000001</v>
      </c>
      <c r="Q403" s="3">
        <v>481.29500000000007</v>
      </c>
      <c r="R403" s="3">
        <v>482.24500000000006</v>
      </c>
      <c r="S403" s="3">
        <v>481.8</v>
      </c>
      <c r="T403" s="3">
        <v>481.8</v>
      </c>
      <c r="U403" s="7">
        <f t="shared" si="78"/>
        <v>0.47499999999999432</v>
      </c>
      <c r="V403" s="3">
        <v>6706.9</v>
      </c>
      <c r="W403" s="3">
        <v>7814.71</v>
      </c>
      <c r="X403" s="3">
        <v>7127.67</v>
      </c>
      <c r="Y403" s="3">
        <v>7165.99</v>
      </c>
      <c r="Z403" s="3">
        <f t="shared" si="79"/>
        <v>553.9050000000002</v>
      </c>
      <c r="AA403" s="4">
        <f t="shared" si="80"/>
        <v>2.2624434389140455E-2</v>
      </c>
      <c r="AB403" s="4">
        <f t="shared" si="81"/>
        <v>1.7710917249436854E-3</v>
      </c>
      <c r="AC403">
        <v>1.1476266666666668</v>
      </c>
      <c r="AD403" s="2">
        <v>5.2088999999999999</v>
      </c>
      <c r="AE403" s="2">
        <v>2.1880999999999999</v>
      </c>
      <c r="AF403" s="2">
        <f t="shared" si="82"/>
        <v>3.0207999999999999</v>
      </c>
      <c r="AG403" s="2">
        <v>1.0404733333333331</v>
      </c>
      <c r="AH403" s="1">
        <f t="shared" si="83"/>
        <v>74.38061297688246</v>
      </c>
      <c r="AI403" s="1">
        <f t="shared" si="84"/>
        <v>25.61938702311754</v>
      </c>
      <c r="AJ403" s="1">
        <f t="shared" si="85"/>
        <v>1.2809693511558771</v>
      </c>
      <c r="AK403" s="8">
        <v>0.45420000000000016</v>
      </c>
      <c r="AL403" s="9">
        <v>54.347170569906524</v>
      </c>
      <c r="AM403" s="10">
        <v>2.7173585284953266</v>
      </c>
      <c r="AN403" s="9">
        <v>27.173585284953262</v>
      </c>
      <c r="AO403" s="11">
        <v>2.7188485379635043</v>
      </c>
      <c r="AP403" s="2">
        <v>3.36752734375</v>
      </c>
      <c r="AQ403" s="2">
        <f t="shared" si="86"/>
        <v>0.17511142187499998</v>
      </c>
      <c r="AR403" s="2">
        <v>1.2060104993270206</v>
      </c>
      <c r="AS403" s="2">
        <v>0.30897249736202181</v>
      </c>
      <c r="AT403" s="2">
        <f t="shared" si="87"/>
        <v>3.0897249736202184E-2</v>
      </c>
      <c r="AU403" s="2">
        <f t="shared" si="88"/>
        <v>6.9903279946159349E-3</v>
      </c>
      <c r="AV403" s="2">
        <f t="shared" si="89"/>
        <v>1.0625298551816221E-3</v>
      </c>
      <c r="AW403" s="3">
        <f t="shared" si="90"/>
        <v>15.2</v>
      </c>
    </row>
    <row r="404" spans="1:49" x14ac:dyDescent="0.2">
      <c r="A404" t="s">
        <v>45</v>
      </c>
      <c r="B404" s="5" t="s">
        <v>46</v>
      </c>
      <c r="C404" s="5" t="s">
        <v>459</v>
      </c>
      <c r="D404" s="5" t="s">
        <v>462</v>
      </c>
      <c r="E404">
        <v>13</v>
      </c>
      <c r="F404" s="6">
        <v>513</v>
      </c>
      <c r="G404" s="3">
        <v>2</v>
      </c>
      <c r="H404" s="3">
        <v>2.65</v>
      </c>
      <c r="I404" s="3">
        <v>1.1499999999999999</v>
      </c>
      <c r="J404" s="3">
        <v>25.484166666666738</v>
      </c>
      <c r="K404" s="3">
        <v>26.634166666666715</v>
      </c>
      <c r="L404" s="3">
        <v>26.059166666666727</v>
      </c>
      <c r="M404" s="1">
        <v>0.24</v>
      </c>
      <c r="N404" s="3">
        <v>482.48416666666674</v>
      </c>
      <c r="O404" s="3">
        <v>483.63416666666672</v>
      </c>
      <c r="P404" s="3">
        <v>483.05916666666673</v>
      </c>
      <c r="Q404" s="3">
        <v>482.48416666666674</v>
      </c>
      <c r="R404" s="3">
        <v>483.63416666666672</v>
      </c>
      <c r="S404" s="3">
        <v>483.1</v>
      </c>
      <c r="T404" s="3">
        <v>483.1</v>
      </c>
      <c r="U404" s="7">
        <f t="shared" si="78"/>
        <v>0.57499999999998863</v>
      </c>
      <c r="V404" s="3">
        <v>6735.56</v>
      </c>
      <c r="W404" s="3">
        <v>7838.17</v>
      </c>
      <c r="X404" s="3">
        <v>7200.59</v>
      </c>
      <c r="Y404" s="3">
        <v>7223.45</v>
      </c>
      <c r="Z404" s="3">
        <f t="shared" si="79"/>
        <v>551.30499999999984</v>
      </c>
      <c r="AA404" s="4">
        <f t="shared" si="80"/>
        <v>2.2624434389139865E-2</v>
      </c>
      <c r="AB404" s="4">
        <f t="shared" si="81"/>
        <v>1.7536604878232067E-3</v>
      </c>
      <c r="AC404">
        <v>1.1476266666666668</v>
      </c>
      <c r="AD404" s="2">
        <v>6.7199</v>
      </c>
      <c r="AE404" s="2">
        <v>2.2038000000000002</v>
      </c>
      <c r="AF404" s="2">
        <f t="shared" si="82"/>
        <v>4.5160999999999998</v>
      </c>
      <c r="AG404" s="2">
        <v>1.0561733333333334</v>
      </c>
      <c r="AH404" s="1">
        <f t="shared" si="83"/>
        <v>81.045916627683965</v>
      </c>
      <c r="AI404" s="1">
        <f t="shared" si="84"/>
        <v>18.954083372316035</v>
      </c>
      <c r="AJ404" s="1">
        <f t="shared" si="85"/>
        <v>0.94770416861580176</v>
      </c>
      <c r="AK404" s="8">
        <v>0.10109999999999975</v>
      </c>
      <c r="AL404" s="9">
        <v>84.240062353858178</v>
      </c>
      <c r="AM404" s="10">
        <v>4.2120031176929089</v>
      </c>
      <c r="AN404" s="9">
        <v>42.120031176929089</v>
      </c>
      <c r="AO404" s="11">
        <v>4.2129645457153782</v>
      </c>
      <c r="AP404" s="2">
        <v>4.8799279687499997</v>
      </c>
      <c r="AQ404" s="2">
        <f t="shared" si="86"/>
        <v>0.28303582218749995</v>
      </c>
      <c r="AR404" s="2">
        <v>1.1418761442826539</v>
      </c>
      <c r="AS404" s="2">
        <v>0.21643215639592189</v>
      </c>
      <c r="AT404" s="2">
        <f t="shared" si="87"/>
        <v>2.1643215639592192E-2</v>
      </c>
      <c r="AU404" s="2">
        <f t="shared" si="88"/>
        <v>4.8966551220795927E-3</v>
      </c>
      <c r="AV404" s="2">
        <f t="shared" si="89"/>
        <v>7.736715092885758E-4</v>
      </c>
      <c r="AW404" s="3">
        <f t="shared" si="90"/>
        <v>15.800000000000002</v>
      </c>
    </row>
    <row r="405" spans="1:49" x14ac:dyDescent="0.2">
      <c r="A405" t="s">
        <v>45</v>
      </c>
      <c r="B405" s="5" t="s">
        <v>46</v>
      </c>
      <c r="C405" s="5" t="s">
        <v>459</v>
      </c>
      <c r="D405" s="5" t="s">
        <v>463</v>
      </c>
      <c r="E405">
        <v>13</v>
      </c>
      <c r="F405" s="6">
        <v>514</v>
      </c>
      <c r="G405" s="3">
        <v>2.1</v>
      </c>
      <c r="H405" s="3">
        <v>2.5</v>
      </c>
      <c r="I405" s="3">
        <v>1.2</v>
      </c>
      <c r="J405" s="3">
        <v>26.873333333333392</v>
      </c>
      <c r="K405" s="3">
        <v>28.07333333333338</v>
      </c>
      <c r="L405" s="3">
        <v>27.473333333333358</v>
      </c>
      <c r="M405" s="1">
        <v>0.24</v>
      </c>
      <c r="N405" s="3">
        <v>483.87333333333339</v>
      </c>
      <c r="O405" s="3">
        <v>485.07333333333338</v>
      </c>
      <c r="P405" s="3">
        <v>484.47333333333336</v>
      </c>
      <c r="Q405" s="3">
        <v>483.87333333333339</v>
      </c>
      <c r="R405" s="3">
        <v>485.07333333333338</v>
      </c>
      <c r="S405" s="3">
        <v>484.5</v>
      </c>
      <c r="T405" s="3">
        <v>484.5</v>
      </c>
      <c r="U405" s="7">
        <f t="shared" si="78"/>
        <v>0.59999999999999432</v>
      </c>
      <c r="V405" s="3">
        <v>6759.44</v>
      </c>
      <c r="W405" s="3">
        <v>7866.38</v>
      </c>
      <c r="X405" s="3">
        <v>7279.28</v>
      </c>
      <c r="Y405" s="3">
        <v>7285.33</v>
      </c>
      <c r="Z405" s="3">
        <f t="shared" si="79"/>
        <v>553.47000000000025</v>
      </c>
      <c r="AA405" s="4">
        <f t="shared" si="80"/>
        <v>2.2624434389140208E-2</v>
      </c>
      <c r="AB405" s="4">
        <f t="shared" si="81"/>
        <v>1.7468069627015058E-3</v>
      </c>
      <c r="AC405">
        <v>1.1476266666666668</v>
      </c>
      <c r="AD405" s="2">
        <v>6.6253000000000002</v>
      </c>
      <c r="AE405">
        <v>2.1515</v>
      </c>
      <c r="AF405" s="2">
        <f t="shared" si="82"/>
        <v>4.4738000000000007</v>
      </c>
      <c r="AG405" s="2">
        <v>1.1235733333333331</v>
      </c>
      <c r="AH405" s="1">
        <f t="shared" si="83"/>
        <v>81.673362534701482</v>
      </c>
      <c r="AI405" s="1">
        <f t="shared" si="84"/>
        <v>18.326637465298518</v>
      </c>
      <c r="AJ405" s="1">
        <f t="shared" si="85"/>
        <v>0.91633187326492593</v>
      </c>
      <c r="AK405" s="8">
        <v>8.4799999999999542E-2</v>
      </c>
      <c r="AL405" s="9">
        <v>85.442060085836985</v>
      </c>
      <c r="AM405" s="10">
        <v>4.2721030042918491</v>
      </c>
      <c r="AN405" s="9">
        <v>42.721030042918493</v>
      </c>
      <c r="AO405" s="11">
        <v>4.2730509099798288</v>
      </c>
      <c r="AP405" s="2">
        <v>4.9831799999999991</v>
      </c>
      <c r="AQ405" s="2">
        <f t="shared" si="86"/>
        <v>0.28902443999999994</v>
      </c>
      <c r="AR405" s="2">
        <v>1.0992324847453503</v>
      </c>
      <c r="AS405" s="2">
        <v>0.22547315837142815</v>
      </c>
      <c r="AT405" s="2">
        <f t="shared" si="87"/>
        <v>2.2547315837142815E-2</v>
      </c>
      <c r="AU405" s="2">
        <f t="shared" si="88"/>
        <v>5.1012026780865955E-3</v>
      </c>
      <c r="AV405" s="2">
        <f t="shared" si="89"/>
        <v>8.0599002313768212E-4</v>
      </c>
      <c r="AW405" s="3">
        <f t="shared" si="90"/>
        <v>15.8</v>
      </c>
    </row>
    <row r="406" spans="1:49" x14ac:dyDescent="0.2">
      <c r="A406" t="s">
        <v>45</v>
      </c>
      <c r="B406" s="5" t="s">
        <v>46</v>
      </c>
      <c r="C406" s="5" t="s">
        <v>459</v>
      </c>
      <c r="D406" s="5" t="s">
        <v>464</v>
      </c>
      <c r="E406">
        <v>13</v>
      </c>
      <c r="F406" s="6">
        <v>515</v>
      </c>
      <c r="G406" s="3">
        <v>2.2000000000000002</v>
      </c>
      <c r="H406" s="3">
        <v>2.4</v>
      </c>
      <c r="I406" s="3">
        <v>1.3</v>
      </c>
      <c r="J406" s="3">
        <v>28.312500000000057</v>
      </c>
      <c r="K406" s="3">
        <v>29.612500000000068</v>
      </c>
      <c r="L406" s="3">
        <v>28.962500000000091</v>
      </c>
      <c r="M406" s="1">
        <v>0.24</v>
      </c>
      <c r="N406" s="3">
        <v>485.31250000000006</v>
      </c>
      <c r="O406" s="3">
        <v>486.61250000000007</v>
      </c>
      <c r="P406" s="3">
        <v>485.96250000000009</v>
      </c>
      <c r="Q406" s="3">
        <v>485.31250000000006</v>
      </c>
      <c r="R406" s="3">
        <v>486.61250000000007</v>
      </c>
      <c r="S406" s="3">
        <v>486</v>
      </c>
      <c r="T406" s="3">
        <v>486</v>
      </c>
      <c r="U406" s="7">
        <f t="shared" si="78"/>
        <v>0.65000000000000568</v>
      </c>
      <c r="V406" s="3">
        <v>6781.86</v>
      </c>
      <c r="W406" s="3">
        <v>7907.98</v>
      </c>
      <c r="X406" s="3">
        <v>7363.3</v>
      </c>
      <c r="Y406" s="3">
        <v>7351.63</v>
      </c>
      <c r="Z406" s="3">
        <f t="shared" si="79"/>
        <v>563.05999999999995</v>
      </c>
      <c r="AA406" s="4">
        <f t="shared" si="80"/>
        <v>2.2624434389140208E-2</v>
      </c>
      <c r="AB406" s="4">
        <f t="shared" si="81"/>
        <v>1.7630603180073868E-3</v>
      </c>
      <c r="AC406">
        <v>1.1476266666666668</v>
      </c>
      <c r="AD406" s="2">
        <v>7.1346999999999996</v>
      </c>
      <c r="AE406" s="2">
        <v>2.2711999999999999</v>
      </c>
      <c r="AF406" s="2">
        <f t="shared" si="82"/>
        <v>4.8635000000000002</v>
      </c>
      <c r="AG406" s="2">
        <v>0.87797333333333305</v>
      </c>
      <c r="AH406" s="1">
        <f t="shared" si="83"/>
        <v>81.233346064465564</v>
      </c>
      <c r="AI406" s="1">
        <f t="shared" si="84"/>
        <v>18.766653935534436</v>
      </c>
      <c r="AJ406" s="1">
        <f t="shared" si="85"/>
        <v>0.93833269677672182</v>
      </c>
      <c r="AK406" s="8">
        <v>3.9299999999999891E-2</v>
      </c>
      <c r="AL406" s="9">
        <v>84.20418006430873</v>
      </c>
      <c r="AM406" s="10">
        <v>4.2102090032154367</v>
      </c>
      <c r="AN406" s="9">
        <v>42.102090032154365</v>
      </c>
      <c r="AO406" s="11">
        <v>4.2111708408418105</v>
      </c>
      <c r="AP406" s="2">
        <v>5.3984449999999997</v>
      </c>
      <c r="AQ406" s="2">
        <f t="shared" si="86"/>
        <v>0.31850825499999996</v>
      </c>
      <c r="AR406" s="2">
        <v>1.1090366454290694</v>
      </c>
      <c r="AS406" s="2">
        <v>0.16263448702975267</v>
      </c>
      <c r="AT406" s="2">
        <f t="shared" si="87"/>
        <v>1.6263448702975268E-2</v>
      </c>
      <c r="AU406" s="2">
        <f t="shared" si="88"/>
        <v>3.6795132812161135E-3</v>
      </c>
      <c r="AV406" s="2">
        <f t="shared" si="89"/>
        <v>5.8504261171336207E-4</v>
      </c>
      <c r="AW406" s="3">
        <f t="shared" si="90"/>
        <v>15.9</v>
      </c>
    </row>
    <row r="407" spans="1:49" x14ac:dyDescent="0.2">
      <c r="A407" t="s">
        <v>45</v>
      </c>
      <c r="B407" s="5" t="s">
        <v>46</v>
      </c>
      <c r="C407" s="5" t="s">
        <v>459</v>
      </c>
      <c r="D407" s="5" t="s">
        <v>465</v>
      </c>
      <c r="E407">
        <v>13</v>
      </c>
      <c r="F407" s="6">
        <v>516</v>
      </c>
      <c r="G407" s="3">
        <v>1.9</v>
      </c>
      <c r="H407" s="3">
        <v>2.4</v>
      </c>
      <c r="I407" s="3">
        <v>1.2</v>
      </c>
      <c r="J407" s="3">
        <v>29.851666666666745</v>
      </c>
      <c r="K407" s="3">
        <v>31.051666666666733</v>
      </c>
      <c r="L407" s="3">
        <v>30.451666666666711</v>
      </c>
      <c r="M407" s="1">
        <v>0.24</v>
      </c>
      <c r="N407" s="3">
        <v>486.85166666666674</v>
      </c>
      <c r="O407" s="3">
        <v>488.05166666666673</v>
      </c>
      <c r="P407" s="3">
        <v>487.45166666666671</v>
      </c>
      <c r="Q407" s="3">
        <v>486.85166666666674</v>
      </c>
      <c r="R407" s="3">
        <v>488.05166666666673</v>
      </c>
      <c r="S407" s="3">
        <v>487.5</v>
      </c>
      <c r="T407" s="3">
        <v>487.5</v>
      </c>
      <c r="U407" s="7">
        <f t="shared" si="78"/>
        <v>0.59999999999999432</v>
      </c>
      <c r="V407" s="3">
        <v>6799.98</v>
      </c>
      <c r="W407" s="3">
        <v>7961.21</v>
      </c>
      <c r="X407" s="3">
        <v>7441.84</v>
      </c>
      <c r="Y407" s="3">
        <v>7417.93</v>
      </c>
      <c r="Z407" s="3">
        <f t="shared" si="79"/>
        <v>580.61500000000024</v>
      </c>
      <c r="AA407" s="4">
        <f t="shared" si="80"/>
        <v>2.2624434389139865E-2</v>
      </c>
      <c r="AB407" s="4">
        <f t="shared" si="81"/>
        <v>1.7987014745298271E-3</v>
      </c>
      <c r="AC407">
        <v>1.1476266666666668</v>
      </c>
      <c r="AD407" s="2">
        <v>5.7274000000000003</v>
      </c>
      <c r="AE407" s="2">
        <v>2.0255999999999998</v>
      </c>
      <c r="AF407" s="2">
        <f t="shared" si="82"/>
        <v>3.7018000000000004</v>
      </c>
      <c r="AG407" s="2">
        <v>0.71157333333333317</v>
      </c>
      <c r="AH407" s="1">
        <f t="shared" si="83"/>
        <v>80.829327797882286</v>
      </c>
      <c r="AI407" s="1">
        <f t="shared" si="84"/>
        <v>19.170672202117714</v>
      </c>
      <c r="AJ407" s="1">
        <f t="shared" si="85"/>
        <v>0.95853361010588578</v>
      </c>
      <c r="AK407" s="8">
        <v>4.8999999999999488E-2</v>
      </c>
      <c r="AL407" s="9">
        <v>83.378561736770834</v>
      </c>
      <c r="AM407" s="10">
        <v>4.1689280868385419</v>
      </c>
      <c r="AN407" s="9">
        <v>41.689280868385417</v>
      </c>
      <c r="AO407" s="11">
        <v>4.1698994464172952</v>
      </c>
      <c r="AP407" s="2">
        <v>4.3543950000000002</v>
      </c>
      <c r="AQ407" s="2">
        <f t="shared" si="86"/>
        <v>0.23949172499999999</v>
      </c>
      <c r="AR407" s="2">
        <v>1.0517588168582164</v>
      </c>
      <c r="AS407" s="2">
        <v>0.16341497115749332</v>
      </c>
      <c r="AT407" s="2">
        <f t="shared" si="87"/>
        <v>1.6341497115749334E-2</v>
      </c>
      <c r="AU407" s="2">
        <f t="shared" si="88"/>
        <v>3.697171293155891E-3</v>
      </c>
      <c r="AV407" s="2">
        <f t="shared" si="89"/>
        <v>5.7306155043916325E-4</v>
      </c>
      <c r="AW407" s="3">
        <f t="shared" si="90"/>
        <v>15.500000000000004</v>
      </c>
    </row>
    <row r="408" spans="1:49" x14ac:dyDescent="0.2">
      <c r="A408" t="s">
        <v>45</v>
      </c>
      <c r="B408" s="5" t="s">
        <v>46</v>
      </c>
      <c r="C408" s="5" t="s">
        <v>459</v>
      </c>
      <c r="D408" s="5" t="s">
        <v>466</v>
      </c>
      <c r="E408">
        <v>13</v>
      </c>
      <c r="F408" s="6">
        <v>517</v>
      </c>
      <c r="G408" s="3">
        <v>2</v>
      </c>
      <c r="H408" s="3">
        <v>2.15</v>
      </c>
      <c r="I408" s="3">
        <v>1.2</v>
      </c>
      <c r="J408" s="3">
        <v>31.29083333333341</v>
      </c>
      <c r="K408" s="3">
        <v>32.490833333333399</v>
      </c>
      <c r="L408" s="3">
        <v>31.890833333333376</v>
      </c>
      <c r="M408" s="1">
        <v>0.24</v>
      </c>
      <c r="N408" s="3">
        <v>488.29083333333341</v>
      </c>
      <c r="O408" s="3">
        <v>489.4908333333334</v>
      </c>
      <c r="P408" s="3">
        <v>488.89083333333338</v>
      </c>
      <c r="Q408" s="3">
        <v>488.29083333333341</v>
      </c>
      <c r="R408" s="3">
        <v>489.4908333333334</v>
      </c>
      <c r="S408" s="3">
        <v>488.9</v>
      </c>
      <c r="T408" s="3">
        <v>488.9</v>
      </c>
      <c r="U408" s="7">
        <f t="shared" si="78"/>
        <v>0.59999999999999432</v>
      </c>
      <c r="V408" s="3">
        <v>6816.82</v>
      </c>
      <c r="W408" s="3">
        <v>8022.82</v>
      </c>
      <c r="X408" s="3">
        <v>7512.56</v>
      </c>
      <c r="Y408" s="3">
        <v>7479.81</v>
      </c>
      <c r="Z408" s="3">
        <f t="shared" si="79"/>
        <v>603</v>
      </c>
      <c r="AA408" s="4">
        <f t="shared" si="80"/>
        <v>2.2367515485203267E-2</v>
      </c>
      <c r="AB408" s="4">
        <f t="shared" si="81"/>
        <v>1.8306528839076533E-3</v>
      </c>
      <c r="AC408">
        <v>1.1476266666666668</v>
      </c>
      <c r="AD408" s="2">
        <v>4.8691000000000004</v>
      </c>
      <c r="AE408" s="2">
        <v>1.8592</v>
      </c>
      <c r="AF408" s="2">
        <f t="shared" si="82"/>
        <v>3.0099000000000005</v>
      </c>
      <c r="AG408" s="2">
        <v>0.79237333333333315</v>
      </c>
      <c r="AH408" s="1">
        <f t="shared" si="83"/>
        <v>80.879257498374315</v>
      </c>
      <c r="AI408" s="1">
        <f t="shared" si="84"/>
        <v>19.120742501625685</v>
      </c>
      <c r="AJ408" s="1">
        <f t="shared" si="85"/>
        <v>0.95603712508128424</v>
      </c>
      <c r="AK408" s="8">
        <v>4.8999999999999488E-2</v>
      </c>
      <c r="AL408" s="9">
        <v>85.038167938931437</v>
      </c>
      <c r="AM408" s="10">
        <v>4.2519083969465719</v>
      </c>
      <c r="AN408" s="9">
        <v>42.519083969465719</v>
      </c>
      <c r="AO408" s="11">
        <v>4.2528608037443174</v>
      </c>
      <c r="AP408" s="2">
        <v>4.0558987500000008</v>
      </c>
      <c r="AQ408" s="2">
        <f t="shared" si="86"/>
        <v>0.216990583125</v>
      </c>
      <c r="AR408" s="2">
        <v>0.91754591589184353</v>
      </c>
      <c r="AS408" s="2">
        <v>0.19536319375165195</v>
      </c>
      <c r="AT408" s="2">
        <f t="shared" si="87"/>
        <v>1.9536319375165197E-2</v>
      </c>
      <c r="AU408" s="2">
        <f t="shared" si="88"/>
        <v>4.369789261478841E-3</v>
      </c>
      <c r="AV408" s="2">
        <f t="shared" si="89"/>
        <v>6.7076265163700205E-4</v>
      </c>
      <c r="AW408" s="3">
        <f t="shared" si="90"/>
        <v>15.35</v>
      </c>
    </row>
    <row r="409" spans="1:49" x14ac:dyDescent="0.2">
      <c r="A409" t="s">
        <v>45</v>
      </c>
      <c r="B409" s="5" t="s">
        <v>46</v>
      </c>
      <c r="C409" s="5" t="s">
        <v>459</v>
      </c>
      <c r="D409" s="5" t="s">
        <v>467</v>
      </c>
      <c r="E409">
        <v>13</v>
      </c>
      <c r="F409" s="6">
        <v>518</v>
      </c>
      <c r="G409" s="3">
        <v>1.7</v>
      </c>
      <c r="H409" s="3">
        <v>2.25</v>
      </c>
      <c r="I409" s="3">
        <v>1</v>
      </c>
      <c r="J409" s="3">
        <v>32.730000000000075</v>
      </c>
      <c r="K409" s="3">
        <v>33.730000000000075</v>
      </c>
      <c r="L409" s="3">
        <v>33.230000000000075</v>
      </c>
      <c r="M409" s="1">
        <v>0.24</v>
      </c>
      <c r="N409" s="3">
        <v>489.73000000000008</v>
      </c>
      <c r="O409" s="3">
        <v>490.73000000000008</v>
      </c>
      <c r="P409" s="3">
        <v>490.23000000000008</v>
      </c>
      <c r="Q409" s="3">
        <v>489.73000000000008</v>
      </c>
      <c r="R409" s="3">
        <v>490.73000000000008</v>
      </c>
      <c r="S409" s="3">
        <v>490.2</v>
      </c>
      <c r="T409" s="3">
        <v>490.2</v>
      </c>
      <c r="U409" s="7">
        <f t="shared" si="78"/>
        <v>0.5</v>
      </c>
      <c r="V409" s="3">
        <v>6841.32</v>
      </c>
      <c r="W409" s="3">
        <v>8087.66</v>
      </c>
      <c r="X409" s="3">
        <v>7574.2</v>
      </c>
      <c r="Y409" s="3">
        <v>7537.93</v>
      </c>
      <c r="Z409" s="3">
        <f t="shared" si="79"/>
        <v>623.17000000000007</v>
      </c>
      <c r="AA409" s="4">
        <f t="shared" si="80"/>
        <v>2.1059452454236523E-2</v>
      </c>
      <c r="AB409" s="4">
        <f t="shared" si="81"/>
        <v>1.7624914615242502E-3</v>
      </c>
      <c r="AC409">
        <v>1.1476266666666668</v>
      </c>
      <c r="AD409" s="2">
        <v>5.1074999999999999</v>
      </c>
      <c r="AE409" s="2">
        <v>1.94</v>
      </c>
      <c r="AF409" s="2">
        <f t="shared" si="82"/>
        <v>3.1675</v>
      </c>
      <c r="AG409" s="2">
        <v>0.65607333333333329</v>
      </c>
      <c r="AH409" s="1">
        <f t="shared" si="83"/>
        <v>79.98993233790307</v>
      </c>
      <c r="AI409" s="1">
        <f t="shared" si="84"/>
        <v>20.01006766209693</v>
      </c>
      <c r="AJ409" s="1">
        <f t="shared" si="85"/>
        <v>1.0005033831048464</v>
      </c>
      <c r="AK409" s="8">
        <v>3.7300000000000111E-2</v>
      </c>
      <c r="AL409" s="9">
        <v>84.340890008396258</v>
      </c>
      <c r="AM409" s="10">
        <v>4.2170445004198127</v>
      </c>
      <c r="AN409" s="9">
        <v>42.170445004198129</v>
      </c>
      <c r="AO409" s="11">
        <v>4.2180047793383295</v>
      </c>
      <c r="AP409" s="2">
        <v>3.0619906250000004</v>
      </c>
      <c r="AQ409" s="2">
        <f t="shared" si="86"/>
        <v>0.15156853593750003</v>
      </c>
      <c r="AR409" s="2">
        <v>1.2932349632302786</v>
      </c>
      <c r="AS409" s="2">
        <v>0.21426366494291052</v>
      </c>
      <c r="AT409" s="2">
        <f t="shared" si="87"/>
        <v>2.1426366494291055E-2</v>
      </c>
      <c r="AU409" s="2">
        <f t="shared" si="88"/>
        <v>4.512275464535689E-3</v>
      </c>
      <c r="AV409" s="2">
        <f t="shared" si="89"/>
        <v>6.7458518194808562E-4</v>
      </c>
      <c r="AW409" s="3">
        <f t="shared" si="90"/>
        <v>14.950000000000003</v>
      </c>
    </row>
    <row r="410" spans="1:49" x14ac:dyDescent="0.2">
      <c r="A410" t="s">
        <v>45</v>
      </c>
      <c r="B410" s="5" t="s">
        <v>46</v>
      </c>
      <c r="C410" s="5" t="s">
        <v>459</v>
      </c>
      <c r="D410" s="5" t="s">
        <v>468</v>
      </c>
      <c r="E410">
        <v>13</v>
      </c>
      <c r="F410" s="6">
        <v>519</v>
      </c>
      <c r="G410" s="3">
        <v>1.85</v>
      </c>
      <c r="H410" s="3">
        <v>2</v>
      </c>
      <c r="I410" s="3">
        <v>1</v>
      </c>
      <c r="J410" s="3">
        <v>33.969166666666752</v>
      </c>
      <c r="K410" s="3">
        <v>34.969166666666752</v>
      </c>
      <c r="L410" s="3">
        <v>34.469166666666752</v>
      </c>
      <c r="M410" s="1">
        <v>0.24</v>
      </c>
      <c r="N410" s="3">
        <v>490.96916666666675</v>
      </c>
      <c r="O410" s="3">
        <v>491.96916666666675</v>
      </c>
      <c r="P410" s="3">
        <v>491.46916666666675</v>
      </c>
      <c r="Q410" s="3">
        <v>490.96916666666675</v>
      </c>
      <c r="R410" s="3">
        <v>491.96916666666675</v>
      </c>
      <c r="S410" s="3">
        <v>491.5</v>
      </c>
      <c r="T410" s="3">
        <v>491.5</v>
      </c>
      <c r="U410" s="7">
        <f t="shared" si="78"/>
        <v>0.5</v>
      </c>
      <c r="V410" s="3">
        <v>6901.03</v>
      </c>
      <c r="W410" s="3">
        <v>8100.81</v>
      </c>
      <c r="X410" s="3">
        <v>7636.01</v>
      </c>
      <c r="Y410" s="3">
        <v>7599.66</v>
      </c>
      <c r="Z410" s="3">
        <f t="shared" si="79"/>
        <v>599.89000000000033</v>
      </c>
      <c r="AA410" s="4">
        <f t="shared" si="80"/>
        <v>2.1056325671170262E-2</v>
      </c>
      <c r="AB410" s="4">
        <f t="shared" si="81"/>
        <v>1.6835315690732699E-3</v>
      </c>
      <c r="AC410">
        <v>1.1476266666666668</v>
      </c>
      <c r="AD410" s="2">
        <v>4.3914</v>
      </c>
      <c r="AE410" s="2">
        <v>1.8037000000000001</v>
      </c>
      <c r="AF410" s="2">
        <f t="shared" si="82"/>
        <v>2.5876999999999999</v>
      </c>
      <c r="AG410" s="2">
        <v>1.2366733333333333</v>
      </c>
      <c r="AH410" s="1">
        <f t="shared" si="83"/>
        <v>79.774377987775551</v>
      </c>
      <c r="AI410" s="1">
        <f t="shared" si="84"/>
        <v>20.225622012224449</v>
      </c>
      <c r="AJ410" s="1">
        <f t="shared" si="85"/>
        <v>1.0112811006112226</v>
      </c>
      <c r="AK410" s="8">
        <v>6.7200000000000593E-2</v>
      </c>
      <c r="AL410" s="9">
        <v>76.362996834329721</v>
      </c>
      <c r="AM410" s="10">
        <v>3.8181498417164863</v>
      </c>
      <c r="AN410" s="9">
        <v>38.18149841716486</v>
      </c>
      <c r="AO410" s="11">
        <v>3.8192104175862882</v>
      </c>
      <c r="AP410" s="2">
        <v>2.9089156250000001</v>
      </c>
      <c r="AQ410" s="2">
        <f t="shared" si="86"/>
        <v>0.14108240781250003</v>
      </c>
      <c r="AR410" s="2">
        <v>1.1151142733242163</v>
      </c>
      <c r="AS410" s="2">
        <v>0.42513207420147608</v>
      </c>
      <c r="AT410" s="2">
        <f t="shared" si="87"/>
        <v>4.2513207420147608E-2</v>
      </c>
      <c r="AU410" s="2">
        <f t="shared" si="88"/>
        <v>8.9517194076464014E-3</v>
      </c>
      <c r="AV410" s="2">
        <f t="shared" si="89"/>
        <v>1.3293303320354908E-3</v>
      </c>
      <c r="AW410" s="3">
        <f t="shared" si="90"/>
        <v>14.850000000000001</v>
      </c>
    </row>
    <row r="411" spans="1:49" x14ac:dyDescent="0.2">
      <c r="A411" t="s">
        <v>45</v>
      </c>
      <c r="B411" s="5" t="s">
        <v>46</v>
      </c>
      <c r="C411" s="5" t="s">
        <v>459</v>
      </c>
      <c r="D411" s="5" t="s">
        <v>469</v>
      </c>
      <c r="E411">
        <v>13</v>
      </c>
      <c r="F411" s="6">
        <v>520</v>
      </c>
      <c r="G411" s="3">
        <v>2.1</v>
      </c>
      <c r="H411" s="3">
        <v>2.4</v>
      </c>
      <c r="I411" s="3">
        <v>1</v>
      </c>
      <c r="J411" s="3">
        <v>35.208333333333428</v>
      </c>
      <c r="K411" s="3">
        <v>36.208333333333428</v>
      </c>
      <c r="L411" s="3">
        <v>35.708333333333428</v>
      </c>
      <c r="M411" s="1">
        <v>0.24</v>
      </c>
      <c r="N411" s="3">
        <v>492.20833333333343</v>
      </c>
      <c r="O411" s="3">
        <v>493.20833333333343</v>
      </c>
      <c r="P411" s="3">
        <v>492.70833333333343</v>
      </c>
      <c r="Q411" s="3">
        <v>492.20833333333343</v>
      </c>
      <c r="R411" s="3">
        <v>493.20833333333343</v>
      </c>
      <c r="S411" s="3">
        <v>492.7</v>
      </c>
      <c r="T411" s="3">
        <v>492.7</v>
      </c>
      <c r="U411" s="7">
        <f t="shared" si="78"/>
        <v>0.5</v>
      </c>
      <c r="V411">
        <v>6939.74</v>
      </c>
      <c r="W411">
        <v>8113.35</v>
      </c>
      <c r="X411">
        <v>7691.89</v>
      </c>
      <c r="Y411">
        <v>7656.65</v>
      </c>
      <c r="Z411" s="3">
        <f t="shared" si="79"/>
        <v>586.80500000000029</v>
      </c>
      <c r="AA411" s="4">
        <f t="shared" si="80"/>
        <v>2.1059452454236214E-2</v>
      </c>
      <c r="AB411" s="4">
        <f t="shared" si="81"/>
        <v>1.6353661077825547E-3</v>
      </c>
      <c r="AC411">
        <v>1.1476266666666668</v>
      </c>
      <c r="AD411" s="2">
        <v>6.5503</v>
      </c>
      <c r="AE411" s="2">
        <v>2.3843000000000001</v>
      </c>
      <c r="AF411" s="2">
        <f t="shared" si="82"/>
        <v>4.1660000000000004</v>
      </c>
      <c r="AG411" s="2">
        <v>1.2366733333333333</v>
      </c>
      <c r="AH411" s="1">
        <f t="shared" si="83"/>
        <v>77.10997395116739</v>
      </c>
      <c r="AI411" s="1">
        <f t="shared" si="84"/>
        <v>22.89002604883261</v>
      </c>
      <c r="AJ411" s="1">
        <f t="shared" si="85"/>
        <v>1.1445013024416306</v>
      </c>
      <c r="AK411" s="8">
        <v>0.12530000000000019</v>
      </c>
      <c r="AL411" s="9">
        <v>68.620085149010734</v>
      </c>
      <c r="AM411" s="10">
        <v>3.4310042574505371</v>
      </c>
      <c r="AN411" s="9">
        <v>34.310042574505367</v>
      </c>
      <c r="AO411" s="11">
        <v>3.4321844668729145</v>
      </c>
      <c r="AP411" s="2">
        <v>3.9740625000000001</v>
      </c>
      <c r="AQ411" s="2">
        <f t="shared" si="86"/>
        <v>0.2185734375</v>
      </c>
      <c r="AR411" s="2">
        <v>1.3594837356818956</v>
      </c>
      <c r="AS411" s="2">
        <v>0.31118618122722863</v>
      </c>
      <c r="AT411" s="2">
        <f t="shared" si="87"/>
        <v>3.1118618122722864E-2</v>
      </c>
      <c r="AU411" s="2">
        <f t="shared" si="88"/>
        <v>6.5534105879701552E-3</v>
      </c>
      <c r="AV411" s="2">
        <f t="shared" si="89"/>
        <v>1.0157786411353741E-3</v>
      </c>
      <c r="AW411" s="3">
        <f t="shared" si="90"/>
        <v>15.5</v>
      </c>
    </row>
    <row r="412" spans="1:49" x14ac:dyDescent="0.2">
      <c r="A412" t="s">
        <v>45</v>
      </c>
      <c r="B412" s="5" t="s">
        <v>46</v>
      </c>
      <c r="C412" s="5" t="s">
        <v>459</v>
      </c>
      <c r="D412" s="5" t="s">
        <v>470</v>
      </c>
      <c r="E412">
        <v>13</v>
      </c>
      <c r="F412" s="6">
        <v>521</v>
      </c>
      <c r="G412" s="3">
        <v>2.2000000000000002</v>
      </c>
      <c r="H412" s="3">
        <v>2.35</v>
      </c>
      <c r="I412" s="3">
        <v>1.1000000000000001</v>
      </c>
      <c r="J412" s="3">
        <v>36.447500000000105</v>
      </c>
      <c r="K412" s="3">
        <v>37.547500000000127</v>
      </c>
      <c r="L412" s="3">
        <v>36.997500000000116</v>
      </c>
      <c r="M412" s="1">
        <v>0.24</v>
      </c>
      <c r="N412" s="3">
        <v>493.4475000000001</v>
      </c>
      <c r="O412" s="3">
        <v>494.54750000000013</v>
      </c>
      <c r="P412" s="3">
        <v>493.99750000000012</v>
      </c>
      <c r="Q412" s="3">
        <v>493.4475000000001</v>
      </c>
      <c r="R412" s="3">
        <v>494.54750000000013</v>
      </c>
      <c r="S412" s="3">
        <v>494</v>
      </c>
      <c r="T412" s="3">
        <v>494</v>
      </c>
      <c r="U412" s="7">
        <f t="shared" si="78"/>
        <v>0.55000000000001137</v>
      </c>
      <c r="V412">
        <v>6965.36</v>
      </c>
      <c r="W412">
        <v>8130.45</v>
      </c>
      <c r="X412">
        <v>7751.63</v>
      </c>
      <c r="Y412">
        <v>7718.38</v>
      </c>
      <c r="Z412" s="3">
        <f t="shared" si="79"/>
        <v>582.54500000000007</v>
      </c>
      <c r="AA412" s="4">
        <f t="shared" si="80"/>
        <v>2.1056041464204988E-2</v>
      </c>
      <c r="AB412" s="4">
        <f t="shared" si="81"/>
        <v>1.6126484258617336E-3</v>
      </c>
      <c r="AC412">
        <v>1.1476266666666668</v>
      </c>
      <c r="AD412" s="2">
        <v>6.7568999999999999</v>
      </c>
      <c r="AE412" s="2">
        <v>2.5274999999999999</v>
      </c>
      <c r="AF412" s="2">
        <f t="shared" si="82"/>
        <v>4.2294</v>
      </c>
      <c r="AG412" s="2">
        <v>1.3798733333333331</v>
      </c>
      <c r="AH412" s="1">
        <f t="shared" si="83"/>
        <v>75.400140957058014</v>
      </c>
      <c r="AI412" s="1">
        <f t="shared" si="84"/>
        <v>24.599859042941986</v>
      </c>
      <c r="AJ412" s="1">
        <f t="shared" si="85"/>
        <v>1.2299929521470994</v>
      </c>
      <c r="AK412" s="8">
        <v>0.12159999999999993</v>
      </c>
      <c r="AL412" s="9">
        <v>73.245324532453225</v>
      </c>
      <c r="AM412" s="10">
        <v>3.6622662266226613</v>
      </c>
      <c r="AN412" s="9">
        <v>36.622662266226612</v>
      </c>
      <c r="AO412" s="11">
        <v>3.6633719323406115</v>
      </c>
      <c r="AP412" s="2">
        <v>4.4691521875000015</v>
      </c>
      <c r="AQ412" s="2">
        <f t="shared" si="86"/>
        <v>0.25250709859375009</v>
      </c>
      <c r="AR412" s="2">
        <v>1.2551090448479678</v>
      </c>
      <c r="AS412" s="2">
        <v>0.30875505586781554</v>
      </c>
      <c r="AT412" s="2">
        <f t="shared" si="87"/>
        <v>3.0875505586781555E-2</v>
      </c>
      <c r="AU412" s="2">
        <f t="shared" si="88"/>
        <v>6.5011592586356514E-3</v>
      </c>
      <c r="AV412" s="2">
        <f t="shared" si="89"/>
        <v>1.0174314239764794E-3</v>
      </c>
      <c r="AW412" s="3">
        <f t="shared" si="90"/>
        <v>15.65</v>
      </c>
    </row>
    <row r="413" spans="1:49" x14ac:dyDescent="0.2">
      <c r="A413" t="s">
        <v>45</v>
      </c>
      <c r="B413" s="5" t="s">
        <v>46</v>
      </c>
      <c r="C413" s="5" t="s">
        <v>459</v>
      </c>
      <c r="D413" s="5" t="s">
        <v>471</v>
      </c>
      <c r="E413">
        <v>13</v>
      </c>
      <c r="F413" s="6">
        <v>522</v>
      </c>
      <c r="G413" s="3">
        <v>2.0499999999999998</v>
      </c>
      <c r="H413" s="3">
        <v>2.4500000000000002</v>
      </c>
      <c r="I413" s="3">
        <v>1</v>
      </c>
      <c r="J413" s="3">
        <v>37.786666666666804</v>
      </c>
      <c r="K413" s="3">
        <v>38.786666666666804</v>
      </c>
      <c r="L413" s="3">
        <v>38.286666666666804</v>
      </c>
      <c r="M413" s="1">
        <v>0.24</v>
      </c>
      <c r="N413" s="3">
        <v>494.7866666666668</v>
      </c>
      <c r="O413" s="3">
        <v>495.7866666666668</v>
      </c>
      <c r="P413" s="3">
        <v>495.2866666666668</v>
      </c>
      <c r="Q413" s="3">
        <v>494.7866666666668</v>
      </c>
      <c r="R413" s="3">
        <v>495.7866666666668</v>
      </c>
      <c r="S413" s="3">
        <v>495.3</v>
      </c>
      <c r="T413" s="3">
        <v>495.3</v>
      </c>
      <c r="U413" s="7">
        <f t="shared" si="78"/>
        <v>0.5</v>
      </c>
      <c r="V413">
        <v>6973.07</v>
      </c>
      <c r="W413">
        <v>8150.71</v>
      </c>
      <c r="X413">
        <v>7816.51</v>
      </c>
      <c r="Y413">
        <v>7780.12</v>
      </c>
      <c r="Z413" s="3">
        <f t="shared" si="79"/>
        <v>588.82000000000016</v>
      </c>
      <c r="AA413" s="4">
        <f t="shared" si="80"/>
        <v>2.1059452454236214E-2</v>
      </c>
      <c r="AB413" s="4">
        <f t="shared" si="81"/>
        <v>1.6150941913096659E-3</v>
      </c>
      <c r="AC413">
        <v>1.1476266666666668</v>
      </c>
      <c r="AD413" s="2">
        <v>5.3125999999999998</v>
      </c>
      <c r="AE413" s="2">
        <v>2.1103000000000001</v>
      </c>
      <c r="AF413" s="2">
        <f t="shared" si="82"/>
        <v>3.2022999999999997</v>
      </c>
      <c r="AG413" s="2">
        <v>0.96267333333333327</v>
      </c>
      <c r="AH413" s="1">
        <f t="shared" si="83"/>
        <v>76.886446651919343</v>
      </c>
      <c r="AI413" s="1">
        <f t="shared" si="84"/>
        <v>23.113553348080657</v>
      </c>
      <c r="AJ413" s="1">
        <f t="shared" si="85"/>
        <v>1.155677667404033</v>
      </c>
      <c r="AK413" s="8">
        <v>0.18719999999999981</v>
      </c>
      <c r="AL413" s="9">
        <v>69.321533923303861</v>
      </c>
      <c r="AM413" s="10">
        <v>3.4660766961651932</v>
      </c>
      <c r="AN413" s="9">
        <v>34.66076696165193</v>
      </c>
      <c r="AO413" s="11">
        <v>3.4672449673623325</v>
      </c>
      <c r="AP413" s="2">
        <v>3.9740625000000001</v>
      </c>
      <c r="AQ413" s="2">
        <f t="shared" si="86"/>
        <v>0.2185734375</v>
      </c>
      <c r="AR413" s="2">
        <v>1.0480392126025531</v>
      </c>
      <c r="AS413" s="2">
        <v>0.24223910251369557</v>
      </c>
      <c r="AT413" s="2">
        <f t="shared" si="87"/>
        <v>2.4223910251369558E-2</v>
      </c>
      <c r="AU413" s="2">
        <f t="shared" si="88"/>
        <v>5.1014228619440244E-3</v>
      </c>
      <c r="AV413" s="2">
        <f t="shared" si="89"/>
        <v>7.9072054360132375E-4</v>
      </c>
      <c r="AW413" s="3">
        <f t="shared" si="90"/>
        <v>15.5</v>
      </c>
    </row>
    <row r="414" spans="1:49" x14ac:dyDescent="0.2">
      <c r="A414" t="s">
        <v>45</v>
      </c>
      <c r="B414" s="5" t="s">
        <v>46</v>
      </c>
      <c r="C414" s="5" t="s">
        <v>459</v>
      </c>
      <c r="D414" s="5" t="s">
        <v>472</v>
      </c>
      <c r="E414">
        <v>13</v>
      </c>
      <c r="F414" s="6">
        <v>523</v>
      </c>
      <c r="G414" s="3">
        <v>2.0499999999999998</v>
      </c>
      <c r="H414" s="3">
        <v>2.4</v>
      </c>
      <c r="I414" s="3">
        <v>1.05</v>
      </c>
      <c r="J414" s="3">
        <v>39.02583333333348</v>
      </c>
      <c r="K414" s="3">
        <v>40.075833333333492</v>
      </c>
      <c r="L414" s="3">
        <v>39.550833333333458</v>
      </c>
      <c r="M414" s="1">
        <v>0.24</v>
      </c>
      <c r="N414" s="3">
        <v>496.02583333333348</v>
      </c>
      <c r="O414" s="3">
        <v>497.07583333333349</v>
      </c>
      <c r="P414" s="3">
        <v>496.55083333333346</v>
      </c>
      <c r="Q414" s="3">
        <v>496.02583333333348</v>
      </c>
      <c r="R414" s="3">
        <v>497.07583333333349</v>
      </c>
      <c r="S414" s="3">
        <v>496.6</v>
      </c>
      <c r="T414" s="3">
        <v>496.6</v>
      </c>
      <c r="U414" s="7">
        <f t="shared" si="78"/>
        <v>0.52500000000000568</v>
      </c>
      <c r="V414">
        <v>6993.59</v>
      </c>
      <c r="W414">
        <v>8170.97</v>
      </c>
      <c r="X414">
        <v>7885.83</v>
      </c>
      <c r="Y414">
        <v>7841.85</v>
      </c>
      <c r="Z414" s="3">
        <f t="shared" si="79"/>
        <v>588.69000000000005</v>
      </c>
      <c r="AA414" s="4">
        <f t="shared" si="80"/>
        <v>2.1059452454235603E-2</v>
      </c>
      <c r="AB414" s="4">
        <f t="shared" si="81"/>
        <v>1.6032031465372926E-3</v>
      </c>
      <c r="AC414">
        <v>1.1476266666666668</v>
      </c>
      <c r="AD414" s="2">
        <v>5.7199</v>
      </c>
      <c r="AE414" s="2">
        <v>2.1221000000000001</v>
      </c>
      <c r="AF414" s="2">
        <f t="shared" si="82"/>
        <v>3.5977999999999999</v>
      </c>
      <c r="AG414" s="2">
        <v>0.9744733333333333</v>
      </c>
      <c r="AH414" s="1">
        <f t="shared" si="83"/>
        <v>78.687334236360911</v>
      </c>
      <c r="AI414" s="1">
        <f t="shared" si="84"/>
        <v>21.312665763639089</v>
      </c>
      <c r="AJ414" s="1">
        <f t="shared" si="85"/>
        <v>1.0656332881819546</v>
      </c>
      <c r="AK414" s="8">
        <v>9.0199999999999392E-2</v>
      </c>
      <c r="AL414" s="9">
        <v>78.574821852731702</v>
      </c>
      <c r="AM414" s="10">
        <v>3.9287410926365851</v>
      </c>
      <c r="AN414" s="9">
        <v>39.287410926365851</v>
      </c>
      <c r="AO414" s="11">
        <v>3.9297718219982327</v>
      </c>
      <c r="AP414" s="2">
        <v>4.0805526562499992</v>
      </c>
      <c r="AQ414" s="2">
        <f t="shared" si="86"/>
        <v>0.22443039609374996</v>
      </c>
      <c r="AR414" s="2">
        <v>1.1205034510044094</v>
      </c>
      <c r="AS414" s="2">
        <v>0.2388091553826113</v>
      </c>
      <c r="AT414" s="2">
        <f t="shared" si="87"/>
        <v>2.3880915538261133E-2</v>
      </c>
      <c r="AU414" s="2">
        <f t="shared" si="88"/>
        <v>5.0291900534162647E-3</v>
      </c>
      <c r="AV414" s="2">
        <f t="shared" si="89"/>
        <v>7.7952445827952107E-4</v>
      </c>
      <c r="AW414" s="3">
        <f t="shared" si="90"/>
        <v>15.5</v>
      </c>
    </row>
    <row r="415" spans="1:49" x14ac:dyDescent="0.2">
      <c r="A415" t="s">
        <v>45</v>
      </c>
      <c r="B415" s="5" t="s">
        <v>46</v>
      </c>
      <c r="C415" s="5" t="s">
        <v>459</v>
      </c>
      <c r="D415" s="5" t="s">
        <v>473</v>
      </c>
      <c r="E415">
        <v>13</v>
      </c>
      <c r="F415" s="6">
        <v>524</v>
      </c>
      <c r="G415" s="3">
        <v>2.15</v>
      </c>
      <c r="H415" s="3">
        <v>2.5</v>
      </c>
      <c r="I415" s="3">
        <v>1.1000000000000001</v>
      </c>
      <c r="J415" s="3">
        <v>40.315000000000168</v>
      </c>
      <c r="K415" s="3">
        <v>41.415000000000191</v>
      </c>
      <c r="L415" s="3">
        <v>40.86500000000018</v>
      </c>
      <c r="M415" s="1">
        <v>0.24</v>
      </c>
      <c r="N415" s="3">
        <v>497.31500000000017</v>
      </c>
      <c r="O415" s="3">
        <v>498.41500000000019</v>
      </c>
      <c r="P415" s="3">
        <v>497.86500000000018</v>
      </c>
      <c r="Q415" s="3">
        <v>497.31500000000017</v>
      </c>
      <c r="R415" s="3">
        <v>498.41500000000019</v>
      </c>
      <c r="S415" s="3">
        <v>497.9</v>
      </c>
      <c r="T415" s="3">
        <v>497.9</v>
      </c>
      <c r="U415" s="7">
        <f t="shared" si="78"/>
        <v>0.55000000000001137</v>
      </c>
      <c r="V415">
        <v>7007.16</v>
      </c>
      <c r="W415">
        <v>8196.0300000000007</v>
      </c>
      <c r="X415">
        <v>7959.69</v>
      </c>
      <c r="Y415">
        <v>7903.58</v>
      </c>
      <c r="Z415" s="3">
        <f t="shared" si="79"/>
        <v>594.4350000000004</v>
      </c>
      <c r="AA415" s="4">
        <f t="shared" si="80"/>
        <v>2.1056041464204988E-2</v>
      </c>
      <c r="AB415" s="4">
        <f t="shared" si="81"/>
        <v>1.6069021913166582E-3</v>
      </c>
      <c r="AC415">
        <v>1.1476266666666668</v>
      </c>
      <c r="AD415" s="2">
        <v>6.7790999999999997</v>
      </c>
      <c r="AE415" s="2">
        <v>2.2831999999999999</v>
      </c>
      <c r="AF415" s="2">
        <f t="shared" si="82"/>
        <v>4.4958999999999998</v>
      </c>
      <c r="AG415" s="2">
        <v>1.1355733333333331</v>
      </c>
      <c r="AH415" s="1">
        <f t="shared" si="83"/>
        <v>79.835235539308243</v>
      </c>
      <c r="AI415" s="1">
        <f t="shared" si="84"/>
        <v>20.164764460691757</v>
      </c>
      <c r="AJ415" s="1">
        <f t="shared" si="85"/>
        <v>1.0082382230345879</v>
      </c>
      <c r="AK415" s="8">
        <v>0.10160000000000036</v>
      </c>
      <c r="AL415" s="9">
        <v>75.629647397457347</v>
      </c>
      <c r="AM415" s="10">
        <v>3.7814823698728675</v>
      </c>
      <c r="AN415" s="9">
        <v>37.814823698728674</v>
      </c>
      <c r="AO415" s="11">
        <v>3.7825532268111335</v>
      </c>
      <c r="AP415" s="2">
        <v>4.6677571875000012</v>
      </c>
      <c r="AQ415" s="2">
        <f t="shared" si="86"/>
        <v>0.26839603828125008</v>
      </c>
      <c r="AR415" s="2">
        <v>1.2064623559284771</v>
      </c>
      <c r="AS415" s="2">
        <v>0.24328029237988996</v>
      </c>
      <c r="AT415" s="2">
        <f t="shared" si="87"/>
        <v>2.4328029237988998E-2</v>
      </c>
      <c r="AU415" s="2">
        <f t="shared" si="88"/>
        <v>5.1225199237748759E-3</v>
      </c>
      <c r="AV415" s="2">
        <f t="shared" si="89"/>
        <v>8.0679688799454295E-4</v>
      </c>
      <c r="AW415" s="3">
        <f t="shared" si="90"/>
        <v>15.75</v>
      </c>
    </row>
    <row r="416" spans="1:49" x14ac:dyDescent="0.2">
      <c r="A416" t="s">
        <v>45</v>
      </c>
      <c r="B416" s="5" t="s">
        <v>46</v>
      </c>
      <c r="C416" s="5" t="s">
        <v>459</v>
      </c>
      <c r="D416" s="5" t="s">
        <v>474</v>
      </c>
      <c r="E416">
        <v>13</v>
      </c>
      <c r="F416" s="6">
        <v>525</v>
      </c>
      <c r="G416" s="3">
        <v>1.95</v>
      </c>
      <c r="H416" s="3">
        <v>2.1</v>
      </c>
      <c r="I416" s="3">
        <v>1</v>
      </c>
      <c r="J416" s="3">
        <v>41.654166666666868</v>
      </c>
      <c r="K416" s="3">
        <v>42.654166666666868</v>
      </c>
      <c r="L416" s="3">
        <v>42.154166666666868</v>
      </c>
      <c r="M416" s="1">
        <v>0.24</v>
      </c>
      <c r="N416" s="3">
        <v>498.65416666666687</v>
      </c>
      <c r="O416" s="3">
        <v>499.65416666666687</v>
      </c>
      <c r="P416" s="3">
        <v>499.15416666666687</v>
      </c>
      <c r="Q416" s="3">
        <v>498.65416666666687</v>
      </c>
      <c r="R416" s="3">
        <v>499.65416666666687</v>
      </c>
      <c r="S416" s="3">
        <v>499.2</v>
      </c>
      <c r="T416" s="3">
        <v>499.2</v>
      </c>
      <c r="U416" s="7">
        <f t="shared" si="78"/>
        <v>0.5</v>
      </c>
      <c r="V416">
        <v>7037.79</v>
      </c>
      <c r="W416">
        <v>8242.98</v>
      </c>
      <c r="X416">
        <v>8027.53</v>
      </c>
      <c r="Y416">
        <v>7965.32</v>
      </c>
      <c r="Z416" s="3">
        <f t="shared" si="79"/>
        <v>602.5949999999998</v>
      </c>
      <c r="AA416" s="4">
        <f t="shared" si="80"/>
        <v>2.5968405107119404E-2</v>
      </c>
      <c r="AB416" s="4">
        <f t="shared" si="81"/>
        <v>1.9905803178176147E-3</v>
      </c>
      <c r="AC416">
        <v>1.1476266666666668</v>
      </c>
      <c r="AD416" s="2">
        <v>6.0125000000000002</v>
      </c>
      <c r="AE416" s="2">
        <v>2.4638</v>
      </c>
      <c r="AF416" s="2">
        <f t="shared" si="82"/>
        <v>3.5487000000000002</v>
      </c>
      <c r="AG416" s="2">
        <v>1.3161733333333332</v>
      </c>
      <c r="AH416" s="1">
        <f t="shared" si="83"/>
        <v>72.945373021017332</v>
      </c>
      <c r="AI416" s="1">
        <f t="shared" si="84"/>
        <v>27.054626978982668</v>
      </c>
      <c r="AJ416" s="1">
        <f t="shared" si="85"/>
        <v>1.3527313489491335</v>
      </c>
      <c r="AK416" s="8">
        <v>0.24080000000000013</v>
      </c>
      <c r="AL416" s="9">
        <v>58.745931129004624</v>
      </c>
      <c r="AM416" s="10">
        <v>2.9372965564502316</v>
      </c>
      <c r="AN416" s="9">
        <v>29.372965564502312</v>
      </c>
      <c r="AO416" s="11">
        <v>2.9386750518787186</v>
      </c>
      <c r="AP416" s="2">
        <v>3.218990625</v>
      </c>
      <c r="AQ416" s="2">
        <f t="shared" si="86"/>
        <v>0.16255902656250001</v>
      </c>
      <c r="AR416" s="2">
        <v>1.511303976951885</v>
      </c>
      <c r="AS416" s="2">
        <v>0.40887765348286259</v>
      </c>
      <c r="AT416" s="2">
        <f t="shared" si="87"/>
        <v>4.088776534828626E-2</v>
      </c>
      <c r="AU416" s="2">
        <f t="shared" si="88"/>
        <v>1.0617900544891366E-2</v>
      </c>
      <c r="AV416" s="2">
        <f t="shared" si="89"/>
        <v>1.5979940320061509E-3</v>
      </c>
      <c r="AW416" s="3">
        <f t="shared" si="90"/>
        <v>15.050000000000002</v>
      </c>
    </row>
    <row r="417" spans="1:49" x14ac:dyDescent="0.2">
      <c r="A417" t="s">
        <v>45</v>
      </c>
      <c r="B417" s="5" t="s">
        <v>46</v>
      </c>
      <c r="C417" s="5" t="s">
        <v>459</v>
      </c>
      <c r="D417" s="5" t="s">
        <v>475</v>
      </c>
      <c r="E417">
        <v>13</v>
      </c>
      <c r="F417" s="6">
        <v>526</v>
      </c>
      <c r="G417" s="3">
        <v>2.5</v>
      </c>
      <c r="H417" s="3">
        <v>2.1</v>
      </c>
      <c r="I417" s="3">
        <v>1.1000000000000001</v>
      </c>
      <c r="J417" s="3">
        <v>42.893333333333544</v>
      </c>
      <c r="K417" s="3">
        <v>43.993333333333567</v>
      </c>
      <c r="L417" s="3">
        <v>43.443333333333555</v>
      </c>
      <c r="M417" s="1">
        <v>0.24</v>
      </c>
      <c r="N417" s="3">
        <v>499.89333333333354</v>
      </c>
      <c r="O417" s="3">
        <v>500.99333333333357</v>
      </c>
      <c r="P417" s="3">
        <v>500.44333333333356</v>
      </c>
      <c r="Q417" s="3">
        <v>499.89333333333354</v>
      </c>
      <c r="R417" s="3">
        <v>500.99333333333357</v>
      </c>
      <c r="S417" s="3">
        <v>500.4</v>
      </c>
      <c r="T417" s="3">
        <v>500.4</v>
      </c>
      <c r="U417" s="7">
        <f t="shared" si="78"/>
        <v>0.55000000000001137</v>
      </c>
      <c r="V417">
        <v>7050.12</v>
      </c>
      <c r="W417">
        <v>8289.2900000000009</v>
      </c>
      <c r="X417">
        <v>8074.23</v>
      </c>
      <c r="Y417">
        <v>8011.53</v>
      </c>
      <c r="Z417" s="3">
        <f t="shared" si="79"/>
        <v>619.58500000000049</v>
      </c>
      <c r="AA417" s="4">
        <f t="shared" si="80"/>
        <v>4.8678720445063405E-2</v>
      </c>
      <c r="AB417" s="4">
        <f t="shared" si="81"/>
        <v>3.8181536137680467E-3</v>
      </c>
      <c r="AC417">
        <v>1.1476266666666668</v>
      </c>
      <c r="AD417" s="2">
        <v>6.7144000000000004</v>
      </c>
      <c r="AE417" s="2">
        <v>2.5737999999999999</v>
      </c>
      <c r="AF417" s="2">
        <f t="shared" si="82"/>
        <v>4.1406000000000009</v>
      </c>
      <c r="AG417" s="2">
        <v>1.4261733333333331</v>
      </c>
      <c r="AH417" s="1">
        <f t="shared" si="83"/>
        <v>74.380610670933265</v>
      </c>
      <c r="AI417" s="1">
        <f t="shared" si="84"/>
        <v>25.619389329066735</v>
      </c>
      <c r="AJ417" s="1">
        <f t="shared" si="85"/>
        <v>1.2809694664533369</v>
      </c>
      <c r="AK417" s="8">
        <v>0.3465000000000007</v>
      </c>
      <c r="AL417" s="9">
        <v>40.453686200377959</v>
      </c>
      <c r="AM417" s="10">
        <v>2.022684310018898</v>
      </c>
      <c r="AN417" s="9">
        <v>20.226843100188979</v>
      </c>
      <c r="AO417" s="11">
        <v>2.0246856096679862</v>
      </c>
      <c r="AP417" s="2">
        <v>4.5679150000000002</v>
      </c>
      <c r="AQ417" s="2">
        <f t="shared" si="86"/>
        <v>0.26037115500000002</v>
      </c>
      <c r="AR417" s="2">
        <v>1.2186683275265267</v>
      </c>
      <c r="AS417" s="2">
        <v>0.31221538345904709</v>
      </c>
      <c r="AT417" s="2">
        <f t="shared" si="87"/>
        <v>3.1221538345904711E-2</v>
      </c>
      <c r="AU417" s="2">
        <f t="shared" si="88"/>
        <v>1.5198245370051227E-2</v>
      </c>
      <c r="AV417" s="2">
        <f t="shared" si="89"/>
        <v>2.3861245230980426E-3</v>
      </c>
      <c r="AW417" s="3">
        <f t="shared" si="90"/>
        <v>15.7</v>
      </c>
    </row>
    <row r="418" spans="1:49" x14ac:dyDescent="0.2">
      <c r="A418" t="s">
        <v>45</v>
      </c>
      <c r="B418" s="5" t="s">
        <v>46</v>
      </c>
      <c r="C418" s="5" t="s">
        <v>459</v>
      </c>
      <c r="D418" s="5" t="s">
        <v>476</v>
      </c>
      <c r="E418">
        <v>13</v>
      </c>
      <c r="F418" s="6">
        <v>527</v>
      </c>
      <c r="G418" s="3">
        <v>1.95</v>
      </c>
      <c r="H418" s="3">
        <v>2.4</v>
      </c>
      <c r="I418" s="3">
        <v>1.05</v>
      </c>
      <c r="J418" s="3">
        <v>44.232500000000243</v>
      </c>
      <c r="K418" s="3">
        <v>45.282500000000255</v>
      </c>
      <c r="L418" s="3">
        <v>44.757500000000277</v>
      </c>
      <c r="M418" s="1">
        <v>0.24</v>
      </c>
      <c r="N418" s="3">
        <v>501.23250000000024</v>
      </c>
      <c r="O418" s="3">
        <v>502.28250000000025</v>
      </c>
      <c r="P418" s="3">
        <v>501.75750000000028</v>
      </c>
      <c r="Q418" s="3">
        <v>501.23250000000024</v>
      </c>
      <c r="R418" s="3">
        <v>502.28250000000025</v>
      </c>
      <c r="S418" s="3">
        <v>501.8</v>
      </c>
      <c r="T418" s="3">
        <v>501.8</v>
      </c>
      <c r="U418" s="7">
        <f t="shared" si="78"/>
        <v>0.52500000000000568</v>
      </c>
      <c r="V418">
        <v>7072.17</v>
      </c>
      <c r="W418">
        <v>8297.51</v>
      </c>
      <c r="X418">
        <v>8106.56</v>
      </c>
      <c r="Y418">
        <v>8040.29</v>
      </c>
      <c r="Z418" s="3">
        <f t="shared" si="79"/>
        <v>612.67000000000007</v>
      </c>
      <c r="AA418" s="4">
        <f t="shared" si="80"/>
        <v>4.8670909771621473E-2</v>
      </c>
      <c r="AB418" s="4">
        <f t="shared" si="81"/>
        <v>3.7596438705258016E-3</v>
      </c>
      <c r="AC418">
        <v>1.1476266666666668</v>
      </c>
      <c r="AD418" s="2">
        <v>5.5811999999999999</v>
      </c>
      <c r="AE418" s="2">
        <v>2.1846999999999999</v>
      </c>
      <c r="AF418" s="2">
        <f t="shared" si="82"/>
        <v>3.3965000000000001</v>
      </c>
      <c r="AG418" s="2">
        <v>1.0370733333333331</v>
      </c>
      <c r="AH418" s="1">
        <f t="shared" si="83"/>
        <v>76.60863472052641</v>
      </c>
      <c r="AI418" s="1">
        <f t="shared" si="84"/>
        <v>23.39136527947359</v>
      </c>
      <c r="AJ418" s="1">
        <f t="shared" si="85"/>
        <v>1.1695682639736795</v>
      </c>
      <c r="AK418" s="8">
        <v>0.1474000000000002</v>
      </c>
      <c r="AL418" s="9">
        <v>69.355509355509298</v>
      </c>
      <c r="AM418" s="10">
        <v>3.4677754677754651</v>
      </c>
      <c r="AN418" s="9">
        <v>34.677754677754649</v>
      </c>
      <c r="AO418" s="11">
        <v>3.468943166860095</v>
      </c>
      <c r="AP418" s="2">
        <v>3.8992176562499994</v>
      </c>
      <c r="AQ418" s="2">
        <f t="shared" si="86"/>
        <v>0.21055775343749997</v>
      </c>
      <c r="AR418" s="2">
        <v>1.137041766885422</v>
      </c>
      <c r="AS418" s="2">
        <v>0.26596959307234957</v>
      </c>
      <c r="AT418" s="2">
        <f t="shared" si="87"/>
        <v>2.659695930723496E-2</v>
      </c>
      <c r="AU418" s="2">
        <f t="shared" si="88"/>
        <v>1.2944982066419206E-2</v>
      </c>
      <c r="AV418" s="2">
        <f t="shared" si="89"/>
        <v>1.9935272382285577E-3</v>
      </c>
      <c r="AW418" s="3">
        <f t="shared" si="90"/>
        <v>15.4</v>
      </c>
    </row>
    <row r="419" spans="1:49" x14ac:dyDescent="0.2">
      <c r="A419" t="s">
        <v>45</v>
      </c>
      <c r="B419" s="5" t="s">
        <v>46</v>
      </c>
      <c r="C419" s="5" t="s">
        <v>459</v>
      </c>
      <c r="D419" s="5" t="s">
        <v>477</v>
      </c>
      <c r="E419">
        <v>13</v>
      </c>
      <c r="F419" s="6">
        <v>528</v>
      </c>
      <c r="G419" s="3">
        <v>2.15</v>
      </c>
      <c r="H419" s="3">
        <v>2.2000000000000002</v>
      </c>
      <c r="I419" s="3">
        <v>1.1000000000000001</v>
      </c>
      <c r="J419" s="3">
        <v>45.521666666666931</v>
      </c>
      <c r="K419" s="3">
        <v>46.621666666666954</v>
      </c>
      <c r="L419" s="3">
        <v>46.071666666666943</v>
      </c>
      <c r="M419" s="1">
        <v>0.24</v>
      </c>
      <c r="N419" s="3">
        <v>502.52166666666693</v>
      </c>
      <c r="O419" s="3">
        <v>503.62166666666695</v>
      </c>
      <c r="P419" s="3">
        <v>503.07166666666694</v>
      </c>
      <c r="Q419" s="3">
        <v>502.52166666666693</v>
      </c>
      <c r="R419" s="3">
        <v>503.62166666666695</v>
      </c>
      <c r="S419" s="3">
        <v>503.1</v>
      </c>
      <c r="T419" s="3">
        <v>503.1</v>
      </c>
      <c r="U419" s="7">
        <f t="shared" si="78"/>
        <v>0.55000000000001137</v>
      </c>
      <c r="V419">
        <v>7091.04</v>
      </c>
      <c r="W419">
        <v>8308.2800000000007</v>
      </c>
      <c r="X419">
        <v>8137.82</v>
      </c>
      <c r="Y419">
        <v>8067</v>
      </c>
      <c r="Z419" s="3">
        <f t="shared" si="79"/>
        <v>608.62000000000035</v>
      </c>
      <c r="AA419" s="4">
        <f t="shared" si="80"/>
        <v>4.8678720445061427E-2</v>
      </c>
      <c r="AB419" s="4">
        <f t="shared" si="81"/>
        <v>3.7258140011016544E-3</v>
      </c>
      <c r="AC419">
        <v>1.1476266666666668</v>
      </c>
      <c r="AD419" s="2">
        <v>6.1501999999999999</v>
      </c>
      <c r="AE419" s="2">
        <v>2.2280000000000002</v>
      </c>
      <c r="AF419" s="2">
        <f t="shared" si="82"/>
        <v>3.9221999999999997</v>
      </c>
      <c r="AG419" s="2">
        <v>1.0803733333333334</v>
      </c>
      <c r="AH419" s="1">
        <f t="shared" si="83"/>
        <v>78.403648255697732</v>
      </c>
      <c r="AI419" s="1">
        <f t="shared" si="84"/>
        <v>21.596351744302268</v>
      </c>
      <c r="AJ419" s="1">
        <f t="shared" si="85"/>
        <v>1.0798175872151135</v>
      </c>
      <c r="AK419" s="8">
        <v>0.14120000000000044</v>
      </c>
      <c r="AL419" s="9">
        <v>73.508442776735393</v>
      </c>
      <c r="AM419" s="10">
        <v>3.6754221388367698</v>
      </c>
      <c r="AN419" s="9">
        <v>36.754221388367696</v>
      </c>
      <c r="AO419" s="11">
        <v>3.6765238879478881</v>
      </c>
      <c r="AP419" s="2">
        <v>4.0848946874999994</v>
      </c>
      <c r="AQ419" s="2">
        <f t="shared" si="86"/>
        <v>0.22262676046874996</v>
      </c>
      <c r="AR419" s="2">
        <v>1.2246517269200308</v>
      </c>
      <c r="AS419" s="2">
        <v>0.26448009458832189</v>
      </c>
      <c r="AT419" s="2">
        <f t="shared" si="87"/>
        <v>2.6448009458832189E-2</v>
      </c>
      <c r="AU419" s="2">
        <f t="shared" si="88"/>
        <v>1.2874552587748325E-2</v>
      </c>
      <c r="AV419" s="2">
        <f t="shared" si="89"/>
        <v>1.9891183748071161E-3</v>
      </c>
      <c r="AW419" s="3">
        <f t="shared" si="90"/>
        <v>15.45</v>
      </c>
    </row>
    <row r="420" spans="1:49" x14ac:dyDescent="0.2">
      <c r="A420" t="s">
        <v>45</v>
      </c>
      <c r="B420" s="5" t="s">
        <v>46</v>
      </c>
      <c r="C420" s="5" t="s">
        <v>459</v>
      </c>
      <c r="D420" s="5" t="s">
        <v>478</v>
      </c>
      <c r="E420">
        <v>13</v>
      </c>
      <c r="F420" s="6">
        <v>529</v>
      </c>
      <c r="G420" s="3">
        <v>1.7</v>
      </c>
      <c r="H420" s="3">
        <v>1.7</v>
      </c>
      <c r="I420" s="3">
        <v>1.2</v>
      </c>
      <c r="J420" s="3">
        <v>46.86083333333363</v>
      </c>
      <c r="K420" s="3">
        <v>48.060833333333619</v>
      </c>
      <c r="L420" s="3">
        <v>47.460833333333653</v>
      </c>
      <c r="M420" s="1">
        <v>0.24</v>
      </c>
      <c r="N420" s="3">
        <v>503.86083333333363</v>
      </c>
      <c r="O420" s="3">
        <v>505.06083333333362</v>
      </c>
      <c r="P420" s="3">
        <v>504.46083333333365</v>
      </c>
      <c r="Q420" s="3">
        <v>503.86083333333363</v>
      </c>
      <c r="R420" s="3">
        <v>505.06083333333362</v>
      </c>
      <c r="S420" s="3">
        <v>504.5</v>
      </c>
      <c r="T420" s="3">
        <v>504.5</v>
      </c>
      <c r="U420" s="7">
        <f t="shared" si="78"/>
        <v>0.59999999999999432</v>
      </c>
      <c r="V420">
        <v>7102.84</v>
      </c>
      <c r="W420">
        <v>8319.73</v>
      </c>
      <c r="X420">
        <v>8170.77</v>
      </c>
      <c r="Y420">
        <v>8095.76</v>
      </c>
      <c r="Z420" s="3">
        <f t="shared" si="79"/>
        <v>608.44499999999971</v>
      </c>
      <c r="AA420" s="4">
        <f t="shared" si="80"/>
        <v>4.8668766103636379E-2</v>
      </c>
      <c r="AB420" s="4">
        <f t="shared" si="81"/>
        <v>3.7156317396986726E-3</v>
      </c>
      <c r="AC420">
        <v>1.1476266666666668</v>
      </c>
      <c r="AD420" s="2">
        <v>3.5520999999999998</v>
      </c>
      <c r="AE420" s="2">
        <v>1.5865</v>
      </c>
      <c r="AF420" s="2">
        <f t="shared" si="82"/>
        <v>1.9655999999999998</v>
      </c>
      <c r="AG420" s="2">
        <v>0.43887333333333323</v>
      </c>
      <c r="AH420" s="1">
        <f t="shared" si="83"/>
        <v>81.747631497957968</v>
      </c>
      <c r="AI420" s="1">
        <f t="shared" si="84"/>
        <v>18.252368502042032</v>
      </c>
      <c r="AJ420" s="1">
        <f t="shared" si="85"/>
        <v>0.91261842510210167</v>
      </c>
      <c r="AK420" s="8">
        <v>9.6699999999999342E-2</v>
      </c>
      <c r="AL420" s="9">
        <v>73.153803442532094</v>
      </c>
      <c r="AM420" s="10">
        <v>3.6576901721266051</v>
      </c>
      <c r="AN420" s="9">
        <v>36.576901721266047</v>
      </c>
      <c r="AO420" s="11">
        <v>3.6587972607499797</v>
      </c>
      <c r="AP420" s="2">
        <v>2.7223799999999998</v>
      </c>
      <c r="AQ420" s="2">
        <f t="shared" si="86"/>
        <v>0.12522947999999998</v>
      </c>
      <c r="AR420" s="2">
        <v>0.8832247273831475</v>
      </c>
      <c r="AS420" s="2">
        <v>0.16120943194312817</v>
      </c>
      <c r="AT420" s="2">
        <f t="shared" si="87"/>
        <v>1.6120943194312818E-2</v>
      </c>
      <c r="AU420" s="2">
        <f t="shared" si="88"/>
        <v>7.8458641369401928E-3</v>
      </c>
      <c r="AV420" s="2">
        <f t="shared" si="89"/>
        <v>1.1454961639932682E-3</v>
      </c>
      <c r="AW420" s="3">
        <f t="shared" si="90"/>
        <v>14.6</v>
      </c>
    </row>
    <row r="421" spans="1:49" x14ac:dyDescent="0.2">
      <c r="A421" t="s">
        <v>45</v>
      </c>
      <c r="B421" s="5" t="s">
        <v>46</v>
      </c>
      <c r="C421" s="5" t="s">
        <v>459</v>
      </c>
      <c r="D421" s="5" t="s">
        <v>479</v>
      </c>
      <c r="E421">
        <v>13</v>
      </c>
      <c r="F421" s="6">
        <v>530</v>
      </c>
      <c r="G421" s="3">
        <v>2.1</v>
      </c>
      <c r="H421" s="3">
        <v>1.75</v>
      </c>
      <c r="I421" s="3">
        <v>1.7</v>
      </c>
      <c r="J421" s="3">
        <v>48.300000000000296</v>
      </c>
      <c r="K421" s="3">
        <v>50.000000000000284</v>
      </c>
      <c r="L421" s="3">
        <v>49.150000000000318</v>
      </c>
      <c r="M421" s="1">
        <v>0.24</v>
      </c>
      <c r="N421" s="3">
        <v>505.3000000000003</v>
      </c>
      <c r="O421" s="3">
        <v>507.00000000000028</v>
      </c>
      <c r="P421" s="3">
        <v>506.15000000000032</v>
      </c>
      <c r="Q421" s="3">
        <v>505.3000000000003</v>
      </c>
      <c r="R421" s="3">
        <v>507.00000000000028</v>
      </c>
      <c r="S421" s="3">
        <v>506.2</v>
      </c>
      <c r="T421" s="3">
        <v>506.2</v>
      </c>
      <c r="U421" s="7">
        <f t="shared" si="78"/>
        <v>0.84999999999999432</v>
      </c>
      <c r="V421">
        <v>7123.09</v>
      </c>
      <c r="W421">
        <v>8342.6299999999992</v>
      </c>
      <c r="X421">
        <v>8204.58</v>
      </c>
      <c r="Y421">
        <v>8130.69</v>
      </c>
      <c r="Z421" s="3">
        <f t="shared" si="79"/>
        <v>609.76999999999953</v>
      </c>
      <c r="AA421" s="4">
        <f t="shared" si="80"/>
        <v>6.170640101717334E-2</v>
      </c>
      <c r="AB421" s="4">
        <f t="shared" si="81"/>
        <v>4.731355158204659E-3</v>
      </c>
      <c r="AC421">
        <v>1.1476266666666668</v>
      </c>
      <c r="AD421" s="2">
        <v>7.0183</v>
      </c>
      <c r="AE421" s="2">
        <v>2.2090000000000001</v>
      </c>
      <c r="AF421" s="2">
        <f t="shared" si="82"/>
        <v>4.8093000000000004</v>
      </c>
      <c r="AG421" s="2">
        <v>1.0613733333333333</v>
      </c>
      <c r="AH421" s="1">
        <f t="shared" si="83"/>
        <v>81.920756392509205</v>
      </c>
      <c r="AI421" s="1">
        <f t="shared" si="84"/>
        <v>18.079243607490795</v>
      </c>
      <c r="AJ421" s="1">
        <f t="shared" si="85"/>
        <v>0.90396218037453979</v>
      </c>
      <c r="AK421" s="8">
        <v>0.14090000000000025</v>
      </c>
      <c r="AL421" s="9">
        <v>72.437402190923251</v>
      </c>
      <c r="AM421" s="10">
        <v>3.6218701095461627</v>
      </c>
      <c r="AN421" s="9">
        <v>36.218701095461626</v>
      </c>
      <c r="AO421" s="11">
        <v>3.6229881438425844</v>
      </c>
      <c r="AP421" s="2">
        <v>4.9451565625000002</v>
      </c>
      <c r="AQ421" s="2">
        <f t="shared" si="86"/>
        <v>0.27445618921875004</v>
      </c>
      <c r="AR421" s="2">
        <v>1.1871562121716612</v>
      </c>
      <c r="AS421" s="2">
        <v>0.21462886359997491</v>
      </c>
      <c r="AT421" s="2">
        <f t="shared" si="87"/>
        <v>2.1462886359997491E-2</v>
      </c>
      <c r="AU421" s="2">
        <f t="shared" si="88"/>
        <v>1.3243974727160249E-2</v>
      </c>
      <c r="AV421" s="2">
        <f t="shared" si="89"/>
        <v>2.0594380700734191E-3</v>
      </c>
      <c r="AW421" s="3">
        <f t="shared" si="90"/>
        <v>15.550000000000002</v>
      </c>
    </row>
    <row r="422" spans="1:49" s="5" customFormat="1" x14ac:dyDescent="0.2">
      <c r="A422" s="5" t="s">
        <v>480</v>
      </c>
      <c r="B422" s="5" t="s">
        <v>481</v>
      </c>
      <c r="C422" s="5" t="s">
        <v>482</v>
      </c>
      <c r="D422" s="5" t="s">
        <v>483</v>
      </c>
      <c r="E422" s="13" t="s">
        <v>484</v>
      </c>
      <c r="F422" s="5">
        <v>1</v>
      </c>
      <c r="G422" s="14">
        <v>2.1</v>
      </c>
      <c r="H422" s="14">
        <v>1.5</v>
      </c>
      <c r="I422" s="14">
        <v>1</v>
      </c>
      <c r="J422">
        <v>0</v>
      </c>
      <c r="K422">
        <v>1</v>
      </c>
      <c r="L422">
        <v>0.5</v>
      </c>
      <c r="M422">
        <v>0.21</v>
      </c>
      <c r="N422" s="14">
        <v>0</v>
      </c>
      <c r="O422" s="14">
        <v>1</v>
      </c>
      <c r="P422" s="14">
        <v>0.5</v>
      </c>
      <c r="Q422" s="14">
        <v>0</v>
      </c>
      <c r="R422" s="14">
        <v>1</v>
      </c>
      <c r="S422" s="14">
        <v>0.5</v>
      </c>
      <c r="T422" s="3">
        <v>0.5</v>
      </c>
      <c r="U422" s="3">
        <v>0.5</v>
      </c>
      <c r="V422" s="3">
        <v>-67.08</v>
      </c>
      <c r="W422" s="3">
        <v>-60.66</v>
      </c>
      <c r="X422" s="3">
        <v>-64.819999999999993</v>
      </c>
      <c r="Y422" s="3">
        <v>-64.569999999999993</v>
      </c>
      <c r="Z422" s="3">
        <v>3.21</v>
      </c>
      <c r="AA422" s="4">
        <v>0.40970000000000001</v>
      </c>
      <c r="AB422" s="4">
        <v>0.389332383</v>
      </c>
      <c r="AC422">
        <v>1.1476266666666668</v>
      </c>
      <c r="AD422" s="15">
        <v>4.1760999999999999</v>
      </c>
      <c r="AE422" s="15">
        <v>1.8574999999999999</v>
      </c>
      <c r="AF422" s="15">
        <f>AD422-AE422</f>
        <v>2.3186</v>
      </c>
      <c r="AG422" s="15">
        <v>0.70987333333333313</v>
      </c>
      <c r="AH422" s="15">
        <v>76.560026944268898</v>
      </c>
      <c r="AI422" s="2">
        <v>23.439973055731102</v>
      </c>
      <c r="AJ422" s="1">
        <f>AI422*0.05</f>
        <v>1.1719986527865551</v>
      </c>
      <c r="AK422" s="13">
        <v>0.24890000000000001</v>
      </c>
      <c r="AL422" s="16">
        <v>38.284155720000001</v>
      </c>
      <c r="AM422" s="10">
        <v>1.9142077860000002</v>
      </c>
      <c r="AN422" s="10">
        <v>22.129569780346824</v>
      </c>
      <c r="AO422" s="11">
        <v>1.9163223757977212</v>
      </c>
      <c r="AP422" s="14">
        <v>2.5434000000000001</v>
      </c>
      <c r="AQ422" s="2">
        <f>AP422*((G422*0.01)+(H422*0.01)+(I422*0.01))</f>
        <v>0.11699640000000001</v>
      </c>
      <c r="AR422" s="15">
        <v>1.1907184608529264</v>
      </c>
      <c r="AS422" s="15">
        <v>0.27910408639354134</v>
      </c>
      <c r="AT422" s="15">
        <f>AS422*(AJ422/100+AQ422/AP422)</f>
        <v>1.6109884106507429E-2</v>
      </c>
      <c r="AU422" s="2">
        <f>AS422*AA422</f>
        <v>0.11434894419543389</v>
      </c>
      <c r="AV422" s="2">
        <f>AU422*((AT422/AS422)+(AQ422/AP422))</f>
        <v>1.1860270951426053E-2</v>
      </c>
      <c r="AW422" s="3">
        <f>(AV422/AU422)*100</f>
        <v>10.371998652786555</v>
      </c>
    </row>
    <row r="423" spans="1:49" s="5" customFormat="1" x14ac:dyDescent="0.2">
      <c r="A423" s="5" t="s">
        <v>480</v>
      </c>
      <c r="B423" s="5" t="s">
        <v>481</v>
      </c>
      <c r="C423" s="5" t="s">
        <v>482</v>
      </c>
      <c r="D423" s="5" t="s">
        <v>485</v>
      </c>
      <c r="E423" s="13" t="s">
        <v>484</v>
      </c>
      <c r="F423" s="5">
        <v>2</v>
      </c>
      <c r="G423" s="14">
        <v>2.2000000000000002</v>
      </c>
      <c r="H423" s="14">
        <v>2.5</v>
      </c>
      <c r="I423" s="14">
        <v>1.1000000000000001</v>
      </c>
      <c r="J423">
        <v>1.21</v>
      </c>
      <c r="K423">
        <v>2.31</v>
      </c>
      <c r="L423">
        <v>1.76</v>
      </c>
      <c r="M423">
        <v>0.21</v>
      </c>
      <c r="N423" s="14">
        <v>1.2077777777777781</v>
      </c>
      <c r="O423" s="14">
        <v>2.3077777777777779</v>
      </c>
      <c r="P423" s="14">
        <v>1.7577777777777781</v>
      </c>
      <c r="Q423" s="14">
        <v>1.2077777777777781</v>
      </c>
      <c r="R423" s="14">
        <v>2.3077777777777779</v>
      </c>
      <c r="S423" s="14">
        <v>1.7577777777777781</v>
      </c>
      <c r="T423" s="3">
        <v>1.76</v>
      </c>
      <c r="U423" s="3">
        <v>0.55000000000000004</v>
      </c>
      <c r="V423" s="3">
        <v>-65.680000000000007</v>
      </c>
      <c r="W423" s="3">
        <v>-52.51</v>
      </c>
      <c r="X423" s="3">
        <v>-62.32</v>
      </c>
      <c r="Y423" s="3">
        <v>-61.5</v>
      </c>
      <c r="Z423" s="3">
        <v>6.585</v>
      </c>
      <c r="AA423" s="4">
        <v>0.40770000000000001</v>
      </c>
      <c r="AB423" s="4">
        <v>8.3752517999999998E-2</v>
      </c>
      <c r="AC423">
        <v>1.1476266666666668</v>
      </c>
      <c r="AD423" s="15">
        <v>6.6901999999999999</v>
      </c>
      <c r="AE423" s="15">
        <v>2.3847</v>
      </c>
      <c r="AF423" s="15">
        <f t="shared" ref="AF423:AF486" si="91">AD423-AE423</f>
        <v>4.3055000000000003</v>
      </c>
      <c r="AG423" s="15">
        <v>1.2370733333333332</v>
      </c>
      <c r="AH423" s="15">
        <v>77.680523848128317</v>
      </c>
      <c r="AI423" s="2">
        <v>22.319476151871683</v>
      </c>
      <c r="AJ423" s="1">
        <f t="shared" ref="AJ423:AJ486" si="92">AI423*0.05</f>
        <v>1.1159738075935841</v>
      </c>
      <c r="AK423" s="13">
        <v>0.39439999999999997</v>
      </c>
      <c r="AL423" s="16">
        <v>35.30183727</v>
      </c>
      <c r="AM423" s="10">
        <v>1.7650918635000001</v>
      </c>
      <c r="AN423" s="16">
        <v>20.476703752900232</v>
      </c>
      <c r="AO423" s="11">
        <v>1.7673848722318246</v>
      </c>
      <c r="AP423" s="14">
        <v>4.7686787500000012</v>
      </c>
      <c r="AQ423" s="2">
        <f>AP423*((G423*0.01)+(H423*0.01)+(I423*0.01))</f>
        <v>0.27658336750000007</v>
      </c>
      <c r="AR423" s="15">
        <v>1.162287003152253</v>
      </c>
      <c r="AS423" s="15">
        <v>0.25941637048487132</v>
      </c>
      <c r="AT423" s="15">
        <f t="shared" ref="AT423:AT486" si="93">AS423*(AJ423/100+AQ423/AP423)</f>
        <v>1.7941168235343634E-2</v>
      </c>
      <c r="AU423" s="2">
        <f t="shared" ref="AU423:AU486" si="94">AS423*AA423</f>
        <v>0.10576405424668203</v>
      </c>
      <c r="AV423" s="2">
        <f t="shared" ref="AV423:AV486" si="95">AU423*((AT423/AS423)+(AQ423/AP423))</f>
        <v>1.3448929435857156E-2</v>
      </c>
      <c r="AW423" s="3">
        <f t="shared" ref="AW423:AW486" si="96">(AV423/AU423)*100</f>
        <v>12.715973807593583</v>
      </c>
    </row>
    <row r="424" spans="1:49" s="5" customFormat="1" x14ac:dyDescent="0.2">
      <c r="A424" s="5" t="s">
        <v>480</v>
      </c>
      <c r="B424" s="5" t="s">
        <v>481</v>
      </c>
      <c r="C424" s="5" t="s">
        <v>482</v>
      </c>
      <c r="D424" s="5" t="s">
        <v>486</v>
      </c>
      <c r="E424" s="13" t="s">
        <v>484</v>
      </c>
      <c r="F424" s="5">
        <v>3</v>
      </c>
      <c r="G424" s="14">
        <v>2.4</v>
      </c>
      <c r="H424" s="14">
        <v>2.25</v>
      </c>
      <c r="I424" s="14">
        <v>1.2</v>
      </c>
      <c r="J424">
        <v>2.52</v>
      </c>
      <c r="K424">
        <v>3.72</v>
      </c>
      <c r="L424">
        <v>3.12</v>
      </c>
      <c r="M424">
        <v>0.21</v>
      </c>
      <c r="N424" s="14">
        <v>2.5155555555555562</v>
      </c>
      <c r="O424" s="14">
        <v>3.7155555555555564</v>
      </c>
      <c r="P424" s="14">
        <v>3.1155555555555563</v>
      </c>
      <c r="Q424" s="14">
        <v>2.5155555555555562</v>
      </c>
      <c r="R424" s="14">
        <v>3.7155555555555564</v>
      </c>
      <c r="S424" s="14">
        <v>3.1155555555555563</v>
      </c>
      <c r="T424" s="3">
        <v>3.12</v>
      </c>
      <c r="U424" s="3">
        <v>0.6</v>
      </c>
      <c r="V424" s="3">
        <v>-65.099999999999994</v>
      </c>
      <c r="W424" s="3">
        <v>-41.72</v>
      </c>
      <c r="X424" s="3">
        <v>-59.85</v>
      </c>
      <c r="Y424" s="3">
        <v>-58.17</v>
      </c>
      <c r="Z424" s="3">
        <v>11.69</v>
      </c>
      <c r="AA424" s="4">
        <v>0.41160000000000002</v>
      </c>
      <c r="AB424" s="4">
        <v>-3.5623989999999999E-3</v>
      </c>
      <c r="AC424">
        <v>1.1476266666666668</v>
      </c>
      <c r="AD424" s="15">
        <v>7.2317</v>
      </c>
      <c r="AE424" s="15">
        <v>2.3961999999999999</v>
      </c>
      <c r="AF424" s="15">
        <f t="shared" si="91"/>
        <v>4.8354999999999997</v>
      </c>
      <c r="AG424" s="15">
        <v>1.2485733333333331</v>
      </c>
      <c r="AH424" s="15">
        <v>79.478003223717451</v>
      </c>
      <c r="AI424" s="2">
        <v>20.521996776282549</v>
      </c>
      <c r="AJ424" s="1">
        <f t="shared" si="92"/>
        <v>1.0260998388141276</v>
      </c>
      <c r="AK424" s="13">
        <v>0.2571</v>
      </c>
      <c r="AL424" s="16">
        <v>41.924553869999997</v>
      </c>
      <c r="AM424" s="10">
        <v>2.0962276934999999</v>
      </c>
      <c r="AN424" s="16">
        <v>24.318186699535961</v>
      </c>
      <c r="AO424" s="11">
        <v>2.0981588459876743</v>
      </c>
      <c r="AP424" s="14">
        <v>5.0920987500000008</v>
      </c>
      <c r="AQ424" s="2">
        <f>AP424*((G424*0.01)+(H424*0.01)+(I424*0.01))</f>
        <v>0.29788777687500001</v>
      </c>
      <c r="AR424" s="15">
        <v>1.1948066272935756</v>
      </c>
      <c r="AS424" s="15">
        <v>0.24519817753599787</v>
      </c>
      <c r="AT424" s="15">
        <f t="shared" si="93"/>
        <v>1.6860071490327925E-2</v>
      </c>
      <c r="AU424" s="2">
        <f t="shared" si="94"/>
        <v>0.10092356987381673</v>
      </c>
      <c r="AV424" s="2">
        <f t="shared" si="95"/>
        <v>1.2843634263037253E-2</v>
      </c>
      <c r="AW424" s="3">
        <f t="shared" si="96"/>
        <v>12.726099838814125</v>
      </c>
    </row>
    <row r="425" spans="1:49" s="5" customFormat="1" x14ac:dyDescent="0.2">
      <c r="A425" s="5" t="s">
        <v>480</v>
      </c>
      <c r="B425" s="5" t="s">
        <v>481</v>
      </c>
      <c r="C425" s="5" t="s">
        <v>482</v>
      </c>
      <c r="D425" s="5" t="s">
        <v>487</v>
      </c>
      <c r="E425" s="13" t="s">
        <v>484</v>
      </c>
      <c r="F425" s="5">
        <v>4</v>
      </c>
      <c r="G425" s="14">
        <v>2.4500000000000002</v>
      </c>
      <c r="H425" s="14">
        <v>2.5499999999999998</v>
      </c>
      <c r="I425" s="14">
        <v>1.2</v>
      </c>
      <c r="J425">
        <v>3.93</v>
      </c>
      <c r="K425">
        <v>5.13</v>
      </c>
      <c r="L425">
        <v>4.53</v>
      </c>
      <c r="M425">
        <v>0.21</v>
      </c>
      <c r="N425" s="14">
        <v>3.9233333333333347</v>
      </c>
      <c r="O425" s="14">
        <v>5.1233333333333348</v>
      </c>
      <c r="P425" s="14">
        <v>4.5233333333333352</v>
      </c>
      <c r="Q425" s="14">
        <v>3.9233333333333347</v>
      </c>
      <c r="R425" s="14">
        <v>5.1233333333333348</v>
      </c>
      <c r="S425" s="14">
        <v>4.5233333333333352</v>
      </c>
      <c r="T425" s="3">
        <v>4.5199999999999996</v>
      </c>
      <c r="U425" s="3">
        <v>0.6</v>
      </c>
      <c r="V425" s="3">
        <v>-64.64</v>
      </c>
      <c r="W425" s="3">
        <v>-30.21</v>
      </c>
      <c r="X425" s="3">
        <v>-57.31</v>
      </c>
      <c r="Y425" s="3">
        <v>-54.75</v>
      </c>
      <c r="Z425" s="3">
        <v>17.215</v>
      </c>
      <c r="AA425" s="4">
        <v>0.40920000000000001</v>
      </c>
      <c r="AB425" s="4">
        <v>-7.4345854000000003E-2</v>
      </c>
      <c r="AC425">
        <v>1.1476266666666668</v>
      </c>
      <c r="AD425" s="15">
        <v>7.6345000000000001</v>
      </c>
      <c r="AE425" s="15">
        <v>2.6223000000000001</v>
      </c>
      <c r="AF425" s="15">
        <f t="shared" si="91"/>
        <v>5.0122</v>
      </c>
      <c r="AG425" s="15">
        <v>1.4746733333333333</v>
      </c>
      <c r="AH425" s="15">
        <v>77.266808560056148</v>
      </c>
      <c r="AI425" s="2">
        <v>22.733191439943852</v>
      </c>
      <c r="AJ425" s="1">
        <f t="shared" si="92"/>
        <v>1.1366595719971926</v>
      </c>
      <c r="AK425" s="13">
        <v>0.41699999999999998</v>
      </c>
      <c r="AL425" s="16">
        <v>37.415578570000001</v>
      </c>
      <c r="AM425" s="10">
        <v>1.8707789285</v>
      </c>
      <c r="AN425" s="16">
        <v>21.702771792343388</v>
      </c>
      <c r="AO425" s="11">
        <v>1.872942550992851</v>
      </c>
      <c r="AP425" s="14">
        <v>5.8875000000000002</v>
      </c>
      <c r="AQ425" s="2">
        <f>AP425*((G425*0.01)+(H425*0.01)+(I425*0.01))</f>
        <v>0.36502499999999999</v>
      </c>
      <c r="AR425" s="15">
        <v>1.1018043878273178</v>
      </c>
      <c r="AS425" s="15">
        <v>0.25047530077848545</v>
      </c>
      <c r="AT425" s="15">
        <f t="shared" si="93"/>
        <v>1.837652013005351E-2</v>
      </c>
      <c r="AU425" s="2">
        <f t="shared" si="94"/>
        <v>0.10249449307855625</v>
      </c>
      <c r="AV425" s="2">
        <f t="shared" si="95"/>
        <v>1.3874330608088384E-2</v>
      </c>
      <c r="AW425" s="3">
        <f t="shared" si="96"/>
        <v>13.536659571997193</v>
      </c>
    </row>
    <row r="426" spans="1:49" s="5" customFormat="1" x14ac:dyDescent="0.2">
      <c r="A426" s="5" t="s">
        <v>480</v>
      </c>
      <c r="B426" s="5" t="s">
        <v>481</v>
      </c>
      <c r="C426" s="5" t="s">
        <v>482</v>
      </c>
      <c r="D426" s="5" t="s">
        <v>488</v>
      </c>
      <c r="E426" s="13" t="s">
        <v>484</v>
      </c>
      <c r="F426" s="5">
        <v>5</v>
      </c>
      <c r="G426" s="14">
        <v>2.65</v>
      </c>
      <c r="H426" s="14">
        <v>2.2999999999999998</v>
      </c>
      <c r="I426" s="14">
        <v>1.2</v>
      </c>
      <c r="J426">
        <v>5.34</v>
      </c>
      <c r="K426">
        <v>6.54</v>
      </c>
      <c r="L426">
        <v>5.94</v>
      </c>
      <c r="M426">
        <v>0.21</v>
      </c>
      <c r="N426" s="14">
        <v>5.3311111111111131</v>
      </c>
      <c r="O426" s="14">
        <v>6.5311111111111133</v>
      </c>
      <c r="P426" s="14">
        <v>5.9311111111111128</v>
      </c>
      <c r="Q426" s="14">
        <v>5.3311111111111131</v>
      </c>
      <c r="R426" s="14">
        <v>6.5311111111111133</v>
      </c>
      <c r="S426" s="14">
        <v>5.9311111111111128</v>
      </c>
      <c r="T426" s="3">
        <v>5.93</v>
      </c>
      <c r="U426" s="3">
        <v>0.6</v>
      </c>
      <c r="V426" s="3">
        <v>-64.319999999999993</v>
      </c>
      <c r="W426" s="3">
        <v>-19.2</v>
      </c>
      <c r="X426" s="3">
        <v>-54.7</v>
      </c>
      <c r="Y426" s="3">
        <v>-51.31</v>
      </c>
      <c r="Z426" s="3">
        <v>22.56</v>
      </c>
      <c r="AA426" s="4">
        <v>0.40810000000000002</v>
      </c>
      <c r="AB426" s="4">
        <v>-0.138141824</v>
      </c>
      <c r="AC426">
        <v>1.1476266666666668</v>
      </c>
      <c r="AD426" s="15">
        <v>8.4731000000000005</v>
      </c>
      <c r="AE426" s="15">
        <v>3.2294999999999998</v>
      </c>
      <c r="AF426" s="15">
        <f t="shared" si="91"/>
        <v>5.2436000000000007</v>
      </c>
      <c r="AG426" s="15">
        <v>2.0818733333333332</v>
      </c>
      <c r="AH426" s="15">
        <v>71.580357492257619</v>
      </c>
      <c r="AI426" s="2">
        <v>28.419642507742381</v>
      </c>
      <c r="AJ426" s="1">
        <f t="shared" si="92"/>
        <v>1.4209821253871191</v>
      </c>
      <c r="AK426" s="13">
        <v>0.74</v>
      </c>
      <c r="AL426" s="16">
        <v>22.908636319999999</v>
      </c>
      <c r="AM426" s="10">
        <v>1.1454318160000001</v>
      </c>
      <c r="AN426" s="16">
        <v>13.28807211136891</v>
      </c>
      <c r="AO426" s="11">
        <v>1.1489621599970377</v>
      </c>
      <c r="AP426" s="14">
        <v>5.7703387499999987</v>
      </c>
      <c r="AQ426" s="2">
        <f>AP426*((G426*0.01)+(H426*0.01)+(I426*0.01))</f>
        <v>0.35487583312499993</v>
      </c>
      <c r="AR426" s="15">
        <v>1.2695049026945491</v>
      </c>
      <c r="AS426" s="15">
        <v>0.36078875496405366</v>
      </c>
      <c r="AT426" s="15">
        <f t="shared" si="93"/>
        <v>2.7315252148735234E-2</v>
      </c>
      <c r="AU426" s="2">
        <f t="shared" si="94"/>
        <v>0.14723789090083031</v>
      </c>
      <c r="AV426" s="2">
        <f t="shared" si="95"/>
        <v>2.0202484692299912E-2</v>
      </c>
      <c r="AW426" s="3">
        <f t="shared" si="96"/>
        <v>13.720982125387119</v>
      </c>
    </row>
    <row r="427" spans="1:49" s="5" customFormat="1" x14ac:dyDescent="0.2">
      <c r="A427" s="5" t="s">
        <v>480</v>
      </c>
      <c r="B427" s="5" t="s">
        <v>481</v>
      </c>
      <c r="C427" s="5" t="s">
        <v>482</v>
      </c>
      <c r="D427" s="5" t="s">
        <v>489</v>
      </c>
      <c r="E427" s="13" t="s">
        <v>484</v>
      </c>
      <c r="F427" s="5">
        <v>6</v>
      </c>
      <c r="G427" s="14">
        <v>2.1</v>
      </c>
      <c r="H427" s="14">
        <v>2.7</v>
      </c>
      <c r="I427" s="14">
        <v>1.2</v>
      </c>
      <c r="J427">
        <v>6.75</v>
      </c>
      <c r="K427">
        <v>7.95</v>
      </c>
      <c r="L427">
        <v>7.35</v>
      </c>
      <c r="M427">
        <v>0.21</v>
      </c>
      <c r="N427" s="14">
        <v>6.7388888888888916</v>
      </c>
      <c r="O427" s="14">
        <v>7.9388888888888918</v>
      </c>
      <c r="P427" s="14">
        <v>7.3388888888888921</v>
      </c>
      <c r="Q427" s="14">
        <v>6.7388888888888916</v>
      </c>
      <c r="R427" s="14">
        <v>7.9388888888888918</v>
      </c>
      <c r="S427" s="14">
        <v>7.3388888888888921</v>
      </c>
      <c r="T427" s="3">
        <v>7.34</v>
      </c>
      <c r="U427" s="3">
        <v>0.6</v>
      </c>
      <c r="V427" s="3">
        <v>-64.06</v>
      </c>
      <c r="W427" s="3">
        <v>-8</v>
      </c>
      <c r="X427" s="3">
        <v>-52.06</v>
      </c>
      <c r="Y427" s="3">
        <v>-47.86</v>
      </c>
      <c r="Z427" s="3">
        <v>28.03</v>
      </c>
      <c r="AA427" s="4">
        <v>0.4103</v>
      </c>
      <c r="AB427" s="4">
        <v>-0.206759467</v>
      </c>
      <c r="AC427">
        <v>1.1476266666666668</v>
      </c>
      <c r="AD427" s="15">
        <v>7.9726999999999997</v>
      </c>
      <c r="AE427" s="15">
        <v>3.2161</v>
      </c>
      <c r="AF427" s="15">
        <f t="shared" si="91"/>
        <v>4.7565999999999997</v>
      </c>
      <c r="AG427" s="15">
        <v>2.0684733333333334</v>
      </c>
      <c r="AH427" s="15">
        <v>69.693024055419187</v>
      </c>
      <c r="AI427" s="2">
        <v>30.306975944580813</v>
      </c>
      <c r="AJ427" s="1">
        <f t="shared" si="92"/>
        <v>1.5153487972290407</v>
      </c>
      <c r="AK427" s="13">
        <v>0.94369999999999998</v>
      </c>
      <c r="AL427" s="16">
        <v>28.63732607</v>
      </c>
      <c r="AM427" s="10">
        <v>1.4318663035000001</v>
      </c>
      <c r="AN427" s="16">
        <v>16.610977998839907</v>
      </c>
      <c r="AO427" s="11">
        <v>1.4346919917176491</v>
      </c>
      <c r="AP427" s="14">
        <v>5.4259200000000014</v>
      </c>
      <c r="AQ427" s="2">
        <f>AP427*((G427*0.01)+(H427*0.01)+(I427*0.01))</f>
        <v>0.3255552000000001</v>
      </c>
      <c r="AR427" s="15">
        <v>1.2578647184870642</v>
      </c>
      <c r="AS427" s="15">
        <v>0.38122075764724378</v>
      </c>
      <c r="AT427" s="15">
        <f t="shared" si="93"/>
        <v>2.8650069624629571E-2</v>
      </c>
      <c r="AU427" s="2">
        <f t="shared" si="94"/>
        <v>0.15641487686266412</v>
      </c>
      <c r="AV427" s="2">
        <f t="shared" si="95"/>
        <v>2.114001617874536E-2</v>
      </c>
      <c r="AW427" s="3">
        <f t="shared" si="96"/>
        <v>13.51534879722904</v>
      </c>
    </row>
    <row r="428" spans="1:49" s="5" customFormat="1" x14ac:dyDescent="0.2">
      <c r="A428" s="5" t="s">
        <v>480</v>
      </c>
      <c r="B428" s="5" t="s">
        <v>481</v>
      </c>
      <c r="C428" s="5" t="s">
        <v>482</v>
      </c>
      <c r="D428" s="5" t="s">
        <v>490</v>
      </c>
      <c r="E428" s="13" t="s">
        <v>484</v>
      </c>
      <c r="F428" s="5">
        <v>7</v>
      </c>
      <c r="G428" s="14">
        <v>2.2000000000000002</v>
      </c>
      <c r="H428" s="14">
        <v>2.6</v>
      </c>
      <c r="I428" s="14">
        <v>1.1499999999999999</v>
      </c>
      <c r="J428">
        <v>8.16</v>
      </c>
      <c r="K428">
        <v>9.36</v>
      </c>
      <c r="L428">
        <v>8.76</v>
      </c>
      <c r="M428">
        <v>0.21</v>
      </c>
      <c r="N428" s="14">
        <v>8.1466666666666701</v>
      </c>
      <c r="O428" s="14">
        <v>9.2966666666666704</v>
      </c>
      <c r="P428" s="14">
        <v>8.7216666666666711</v>
      </c>
      <c r="Q428" s="14">
        <v>8.1466666666666701</v>
      </c>
      <c r="R428" s="14">
        <v>9.2966666666666704</v>
      </c>
      <c r="S428" s="14">
        <v>8.7216666666666711</v>
      </c>
      <c r="T428" s="3">
        <v>8.7200000000000006</v>
      </c>
      <c r="U428" s="3">
        <v>0.57499999999999996</v>
      </c>
      <c r="V428" s="3">
        <v>-63.76</v>
      </c>
      <c r="W428" s="3">
        <v>3.19</v>
      </c>
      <c r="X428" s="3">
        <v>-49.51</v>
      </c>
      <c r="Y428" s="3">
        <v>-44.49</v>
      </c>
      <c r="Z428" s="3">
        <v>33.475000000000001</v>
      </c>
      <c r="AA428" s="4">
        <v>0.32229999999999998</v>
      </c>
      <c r="AB428" s="4">
        <v>-0.22125118499999999</v>
      </c>
      <c r="AC428">
        <v>1.1476266666666668</v>
      </c>
      <c r="AD428" s="15">
        <v>8.6255000000000006</v>
      </c>
      <c r="AE428" s="15">
        <v>6.4112999999999998</v>
      </c>
      <c r="AF428" s="15">
        <f t="shared" si="91"/>
        <v>2.2142000000000008</v>
      </c>
      <c r="AG428" s="15">
        <v>5.2636733333333332</v>
      </c>
      <c r="AH428" s="15">
        <v>29.610022813972964</v>
      </c>
      <c r="AI428" s="2">
        <v>70.389977186027039</v>
      </c>
      <c r="AJ428" s="1">
        <f t="shared" si="92"/>
        <v>3.5194988593013523</v>
      </c>
      <c r="AK428" s="13">
        <v>1.0035000000000001</v>
      </c>
      <c r="AL428" s="16">
        <v>23.05037957</v>
      </c>
      <c r="AM428" s="10">
        <v>1.1525189785000001</v>
      </c>
      <c r="AN428" s="16">
        <v>13.370289773781902</v>
      </c>
      <c r="AO428" s="11">
        <v>1.1560276795140692</v>
      </c>
      <c r="AP428" s="14">
        <v>5.1998400000000018</v>
      </c>
      <c r="AQ428" s="2">
        <f>AP428*((G428*0.01)+(H428*0.01)+(I428*0.01))</f>
        <v>0.30939048000000008</v>
      </c>
      <c r="AR428" s="15">
        <v>1.4380968132352787</v>
      </c>
      <c r="AS428" s="15">
        <v>1.0122760187492945</v>
      </c>
      <c r="AT428" s="15">
        <f t="shared" si="93"/>
        <v>9.5857466048445583E-2</v>
      </c>
      <c r="AU428" s="2">
        <f t="shared" si="94"/>
        <v>0.32625656084289761</v>
      </c>
      <c r="AV428" s="2">
        <f t="shared" si="95"/>
        <v>5.0307126677566413E-2</v>
      </c>
      <c r="AW428" s="3">
        <f t="shared" si="96"/>
        <v>15.419498859301351</v>
      </c>
    </row>
    <row r="429" spans="1:49" s="5" customFormat="1" x14ac:dyDescent="0.2">
      <c r="A429" s="5" t="s">
        <v>480</v>
      </c>
      <c r="B429" s="5" t="s">
        <v>481</v>
      </c>
      <c r="C429" s="5" t="s">
        <v>482</v>
      </c>
      <c r="D429" s="5" t="s">
        <v>491</v>
      </c>
      <c r="E429" s="13" t="s">
        <v>484</v>
      </c>
      <c r="F429" s="5">
        <v>8</v>
      </c>
      <c r="G429" s="14">
        <v>2.8</v>
      </c>
      <c r="H429" s="14">
        <v>2.1</v>
      </c>
      <c r="I429" s="14">
        <v>1.2</v>
      </c>
      <c r="J429">
        <v>9.57</v>
      </c>
      <c r="K429">
        <v>10.77</v>
      </c>
      <c r="L429">
        <v>10.17</v>
      </c>
      <c r="M429">
        <v>0.21</v>
      </c>
      <c r="N429" s="14">
        <v>9.5044444444444487</v>
      </c>
      <c r="O429" s="14">
        <v>10.704444444444448</v>
      </c>
      <c r="P429" s="14">
        <v>10.104444444444448</v>
      </c>
      <c r="Q429" s="14">
        <v>9.5044444444444487</v>
      </c>
      <c r="R429" s="14">
        <v>10.704444444444448</v>
      </c>
      <c r="S429" s="14">
        <v>10.104444444444448</v>
      </c>
      <c r="T429" s="3">
        <v>10.1</v>
      </c>
      <c r="U429" s="3">
        <v>0.6</v>
      </c>
      <c r="V429" s="3">
        <v>-62.45</v>
      </c>
      <c r="W429" s="3">
        <v>15.06</v>
      </c>
      <c r="X429" s="3">
        <v>-45.96</v>
      </c>
      <c r="Y429" s="3">
        <v>-40.200000000000003</v>
      </c>
      <c r="Z429" s="3">
        <v>38.755000000000003</v>
      </c>
      <c r="AA429" s="4">
        <v>8.5300000000000001E-2</v>
      </c>
      <c r="AB429" s="4">
        <v>-7.7166541000000005E-2</v>
      </c>
      <c r="AC429">
        <v>1.1476266666666668</v>
      </c>
      <c r="AD429" s="15">
        <v>7.7588999999999997</v>
      </c>
      <c r="AE429" s="15">
        <v>3.2227999999999999</v>
      </c>
      <c r="AF429" s="15">
        <f t="shared" si="91"/>
        <v>4.5360999999999994</v>
      </c>
      <c r="AG429" s="15">
        <v>2.0751733333333329</v>
      </c>
      <c r="AH429" s="15">
        <v>68.611593732321879</v>
      </c>
      <c r="AI429" s="2">
        <v>31.388406267678121</v>
      </c>
      <c r="AJ429" s="1">
        <f t="shared" si="92"/>
        <v>1.5694203133839062</v>
      </c>
      <c r="AK429" s="13">
        <v>0.82840000000000003</v>
      </c>
      <c r="AL429" s="16">
        <v>31.035631039999998</v>
      </c>
      <c r="AM429" s="10">
        <v>1.551781552</v>
      </c>
      <c r="AN429" s="16">
        <v>18.002106171693736</v>
      </c>
      <c r="AO429" s="11">
        <v>1.5543892643503201</v>
      </c>
      <c r="AP429" s="14">
        <v>5.6543550000000007</v>
      </c>
      <c r="AQ429" s="2">
        <f>AP429*((G429*0.01)+(H429*0.01)+(I429*0.01))</f>
        <v>0.34491565500000004</v>
      </c>
      <c r="AR429" s="15">
        <v>1.1692356304712619</v>
      </c>
      <c r="AS429" s="15">
        <v>0.36700442991876753</v>
      </c>
      <c r="AT429" s="15">
        <f t="shared" si="93"/>
        <v>2.814711229920876E-2</v>
      </c>
      <c r="AU429" s="2">
        <f t="shared" si="94"/>
        <v>3.1305477872070872E-2</v>
      </c>
      <c r="AV429" s="2">
        <f t="shared" si="95"/>
        <v>4.3105828293188309E-3</v>
      </c>
      <c r="AW429" s="3">
        <f t="shared" si="96"/>
        <v>13.769420313383907</v>
      </c>
    </row>
    <row r="430" spans="1:49" s="5" customFormat="1" x14ac:dyDescent="0.2">
      <c r="A430" s="5" t="s">
        <v>480</v>
      </c>
      <c r="B430" s="5" t="s">
        <v>481</v>
      </c>
      <c r="C430" s="5" t="s">
        <v>482</v>
      </c>
      <c r="D430" s="5" t="s">
        <v>492</v>
      </c>
      <c r="E430" s="13" t="s">
        <v>484</v>
      </c>
      <c r="F430" s="5">
        <v>9</v>
      </c>
      <c r="G430" s="14">
        <v>2.75</v>
      </c>
      <c r="H430" s="14">
        <v>2.2000000000000002</v>
      </c>
      <c r="I430" s="14">
        <v>1.2</v>
      </c>
      <c r="J430">
        <v>10.98</v>
      </c>
      <c r="K430">
        <v>12.18</v>
      </c>
      <c r="L430">
        <v>11.58</v>
      </c>
      <c r="M430">
        <v>0.21</v>
      </c>
      <c r="N430" s="14">
        <v>10.912222222222226</v>
      </c>
      <c r="O430" s="14">
        <v>12.112222222222226</v>
      </c>
      <c r="P430" s="14">
        <v>11.512222222222226</v>
      </c>
      <c r="Q430" s="14">
        <v>10.912222222222226</v>
      </c>
      <c r="R430" s="14">
        <v>12.112222222222226</v>
      </c>
      <c r="S430" s="14">
        <v>11.512222222222226</v>
      </c>
      <c r="T430" s="3">
        <v>11.51</v>
      </c>
      <c r="U430" s="3">
        <v>0.6</v>
      </c>
      <c r="V430" s="3">
        <v>-56.36</v>
      </c>
      <c r="W430" s="3">
        <v>33.47</v>
      </c>
      <c r="X430" s="3">
        <v>-29.12</v>
      </c>
      <c r="Y430" s="3">
        <v>-23.69</v>
      </c>
      <c r="Z430" s="3">
        <v>44.914999999999999</v>
      </c>
      <c r="AA430" s="4">
        <v>8.5300000000000001E-2</v>
      </c>
      <c r="AB430" s="4">
        <v>-0.15727776700000001</v>
      </c>
      <c r="AC430">
        <v>1.1476266666666668</v>
      </c>
      <c r="AD430" s="15">
        <v>8.0984999999999996</v>
      </c>
      <c r="AE430" s="15">
        <v>2.8334000000000001</v>
      </c>
      <c r="AF430" s="15">
        <f t="shared" si="91"/>
        <v>5.2650999999999994</v>
      </c>
      <c r="AG430" s="15">
        <v>1.6857733333333333</v>
      </c>
      <c r="AH430" s="15">
        <v>75.74731616458746</v>
      </c>
      <c r="AI430" s="2">
        <v>24.25268383541254</v>
      </c>
      <c r="AJ430" s="1">
        <f t="shared" si="92"/>
        <v>1.2126341917706271</v>
      </c>
      <c r="AK430" s="13">
        <v>0.66100000000000003</v>
      </c>
      <c r="AL430" s="16">
        <v>32.461428429999998</v>
      </c>
      <c r="AM430" s="10">
        <v>1.6230714214999999</v>
      </c>
      <c r="AN430" s="16">
        <v>18.829134820185615</v>
      </c>
      <c r="AO430" s="11">
        <v>1.6255647754826723</v>
      </c>
      <c r="AP430" s="14">
        <v>5.7703387500000005</v>
      </c>
      <c r="AQ430" s="2">
        <f>AP430*((G430*0.01)+(H430*0.01)+(I430*0.01))</f>
        <v>0.35487583312500004</v>
      </c>
      <c r="AR430" s="15">
        <v>1.204586703568024</v>
      </c>
      <c r="AS430" s="15">
        <v>0.29214460473977083</v>
      </c>
      <c r="AT430" s="15">
        <f t="shared" si="93"/>
        <v>2.1509538557983519E-2</v>
      </c>
      <c r="AU430" s="2">
        <f t="shared" si="94"/>
        <v>2.4919934784302451E-2</v>
      </c>
      <c r="AV430" s="2">
        <f t="shared" si="95"/>
        <v>3.3673396282305952E-3</v>
      </c>
      <c r="AW430" s="3">
        <f t="shared" si="96"/>
        <v>13.512634191770628</v>
      </c>
    </row>
    <row r="431" spans="1:49" s="5" customFormat="1" x14ac:dyDescent="0.2">
      <c r="A431" s="5" t="s">
        <v>480</v>
      </c>
      <c r="B431" s="5" t="s">
        <v>481</v>
      </c>
      <c r="C431" s="5" t="s">
        <v>482</v>
      </c>
      <c r="D431" s="5" t="s">
        <v>493</v>
      </c>
      <c r="E431" s="13" t="s">
        <v>484</v>
      </c>
      <c r="F431" s="5">
        <v>10</v>
      </c>
      <c r="G431" s="14">
        <v>2.7</v>
      </c>
      <c r="H431" s="14">
        <v>2.2999999999999998</v>
      </c>
      <c r="I431" s="14">
        <v>1.1000000000000001</v>
      </c>
      <c r="J431">
        <v>12.39</v>
      </c>
      <c r="K431">
        <v>13.49</v>
      </c>
      <c r="L431">
        <v>12.94</v>
      </c>
      <c r="M431">
        <v>0.21</v>
      </c>
      <c r="N431" s="14">
        <v>12.320000000000004</v>
      </c>
      <c r="O431" s="14">
        <v>13.420000000000003</v>
      </c>
      <c r="P431" s="14">
        <v>12.870000000000005</v>
      </c>
      <c r="Q431" s="14">
        <v>12.320000000000004</v>
      </c>
      <c r="R431" s="14">
        <v>13.420000000000003</v>
      </c>
      <c r="S431" s="14">
        <v>12.870000000000005</v>
      </c>
      <c r="T431" s="3">
        <v>12.87</v>
      </c>
      <c r="U431" s="3">
        <v>0.55000000000000004</v>
      </c>
      <c r="V431" s="3">
        <v>-52.97</v>
      </c>
      <c r="W431" s="3">
        <v>66.260000000000005</v>
      </c>
      <c r="X431" s="3">
        <v>-14.46</v>
      </c>
      <c r="Y431" s="3">
        <v>-7.77</v>
      </c>
      <c r="Z431" s="3">
        <v>59.615000000000002</v>
      </c>
      <c r="AA431" s="4">
        <v>8.5300000000000001E-2</v>
      </c>
      <c r="AB431" s="4">
        <v>-0.65081538299999997</v>
      </c>
      <c r="AC431">
        <v>1.1476266666666668</v>
      </c>
      <c r="AD431" s="15">
        <v>8.2045999999999992</v>
      </c>
      <c r="AE431" s="15">
        <v>3.1004</v>
      </c>
      <c r="AF431" s="15">
        <f t="shared" si="91"/>
        <v>5.1041999999999987</v>
      </c>
      <c r="AG431" s="15">
        <v>1.9527733333333332</v>
      </c>
      <c r="AH431" s="15">
        <v>72.328458092515575</v>
      </c>
      <c r="AI431" s="2">
        <v>27.671541907484425</v>
      </c>
      <c r="AJ431" s="1">
        <f t="shared" si="92"/>
        <v>1.3835770953742212</v>
      </c>
      <c r="AK431" s="13">
        <v>0.35360000000000003</v>
      </c>
      <c r="AL431" s="16">
        <v>38.041002280000001</v>
      </c>
      <c r="AM431" s="10">
        <v>1.9020501140000001</v>
      </c>
      <c r="AN431" s="16">
        <v>22.065546566125292</v>
      </c>
      <c r="AO431" s="11">
        <v>1.9041782049397094</v>
      </c>
      <c r="AP431" s="14">
        <v>5.3968750000000014</v>
      </c>
      <c r="AQ431" s="2">
        <f>AP431*((G431*0.01)+(H431*0.01)+(I431*0.01))</f>
        <v>0.32920937500000014</v>
      </c>
      <c r="AR431" s="15">
        <v>1.3076036286431185</v>
      </c>
      <c r="AS431" s="15">
        <v>0.36183408608376749</v>
      </c>
      <c r="AT431" s="15">
        <f t="shared" si="93"/>
        <v>2.707813278942147E-2</v>
      </c>
      <c r="AU431" s="2">
        <f t="shared" si="94"/>
        <v>3.0864447542945369E-2</v>
      </c>
      <c r="AV431" s="2">
        <f t="shared" si="95"/>
        <v>4.1924960270573186E-3</v>
      </c>
      <c r="AW431" s="3">
        <f t="shared" si="96"/>
        <v>13.583577095374222</v>
      </c>
    </row>
    <row r="432" spans="1:49" s="5" customFormat="1" x14ac:dyDescent="0.2">
      <c r="A432" s="5" t="s">
        <v>480</v>
      </c>
      <c r="B432" s="5" t="s">
        <v>481</v>
      </c>
      <c r="C432" s="5" t="s">
        <v>482</v>
      </c>
      <c r="D432" s="5" t="s">
        <v>494</v>
      </c>
      <c r="E432" s="13" t="s">
        <v>484</v>
      </c>
      <c r="F432" s="5">
        <v>11</v>
      </c>
      <c r="G432" s="14">
        <v>2.7</v>
      </c>
      <c r="H432" s="14">
        <v>2.2000000000000002</v>
      </c>
      <c r="I432" s="14">
        <v>1.1000000000000001</v>
      </c>
      <c r="J432">
        <v>13.7</v>
      </c>
      <c r="K432">
        <v>14.8</v>
      </c>
      <c r="L432">
        <v>14.25</v>
      </c>
      <c r="M432">
        <v>0.21</v>
      </c>
      <c r="N432" s="14">
        <v>13.627777777777782</v>
      </c>
      <c r="O432" s="14">
        <v>14.727777777777781</v>
      </c>
      <c r="P432" s="14">
        <v>14.177777777777781</v>
      </c>
      <c r="Q432" s="14">
        <v>13.627777777777782</v>
      </c>
      <c r="R432" s="14">
        <v>14.727777777777781</v>
      </c>
      <c r="S432" s="14">
        <v>14.177777777777781</v>
      </c>
      <c r="T432" s="3">
        <v>14.18</v>
      </c>
      <c r="U432" s="3">
        <v>0.55000000000000004</v>
      </c>
      <c r="V432" s="3">
        <v>-50.17</v>
      </c>
      <c r="W432" s="3">
        <v>106.81</v>
      </c>
      <c r="X432" s="3">
        <v>-0.36</v>
      </c>
      <c r="Y432" s="3">
        <v>7.56</v>
      </c>
      <c r="Z432" s="3">
        <v>78.489999999999995</v>
      </c>
      <c r="AA432" s="4">
        <v>8.5300000000000001E-2</v>
      </c>
      <c r="AB432" s="4">
        <v>0.888916602</v>
      </c>
      <c r="AC432">
        <v>1.1476266666666668</v>
      </c>
      <c r="AD432" s="15">
        <v>7.7239000000000004</v>
      </c>
      <c r="AE432" s="15">
        <v>3.2141000000000002</v>
      </c>
      <c r="AF432" s="15">
        <f t="shared" si="91"/>
        <v>4.5098000000000003</v>
      </c>
      <c r="AG432" s="15">
        <v>2.0664733333333336</v>
      </c>
      <c r="AH432" s="15">
        <v>68.576833282477097</v>
      </c>
      <c r="AI432" s="2">
        <v>31.423166717522903</v>
      </c>
      <c r="AJ432" s="1">
        <f t="shared" si="92"/>
        <v>1.5711583358761452</v>
      </c>
      <c r="AK432" s="13">
        <v>0.86399999999999999</v>
      </c>
      <c r="AL432" s="16">
        <v>23.172683620000001</v>
      </c>
      <c r="AM432" s="10">
        <v>1.158634181</v>
      </c>
      <c r="AN432" s="16">
        <v>13.441231798143852</v>
      </c>
      <c r="AO432" s="11">
        <v>1.1621244190625808</v>
      </c>
      <c r="AP432" s="14">
        <v>5.1831587500000005</v>
      </c>
      <c r="AQ432" s="2">
        <f>AP432*((G432*0.01)+(H432*0.01)+(I432*0.01))</f>
        <v>0.31098952500000004</v>
      </c>
      <c r="AR432" s="15">
        <v>1.268777139680187</v>
      </c>
      <c r="AS432" s="15">
        <v>0.39868995587552347</v>
      </c>
      <c r="AT432" s="15">
        <f t="shared" si="93"/>
        <v>3.0185447828570626E-2</v>
      </c>
      <c r="AU432" s="2">
        <f t="shared" si="94"/>
        <v>3.4008253236182152E-2</v>
      </c>
      <c r="AV432" s="2">
        <f t="shared" si="95"/>
        <v>4.6153138939480035E-3</v>
      </c>
      <c r="AW432" s="3">
        <f t="shared" si="96"/>
        <v>13.571158335876147</v>
      </c>
    </row>
    <row r="433" spans="1:49" s="5" customFormat="1" x14ac:dyDescent="0.2">
      <c r="A433" s="5" t="s">
        <v>480</v>
      </c>
      <c r="B433" s="5" t="s">
        <v>481</v>
      </c>
      <c r="C433" s="5" t="s">
        <v>482</v>
      </c>
      <c r="D433" s="5" t="s">
        <v>495</v>
      </c>
      <c r="E433" s="13" t="s">
        <v>484</v>
      </c>
      <c r="F433" s="5">
        <v>12</v>
      </c>
      <c r="G433" s="14">
        <v>2.5</v>
      </c>
      <c r="H433" s="14">
        <v>2.1</v>
      </c>
      <c r="I433" s="14">
        <v>1.2</v>
      </c>
      <c r="J433">
        <v>15.01</v>
      </c>
      <c r="K433">
        <v>16.21</v>
      </c>
      <c r="L433">
        <v>15.61</v>
      </c>
      <c r="M433">
        <v>0.21</v>
      </c>
      <c r="N433" s="14">
        <v>14.93555555555556</v>
      </c>
      <c r="O433" s="14">
        <v>16.135555555555559</v>
      </c>
      <c r="P433" s="14">
        <v>15.535555555555559</v>
      </c>
      <c r="Q433" s="14">
        <v>14.93555555555556</v>
      </c>
      <c r="R433" s="14">
        <v>16.135555555555559</v>
      </c>
      <c r="S433" s="14">
        <v>15.535555555555559</v>
      </c>
      <c r="T433" s="3">
        <v>15.54</v>
      </c>
      <c r="U433" s="3">
        <v>0.6</v>
      </c>
      <c r="V433" s="3">
        <v>-47.99</v>
      </c>
      <c r="W433" s="3">
        <v>149.41999999999999</v>
      </c>
      <c r="X433" s="3">
        <v>13.86</v>
      </c>
      <c r="Y433" s="3">
        <v>23.48</v>
      </c>
      <c r="Z433" s="3">
        <v>98.704999999999998</v>
      </c>
      <c r="AA433" s="4">
        <v>8.5900000000000004E-2</v>
      </c>
      <c r="AB433" s="4">
        <v>0.364422203</v>
      </c>
      <c r="AC433">
        <v>1.1476266666666668</v>
      </c>
      <c r="AD433" s="15">
        <v>8.1105</v>
      </c>
      <c r="AE433" s="15">
        <v>3.1547000000000001</v>
      </c>
      <c r="AF433" s="15">
        <f t="shared" si="91"/>
        <v>4.9558</v>
      </c>
      <c r="AG433" s="15">
        <v>2.0070733333333335</v>
      </c>
      <c r="AH433" s="15">
        <v>71.174639588445771</v>
      </c>
      <c r="AI433" s="2">
        <v>28.825360411554229</v>
      </c>
      <c r="AJ433" s="1">
        <f t="shared" si="92"/>
        <v>1.4412680205777115</v>
      </c>
      <c r="AK433" s="13">
        <v>0.55940000000000001</v>
      </c>
      <c r="AL433" s="16">
        <v>28.919949169999999</v>
      </c>
      <c r="AM433" s="10">
        <v>1.4459974584999999</v>
      </c>
      <c r="AN433" s="16">
        <v>16.774912511600927</v>
      </c>
      <c r="AO433" s="11">
        <v>1.448795585991502</v>
      </c>
      <c r="AP433" s="14">
        <v>4.9831799999999991</v>
      </c>
      <c r="AQ433" s="2">
        <f>AP433*((G433*0.01)+(H433*0.01)+(I433*0.01))</f>
        <v>0.28902443999999994</v>
      </c>
      <c r="AR433" s="15">
        <v>1.3972751001034149</v>
      </c>
      <c r="AS433" s="15">
        <v>0.40276958354571457</v>
      </c>
      <c r="AT433" s="15">
        <f t="shared" si="93"/>
        <v>2.9165625049909855E-2</v>
      </c>
      <c r="AU433" s="2">
        <f t="shared" si="94"/>
        <v>3.4597907226576886E-2</v>
      </c>
      <c r="AV433" s="2">
        <f t="shared" si="95"/>
        <v>4.5120058109287169E-3</v>
      </c>
      <c r="AW433" s="3">
        <f t="shared" si="96"/>
        <v>13.041268020577713</v>
      </c>
    </row>
    <row r="434" spans="1:49" s="5" customFormat="1" x14ac:dyDescent="0.2">
      <c r="A434" s="5" t="s">
        <v>480</v>
      </c>
      <c r="B434" s="5" t="s">
        <v>481</v>
      </c>
      <c r="C434" s="5" t="s">
        <v>482</v>
      </c>
      <c r="D434" s="5" t="s">
        <v>496</v>
      </c>
      <c r="E434" s="13" t="s">
        <v>484</v>
      </c>
      <c r="F434" s="5">
        <v>13</v>
      </c>
      <c r="G434" s="14">
        <v>2.5</v>
      </c>
      <c r="H434" s="14">
        <v>2.2000000000000002</v>
      </c>
      <c r="I434" s="14">
        <v>1.2</v>
      </c>
      <c r="J434">
        <v>16.420000000000002</v>
      </c>
      <c r="K434">
        <v>17.62</v>
      </c>
      <c r="L434">
        <v>17.02</v>
      </c>
      <c r="M434">
        <v>0.21</v>
      </c>
      <c r="N434" s="14">
        <v>16.343333333333337</v>
      </c>
      <c r="O434" s="14">
        <v>17.543333333333337</v>
      </c>
      <c r="P434" s="14">
        <v>16.943333333333335</v>
      </c>
      <c r="Q434" s="14">
        <v>16.343333333333337</v>
      </c>
      <c r="R434" s="14">
        <v>17.543333333333337</v>
      </c>
      <c r="S434" s="14">
        <v>16.943333333333335</v>
      </c>
      <c r="T434" s="3">
        <v>16.940000000000001</v>
      </c>
      <c r="U434" s="3">
        <v>0.6</v>
      </c>
      <c r="V434" s="3">
        <v>-45.86</v>
      </c>
      <c r="W434" s="3">
        <v>192.41</v>
      </c>
      <c r="X434" s="3">
        <v>27.12</v>
      </c>
      <c r="Y434" s="3">
        <v>39.869999999999997</v>
      </c>
      <c r="Z434" s="3">
        <v>119.13500000000001</v>
      </c>
      <c r="AA434" s="4">
        <v>8.5300000000000001E-2</v>
      </c>
      <c r="AB434" s="4">
        <v>0.25790501100000002</v>
      </c>
      <c r="AC434">
        <v>1.1476266666666668</v>
      </c>
      <c r="AD434" s="15">
        <v>7.5396000000000001</v>
      </c>
      <c r="AE434" s="15">
        <v>2.9430999999999998</v>
      </c>
      <c r="AF434" s="15">
        <f t="shared" si="91"/>
        <v>4.5965000000000007</v>
      </c>
      <c r="AG434" s="15">
        <v>1.795473333333333</v>
      </c>
      <c r="AH434" s="15">
        <v>71.910500252399885</v>
      </c>
      <c r="AI434" s="2">
        <v>28.089499747600115</v>
      </c>
      <c r="AJ434" s="1">
        <f t="shared" si="92"/>
        <v>1.4044749873800058</v>
      </c>
      <c r="AK434" s="13">
        <v>0.61870000000000003</v>
      </c>
      <c r="AL434" s="16">
        <v>29.63721142</v>
      </c>
      <c r="AM434" s="10">
        <v>1.4818605710000001</v>
      </c>
      <c r="AN434" s="16">
        <v>17.190957900232018</v>
      </c>
      <c r="AO434" s="11">
        <v>1.4845911059562651</v>
      </c>
      <c r="AP434" s="14">
        <v>5.2021950000000006</v>
      </c>
      <c r="AQ434" s="2">
        <f>AP434*((G434*0.01)+(H434*0.01)+(I434*0.01))</f>
        <v>0.30692950499999999</v>
      </c>
      <c r="AR434" s="15">
        <v>1.2287069849041286</v>
      </c>
      <c r="AS434" s="15">
        <v>0.34513764542339009</v>
      </c>
      <c r="AT434" s="15">
        <f t="shared" si="93"/>
        <v>2.5210492981983822E-2</v>
      </c>
      <c r="AU434" s="2">
        <f t="shared" si="94"/>
        <v>2.9440241154615174E-2</v>
      </c>
      <c r="AV434" s="2">
        <f t="shared" si="95"/>
        <v>3.887429279485515E-3</v>
      </c>
      <c r="AW434" s="3">
        <f t="shared" si="96"/>
        <v>13.204474987380005</v>
      </c>
    </row>
    <row r="435" spans="1:49" s="5" customFormat="1" x14ac:dyDescent="0.2">
      <c r="A435" s="5" t="s">
        <v>480</v>
      </c>
      <c r="B435" s="5" t="s">
        <v>481</v>
      </c>
      <c r="C435" s="5" t="s">
        <v>482</v>
      </c>
      <c r="D435" s="5" t="s">
        <v>497</v>
      </c>
      <c r="E435" s="13" t="s">
        <v>484</v>
      </c>
      <c r="F435" s="5">
        <v>14</v>
      </c>
      <c r="G435" s="14">
        <v>2.5499999999999998</v>
      </c>
      <c r="H435" s="14">
        <v>2.2000000000000002</v>
      </c>
      <c r="I435" s="14">
        <v>1.2</v>
      </c>
      <c r="J435">
        <v>17.829999999999998</v>
      </c>
      <c r="K435">
        <v>19.03</v>
      </c>
      <c r="L435">
        <v>18.43</v>
      </c>
      <c r="M435">
        <v>0.21</v>
      </c>
      <c r="N435" s="14">
        <v>17.751111111111115</v>
      </c>
      <c r="O435" s="14">
        <v>18.951111111111114</v>
      </c>
      <c r="P435" s="14">
        <v>18.351111111111116</v>
      </c>
      <c r="Q435" s="14">
        <v>17.751111111111115</v>
      </c>
      <c r="R435" s="14">
        <v>18.951111111111114</v>
      </c>
      <c r="S435" s="14">
        <v>18.351111111111116</v>
      </c>
      <c r="T435" s="3">
        <v>18.350000000000001</v>
      </c>
      <c r="U435" s="3">
        <v>0.6</v>
      </c>
      <c r="V435" s="3">
        <v>-43.5</v>
      </c>
      <c r="W435" s="3">
        <v>240.06</v>
      </c>
      <c r="X435" s="3">
        <v>40.98</v>
      </c>
      <c r="Y435" s="3">
        <v>56.38</v>
      </c>
      <c r="Z435" s="3">
        <v>141.78</v>
      </c>
      <c r="AA435" s="4">
        <v>8.5599999999999996E-2</v>
      </c>
      <c r="AB435" s="4">
        <v>0.21805907299999999</v>
      </c>
      <c r="AC435">
        <v>1.1476266666666668</v>
      </c>
      <c r="AD435" s="15">
        <v>7.9927000000000001</v>
      </c>
      <c r="AE435" s="15">
        <v>2.8803000000000001</v>
      </c>
      <c r="AF435" s="15">
        <f t="shared" si="91"/>
        <v>5.1124000000000001</v>
      </c>
      <c r="AG435" s="15">
        <v>1.7326733333333333</v>
      </c>
      <c r="AH435" s="15">
        <v>74.68729334285193</v>
      </c>
      <c r="AI435" s="2">
        <v>25.31270665714807</v>
      </c>
      <c r="AJ435" s="1">
        <f t="shared" si="92"/>
        <v>1.2656353328574035</v>
      </c>
      <c r="AK435" s="13">
        <v>0.45639999999999997</v>
      </c>
      <c r="AL435" s="16">
        <v>31.880597009999999</v>
      </c>
      <c r="AM435" s="10">
        <v>1.5940298505000001</v>
      </c>
      <c r="AN435" s="16">
        <v>18.492225643851508</v>
      </c>
      <c r="AO435" s="11">
        <v>1.596568559218505</v>
      </c>
      <c r="AP435" s="14">
        <v>5.3134687500000002</v>
      </c>
      <c r="AQ435" s="2">
        <f>AP435*((G435*0.01)+(H435*0.01)+(I435*0.01))</f>
        <v>0.31615139062499997</v>
      </c>
      <c r="AR435" s="15">
        <v>1.2882494760759313</v>
      </c>
      <c r="AS435" s="15">
        <v>0.32609081089134723</v>
      </c>
      <c r="AT435" s="15">
        <f t="shared" si="93"/>
        <v>2.3529523767877265E-2</v>
      </c>
      <c r="AU435" s="2">
        <f t="shared" si="94"/>
        <v>2.7913373412299321E-2</v>
      </c>
      <c r="AV435" s="2">
        <f t="shared" si="95"/>
        <v>3.6749729525621029E-3</v>
      </c>
      <c r="AW435" s="3">
        <f t="shared" si="96"/>
        <v>13.1656353328574</v>
      </c>
    </row>
    <row r="436" spans="1:49" s="5" customFormat="1" x14ac:dyDescent="0.2">
      <c r="A436" s="5" t="s">
        <v>480</v>
      </c>
      <c r="B436" s="5" t="s">
        <v>481</v>
      </c>
      <c r="C436" s="5" t="s">
        <v>482</v>
      </c>
      <c r="D436" s="5" t="s">
        <v>498</v>
      </c>
      <c r="E436" s="13" t="s">
        <v>484</v>
      </c>
      <c r="F436" s="5">
        <v>15</v>
      </c>
      <c r="G436" s="14">
        <v>2.5</v>
      </c>
      <c r="H436" s="14">
        <v>2.0499999999999998</v>
      </c>
      <c r="I436" s="14">
        <v>1.1499999999999999</v>
      </c>
      <c r="J436">
        <v>19.239999999999998</v>
      </c>
      <c r="K436">
        <v>20.440000000000001</v>
      </c>
      <c r="L436">
        <v>19.84</v>
      </c>
      <c r="M436">
        <v>0.21</v>
      </c>
      <c r="N436" s="14">
        <v>19.158888888888892</v>
      </c>
      <c r="O436" s="14">
        <v>20.308888888888891</v>
      </c>
      <c r="P436" s="14">
        <v>19.733888888888892</v>
      </c>
      <c r="Q436" s="14">
        <v>19.158888888888892</v>
      </c>
      <c r="R436" s="14">
        <v>20.308888888888891</v>
      </c>
      <c r="S436" s="14">
        <v>19.733888888888892</v>
      </c>
      <c r="T436" s="3">
        <v>19.73</v>
      </c>
      <c r="U436" s="3">
        <v>0.57499999999999996</v>
      </c>
      <c r="V436" s="3">
        <v>-41.7</v>
      </c>
      <c r="W436" s="3">
        <v>286.38</v>
      </c>
      <c r="X436" s="3">
        <v>54.56</v>
      </c>
      <c r="Y436" s="3">
        <v>72.53</v>
      </c>
      <c r="Z436" s="3">
        <v>164.04</v>
      </c>
      <c r="AA436" s="4">
        <v>8.6900000000000005E-2</v>
      </c>
      <c r="AB436" s="4">
        <v>0.19907297500000001</v>
      </c>
      <c r="AC436">
        <v>1.1476266666666668</v>
      </c>
      <c r="AD436" s="15">
        <v>7.6837</v>
      </c>
      <c r="AE436" s="15">
        <v>3.0596000000000001</v>
      </c>
      <c r="AF436" s="15">
        <f t="shared" si="91"/>
        <v>4.6241000000000003</v>
      </c>
      <c r="AG436" s="15">
        <v>1.9119733333333333</v>
      </c>
      <c r="AH436" s="15">
        <v>70.747370235544082</v>
      </c>
      <c r="AI436" s="2">
        <v>29.252629764455918</v>
      </c>
      <c r="AJ436" s="1">
        <f t="shared" si="92"/>
        <v>1.462631488222796</v>
      </c>
      <c r="AK436" s="13">
        <v>0.73939999999999995</v>
      </c>
      <c r="AL436" s="16">
        <v>26.383910790000002</v>
      </c>
      <c r="AM436" s="10">
        <v>1.3191955395000001</v>
      </c>
      <c r="AN436" s="16">
        <v>15.303892569605569</v>
      </c>
      <c r="AO436" s="11">
        <v>1.3222620282821012</v>
      </c>
      <c r="AP436" s="14">
        <v>4.6722954687499998</v>
      </c>
      <c r="AQ436" s="2">
        <f>AP436*((G436*0.01)+(H436*0.01)+(I436*0.01))</f>
        <v>0.26632084171874998</v>
      </c>
      <c r="AR436" s="15">
        <v>1.3988998292271868</v>
      </c>
      <c r="AS436" s="15">
        <v>0.40921498781943516</v>
      </c>
      <c r="AT436" s="15">
        <f t="shared" si="93"/>
        <v>2.931056157208194E-2</v>
      </c>
      <c r="AU436" s="2">
        <f t="shared" si="94"/>
        <v>3.5560782441508919E-2</v>
      </c>
      <c r="AV436" s="2">
        <f t="shared" si="95"/>
        <v>4.5740523997799291E-3</v>
      </c>
      <c r="AW436" s="3">
        <f t="shared" si="96"/>
        <v>12.862631488222794</v>
      </c>
    </row>
    <row r="437" spans="1:49" s="5" customFormat="1" x14ac:dyDescent="0.2">
      <c r="A437" s="5" t="s">
        <v>480</v>
      </c>
      <c r="B437" s="5" t="s">
        <v>481</v>
      </c>
      <c r="C437" s="5" t="s">
        <v>482</v>
      </c>
      <c r="D437" s="5" t="s">
        <v>499</v>
      </c>
      <c r="E437" s="13" t="s">
        <v>484</v>
      </c>
      <c r="F437" s="5">
        <v>16</v>
      </c>
      <c r="G437" s="14">
        <v>2.1</v>
      </c>
      <c r="H437" s="14">
        <v>2.15</v>
      </c>
      <c r="I437" s="14">
        <v>1.1200000000000001</v>
      </c>
      <c r="J437">
        <v>20.65</v>
      </c>
      <c r="K437">
        <v>21.75</v>
      </c>
      <c r="L437">
        <v>21.2</v>
      </c>
      <c r="M437">
        <v>0.21</v>
      </c>
      <c r="N437" s="14">
        <v>20.516666666666669</v>
      </c>
      <c r="O437" s="14">
        <v>21.63666666666667</v>
      </c>
      <c r="P437" s="14">
        <v>21.076666666666668</v>
      </c>
      <c r="Q437" s="14">
        <v>20.516666666666669</v>
      </c>
      <c r="R437" s="14">
        <v>21.63666666666667</v>
      </c>
      <c r="S437" s="14">
        <v>21.076666666666668</v>
      </c>
      <c r="T437" s="3">
        <v>21.08</v>
      </c>
      <c r="U437" s="3">
        <v>0.56000000000000005</v>
      </c>
      <c r="V437" s="3">
        <v>-28.73</v>
      </c>
      <c r="W437" s="3">
        <v>300.22000000000003</v>
      </c>
      <c r="X437" s="3">
        <v>70.209999999999994</v>
      </c>
      <c r="Y437" s="3">
        <v>87.98</v>
      </c>
      <c r="Z437" s="3">
        <v>164.47499999999999</v>
      </c>
      <c r="AA437" s="4">
        <v>8.8499999999999995E-2</v>
      </c>
      <c r="AB437" s="4">
        <v>0.167798162</v>
      </c>
      <c r="AC437">
        <v>1.1476266666666668</v>
      </c>
      <c r="AD437" s="15">
        <v>8.4329000000000001</v>
      </c>
      <c r="AE437" s="15">
        <v>3.5419</v>
      </c>
      <c r="AF437" s="15">
        <f t="shared" si="91"/>
        <v>4.891</v>
      </c>
      <c r="AG437" s="15">
        <v>2.3942733333333335</v>
      </c>
      <c r="AH437" s="15">
        <v>67.135435778662156</v>
      </c>
      <c r="AI437" s="2">
        <v>32.864564221337844</v>
      </c>
      <c r="AJ437" s="1">
        <f t="shared" si="92"/>
        <v>1.6432282110668923</v>
      </c>
      <c r="AK437" s="13">
        <v>0.72119999999999995</v>
      </c>
      <c r="AL437" s="16">
        <v>24.867173659999999</v>
      </c>
      <c r="AM437" s="10">
        <v>1.2433586830000001</v>
      </c>
      <c r="AN437" s="16">
        <v>14.424114651972157</v>
      </c>
      <c r="AO437" s="11">
        <v>1.2466117336971823</v>
      </c>
      <c r="AP437" s="14">
        <v>3.9701375000000008</v>
      </c>
      <c r="AQ437" s="2">
        <f>AP437*((G437*0.01)+(H437*0.01)+(I437*0.01))</f>
        <v>0.21319638375000002</v>
      </c>
      <c r="AR437" s="15">
        <v>1.8350178887591002</v>
      </c>
      <c r="AS437" s="15">
        <v>0.60307063252427229</v>
      </c>
      <c r="AT437" s="15">
        <f t="shared" si="93"/>
        <v>4.2294719732851815E-2</v>
      </c>
      <c r="AU437" s="2">
        <f t="shared" si="94"/>
        <v>5.3371750978398094E-2</v>
      </c>
      <c r="AV437" s="2">
        <f t="shared" si="95"/>
        <v>6.6091457238973625E-3</v>
      </c>
      <c r="AW437" s="3">
        <f t="shared" si="96"/>
        <v>12.383228211066893</v>
      </c>
    </row>
    <row r="438" spans="1:49" s="5" customFormat="1" x14ac:dyDescent="0.2">
      <c r="A438" s="5" t="s">
        <v>480</v>
      </c>
      <c r="B438" s="5" t="s">
        <v>481</v>
      </c>
      <c r="C438" s="5" t="s">
        <v>482</v>
      </c>
      <c r="D438" s="5" t="s">
        <v>500</v>
      </c>
      <c r="E438" s="13" t="s">
        <v>484</v>
      </c>
      <c r="F438" s="5">
        <v>17</v>
      </c>
      <c r="G438" s="14">
        <v>2.5</v>
      </c>
      <c r="H438" s="14">
        <v>2.1</v>
      </c>
      <c r="I438" s="14">
        <v>1.2</v>
      </c>
      <c r="J438">
        <v>21.96</v>
      </c>
      <c r="K438">
        <v>23.16</v>
      </c>
      <c r="L438">
        <v>22.56</v>
      </c>
      <c r="M438">
        <v>0.21</v>
      </c>
      <c r="N438" s="14">
        <v>21.844444444444449</v>
      </c>
      <c r="O438" s="14">
        <v>23.044444444444448</v>
      </c>
      <c r="P438" s="14">
        <v>22.44444444444445</v>
      </c>
      <c r="Q438" s="14">
        <v>21.844444444444449</v>
      </c>
      <c r="R438" s="14">
        <v>23.044444444444448</v>
      </c>
      <c r="S438" s="14">
        <v>22.44444444444445</v>
      </c>
      <c r="T438" s="3">
        <v>22.44</v>
      </c>
      <c r="U438" s="3">
        <v>0.6</v>
      </c>
      <c r="V438" s="3">
        <v>-18.350000000000001</v>
      </c>
      <c r="W438" s="3">
        <v>310.64999999999998</v>
      </c>
      <c r="X438" s="3">
        <v>86.53</v>
      </c>
      <c r="Y438" s="3">
        <v>103.44</v>
      </c>
      <c r="Z438" s="3">
        <v>164.5</v>
      </c>
      <c r="AA438" s="4">
        <v>8.7800000000000003E-2</v>
      </c>
      <c r="AB438" s="4">
        <v>0.141975397</v>
      </c>
      <c r="AC438">
        <v>1.1476266666666668</v>
      </c>
      <c r="AD438" s="15">
        <v>8.4495000000000005</v>
      </c>
      <c r="AE438" s="15">
        <v>3.5274999999999999</v>
      </c>
      <c r="AF438" s="15">
        <f t="shared" si="91"/>
        <v>4.9220000000000006</v>
      </c>
      <c r="AG438" s="15">
        <v>2.3798733333333333</v>
      </c>
      <c r="AH438" s="15">
        <v>67.407359389964768</v>
      </c>
      <c r="AI438" s="2">
        <v>32.592640610035232</v>
      </c>
      <c r="AJ438" s="1">
        <f t="shared" si="92"/>
        <v>1.6296320305017618</v>
      </c>
      <c r="AK438" s="13">
        <v>0.52649999999999997</v>
      </c>
      <c r="AL438" s="16">
        <v>28.503530690000002</v>
      </c>
      <c r="AM438" s="10">
        <v>1.4251765345000003</v>
      </c>
      <c r="AN438" s="16">
        <v>16.533370469837589</v>
      </c>
      <c r="AO438" s="11">
        <v>1.4280154601717134</v>
      </c>
      <c r="AP438" s="14">
        <v>4.9831799999999991</v>
      </c>
      <c r="AQ438" s="2">
        <f>AP438*((G438*0.01)+(H438*0.01)+(I438*0.01))</f>
        <v>0.28902443999999994</v>
      </c>
      <c r="AR438" s="15">
        <v>1.4653039491516131</v>
      </c>
      <c r="AS438" s="15">
        <v>0.47758124999163865</v>
      </c>
      <c r="AT438" s="15">
        <f t="shared" si="93"/>
        <v>3.548252952104948E-2</v>
      </c>
      <c r="AU438" s="2">
        <f t="shared" si="94"/>
        <v>4.1931633749265874E-2</v>
      </c>
      <c r="AV438" s="2">
        <f t="shared" si="95"/>
        <v>5.5474008494055651E-3</v>
      </c>
      <c r="AW438" s="3">
        <f t="shared" si="96"/>
        <v>13.229632030501762</v>
      </c>
    </row>
    <row r="439" spans="1:49" s="5" customFormat="1" x14ac:dyDescent="0.2">
      <c r="A439" s="5" t="s">
        <v>480</v>
      </c>
      <c r="B439" s="5" t="s">
        <v>481</v>
      </c>
      <c r="C439" s="5" t="s">
        <v>482</v>
      </c>
      <c r="D439" s="5" t="s">
        <v>501</v>
      </c>
      <c r="E439" s="13" t="s">
        <v>484</v>
      </c>
      <c r="F439" s="5">
        <v>18</v>
      </c>
      <c r="G439" s="14">
        <v>2.4</v>
      </c>
      <c r="H439" s="14">
        <v>2.15</v>
      </c>
      <c r="I439" s="14">
        <v>1.2</v>
      </c>
      <c r="J439">
        <v>23.37</v>
      </c>
      <c r="K439">
        <v>24.57</v>
      </c>
      <c r="L439">
        <v>23.97</v>
      </c>
      <c r="M439">
        <v>0.21</v>
      </c>
      <c r="N439" s="14">
        <v>23.252222222222226</v>
      </c>
      <c r="O439" s="14">
        <v>24.452222222222225</v>
      </c>
      <c r="P439" s="14">
        <v>23.852222222222224</v>
      </c>
      <c r="Q439" s="14">
        <v>23.252222222222226</v>
      </c>
      <c r="R439" s="14">
        <v>24.452222222222225</v>
      </c>
      <c r="S439" s="14">
        <v>23.852222222222224</v>
      </c>
      <c r="T439" s="3">
        <v>23.85</v>
      </c>
      <c r="U439" s="3">
        <v>0.6</v>
      </c>
      <c r="V439" s="3">
        <v>-10.14</v>
      </c>
      <c r="W439" s="3">
        <v>323.37</v>
      </c>
      <c r="X439" s="3">
        <v>105.33</v>
      </c>
      <c r="Y439" s="3">
        <v>119.48</v>
      </c>
      <c r="Z439" s="3">
        <v>166.755</v>
      </c>
      <c r="AA439" s="4">
        <v>8.7800000000000003E-2</v>
      </c>
      <c r="AB439" s="4">
        <v>0.124748887</v>
      </c>
      <c r="AC439">
        <v>1.1476266666666668</v>
      </c>
      <c r="AD439" s="15">
        <v>8.3394999999999992</v>
      </c>
      <c r="AE439" s="15">
        <v>3.5202</v>
      </c>
      <c r="AF439" s="15">
        <f t="shared" si="91"/>
        <v>4.8192999999999993</v>
      </c>
      <c r="AG439" s="15">
        <v>2.3725733333333334</v>
      </c>
      <c r="AH439" s="15">
        <v>67.01035706042282</v>
      </c>
      <c r="AI439" s="2">
        <v>32.98964293957718</v>
      </c>
      <c r="AJ439" s="1">
        <f t="shared" si="92"/>
        <v>1.6494821469788592</v>
      </c>
      <c r="AK439" s="13">
        <v>0.55900000000000005</v>
      </c>
      <c r="AL439" s="16">
        <v>27.69370069</v>
      </c>
      <c r="AM439" s="10">
        <v>1.3846850345000001</v>
      </c>
      <c r="AN439" s="16">
        <v>16.063631490719256</v>
      </c>
      <c r="AO439" s="11">
        <v>1.3876068048147741</v>
      </c>
      <c r="AP439" s="14">
        <v>4.8754387499999998</v>
      </c>
      <c r="AQ439" s="2">
        <f>AP439*((G439*0.01)+(H439*0.01)+(I439*0.01))</f>
        <v>0.28033772812499996</v>
      </c>
      <c r="AR439" s="15">
        <v>1.4751233072784133</v>
      </c>
      <c r="AS439" s="15">
        <v>0.48663791198963036</v>
      </c>
      <c r="AT439" s="15">
        <f t="shared" si="93"/>
        <v>3.6008685418103391E-2</v>
      </c>
      <c r="AU439" s="2">
        <f t="shared" si="94"/>
        <v>4.2726808672689548E-2</v>
      </c>
      <c r="AV439" s="2">
        <f t="shared" si="95"/>
        <v>5.6183540783891267E-3</v>
      </c>
      <c r="AW439" s="3">
        <f t="shared" si="96"/>
        <v>13.149482146978858</v>
      </c>
    </row>
    <row r="440" spans="1:49" s="5" customFormat="1" x14ac:dyDescent="0.2">
      <c r="A440" s="5" t="s">
        <v>480</v>
      </c>
      <c r="B440" s="5" t="s">
        <v>481</v>
      </c>
      <c r="C440" s="5" t="s">
        <v>482</v>
      </c>
      <c r="D440" s="5" t="s">
        <v>502</v>
      </c>
      <c r="E440" s="13" t="s">
        <v>484</v>
      </c>
      <c r="F440" s="5">
        <v>19</v>
      </c>
      <c r="G440" s="14">
        <v>2.4500000000000002</v>
      </c>
      <c r="H440" s="14">
        <v>2.0499999999999998</v>
      </c>
      <c r="I440" s="14">
        <v>1.2</v>
      </c>
      <c r="J440">
        <v>24.78</v>
      </c>
      <c r="K440">
        <v>25.98</v>
      </c>
      <c r="L440">
        <v>25.38</v>
      </c>
      <c r="M440">
        <v>0.21</v>
      </c>
      <c r="N440" s="14">
        <v>24.660000000000004</v>
      </c>
      <c r="O440" s="14">
        <v>25.860000000000003</v>
      </c>
      <c r="P440" s="14">
        <v>25.260000000000005</v>
      </c>
      <c r="Q440" s="14">
        <v>24.660000000000004</v>
      </c>
      <c r="R440" s="14">
        <v>25.860000000000003</v>
      </c>
      <c r="S440" s="14">
        <v>25.260000000000005</v>
      </c>
      <c r="T440" s="3">
        <v>25.26</v>
      </c>
      <c r="U440" s="3">
        <v>0.6</v>
      </c>
      <c r="V440" s="3">
        <v>-2.75</v>
      </c>
      <c r="W440" s="3">
        <v>338.51</v>
      </c>
      <c r="X440" s="3">
        <v>125.2</v>
      </c>
      <c r="Y440" s="3">
        <v>135.52000000000001</v>
      </c>
      <c r="Z440" s="3">
        <v>170.63</v>
      </c>
      <c r="AA440" s="4">
        <v>8.8099999999999998E-2</v>
      </c>
      <c r="AB440" s="4">
        <v>0.113017245</v>
      </c>
      <c r="AC440">
        <v>1.1476266666666668</v>
      </c>
      <c r="AD440" s="15">
        <v>8.0765999999999991</v>
      </c>
      <c r="AE440" s="15">
        <v>3.242</v>
      </c>
      <c r="AF440" s="15">
        <f t="shared" si="91"/>
        <v>4.8345999999999991</v>
      </c>
      <c r="AG440" s="15">
        <v>2.0943733333333334</v>
      </c>
      <c r="AH440" s="15">
        <v>69.773684605511548</v>
      </c>
      <c r="AI440" s="2">
        <v>30.226315394488452</v>
      </c>
      <c r="AJ440" s="1">
        <f t="shared" si="92"/>
        <v>1.5113157697244226</v>
      </c>
      <c r="AK440" s="13">
        <v>0.52929999999999999</v>
      </c>
      <c r="AL440" s="16">
        <v>27.720879419999999</v>
      </c>
      <c r="AM440" s="10">
        <v>1.3860439710000001</v>
      </c>
      <c r="AN440" s="16">
        <v>16.079396415313226</v>
      </c>
      <c r="AO440" s="11">
        <v>1.3889628827097753</v>
      </c>
      <c r="AP440" s="14">
        <v>4.7688749999999995</v>
      </c>
      <c r="AQ440" s="2">
        <f>AP440*((G440*0.01)+(H440*0.01)+(I440*0.01))</f>
        <v>0.27182587499999994</v>
      </c>
      <c r="AR440" s="15">
        <v>1.4529576332643093</v>
      </c>
      <c r="AS440" s="15">
        <v>0.43917555677876513</v>
      </c>
      <c r="AT440" s="15">
        <f t="shared" si="93"/>
        <v>3.1670336182762118E-2</v>
      </c>
      <c r="AU440" s="2">
        <f t="shared" si="94"/>
        <v>3.8691366552209207E-2</v>
      </c>
      <c r="AV440" s="2">
        <f t="shared" si="95"/>
        <v>4.9955645111772664E-3</v>
      </c>
      <c r="AW440" s="3">
        <f t="shared" si="96"/>
        <v>12.911315769724418</v>
      </c>
    </row>
    <row r="441" spans="1:49" s="5" customFormat="1" x14ac:dyDescent="0.2">
      <c r="A441" s="5" t="s">
        <v>480</v>
      </c>
      <c r="B441" s="5" t="s">
        <v>481</v>
      </c>
      <c r="C441" s="5" t="s">
        <v>482</v>
      </c>
      <c r="D441" s="5" t="s">
        <v>503</v>
      </c>
      <c r="E441" s="13" t="s">
        <v>484</v>
      </c>
      <c r="F441" s="5">
        <v>20</v>
      </c>
      <c r="G441" s="14">
        <v>2.2999999999999998</v>
      </c>
      <c r="H441" s="14">
        <v>2.1</v>
      </c>
      <c r="I441" s="14">
        <v>1.25</v>
      </c>
      <c r="J441">
        <v>26.19</v>
      </c>
      <c r="K441">
        <v>27.49</v>
      </c>
      <c r="L441">
        <v>26.84</v>
      </c>
      <c r="M441">
        <v>0.21</v>
      </c>
      <c r="N441" s="14">
        <v>26.067777777777781</v>
      </c>
      <c r="O441" s="14">
        <v>27.317777777777781</v>
      </c>
      <c r="P441" s="14">
        <v>26.692777777777781</v>
      </c>
      <c r="Q441" s="14">
        <v>26.067777777777781</v>
      </c>
      <c r="R441" s="14">
        <v>27.317777777777781</v>
      </c>
      <c r="S441" s="14">
        <v>26.692777777777781</v>
      </c>
      <c r="T441" s="3">
        <v>26.69</v>
      </c>
      <c r="U441" s="3">
        <v>0.625</v>
      </c>
      <c r="V441" s="3">
        <v>2.23</v>
      </c>
      <c r="W441" s="3">
        <v>355.48</v>
      </c>
      <c r="X441" s="3">
        <v>143.79</v>
      </c>
      <c r="Y441" s="3">
        <v>151.78</v>
      </c>
      <c r="Z441" s="3">
        <v>176.625</v>
      </c>
      <c r="AA441" s="4">
        <v>8.7499999999999994E-2</v>
      </c>
      <c r="AB441" s="4">
        <v>0.103871939</v>
      </c>
      <c r="AC441">
        <v>1.1476266666666668</v>
      </c>
      <c r="AD441" s="15">
        <v>7.7009999999999996</v>
      </c>
      <c r="AE441" s="15">
        <v>3.2105999999999999</v>
      </c>
      <c r="AF441" s="15">
        <f t="shared" si="91"/>
        <v>4.4903999999999993</v>
      </c>
      <c r="AG441" s="15">
        <v>2.0629733333333329</v>
      </c>
      <c r="AH441" s="15">
        <v>68.520436294386812</v>
      </c>
      <c r="AI441" s="2">
        <v>31.479563705613188</v>
      </c>
      <c r="AJ441" s="1">
        <f t="shared" si="92"/>
        <v>1.5739781852806596</v>
      </c>
      <c r="AK441" s="13">
        <v>0.47639999999999999</v>
      </c>
      <c r="AL441" s="16">
        <v>27.719617660000001</v>
      </c>
      <c r="AM441" s="10">
        <v>1.3859808830000002</v>
      </c>
      <c r="AN441" s="16">
        <v>16.078664535962879</v>
      </c>
      <c r="AO441" s="11">
        <v>1.3888999272955054</v>
      </c>
      <c r="AP441" s="14">
        <v>4.7492500000000009</v>
      </c>
      <c r="AQ441" s="2">
        <f>AP441*((G441*0.01)+(H441*0.01)+(I441*0.01))</f>
        <v>0.26833262500000005</v>
      </c>
      <c r="AR441" s="15">
        <v>1.3798754189257949</v>
      </c>
      <c r="AS441" s="15">
        <v>0.43437876155884247</v>
      </c>
      <c r="AT441" s="15">
        <f t="shared" si="93"/>
        <v>3.1379426976503075E-2</v>
      </c>
      <c r="AU441" s="2">
        <f t="shared" si="94"/>
        <v>3.8008141636398714E-2</v>
      </c>
      <c r="AV441" s="2">
        <f t="shared" si="95"/>
        <v>4.8931598629005464E-3</v>
      </c>
      <c r="AW441" s="3">
        <f t="shared" si="96"/>
        <v>12.873978185280659</v>
      </c>
    </row>
    <row r="442" spans="1:49" s="5" customFormat="1" x14ac:dyDescent="0.2">
      <c r="A442" s="5" t="s">
        <v>480</v>
      </c>
      <c r="B442" s="5" t="s">
        <v>481</v>
      </c>
      <c r="C442" s="5" t="s">
        <v>482</v>
      </c>
      <c r="D442" s="5" t="s">
        <v>504</v>
      </c>
      <c r="E442" s="13" t="s">
        <v>484</v>
      </c>
      <c r="F442" s="5">
        <v>21</v>
      </c>
      <c r="G442" s="14">
        <v>2.2999999999999998</v>
      </c>
      <c r="H442" s="14">
        <v>2.0499999999999998</v>
      </c>
      <c r="I442" s="14">
        <v>1.2</v>
      </c>
      <c r="J442">
        <v>27.7</v>
      </c>
      <c r="K442">
        <v>28.9</v>
      </c>
      <c r="L442">
        <v>28.3</v>
      </c>
      <c r="M442">
        <v>0.21</v>
      </c>
      <c r="N442" s="14">
        <v>27.52555555555556</v>
      </c>
      <c r="O442" s="14">
        <v>28.725555555555559</v>
      </c>
      <c r="P442" s="14">
        <v>28.125555555555557</v>
      </c>
      <c r="Q442" s="14">
        <v>27.52555555555556</v>
      </c>
      <c r="R442" s="14">
        <v>28.725555555555559</v>
      </c>
      <c r="S442" s="14">
        <v>28.125555555555557</v>
      </c>
      <c r="T442" s="3">
        <v>28.13</v>
      </c>
      <c r="U442" s="3">
        <v>0.6</v>
      </c>
      <c r="V442" s="3">
        <v>7.27</v>
      </c>
      <c r="W442" s="3">
        <v>371.79</v>
      </c>
      <c r="X442" s="3">
        <v>160.6</v>
      </c>
      <c r="Y442" s="3">
        <v>168.16</v>
      </c>
      <c r="Z442" s="3">
        <v>182.26</v>
      </c>
      <c r="AA442" s="4">
        <v>8.8400000000000006E-2</v>
      </c>
      <c r="AB442" s="4">
        <v>9.7697757999999996E-2</v>
      </c>
      <c r="AC442">
        <v>1.1476266666666668</v>
      </c>
      <c r="AD442" s="15">
        <v>7.5655999999999999</v>
      </c>
      <c r="AE442" s="15">
        <v>3.2391000000000001</v>
      </c>
      <c r="AF442" s="15">
        <f t="shared" si="91"/>
        <v>4.3264999999999993</v>
      </c>
      <c r="AG442" s="15">
        <v>2.0914733333333331</v>
      </c>
      <c r="AH442" s="15">
        <v>67.412246441244179</v>
      </c>
      <c r="AI442" s="2">
        <v>32.587753558755821</v>
      </c>
      <c r="AJ442" s="1">
        <f t="shared" si="92"/>
        <v>1.6293876779377912</v>
      </c>
      <c r="AK442" s="13">
        <v>0.74470000000000003</v>
      </c>
      <c r="AL442" s="16">
        <v>26.062351069999998</v>
      </c>
      <c r="AM442" s="10">
        <v>1.3031175534999999</v>
      </c>
      <c r="AN442" s="16">
        <v>15.117373010440835</v>
      </c>
      <c r="AO442" s="11">
        <v>1.3062217875383282</v>
      </c>
      <c r="AP442" s="14">
        <v>4.4562487499999994</v>
      </c>
      <c r="AQ442" s="2">
        <f>AP442*((G442*0.01)+(H442*0.01)+(I442*0.01))</f>
        <v>0.24732180562499995</v>
      </c>
      <c r="AR442" s="15">
        <v>1.4402188238107969</v>
      </c>
      <c r="AS442" s="15">
        <v>0.46933496101027422</v>
      </c>
      <c r="AT442" s="15">
        <f t="shared" si="93"/>
        <v>3.369537635902576E-2</v>
      </c>
      <c r="AU442" s="2">
        <f t="shared" si="94"/>
        <v>4.1489210553308245E-2</v>
      </c>
      <c r="AV442" s="2">
        <f t="shared" si="95"/>
        <v>5.2813224558464844E-3</v>
      </c>
      <c r="AW442" s="3">
        <f t="shared" si="96"/>
        <v>12.72938767793779</v>
      </c>
    </row>
    <row r="443" spans="1:49" s="5" customFormat="1" x14ac:dyDescent="0.2">
      <c r="A443" s="5" t="s">
        <v>480</v>
      </c>
      <c r="B443" s="5" t="s">
        <v>481</v>
      </c>
      <c r="C443" s="5" t="s">
        <v>482</v>
      </c>
      <c r="D443" s="5" t="s">
        <v>505</v>
      </c>
      <c r="E443" s="13" t="s">
        <v>484</v>
      </c>
      <c r="F443" s="5">
        <v>22</v>
      </c>
      <c r="G443" s="14">
        <v>2.35</v>
      </c>
      <c r="H443" s="14">
        <v>2.1</v>
      </c>
      <c r="I443" s="14">
        <v>1.1000000000000001</v>
      </c>
      <c r="J443">
        <v>29.11</v>
      </c>
      <c r="K443">
        <v>30.21</v>
      </c>
      <c r="L443">
        <v>29.66</v>
      </c>
      <c r="M443">
        <v>0.21</v>
      </c>
      <c r="N443" s="14">
        <v>28.933333333333337</v>
      </c>
      <c r="O443" s="14">
        <v>30.033333333333339</v>
      </c>
      <c r="P443" s="14">
        <v>29.483333333333338</v>
      </c>
      <c r="Q443" s="14">
        <v>28.933333333333337</v>
      </c>
      <c r="R443" s="14">
        <v>30.033333333333339</v>
      </c>
      <c r="S443" s="14">
        <v>29.483333333333338</v>
      </c>
      <c r="T443" s="3">
        <v>29.48</v>
      </c>
      <c r="U443" s="3">
        <v>0.55000000000000004</v>
      </c>
      <c r="V443" s="3">
        <v>12.82</v>
      </c>
      <c r="W443" s="3">
        <v>394.89</v>
      </c>
      <c r="X443" s="3">
        <v>176.81</v>
      </c>
      <c r="Y443" s="3">
        <v>183.52</v>
      </c>
      <c r="Z443" s="3">
        <v>191.035</v>
      </c>
      <c r="AA443" s="4">
        <v>8.6499999999999994E-2</v>
      </c>
      <c r="AB443" s="4">
        <v>9.1655913000000006E-2</v>
      </c>
      <c r="AC443">
        <v>1.1476266666666668</v>
      </c>
      <c r="AD443" s="15">
        <v>7.7953000000000001</v>
      </c>
      <c r="AE443" s="15">
        <v>3.5581</v>
      </c>
      <c r="AF443" s="15">
        <f t="shared" si="91"/>
        <v>4.2371999999999996</v>
      </c>
      <c r="AG443" s="15">
        <v>2.410473333333333</v>
      </c>
      <c r="AH443" s="15">
        <v>63.739594103601164</v>
      </c>
      <c r="AI443" s="2">
        <v>36.260405896398836</v>
      </c>
      <c r="AJ443" s="1">
        <f t="shared" si="92"/>
        <v>1.8130202948199419</v>
      </c>
      <c r="AK443" s="13">
        <v>0.75249999999999995</v>
      </c>
      <c r="AL443" s="16">
        <v>22.438672440000001</v>
      </c>
      <c r="AM443" s="10">
        <v>1.121933622</v>
      </c>
      <c r="AN443" s="16">
        <v>13.015471252900232</v>
      </c>
      <c r="AO443" s="11">
        <v>1.1255376724810409</v>
      </c>
      <c r="AP443" s="14">
        <v>4.2748646875000009</v>
      </c>
      <c r="AQ443" s="2">
        <f>AP443*((G443*0.01)+(H443*0.01)+(I443*0.01))</f>
        <v>0.23725499015625007</v>
      </c>
      <c r="AR443" s="15">
        <v>1.5550605268914333</v>
      </c>
      <c r="AS443" s="15">
        <v>0.56387125898551205</v>
      </c>
      <c r="AT443" s="15">
        <f t="shared" si="93"/>
        <v>4.1517955235759962E-2</v>
      </c>
      <c r="AU443" s="2">
        <f t="shared" si="94"/>
        <v>4.8774863902246786E-2</v>
      </c>
      <c r="AV443" s="2">
        <f t="shared" si="95"/>
        <v>6.2983080744679325E-3</v>
      </c>
      <c r="AW443" s="3">
        <f t="shared" si="96"/>
        <v>12.91302029481994</v>
      </c>
    </row>
    <row r="444" spans="1:49" s="5" customFormat="1" x14ac:dyDescent="0.2">
      <c r="A444" s="5" t="s">
        <v>480</v>
      </c>
      <c r="B444" s="5" t="s">
        <v>481</v>
      </c>
      <c r="C444" s="5" t="s">
        <v>482</v>
      </c>
      <c r="D444" s="5" t="s">
        <v>506</v>
      </c>
      <c r="E444" s="13" t="s">
        <v>484</v>
      </c>
      <c r="F444" s="5">
        <v>23</v>
      </c>
      <c r="G444" s="14">
        <v>2.35</v>
      </c>
      <c r="H444" s="14">
        <v>2.1</v>
      </c>
      <c r="I444" s="14">
        <v>1.2</v>
      </c>
      <c r="J444">
        <v>30.42</v>
      </c>
      <c r="K444">
        <v>31.62</v>
      </c>
      <c r="L444">
        <v>31.02</v>
      </c>
      <c r="M444">
        <v>0.21</v>
      </c>
      <c r="N444" s="14">
        <v>30.241111111111117</v>
      </c>
      <c r="O444" s="14">
        <v>31.441111111111116</v>
      </c>
      <c r="P444" s="14">
        <v>30.841111111111118</v>
      </c>
      <c r="Q444" s="14">
        <v>30.241111111111117</v>
      </c>
      <c r="R444" s="14">
        <v>31.441111111111116</v>
      </c>
      <c r="S444" s="14">
        <v>30.841111111111118</v>
      </c>
      <c r="T444" s="3">
        <v>30.84</v>
      </c>
      <c r="U444" s="3">
        <v>0.6</v>
      </c>
      <c r="V444" s="3">
        <v>26.07</v>
      </c>
      <c r="W444" s="3">
        <v>408.96</v>
      </c>
      <c r="X444" s="3">
        <v>192.66</v>
      </c>
      <c r="Y444" s="3">
        <v>199.22</v>
      </c>
      <c r="Z444" s="3">
        <v>191.44499999999999</v>
      </c>
      <c r="AA444" s="4">
        <v>8.5599999999999996E-2</v>
      </c>
      <c r="AB444" s="4">
        <v>8.3924640999999994E-2</v>
      </c>
      <c r="AC444">
        <v>1.1476266666666668</v>
      </c>
      <c r="AD444" s="15">
        <v>8.1832999999999991</v>
      </c>
      <c r="AE444" s="15">
        <v>3.7684000000000002</v>
      </c>
      <c r="AF444" s="15">
        <f t="shared" si="91"/>
        <v>4.4148999999999994</v>
      </c>
      <c r="AG444" s="15">
        <v>2.6207733333333332</v>
      </c>
      <c r="AH444" s="15">
        <v>62.750212962322479</v>
      </c>
      <c r="AI444" s="2">
        <v>37.249787037677521</v>
      </c>
      <c r="AJ444" s="1">
        <f t="shared" si="92"/>
        <v>1.8624893518838761</v>
      </c>
      <c r="AK444" s="13">
        <v>0.749</v>
      </c>
      <c r="AL444" s="16">
        <v>22.286781489999999</v>
      </c>
      <c r="AM444" s="10">
        <v>1.1143390744999999</v>
      </c>
      <c r="AN444" s="16">
        <v>12.927367453596288</v>
      </c>
      <c r="AO444" s="11">
        <v>1.1179676081879637</v>
      </c>
      <c r="AP444" s="14">
        <v>4.6634887500000008</v>
      </c>
      <c r="AQ444" s="2">
        <f>AP444*((G444*0.01)+(H444*0.01)+(I444*0.01))</f>
        <v>0.263487114375</v>
      </c>
      <c r="AR444" s="15">
        <v>1.5086716641770244</v>
      </c>
      <c r="AS444" s="15">
        <v>0.56197698200372692</v>
      </c>
      <c r="AT444" s="15">
        <f t="shared" si="93"/>
        <v>4.2218460933068344E-2</v>
      </c>
      <c r="AU444" s="2">
        <f t="shared" si="94"/>
        <v>4.8105229659519022E-2</v>
      </c>
      <c r="AV444" s="2">
        <f t="shared" si="95"/>
        <v>6.3318457316334743E-3</v>
      </c>
      <c r="AW444" s="3">
        <f t="shared" si="96"/>
        <v>13.162489351883874</v>
      </c>
    </row>
    <row r="445" spans="1:49" s="5" customFormat="1" x14ac:dyDescent="0.2">
      <c r="A445" s="5" t="s">
        <v>480</v>
      </c>
      <c r="B445" s="5" t="s">
        <v>481</v>
      </c>
      <c r="C445" s="5" t="s">
        <v>482</v>
      </c>
      <c r="D445" s="5" t="s">
        <v>507</v>
      </c>
      <c r="E445" s="13" t="s">
        <v>484</v>
      </c>
      <c r="F445" s="5">
        <v>24</v>
      </c>
      <c r="G445" s="14">
        <v>2.2999999999999998</v>
      </c>
      <c r="H445" s="14">
        <v>2.2000000000000002</v>
      </c>
      <c r="I445" s="14">
        <v>1.2</v>
      </c>
      <c r="J445">
        <v>31.83</v>
      </c>
      <c r="K445">
        <v>33.03</v>
      </c>
      <c r="L445">
        <v>32.43</v>
      </c>
      <c r="M445">
        <v>0.21</v>
      </c>
      <c r="N445" s="14">
        <v>31.648888888888894</v>
      </c>
      <c r="O445" s="14">
        <v>32.848888888888894</v>
      </c>
      <c r="P445" s="14">
        <v>32.248888888888892</v>
      </c>
      <c r="Q445" s="14">
        <v>31.648888888888894</v>
      </c>
      <c r="R445" s="14">
        <v>32.848888888888894</v>
      </c>
      <c r="S445" s="14">
        <v>32.248888888888892</v>
      </c>
      <c r="T445" s="3">
        <v>32.25</v>
      </c>
      <c r="U445" s="3">
        <v>0.6</v>
      </c>
      <c r="V445" s="3">
        <v>44.59</v>
      </c>
      <c r="W445" s="3">
        <v>413.91</v>
      </c>
      <c r="X445" s="3">
        <v>210</v>
      </c>
      <c r="Y445" s="3">
        <v>215.66</v>
      </c>
      <c r="Z445" s="3">
        <v>184.66</v>
      </c>
      <c r="AA445" s="4">
        <v>8.5999999999999993E-2</v>
      </c>
      <c r="AB445" s="4">
        <v>7.5237948999999998E-2</v>
      </c>
      <c r="AC445">
        <v>1.1476266666666668</v>
      </c>
      <c r="AD445" s="15">
        <v>8.2321000000000009</v>
      </c>
      <c r="AE445" s="15">
        <v>3.9807999999999999</v>
      </c>
      <c r="AF445" s="15">
        <f t="shared" si="91"/>
        <v>4.2513000000000005</v>
      </c>
      <c r="AG445" s="15">
        <v>2.8331733333333329</v>
      </c>
      <c r="AH445" s="15">
        <v>60.008695071193266</v>
      </c>
      <c r="AI445" s="2">
        <v>39.991304928806734</v>
      </c>
      <c r="AJ445" s="1">
        <f t="shared" si="92"/>
        <v>1.9995652464403368</v>
      </c>
      <c r="AK445" s="13">
        <v>1.0544</v>
      </c>
      <c r="AL445" s="16">
        <v>19.615765799999998</v>
      </c>
      <c r="AM445" s="10">
        <v>0.98078829000000001</v>
      </c>
      <c r="AN445" s="16">
        <v>11.378054408352668</v>
      </c>
      <c r="AO445" s="11">
        <v>0.98490896523542926</v>
      </c>
      <c r="AP445" s="14">
        <v>4.7688749999999995</v>
      </c>
      <c r="AQ445" s="2">
        <f>AP445*((G445*0.01)+(H445*0.01)+(I445*0.01))</f>
        <v>0.27182587499999994</v>
      </c>
      <c r="AR445" s="15">
        <v>1.4855649043712269</v>
      </c>
      <c r="AS445" s="15">
        <v>0.59409679082243361</v>
      </c>
      <c r="AT445" s="15">
        <f t="shared" si="93"/>
        <v>4.5742870036381438E-2</v>
      </c>
      <c r="AU445" s="2">
        <f t="shared" si="94"/>
        <v>5.1092324010729287E-2</v>
      </c>
      <c r="AV445" s="2">
        <f t="shared" si="95"/>
        <v>6.8461492917403733E-3</v>
      </c>
      <c r="AW445" s="3">
        <f t="shared" si="96"/>
        <v>13.399565246440337</v>
      </c>
    </row>
    <row r="446" spans="1:49" s="5" customFormat="1" x14ac:dyDescent="0.2">
      <c r="A446" s="5" t="s">
        <v>480</v>
      </c>
      <c r="B446" s="5" t="s">
        <v>481</v>
      </c>
      <c r="C446" s="5" t="s">
        <v>482</v>
      </c>
      <c r="D446" s="5" t="s">
        <v>508</v>
      </c>
      <c r="E446" s="13" t="s">
        <v>484</v>
      </c>
      <c r="F446" s="5">
        <v>25</v>
      </c>
      <c r="G446" s="14">
        <v>2.2999999999999998</v>
      </c>
      <c r="H446" s="14">
        <v>2.1</v>
      </c>
      <c r="I446" s="14">
        <v>1.05</v>
      </c>
      <c r="J446">
        <v>33.24</v>
      </c>
      <c r="K446">
        <v>34.340000000000003</v>
      </c>
      <c r="L446">
        <v>33.79</v>
      </c>
      <c r="M446">
        <v>0.21</v>
      </c>
      <c r="N446" s="14">
        <v>33.056666666666672</v>
      </c>
      <c r="O446" s="14">
        <v>34.106666666666669</v>
      </c>
      <c r="P446" s="14">
        <v>33.581666666666671</v>
      </c>
      <c r="Q446" s="14">
        <v>33.056666666666672</v>
      </c>
      <c r="R446" s="14">
        <v>34.106666666666669</v>
      </c>
      <c r="S446" s="14">
        <v>33.581666666666671</v>
      </c>
      <c r="T446" s="3">
        <v>33.58</v>
      </c>
      <c r="U446" s="3">
        <v>0.52500000000000002</v>
      </c>
      <c r="V446" s="3">
        <v>56.13</v>
      </c>
      <c r="W446" s="3">
        <v>419.28</v>
      </c>
      <c r="X446" s="3">
        <v>226.3</v>
      </c>
      <c r="Y446" s="3">
        <v>231.16</v>
      </c>
      <c r="Z446" s="3">
        <v>181.57499999999999</v>
      </c>
      <c r="AA446" s="4">
        <v>8.5900000000000004E-2</v>
      </c>
      <c r="AB446" s="4">
        <v>6.8816998000000004E-2</v>
      </c>
      <c r="AC446">
        <v>1.1476266666666668</v>
      </c>
      <c r="AD446" s="15">
        <v>8.7530000000000001</v>
      </c>
      <c r="AE446" s="15">
        <v>4.2257999999999996</v>
      </c>
      <c r="AF446" s="15">
        <f t="shared" si="91"/>
        <v>4.5272000000000006</v>
      </c>
      <c r="AG446" s="15">
        <v>3.078173333333333</v>
      </c>
      <c r="AH446" s="15">
        <v>59.526334889543008</v>
      </c>
      <c r="AI446" s="2">
        <v>40.473665110456992</v>
      </c>
      <c r="AJ446" s="1">
        <f t="shared" si="92"/>
        <v>2.0236832555228497</v>
      </c>
      <c r="AK446" s="13">
        <v>1.0321</v>
      </c>
      <c r="AL446" s="16">
        <v>19.46785268</v>
      </c>
      <c r="AM446" s="10">
        <v>0.97339263400000009</v>
      </c>
      <c r="AN446" s="16">
        <v>11.292257935034803</v>
      </c>
      <c r="AO446" s="11">
        <v>0.97754448488314749</v>
      </c>
      <c r="AP446" s="14">
        <v>3.9893700000000014</v>
      </c>
      <c r="AQ446" s="2">
        <f>AP446*((G446*0.01)+(H446*0.01)+(I446*0.01))</f>
        <v>0.21742066500000007</v>
      </c>
      <c r="AR446" s="15">
        <v>1.9064096168902185</v>
      </c>
      <c r="AS446" s="15">
        <v>0.77159384397369302</v>
      </c>
      <c r="AT446" s="15">
        <f t="shared" si="93"/>
        <v>5.7666479917707007E-2</v>
      </c>
      <c r="AU446" s="2">
        <f t="shared" si="94"/>
        <v>6.6279911197340238E-2</v>
      </c>
      <c r="AV446" s="2">
        <f t="shared" si="95"/>
        <v>8.5658057851860751E-3</v>
      </c>
      <c r="AW446" s="3">
        <f t="shared" si="96"/>
        <v>12.92368325552285</v>
      </c>
    </row>
    <row r="447" spans="1:49" s="5" customFormat="1" x14ac:dyDescent="0.2">
      <c r="A447" s="5" t="s">
        <v>480</v>
      </c>
      <c r="B447" s="5" t="s">
        <v>481</v>
      </c>
      <c r="C447" s="5" t="s">
        <v>482</v>
      </c>
      <c r="D447" s="5" t="s">
        <v>509</v>
      </c>
      <c r="E447" s="13" t="s">
        <v>484</v>
      </c>
      <c r="F447" s="5">
        <v>26</v>
      </c>
      <c r="G447" s="14">
        <v>2.2000000000000002</v>
      </c>
      <c r="H447" s="14">
        <v>2.2000000000000002</v>
      </c>
      <c r="I447" s="14">
        <v>1.2</v>
      </c>
      <c r="J447">
        <v>34.549999999999997</v>
      </c>
      <c r="K447">
        <v>35.75</v>
      </c>
      <c r="L447">
        <v>35.15</v>
      </c>
      <c r="M447">
        <v>0.21</v>
      </c>
      <c r="N447" s="14">
        <v>34.314444444444447</v>
      </c>
      <c r="O447" s="14">
        <v>35.51444444444445</v>
      </c>
      <c r="P447" s="14">
        <v>34.914444444444449</v>
      </c>
      <c r="Q447" s="14">
        <v>34.314444444444447</v>
      </c>
      <c r="R447" s="14">
        <v>35.51444444444445</v>
      </c>
      <c r="S447" s="14">
        <v>34.914444444444449</v>
      </c>
      <c r="T447" s="3">
        <v>34.909999999999997</v>
      </c>
      <c r="U447" s="3">
        <v>0.6</v>
      </c>
      <c r="V447" s="3">
        <v>67.680000000000007</v>
      </c>
      <c r="W447" s="3">
        <v>429.01</v>
      </c>
      <c r="X447" s="3">
        <v>243.83</v>
      </c>
      <c r="Y447" s="3">
        <v>246.67</v>
      </c>
      <c r="Z447" s="3">
        <v>180.66499999999999</v>
      </c>
      <c r="AA447" s="4">
        <v>8.5699999999999998E-2</v>
      </c>
      <c r="AB447" s="4">
        <v>6.4240962999999998E-2</v>
      </c>
      <c r="AC447">
        <v>1.1476266666666668</v>
      </c>
      <c r="AD447" s="15">
        <v>8.7448999999999995</v>
      </c>
      <c r="AE447" s="15">
        <v>4.2649999999999997</v>
      </c>
      <c r="AF447" s="15">
        <f t="shared" si="91"/>
        <v>4.4798999999999998</v>
      </c>
      <c r="AG447" s="15">
        <v>3.1173733333333331</v>
      </c>
      <c r="AH447" s="15">
        <v>58.967208410736838</v>
      </c>
      <c r="AI447" s="2">
        <v>41.032791589263162</v>
      </c>
      <c r="AJ447" s="1">
        <f t="shared" si="92"/>
        <v>2.0516395794631581</v>
      </c>
      <c r="AK447" s="13">
        <v>0.85270000000000001</v>
      </c>
      <c r="AL447" s="16">
        <v>48.427482759999997</v>
      </c>
      <c r="AM447" s="10">
        <v>2.421374138</v>
      </c>
      <c r="AN447" s="16">
        <v>28.090187215777259</v>
      </c>
      <c r="AO447" s="11">
        <v>2.4230461646809873</v>
      </c>
      <c r="AP447" s="14">
        <v>4.5592800000000011</v>
      </c>
      <c r="AQ447" s="2">
        <f>AP447*((G447*0.01)+(H447*0.01)+(I447*0.01))</f>
        <v>0.2553196800000001</v>
      </c>
      <c r="AR447" s="15">
        <v>1.6663318184742615</v>
      </c>
      <c r="AS447" s="15">
        <v>0.6837424622601227</v>
      </c>
      <c r="AT447" s="15">
        <f t="shared" si="93"/>
        <v>5.2317508863891506E-2</v>
      </c>
      <c r="AU447" s="2">
        <f t="shared" si="94"/>
        <v>5.8596729015692517E-2</v>
      </c>
      <c r="AV447" s="2">
        <f t="shared" si="95"/>
        <v>7.7650273345142825E-3</v>
      </c>
      <c r="AW447" s="3">
        <f t="shared" si="96"/>
        <v>13.251639579463159</v>
      </c>
    </row>
    <row r="448" spans="1:49" s="5" customFormat="1" x14ac:dyDescent="0.2">
      <c r="A448" s="5" t="s">
        <v>480</v>
      </c>
      <c r="B448" s="5" t="s">
        <v>481</v>
      </c>
      <c r="C448" s="5" t="s">
        <v>482</v>
      </c>
      <c r="D448" s="5" t="s">
        <v>510</v>
      </c>
      <c r="E448" s="13" t="s">
        <v>484</v>
      </c>
      <c r="F448" s="5">
        <v>27</v>
      </c>
      <c r="G448" s="14">
        <v>2.25</v>
      </c>
      <c r="H448" s="14">
        <v>2.1</v>
      </c>
      <c r="I448" s="14">
        <v>1.2</v>
      </c>
      <c r="J448">
        <v>35.96</v>
      </c>
      <c r="K448">
        <v>37.159999999999997</v>
      </c>
      <c r="L448">
        <v>36.56</v>
      </c>
      <c r="M448">
        <v>0.21</v>
      </c>
      <c r="N448" s="14">
        <v>35.722222222222229</v>
      </c>
      <c r="O448" s="14">
        <v>36.922222222222231</v>
      </c>
      <c r="P448" s="14">
        <v>36.32222222222223</v>
      </c>
      <c r="Q448" s="14">
        <v>35.722222222222229</v>
      </c>
      <c r="R448" s="14">
        <v>36.922222222222231</v>
      </c>
      <c r="S448" s="14">
        <v>36.32222222222223</v>
      </c>
      <c r="T448" s="3">
        <v>36.32</v>
      </c>
      <c r="U448" s="3">
        <v>0.6</v>
      </c>
      <c r="V448" s="3">
        <v>77.959999999999994</v>
      </c>
      <c r="W448" s="3">
        <v>436.64</v>
      </c>
      <c r="X448" s="3">
        <v>261.76</v>
      </c>
      <c r="Y448" s="3">
        <v>263.10000000000002</v>
      </c>
      <c r="Z448" s="3">
        <v>179.34</v>
      </c>
      <c r="AA448" s="4">
        <v>8.5699999999999998E-2</v>
      </c>
      <c r="AB448" s="4">
        <v>5.9832465000000001E-2</v>
      </c>
      <c r="AC448">
        <v>1.1476266666666668</v>
      </c>
      <c r="AD448" s="15">
        <v>8.3164999999999996</v>
      </c>
      <c r="AE448" s="15">
        <v>4.0225999999999997</v>
      </c>
      <c r="AF448" s="15">
        <f t="shared" si="91"/>
        <v>4.2938999999999998</v>
      </c>
      <c r="AG448" s="15">
        <v>2.8749733333333332</v>
      </c>
      <c r="AH448" s="15">
        <v>59.896441188806051</v>
      </c>
      <c r="AI448" s="2">
        <v>40.103558811193949</v>
      </c>
      <c r="AJ448" s="1">
        <f t="shared" si="92"/>
        <v>2.0051779405596974</v>
      </c>
      <c r="AK448" s="13">
        <v>0.89239999999999997</v>
      </c>
      <c r="AL448" s="16">
        <v>18.90958655</v>
      </c>
      <c r="AM448" s="10">
        <v>0.94547932750000008</v>
      </c>
      <c r="AN448" s="16">
        <v>10.968437674013922</v>
      </c>
      <c r="AO448" s="11">
        <v>0.94975320938118046</v>
      </c>
      <c r="AP448" s="14">
        <v>4.4562487499999994</v>
      </c>
      <c r="AQ448" s="2">
        <f>AP448*((G448*0.01)+(H448*0.01)+(I448*0.01))</f>
        <v>0.24732180562499995</v>
      </c>
      <c r="AR448" s="15">
        <v>1.6087237799131688</v>
      </c>
      <c r="AS448" s="15">
        <v>0.64515548718714</v>
      </c>
      <c r="AT448" s="15">
        <f t="shared" si="93"/>
        <v>4.8742645050273245E-2</v>
      </c>
      <c r="AU448" s="2">
        <f t="shared" si="94"/>
        <v>5.5289825251937895E-2</v>
      </c>
      <c r="AV448" s="2">
        <f t="shared" si="95"/>
        <v>7.2458299822909704E-3</v>
      </c>
      <c r="AW448" s="3">
        <f t="shared" si="96"/>
        <v>13.105177940559699</v>
      </c>
    </row>
    <row r="449" spans="1:49" s="5" customFormat="1" x14ac:dyDescent="0.2">
      <c r="A449" s="5" t="s">
        <v>480</v>
      </c>
      <c r="B449" s="5" t="s">
        <v>481</v>
      </c>
      <c r="C449" s="5" t="s">
        <v>482</v>
      </c>
      <c r="D449" s="5" t="s">
        <v>511</v>
      </c>
      <c r="E449" s="13" t="s">
        <v>484</v>
      </c>
      <c r="F449" s="5">
        <v>28</v>
      </c>
      <c r="G449" s="14">
        <v>2.2000000000000002</v>
      </c>
      <c r="H449" s="14">
        <v>2.0499999999999998</v>
      </c>
      <c r="I449" s="14">
        <v>1.1000000000000001</v>
      </c>
      <c r="J449">
        <v>37.369999999999997</v>
      </c>
      <c r="K449">
        <v>38.47</v>
      </c>
      <c r="L449">
        <v>37.92</v>
      </c>
      <c r="M449">
        <v>0.21</v>
      </c>
      <c r="N449" s="14">
        <v>37.13000000000001</v>
      </c>
      <c r="O449" s="14">
        <v>38.230000000000011</v>
      </c>
      <c r="P449" s="14">
        <v>37.680000000000007</v>
      </c>
      <c r="Q449" s="14">
        <v>37.13000000000001</v>
      </c>
      <c r="R449" s="14">
        <v>38.230000000000011</v>
      </c>
      <c r="S449" s="14">
        <v>37.680000000000007</v>
      </c>
      <c r="T449" s="3">
        <v>37.68</v>
      </c>
      <c r="U449" s="3">
        <v>0.55000000000000004</v>
      </c>
      <c r="V449" s="3">
        <v>89.12</v>
      </c>
      <c r="W449" s="3">
        <v>447.08</v>
      </c>
      <c r="X449" s="3">
        <v>279.58</v>
      </c>
      <c r="Y449" s="3">
        <v>278.95</v>
      </c>
      <c r="Z449" s="3">
        <v>178.98</v>
      </c>
      <c r="AA449" s="4">
        <v>8.5900000000000004E-2</v>
      </c>
      <c r="AB449" s="4">
        <v>5.6369036999999997E-2</v>
      </c>
      <c r="AC449">
        <v>1.1476266666666668</v>
      </c>
      <c r="AD449" s="15">
        <v>7.3726000000000003</v>
      </c>
      <c r="AE449" s="15">
        <v>3.4396</v>
      </c>
      <c r="AF449" s="15">
        <f t="shared" si="91"/>
        <v>3.9330000000000003</v>
      </c>
      <c r="AG449" s="15">
        <v>2.291973333333333</v>
      </c>
      <c r="AH449" s="15">
        <v>63.180993546424837</v>
      </c>
      <c r="AI449" s="2">
        <v>36.819006453575163</v>
      </c>
      <c r="AJ449" s="1">
        <f t="shared" si="92"/>
        <v>1.8409503226787582</v>
      </c>
      <c r="AK449" s="13">
        <v>0.78610000000000002</v>
      </c>
      <c r="AL449" s="16">
        <v>20.103669069999999</v>
      </c>
      <c r="AM449" s="10">
        <v>1.0051834534999999</v>
      </c>
      <c r="AN449" s="16">
        <v>11.661060945475638</v>
      </c>
      <c r="AO449" s="11">
        <v>1.0092045259461466</v>
      </c>
      <c r="AP449" s="14">
        <v>3.8992421875000005</v>
      </c>
      <c r="AQ449" s="2">
        <f>AP449*((G449*0.01)+(H449*0.01)+(I449*0.01))</f>
        <v>0.20860945703125003</v>
      </c>
      <c r="AR449" s="15">
        <v>1.5964572175816747</v>
      </c>
      <c r="AS449" s="15">
        <v>0.58779968596996324</v>
      </c>
      <c r="AT449" s="15">
        <f t="shared" si="93"/>
        <v>4.2268383414961794E-2</v>
      </c>
      <c r="AU449" s="2">
        <f t="shared" si="94"/>
        <v>5.0491993024819846E-2</v>
      </c>
      <c r="AV449" s="2">
        <f t="shared" si="95"/>
        <v>6.3321757621730796E-3</v>
      </c>
      <c r="AW449" s="3">
        <f t="shared" si="96"/>
        <v>12.540950322678757</v>
      </c>
    </row>
    <row r="450" spans="1:49" s="5" customFormat="1" x14ac:dyDescent="0.2">
      <c r="A450" s="5" t="s">
        <v>480</v>
      </c>
      <c r="B450" s="5" t="s">
        <v>481</v>
      </c>
      <c r="C450" s="5" t="s">
        <v>482</v>
      </c>
      <c r="D450" s="5" t="s">
        <v>512</v>
      </c>
      <c r="E450" s="13" t="s">
        <v>484</v>
      </c>
      <c r="F450" s="5">
        <v>29</v>
      </c>
      <c r="G450" s="14">
        <v>2.25</v>
      </c>
      <c r="H450" s="14">
        <v>2.1</v>
      </c>
      <c r="I450" s="14">
        <v>1.1499999999999999</v>
      </c>
      <c r="J450">
        <v>38.68</v>
      </c>
      <c r="K450">
        <v>39.880000000000003</v>
      </c>
      <c r="L450">
        <v>39.28</v>
      </c>
      <c r="M450">
        <v>0.21</v>
      </c>
      <c r="N450" s="14">
        <v>38.437777777777789</v>
      </c>
      <c r="O450" s="14">
        <v>39.587777777777788</v>
      </c>
      <c r="P450" s="14">
        <v>39.012777777777785</v>
      </c>
      <c r="Q450" s="14">
        <v>38.437777777777789</v>
      </c>
      <c r="R450" s="14">
        <v>39.587777777777788</v>
      </c>
      <c r="S450" s="14">
        <v>39.012777777777785</v>
      </c>
      <c r="T450" s="3">
        <v>39.01</v>
      </c>
      <c r="U450" s="3">
        <v>0.57499999999999996</v>
      </c>
      <c r="V450" s="3">
        <v>96.63</v>
      </c>
      <c r="W450" s="3">
        <v>463.05</v>
      </c>
      <c r="X450" s="3">
        <v>295.58</v>
      </c>
      <c r="Y450" s="3">
        <v>294.45999999999998</v>
      </c>
      <c r="Z450" s="3">
        <v>183.21</v>
      </c>
      <c r="AA450" s="4">
        <v>8.3400000000000002E-2</v>
      </c>
      <c r="AB450" s="4">
        <v>5.3119926999999997E-2</v>
      </c>
      <c r="AC450">
        <v>1.1476266666666668</v>
      </c>
      <c r="AD450" s="15">
        <v>7.7603999999999997</v>
      </c>
      <c r="AE450" s="15">
        <v>3.9721000000000002</v>
      </c>
      <c r="AF450" s="15">
        <f t="shared" si="91"/>
        <v>3.7882999999999996</v>
      </c>
      <c r="AG450" s="15">
        <v>2.8244733333333336</v>
      </c>
      <c r="AH450" s="15">
        <v>57.287613064009449</v>
      </c>
      <c r="AI450" s="2">
        <v>42.712386935990551</v>
      </c>
      <c r="AJ450" s="1">
        <f t="shared" si="92"/>
        <v>2.1356193467995275</v>
      </c>
      <c r="AK450" s="13">
        <v>1.2003999999999999</v>
      </c>
      <c r="AL450" s="16">
        <v>13.931311389999999</v>
      </c>
      <c r="AM450" s="10">
        <v>0.69656556950000004</v>
      </c>
      <c r="AN450" s="16">
        <v>8.0808070707656618</v>
      </c>
      <c r="AO450" s="11">
        <v>0.70235574505577969</v>
      </c>
      <c r="AP450" s="14">
        <v>4.2705717187499985</v>
      </c>
      <c r="AQ450" s="2">
        <f>AP450*((G450*0.01)+(H450*0.01)+(I450*0.01))</f>
        <v>0.2348814445312499</v>
      </c>
      <c r="AR450" s="15">
        <v>1.5484515350251278</v>
      </c>
      <c r="AS450" s="15">
        <v>0.66138061115621782</v>
      </c>
      <c r="AT450" s="15">
        <f t="shared" si="93"/>
        <v>5.0500505901425116E-2</v>
      </c>
      <c r="AU450" s="2">
        <f t="shared" si="94"/>
        <v>5.5159142970428565E-2</v>
      </c>
      <c r="AV450" s="2">
        <f t="shared" si="95"/>
        <v>7.2454950555524257E-3</v>
      </c>
      <c r="AW450" s="3">
        <f t="shared" si="96"/>
        <v>13.135619346799526</v>
      </c>
    </row>
    <row r="451" spans="1:49" s="5" customFormat="1" x14ac:dyDescent="0.2">
      <c r="A451" s="5" t="s">
        <v>480</v>
      </c>
      <c r="B451" s="5" t="s">
        <v>481</v>
      </c>
      <c r="C451" s="5" t="s">
        <v>482</v>
      </c>
      <c r="D451" s="5" t="s">
        <v>513</v>
      </c>
      <c r="E451" s="13" t="s">
        <v>484</v>
      </c>
      <c r="F451" s="5">
        <v>30</v>
      </c>
      <c r="G451" s="14">
        <v>2.0499999999999998</v>
      </c>
      <c r="H451" s="14">
        <v>2.1</v>
      </c>
      <c r="I451" s="14">
        <v>1.1499999999999999</v>
      </c>
      <c r="J451">
        <v>40.090000000000003</v>
      </c>
      <c r="K451">
        <v>41.29</v>
      </c>
      <c r="L451">
        <v>40.69</v>
      </c>
      <c r="M451">
        <v>0.21</v>
      </c>
      <c r="N451" s="14">
        <v>39.795555555555566</v>
      </c>
      <c r="O451" s="14">
        <v>40.945555555555565</v>
      </c>
      <c r="P451" s="14">
        <v>40.370555555555569</v>
      </c>
      <c r="Q451" s="14">
        <v>39.795555555555566</v>
      </c>
      <c r="R451" s="14">
        <v>40.945555555555565</v>
      </c>
      <c r="S451" s="14">
        <v>40.370555555555569</v>
      </c>
      <c r="T451" s="3">
        <v>40.369999999999997</v>
      </c>
      <c r="U451" s="3">
        <v>0.57499999999999996</v>
      </c>
      <c r="V451" s="3">
        <v>112.62</v>
      </c>
      <c r="W451" s="3">
        <v>478.55</v>
      </c>
      <c r="X451" s="3">
        <v>313.44</v>
      </c>
      <c r="Y451" s="3">
        <v>310.75</v>
      </c>
      <c r="Z451" s="3">
        <v>182.965</v>
      </c>
      <c r="AA451" s="4">
        <v>7.8E-2</v>
      </c>
      <c r="AB451" s="4">
        <v>4.7036218999999997E-2</v>
      </c>
      <c r="AC451">
        <v>1.1476266666666668</v>
      </c>
      <c r="AD451" s="15">
        <v>7.3094000000000001</v>
      </c>
      <c r="AE451" s="15">
        <v>3.5678999999999998</v>
      </c>
      <c r="AF451" s="15">
        <f t="shared" si="91"/>
        <v>3.7415000000000003</v>
      </c>
      <c r="AG451" s="15">
        <v>2.4202733333333333</v>
      </c>
      <c r="AH451" s="15">
        <v>60.721156030839609</v>
      </c>
      <c r="AI451" s="2">
        <v>39.278843969160391</v>
      </c>
      <c r="AJ451" s="1">
        <f t="shared" si="92"/>
        <v>1.9639421984580197</v>
      </c>
      <c r="AK451" s="13">
        <v>1.0001</v>
      </c>
      <c r="AL451" s="16">
        <v>15.87314939</v>
      </c>
      <c r="AM451" s="10">
        <v>0.79365746950000005</v>
      </c>
      <c r="AN451" s="16">
        <v>9.2071632192575414</v>
      </c>
      <c r="AO451" s="11">
        <v>0.79874412604609712</v>
      </c>
      <c r="AP451" s="14">
        <v>3.8869029687500007</v>
      </c>
      <c r="AQ451" s="2">
        <f>AP451*((G451*0.01)+(H451*0.01)+(I451*0.01))</f>
        <v>0.20600585734375002</v>
      </c>
      <c r="AR451" s="15">
        <v>1.5852655399100211</v>
      </c>
      <c r="AS451" s="15">
        <v>0.62267397791812518</v>
      </c>
      <c r="AT451" s="15">
        <f t="shared" si="93"/>
        <v>4.5230677840811861E-2</v>
      </c>
      <c r="AU451" s="2">
        <f t="shared" si="94"/>
        <v>4.8568570277613764E-2</v>
      </c>
      <c r="AV451" s="2">
        <f t="shared" si="95"/>
        <v>6.1021270962968539E-3</v>
      </c>
      <c r="AW451" s="3">
        <f t="shared" si="96"/>
        <v>12.563942198458017</v>
      </c>
    </row>
    <row r="452" spans="1:49" s="5" customFormat="1" x14ac:dyDescent="0.2">
      <c r="A452" s="5" t="s">
        <v>480</v>
      </c>
      <c r="B452" s="5" t="s">
        <v>481</v>
      </c>
      <c r="C452" s="5" t="s">
        <v>482</v>
      </c>
      <c r="D452" s="5" t="s">
        <v>514</v>
      </c>
      <c r="E452" s="13" t="s">
        <v>484</v>
      </c>
      <c r="F452" s="5">
        <v>31</v>
      </c>
      <c r="G452" s="14">
        <v>2.0499999999999998</v>
      </c>
      <c r="H452" s="14">
        <v>2.0499999999999998</v>
      </c>
      <c r="I452" s="14">
        <v>1.1000000000000001</v>
      </c>
      <c r="J452">
        <v>41.5</v>
      </c>
      <c r="K452">
        <v>42.6</v>
      </c>
      <c r="L452">
        <v>42.05</v>
      </c>
      <c r="M452">
        <v>0.21</v>
      </c>
      <c r="N452" s="14">
        <v>41.153333333333343</v>
      </c>
      <c r="O452" s="14">
        <v>42.253333333333345</v>
      </c>
      <c r="P452" s="14">
        <v>41.703333333333347</v>
      </c>
      <c r="Q452" s="14">
        <v>41.153333333333343</v>
      </c>
      <c r="R452" s="14">
        <v>42.253333333333345</v>
      </c>
      <c r="S452" s="14">
        <v>41.703333333333347</v>
      </c>
      <c r="T452" s="3">
        <v>41.7</v>
      </c>
      <c r="U452" s="3">
        <v>0.55000000000000004</v>
      </c>
      <c r="V452" s="3">
        <v>154.25</v>
      </c>
      <c r="W452" s="3">
        <v>482.22</v>
      </c>
      <c r="X452" s="3">
        <v>329.27</v>
      </c>
      <c r="Y452" s="3">
        <v>327.84</v>
      </c>
      <c r="Z452" s="3">
        <v>163.98500000000001</v>
      </c>
      <c r="AA452" s="4">
        <v>7.7700000000000005E-2</v>
      </c>
      <c r="AB452" s="4">
        <v>3.9890226000000001E-2</v>
      </c>
      <c r="AC452">
        <v>1.1476266666666668</v>
      </c>
      <c r="AD452" s="15">
        <v>7.6669</v>
      </c>
      <c r="AE452" s="15">
        <v>3.8449</v>
      </c>
      <c r="AF452" s="15">
        <f t="shared" si="91"/>
        <v>3.8220000000000001</v>
      </c>
      <c r="AG452" s="15">
        <v>2.6972733333333334</v>
      </c>
      <c r="AH452" s="15">
        <v>58.626165901925674</v>
      </c>
      <c r="AI452" s="2">
        <v>41.373834098074326</v>
      </c>
      <c r="AJ452" s="1">
        <f t="shared" si="92"/>
        <v>2.0686917049037166</v>
      </c>
      <c r="AK452" s="13">
        <v>0.28389999999999999</v>
      </c>
      <c r="AL452" s="16">
        <v>18.16085327</v>
      </c>
      <c r="AM452" s="10">
        <v>0.90804266350000007</v>
      </c>
      <c r="AN452" s="16">
        <v>10.534137627610209</v>
      </c>
      <c r="AO452" s="11">
        <v>0.91249190612091147</v>
      </c>
      <c r="AP452" s="14">
        <v>3.6288587499999996</v>
      </c>
      <c r="AQ452" s="2">
        <f>AP452*((G452*0.01)+(H452*0.01)+(I452*0.01))</f>
        <v>0.18870065499999997</v>
      </c>
      <c r="AR452" s="15">
        <v>1.7965078782229631</v>
      </c>
      <c r="AS452" s="15">
        <v>0.74328418909480387</v>
      </c>
      <c r="AT452" s="15">
        <f t="shared" si="93"/>
        <v>5.4027036196594866E-2</v>
      </c>
      <c r="AU452" s="2">
        <f t="shared" si="94"/>
        <v>5.7753181492666263E-2</v>
      </c>
      <c r="AV452" s="2">
        <f t="shared" si="95"/>
        <v>7.2010661500940673E-3</v>
      </c>
      <c r="AW452" s="3">
        <f t="shared" si="96"/>
        <v>12.468691704903717</v>
      </c>
    </row>
    <row r="453" spans="1:49" s="5" customFormat="1" x14ac:dyDescent="0.2">
      <c r="A453" s="5" t="s">
        <v>480</v>
      </c>
      <c r="B453" s="5" t="s">
        <v>481</v>
      </c>
      <c r="C453" s="5" t="s">
        <v>482</v>
      </c>
      <c r="D453" s="5" t="s">
        <v>515</v>
      </c>
      <c r="E453" s="13" t="s">
        <v>484</v>
      </c>
      <c r="F453" s="5">
        <v>32</v>
      </c>
      <c r="G453" s="14">
        <v>2.0499999999999998</v>
      </c>
      <c r="H453" s="14">
        <v>2.15</v>
      </c>
      <c r="I453" s="14">
        <v>1.2</v>
      </c>
      <c r="J453">
        <v>42.81</v>
      </c>
      <c r="K453">
        <v>44.01</v>
      </c>
      <c r="L453">
        <v>43.41</v>
      </c>
      <c r="M453">
        <v>0.21</v>
      </c>
      <c r="N453" s="14">
        <v>42.461111111111123</v>
      </c>
      <c r="O453" s="14">
        <v>43.661111111111126</v>
      </c>
      <c r="P453" s="14">
        <v>43.061111111111124</v>
      </c>
      <c r="Q453" s="14">
        <v>42.461111111111123</v>
      </c>
      <c r="R453" s="14">
        <v>43.661111111111126</v>
      </c>
      <c r="S453" s="14">
        <v>43.061111111111124</v>
      </c>
      <c r="T453" s="3">
        <v>43.06</v>
      </c>
      <c r="U453" s="3">
        <v>0.6</v>
      </c>
      <c r="V453" s="3">
        <v>190.15</v>
      </c>
      <c r="W453" s="3">
        <v>486.28</v>
      </c>
      <c r="X453" s="3">
        <v>345.59</v>
      </c>
      <c r="Y453" s="3">
        <v>345.31</v>
      </c>
      <c r="Z453" s="3">
        <v>148.065</v>
      </c>
      <c r="AA453" s="4">
        <v>7.8E-2</v>
      </c>
      <c r="AB453" s="4">
        <v>3.4532368000000001E-2</v>
      </c>
      <c r="AC453">
        <v>1.1476266666666668</v>
      </c>
      <c r="AD453" s="15">
        <v>7.3429000000000002</v>
      </c>
      <c r="AE453" s="15">
        <v>2.8961999999999999</v>
      </c>
      <c r="AF453" s="15">
        <f t="shared" si="91"/>
        <v>4.4466999999999999</v>
      </c>
      <c r="AG453" s="15">
        <v>1.7485733333333331</v>
      </c>
      <c r="AH453" s="15">
        <v>71.775687056045967</v>
      </c>
      <c r="AI453" s="2">
        <v>28.224312943954033</v>
      </c>
      <c r="AJ453" s="1">
        <f t="shared" si="92"/>
        <v>1.4112156471977018</v>
      </c>
      <c r="AK453" s="13">
        <v>0.17929999999999999</v>
      </c>
      <c r="AL453" s="16">
        <v>32.946896039999999</v>
      </c>
      <c r="AM453" s="10">
        <v>1.6473448020000001</v>
      </c>
      <c r="AN453" s="16">
        <v>19.110728561484919</v>
      </c>
      <c r="AO453" s="11">
        <v>1.6498014718978826</v>
      </c>
      <c r="AP453" s="14">
        <v>4.1542199999999987</v>
      </c>
      <c r="AQ453" s="2">
        <f>AP453*((G453*0.01)+(H453*0.01)+(I453*0.01))</f>
        <v>0.2243278799999999</v>
      </c>
      <c r="AR453" s="15">
        <v>1.4913204725154989</v>
      </c>
      <c r="AS453" s="15">
        <v>0.42091495716002852</v>
      </c>
      <c r="AT453" s="15">
        <f t="shared" si="93"/>
        <v>2.8669425423479361E-2</v>
      </c>
      <c r="AU453" s="2">
        <f t="shared" si="94"/>
        <v>3.2831366658482228E-2</v>
      </c>
      <c r="AV453" s="2">
        <f t="shared" si="95"/>
        <v>4.0091089825894308E-3</v>
      </c>
      <c r="AW453" s="3">
        <f t="shared" si="96"/>
        <v>12.211215647197701</v>
      </c>
    </row>
    <row r="454" spans="1:49" s="5" customFormat="1" x14ac:dyDescent="0.2">
      <c r="A454" s="5" t="s">
        <v>480</v>
      </c>
      <c r="B454" s="5" t="s">
        <v>481</v>
      </c>
      <c r="C454" s="5" t="s">
        <v>482</v>
      </c>
      <c r="D454" s="5" t="s">
        <v>516</v>
      </c>
      <c r="E454" s="13" t="s">
        <v>484</v>
      </c>
      <c r="F454" s="5">
        <v>33</v>
      </c>
      <c r="G454" s="14">
        <v>2.0499999999999998</v>
      </c>
      <c r="H454" s="14">
        <v>2.25</v>
      </c>
      <c r="I454" s="14">
        <v>1.1499999999999999</v>
      </c>
      <c r="J454">
        <v>44.22</v>
      </c>
      <c r="K454">
        <v>45.42</v>
      </c>
      <c r="L454">
        <v>44.82</v>
      </c>
      <c r="M454">
        <v>0.21</v>
      </c>
      <c r="N454" s="14">
        <v>43.868888888888904</v>
      </c>
      <c r="O454" s="14">
        <v>45.018888888888902</v>
      </c>
      <c r="P454" s="14">
        <v>44.443888888888907</v>
      </c>
      <c r="Q454" s="14">
        <v>43.868888888888904</v>
      </c>
      <c r="R454" s="14">
        <v>45.018888888888902</v>
      </c>
      <c r="S454" s="14">
        <v>44.443888888888907</v>
      </c>
      <c r="T454" s="3">
        <v>44.44</v>
      </c>
      <c r="U454" s="3">
        <v>0.57499999999999996</v>
      </c>
      <c r="V454" s="3">
        <v>226.38</v>
      </c>
      <c r="W454" s="3">
        <v>491.08</v>
      </c>
      <c r="X454" s="3">
        <v>365.96</v>
      </c>
      <c r="Y454" s="3">
        <v>363.04</v>
      </c>
      <c r="Z454" s="3">
        <v>132.35</v>
      </c>
      <c r="AA454" s="4">
        <v>7.7700000000000005E-2</v>
      </c>
      <c r="AB454" s="4">
        <v>2.9331685999999999E-2</v>
      </c>
      <c r="AC454">
        <v>1.1476266666666668</v>
      </c>
      <c r="AD454" s="15">
        <v>7.2576999999999998</v>
      </c>
      <c r="AE454" s="15">
        <v>2.778</v>
      </c>
      <c r="AF454" s="15">
        <f t="shared" si="91"/>
        <v>4.4796999999999993</v>
      </c>
      <c r="AG454" s="15">
        <v>1.6303733333333332</v>
      </c>
      <c r="AH454" s="15">
        <v>73.316632315378655</v>
      </c>
      <c r="AI454" s="2">
        <v>26.683367684621345</v>
      </c>
      <c r="AJ454" s="1">
        <f t="shared" si="92"/>
        <v>1.3341683842310674</v>
      </c>
      <c r="AK454" s="13">
        <v>0.1051</v>
      </c>
      <c r="AL454" s="16">
        <v>37.810650889999998</v>
      </c>
      <c r="AM454" s="10">
        <v>1.8905325445000001</v>
      </c>
      <c r="AN454" s="16">
        <v>21.931932070765662</v>
      </c>
      <c r="AO454" s="11">
        <v>1.8926735856490535</v>
      </c>
      <c r="AP454" s="14">
        <v>4.1729618749999995</v>
      </c>
      <c r="AQ454" s="2">
        <f>AP454*((G454*0.01)+(H454*0.01)+(I454*0.01))</f>
        <v>0.22742642218749995</v>
      </c>
      <c r="AR454" s="15">
        <v>1.4642054052634579</v>
      </c>
      <c r="AS454" s="15">
        <v>0.3906993119445486</v>
      </c>
      <c r="AT454" s="15">
        <f t="shared" si="93"/>
        <v>2.6505699198350378E-2</v>
      </c>
      <c r="AU454" s="2">
        <f t="shared" si="94"/>
        <v>3.0357336538091428E-2</v>
      </c>
      <c r="AV454" s="2">
        <f t="shared" si="95"/>
        <v>3.7139676690378068E-3</v>
      </c>
      <c r="AW454" s="3">
        <f t="shared" si="96"/>
        <v>12.234168384231065</v>
      </c>
    </row>
    <row r="455" spans="1:49" s="5" customFormat="1" x14ac:dyDescent="0.2">
      <c r="A455" s="5" t="s">
        <v>480</v>
      </c>
      <c r="B455" s="5" t="s">
        <v>481</v>
      </c>
      <c r="C455" s="5" t="s">
        <v>482</v>
      </c>
      <c r="D455" s="5" t="s">
        <v>517</v>
      </c>
      <c r="E455" s="13" t="s">
        <v>484</v>
      </c>
      <c r="F455" s="5">
        <v>34</v>
      </c>
      <c r="G455" s="14">
        <v>1.95</v>
      </c>
      <c r="H455" s="14">
        <v>2.1</v>
      </c>
      <c r="I455" s="14">
        <v>1.1499999999999999</v>
      </c>
      <c r="J455">
        <v>45.63</v>
      </c>
      <c r="K455">
        <v>46.83</v>
      </c>
      <c r="L455">
        <v>46.23</v>
      </c>
      <c r="M455">
        <v>0.21</v>
      </c>
      <c r="N455" s="14">
        <v>45.226666666666681</v>
      </c>
      <c r="O455" s="14">
        <v>46.376666666666679</v>
      </c>
      <c r="P455" s="14">
        <v>45.801666666666677</v>
      </c>
      <c r="Q455" s="14">
        <v>45.226666666666681</v>
      </c>
      <c r="R455" s="14">
        <v>46.376666666666679</v>
      </c>
      <c r="S455" s="14">
        <v>45.801666666666677</v>
      </c>
      <c r="T455" s="3">
        <v>45.8</v>
      </c>
      <c r="U455" s="3">
        <v>0.57499999999999996</v>
      </c>
      <c r="V455" s="3">
        <v>253.14</v>
      </c>
      <c r="W455" s="3">
        <v>496.14</v>
      </c>
      <c r="X455" s="3">
        <v>387.73</v>
      </c>
      <c r="Y455" s="3">
        <v>380.51</v>
      </c>
      <c r="Z455" s="3">
        <v>121.5</v>
      </c>
      <c r="AA455" s="4">
        <v>7.7200000000000005E-2</v>
      </c>
      <c r="AB455" s="4">
        <v>2.5619814000000001E-2</v>
      </c>
      <c r="AC455">
        <v>1.1476266666666668</v>
      </c>
      <c r="AD455" s="15">
        <v>6.6820000000000004</v>
      </c>
      <c r="AE455" s="15">
        <v>2.4897999999999998</v>
      </c>
      <c r="AF455" s="15">
        <f t="shared" si="91"/>
        <v>4.1922000000000006</v>
      </c>
      <c r="AG455" s="15">
        <v>1.342173333333333</v>
      </c>
      <c r="AH455" s="15">
        <v>75.74841355118798</v>
      </c>
      <c r="AI455" s="2">
        <v>24.25158644881202</v>
      </c>
      <c r="AJ455" s="1">
        <f t="shared" si="92"/>
        <v>1.2125793224406012</v>
      </c>
      <c r="AK455" s="13">
        <v>0.121</v>
      </c>
      <c r="AL455" s="16">
        <v>40.77337249</v>
      </c>
      <c r="AM455" s="10">
        <v>2.0386686245000001</v>
      </c>
      <c r="AN455" s="16">
        <v>23.650448080046402</v>
      </c>
      <c r="AO455" s="11">
        <v>2.0406542481568803</v>
      </c>
      <c r="AP455" s="14">
        <v>3.7018392187499995</v>
      </c>
      <c r="AQ455" s="2">
        <f>AP455*((G455*0.01)+(H455*0.01)+(I455*0.01))</f>
        <v>0.192495639375</v>
      </c>
      <c r="AR455" s="15">
        <v>1.4950334161736301</v>
      </c>
      <c r="AS455" s="15">
        <v>0.36256932136197551</v>
      </c>
      <c r="AT455" s="15">
        <f t="shared" si="93"/>
        <v>2.3250045331171258E-2</v>
      </c>
      <c r="AU455" s="2">
        <f t="shared" si="94"/>
        <v>2.7990351609144509E-2</v>
      </c>
      <c r="AV455" s="2">
        <f t="shared" si="95"/>
        <v>3.2504017832419357E-3</v>
      </c>
      <c r="AW455" s="3">
        <f t="shared" si="96"/>
        <v>11.612579322440602</v>
      </c>
    </row>
    <row r="456" spans="1:49" s="5" customFormat="1" x14ac:dyDescent="0.2">
      <c r="A456" s="5" t="s">
        <v>480</v>
      </c>
      <c r="B456" s="5" t="s">
        <v>481</v>
      </c>
      <c r="C456" s="5" t="s">
        <v>518</v>
      </c>
      <c r="D456" s="5" t="s">
        <v>519</v>
      </c>
      <c r="E456" s="13" t="s">
        <v>520</v>
      </c>
      <c r="F456" s="5">
        <v>42</v>
      </c>
      <c r="G456" s="14">
        <v>2.0499999999999998</v>
      </c>
      <c r="H456" s="14">
        <v>2</v>
      </c>
      <c r="I456" s="14">
        <v>1.1499999999999999</v>
      </c>
      <c r="J456">
        <v>0</v>
      </c>
      <c r="K456">
        <v>1.2</v>
      </c>
      <c r="L456">
        <v>0.6</v>
      </c>
      <c r="M456">
        <v>0.21</v>
      </c>
      <c r="N456" s="14">
        <v>45.722222222222229</v>
      </c>
      <c r="O456" s="14">
        <v>46.872222222222227</v>
      </c>
      <c r="P456" s="14">
        <v>46.297222222222231</v>
      </c>
      <c r="Q456" s="14">
        <v>45.722222222222229</v>
      </c>
      <c r="R456" s="14">
        <v>46.872222222222227</v>
      </c>
      <c r="S456" s="14">
        <v>46.297222222222231</v>
      </c>
      <c r="T456" s="3">
        <v>46.3</v>
      </c>
      <c r="U456" s="3">
        <v>0.57499999999999996</v>
      </c>
      <c r="V456" s="3">
        <v>262.27</v>
      </c>
      <c r="W456" s="3">
        <v>498.88</v>
      </c>
      <c r="X456" s="3">
        <v>396.77</v>
      </c>
      <c r="Y456" s="3">
        <v>386.93</v>
      </c>
      <c r="Z456" s="3">
        <v>118.30500000000001</v>
      </c>
      <c r="AA456" s="4">
        <v>7.7899999999999997E-2</v>
      </c>
      <c r="AB456" s="4">
        <v>2.4785597999999999E-2</v>
      </c>
      <c r="AC456">
        <v>1.1476266666666668</v>
      </c>
      <c r="AD456" s="15">
        <v>7.1204000000000001</v>
      </c>
      <c r="AE456" s="15">
        <v>2.9192</v>
      </c>
      <c r="AF456" s="15">
        <f t="shared" si="91"/>
        <v>4.2012</v>
      </c>
      <c r="AG456" s="15">
        <v>1.7715733333333332</v>
      </c>
      <c r="AH456" s="15">
        <v>70.339183584175302</v>
      </c>
      <c r="AI456" s="2">
        <v>29.660816415824698</v>
      </c>
      <c r="AJ456" s="1">
        <f t="shared" si="92"/>
        <v>1.4830408207912349</v>
      </c>
      <c r="AK456" s="13">
        <v>0.22550000000000001</v>
      </c>
      <c r="AL456" s="16">
        <v>30.870631509999999</v>
      </c>
      <c r="AM456" s="10">
        <v>1.5435315755000001</v>
      </c>
      <c r="AN456" s="16">
        <v>17.906398787703015</v>
      </c>
      <c r="AO456" s="11">
        <v>1.546153202165139</v>
      </c>
      <c r="AP456" s="14">
        <v>3.7018392187499995</v>
      </c>
      <c r="AQ456" s="2">
        <f>AP456*((G456*0.01)+(H456*0.01)+(I456*0.01))</f>
        <v>0.19249563937499994</v>
      </c>
      <c r="AR456" s="15">
        <v>1.6134610339317115</v>
      </c>
      <c r="AS456" s="15">
        <v>0.47856571521535196</v>
      </c>
      <c r="AT456" s="15">
        <f t="shared" si="93"/>
        <v>3.1982742102153496E-2</v>
      </c>
      <c r="AU456" s="2">
        <f t="shared" si="94"/>
        <v>3.7280269215275913E-2</v>
      </c>
      <c r="AV456" s="2">
        <f t="shared" si="95"/>
        <v>4.4300296089521043E-3</v>
      </c>
      <c r="AW456" s="3">
        <f t="shared" si="96"/>
        <v>11.883040820791233</v>
      </c>
    </row>
    <row r="457" spans="1:49" s="5" customFormat="1" x14ac:dyDescent="0.2">
      <c r="A457" s="5" t="s">
        <v>480</v>
      </c>
      <c r="B457" s="5" t="s">
        <v>481</v>
      </c>
      <c r="C457" s="5" t="s">
        <v>518</v>
      </c>
      <c r="D457" s="5" t="s">
        <v>521</v>
      </c>
      <c r="E457" s="13" t="s">
        <v>520</v>
      </c>
      <c r="F457" s="5">
        <v>43</v>
      </c>
      <c r="G457" s="14">
        <v>2.1</v>
      </c>
      <c r="H457" s="14">
        <v>2.2000000000000002</v>
      </c>
      <c r="I457" s="14">
        <v>1.1000000000000001</v>
      </c>
      <c r="J457">
        <v>1.41</v>
      </c>
      <c r="K457">
        <v>2.5099999999999998</v>
      </c>
      <c r="L457">
        <v>1.96</v>
      </c>
      <c r="M457">
        <v>0.21</v>
      </c>
      <c r="N457" s="14">
        <v>47.077777777777783</v>
      </c>
      <c r="O457" s="14">
        <v>48.177777777777784</v>
      </c>
      <c r="P457" s="14">
        <v>47.62777777777778</v>
      </c>
      <c r="Q457" s="14">
        <v>47.077777777777783</v>
      </c>
      <c r="R457" s="14">
        <v>48.177777777777784</v>
      </c>
      <c r="S457" s="14">
        <v>47.62777777777778</v>
      </c>
      <c r="T457" s="3">
        <v>47.63</v>
      </c>
      <c r="U457" s="3">
        <v>0.55000000000000004</v>
      </c>
      <c r="V457" s="3">
        <v>284.47000000000003</v>
      </c>
      <c r="W457" s="3">
        <v>507.68</v>
      </c>
      <c r="X457" s="3">
        <v>420.44</v>
      </c>
      <c r="Y457" s="3">
        <v>404.02</v>
      </c>
      <c r="Z457" s="3">
        <v>111.605</v>
      </c>
      <c r="AA457" s="4">
        <v>7.8200000000000006E-2</v>
      </c>
      <c r="AB457" s="4">
        <v>2.2504683000000001E-2</v>
      </c>
      <c r="AC457">
        <v>1.1476266666666668</v>
      </c>
      <c r="AD457" s="15">
        <v>7.0744999999999996</v>
      </c>
      <c r="AE457" s="15">
        <v>2.8174000000000001</v>
      </c>
      <c r="AF457" s="15">
        <f t="shared" si="91"/>
        <v>4.2570999999999994</v>
      </c>
      <c r="AG457" s="15">
        <v>1.6697733333333333</v>
      </c>
      <c r="AH457" s="15">
        <v>71.827079145721569</v>
      </c>
      <c r="AI457" s="2">
        <v>28.172920854278431</v>
      </c>
      <c r="AJ457" s="1">
        <f t="shared" si="92"/>
        <v>1.4086460427139216</v>
      </c>
      <c r="AK457" s="13">
        <v>0.15670000000000001</v>
      </c>
      <c r="AL457" s="16">
        <v>34.816971709999997</v>
      </c>
      <c r="AM457" s="10">
        <v>1.7408485855</v>
      </c>
      <c r="AN457" s="16">
        <v>20.195459228538283</v>
      </c>
      <c r="AO457" s="11">
        <v>1.7431734846644928</v>
      </c>
      <c r="AP457" s="14">
        <v>3.9915287500000014</v>
      </c>
      <c r="AQ457" s="2">
        <f>AP457*((G457*0.01)+(H457*0.01)+(I457*0.01))</f>
        <v>0.2155425525000001</v>
      </c>
      <c r="AR457" s="15">
        <v>1.4848629947443899</v>
      </c>
      <c r="AS457" s="15">
        <v>0.41832927630380534</v>
      </c>
      <c r="AT457" s="15">
        <f t="shared" si="93"/>
        <v>2.8482559716572833E-2</v>
      </c>
      <c r="AU457" s="2">
        <f t="shared" si="94"/>
        <v>3.2713349406957581E-2</v>
      </c>
      <c r="AV457" s="2">
        <f t="shared" si="95"/>
        <v>3.9938570378117051E-3</v>
      </c>
      <c r="AW457" s="3">
        <f t="shared" si="96"/>
        <v>12.208646042713923</v>
      </c>
    </row>
    <row r="458" spans="1:49" s="5" customFormat="1" x14ac:dyDescent="0.2">
      <c r="A458" s="5" t="s">
        <v>480</v>
      </c>
      <c r="B458" s="5" t="s">
        <v>481</v>
      </c>
      <c r="C458" s="5" t="s">
        <v>518</v>
      </c>
      <c r="D458" s="5" t="s">
        <v>522</v>
      </c>
      <c r="E458" s="13" t="s">
        <v>520</v>
      </c>
      <c r="F458" s="5">
        <v>44</v>
      </c>
      <c r="G458" s="14">
        <v>2.2000000000000002</v>
      </c>
      <c r="H458" s="14">
        <v>2.25</v>
      </c>
      <c r="I458" s="14">
        <v>1.2</v>
      </c>
      <c r="J458">
        <v>2.72</v>
      </c>
      <c r="K458">
        <v>3.92</v>
      </c>
      <c r="L458">
        <v>3.32</v>
      </c>
      <c r="M458">
        <v>0.21</v>
      </c>
      <c r="N458" s="14">
        <v>48.38333333333334</v>
      </c>
      <c r="O458" s="14">
        <v>49.583333333333343</v>
      </c>
      <c r="P458" s="14">
        <v>48.983333333333341</v>
      </c>
      <c r="Q458" s="14">
        <v>48.38333333333334</v>
      </c>
      <c r="R458" s="14">
        <v>49.583333333333343</v>
      </c>
      <c r="S458" s="14">
        <v>48.983333333333341</v>
      </c>
      <c r="T458" s="3">
        <v>48.98</v>
      </c>
      <c r="U458" s="3">
        <v>0.6</v>
      </c>
      <c r="V458" s="3">
        <v>304.23</v>
      </c>
      <c r="W458" s="3">
        <v>519.08000000000004</v>
      </c>
      <c r="X458" s="3">
        <v>443.41</v>
      </c>
      <c r="Y458" s="3">
        <v>421.36</v>
      </c>
      <c r="Z458" s="3">
        <v>107.425</v>
      </c>
      <c r="AA458" s="4">
        <v>8.3799999999999999E-2</v>
      </c>
      <c r="AB458" s="4">
        <v>2.2391206E-2</v>
      </c>
      <c r="AC458">
        <v>1.1476266666666668</v>
      </c>
      <c r="AD458" s="15">
        <v>7.6651999999999996</v>
      </c>
      <c r="AE458" s="15">
        <v>2.8266</v>
      </c>
      <c r="AF458" s="15">
        <f t="shared" si="91"/>
        <v>4.8385999999999996</v>
      </c>
      <c r="AG458" s="15">
        <v>1.6789733333333332</v>
      </c>
      <c r="AH458" s="15">
        <v>74.239287423949193</v>
      </c>
      <c r="AI458" s="2">
        <v>25.760712576050807</v>
      </c>
      <c r="AJ458" s="1">
        <f t="shared" si="92"/>
        <v>1.2880356288025405</v>
      </c>
      <c r="AK458" s="13">
        <v>0.1643</v>
      </c>
      <c r="AL458" s="16">
        <v>39.417404130000001</v>
      </c>
      <c r="AM458" s="10">
        <v>1.9708702065000001</v>
      </c>
      <c r="AN458" s="16">
        <v>22.863923509280742</v>
      </c>
      <c r="AO458" s="11">
        <v>1.972924066169135</v>
      </c>
      <c r="AP458" s="14">
        <v>4.6634887500000008</v>
      </c>
      <c r="AQ458" s="2">
        <f>AP458*((G458*0.01)+(H458*0.01)+(I458*0.01))</f>
        <v>0.263487114375</v>
      </c>
      <c r="AR458" s="15">
        <v>1.3975745804754718</v>
      </c>
      <c r="AS458" s="15">
        <v>0.36002517071223405</v>
      </c>
      <c r="AT458" s="15">
        <f t="shared" si="93"/>
        <v>2.4978674616671959E-2</v>
      </c>
      <c r="AU458" s="2">
        <f t="shared" si="94"/>
        <v>3.0170109305685214E-2</v>
      </c>
      <c r="AV458" s="2">
        <f t="shared" si="95"/>
        <v>3.7978241086483247E-3</v>
      </c>
      <c r="AW458" s="3">
        <f t="shared" si="96"/>
        <v>12.588035628802539</v>
      </c>
    </row>
    <row r="459" spans="1:49" s="5" customFormat="1" x14ac:dyDescent="0.2">
      <c r="A459" s="5" t="s">
        <v>480</v>
      </c>
      <c r="B459" s="5" t="s">
        <v>481</v>
      </c>
      <c r="C459" s="5" t="s">
        <v>518</v>
      </c>
      <c r="D459" s="5" t="s">
        <v>523</v>
      </c>
      <c r="E459" s="13" t="s">
        <v>520</v>
      </c>
      <c r="F459" s="5">
        <v>45</v>
      </c>
      <c r="G459" s="14">
        <v>2.0499999999999998</v>
      </c>
      <c r="H459" s="14">
        <v>2.0499999999999998</v>
      </c>
      <c r="I459" s="14">
        <v>1.2</v>
      </c>
      <c r="J459">
        <v>4.13</v>
      </c>
      <c r="K459">
        <v>5.33</v>
      </c>
      <c r="L459">
        <v>4.7300000000000004</v>
      </c>
      <c r="M459">
        <v>0.21</v>
      </c>
      <c r="N459" s="14">
        <v>49.788888888888899</v>
      </c>
      <c r="O459" s="14">
        <v>50.988888888888901</v>
      </c>
      <c r="P459" s="14">
        <v>50.3888888888889</v>
      </c>
      <c r="Q459" s="14">
        <v>49.788888888888899</v>
      </c>
      <c r="R459" s="14">
        <v>50.988888888888901</v>
      </c>
      <c r="S459" s="14">
        <v>50.3888888888889</v>
      </c>
      <c r="T459" s="3">
        <v>50.39</v>
      </c>
      <c r="U459" s="3">
        <v>0.6</v>
      </c>
      <c r="V459" s="3">
        <v>322.41000000000003</v>
      </c>
      <c r="W459" s="3">
        <v>535.69000000000005</v>
      </c>
      <c r="X459" s="3">
        <v>461.06</v>
      </c>
      <c r="Y459" s="3">
        <v>438.14</v>
      </c>
      <c r="Z459" s="3">
        <v>106.64</v>
      </c>
      <c r="AA459" s="4">
        <v>0.1066</v>
      </c>
      <c r="AB459" s="4">
        <v>2.7214941999999999E-2</v>
      </c>
      <c r="AC459">
        <v>1.1476266666666668</v>
      </c>
      <c r="AD459" s="15">
        <v>7.3350999999999997</v>
      </c>
      <c r="AE459" s="15">
        <v>2.5991</v>
      </c>
      <c r="AF459" s="15">
        <f t="shared" si="91"/>
        <v>4.7359999999999998</v>
      </c>
      <c r="AG459" s="15">
        <v>1.4514733333333332</v>
      </c>
      <c r="AH459" s="15">
        <v>76.541744018290714</v>
      </c>
      <c r="AI459" s="2">
        <v>23.458255981709286</v>
      </c>
      <c r="AJ459" s="1">
        <f t="shared" si="92"/>
        <v>1.1729127990854644</v>
      </c>
      <c r="AK459" s="13">
        <v>0.18940000000000001</v>
      </c>
      <c r="AL459" s="16">
        <v>38.942617669999997</v>
      </c>
      <c r="AM459" s="10">
        <v>1.9471308834999999</v>
      </c>
      <c r="AN459" s="16">
        <v>22.58852533062645</v>
      </c>
      <c r="AO459" s="11">
        <v>1.9492097571784033</v>
      </c>
      <c r="AP459" s="14">
        <v>3.9587549999999991</v>
      </c>
      <c r="AQ459" s="2">
        <f>AP459*((G459*0.01)+(H459*0.01)+(I459*0.01))</f>
        <v>0.20981401499999991</v>
      </c>
      <c r="AR459" s="15">
        <v>1.5629846588973892</v>
      </c>
      <c r="AS459" s="15">
        <v>0.36664894223899519</v>
      </c>
      <c r="AT459" s="15">
        <f t="shared" si="93"/>
        <v>2.3732866309899386E-2</v>
      </c>
      <c r="AU459" s="2">
        <f t="shared" si="94"/>
        <v>3.9084777242676887E-2</v>
      </c>
      <c r="AV459" s="2">
        <f t="shared" si="95"/>
        <v>4.6014167424971494E-3</v>
      </c>
      <c r="AW459" s="3">
        <f t="shared" si="96"/>
        <v>11.772912799085463</v>
      </c>
    </row>
    <row r="460" spans="1:49" s="5" customFormat="1" x14ac:dyDescent="0.2">
      <c r="A460" s="5" t="s">
        <v>480</v>
      </c>
      <c r="B460" s="5" t="s">
        <v>481</v>
      </c>
      <c r="C460" s="5" t="s">
        <v>518</v>
      </c>
      <c r="D460" s="5" t="s">
        <v>524</v>
      </c>
      <c r="E460" s="13" t="s">
        <v>520</v>
      </c>
      <c r="F460" s="5">
        <v>46</v>
      </c>
      <c r="G460" s="14">
        <v>2.2999999999999998</v>
      </c>
      <c r="H460" s="14">
        <v>2.1</v>
      </c>
      <c r="I460" s="14">
        <v>1.2</v>
      </c>
      <c r="J460">
        <v>5.54</v>
      </c>
      <c r="K460">
        <v>6.74</v>
      </c>
      <c r="L460">
        <v>6.14</v>
      </c>
      <c r="M460">
        <v>0.21</v>
      </c>
      <c r="N460" s="14">
        <v>51.194444444444457</v>
      </c>
      <c r="O460" s="14">
        <v>52.39444444444446</v>
      </c>
      <c r="P460" s="14">
        <v>51.794444444444458</v>
      </c>
      <c r="Q460" s="14">
        <v>51.194444444444457</v>
      </c>
      <c r="R460" s="14">
        <v>52.39444444444446</v>
      </c>
      <c r="S460" s="14">
        <v>51.794444444444458</v>
      </c>
      <c r="T460" s="3">
        <v>51.79</v>
      </c>
      <c r="U460" s="3">
        <v>0.6</v>
      </c>
      <c r="V460" s="3">
        <v>333.68</v>
      </c>
      <c r="W460" s="3">
        <v>549.71</v>
      </c>
      <c r="X460" s="3">
        <v>474.4</v>
      </c>
      <c r="Y460" s="3">
        <v>451.33</v>
      </c>
      <c r="Z460" s="3">
        <v>108.015</v>
      </c>
      <c r="AA460" s="4">
        <v>0.1055</v>
      </c>
      <c r="AB460" s="4">
        <v>2.6471135999999999E-2</v>
      </c>
      <c r="AC460">
        <v>1.1476266666666668</v>
      </c>
      <c r="AD460" s="15">
        <v>7.7510000000000003</v>
      </c>
      <c r="AE460" s="15">
        <v>2.8612000000000002</v>
      </c>
      <c r="AF460" s="15">
        <f t="shared" si="91"/>
        <v>4.8898000000000001</v>
      </c>
      <c r="AG460" s="15">
        <v>1.7135733333333334</v>
      </c>
      <c r="AH460" s="15">
        <v>74.050030994259501</v>
      </c>
      <c r="AI460" s="2">
        <v>25.949969005740499</v>
      </c>
      <c r="AJ460" s="1">
        <f t="shared" si="92"/>
        <v>1.297498450287025</v>
      </c>
      <c r="AK460" s="13">
        <v>0.1666</v>
      </c>
      <c r="AL460" s="16">
        <v>36.629897300000003</v>
      </c>
      <c r="AM460" s="10">
        <v>1.8314948650000002</v>
      </c>
      <c r="AN460" s="16">
        <v>21.247040197215778</v>
      </c>
      <c r="AO460" s="11">
        <v>1.8337048400768781</v>
      </c>
      <c r="AP460" s="14">
        <v>4.5592800000000011</v>
      </c>
      <c r="AQ460" s="2">
        <f>AP460*((G460*0.01)+(H460*0.01)+(I460*0.01))</f>
        <v>0.25531968000000005</v>
      </c>
      <c r="AR460" s="15">
        <v>1.4483368719037506</v>
      </c>
      <c r="AS460" s="15">
        <v>0.37584296935773476</v>
      </c>
      <c r="AT460" s="15">
        <f t="shared" si="93"/>
        <v>2.5923762986962494E-2</v>
      </c>
      <c r="AU460" s="2">
        <f t="shared" si="94"/>
        <v>3.9651433267241014E-2</v>
      </c>
      <c r="AV460" s="2">
        <f t="shared" si="95"/>
        <v>4.955437258090039E-3</v>
      </c>
      <c r="AW460" s="3">
        <f t="shared" si="96"/>
        <v>12.497498450287022</v>
      </c>
    </row>
    <row r="461" spans="1:49" s="5" customFormat="1" x14ac:dyDescent="0.2">
      <c r="A461" s="5" t="s">
        <v>480</v>
      </c>
      <c r="B461" s="5" t="s">
        <v>481</v>
      </c>
      <c r="C461" s="5" t="s">
        <v>518</v>
      </c>
      <c r="D461" s="5" t="s">
        <v>525</v>
      </c>
      <c r="E461" s="13" t="s">
        <v>520</v>
      </c>
      <c r="F461" s="5">
        <v>47</v>
      </c>
      <c r="G461" s="14">
        <v>2.15</v>
      </c>
      <c r="H461" s="14">
        <v>2.2000000000000002</v>
      </c>
      <c r="I461" s="14">
        <v>1.1499999999999999</v>
      </c>
      <c r="J461">
        <v>6.95</v>
      </c>
      <c r="K461">
        <v>8.15</v>
      </c>
      <c r="L461">
        <v>7.55</v>
      </c>
      <c r="M461">
        <v>0.21</v>
      </c>
      <c r="N461" s="14">
        <v>52.600000000000016</v>
      </c>
      <c r="O461" s="14">
        <v>53.750000000000014</v>
      </c>
      <c r="P461" s="14">
        <v>53.175000000000011</v>
      </c>
      <c r="Q461" s="14">
        <v>52.600000000000016</v>
      </c>
      <c r="R461" s="14">
        <v>53.750000000000014</v>
      </c>
      <c r="S461" s="14">
        <v>53.175000000000011</v>
      </c>
      <c r="T461" s="3">
        <v>53.18</v>
      </c>
      <c r="U461" s="3">
        <v>0.57499999999999996</v>
      </c>
      <c r="V461" s="3">
        <v>339.61</v>
      </c>
      <c r="W461" s="3">
        <v>571.51</v>
      </c>
      <c r="X461" s="3">
        <v>483.52</v>
      </c>
      <c r="Y461" s="3">
        <v>464.42</v>
      </c>
      <c r="Z461" s="3">
        <v>115.95</v>
      </c>
      <c r="AA461" s="4">
        <v>0.1066</v>
      </c>
      <c r="AB461" s="4">
        <v>2.7767017000000001E-2</v>
      </c>
      <c r="AC461">
        <v>1.1476266666666668</v>
      </c>
      <c r="AD461" s="15">
        <v>7.5293999999999999</v>
      </c>
      <c r="AE461" s="15">
        <v>2.766</v>
      </c>
      <c r="AF461" s="15">
        <f t="shared" si="91"/>
        <v>4.7633999999999999</v>
      </c>
      <c r="AG461" s="15">
        <v>1.6183733333333332</v>
      </c>
      <c r="AH461" s="15">
        <v>74.640695480670999</v>
      </c>
      <c r="AI461" s="2">
        <v>25.359304519329001</v>
      </c>
      <c r="AJ461" s="1">
        <f t="shared" si="92"/>
        <v>1.2679652259664502</v>
      </c>
      <c r="AK461" s="13">
        <v>0.20630000000000001</v>
      </c>
      <c r="AL461" s="16">
        <v>30.818242789999999</v>
      </c>
      <c r="AM461" s="10">
        <v>1.5409121395000001</v>
      </c>
      <c r="AN461" s="16">
        <v>17.876010899071925</v>
      </c>
      <c r="AO461" s="11">
        <v>1.5435382151597246</v>
      </c>
      <c r="AP461" s="14">
        <v>4.2705717187499985</v>
      </c>
      <c r="AQ461" s="2">
        <f>AP461*((G461*0.01)+(H461*0.01)+(I461*0.01))</f>
        <v>0.2348814445312499</v>
      </c>
      <c r="AR461" s="15">
        <v>1.4943604167362599</v>
      </c>
      <c r="AS461" s="15">
        <v>0.37895940869646211</v>
      </c>
      <c r="AT461" s="15">
        <f t="shared" si="93"/>
        <v>2.5647841001104631E-2</v>
      </c>
      <c r="AU461" s="2">
        <f t="shared" si="94"/>
        <v>4.0397072967042862E-2</v>
      </c>
      <c r="AV461" s="2">
        <f t="shared" si="95"/>
        <v>4.9558988639051109E-3</v>
      </c>
      <c r="AW461" s="3">
        <f t="shared" si="96"/>
        <v>12.267965225966449</v>
      </c>
    </row>
    <row r="462" spans="1:49" s="5" customFormat="1" x14ac:dyDescent="0.2">
      <c r="A462" s="5" t="s">
        <v>480</v>
      </c>
      <c r="B462" s="5" t="s">
        <v>481</v>
      </c>
      <c r="C462" s="5" t="s">
        <v>518</v>
      </c>
      <c r="D462" s="5" t="s">
        <v>526</v>
      </c>
      <c r="E462" s="13" t="s">
        <v>520</v>
      </c>
      <c r="F462" s="5">
        <v>48</v>
      </c>
      <c r="G462" s="14">
        <v>2.1</v>
      </c>
      <c r="H462" s="14">
        <v>2.1</v>
      </c>
      <c r="I462" s="14">
        <v>1.1499999999999999</v>
      </c>
      <c r="J462">
        <v>8.36</v>
      </c>
      <c r="K462">
        <v>9.56</v>
      </c>
      <c r="L462">
        <v>8.9600000000000009</v>
      </c>
      <c r="M462">
        <v>0.21</v>
      </c>
      <c r="N462" s="14">
        <v>53.95555555555557</v>
      </c>
      <c r="O462" s="14">
        <v>55.105555555555569</v>
      </c>
      <c r="P462" s="14">
        <v>54.530555555555566</v>
      </c>
      <c r="Q462" s="14">
        <v>53.95555555555557</v>
      </c>
      <c r="R462" s="14">
        <v>55.105555555555569</v>
      </c>
      <c r="S462" s="14">
        <v>54.530555555555566</v>
      </c>
      <c r="T462" s="3">
        <v>54.53</v>
      </c>
      <c r="U462" s="3">
        <v>0.57499999999999996</v>
      </c>
      <c r="V462" s="3">
        <v>345.31</v>
      </c>
      <c r="W462" s="3">
        <v>599.32000000000005</v>
      </c>
      <c r="X462" s="3">
        <v>493.6</v>
      </c>
      <c r="Y462" s="3">
        <v>477.14</v>
      </c>
      <c r="Z462" s="3">
        <v>127.005</v>
      </c>
      <c r="AA462" s="4">
        <v>0.10580000000000001</v>
      </c>
      <c r="AB462" s="4">
        <v>2.9277441000000001E-2</v>
      </c>
      <c r="AC462">
        <v>1.1476266666666668</v>
      </c>
      <c r="AD462" s="15">
        <v>7.2275999999999998</v>
      </c>
      <c r="AE462" s="15">
        <v>2.6248999999999998</v>
      </c>
      <c r="AF462" s="15">
        <f t="shared" si="91"/>
        <v>4.6027000000000005</v>
      </c>
      <c r="AG462" s="15">
        <v>1.477273333333333</v>
      </c>
      <c r="AH462" s="15">
        <v>75.702634660678342</v>
      </c>
      <c r="AI462" s="2">
        <v>24.297365339321658</v>
      </c>
      <c r="AJ462" s="1">
        <f t="shared" si="92"/>
        <v>1.2148682669660831</v>
      </c>
      <c r="AK462" s="13">
        <v>0.14249999999999999</v>
      </c>
      <c r="AL462" s="16">
        <v>40.846824410000004</v>
      </c>
      <c r="AM462" s="10">
        <v>2.0423412205000004</v>
      </c>
      <c r="AN462" s="16">
        <v>23.69305360208817</v>
      </c>
      <c r="AO462" s="11">
        <v>2.0443232770169768</v>
      </c>
      <c r="AP462" s="14">
        <v>3.9811274999999999</v>
      </c>
      <c r="AQ462" s="2">
        <f>AP462*((G462*0.01)+(H462*0.01)+(I462*0.01))</f>
        <v>0.21299032125000003</v>
      </c>
      <c r="AR462" s="15">
        <v>1.5271988483999404</v>
      </c>
      <c r="AS462" s="15">
        <v>0.3710690836536466</v>
      </c>
      <c r="AT462" s="15">
        <f t="shared" si="93"/>
        <v>2.436019652130008E-2</v>
      </c>
      <c r="AU462" s="2">
        <f t="shared" si="94"/>
        <v>3.925910905055581E-2</v>
      </c>
      <c r="AV462" s="2">
        <f t="shared" si="95"/>
        <v>4.6776711261582839E-3</v>
      </c>
      <c r="AW462" s="3">
        <f t="shared" si="96"/>
        <v>11.914868266966083</v>
      </c>
    </row>
    <row r="463" spans="1:49" s="5" customFormat="1" x14ac:dyDescent="0.2">
      <c r="A463" s="5" t="s">
        <v>480</v>
      </c>
      <c r="B463" s="5" t="s">
        <v>481</v>
      </c>
      <c r="C463" s="5" t="s">
        <v>518</v>
      </c>
      <c r="D463" s="5" t="s">
        <v>527</v>
      </c>
      <c r="E463" s="13" t="s">
        <v>520</v>
      </c>
      <c r="F463" s="5">
        <v>49</v>
      </c>
      <c r="G463" s="14">
        <v>2.15</v>
      </c>
      <c r="H463" s="14">
        <v>2.1</v>
      </c>
      <c r="I463" s="14">
        <v>1.1499999999999999</v>
      </c>
      <c r="J463">
        <v>9.77</v>
      </c>
      <c r="K463">
        <v>10.97</v>
      </c>
      <c r="L463">
        <v>10.37</v>
      </c>
      <c r="M463">
        <v>0.21</v>
      </c>
      <c r="N463" s="14">
        <v>55.311111111111124</v>
      </c>
      <c r="O463" s="14">
        <v>56.461111111111123</v>
      </c>
      <c r="P463" s="14">
        <v>55.88611111111112</v>
      </c>
      <c r="Q463" s="14">
        <v>55.311111111111124</v>
      </c>
      <c r="R463" s="14">
        <v>56.461111111111123</v>
      </c>
      <c r="S463" s="14">
        <v>55.88611111111112</v>
      </c>
      <c r="T463" s="3">
        <v>55.89</v>
      </c>
      <c r="U463" s="3">
        <v>0.57499999999999996</v>
      </c>
      <c r="V463" s="3">
        <v>349.02</v>
      </c>
      <c r="W463" s="3">
        <v>627.84</v>
      </c>
      <c r="X463" s="3">
        <v>502.26</v>
      </c>
      <c r="Y463" s="3">
        <v>489.95</v>
      </c>
      <c r="Z463" s="3">
        <v>139.41</v>
      </c>
      <c r="AA463" s="4">
        <v>0.1066</v>
      </c>
      <c r="AB463" s="4">
        <v>3.1428590999999999E-2</v>
      </c>
      <c r="AC463">
        <v>1.1476266666666668</v>
      </c>
      <c r="AD463" s="15">
        <v>7.8670999999999998</v>
      </c>
      <c r="AE463" s="15">
        <v>2.9531999999999998</v>
      </c>
      <c r="AF463" s="15">
        <f t="shared" si="91"/>
        <v>4.9138999999999999</v>
      </c>
      <c r="AG463" s="15">
        <v>1.805573333333333</v>
      </c>
      <c r="AH463" s="15">
        <v>73.129243264105028</v>
      </c>
      <c r="AI463" s="2">
        <v>26.870756735894972</v>
      </c>
      <c r="AJ463" s="1">
        <f t="shared" si="92"/>
        <v>1.3435378367947486</v>
      </c>
      <c r="AK463" s="13">
        <v>0.13350000000000001</v>
      </c>
      <c r="AL463" s="16">
        <v>46.664003200000003</v>
      </c>
      <c r="AM463" s="10">
        <v>2.3332001600000001</v>
      </c>
      <c r="AN463" s="16">
        <v>27.067287238979119</v>
      </c>
      <c r="AO463" s="11">
        <v>2.334935328145948</v>
      </c>
      <c r="AP463" s="14">
        <v>4.0764804687499998</v>
      </c>
      <c r="AQ463" s="2">
        <f>AP463*((G463*0.01)+(H463*0.01)+(I463*0.01))</f>
        <v>0.22012994531249996</v>
      </c>
      <c r="AR463" s="15">
        <v>1.6483516564949403</v>
      </c>
      <c r="AS463" s="15">
        <v>0.44292456376885053</v>
      </c>
      <c r="AT463" s="15">
        <f t="shared" si="93"/>
        <v>2.986878554621052E-2</v>
      </c>
      <c r="AU463" s="2">
        <f t="shared" si="94"/>
        <v>4.7215758497759469E-2</v>
      </c>
      <c r="AV463" s="2">
        <f t="shared" si="95"/>
        <v>5.7336634981050528E-3</v>
      </c>
      <c r="AW463" s="3">
        <f t="shared" si="96"/>
        <v>12.143537836794749</v>
      </c>
    </row>
    <row r="464" spans="1:49" s="5" customFormat="1" x14ac:dyDescent="0.2">
      <c r="A464" s="5" t="s">
        <v>480</v>
      </c>
      <c r="B464" s="5" t="s">
        <v>481</v>
      </c>
      <c r="C464" s="5" t="s">
        <v>518</v>
      </c>
      <c r="D464" s="5" t="s">
        <v>528</v>
      </c>
      <c r="E464" s="13" t="s">
        <v>520</v>
      </c>
      <c r="F464" s="5">
        <v>50</v>
      </c>
      <c r="G464" s="14">
        <v>2.15</v>
      </c>
      <c r="H464" s="14">
        <v>2.0499999999999998</v>
      </c>
      <c r="I464" s="14">
        <v>1.1499999999999999</v>
      </c>
      <c r="J464">
        <v>11.18</v>
      </c>
      <c r="K464">
        <v>12.38</v>
      </c>
      <c r="L464">
        <v>11.78</v>
      </c>
      <c r="M464">
        <v>0.21</v>
      </c>
      <c r="N464" s="14">
        <v>56.666666666666679</v>
      </c>
      <c r="O464" s="14">
        <v>57.816666666666677</v>
      </c>
      <c r="P464" s="14">
        <v>57.241666666666674</v>
      </c>
      <c r="Q464" s="14">
        <v>56.666666666666679</v>
      </c>
      <c r="R464" s="14">
        <v>57.816666666666677</v>
      </c>
      <c r="S464" s="14">
        <v>57.241666666666674</v>
      </c>
      <c r="T464" s="3">
        <v>57.24</v>
      </c>
      <c r="U464" s="3">
        <v>0.57499999999999996</v>
      </c>
      <c r="V464" s="3">
        <v>352.86</v>
      </c>
      <c r="W464" s="3">
        <v>657.92</v>
      </c>
      <c r="X464" s="3">
        <v>510.62</v>
      </c>
      <c r="Y464" s="3">
        <v>502.67</v>
      </c>
      <c r="Z464" s="3">
        <v>152.53</v>
      </c>
      <c r="AA464" s="4">
        <v>0.1062</v>
      </c>
      <c r="AB464" s="4">
        <v>3.3292112999999998E-2</v>
      </c>
      <c r="AC464">
        <v>1.1476266666666668</v>
      </c>
      <c r="AD464" s="15">
        <v>7.9596</v>
      </c>
      <c r="AE464" s="15">
        <v>3.2601</v>
      </c>
      <c r="AF464" s="15">
        <f t="shared" si="91"/>
        <v>4.6995000000000005</v>
      </c>
      <c r="AG464" s="15">
        <v>2.112473333333333</v>
      </c>
      <c r="AH464" s="15">
        <v>68.988819686121303</v>
      </c>
      <c r="AI464" s="2">
        <v>31.011180313878697</v>
      </c>
      <c r="AJ464" s="1">
        <f t="shared" si="92"/>
        <v>1.5505590156939348</v>
      </c>
      <c r="AK464" s="13">
        <v>0.16650000000000001</v>
      </c>
      <c r="AL464" s="16">
        <v>28.448646329999999</v>
      </c>
      <c r="AM464" s="10">
        <v>1.4224323165000001</v>
      </c>
      <c r="AN464" s="16">
        <v>16.501534994199535</v>
      </c>
      <c r="AO464" s="11">
        <v>1.4252767082302147</v>
      </c>
      <c r="AP464" s="14">
        <v>3.981127499999999</v>
      </c>
      <c r="AQ464" s="2">
        <f>AP464*((G464*0.01)+(H464*0.01)+(I464*0.01))</f>
        <v>0.21299032124999992</v>
      </c>
      <c r="AR464" s="15">
        <v>1.7110663582950647</v>
      </c>
      <c r="AS464" s="15">
        <v>0.53062187366100022</v>
      </c>
      <c r="AT464" s="15">
        <f t="shared" si="93"/>
        <v>3.6615875542158227E-2</v>
      </c>
      <c r="AU464" s="2">
        <f t="shared" si="94"/>
        <v>5.6352042982798223E-2</v>
      </c>
      <c r="AV464" s="2">
        <f t="shared" si="95"/>
        <v>6.9034402821569084E-3</v>
      </c>
      <c r="AW464" s="3">
        <f t="shared" si="96"/>
        <v>12.250559015693934</v>
      </c>
    </row>
    <row r="465" spans="1:49" s="5" customFormat="1" x14ac:dyDescent="0.2">
      <c r="A465" s="5" t="s">
        <v>480</v>
      </c>
      <c r="B465" s="5" t="s">
        <v>481</v>
      </c>
      <c r="C465" s="5" t="s">
        <v>518</v>
      </c>
      <c r="D465" s="5" t="s">
        <v>529</v>
      </c>
      <c r="E465" s="13" t="s">
        <v>520</v>
      </c>
      <c r="F465" s="5">
        <v>51</v>
      </c>
      <c r="G465" s="14">
        <v>2.2000000000000002</v>
      </c>
      <c r="H465" s="14">
        <v>2.0499999999999998</v>
      </c>
      <c r="I465" s="14">
        <v>1.1000000000000001</v>
      </c>
      <c r="J465">
        <v>12.59</v>
      </c>
      <c r="K465">
        <v>13.69</v>
      </c>
      <c r="L465">
        <v>13.14</v>
      </c>
      <c r="M465">
        <v>0.21</v>
      </c>
      <c r="N465" s="14">
        <v>58.022222222222233</v>
      </c>
      <c r="O465" s="14">
        <v>59.122222222222234</v>
      </c>
      <c r="P465" s="14">
        <v>58.572222222222237</v>
      </c>
      <c r="Q465" s="14">
        <v>58.022222222222233</v>
      </c>
      <c r="R465" s="14">
        <v>59.122222222222234</v>
      </c>
      <c r="S465" s="14">
        <v>58.572222222222237</v>
      </c>
      <c r="T465" s="3">
        <v>58.57</v>
      </c>
      <c r="U465" s="3">
        <v>0.55000000000000004</v>
      </c>
      <c r="V465" s="3">
        <v>355.65</v>
      </c>
      <c r="W465" s="3">
        <v>689.74</v>
      </c>
      <c r="X465" s="3">
        <v>519.21</v>
      </c>
      <c r="Y465" s="3">
        <v>515.20000000000005</v>
      </c>
      <c r="Z465" s="3">
        <v>167.04499999999999</v>
      </c>
      <c r="AA465" s="4">
        <v>0.10580000000000001</v>
      </c>
      <c r="AB465" s="4">
        <v>3.5297396000000002E-2</v>
      </c>
      <c r="AC465">
        <v>1.1476266666666668</v>
      </c>
      <c r="AD465" s="15">
        <v>7.7332000000000001</v>
      </c>
      <c r="AE465" s="15">
        <v>2.9451999999999998</v>
      </c>
      <c r="AF465" s="15">
        <f t="shared" si="91"/>
        <v>4.7880000000000003</v>
      </c>
      <c r="AG465" s="15">
        <v>1.797573333333333</v>
      </c>
      <c r="AH465" s="15">
        <v>72.70437603002928</v>
      </c>
      <c r="AI465" s="2">
        <v>27.29562396997072</v>
      </c>
      <c r="AJ465" s="1">
        <f t="shared" si="92"/>
        <v>1.3647811984985361</v>
      </c>
      <c r="AK465" s="13">
        <v>0.222</v>
      </c>
      <c r="AL465" s="16">
        <v>28.98272553</v>
      </c>
      <c r="AM465" s="10">
        <v>1.4491362765</v>
      </c>
      <c r="AN465" s="16">
        <v>16.811325713457077</v>
      </c>
      <c r="AO465" s="11">
        <v>1.4519283549363877</v>
      </c>
      <c r="AP465" s="14">
        <v>3.8992421875000005</v>
      </c>
      <c r="AQ465" s="2">
        <f>AP465*((G465*0.01)+(H465*0.01)+(I465*0.01))</f>
        <v>0.20860945703125003</v>
      </c>
      <c r="AR465" s="15">
        <v>1.6889367258194532</v>
      </c>
      <c r="AS465" s="15">
        <v>0.46100581777041333</v>
      </c>
      <c r="AT465" s="15">
        <f t="shared" si="93"/>
        <v>3.0955531975632136E-2</v>
      </c>
      <c r="AU465" s="2">
        <f t="shared" si="94"/>
        <v>4.8774415520109735E-2</v>
      </c>
      <c r="AV465" s="2">
        <f t="shared" si="95"/>
        <v>5.8845265133477516E-3</v>
      </c>
      <c r="AW465" s="3">
        <f t="shared" si="96"/>
        <v>12.064781198498537</v>
      </c>
    </row>
    <row r="466" spans="1:49" s="5" customFormat="1" x14ac:dyDescent="0.2">
      <c r="A466" s="5" t="s">
        <v>480</v>
      </c>
      <c r="B466" s="5" t="s">
        <v>481</v>
      </c>
      <c r="C466" s="5" t="s">
        <v>518</v>
      </c>
      <c r="D466" s="5" t="s">
        <v>530</v>
      </c>
      <c r="E466" s="13" t="s">
        <v>520</v>
      </c>
      <c r="F466" s="5">
        <v>52</v>
      </c>
      <c r="G466" s="14">
        <v>2.15</v>
      </c>
      <c r="H466" s="14">
        <v>2.1</v>
      </c>
      <c r="I466" s="14">
        <v>1.1000000000000001</v>
      </c>
      <c r="J466">
        <v>13.9</v>
      </c>
      <c r="K466">
        <v>15</v>
      </c>
      <c r="L466">
        <v>14.45</v>
      </c>
      <c r="M466">
        <v>0.21</v>
      </c>
      <c r="N466" s="14">
        <v>59.32777777777779</v>
      </c>
      <c r="O466" s="14">
        <v>60.427777777777791</v>
      </c>
      <c r="P466" s="14">
        <v>59.877777777777794</v>
      </c>
      <c r="Q466" s="14">
        <v>59.32777777777779</v>
      </c>
      <c r="R466" s="14">
        <v>60.427777777777791</v>
      </c>
      <c r="S466" s="14">
        <v>59.877777777777794</v>
      </c>
      <c r="T466" s="3">
        <v>59.88</v>
      </c>
      <c r="U466" s="3">
        <v>0.55000000000000004</v>
      </c>
      <c r="V466" s="3">
        <v>358.08</v>
      </c>
      <c r="W466" s="3">
        <v>724.22</v>
      </c>
      <c r="X466" s="3">
        <v>527.99</v>
      </c>
      <c r="Y466" s="3">
        <v>527.54</v>
      </c>
      <c r="Z466" s="3">
        <v>183.07</v>
      </c>
      <c r="AA466" s="4">
        <v>9.1499999999999998E-2</v>
      </c>
      <c r="AB466" s="4">
        <v>3.2593293000000002E-2</v>
      </c>
      <c r="AC466">
        <v>1.1476266666666668</v>
      </c>
      <c r="AD466" s="15">
        <v>7.8707000000000003</v>
      </c>
      <c r="AE466" s="15">
        <v>2.8452000000000002</v>
      </c>
      <c r="AF466" s="15">
        <f t="shared" si="91"/>
        <v>5.0255000000000001</v>
      </c>
      <c r="AG466" s="15">
        <v>1.6975733333333334</v>
      </c>
      <c r="AH466" s="15">
        <v>74.750039912302014</v>
      </c>
      <c r="AI466" s="2">
        <v>25.249960087697986</v>
      </c>
      <c r="AJ466" s="1">
        <f t="shared" si="92"/>
        <v>1.2624980043848995</v>
      </c>
      <c r="AK466" s="13">
        <v>0.1782</v>
      </c>
      <c r="AL466" s="16">
        <v>36.288880939999999</v>
      </c>
      <c r="AM466" s="10">
        <v>1.8144440470000001</v>
      </c>
      <c r="AN466" s="16">
        <v>21.049234883990717</v>
      </c>
      <c r="AO466" s="11">
        <v>1.8166747644236538</v>
      </c>
      <c r="AP466" s="14">
        <v>3.8992421875000005</v>
      </c>
      <c r="AQ466" s="2">
        <f>AP466*((G466*0.01)+(H466*0.01)+(I466*0.01))</f>
        <v>0.20860945703125003</v>
      </c>
      <c r="AR466" s="15">
        <v>1.724199988112006</v>
      </c>
      <c r="AS466" s="15">
        <v>0.43535980883037501</v>
      </c>
      <c r="AT466" s="15">
        <f t="shared" si="93"/>
        <v>2.878815867080246E-2</v>
      </c>
      <c r="AU466" s="2">
        <f t="shared" si="94"/>
        <v>3.9835422507979314E-2</v>
      </c>
      <c r="AV466" s="2">
        <f t="shared" si="95"/>
        <v>4.7653116225553184E-3</v>
      </c>
      <c r="AW466" s="3">
        <f t="shared" si="96"/>
        <v>11.9624980043849</v>
      </c>
    </row>
    <row r="467" spans="1:49" s="5" customFormat="1" x14ac:dyDescent="0.2">
      <c r="A467" s="5" t="s">
        <v>480</v>
      </c>
      <c r="B467" s="5" t="s">
        <v>481</v>
      </c>
      <c r="C467" s="5" t="s">
        <v>518</v>
      </c>
      <c r="D467" s="5" t="s">
        <v>531</v>
      </c>
      <c r="E467" s="13" t="s">
        <v>520</v>
      </c>
      <c r="F467" s="5">
        <v>53</v>
      </c>
      <c r="G467" s="14">
        <v>2.0499999999999998</v>
      </c>
      <c r="H467" s="14">
        <v>2.1</v>
      </c>
      <c r="I467" s="14">
        <v>1.1000000000000001</v>
      </c>
      <c r="J467">
        <v>15.21</v>
      </c>
      <c r="K467">
        <v>16.309999999999999</v>
      </c>
      <c r="L467">
        <v>15.76</v>
      </c>
      <c r="M467">
        <v>0.21</v>
      </c>
      <c r="N467" s="14">
        <v>60.633333333333347</v>
      </c>
      <c r="O467" s="14">
        <v>61.733333333333348</v>
      </c>
      <c r="P467" s="14">
        <v>61.183333333333351</v>
      </c>
      <c r="Q467" s="14">
        <v>60.633333333333347</v>
      </c>
      <c r="R467" s="14">
        <v>61.733333333333348</v>
      </c>
      <c r="S467" s="14">
        <v>61.183333333333351</v>
      </c>
      <c r="T467" s="3">
        <v>61.18</v>
      </c>
      <c r="U467" s="3">
        <v>0.55000000000000004</v>
      </c>
      <c r="V467" s="3">
        <v>374.05</v>
      </c>
      <c r="W467" s="3">
        <v>736</v>
      </c>
      <c r="X467" s="3">
        <v>542.25</v>
      </c>
      <c r="Y467" s="3">
        <v>541.80999999999995</v>
      </c>
      <c r="Z467" s="3">
        <v>180.97499999999999</v>
      </c>
      <c r="AA467" s="4">
        <v>8.9499999999999996E-2</v>
      </c>
      <c r="AB467" s="4">
        <v>3.0699321000000002E-2</v>
      </c>
      <c r="AC467">
        <v>1.1476266666666668</v>
      </c>
      <c r="AD467" s="15">
        <v>7.6071999999999997</v>
      </c>
      <c r="AE467" s="15">
        <v>2.7906</v>
      </c>
      <c r="AF467" s="15">
        <f t="shared" si="91"/>
        <v>4.8165999999999993</v>
      </c>
      <c r="AG467" s="15">
        <v>1.6429733333333332</v>
      </c>
      <c r="AH467" s="15">
        <v>74.56529636632348</v>
      </c>
      <c r="AI467" s="2">
        <v>25.43470363367652</v>
      </c>
      <c r="AJ467" s="1">
        <f t="shared" si="92"/>
        <v>1.271735181683826</v>
      </c>
      <c r="AK467" s="13">
        <v>0.1744</v>
      </c>
      <c r="AL467" s="16">
        <v>35.882352939999997</v>
      </c>
      <c r="AM467" s="10">
        <v>1.794117647</v>
      </c>
      <c r="AN467" s="16">
        <v>20.813429779582364</v>
      </c>
      <c r="AO467" s="11">
        <v>1.7963736057059001</v>
      </c>
      <c r="AP467" s="14">
        <v>3.7179071875000012</v>
      </c>
      <c r="AQ467" s="2">
        <f>AP467*((G467*0.01)+(H467*0.01)+(I467*0.01))</f>
        <v>0.19519012734375005</v>
      </c>
      <c r="AR467" s="15">
        <v>1.737421890210467</v>
      </c>
      <c r="AS467" s="15">
        <v>0.44190810864165303</v>
      </c>
      <c r="AT467" s="15">
        <f t="shared" si="93"/>
        <v>2.8820076591996268E-2</v>
      </c>
      <c r="AU467" s="2">
        <f t="shared" si="94"/>
        <v>3.9550775723427946E-2</v>
      </c>
      <c r="AV467" s="2">
        <f t="shared" si="95"/>
        <v>4.6558125804636334E-3</v>
      </c>
      <c r="AW467" s="3">
        <f t="shared" si="96"/>
        <v>11.771735181683827</v>
      </c>
    </row>
    <row r="468" spans="1:49" s="5" customFormat="1" x14ac:dyDescent="0.2">
      <c r="A468" s="5" t="s">
        <v>480</v>
      </c>
      <c r="B468" s="5" t="s">
        <v>481</v>
      </c>
      <c r="C468" s="5" t="s">
        <v>518</v>
      </c>
      <c r="D468" s="5" t="s">
        <v>532</v>
      </c>
      <c r="E468" s="13" t="s">
        <v>520</v>
      </c>
      <c r="F468" s="5">
        <v>54</v>
      </c>
      <c r="G468" s="14">
        <v>2.15</v>
      </c>
      <c r="H468" s="14">
        <v>2.2000000000000002</v>
      </c>
      <c r="I468" s="14">
        <v>1.2</v>
      </c>
      <c r="J468">
        <v>16.52</v>
      </c>
      <c r="K468">
        <v>17.72</v>
      </c>
      <c r="L468">
        <v>17.12</v>
      </c>
      <c r="M468">
        <v>0.21</v>
      </c>
      <c r="N468" s="14">
        <v>61.938888888888904</v>
      </c>
      <c r="O468" s="14">
        <v>63.138888888888907</v>
      </c>
      <c r="P468" s="14">
        <v>62.538888888888906</v>
      </c>
      <c r="Q468" s="14">
        <v>61.938888888888904</v>
      </c>
      <c r="R468" s="14">
        <v>63.138888888888907</v>
      </c>
      <c r="S468" s="14">
        <v>62.538888888888906</v>
      </c>
      <c r="T468" s="3">
        <v>62.54</v>
      </c>
      <c r="U468" s="3">
        <v>0.6</v>
      </c>
      <c r="V468" s="3">
        <v>384.64</v>
      </c>
      <c r="W468" s="3">
        <v>749.3</v>
      </c>
      <c r="X468" s="3">
        <v>557.80999999999995</v>
      </c>
      <c r="Y468" s="3">
        <v>556.96</v>
      </c>
      <c r="Z468" s="3">
        <v>182.33</v>
      </c>
      <c r="AA468" s="4">
        <v>9.01E-2</v>
      </c>
      <c r="AB468" s="4">
        <v>3.0360121E-2</v>
      </c>
      <c r="AC468">
        <v>1.1476266666666668</v>
      </c>
      <c r="AD468" s="15">
        <v>8.2725000000000009</v>
      </c>
      <c r="AE468" s="15">
        <v>3.0912999999999999</v>
      </c>
      <c r="AF468" s="15">
        <f t="shared" si="91"/>
        <v>5.1812000000000005</v>
      </c>
      <c r="AG468" s="15">
        <v>1.9436733333333331</v>
      </c>
      <c r="AH468" s="15">
        <v>72.719889289259882</v>
      </c>
      <c r="AI468" s="2">
        <v>27.280110710740118</v>
      </c>
      <c r="AJ468" s="1">
        <f t="shared" si="92"/>
        <v>1.364005535537006</v>
      </c>
      <c r="AK468" s="13">
        <v>0.14180000000000001</v>
      </c>
      <c r="AL468" s="16">
        <v>32.986767489999998</v>
      </c>
      <c r="AM468" s="10">
        <v>1.6493383745000001</v>
      </c>
      <c r="AN468" s="16">
        <v>19.133855852668212</v>
      </c>
      <c r="AO468" s="11">
        <v>1.6517920794089984</v>
      </c>
      <c r="AP468" s="14">
        <v>4.4562487499999994</v>
      </c>
      <c r="AQ468" s="2">
        <f>AP468*((G468*0.01)+(H468*0.01)+(I468*0.01))</f>
        <v>0.24732180562499995</v>
      </c>
      <c r="AR468" s="15">
        <v>1.5988500043525029</v>
      </c>
      <c r="AS468" s="15">
        <v>0.43616805128603592</v>
      </c>
      <c r="AT468" s="15">
        <f t="shared" si="93"/>
        <v>3.015668321016041E-2</v>
      </c>
      <c r="AU468" s="2">
        <f t="shared" si="94"/>
        <v>3.9298741420871836E-2</v>
      </c>
      <c r="AV468" s="2">
        <f t="shared" si="95"/>
        <v>4.8981973060938395E-3</v>
      </c>
      <c r="AW468" s="3">
        <f t="shared" si="96"/>
        <v>12.464005535537005</v>
      </c>
    </row>
    <row r="469" spans="1:49" s="5" customFormat="1" x14ac:dyDescent="0.2">
      <c r="A469" s="5" t="s">
        <v>480</v>
      </c>
      <c r="B469" s="5" t="s">
        <v>481</v>
      </c>
      <c r="C469" s="5" t="s">
        <v>518</v>
      </c>
      <c r="D469" s="5" t="s">
        <v>533</v>
      </c>
      <c r="E469" s="13" t="s">
        <v>520</v>
      </c>
      <c r="F469" s="5">
        <v>55</v>
      </c>
      <c r="G469" s="14">
        <v>2.2000000000000002</v>
      </c>
      <c r="H469" s="14">
        <v>2</v>
      </c>
      <c r="I469" s="14">
        <v>1.1000000000000001</v>
      </c>
      <c r="J469">
        <v>17.93</v>
      </c>
      <c r="K469">
        <v>19.03</v>
      </c>
      <c r="L469">
        <v>18.48</v>
      </c>
      <c r="M469">
        <v>0.21</v>
      </c>
      <c r="N469" s="14">
        <v>63.344444444444463</v>
      </c>
      <c r="O469" s="14">
        <v>64.444444444444457</v>
      </c>
      <c r="P469" s="14">
        <v>63.89444444444446</v>
      </c>
      <c r="Q469" s="14">
        <v>63.344444444444463</v>
      </c>
      <c r="R469" s="14">
        <v>64.444444444444457</v>
      </c>
      <c r="S469" s="14">
        <v>63.89444444444446</v>
      </c>
      <c r="T469" s="3">
        <v>63.89</v>
      </c>
      <c r="U469" s="3">
        <v>0.55000000000000004</v>
      </c>
      <c r="V469" s="3">
        <v>393.05</v>
      </c>
      <c r="W469" s="3">
        <v>767.64</v>
      </c>
      <c r="X469" s="3">
        <v>572.21</v>
      </c>
      <c r="Y469" s="3">
        <v>572</v>
      </c>
      <c r="Z469" s="3">
        <v>187.29499999999999</v>
      </c>
      <c r="AA469" s="4">
        <v>8.9499999999999996E-2</v>
      </c>
      <c r="AB469" s="4">
        <v>3.0076238000000002E-2</v>
      </c>
      <c r="AC469">
        <v>1.1476266666666668</v>
      </c>
      <c r="AD469" s="15">
        <v>6.9412000000000003</v>
      </c>
      <c r="AE469" s="15">
        <v>2.4824000000000002</v>
      </c>
      <c r="AF469" s="15">
        <f t="shared" si="91"/>
        <v>4.4588000000000001</v>
      </c>
      <c r="AG469" s="15">
        <v>1.3347733333333334</v>
      </c>
      <c r="AH469" s="15">
        <v>76.961138548920871</v>
      </c>
      <c r="AI469" s="2">
        <v>23.038861451079129</v>
      </c>
      <c r="AJ469" s="1">
        <f t="shared" si="92"/>
        <v>1.1519430725539566</v>
      </c>
      <c r="AK469" s="13">
        <v>9.5699999999999993E-2</v>
      </c>
      <c r="AL469" s="16">
        <v>32.271762209999999</v>
      </c>
      <c r="AM469" s="10">
        <v>1.6135881105000001</v>
      </c>
      <c r="AN469" s="16">
        <v>18.71911961136891</v>
      </c>
      <c r="AO469" s="11">
        <v>1.6160960956412711</v>
      </c>
      <c r="AP469" s="14">
        <v>3.8080350000000007</v>
      </c>
      <c r="AQ469" s="2">
        <f>AP469*((G469*0.01)+(H469*0.01)+(I469*0.01))</f>
        <v>0.20182585500000005</v>
      </c>
      <c r="AR469" s="15">
        <v>1.5214075851018525</v>
      </c>
      <c r="AS469" s="15">
        <v>0.35051498563782452</v>
      </c>
      <c r="AT469" s="15">
        <f t="shared" si="93"/>
        <v>2.2615027334123117E-2</v>
      </c>
      <c r="AU469" s="2">
        <f t="shared" si="94"/>
        <v>3.1371091214585291E-2</v>
      </c>
      <c r="AV469" s="2">
        <f t="shared" si="95"/>
        <v>3.6867127807770394E-3</v>
      </c>
      <c r="AW469" s="3">
        <f t="shared" si="96"/>
        <v>11.751943072553958</v>
      </c>
    </row>
    <row r="470" spans="1:49" s="5" customFormat="1" x14ac:dyDescent="0.2">
      <c r="A470" s="5" t="s">
        <v>480</v>
      </c>
      <c r="B470" s="5" t="s">
        <v>481</v>
      </c>
      <c r="C470" s="5" t="s">
        <v>518</v>
      </c>
      <c r="D470" s="5" t="s">
        <v>534</v>
      </c>
      <c r="E470" s="13" t="s">
        <v>520</v>
      </c>
      <c r="F470" s="5">
        <v>56</v>
      </c>
      <c r="G470" s="14">
        <v>1.95</v>
      </c>
      <c r="H470" s="14">
        <v>2.25</v>
      </c>
      <c r="I470" s="14">
        <v>1.1000000000000001</v>
      </c>
      <c r="J470">
        <v>19.239999999999998</v>
      </c>
      <c r="K470">
        <v>20.34</v>
      </c>
      <c r="L470">
        <v>19.79</v>
      </c>
      <c r="M470">
        <v>0.21</v>
      </c>
      <c r="N470" s="14">
        <v>64.650000000000006</v>
      </c>
      <c r="O470" s="14">
        <v>65.75</v>
      </c>
      <c r="P470" s="14">
        <v>65.2</v>
      </c>
      <c r="Q470" s="14">
        <v>64.650000000000006</v>
      </c>
      <c r="R470" s="14">
        <v>65.75</v>
      </c>
      <c r="S470" s="14">
        <v>65.2</v>
      </c>
      <c r="T470" s="3">
        <v>65.2</v>
      </c>
      <c r="U470" s="3">
        <v>0.55000000000000004</v>
      </c>
      <c r="V470" s="3">
        <v>400.63</v>
      </c>
      <c r="W470" s="3">
        <v>788.4</v>
      </c>
      <c r="X470" s="3">
        <v>586.13</v>
      </c>
      <c r="Y470" s="3">
        <v>586.59</v>
      </c>
      <c r="Z470" s="3">
        <v>193.88499999999999</v>
      </c>
      <c r="AA470" s="4">
        <v>8.9399999999999993E-2</v>
      </c>
      <c r="AB470" s="4">
        <v>3.0303433000000001E-2</v>
      </c>
      <c r="AC470">
        <v>1.1476266666666668</v>
      </c>
      <c r="AD470" s="15">
        <v>7.1786000000000003</v>
      </c>
      <c r="AE470" s="15">
        <v>2.3473999999999999</v>
      </c>
      <c r="AF470" s="15">
        <f t="shared" si="91"/>
        <v>4.8312000000000008</v>
      </c>
      <c r="AG470" s="15">
        <v>1.1997733333333331</v>
      </c>
      <c r="AH470" s="15">
        <v>80.106472587067216</v>
      </c>
      <c r="AI470" s="2">
        <v>19.893527412932784</v>
      </c>
      <c r="AJ470" s="1">
        <f t="shared" si="92"/>
        <v>0.99467637064663927</v>
      </c>
      <c r="AK470" s="13">
        <v>0.1018</v>
      </c>
      <c r="AL470" s="16">
        <v>43.00111982</v>
      </c>
      <c r="AM470" s="10">
        <v>2.1500559909999999</v>
      </c>
      <c r="AN470" s="16">
        <v>24.942644907192577</v>
      </c>
      <c r="AO470" s="11">
        <v>2.1519388384512679</v>
      </c>
      <c r="AP470" s="14">
        <v>3.8080350000000007</v>
      </c>
      <c r="AQ470" s="2">
        <f>AP470*((G470*0.01)+(H470*0.01)+(I470*0.01))</f>
        <v>0.20182585500000003</v>
      </c>
      <c r="AR470" s="15">
        <v>1.5837494490815689</v>
      </c>
      <c r="AS470" s="15">
        <v>0.31506363080521393</v>
      </c>
      <c r="AT470" s="15">
        <f t="shared" si="93"/>
        <v>1.9832235920797164E-2</v>
      </c>
      <c r="AU470" s="2">
        <f t="shared" si="94"/>
        <v>2.8166688593986123E-2</v>
      </c>
      <c r="AV470" s="2">
        <f t="shared" si="95"/>
        <v>3.2658363868005311E-3</v>
      </c>
      <c r="AW470" s="3">
        <f t="shared" si="96"/>
        <v>11.594676370646638</v>
      </c>
    </row>
    <row r="471" spans="1:49" s="5" customFormat="1" x14ac:dyDescent="0.2">
      <c r="A471" s="5" t="s">
        <v>480</v>
      </c>
      <c r="B471" s="5" t="s">
        <v>481</v>
      </c>
      <c r="C471" s="5" t="s">
        <v>518</v>
      </c>
      <c r="D471" s="5" t="s">
        <v>535</v>
      </c>
      <c r="E471" s="13" t="s">
        <v>520</v>
      </c>
      <c r="F471" s="5">
        <v>57</v>
      </c>
      <c r="G471" s="14">
        <v>2.0499999999999998</v>
      </c>
      <c r="H471" s="14">
        <v>2.0499999999999998</v>
      </c>
      <c r="I471" s="14">
        <v>1.1000000000000001</v>
      </c>
      <c r="J471">
        <v>20.55</v>
      </c>
      <c r="K471">
        <v>21.65</v>
      </c>
      <c r="L471">
        <v>21.1</v>
      </c>
      <c r="M471">
        <v>0.21</v>
      </c>
      <c r="N471" s="14">
        <v>65.955555555555549</v>
      </c>
      <c r="O471" s="14">
        <v>67.055555555555543</v>
      </c>
      <c r="P471" s="14">
        <v>66.505555555555546</v>
      </c>
      <c r="Q471" s="14">
        <v>65.955555555555549</v>
      </c>
      <c r="R471" s="14">
        <v>67.055555555555543</v>
      </c>
      <c r="S471" s="14">
        <v>66.505555555555546</v>
      </c>
      <c r="T471" s="3">
        <v>66.510000000000005</v>
      </c>
      <c r="U471" s="3">
        <v>0.55000000000000004</v>
      </c>
      <c r="V471" s="3">
        <v>406.3</v>
      </c>
      <c r="W471" s="3">
        <v>819.86</v>
      </c>
      <c r="X471" s="3">
        <v>598.96</v>
      </c>
      <c r="Y471" s="3">
        <v>601.19000000000005</v>
      </c>
      <c r="Z471" s="3">
        <v>206.78</v>
      </c>
      <c r="AA471" s="4">
        <v>8.9899999999999994E-2</v>
      </c>
      <c r="AB471" s="4">
        <v>3.1664631999999998E-2</v>
      </c>
      <c r="AC471">
        <v>1.1476266666666668</v>
      </c>
      <c r="AD471" s="15">
        <v>7.5427</v>
      </c>
      <c r="AE471" s="15">
        <v>2.7458</v>
      </c>
      <c r="AF471" s="15">
        <f t="shared" si="91"/>
        <v>4.7968999999999999</v>
      </c>
      <c r="AG471" s="15">
        <v>1.5981733333333332</v>
      </c>
      <c r="AH471" s="15">
        <v>75.009304037170281</v>
      </c>
      <c r="AI471" s="2">
        <v>24.990695962829719</v>
      </c>
      <c r="AJ471" s="1">
        <f t="shared" si="92"/>
        <v>1.2495347981414859</v>
      </c>
      <c r="AK471" s="13">
        <v>0.1239</v>
      </c>
      <c r="AL471" s="16">
        <v>36.753445640000002</v>
      </c>
      <c r="AM471" s="10">
        <v>1.8376722820000002</v>
      </c>
      <c r="AN471" s="16">
        <v>21.318703967517404</v>
      </c>
      <c r="AO471" s="11">
        <v>1.8398748370557951</v>
      </c>
      <c r="AP471" s="14">
        <v>3.6288587499999996</v>
      </c>
      <c r="AQ471" s="2">
        <f>AP471*((G471*0.01)+(H471*0.01)+(I471*0.01))</f>
        <v>0.18870065499999997</v>
      </c>
      <c r="AR471" s="15">
        <v>1.7622822418572599</v>
      </c>
      <c r="AS471" s="15">
        <v>0.44040659706948732</v>
      </c>
      <c r="AT471" s="15">
        <f t="shared" si="93"/>
        <v>2.8404176731307348E-2</v>
      </c>
      <c r="AU471" s="2">
        <f t="shared" si="94"/>
        <v>3.959255307654691E-2</v>
      </c>
      <c r="AV471" s="2">
        <f t="shared" si="95"/>
        <v>4.6123482481249698E-3</v>
      </c>
      <c r="AW471" s="3">
        <f t="shared" si="96"/>
        <v>11.649534798141486</v>
      </c>
    </row>
    <row r="472" spans="1:49" s="5" customFormat="1" x14ac:dyDescent="0.2">
      <c r="A472" s="5" t="s">
        <v>480</v>
      </c>
      <c r="B472" s="5" t="s">
        <v>481</v>
      </c>
      <c r="C472" s="5" t="s">
        <v>518</v>
      </c>
      <c r="D472" s="5" t="s">
        <v>536</v>
      </c>
      <c r="E472" s="13" t="s">
        <v>520</v>
      </c>
      <c r="F472" s="5">
        <v>58</v>
      </c>
      <c r="G472" s="14">
        <v>2.1</v>
      </c>
      <c r="H472" s="14">
        <v>2.2000000000000002</v>
      </c>
      <c r="I472" s="14">
        <v>1.05</v>
      </c>
      <c r="J472">
        <v>21.86</v>
      </c>
      <c r="K472">
        <v>22.96</v>
      </c>
      <c r="L472">
        <v>22.41</v>
      </c>
      <c r="M472">
        <v>0.21</v>
      </c>
      <c r="N472" s="14">
        <v>67.261111111111092</v>
      </c>
      <c r="O472" s="14">
        <v>68.311111111111089</v>
      </c>
      <c r="P472" s="14">
        <v>67.786111111111097</v>
      </c>
      <c r="Q472" s="14">
        <v>67.261111111111092</v>
      </c>
      <c r="R472" s="14">
        <v>68.311111111111089</v>
      </c>
      <c r="S472" s="14">
        <v>67.786111111111097</v>
      </c>
      <c r="T472" s="3">
        <v>67.790000000000006</v>
      </c>
      <c r="U472" s="3">
        <v>0.52500000000000002</v>
      </c>
      <c r="V472" s="3">
        <v>412.32</v>
      </c>
      <c r="W472" s="3">
        <v>852.04</v>
      </c>
      <c r="X472" s="3">
        <v>610.29</v>
      </c>
      <c r="Y472" s="3">
        <v>615.44000000000005</v>
      </c>
      <c r="Z472" s="3">
        <v>219.86</v>
      </c>
      <c r="AA472" s="4">
        <v>9.01E-2</v>
      </c>
      <c r="AB472" s="4">
        <v>3.2885135000000003E-2</v>
      </c>
      <c r="AC472">
        <v>1.1476266666666668</v>
      </c>
      <c r="AD472" s="15">
        <v>7.1544999999999996</v>
      </c>
      <c r="AE472" s="15">
        <v>2.7040000000000002</v>
      </c>
      <c r="AF472" s="15">
        <f t="shared" si="91"/>
        <v>4.4504999999999999</v>
      </c>
      <c r="AG472" s="15">
        <v>1.5563733333333334</v>
      </c>
      <c r="AH472" s="15">
        <v>74.09012564495562</v>
      </c>
      <c r="AI472" s="2">
        <v>25.90987435504438</v>
      </c>
      <c r="AJ472" s="1">
        <f t="shared" si="92"/>
        <v>1.295493717752219</v>
      </c>
      <c r="AK472" s="13">
        <v>0.12770000000000001</v>
      </c>
      <c r="AL472" s="16">
        <v>36.436037829999997</v>
      </c>
      <c r="AM472" s="10">
        <v>1.8218018914999998</v>
      </c>
      <c r="AN472" s="16">
        <v>21.134592708816704</v>
      </c>
      <c r="AO472" s="11">
        <v>1.8240236105579821</v>
      </c>
      <c r="AP472" s="14">
        <v>3.8100956250000015</v>
      </c>
      <c r="AQ472" s="2">
        <f>AP472*((G472*0.01)+(H472*0.01)+(I472*0.01))</f>
        <v>0.20384011593750009</v>
      </c>
      <c r="AR472" s="15">
        <v>1.576567604739141</v>
      </c>
      <c r="AS472" s="15">
        <v>0.40848668551024431</v>
      </c>
      <c r="AT472" s="15">
        <f t="shared" si="93"/>
        <v>2.7145957023437552E-2</v>
      </c>
      <c r="AU472" s="2">
        <f t="shared" si="94"/>
        <v>3.6804650364473009E-2</v>
      </c>
      <c r="AV472" s="2">
        <f t="shared" si="95"/>
        <v>4.4148995223110294E-3</v>
      </c>
      <c r="AW472" s="3">
        <f t="shared" si="96"/>
        <v>11.99549371775222</v>
      </c>
    </row>
    <row r="473" spans="1:49" s="5" customFormat="1" x14ac:dyDescent="0.2">
      <c r="A473" s="5" t="s">
        <v>480</v>
      </c>
      <c r="B473" s="5" t="s">
        <v>481</v>
      </c>
      <c r="C473" s="5" t="s">
        <v>518</v>
      </c>
      <c r="D473" s="5" t="s">
        <v>537</v>
      </c>
      <c r="E473" s="13" t="s">
        <v>520</v>
      </c>
      <c r="F473" s="5">
        <v>59</v>
      </c>
      <c r="G473" s="14">
        <v>2.15</v>
      </c>
      <c r="H473" s="14">
        <v>2.2000000000000002</v>
      </c>
      <c r="I473" s="14">
        <v>1.1499999999999999</v>
      </c>
      <c r="J473">
        <v>23.17</v>
      </c>
      <c r="K473">
        <v>24.37</v>
      </c>
      <c r="L473">
        <v>23.77</v>
      </c>
      <c r="M473">
        <v>0.21</v>
      </c>
      <c r="N473" s="14">
        <v>68.516666666666637</v>
      </c>
      <c r="O473" s="14">
        <v>69.666666666666643</v>
      </c>
      <c r="P473" s="14">
        <v>69.09166666666664</v>
      </c>
      <c r="Q473" s="14">
        <v>68.516666666666637</v>
      </c>
      <c r="R473" s="14">
        <v>69.666666666666643</v>
      </c>
      <c r="S473" s="14">
        <v>69.09166666666664</v>
      </c>
      <c r="T473" s="3">
        <v>69.09</v>
      </c>
      <c r="U473" s="3">
        <v>0.57499999999999996</v>
      </c>
      <c r="V473" s="3">
        <v>417.65</v>
      </c>
      <c r="W473" s="3">
        <v>885.54</v>
      </c>
      <c r="X473" s="3">
        <v>622.27</v>
      </c>
      <c r="Y473" s="3">
        <v>629.92999999999995</v>
      </c>
      <c r="Z473" s="3">
        <v>233.94499999999999</v>
      </c>
      <c r="AA473" s="4">
        <v>9.1999999999999998E-2</v>
      </c>
      <c r="AB473" s="4">
        <v>3.4932861000000003E-2</v>
      </c>
      <c r="AC473">
        <v>1.1476266666666668</v>
      </c>
      <c r="AD473" s="15">
        <v>8.0564999999999998</v>
      </c>
      <c r="AE473" s="15">
        <v>2.9897</v>
      </c>
      <c r="AF473" s="15">
        <f t="shared" si="91"/>
        <v>5.0667999999999997</v>
      </c>
      <c r="AG473" s="15">
        <v>1.8420733333333332</v>
      </c>
      <c r="AH473" s="15">
        <v>73.33757264812111</v>
      </c>
      <c r="AI473" s="2">
        <v>26.66242735187889</v>
      </c>
      <c r="AJ473" s="1">
        <f t="shared" si="92"/>
        <v>1.3331213675939446</v>
      </c>
      <c r="AK473" s="13">
        <v>0.18090000000000001</v>
      </c>
      <c r="AL473" s="16">
        <v>29.747572819999998</v>
      </c>
      <c r="AM473" s="10">
        <v>1.4873786410000001</v>
      </c>
      <c r="AN473" s="16">
        <v>17.254972633410674</v>
      </c>
      <c r="AO473" s="11">
        <v>1.4900990643923671</v>
      </c>
      <c r="AP473" s="14">
        <v>4.2705717187499985</v>
      </c>
      <c r="AQ473" s="2">
        <f>AP473*((G473*0.01)+(H473*0.01)+(I473*0.01))</f>
        <v>0.2348814445312499</v>
      </c>
      <c r="AR473" s="15">
        <v>1.6177865139226766</v>
      </c>
      <c r="AS473" s="15">
        <v>0.43134115398312767</v>
      </c>
      <c r="AT473" s="15">
        <f t="shared" si="93"/>
        <v>2.9474064560047395E-2</v>
      </c>
      <c r="AU473" s="2">
        <f t="shared" si="94"/>
        <v>3.9683386166447746E-2</v>
      </c>
      <c r="AV473" s="2">
        <f t="shared" si="95"/>
        <v>4.8942001786789861E-3</v>
      </c>
      <c r="AW473" s="3">
        <f t="shared" si="96"/>
        <v>12.333121367593943</v>
      </c>
    </row>
    <row r="474" spans="1:49" s="5" customFormat="1" x14ac:dyDescent="0.2">
      <c r="A474" s="5" t="s">
        <v>480</v>
      </c>
      <c r="B474" s="5" t="s">
        <v>481</v>
      </c>
      <c r="C474" s="5" t="s">
        <v>518</v>
      </c>
      <c r="D474" s="5" t="s">
        <v>538</v>
      </c>
      <c r="E474" s="13" t="s">
        <v>520</v>
      </c>
      <c r="F474" s="5">
        <v>60</v>
      </c>
      <c r="G474" s="14">
        <v>2.15</v>
      </c>
      <c r="H474" s="14">
        <v>2.1</v>
      </c>
      <c r="I474" s="14">
        <v>1.05</v>
      </c>
      <c r="J474">
        <v>24.58</v>
      </c>
      <c r="K474">
        <v>25.68</v>
      </c>
      <c r="L474">
        <v>25.13</v>
      </c>
      <c r="M474">
        <v>0.21</v>
      </c>
      <c r="N474" s="14">
        <v>69.872222222222192</v>
      </c>
      <c r="O474" s="14">
        <v>70.922222222222189</v>
      </c>
      <c r="P474" s="14">
        <v>70.397222222222183</v>
      </c>
      <c r="Q474" s="14">
        <v>69.872222222222192</v>
      </c>
      <c r="R474" s="14">
        <v>70.922222222222189</v>
      </c>
      <c r="S474" s="14">
        <v>70.397222222222183</v>
      </c>
      <c r="T474" s="3">
        <v>70.400000000000006</v>
      </c>
      <c r="U474" s="3">
        <v>0.52500000000000002</v>
      </c>
      <c r="V474" s="3">
        <v>425.71</v>
      </c>
      <c r="W474" s="3">
        <v>912.66</v>
      </c>
      <c r="X474" s="3">
        <v>634.11</v>
      </c>
      <c r="Y474" s="3">
        <v>644.12</v>
      </c>
      <c r="Z474" s="3">
        <v>243.47499999999999</v>
      </c>
      <c r="AA474" s="4">
        <v>9.8400000000000001E-2</v>
      </c>
      <c r="AB474" s="4">
        <v>3.7928646000000003E-2</v>
      </c>
      <c r="AC474">
        <v>1.1476266666666668</v>
      </c>
      <c r="AD474" s="15">
        <v>7.7539999999999996</v>
      </c>
      <c r="AE474" s="15">
        <v>3.1857000000000002</v>
      </c>
      <c r="AF474" s="15">
        <f t="shared" si="91"/>
        <v>4.5682999999999989</v>
      </c>
      <c r="AG474" s="15">
        <v>2.0380733333333332</v>
      </c>
      <c r="AH474" s="15">
        <v>69.149891619809551</v>
      </c>
      <c r="AI474" s="2">
        <v>30.850108380190449</v>
      </c>
      <c r="AJ474" s="1">
        <f t="shared" si="92"/>
        <v>1.5425054190095224</v>
      </c>
      <c r="AK474" s="13">
        <v>0.26300000000000001</v>
      </c>
      <c r="AL474" s="16">
        <v>25.748164880000001</v>
      </c>
      <c r="AM474" s="10">
        <v>1.2874082440000001</v>
      </c>
      <c r="AN474" s="16">
        <v>14.935130440835268</v>
      </c>
      <c r="AO474" s="11">
        <v>1.2905502650881768</v>
      </c>
      <c r="AP474" s="14">
        <v>3.7220039062500003</v>
      </c>
      <c r="AQ474" s="2">
        <f>AP474*((G474*0.01)+(H474*0.01)+(I474*0.01))</f>
        <v>0.19726620703125</v>
      </c>
      <c r="AR474" s="15">
        <v>1.7749506716636945</v>
      </c>
      <c r="AS474" s="15">
        <v>0.54757420590316797</v>
      </c>
      <c r="AT474" s="15">
        <f t="shared" si="93"/>
        <v>3.7467794712022634E-2</v>
      </c>
      <c r="AU474" s="2">
        <f t="shared" si="94"/>
        <v>5.3881301860871728E-2</v>
      </c>
      <c r="AV474" s="2">
        <f t="shared" si="95"/>
        <v>6.5425399982892282E-3</v>
      </c>
      <c r="AW474" s="3">
        <f t="shared" si="96"/>
        <v>12.142505419009522</v>
      </c>
    </row>
    <row r="475" spans="1:49" s="5" customFormat="1" x14ac:dyDescent="0.2">
      <c r="A475" s="5" t="s">
        <v>480</v>
      </c>
      <c r="B475" s="5" t="s">
        <v>481</v>
      </c>
      <c r="C475" s="5" t="s">
        <v>518</v>
      </c>
      <c r="D475" s="5" t="s">
        <v>539</v>
      </c>
      <c r="E475" s="13" t="s">
        <v>520</v>
      </c>
      <c r="F475" s="5">
        <v>61</v>
      </c>
      <c r="G475" s="14">
        <v>2.2000000000000002</v>
      </c>
      <c r="H475" s="14">
        <v>2.15</v>
      </c>
      <c r="I475" s="14">
        <v>1.1000000000000001</v>
      </c>
      <c r="J475">
        <v>25.89</v>
      </c>
      <c r="K475">
        <v>26.99</v>
      </c>
      <c r="L475">
        <v>26.44</v>
      </c>
      <c r="M475">
        <v>0.21</v>
      </c>
      <c r="N475" s="14">
        <v>71.127777777777737</v>
      </c>
      <c r="O475" s="14">
        <v>72.227777777777732</v>
      </c>
      <c r="P475" s="14">
        <v>71.677777777777735</v>
      </c>
      <c r="Q475" s="14">
        <v>71.127777777777737</v>
      </c>
      <c r="R475" s="14">
        <v>72.227777777777732</v>
      </c>
      <c r="S475" s="14">
        <v>71.677777777777735</v>
      </c>
      <c r="T475" s="3">
        <v>71.680000000000007</v>
      </c>
      <c r="U475" s="3">
        <v>0.55000000000000004</v>
      </c>
      <c r="V475" s="3">
        <v>438.26</v>
      </c>
      <c r="W475" s="3">
        <v>920.5</v>
      </c>
      <c r="X475" s="3">
        <v>647.47</v>
      </c>
      <c r="Y475" s="3">
        <v>657.13</v>
      </c>
      <c r="Z475" s="3">
        <v>241.12</v>
      </c>
      <c r="AA475" s="4">
        <v>9.8500000000000004E-2</v>
      </c>
      <c r="AB475" s="4">
        <v>3.6898288000000001E-2</v>
      </c>
      <c r="AC475">
        <v>1.1476266666666668</v>
      </c>
      <c r="AD475" s="15">
        <v>7.8202999999999996</v>
      </c>
      <c r="AE475" s="15">
        <v>3.1071</v>
      </c>
      <c r="AF475" s="15">
        <f t="shared" si="91"/>
        <v>4.7131999999999996</v>
      </c>
      <c r="AG475" s="15">
        <v>1.9594733333333332</v>
      </c>
      <c r="AH475" s="15">
        <v>70.634358443042814</v>
      </c>
      <c r="AI475" s="2">
        <v>29.365641556957186</v>
      </c>
      <c r="AJ475" s="1">
        <f t="shared" si="92"/>
        <v>1.4682820778478594</v>
      </c>
      <c r="AK475" s="13">
        <v>0.187</v>
      </c>
      <c r="AL475" s="16">
        <v>28.734756099999998</v>
      </c>
      <c r="AM475" s="10">
        <v>1.4367378049999999</v>
      </c>
      <c r="AN475" s="16">
        <v>16.667491937354988</v>
      </c>
      <c r="AO475" s="11">
        <v>1.4395539310203762</v>
      </c>
      <c r="AP475" s="14">
        <v>4.0848946874999994</v>
      </c>
      <c r="AQ475" s="2">
        <f>AP475*((G475*0.01)+(H475*0.01)+(I475*0.01))</f>
        <v>0.22262676046874996</v>
      </c>
      <c r="AR475" s="15">
        <v>1.6334994764374409</v>
      </c>
      <c r="AS475" s="15">
        <v>0.47968760108539116</v>
      </c>
      <c r="AT475" s="15">
        <f t="shared" si="93"/>
        <v>3.3186141335548952E-2</v>
      </c>
      <c r="AU475" s="2">
        <f t="shared" si="94"/>
        <v>4.7249228706911034E-2</v>
      </c>
      <c r="AV475" s="2">
        <f t="shared" si="95"/>
        <v>5.8439178860782226E-3</v>
      </c>
      <c r="AW475" s="3">
        <f t="shared" si="96"/>
        <v>12.368282077847859</v>
      </c>
    </row>
    <row r="476" spans="1:49" s="5" customFormat="1" x14ac:dyDescent="0.2">
      <c r="A476" s="5" t="s">
        <v>480</v>
      </c>
      <c r="B476" s="5" t="s">
        <v>481</v>
      </c>
      <c r="C476" s="5" t="s">
        <v>518</v>
      </c>
      <c r="D476" s="5" t="s">
        <v>540</v>
      </c>
      <c r="E476" s="13" t="s">
        <v>520</v>
      </c>
      <c r="F476" s="5">
        <v>62</v>
      </c>
      <c r="G476" s="14">
        <v>2.1</v>
      </c>
      <c r="H476" s="14">
        <v>2.1</v>
      </c>
      <c r="I476" s="14">
        <v>1.05</v>
      </c>
      <c r="J476">
        <v>27.2</v>
      </c>
      <c r="K476">
        <v>28.3</v>
      </c>
      <c r="L476">
        <v>27.75</v>
      </c>
      <c r="M476">
        <v>0.21</v>
      </c>
      <c r="N476" s="14">
        <v>72.43333333333328</v>
      </c>
      <c r="O476" s="14">
        <v>73.483333333333277</v>
      </c>
      <c r="P476" s="14">
        <v>72.958333333333286</v>
      </c>
      <c r="Q476" s="14">
        <v>72.43333333333328</v>
      </c>
      <c r="R476" s="14">
        <v>73.483333333333277</v>
      </c>
      <c r="S476" s="14">
        <v>72.958333333333286</v>
      </c>
      <c r="T476" s="3">
        <v>72.959999999999994</v>
      </c>
      <c r="U476" s="3">
        <v>0.52500000000000002</v>
      </c>
      <c r="V476" s="3">
        <v>451.93</v>
      </c>
      <c r="W476" s="3">
        <v>929.16</v>
      </c>
      <c r="X476" s="3">
        <v>660.58</v>
      </c>
      <c r="Y476" s="3">
        <v>670.13</v>
      </c>
      <c r="Z476" s="3">
        <v>238.61500000000001</v>
      </c>
      <c r="AA476" s="4">
        <v>9.8900000000000002E-2</v>
      </c>
      <c r="AB476" s="4">
        <v>3.5927247000000002E-2</v>
      </c>
      <c r="AC476">
        <v>1.1476266666666668</v>
      </c>
      <c r="AD476" s="15">
        <v>7.4977</v>
      </c>
      <c r="AE476" s="15">
        <v>2.9864999999999999</v>
      </c>
      <c r="AF476" s="15">
        <f t="shared" si="91"/>
        <v>4.5112000000000005</v>
      </c>
      <c r="AG476" s="15">
        <v>1.8388733333333331</v>
      </c>
      <c r="AH476" s="15">
        <v>71.041699255966606</v>
      </c>
      <c r="AI476" s="2">
        <v>28.958300744033394</v>
      </c>
      <c r="AJ476" s="1">
        <f t="shared" si="92"/>
        <v>1.4479150372016698</v>
      </c>
      <c r="AK476" s="13">
        <v>0.1714</v>
      </c>
      <c r="AL476" s="16">
        <v>30.268510979999999</v>
      </c>
      <c r="AM476" s="10">
        <v>1.5134255489999999</v>
      </c>
      <c r="AN476" s="16">
        <v>17.557140939675172</v>
      </c>
      <c r="AO476" s="11">
        <v>1.5160992356590486</v>
      </c>
      <c r="AP476" s="14">
        <v>3.6349425000000002</v>
      </c>
      <c r="AQ476" s="2">
        <f>AP476*((G476*0.01)+(H476*0.01)+(I476*0.01))</f>
        <v>0.19083448125000002</v>
      </c>
      <c r="AR476" s="15">
        <v>1.7469528976959974</v>
      </c>
      <c r="AS476" s="15">
        <v>0.50588787397141299</v>
      </c>
      <c r="AT476" s="15">
        <f t="shared" si="93"/>
        <v>3.388393998211111E-2</v>
      </c>
      <c r="AU476" s="2">
        <f t="shared" si="94"/>
        <v>5.0032310735772745E-2</v>
      </c>
      <c r="AV476" s="2">
        <f t="shared" si="95"/>
        <v>5.977817977858858E-3</v>
      </c>
      <c r="AW476" s="3">
        <f t="shared" si="96"/>
        <v>11.947915037201671</v>
      </c>
    </row>
    <row r="477" spans="1:49" s="5" customFormat="1" x14ac:dyDescent="0.2">
      <c r="A477" s="5" t="s">
        <v>480</v>
      </c>
      <c r="B477" s="5" t="s">
        <v>481</v>
      </c>
      <c r="C477" s="5" t="s">
        <v>518</v>
      </c>
      <c r="D477" s="5" t="s">
        <v>541</v>
      </c>
      <c r="E477" s="13" t="s">
        <v>520</v>
      </c>
      <c r="F477" s="5">
        <v>63</v>
      </c>
      <c r="G477" s="14">
        <v>2.2000000000000002</v>
      </c>
      <c r="H477" s="14">
        <v>2.0499999999999998</v>
      </c>
      <c r="I477" s="14">
        <v>1.1499999999999999</v>
      </c>
      <c r="J477">
        <v>28.51</v>
      </c>
      <c r="K477">
        <v>29.71</v>
      </c>
      <c r="L477">
        <v>29.11</v>
      </c>
      <c r="M477">
        <v>0.21</v>
      </c>
      <c r="N477" s="14">
        <v>73.688888888888826</v>
      </c>
      <c r="O477" s="14">
        <v>74.838888888888832</v>
      </c>
      <c r="P477" s="14">
        <v>74.263888888888829</v>
      </c>
      <c r="Q477" s="14">
        <v>73.688888888888826</v>
      </c>
      <c r="R477" s="14">
        <v>74.838888888888832</v>
      </c>
      <c r="S477" s="14">
        <v>74.263888888888829</v>
      </c>
      <c r="T477" s="3">
        <v>74.260000000000005</v>
      </c>
      <c r="U477" s="3">
        <v>0.57499999999999996</v>
      </c>
      <c r="V477" s="3">
        <v>463.29</v>
      </c>
      <c r="W477" s="3">
        <v>938.83</v>
      </c>
      <c r="X477" s="3">
        <v>675.3</v>
      </c>
      <c r="Y477" s="3">
        <v>683.33</v>
      </c>
      <c r="Z477" s="3">
        <v>237.77</v>
      </c>
      <c r="AA477" s="4">
        <v>9.8500000000000004E-2</v>
      </c>
      <c r="AB477" s="4">
        <v>3.5036535000000001E-2</v>
      </c>
      <c r="AC477">
        <v>1.1476266666666668</v>
      </c>
      <c r="AD477" s="15">
        <v>7.2074999999999996</v>
      </c>
      <c r="AE477" s="15">
        <v>2.7871000000000001</v>
      </c>
      <c r="AF477" s="15">
        <f t="shared" si="91"/>
        <v>4.420399999999999</v>
      </c>
      <c r="AG477" s="15">
        <v>1.6394733333333333</v>
      </c>
      <c r="AH477" s="15">
        <v>72.945419101169335</v>
      </c>
      <c r="AI477" s="2">
        <v>27.054580898830665</v>
      </c>
      <c r="AJ477" s="1">
        <f t="shared" si="92"/>
        <v>1.3527290449415332</v>
      </c>
      <c r="AK477" s="13">
        <v>0.1578</v>
      </c>
      <c r="AL477" s="16">
        <v>33.30515638</v>
      </c>
      <c r="AM477" s="10">
        <v>1.665257819</v>
      </c>
      <c r="AN477" s="16">
        <v>19.318536183294665</v>
      </c>
      <c r="AO477" s="11">
        <v>1.6676881014568152</v>
      </c>
      <c r="AP477" s="14">
        <v>4.0764804687499998</v>
      </c>
      <c r="AQ477" s="2">
        <f>AP477*((G477*0.01)+(H477*0.01)+(I477*0.01))</f>
        <v>0.22012994531249996</v>
      </c>
      <c r="AR477" s="15">
        <v>1.486545410872903</v>
      </c>
      <c r="AS477" s="15">
        <v>0.40217863078246435</v>
      </c>
      <c r="AT477" s="15">
        <f t="shared" si="93"/>
        <v>2.715803321339564E-2</v>
      </c>
      <c r="AU477" s="2">
        <f t="shared" si="94"/>
        <v>3.9614595132072737E-2</v>
      </c>
      <c r="AV477" s="2">
        <f t="shared" si="95"/>
        <v>4.8142544086513979E-3</v>
      </c>
      <c r="AW477" s="3">
        <f t="shared" si="96"/>
        <v>12.152729044941532</v>
      </c>
    </row>
    <row r="478" spans="1:49" s="5" customFormat="1" x14ac:dyDescent="0.2">
      <c r="A478" s="5" t="s">
        <v>480</v>
      </c>
      <c r="B478" s="5" t="s">
        <v>481</v>
      </c>
      <c r="C478" s="5" t="s">
        <v>518</v>
      </c>
      <c r="D478" s="5" t="s">
        <v>542</v>
      </c>
      <c r="E478" s="13" t="s">
        <v>520</v>
      </c>
      <c r="F478" s="5">
        <v>64</v>
      </c>
      <c r="G478" s="14">
        <v>2.2000000000000002</v>
      </c>
      <c r="H478" s="14">
        <v>2</v>
      </c>
      <c r="I478" s="14">
        <v>1</v>
      </c>
      <c r="J478">
        <v>29.92</v>
      </c>
      <c r="K478">
        <v>30.92</v>
      </c>
      <c r="L478">
        <v>30.42</v>
      </c>
      <c r="M478">
        <v>0.21</v>
      </c>
      <c r="N478" s="14">
        <v>75.04444444444438</v>
      </c>
      <c r="O478" s="14">
        <v>76.04444444444438</v>
      </c>
      <c r="P478" s="14">
        <v>75.54444444444438</v>
      </c>
      <c r="Q478" s="14">
        <v>75.04444444444438</v>
      </c>
      <c r="R478" s="14">
        <v>76.04444444444438</v>
      </c>
      <c r="S478" s="14">
        <v>75.54444444444438</v>
      </c>
      <c r="T478" s="3">
        <v>75.540000000000006</v>
      </c>
      <c r="U478" s="3">
        <v>0.5</v>
      </c>
      <c r="V478" s="3">
        <v>472.5</v>
      </c>
      <c r="W478" s="3">
        <v>952.78</v>
      </c>
      <c r="X478" s="3">
        <v>689.33</v>
      </c>
      <c r="Y478" s="3">
        <v>696.33</v>
      </c>
      <c r="Z478" s="3">
        <v>240.14</v>
      </c>
      <c r="AA478" s="4">
        <v>9.8100000000000007E-2</v>
      </c>
      <c r="AB478" s="4">
        <v>3.4480602999999999E-2</v>
      </c>
      <c r="AC478">
        <v>1.1476266666666668</v>
      </c>
      <c r="AD478" s="15">
        <v>7.2622999999999998</v>
      </c>
      <c r="AE478" s="15">
        <v>2.9706999999999999</v>
      </c>
      <c r="AF478" s="15">
        <f t="shared" si="91"/>
        <v>4.2915999999999999</v>
      </c>
      <c r="AG478" s="15">
        <v>1.8230733333333331</v>
      </c>
      <c r="AH478" s="15">
        <v>70.185270186142404</v>
      </c>
      <c r="AI478" s="2">
        <v>29.814729813857596</v>
      </c>
      <c r="AJ478" s="1">
        <f t="shared" si="92"/>
        <v>1.4907364906928799</v>
      </c>
      <c r="AK478" s="13">
        <v>0.22409999999999999</v>
      </c>
      <c r="AL478" s="16">
        <v>18.032187270000001</v>
      </c>
      <c r="AM478" s="10">
        <v>0.90160936350000009</v>
      </c>
      <c r="AN478" s="16">
        <v>10.459505377030164</v>
      </c>
      <c r="AO478" s="11">
        <v>0.90609019658689349</v>
      </c>
      <c r="AP478" s="14">
        <v>3.4618500000000001</v>
      </c>
      <c r="AQ478" s="2">
        <f>AP478*((G478*0.01)+(H478*0.01)+(I478*0.01))</f>
        <v>0.18001620000000002</v>
      </c>
      <c r="AR478" s="15">
        <v>1.7663022179855663</v>
      </c>
      <c r="AS478" s="15">
        <v>0.52661823398857055</v>
      </c>
      <c r="AT478" s="15">
        <f t="shared" si="93"/>
        <v>3.5234638348115709E-2</v>
      </c>
      <c r="AU478" s="2">
        <f t="shared" si="94"/>
        <v>5.1661248754278771E-2</v>
      </c>
      <c r="AV478" s="2">
        <f t="shared" si="95"/>
        <v>6.1429029571726471E-3</v>
      </c>
      <c r="AW478" s="3">
        <f t="shared" si="96"/>
        <v>11.890736490692881</v>
      </c>
    </row>
    <row r="479" spans="1:49" s="5" customFormat="1" x14ac:dyDescent="0.2">
      <c r="A479" s="5" t="s">
        <v>480</v>
      </c>
      <c r="B479" s="5" t="s">
        <v>481</v>
      </c>
      <c r="C479" s="5" t="s">
        <v>518</v>
      </c>
      <c r="D479" s="5" t="s">
        <v>543</v>
      </c>
      <c r="E479" s="13" t="s">
        <v>520</v>
      </c>
      <c r="F479" s="5">
        <v>65</v>
      </c>
      <c r="G479" s="14">
        <v>2.15</v>
      </c>
      <c r="H479" s="14">
        <v>2.0499999999999998</v>
      </c>
      <c r="I479" s="14">
        <v>1.1000000000000001</v>
      </c>
      <c r="J479">
        <v>31.13</v>
      </c>
      <c r="K479">
        <v>32.229999999999997</v>
      </c>
      <c r="L479">
        <v>31.68</v>
      </c>
      <c r="M479">
        <v>0.21</v>
      </c>
      <c r="N479" s="14">
        <v>76.249999999999929</v>
      </c>
      <c r="O479" s="14">
        <v>77.349999999999923</v>
      </c>
      <c r="P479" s="14">
        <v>76.799999999999926</v>
      </c>
      <c r="Q479" s="14">
        <v>76.249999999999929</v>
      </c>
      <c r="R479" s="14">
        <v>77.349999999999923</v>
      </c>
      <c r="S479" s="14">
        <v>76.799999999999926</v>
      </c>
      <c r="T479" s="3">
        <v>76.8</v>
      </c>
      <c r="U479" s="3">
        <v>0.55000000000000004</v>
      </c>
      <c r="V479" s="3">
        <v>479.52</v>
      </c>
      <c r="W479" s="3">
        <v>963.64</v>
      </c>
      <c r="X479" s="3">
        <v>702.66</v>
      </c>
      <c r="Y479" s="3">
        <v>709.13</v>
      </c>
      <c r="Z479" s="3">
        <v>242.06</v>
      </c>
      <c r="AA479" s="4">
        <v>9.8500000000000004E-2</v>
      </c>
      <c r="AB479" s="4">
        <v>3.4328167E-2</v>
      </c>
      <c r="AC479">
        <v>1.1476266666666668</v>
      </c>
      <c r="AD479" s="15">
        <v>7.1291000000000002</v>
      </c>
      <c r="AE479" s="15">
        <v>3.0756999999999999</v>
      </c>
      <c r="AF479" s="15">
        <f t="shared" si="91"/>
        <v>4.0533999999999999</v>
      </c>
      <c r="AG479" s="15">
        <v>1.9280733333333331</v>
      </c>
      <c r="AH479" s="15">
        <v>67.765912746135015</v>
      </c>
      <c r="AI479" s="2">
        <v>32.234087253864985</v>
      </c>
      <c r="AJ479" s="1">
        <f t="shared" si="92"/>
        <v>1.6117043626932492</v>
      </c>
      <c r="AK479" s="13">
        <v>0.29010000000000002</v>
      </c>
      <c r="AL479" s="16">
        <v>19.394276189999999</v>
      </c>
      <c r="AM479" s="10">
        <v>0.96971380949999997</v>
      </c>
      <c r="AN479" s="16">
        <v>11.249580156612529</v>
      </c>
      <c r="AO479" s="11">
        <v>0.97388134407380567</v>
      </c>
      <c r="AP479" s="14">
        <v>3.8080349999999994</v>
      </c>
      <c r="AQ479" s="2">
        <f>AP479*((G479*0.01)+(H479*0.01)+(I479*0.01))</f>
        <v>0.20182585499999997</v>
      </c>
      <c r="AR479" s="15">
        <v>1.570750618976279</v>
      </c>
      <c r="AS479" s="15">
        <v>0.50631712506143811</v>
      </c>
      <c r="AT479" s="15">
        <f t="shared" si="93"/>
        <v>3.4995142821934451E-2</v>
      </c>
      <c r="AU479" s="2">
        <f t="shared" si="94"/>
        <v>4.9872236818551657E-2</v>
      </c>
      <c r="AV479" s="2">
        <f t="shared" si="95"/>
        <v>6.0902501193437816E-3</v>
      </c>
      <c r="AW479" s="3">
        <f t="shared" si="96"/>
        <v>12.211704362693249</v>
      </c>
    </row>
    <row r="480" spans="1:49" s="5" customFormat="1" x14ac:dyDescent="0.2">
      <c r="A480" s="5" t="s">
        <v>480</v>
      </c>
      <c r="B480" s="5" t="s">
        <v>481</v>
      </c>
      <c r="C480" s="5" t="s">
        <v>518</v>
      </c>
      <c r="D480" s="5" t="s">
        <v>544</v>
      </c>
      <c r="E480" s="13" t="s">
        <v>520</v>
      </c>
      <c r="F480" s="5">
        <v>66</v>
      </c>
      <c r="G480" s="14">
        <v>2.1</v>
      </c>
      <c r="H480" s="14">
        <v>2</v>
      </c>
      <c r="I480" s="14">
        <v>1.05</v>
      </c>
      <c r="J480">
        <v>32.44</v>
      </c>
      <c r="K480">
        <v>33.54</v>
      </c>
      <c r="L480">
        <v>32.99</v>
      </c>
      <c r="M480">
        <v>0.21</v>
      </c>
      <c r="N480" s="14">
        <v>77.555555555555472</v>
      </c>
      <c r="O480" s="14">
        <v>78.605555555555469</v>
      </c>
      <c r="P480" s="14">
        <v>78.080555555555463</v>
      </c>
      <c r="Q480" s="14">
        <v>77.555555555555472</v>
      </c>
      <c r="R480" s="14">
        <v>78.605555555555469</v>
      </c>
      <c r="S480" s="14">
        <v>78.080555555555463</v>
      </c>
      <c r="T480" s="3">
        <v>78.08</v>
      </c>
      <c r="U480" s="3">
        <v>0.52500000000000002</v>
      </c>
      <c r="V480" s="3">
        <v>488.6</v>
      </c>
      <c r="W480" s="3">
        <v>977.11</v>
      </c>
      <c r="X480" s="3">
        <v>716.23</v>
      </c>
      <c r="Y480" s="3">
        <v>722.13</v>
      </c>
      <c r="Z480" s="3">
        <v>244.255</v>
      </c>
      <c r="AA480" s="4">
        <v>9.8500000000000004E-2</v>
      </c>
      <c r="AB480" s="4">
        <v>3.3979179999999998E-2</v>
      </c>
      <c r="AC480">
        <v>1.1476266666666668</v>
      </c>
      <c r="AD480" s="15">
        <v>7.4965000000000002</v>
      </c>
      <c r="AE480" s="15">
        <v>3.3536999999999999</v>
      </c>
      <c r="AF480" s="15">
        <f t="shared" si="91"/>
        <v>4.1428000000000003</v>
      </c>
      <c r="AG480" s="15">
        <v>2.2060733333333333</v>
      </c>
      <c r="AH480" s="15">
        <v>65.25252249480485</v>
      </c>
      <c r="AI480" s="2">
        <v>34.74747750519515</v>
      </c>
      <c r="AJ480" s="1">
        <f t="shared" si="92"/>
        <v>1.7373738752597576</v>
      </c>
      <c r="AK480" s="13">
        <v>0.2354</v>
      </c>
      <c r="AL480" s="16">
        <v>26.483447850000001</v>
      </c>
      <c r="AM480" s="10">
        <v>1.3241723925000002</v>
      </c>
      <c r="AN480" s="16">
        <v>15.361628683294665</v>
      </c>
      <c r="AO480" s="11">
        <v>1.3272273825758623</v>
      </c>
      <c r="AP480" s="14">
        <v>3.4639106249999996</v>
      </c>
      <c r="AQ480" s="2">
        <f>AP480*((G480*0.01)+(H480*0.01)+(I480*0.01))</f>
        <v>0.17839139718749999</v>
      </c>
      <c r="AR480" s="15">
        <v>1.8328629172796091</v>
      </c>
      <c r="AS480" s="15">
        <v>0.63687362988279572</v>
      </c>
      <c r="AT480" s="15">
        <f t="shared" si="93"/>
        <v>4.3863868002966197E-2</v>
      </c>
      <c r="AU480" s="2">
        <f t="shared" si="94"/>
        <v>6.2732052543455374E-2</v>
      </c>
      <c r="AV480" s="2">
        <f t="shared" si="95"/>
        <v>7.551291704280122E-3</v>
      </c>
      <c r="AW480" s="3">
        <f t="shared" si="96"/>
        <v>12.037373875259759</v>
      </c>
    </row>
    <row r="481" spans="1:49" s="5" customFormat="1" x14ac:dyDescent="0.2">
      <c r="A481" s="5" t="s">
        <v>480</v>
      </c>
      <c r="B481" s="5" t="s">
        <v>481</v>
      </c>
      <c r="C481" s="5" t="s">
        <v>518</v>
      </c>
      <c r="D481" s="5" t="s">
        <v>545</v>
      </c>
      <c r="E481" s="13" t="s">
        <v>520</v>
      </c>
      <c r="F481" s="5">
        <v>67</v>
      </c>
      <c r="G481" s="14">
        <v>2.1</v>
      </c>
      <c r="H481" s="14">
        <v>1.9</v>
      </c>
      <c r="I481" s="14">
        <v>1.1000000000000001</v>
      </c>
      <c r="J481">
        <v>33.75</v>
      </c>
      <c r="K481">
        <v>34.85</v>
      </c>
      <c r="L481">
        <v>34.299999999999997</v>
      </c>
      <c r="M481">
        <v>0.21</v>
      </c>
      <c r="N481" s="14">
        <v>78.811111111111018</v>
      </c>
      <c r="O481" s="14">
        <v>79.911111111111012</v>
      </c>
      <c r="P481" s="14">
        <v>79.361111111111015</v>
      </c>
      <c r="Q481" s="14">
        <v>78.811111111111018</v>
      </c>
      <c r="R481" s="14">
        <v>79.911111111111012</v>
      </c>
      <c r="S481" s="14">
        <v>79.361111111111015</v>
      </c>
      <c r="T481" s="3">
        <v>79.36</v>
      </c>
      <c r="U481" s="3">
        <v>0.55000000000000004</v>
      </c>
      <c r="V481" s="3">
        <v>495.69</v>
      </c>
      <c r="W481" s="3">
        <v>995.62</v>
      </c>
      <c r="X481" s="3">
        <v>730.15</v>
      </c>
      <c r="Y481" s="3">
        <v>735.13</v>
      </c>
      <c r="Z481" s="3">
        <v>249.965</v>
      </c>
      <c r="AA481" s="4">
        <v>9.9699999999999997E-2</v>
      </c>
      <c r="AB481" s="4">
        <v>3.4591785999999999E-2</v>
      </c>
      <c r="AC481">
        <v>1.1476266666666668</v>
      </c>
      <c r="AD481" s="15">
        <v>6.7794999999999996</v>
      </c>
      <c r="AE481" s="15">
        <v>3.0251000000000001</v>
      </c>
      <c r="AF481" s="15">
        <f t="shared" si="91"/>
        <v>3.7543999999999995</v>
      </c>
      <c r="AG481" s="15">
        <v>1.8774733333333333</v>
      </c>
      <c r="AH481" s="15">
        <v>66.663431114099396</v>
      </c>
      <c r="AI481" s="2">
        <v>33.336568885900604</v>
      </c>
      <c r="AJ481" s="1">
        <f t="shared" si="92"/>
        <v>1.6668284442950303</v>
      </c>
      <c r="AK481" s="13">
        <v>0.182</v>
      </c>
      <c r="AL481" s="16">
        <v>27.316293930000001</v>
      </c>
      <c r="AM481" s="10">
        <v>1.3658146965000002</v>
      </c>
      <c r="AN481" s="16">
        <v>15.844718056844549</v>
      </c>
      <c r="AO481" s="11">
        <v>1.3687767477479253</v>
      </c>
      <c r="AP481" s="14">
        <v>3.4540000000000006</v>
      </c>
      <c r="AQ481" s="2">
        <f>AP481*((G481*0.01)+(H481*0.01)+(I481*0.01))</f>
        <v>0.17615400000000003</v>
      </c>
      <c r="AR481" s="15">
        <v>1.6305365759505883</v>
      </c>
      <c r="AS481" s="15">
        <v>0.54356494885157292</v>
      </c>
      <c r="AT481" s="15">
        <f t="shared" si="93"/>
        <v>3.6782107572105975E-2</v>
      </c>
      <c r="AU481" s="2">
        <f t="shared" si="94"/>
        <v>5.4193425400501816E-2</v>
      </c>
      <c r="AV481" s="2">
        <f t="shared" si="95"/>
        <v>6.4310408203645582E-3</v>
      </c>
      <c r="AW481" s="3">
        <f t="shared" si="96"/>
        <v>11.866828444295031</v>
      </c>
    </row>
    <row r="482" spans="1:49" s="5" customFormat="1" x14ac:dyDescent="0.2">
      <c r="A482" s="5" t="s">
        <v>480</v>
      </c>
      <c r="B482" s="5" t="s">
        <v>481</v>
      </c>
      <c r="C482" s="5" t="s">
        <v>518</v>
      </c>
      <c r="D482" s="5" t="s">
        <v>546</v>
      </c>
      <c r="E482" s="13" t="s">
        <v>520</v>
      </c>
      <c r="F482" s="5">
        <v>68</v>
      </c>
      <c r="G482" s="14">
        <v>2.15</v>
      </c>
      <c r="H482" s="14">
        <v>2</v>
      </c>
      <c r="I482" s="14">
        <v>1.1499999999999999</v>
      </c>
      <c r="J482">
        <v>35.06</v>
      </c>
      <c r="K482">
        <v>36.26</v>
      </c>
      <c r="L482">
        <v>35.659999999999997</v>
      </c>
      <c r="M482">
        <v>0.21</v>
      </c>
      <c r="N482" s="14">
        <v>80.116666666666561</v>
      </c>
      <c r="O482" s="14">
        <v>81.266666666666566</v>
      </c>
      <c r="P482" s="14">
        <v>80.691666666666563</v>
      </c>
      <c r="Q482" s="14">
        <v>80.116666666666561</v>
      </c>
      <c r="R482" s="14">
        <v>81.266666666666566</v>
      </c>
      <c r="S482" s="14">
        <v>80.691666666666563</v>
      </c>
      <c r="T482" s="3">
        <v>80.69</v>
      </c>
      <c r="U482" s="3">
        <v>0.57499999999999996</v>
      </c>
      <c r="V482" s="3">
        <v>506.41</v>
      </c>
      <c r="W482" s="3">
        <v>1011.35</v>
      </c>
      <c r="X482" s="3">
        <v>743.13</v>
      </c>
      <c r="Y482" s="3">
        <v>748.48</v>
      </c>
      <c r="Z482" s="3">
        <v>252.47</v>
      </c>
      <c r="AA482" s="4">
        <v>0.1004</v>
      </c>
      <c r="AB482" s="4">
        <v>3.4581407000000002E-2</v>
      </c>
      <c r="AC482">
        <v>1.1476266666666668</v>
      </c>
      <c r="AD482" s="15">
        <v>7.9915000000000003</v>
      </c>
      <c r="AE482" s="15">
        <v>3.8702999999999999</v>
      </c>
      <c r="AF482" s="15">
        <f t="shared" si="91"/>
        <v>4.1212</v>
      </c>
      <c r="AG482" s="15">
        <v>2.7226733333333328</v>
      </c>
      <c r="AH482" s="15">
        <v>60.217362292892631</v>
      </c>
      <c r="AI482" s="2">
        <v>39.782637707107369</v>
      </c>
      <c r="AJ482" s="1">
        <f t="shared" si="92"/>
        <v>1.9891318853553686</v>
      </c>
      <c r="AK482" s="13">
        <v>0.26540000000000002</v>
      </c>
      <c r="AL482" s="16">
        <v>19.159305509999999</v>
      </c>
      <c r="AM482" s="10">
        <v>0.95796527549999999</v>
      </c>
      <c r="AN482" s="16">
        <v>11.113286258700695</v>
      </c>
      <c r="AO482" s="11">
        <v>0.96218369819062666</v>
      </c>
      <c r="AP482" s="14">
        <v>3.8869029687500007</v>
      </c>
      <c r="AQ482" s="2">
        <f>AP482*((G482*0.01)+(H482*0.01)+(I482*0.01))</f>
        <v>0.20600585734375002</v>
      </c>
      <c r="AR482" s="15">
        <v>1.76075229774369</v>
      </c>
      <c r="AS482" s="15">
        <v>0.70047370753094063</v>
      </c>
      <c r="AT482" s="15">
        <f t="shared" si="93"/>
        <v>5.1058452364168699E-2</v>
      </c>
      <c r="AU482" s="2">
        <f t="shared" si="94"/>
        <v>7.0327560236106437E-2</v>
      </c>
      <c r="AV482" s="2">
        <f t="shared" si="95"/>
        <v>8.8536293098761785E-3</v>
      </c>
      <c r="AW482" s="3">
        <f t="shared" si="96"/>
        <v>12.589131885355368</v>
      </c>
    </row>
    <row r="483" spans="1:49" s="5" customFormat="1" x14ac:dyDescent="0.2">
      <c r="A483" s="5" t="s">
        <v>480</v>
      </c>
      <c r="B483" s="5" t="s">
        <v>481</v>
      </c>
      <c r="C483" s="5" t="s">
        <v>518</v>
      </c>
      <c r="D483" s="5" t="s">
        <v>547</v>
      </c>
      <c r="E483" s="13" t="s">
        <v>520</v>
      </c>
      <c r="F483" s="5">
        <v>69</v>
      </c>
      <c r="G483" s="14">
        <v>2.1</v>
      </c>
      <c r="H483" s="14">
        <v>2.1</v>
      </c>
      <c r="I483" s="14">
        <v>1.05</v>
      </c>
      <c r="J483">
        <v>36.47</v>
      </c>
      <c r="K483">
        <v>37.57</v>
      </c>
      <c r="L483">
        <v>37.020000000000003</v>
      </c>
      <c r="M483">
        <v>0.21</v>
      </c>
      <c r="N483" s="14">
        <v>81.472222222222115</v>
      </c>
      <c r="O483" s="14">
        <v>82.522222222222112</v>
      </c>
      <c r="P483" s="14">
        <v>81.997222222222121</v>
      </c>
      <c r="Q483" s="14">
        <v>81.472222222222115</v>
      </c>
      <c r="R483" s="14">
        <v>82.522222222222112</v>
      </c>
      <c r="S483" s="14">
        <v>81.997222222222121</v>
      </c>
      <c r="T483" s="3">
        <v>82</v>
      </c>
      <c r="U483" s="3">
        <v>0.52500000000000002</v>
      </c>
      <c r="V483" s="3">
        <v>522.44000000000005</v>
      </c>
      <c r="W483" s="3">
        <v>1021.63</v>
      </c>
      <c r="X483" s="3">
        <v>756.38</v>
      </c>
      <c r="Y483" s="3">
        <v>761.48</v>
      </c>
      <c r="Z483" s="3">
        <v>249.595</v>
      </c>
      <c r="AA483" s="4">
        <v>0.1008</v>
      </c>
      <c r="AB483" s="4">
        <v>3.3685204000000003E-2</v>
      </c>
      <c r="AC483">
        <v>1.1476266666666668</v>
      </c>
      <c r="AD483" s="15">
        <v>7.7294</v>
      </c>
      <c r="AE483" s="15">
        <v>4.0376000000000003</v>
      </c>
      <c r="AF483" s="15">
        <f t="shared" si="91"/>
        <v>3.6917999999999997</v>
      </c>
      <c r="AG483" s="15">
        <v>2.8899733333333337</v>
      </c>
      <c r="AH483" s="15">
        <v>56.091266183581723</v>
      </c>
      <c r="AI483" s="2">
        <v>43.908733816418277</v>
      </c>
      <c r="AJ483" s="1">
        <f t="shared" si="92"/>
        <v>2.1954366908209137</v>
      </c>
      <c r="AK483" s="13">
        <v>0.2298</v>
      </c>
      <c r="AL483" s="16">
        <v>18.53952499</v>
      </c>
      <c r="AM483" s="10">
        <v>0.92697624950000002</v>
      </c>
      <c r="AN483" s="16">
        <v>10.753784796983759</v>
      </c>
      <c r="AO483" s="11">
        <v>0.93133504558621982</v>
      </c>
      <c r="AP483" s="14">
        <v>3.6349425000000002</v>
      </c>
      <c r="AQ483" s="2">
        <f>AP483*((G483*0.01)+(H483*0.01)+(I483*0.01))</f>
        <v>0.19083448125000002</v>
      </c>
      <c r="AR483" s="15">
        <v>1.8106953090271258</v>
      </c>
      <c r="AS483" s="15">
        <v>0.79505338346709298</v>
      </c>
      <c r="AT483" s="15">
        <f t="shared" si="93"/>
        <v>5.9195196324272038E-2</v>
      </c>
      <c r="AU483" s="2">
        <f t="shared" si="94"/>
        <v>8.014138105348298E-2</v>
      </c>
      <c r="AV483" s="2">
        <f t="shared" si="95"/>
        <v>1.0174298294794481E-2</v>
      </c>
      <c r="AW483" s="3">
        <f t="shared" si="96"/>
        <v>12.695436690820916</v>
      </c>
    </row>
    <row r="484" spans="1:49" s="5" customFormat="1" x14ac:dyDescent="0.2">
      <c r="A484" s="5" t="s">
        <v>480</v>
      </c>
      <c r="B484" s="5" t="s">
        <v>481</v>
      </c>
      <c r="C484" s="5" t="s">
        <v>518</v>
      </c>
      <c r="D484" s="5" t="s">
        <v>548</v>
      </c>
      <c r="E484" s="13" t="s">
        <v>520</v>
      </c>
      <c r="F484" s="5">
        <v>70</v>
      </c>
      <c r="G484" s="14">
        <v>2.15</v>
      </c>
      <c r="H484" s="14">
        <v>2.0499999999999998</v>
      </c>
      <c r="I484" s="14">
        <v>1.1000000000000001</v>
      </c>
      <c r="J484">
        <v>37.78</v>
      </c>
      <c r="K484">
        <v>38.880000000000003</v>
      </c>
      <c r="L484">
        <v>38.33</v>
      </c>
      <c r="M484">
        <v>0.21</v>
      </c>
      <c r="N484" s="14">
        <v>82.727777777777661</v>
      </c>
      <c r="O484" s="14">
        <v>83.827777777777655</v>
      </c>
      <c r="P484" s="14">
        <v>83.277777777777658</v>
      </c>
      <c r="Q484" s="14">
        <v>82.727777777777661</v>
      </c>
      <c r="R484" s="14">
        <v>83.827777777777655</v>
      </c>
      <c r="S484" s="14">
        <v>83.277777777777658</v>
      </c>
      <c r="T484" s="3">
        <v>83.28</v>
      </c>
      <c r="U484" s="3">
        <v>0.55000000000000004</v>
      </c>
      <c r="V484" s="3">
        <v>536.86</v>
      </c>
      <c r="W484" s="3">
        <v>1034.8499999999999</v>
      </c>
      <c r="X484" s="3">
        <v>770.53</v>
      </c>
      <c r="Y484" s="3">
        <v>774.19</v>
      </c>
      <c r="Z484" s="3">
        <v>248.995</v>
      </c>
      <c r="AA484" s="4">
        <v>0.1012</v>
      </c>
      <c r="AB484" s="4">
        <v>3.3216293000000001E-2</v>
      </c>
      <c r="AC484">
        <v>1.1476266666666668</v>
      </c>
      <c r="AD484" s="15">
        <v>8.0512999999999995</v>
      </c>
      <c r="AE484" s="15">
        <v>4.4398999999999997</v>
      </c>
      <c r="AF484" s="15">
        <f t="shared" si="91"/>
        <v>3.6113999999999997</v>
      </c>
      <c r="AG484" s="15">
        <v>3.2922733333333332</v>
      </c>
      <c r="AH484" s="15">
        <v>52.311281626882689</v>
      </c>
      <c r="AI484" s="2">
        <v>47.688718373117311</v>
      </c>
      <c r="AJ484" s="1">
        <f t="shared" si="92"/>
        <v>2.3844359186558655</v>
      </c>
      <c r="AK484" s="13">
        <v>0.26500000000000001</v>
      </c>
      <c r="AL484" s="16">
        <v>17.752948480000001</v>
      </c>
      <c r="AM484" s="10">
        <v>0.88764742400000007</v>
      </c>
      <c r="AN484" s="16">
        <v>10.29753392111369</v>
      </c>
      <c r="AO484" s="11">
        <v>0.89219838003318286</v>
      </c>
      <c r="AP484" s="14">
        <v>3.8080349999999994</v>
      </c>
      <c r="AQ484" s="2">
        <f>AP484*((G484*0.01)+(H484*0.01)+(I484*0.01))</f>
        <v>0.20182585499999997</v>
      </c>
      <c r="AR484" s="15">
        <v>1.8129227628772671</v>
      </c>
      <c r="AS484" s="15">
        <v>0.86455963071067721</v>
      </c>
      <c r="AT484" s="15">
        <f t="shared" si="93"/>
        <v>6.6436530800529789E-2</v>
      </c>
      <c r="AU484" s="2">
        <f t="shared" si="94"/>
        <v>8.749343462792053E-2</v>
      </c>
      <c r="AV484" s="2">
        <f t="shared" si="95"/>
        <v>1.1360528952293402E-2</v>
      </c>
      <c r="AW484" s="3">
        <f t="shared" si="96"/>
        <v>12.984435918655866</v>
      </c>
    </row>
    <row r="485" spans="1:49" s="5" customFormat="1" x14ac:dyDescent="0.2">
      <c r="A485" s="5" t="s">
        <v>480</v>
      </c>
      <c r="B485" s="5" t="s">
        <v>481</v>
      </c>
      <c r="C485" s="5" t="s">
        <v>518</v>
      </c>
      <c r="D485" s="5" t="s">
        <v>549</v>
      </c>
      <c r="E485" s="13" t="s">
        <v>520</v>
      </c>
      <c r="F485" s="5">
        <v>71</v>
      </c>
      <c r="G485" s="14">
        <v>2.2000000000000002</v>
      </c>
      <c r="H485" s="14">
        <v>2.15</v>
      </c>
      <c r="I485" s="14">
        <v>1.1000000000000001</v>
      </c>
      <c r="J485">
        <v>39.090000000000003</v>
      </c>
      <c r="K485">
        <v>40.19</v>
      </c>
      <c r="L485">
        <v>39.64</v>
      </c>
      <c r="M485">
        <v>0.21</v>
      </c>
      <c r="N485" s="14">
        <v>84.033333333333204</v>
      </c>
      <c r="O485" s="14">
        <v>85.133333333333198</v>
      </c>
      <c r="P485" s="14">
        <v>84.583333333333201</v>
      </c>
      <c r="Q485" s="14">
        <v>84.033333333333204</v>
      </c>
      <c r="R485" s="14">
        <v>85.133333333333198</v>
      </c>
      <c r="S485" s="14">
        <v>84.583333333333201</v>
      </c>
      <c r="T485" s="3">
        <v>84.58</v>
      </c>
      <c r="U485" s="3">
        <v>0.55000000000000004</v>
      </c>
      <c r="V485" s="3">
        <v>550.62</v>
      </c>
      <c r="W485" s="3">
        <v>1045.3800000000001</v>
      </c>
      <c r="X485" s="3">
        <v>783.69</v>
      </c>
      <c r="Y485" s="3">
        <v>787.09</v>
      </c>
      <c r="Z485" s="3">
        <v>247.38</v>
      </c>
      <c r="AA485" s="4">
        <v>0.1004</v>
      </c>
      <c r="AB485" s="4">
        <v>3.2208289000000001E-2</v>
      </c>
      <c r="AC485">
        <v>1.1476266666666668</v>
      </c>
      <c r="AD485" s="15">
        <v>7.7962999999999996</v>
      </c>
      <c r="AE485" s="15">
        <v>4.0457000000000001</v>
      </c>
      <c r="AF485" s="15">
        <f t="shared" si="91"/>
        <v>3.7505999999999995</v>
      </c>
      <c r="AG485" s="15">
        <v>2.8980733333333335</v>
      </c>
      <c r="AH485" s="15">
        <v>56.411253974477106</v>
      </c>
      <c r="AI485" s="2">
        <v>43.588746025522894</v>
      </c>
      <c r="AJ485" s="1">
        <f t="shared" si="92"/>
        <v>2.179437301276145</v>
      </c>
      <c r="AK485" s="13">
        <v>0.46579999999999999</v>
      </c>
      <c r="AL485" s="16">
        <v>14.93791088</v>
      </c>
      <c r="AM485" s="10">
        <v>0.74689554400000002</v>
      </c>
      <c r="AN485" s="16">
        <v>8.6646814849187948</v>
      </c>
      <c r="AO485" s="11">
        <v>0.75229844719170857</v>
      </c>
      <c r="AP485" s="14">
        <v>4.0848946874999994</v>
      </c>
      <c r="AQ485" s="2">
        <f>AP485*((G485*0.01)+(H485*0.01)+(I485*0.01))</f>
        <v>0.22262676046874996</v>
      </c>
      <c r="AR485" s="15">
        <v>1.6276241719715898</v>
      </c>
      <c r="AS485" s="15">
        <v>0.70946096657071622</v>
      </c>
      <c r="AT485" s="15">
        <f t="shared" si="93"/>
        <v>5.412787962154051E-2</v>
      </c>
      <c r="AU485" s="2">
        <f t="shared" si="94"/>
        <v>7.1229881043699914E-2</v>
      </c>
      <c r="AV485" s="2">
        <f t="shared" si="95"/>
        <v>9.316467630884312E-3</v>
      </c>
      <c r="AW485" s="3">
        <f t="shared" si="96"/>
        <v>13.079437301276146</v>
      </c>
    </row>
    <row r="486" spans="1:49" s="5" customFormat="1" x14ac:dyDescent="0.2">
      <c r="A486" s="5" t="s">
        <v>480</v>
      </c>
      <c r="B486" s="5" t="s">
        <v>481</v>
      </c>
      <c r="C486" s="5" t="s">
        <v>518</v>
      </c>
      <c r="D486" s="5" t="s">
        <v>550</v>
      </c>
      <c r="E486" s="13" t="s">
        <v>520</v>
      </c>
      <c r="F486" s="5">
        <v>72</v>
      </c>
      <c r="G486" s="14">
        <v>2.2000000000000002</v>
      </c>
      <c r="H486" s="14">
        <v>2.0499999999999998</v>
      </c>
      <c r="I486" s="14">
        <v>1.1000000000000001</v>
      </c>
      <c r="J486">
        <v>40.4</v>
      </c>
      <c r="K486">
        <v>41.5</v>
      </c>
      <c r="L486">
        <v>40.950000000000003</v>
      </c>
      <c r="M486">
        <v>0.21</v>
      </c>
      <c r="N486" s="14">
        <v>85.338888888888746</v>
      </c>
      <c r="O486" s="14">
        <v>86.438888888888741</v>
      </c>
      <c r="P486" s="14">
        <v>85.888888888888744</v>
      </c>
      <c r="Q486" s="14">
        <v>85.338888888888746</v>
      </c>
      <c r="R486" s="14">
        <v>86.438888888888741</v>
      </c>
      <c r="S486" s="14">
        <v>85.888888888888744</v>
      </c>
      <c r="T486" s="3">
        <v>85.89</v>
      </c>
      <c r="U486" s="3">
        <v>0.55000000000000004</v>
      </c>
      <c r="V486" s="3">
        <v>560.22</v>
      </c>
      <c r="W486" s="3">
        <v>1056.95</v>
      </c>
      <c r="X486" s="3">
        <v>797.42</v>
      </c>
      <c r="Y486" s="3">
        <v>800.09</v>
      </c>
      <c r="Z486" s="3">
        <v>248.36500000000001</v>
      </c>
      <c r="AA486" s="4">
        <v>0.10050000000000001</v>
      </c>
      <c r="AB486" s="4">
        <v>3.1840898999999999E-2</v>
      </c>
      <c r="AC486">
        <v>1.1476266666666668</v>
      </c>
      <c r="AD486" s="15">
        <v>8.0436999999999994</v>
      </c>
      <c r="AE486" s="15">
        <v>4.1009000000000002</v>
      </c>
      <c r="AF486" s="15">
        <f t="shared" si="91"/>
        <v>3.9427999999999992</v>
      </c>
      <c r="AG486" s="15">
        <v>2.9532733333333336</v>
      </c>
      <c r="AH486" s="15">
        <v>57.174566009062154</v>
      </c>
      <c r="AI486" s="2">
        <v>42.825433990937846</v>
      </c>
      <c r="AJ486" s="1">
        <f t="shared" si="92"/>
        <v>2.1412716995468926</v>
      </c>
      <c r="AK486" s="13">
        <v>0.23139999999999999</v>
      </c>
      <c r="AL486" s="16">
        <v>19.95849187</v>
      </c>
      <c r="AM486" s="10">
        <v>0.99792459350000007</v>
      </c>
      <c r="AN486" s="16">
        <v>11.576851432714617</v>
      </c>
      <c r="AO486" s="11">
        <v>1.0019747972439927</v>
      </c>
      <c r="AP486" s="14">
        <v>3.8992421875000005</v>
      </c>
      <c r="AQ486" s="2">
        <f>AP486*((G486*0.01)+(H486*0.01)+(I486*0.01))</f>
        <v>0.20860945703125003</v>
      </c>
      <c r="AR486" s="15">
        <v>1.7685675835782724</v>
      </c>
      <c r="AS486" s="15">
        <v>0.75739674309043759</v>
      </c>
      <c r="AT486" s="15">
        <f t="shared" si="93"/>
        <v>5.6738647868423829E-2</v>
      </c>
      <c r="AU486" s="2">
        <f t="shared" si="94"/>
        <v>7.6118372680588978E-2</v>
      </c>
      <c r="AV486" s="2">
        <f t="shared" si="95"/>
        <v>9.7745670491881046E-3</v>
      </c>
      <c r="AW486" s="3">
        <f t="shared" si="96"/>
        <v>12.841271699546891</v>
      </c>
    </row>
    <row r="487" spans="1:49" s="5" customFormat="1" x14ac:dyDescent="0.2">
      <c r="A487" s="5" t="s">
        <v>480</v>
      </c>
      <c r="B487" s="5" t="s">
        <v>481</v>
      </c>
      <c r="C487" s="5" t="s">
        <v>551</v>
      </c>
      <c r="D487" s="5" t="s">
        <v>552</v>
      </c>
      <c r="E487" s="13" t="s">
        <v>553</v>
      </c>
      <c r="F487" s="5">
        <v>80</v>
      </c>
      <c r="G487" s="14">
        <v>2.4</v>
      </c>
      <c r="H487" s="14">
        <v>2.1</v>
      </c>
      <c r="I487" s="14">
        <v>1.25</v>
      </c>
      <c r="J487">
        <v>0</v>
      </c>
      <c r="K487">
        <v>1.3</v>
      </c>
      <c r="L487">
        <v>0.65</v>
      </c>
      <c r="M487">
        <v>0.16</v>
      </c>
      <c r="N487" s="14">
        <v>86.541666666666657</v>
      </c>
      <c r="O487" s="14">
        <v>87.791666666666657</v>
      </c>
      <c r="P487" s="14">
        <v>87.166666666666657</v>
      </c>
      <c r="Q487" s="14">
        <v>86.541666666666657</v>
      </c>
      <c r="R487" s="14">
        <v>87.791666666666657</v>
      </c>
      <c r="S487" s="14">
        <v>87.166666666666657</v>
      </c>
      <c r="T487" s="3">
        <v>87.17</v>
      </c>
      <c r="U487" s="3">
        <v>0.625</v>
      </c>
      <c r="V487" s="3">
        <v>569.94000000000005</v>
      </c>
      <c r="W487" s="3">
        <v>1069.25</v>
      </c>
      <c r="X487" s="3">
        <v>809.84</v>
      </c>
      <c r="Y487" s="3">
        <v>812.8</v>
      </c>
      <c r="Z487" s="3">
        <v>249.655</v>
      </c>
      <c r="AA487" s="4">
        <v>0.10100000000000001</v>
      </c>
      <c r="AB487" s="4">
        <v>3.1746742000000001E-2</v>
      </c>
      <c r="AC487">
        <v>1.1476266666666668</v>
      </c>
      <c r="AD487" s="15">
        <v>7.8845999999999998</v>
      </c>
      <c r="AE487" s="15">
        <v>4.6197999999999997</v>
      </c>
      <c r="AF487" s="15">
        <f t="shared" ref="AF487:AF550" si="97">AD487-AE487</f>
        <v>3.2648000000000001</v>
      </c>
      <c r="AG487" s="15">
        <v>3.4721733333333331</v>
      </c>
      <c r="AH487" s="15">
        <v>48.460931021447813</v>
      </c>
      <c r="AI487" s="2">
        <v>51.539068978552187</v>
      </c>
      <c r="AJ487" s="1">
        <f t="shared" ref="AJ487:AJ550" si="98">AI487*0.05</f>
        <v>2.5769534489276094</v>
      </c>
      <c r="AK487" s="13">
        <v>0.34460000000000002</v>
      </c>
      <c r="AL487" s="16">
        <v>9.3634928980000005</v>
      </c>
      <c r="AM487" s="10">
        <v>0.46817464490000005</v>
      </c>
      <c r="AN487" s="16">
        <v>5.4312603816705343</v>
      </c>
      <c r="AO487" s="11">
        <v>0.47674678617400362</v>
      </c>
      <c r="AP487" s="14">
        <v>4.9675781250000002</v>
      </c>
      <c r="AQ487" s="2">
        <f>AP487*((G487*0.01)+(H487*0.01)+(I487*0.01))</f>
        <v>0.28563574218749999</v>
      </c>
      <c r="AR487" s="15">
        <v>1.3561887027862964</v>
      </c>
      <c r="AS487" s="15">
        <v>0.69896703100836144</v>
      </c>
      <c r="AT487" s="15">
        <f t="shared" ref="AT487:AT550" si="99">AS487*(AJ487/100+AQ487/AP487)</f>
        <v>5.8202659295417659E-2</v>
      </c>
      <c r="AU487" s="2">
        <f t="shared" ref="AU487:AU550" si="100">AS487*AA487</f>
        <v>7.0595670131844507E-2</v>
      </c>
      <c r="AV487" s="2">
        <f t="shared" ref="AV487:AV550" si="101">AU487*((AT487/AS487)+(AQ487/AP487))</f>
        <v>9.9377196214182426E-3</v>
      </c>
      <c r="AW487" s="3">
        <f t="shared" ref="AW487:AW550" si="102">(AV487/AU487)*100</f>
        <v>14.076953448927609</v>
      </c>
    </row>
    <row r="488" spans="1:49" s="5" customFormat="1" x14ac:dyDescent="0.2">
      <c r="A488" s="5" t="s">
        <v>480</v>
      </c>
      <c r="B488" s="5" t="s">
        <v>481</v>
      </c>
      <c r="C488" s="5" t="s">
        <v>551</v>
      </c>
      <c r="D488" s="5" t="s">
        <v>554</v>
      </c>
      <c r="E488" s="13" t="s">
        <v>553</v>
      </c>
      <c r="F488" s="5">
        <v>81</v>
      </c>
      <c r="G488" s="14">
        <v>2.4500000000000002</v>
      </c>
      <c r="H488" s="14">
        <v>2.4</v>
      </c>
      <c r="I488" s="14">
        <v>1.3</v>
      </c>
      <c r="J488">
        <v>1.46</v>
      </c>
      <c r="K488">
        <v>2.76</v>
      </c>
      <c r="L488">
        <v>2.11</v>
      </c>
      <c r="M488">
        <v>0.16</v>
      </c>
      <c r="N488" s="14">
        <v>87.949999999999989</v>
      </c>
      <c r="O488" s="14">
        <v>89.249999999999986</v>
      </c>
      <c r="P488" s="14">
        <v>88.6</v>
      </c>
      <c r="Q488" s="14">
        <v>87.949999999999989</v>
      </c>
      <c r="R488" s="14">
        <v>89.249999999999986</v>
      </c>
      <c r="S488" s="14">
        <v>88.6</v>
      </c>
      <c r="T488" s="3">
        <v>88.6</v>
      </c>
      <c r="U488" s="3">
        <v>0.65</v>
      </c>
      <c r="V488" s="3">
        <v>581.45000000000005</v>
      </c>
      <c r="W488" s="3">
        <v>1092.78</v>
      </c>
      <c r="X488" s="3">
        <v>824.26</v>
      </c>
      <c r="Y488" s="3">
        <v>826.99</v>
      </c>
      <c r="Z488" s="3">
        <v>255.66499999999999</v>
      </c>
      <c r="AA488" s="4">
        <v>0.1007</v>
      </c>
      <c r="AB488" s="4">
        <v>3.1870302000000003E-2</v>
      </c>
      <c r="AC488">
        <v>1.1476266666666668</v>
      </c>
      <c r="AD488" s="15">
        <v>8.0081000000000007</v>
      </c>
      <c r="AE488" s="15">
        <v>3.4167000000000001</v>
      </c>
      <c r="AF488" s="15">
        <f t="shared" si="97"/>
        <v>4.5914000000000001</v>
      </c>
      <c r="AG488" s="15">
        <v>2.2690733333333331</v>
      </c>
      <c r="AH488" s="15">
        <v>66.925411366173961</v>
      </c>
      <c r="AI488" s="2">
        <v>33.074588633826039</v>
      </c>
      <c r="AJ488" s="1">
        <f t="shared" si="98"/>
        <v>1.653729431691302</v>
      </c>
      <c r="AK488" s="13">
        <v>0.2094</v>
      </c>
      <c r="AL488" s="16">
        <v>23.68804665</v>
      </c>
      <c r="AM488" s="10">
        <v>1.1844023325000002</v>
      </c>
      <c r="AN488" s="16">
        <v>13.740166270301625</v>
      </c>
      <c r="AO488" s="11">
        <v>1.187816856771885</v>
      </c>
      <c r="AP488" s="14">
        <v>6.001177812499999</v>
      </c>
      <c r="AQ488" s="2">
        <f>AP488*((G488*0.01)+(H488*0.01)+(I488*0.01))</f>
        <v>0.36907243546874996</v>
      </c>
      <c r="AR488" s="15">
        <v>1.1431878120730714</v>
      </c>
      <c r="AS488" s="15">
        <v>0.37810466615520461</v>
      </c>
      <c r="AT488" s="15">
        <f t="shared" si="99"/>
        <v>2.9506265115351846E-2</v>
      </c>
      <c r="AU488" s="2">
        <f t="shared" si="100"/>
        <v>3.8075139881829104E-2</v>
      </c>
      <c r="AV488" s="2">
        <f t="shared" si="101"/>
        <v>5.3129019998484212E-3</v>
      </c>
      <c r="AW488" s="3">
        <f t="shared" si="102"/>
        <v>13.953729431691302</v>
      </c>
    </row>
    <row r="489" spans="1:49" s="5" customFormat="1" x14ac:dyDescent="0.2">
      <c r="A489" s="5" t="s">
        <v>480</v>
      </c>
      <c r="B489" s="5" t="s">
        <v>481</v>
      </c>
      <c r="C489" s="5" t="s">
        <v>551</v>
      </c>
      <c r="D489" s="5" t="s">
        <v>555</v>
      </c>
      <c r="E489" s="13" t="s">
        <v>553</v>
      </c>
      <c r="F489" s="5">
        <v>82</v>
      </c>
      <c r="G489" s="14">
        <v>2.4</v>
      </c>
      <c r="H489" s="14">
        <v>2.25</v>
      </c>
      <c r="I489" s="14">
        <v>1.2</v>
      </c>
      <c r="J489">
        <v>2.92</v>
      </c>
      <c r="K489">
        <v>4.12</v>
      </c>
      <c r="L489">
        <v>3.52</v>
      </c>
      <c r="M489">
        <v>0.16</v>
      </c>
      <c r="N489" s="14">
        <v>89.408333333333317</v>
      </c>
      <c r="O489" s="14">
        <v>90.60833333333332</v>
      </c>
      <c r="P489" s="14">
        <v>90.008333333333326</v>
      </c>
      <c r="Q489" s="14">
        <v>89.408333333333317</v>
      </c>
      <c r="R489" s="14">
        <v>90.60833333333332</v>
      </c>
      <c r="S489" s="14">
        <v>90.008333333333326</v>
      </c>
      <c r="T489" s="3">
        <v>90.01</v>
      </c>
      <c r="U489" s="3">
        <v>0.6</v>
      </c>
      <c r="V489" s="3">
        <v>588.1</v>
      </c>
      <c r="W489" s="3">
        <v>1117.05</v>
      </c>
      <c r="X489" s="3">
        <v>838.41</v>
      </c>
      <c r="Y489" s="3">
        <v>840.98</v>
      </c>
      <c r="Z489" s="3">
        <v>264.47500000000002</v>
      </c>
      <c r="AA489" s="4">
        <v>0.1008</v>
      </c>
      <c r="AB489" s="4">
        <v>3.2371942000000001E-2</v>
      </c>
      <c r="AC489">
        <v>1.1476266666666668</v>
      </c>
      <c r="AD489" s="15">
        <v>7.3806000000000003</v>
      </c>
      <c r="AE489" s="15">
        <v>2.8391999999999999</v>
      </c>
      <c r="AF489" s="15">
        <f t="shared" si="97"/>
        <v>4.5414000000000003</v>
      </c>
      <c r="AG489" s="15">
        <v>1.6915733333333332</v>
      </c>
      <c r="AH489" s="15">
        <v>72.860892500743361</v>
      </c>
      <c r="AI489" s="2">
        <v>27.139107499256639</v>
      </c>
      <c r="AJ489" s="1">
        <f t="shared" si="98"/>
        <v>1.356955374962832</v>
      </c>
      <c r="AK489" s="13">
        <v>0.1188</v>
      </c>
      <c r="AL489" s="16">
        <v>29.994107249999999</v>
      </c>
      <c r="AM489" s="10">
        <v>1.4997053625000001</v>
      </c>
      <c r="AN489" s="16">
        <v>17.397974042923433</v>
      </c>
      <c r="AO489" s="11">
        <v>1.5024034658876613</v>
      </c>
      <c r="AP489" s="14">
        <v>5.0920987500000008</v>
      </c>
      <c r="AQ489" s="2">
        <f>AP489*((G489*0.01)+(H489*0.01)+(I489*0.01))</f>
        <v>0.29788777687500001</v>
      </c>
      <c r="AR489" s="15">
        <v>1.2240480083645928</v>
      </c>
      <c r="AS489" s="15">
        <v>0.33219570483257671</v>
      </c>
      <c r="AT489" s="15">
        <f t="shared" si="99"/>
        <v>2.3941196204827049E-2</v>
      </c>
      <c r="AU489" s="2">
        <f t="shared" si="100"/>
        <v>3.3485327047123731E-2</v>
      </c>
      <c r="AV489" s="2">
        <f t="shared" si="101"/>
        <v>4.3721642097033046E-3</v>
      </c>
      <c r="AW489" s="3">
        <f t="shared" si="102"/>
        <v>13.056955374962831</v>
      </c>
    </row>
    <row r="490" spans="1:49" s="5" customFormat="1" x14ac:dyDescent="0.2">
      <c r="A490" s="5" t="s">
        <v>480</v>
      </c>
      <c r="B490" s="5" t="s">
        <v>481</v>
      </c>
      <c r="C490" s="5" t="s">
        <v>551</v>
      </c>
      <c r="D490" s="5" t="s">
        <v>556</v>
      </c>
      <c r="E490" s="13" t="s">
        <v>553</v>
      </c>
      <c r="F490" s="5">
        <v>83</v>
      </c>
      <c r="G490" s="14">
        <v>2.4</v>
      </c>
      <c r="H490" s="14">
        <v>2.2000000000000002</v>
      </c>
      <c r="I490" s="14">
        <v>1.2</v>
      </c>
      <c r="J490">
        <v>4.28</v>
      </c>
      <c r="K490">
        <v>5.48</v>
      </c>
      <c r="L490">
        <v>4.88</v>
      </c>
      <c r="M490">
        <v>0.16</v>
      </c>
      <c r="N490" s="14">
        <v>90.766666666666652</v>
      </c>
      <c r="O490" s="14">
        <v>91.966666666666654</v>
      </c>
      <c r="P490" s="14">
        <v>91.366666666666646</v>
      </c>
      <c r="Q490" s="14">
        <v>90.766666666666652</v>
      </c>
      <c r="R490" s="14">
        <v>91.966666666666654</v>
      </c>
      <c r="S490" s="14">
        <v>91.366666666666646</v>
      </c>
      <c r="T490" s="3">
        <v>91.37</v>
      </c>
      <c r="U490" s="3">
        <v>0.6</v>
      </c>
      <c r="V490" s="3">
        <v>605.09</v>
      </c>
      <c r="W490" s="3">
        <v>1128.6500000000001</v>
      </c>
      <c r="X490" s="3">
        <v>852.4</v>
      </c>
      <c r="Y490" s="3">
        <v>854.45</v>
      </c>
      <c r="Z490" s="3">
        <v>261.77999999999997</v>
      </c>
      <c r="AA490" s="4">
        <v>0.1009</v>
      </c>
      <c r="AB490" s="4">
        <v>3.1575567999999998E-2</v>
      </c>
      <c r="AC490">
        <v>1.1476266666666668</v>
      </c>
      <c r="AD490" s="15">
        <v>7.3727</v>
      </c>
      <c r="AE490" s="15">
        <v>2.6993999999999998</v>
      </c>
      <c r="AF490" s="15">
        <f t="shared" si="97"/>
        <v>4.6733000000000002</v>
      </c>
      <c r="AG490" s="15">
        <v>1.551773333333333</v>
      </c>
      <c r="AH490" s="15">
        <v>75.072207984698451</v>
      </c>
      <c r="AI490" s="2">
        <v>24.927792015301549</v>
      </c>
      <c r="AJ490" s="1">
        <f t="shared" si="98"/>
        <v>1.2463896007650774</v>
      </c>
      <c r="AK490" s="13">
        <v>7.5899999999999995E-2</v>
      </c>
      <c r="AL490" s="16">
        <v>31.312217189999998</v>
      </c>
      <c r="AM490" s="10">
        <v>1.5656108595</v>
      </c>
      <c r="AN490" s="16">
        <v>18.162538973317865</v>
      </c>
      <c r="AO490" s="11">
        <v>1.5681955756168708</v>
      </c>
      <c r="AP490" s="14">
        <v>4.9831799999999991</v>
      </c>
      <c r="AQ490" s="2">
        <f>AP490*((G490*0.01)+(H490*0.01)+(I490*0.01))</f>
        <v>0.28902443999999994</v>
      </c>
      <c r="AR490" s="15">
        <v>1.2492170327648879</v>
      </c>
      <c r="AS490" s="15">
        <v>0.31140222374735277</v>
      </c>
      <c r="AT490" s="15">
        <f t="shared" si="99"/>
        <v>2.1942613910684663E-2</v>
      </c>
      <c r="AU490" s="2">
        <f t="shared" si="100"/>
        <v>3.1420484376107893E-2</v>
      </c>
      <c r="AV490" s="2">
        <f t="shared" si="101"/>
        <v>4.0363978374023399E-3</v>
      </c>
      <c r="AW490" s="3">
        <f t="shared" si="102"/>
        <v>12.846389600765077</v>
      </c>
    </row>
    <row r="491" spans="1:49" s="5" customFormat="1" x14ac:dyDescent="0.2">
      <c r="A491" s="5" t="s">
        <v>480</v>
      </c>
      <c r="B491" s="5" t="s">
        <v>481</v>
      </c>
      <c r="C491" s="5" t="s">
        <v>551</v>
      </c>
      <c r="D491" s="5" t="s">
        <v>557</v>
      </c>
      <c r="E491" s="13" t="s">
        <v>553</v>
      </c>
      <c r="F491" s="5">
        <v>84</v>
      </c>
      <c r="G491" s="14">
        <v>2.4</v>
      </c>
      <c r="H491" s="14">
        <v>2.25</v>
      </c>
      <c r="I491" s="14">
        <v>1.2</v>
      </c>
      <c r="J491">
        <v>5.64</v>
      </c>
      <c r="K491">
        <v>6.84</v>
      </c>
      <c r="L491">
        <v>6.24</v>
      </c>
      <c r="M491">
        <v>0.16</v>
      </c>
      <c r="N491" s="14">
        <v>92.124999999999986</v>
      </c>
      <c r="O491" s="14">
        <v>93.324999999999989</v>
      </c>
      <c r="P491" s="14">
        <v>92.724999999999994</v>
      </c>
      <c r="Q491" s="14">
        <v>92.124999999999986</v>
      </c>
      <c r="R491" s="14">
        <v>93.324999999999989</v>
      </c>
      <c r="S491" s="14">
        <v>92.724999999999994</v>
      </c>
      <c r="T491" s="3">
        <v>92.73</v>
      </c>
      <c r="U491" s="3">
        <v>0.6</v>
      </c>
      <c r="V491" s="3">
        <v>617.47</v>
      </c>
      <c r="W491" s="3">
        <v>1138.08</v>
      </c>
      <c r="X491" s="3">
        <v>866.51</v>
      </c>
      <c r="Y491" s="3">
        <v>867.91</v>
      </c>
      <c r="Z491" s="3">
        <v>260.30500000000001</v>
      </c>
      <c r="AA491" s="4">
        <v>0.1012</v>
      </c>
      <c r="AB491" s="4">
        <v>3.1006875E-2</v>
      </c>
      <c r="AC491">
        <v>1.1476266666666668</v>
      </c>
      <c r="AD491" s="15">
        <v>7.4287999999999998</v>
      </c>
      <c r="AE491" s="15">
        <v>2.7770000000000001</v>
      </c>
      <c r="AF491" s="15">
        <f t="shared" si="97"/>
        <v>4.6517999999999997</v>
      </c>
      <c r="AG491" s="15">
        <v>1.6293733333333333</v>
      </c>
      <c r="AH491" s="15">
        <v>74.059411405087801</v>
      </c>
      <c r="AI491" s="2">
        <v>25.940588594912199</v>
      </c>
      <c r="AJ491" s="1">
        <f t="shared" si="98"/>
        <v>1.29702942974561</v>
      </c>
      <c r="AK491" s="13">
        <v>0.15809999999999999</v>
      </c>
      <c r="AL491" s="16">
        <v>31.40997831</v>
      </c>
      <c r="AM491" s="10">
        <v>1.5704989155</v>
      </c>
      <c r="AN491" s="16">
        <v>18.21924495939675</v>
      </c>
      <c r="AO491" s="11">
        <v>1.5730756000862376</v>
      </c>
      <c r="AP491" s="14">
        <v>5.0920987500000008</v>
      </c>
      <c r="AQ491" s="2">
        <f>AP491*((G491*0.01)+(H491*0.01)+(I491*0.01))</f>
        <v>0.29788777687500001</v>
      </c>
      <c r="AR491" s="15">
        <v>1.2335136535467488</v>
      </c>
      <c r="AS491" s="15">
        <v>0.31998070212863272</v>
      </c>
      <c r="AT491" s="15">
        <f t="shared" si="99"/>
        <v>2.2869114950640014E-2</v>
      </c>
      <c r="AU491" s="2">
        <f t="shared" si="100"/>
        <v>3.2382047055417633E-2</v>
      </c>
      <c r="AV491" s="2">
        <f t="shared" si="101"/>
        <v>4.2087041857467008E-3</v>
      </c>
      <c r="AW491" s="3">
        <f t="shared" si="102"/>
        <v>12.997029429745607</v>
      </c>
    </row>
    <row r="492" spans="1:49" s="5" customFormat="1" x14ac:dyDescent="0.2">
      <c r="A492" s="5" t="s">
        <v>480</v>
      </c>
      <c r="B492" s="5" t="s">
        <v>481</v>
      </c>
      <c r="C492" s="5" t="s">
        <v>551</v>
      </c>
      <c r="D492" s="5" t="s">
        <v>558</v>
      </c>
      <c r="E492" s="13" t="s">
        <v>553</v>
      </c>
      <c r="F492" s="5">
        <v>85</v>
      </c>
      <c r="G492" s="14">
        <v>2.2999999999999998</v>
      </c>
      <c r="H492" s="14">
        <v>2.2000000000000002</v>
      </c>
      <c r="I492" s="14">
        <v>1.1499999999999999</v>
      </c>
      <c r="J492">
        <v>7</v>
      </c>
      <c r="K492">
        <v>8.1999999999999993</v>
      </c>
      <c r="L492">
        <v>7.6</v>
      </c>
      <c r="M492">
        <v>0.16</v>
      </c>
      <c r="N492" s="14">
        <v>93.48333333333332</v>
      </c>
      <c r="O492" s="14">
        <v>94.633333333333326</v>
      </c>
      <c r="P492" s="14">
        <v>94.058333333333323</v>
      </c>
      <c r="Q492" s="14">
        <v>93.48333333333332</v>
      </c>
      <c r="R492" s="14">
        <v>94.633333333333326</v>
      </c>
      <c r="S492" s="14">
        <v>94.058333333333323</v>
      </c>
      <c r="T492" s="3">
        <v>94.06</v>
      </c>
      <c r="U492" s="3">
        <v>0.57499999999999996</v>
      </c>
      <c r="V492" s="3">
        <v>631.69000000000005</v>
      </c>
      <c r="W492" s="3">
        <v>1154.1300000000001</v>
      </c>
      <c r="X492" s="3">
        <v>879.8</v>
      </c>
      <c r="Y492" s="3">
        <v>881.08</v>
      </c>
      <c r="Z492" s="3">
        <v>261.22000000000003</v>
      </c>
      <c r="AA492" s="4">
        <v>0.1008</v>
      </c>
      <c r="AB492" s="4">
        <v>3.0501088999999999E-2</v>
      </c>
      <c r="AC492">
        <v>1.1476266666666668</v>
      </c>
      <c r="AD492" s="15">
        <v>6.8536999999999999</v>
      </c>
      <c r="AE492" s="15">
        <v>2.4742000000000002</v>
      </c>
      <c r="AF492" s="15">
        <f t="shared" si="97"/>
        <v>4.3795000000000002</v>
      </c>
      <c r="AG492" s="15">
        <v>1.3265733333333334</v>
      </c>
      <c r="AH492" s="15">
        <v>76.751554776139102</v>
      </c>
      <c r="AI492" s="2">
        <v>23.248445223860898</v>
      </c>
      <c r="AJ492" s="1">
        <f t="shared" si="98"/>
        <v>1.162422261193045</v>
      </c>
      <c r="AK492" s="13">
        <v>7.6300000000000007E-2</v>
      </c>
      <c r="AL492" s="16">
        <v>38.467741940000003</v>
      </c>
      <c r="AM492" s="10">
        <v>1.9233870970000002</v>
      </c>
      <c r="AN492" s="16">
        <v>22.313075371229701</v>
      </c>
      <c r="AO492" s="11">
        <v>1.9254916060336613</v>
      </c>
      <c r="AP492" s="14">
        <v>4.5701718750000007</v>
      </c>
      <c r="AQ492" s="2">
        <f>AP492*((G492*0.01)+(H492*0.01)+(I492*0.01))</f>
        <v>0.25821471093750004</v>
      </c>
      <c r="AR492" s="15">
        <v>1.2485467701000486</v>
      </c>
      <c r="AS492" s="15">
        <v>0.29026771194099416</v>
      </c>
      <c r="AT492" s="15">
        <f t="shared" si="99"/>
        <v>1.9774262225323989E-2</v>
      </c>
      <c r="AU492" s="2">
        <f t="shared" si="100"/>
        <v>2.925898536365221E-2</v>
      </c>
      <c r="AV492" s="2">
        <f t="shared" si="101"/>
        <v>3.6463783053590081E-3</v>
      </c>
      <c r="AW492" s="3">
        <f t="shared" si="102"/>
        <v>12.462422261193046</v>
      </c>
    </row>
    <row r="493" spans="1:49" s="5" customFormat="1" x14ac:dyDescent="0.2">
      <c r="A493" s="5" t="s">
        <v>480</v>
      </c>
      <c r="B493" s="5" t="s">
        <v>481</v>
      </c>
      <c r="C493" s="5" t="s">
        <v>551</v>
      </c>
      <c r="D493" s="5" t="s">
        <v>559</v>
      </c>
      <c r="E493" s="13" t="s">
        <v>553</v>
      </c>
      <c r="F493" s="5">
        <v>86</v>
      </c>
      <c r="G493" s="14">
        <v>2.35</v>
      </c>
      <c r="H493" s="14">
        <v>2.15</v>
      </c>
      <c r="I493" s="14">
        <v>1.25</v>
      </c>
      <c r="J493">
        <v>8.36</v>
      </c>
      <c r="K493">
        <v>9.66</v>
      </c>
      <c r="L493">
        <v>9.01</v>
      </c>
      <c r="M493">
        <v>0.16</v>
      </c>
      <c r="N493" s="14">
        <v>94.791666666666657</v>
      </c>
      <c r="O493" s="14">
        <v>96.041666666666657</v>
      </c>
      <c r="P493" s="14">
        <v>95.416666666666657</v>
      </c>
      <c r="Q493" s="14">
        <v>94.791666666666657</v>
      </c>
      <c r="R493" s="14">
        <v>96.041666666666657</v>
      </c>
      <c r="S493" s="14">
        <v>95.416666666666657</v>
      </c>
      <c r="T493" s="3">
        <v>95.42</v>
      </c>
      <c r="U493" s="3">
        <v>0.625</v>
      </c>
      <c r="V493" s="3">
        <v>641.9</v>
      </c>
      <c r="W493" s="3">
        <v>1168.02</v>
      </c>
      <c r="X493" s="3">
        <v>893.67</v>
      </c>
      <c r="Y493" s="3">
        <v>894.55</v>
      </c>
      <c r="Z493" s="3">
        <v>263.06</v>
      </c>
      <c r="AA493" s="4">
        <v>0.1013</v>
      </c>
      <c r="AB493" s="4">
        <v>3.0452769000000001E-2</v>
      </c>
      <c r="AC493">
        <v>1.1476266666666668</v>
      </c>
      <c r="AD493" s="15">
        <v>7.0294999999999996</v>
      </c>
      <c r="AE493" s="15">
        <v>2.4859</v>
      </c>
      <c r="AF493" s="15">
        <f t="shared" si="97"/>
        <v>4.5435999999999996</v>
      </c>
      <c r="AG493" s="15">
        <v>1.3382733333333332</v>
      </c>
      <c r="AH493" s="15">
        <v>77.247498246023667</v>
      </c>
      <c r="AI493" s="2">
        <v>22.752501753976333</v>
      </c>
      <c r="AJ493" s="1">
        <f t="shared" si="98"/>
        <v>1.1376250876988168</v>
      </c>
      <c r="AK493" s="13">
        <v>7.1199999999999999E-2</v>
      </c>
      <c r="AL493" s="16">
        <v>41.25412541</v>
      </c>
      <c r="AM493" s="10">
        <v>2.0627062705000001</v>
      </c>
      <c r="AN493" s="16">
        <v>23.929307082366591</v>
      </c>
      <c r="AO493" s="11">
        <v>2.0646687769131442</v>
      </c>
      <c r="AP493" s="14">
        <v>4.9675781250000002</v>
      </c>
      <c r="AQ493" s="2">
        <f>AP493*((G493*0.01)+(H493*0.01)+(I493*0.01))</f>
        <v>0.28563574218749999</v>
      </c>
      <c r="AR493" s="15">
        <v>1.1840525071426697</v>
      </c>
      <c r="AS493" s="15">
        <v>0.26940156745563676</v>
      </c>
      <c r="AT493" s="15">
        <f t="shared" si="99"/>
        <v>1.8555369946728288E-2</v>
      </c>
      <c r="AU493" s="2">
        <f t="shared" si="100"/>
        <v>2.7290378783256002E-2</v>
      </c>
      <c r="AV493" s="2">
        <f t="shared" si="101"/>
        <v>3.4488557556407958E-3</v>
      </c>
      <c r="AW493" s="3">
        <f t="shared" si="102"/>
        <v>12.637625087698817</v>
      </c>
    </row>
    <row r="494" spans="1:49" s="5" customFormat="1" x14ac:dyDescent="0.2">
      <c r="A494" s="5" t="s">
        <v>480</v>
      </c>
      <c r="B494" s="5" t="s">
        <v>481</v>
      </c>
      <c r="C494" s="5" t="s">
        <v>551</v>
      </c>
      <c r="D494" s="5" t="s">
        <v>560</v>
      </c>
      <c r="E494" s="13" t="s">
        <v>553</v>
      </c>
      <c r="F494" s="5">
        <v>87</v>
      </c>
      <c r="G494" s="14">
        <v>2.2999999999999998</v>
      </c>
      <c r="H494" s="14">
        <v>2.15</v>
      </c>
      <c r="I494" s="14">
        <v>1.2</v>
      </c>
      <c r="J494">
        <v>9.82</v>
      </c>
      <c r="K494">
        <v>11.02</v>
      </c>
      <c r="L494">
        <v>10.42</v>
      </c>
      <c r="M494">
        <v>0.16</v>
      </c>
      <c r="N494" s="14">
        <v>96.199999999999989</v>
      </c>
      <c r="O494" s="14">
        <v>97.399999999999991</v>
      </c>
      <c r="P494" s="14">
        <v>96.799999999999983</v>
      </c>
      <c r="Q494" s="14">
        <v>96.199999999999989</v>
      </c>
      <c r="R494" s="14">
        <v>97.399999999999991</v>
      </c>
      <c r="S494" s="14">
        <v>96.799999999999983</v>
      </c>
      <c r="T494" s="3">
        <v>96.8</v>
      </c>
      <c r="U494" s="3">
        <v>0.6</v>
      </c>
      <c r="V494" s="3">
        <v>649.44000000000005</v>
      </c>
      <c r="W494" s="3">
        <v>1180.6400000000001</v>
      </c>
      <c r="X494" s="3">
        <v>908.83</v>
      </c>
      <c r="Y494" s="3">
        <v>908.21</v>
      </c>
      <c r="Z494" s="3">
        <v>265.60000000000002</v>
      </c>
      <c r="AA494" s="4">
        <v>0.1009</v>
      </c>
      <c r="AB494" s="4">
        <v>3.0132949999999999E-2</v>
      </c>
      <c r="AC494">
        <v>1.1476266666666668</v>
      </c>
      <c r="AD494" s="15">
        <v>6.9387999999999996</v>
      </c>
      <c r="AE494" s="15">
        <v>2.6349999999999998</v>
      </c>
      <c r="AF494" s="15">
        <f t="shared" si="97"/>
        <v>4.3037999999999998</v>
      </c>
      <c r="AG494" s="15">
        <v>1.487373333333333</v>
      </c>
      <c r="AH494" s="15">
        <v>74.316546100041904</v>
      </c>
      <c r="AI494" s="2">
        <v>25.683453899958096</v>
      </c>
      <c r="AJ494" s="1">
        <f t="shared" si="98"/>
        <v>1.2841726949979049</v>
      </c>
      <c r="AK494" s="13">
        <v>8.6400000000000005E-2</v>
      </c>
      <c r="AL494" s="16">
        <v>35.135135140000003</v>
      </c>
      <c r="AM494" s="10">
        <v>1.7567567570000002</v>
      </c>
      <c r="AN494" s="16">
        <v>20.380008781902553</v>
      </c>
      <c r="AO494" s="11">
        <v>1.7590606309235501</v>
      </c>
      <c r="AP494" s="14">
        <v>4.6634887499999991</v>
      </c>
      <c r="AQ494" s="2">
        <f>AP494*((G494*0.01)+(H494*0.01)+(I494*0.01))</f>
        <v>0.26348711437499994</v>
      </c>
      <c r="AR494" s="15">
        <v>1.2418113656505194</v>
      </c>
      <c r="AS494" s="15">
        <v>0.31894004962129119</v>
      </c>
      <c r="AT494" s="15">
        <f t="shared" si="99"/>
        <v>2.2115853834252342E-2</v>
      </c>
      <c r="AU494" s="2">
        <f t="shared" si="100"/>
        <v>3.218105100678828E-2</v>
      </c>
      <c r="AV494" s="2">
        <f t="shared" si="101"/>
        <v>4.0497190337595995E-3</v>
      </c>
      <c r="AW494" s="3">
        <f t="shared" si="102"/>
        <v>12.584172694997905</v>
      </c>
    </row>
    <row r="495" spans="1:49" s="5" customFormat="1" x14ac:dyDescent="0.2">
      <c r="A495" s="5" t="s">
        <v>480</v>
      </c>
      <c r="B495" s="5" t="s">
        <v>481</v>
      </c>
      <c r="C495" s="5" t="s">
        <v>551</v>
      </c>
      <c r="D495" s="5" t="s">
        <v>561</v>
      </c>
      <c r="E495" s="13" t="s">
        <v>553</v>
      </c>
      <c r="F495" s="5">
        <v>88</v>
      </c>
      <c r="G495" s="14">
        <v>2.2000000000000002</v>
      </c>
      <c r="H495" s="14">
        <v>2.2999999999999998</v>
      </c>
      <c r="I495" s="14">
        <v>1.1000000000000001</v>
      </c>
      <c r="J495">
        <v>11.18</v>
      </c>
      <c r="K495">
        <v>12.28</v>
      </c>
      <c r="L495">
        <v>11.73</v>
      </c>
      <c r="M495">
        <v>0.16</v>
      </c>
      <c r="N495" s="14">
        <v>97.558333333333323</v>
      </c>
      <c r="O495" s="14">
        <v>98.658333333333317</v>
      </c>
      <c r="P495" s="14">
        <v>98.10833333333332</v>
      </c>
      <c r="Q495" s="14">
        <v>97.558333333333323</v>
      </c>
      <c r="R495" s="14">
        <v>98.658333333333317</v>
      </c>
      <c r="S495" s="14">
        <v>98.10833333333332</v>
      </c>
      <c r="T495" s="3">
        <v>98.11</v>
      </c>
      <c r="U495" s="3">
        <v>0.55000000000000004</v>
      </c>
      <c r="V495" s="3">
        <v>655.48</v>
      </c>
      <c r="W495" s="3">
        <v>1192.44</v>
      </c>
      <c r="X495" s="3">
        <v>921.43</v>
      </c>
      <c r="Y495" s="3">
        <v>921.18</v>
      </c>
      <c r="Z495" s="3">
        <v>268.48</v>
      </c>
      <c r="AA495" s="4">
        <v>0.1009</v>
      </c>
      <c r="AB495" s="4">
        <v>2.9973174000000002E-2</v>
      </c>
      <c r="AC495">
        <v>1.1476266666666668</v>
      </c>
      <c r="AD495" s="15">
        <v>7.1140999999999996</v>
      </c>
      <c r="AE495" s="15">
        <v>2.8216999999999999</v>
      </c>
      <c r="AF495" s="15">
        <f t="shared" si="97"/>
        <v>4.2923999999999998</v>
      </c>
      <c r="AG495" s="15">
        <v>1.6740733333333331</v>
      </c>
      <c r="AH495" s="15">
        <v>71.941995885900212</v>
      </c>
      <c r="AI495" s="2">
        <v>28.058004114099788</v>
      </c>
      <c r="AJ495" s="1">
        <f t="shared" si="98"/>
        <v>1.4029002057049895</v>
      </c>
      <c r="AK495" s="13">
        <v>0.1326</v>
      </c>
      <c r="AL495" s="16">
        <v>31.259720059999999</v>
      </c>
      <c r="AM495" s="10">
        <v>1.562986003</v>
      </c>
      <c r="AN495" s="16">
        <v>18.132088201856149</v>
      </c>
      <c r="AO495" s="11">
        <v>1.5655750526799781</v>
      </c>
      <c r="AP495" s="14">
        <v>4.3714687500000009</v>
      </c>
      <c r="AQ495" s="2">
        <f>AP495*((G495*0.01)+(H495*0.01)+(I495*0.01))</f>
        <v>0.24480225000000005</v>
      </c>
      <c r="AR495" s="15">
        <v>1.3648669759639325</v>
      </c>
      <c r="AS495" s="15">
        <v>0.38295443226794945</v>
      </c>
      <c r="AT495" s="15">
        <f t="shared" si="99"/>
        <v>2.6817916725048609E-2</v>
      </c>
      <c r="AU495" s="2">
        <f t="shared" si="100"/>
        <v>3.8640102215836102E-2</v>
      </c>
      <c r="AV495" s="2">
        <f t="shared" si="101"/>
        <v>4.8697735216442261E-3</v>
      </c>
      <c r="AW495" s="3">
        <f t="shared" si="102"/>
        <v>12.602900205704989</v>
      </c>
    </row>
    <row r="496" spans="1:49" s="5" customFormat="1" x14ac:dyDescent="0.2">
      <c r="A496" s="5" t="s">
        <v>480</v>
      </c>
      <c r="B496" s="5" t="s">
        <v>481</v>
      </c>
      <c r="C496" s="5" t="s">
        <v>551</v>
      </c>
      <c r="D496" s="5" t="s">
        <v>562</v>
      </c>
      <c r="E496" s="13" t="s">
        <v>553</v>
      </c>
      <c r="F496" s="5">
        <v>89</v>
      </c>
      <c r="G496" s="14">
        <v>2.2999999999999998</v>
      </c>
      <c r="H496" s="14">
        <v>2.2999999999999998</v>
      </c>
      <c r="I496" s="14">
        <v>1.2</v>
      </c>
      <c r="J496">
        <v>12.44</v>
      </c>
      <c r="K496">
        <v>13.64</v>
      </c>
      <c r="L496">
        <v>13.04</v>
      </c>
      <c r="M496">
        <v>0.16</v>
      </c>
      <c r="N496" s="14">
        <v>98.816666666666649</v>
      </c>
      <c r="O496" s="14">
        <v>100.01666666666665</v>
      </c>
      <c r="P496" s="14">
        <v>99.416666666666657</v>
      </c>
      <c r="Q496" s="14">
        <v>98.816666666666649</v>
      </c>
      <c r="R496" s="14">
        <v>100.01666666666665</v>
      </c>
      <c r="S496" s="14">
        <v>99.416666666666657</v>
      </c>
      <c r="T496" s="3">
        <v>99.42</v>
      </c>
      <c r="U496" s="3">
        <v>0.6</v>
      </c>
      <c r="V496" s="3">
        <v>664.07</v>
      </c>
      <c r="W496" s="3">
        <v>1203.4100000000001</v>
      </c>
      <c r="X496" s="3">
        <v>934.39</v>
      </c>
      <c r="Y496" s="3">
        <v>934.15</v>
      </c>
      <c r="Z496" s="3">
        <v>269.67</v>
      </c>
      <c r="AA496" s="4">
        <v>9.9299999999999999E-2</v>
      </c>
      <c r="AB496" s="4">
        <v>2.9265155000000001E-2</v>
      </c>
      <c r="AC496">
        <v>1.1476266666666668</v>
      </c>
      <c r="AD496" s="15">
        <v>7.1264000000000003</v>
      </c>
      <c r="AE496" s="15">
        <v>2.7218</v>
      </c>
      <c r="AF496" s="15">
        <f t="shared" si="97"/>
        <v>4.4046000000000003</v>
      </c>
      <c r="AG496" s="15">
        <v>1.5741733333333332</v>
      </c>
      <c r="AH496" s="15">
        <v>73.670630318816791</v>
      </c>
      <c r="AI496" s="2">
        <v>26.329369681183209</v>
      </c>
      <c r="AJ496" s="1">
        <f t="shared" si="98"/>
        <v>1.3164684840591605</v>
      </c>
      <c r="AK496" s="13">
        <v>0.13519999999999999</v>
      </c>
      <c r="AL496" s="16">
        <v>35.311004779999998</v>
      </c>
      <c r="AM496" s="10">
        <v>1.765550239</v>
      </c>
      <c r="AN496" s="16">
        <v>20.482021334106726</v>
      </c>
      <c r="AO496" s="11">
        <v>1.7678426531886138</v>
      </c>
      <c r="AP496" s="14">
        <v>4.9831799999999991</v>
      </c>
      <c r="AQ496" s="2">
        <f>AP496*((G496*0.01)+(H496*0.01)+(I496*0.01))</f>
        <v>0.28902443999999994</v>
      </c>
      <c r="AR496" s="15">
        <v>1.1997907627927016</v>
      </c>
      <c r="AS496" s="15">
        <v>0.31589734533637825</v>
      </c>
      <c r="AT496" s="15">
        <f t="shared" si="99"/>
        <v>2.2480735022842889E-2</v>
      </c>
      <c r="AU496" s="2">
        <f t="shared" si="100"/>
        <v>3.1368606391902358E-2</v>
      </c>
      <c r="AV496" s="2">
        <f t="shared" si="101"/>
        <v>4.0517161584986356E-3</v>
      </c>
      <c r="AW496" s="3">
        <f t="shared" si="102"/>
        <v>12.916468484059159</v>
      </c>
    </row>
    <row r="497" spans="1:49" s="5" customFormat="1" x14ac:dyDescent="0.2">
      <c r="A497" s="5" t="s">
        <v>480</v>
      </c>
      <c r="B497" s="5" t="s">
        <v>481</v>
      </c>
      <c r="C497" s="5" t="s">
        <v>551</v>
      </c>
      <c r="D497" s="5" t="s">
        <v>563</v>
      </c>
      <c r="E497" s="13" t="s">
        <v>553</v>
      </c>
      <c r="F497" s="5">
        <v>90</v>
      </c>
      <c r="G497" s="14">
        <v>2.0499999999999998</v>
      </c>
      <c r="H497" s="14">
        <v>2.2999999999999998</v>
      </c>
      <c r="I497" s="14">
        <v>1.25</v>
      </c>
      <c r="J497">
        <v>13.8</v>
      </c>
      <c r="K497">
        <v>15.1</v>
      </c>
      <c r="L497">
        <v>14.45</v>
      </c>
      <c r="M497">
        <v>0.16</v>
      </c>
      <c r="N497" s="14">
        <v>100.17499999999998</v>
      </c>
      <c r="O497" s="14">
        <v>101.42499999999998</v>
      </c>
      <c r="P497" s="14">
        <v>100.79999999999998</v>
      </c>
      <c r="Q497" s="14">
        <v>100.17499999999998</v>
      </c>
      <c r="R497" s="14">
        <v>101.42499999999998</v>
      </c>
      <c r="S497" s="14">
        <v>100.79999999999998</v>
      </c>
      <c r="T497" s="3">
        <v>100.8</v>
      </c>
      <c r="U497" s="3">
        <v>0.625</v>
      </c>
      <c r="V497" s="3">
        <v>679.3</v>
      </c>
      <c r="W497" s="3">
        <v>1214.02</v>
      </c>
      <c r="X497" s="3">
        <v>948.27</v>
      </c>
      <c r="Y497" s="3">
        <v>948.08</v>
      </c>
      <c r="Z497" s="3">
        <v>267.36</v>
      </c>
      <c r="AA497" s="4">
        <v>9.8000000000000004E-2</v>
      </c>
      <c r="AB497" s="4">
        <v>2.8243787999999999E-2</v>
      </c>
      <c r="AC497">
        <v>1.1476266666666668</v>
      </c>
      <c r="AD497" s="15">
        <v>7.3872999999999998</v>
      </c>
      <c r="AE497" s="15">
        <v>2.9594999999999998</v>
      </c>
      <c r="AF497" s="15">
        <f t="shared" si="97"/>
        <v>4.4277999999999995</v>
      </c>
      <c r="AG497" s="15">
        <v>1.811873333333333</v>
      </c>
      <c r="AH497" s="15">
        <v>70.962048226883681</v>
      </c>
      <c r="AI497" s="2">
        <v>29.037951773116319</v>
      </c>
      <c r="AJ497" s="1">
        <f t="shared" si="98"/>
        <v>1.4518975886558161</v>
      </c>
      <c r="AK497" s="13">
        <v>0.1363</v>
      </c>
      <c r="AL497" s="16">
        <v>32.256461229999999</v>
      </c>
      <c r="AM497" s="10">
        <v>1.6128230615000001</v>
      </c>
      <c r="AN497" s="16">
        <v>18.710244332946637</v>
      </c>
      <c r="AO497" s="11">
        <v>1.6153322344664065</v>
      </c>
      <c r="AP497" s="14">
        <v>4.6419257812499986</v>
      </c>
      <c r="AQ497" s="2">
        <f>AP497*((G497*0.01)+(H497*0.01)+(I497*0.01))</f>
        <v>0.25994784374999991</v>
      </c>
      <c r="AR497" s="15">
        <v>1.344199288695453</v>
      </c>
      <c r="AS497" s="15">
        <v>0.39032794118595832</v>
      </c>
      <c r="AT497" s="15">
        <f t="shared" si="99"/>
        <v>2.7525526672342485E-2</v>
      </c>
      <c r="AU497" s="2">
        <f t="shared" si="100"/>
        <v>3.8252138236223913E-2</v>
      </c>
      <c r="AV497" s="2">
        <f t="shared" si="101"/>
        <v>4.8396213551181021E-3</v>
      </c>
      <c r="AW497" s="3">
        <f t="shared" si="102"/>
        <v>12.651897588655814</v>
      </c>
    </row>
    <row r="498" spans="1:49" s="5" customFormat="1" x14ac:dyDescent="0.2">
      <c r="A498" s="5" t="s">
        <v>480</v>
      </c>
      <c r="B498" s="5" t="s">
        <v>481</v>
      </c>
      <c r="C498" s="5" t="s">
        <v>551</v>
      </c>
      <c r="D498" s="5" t="s">
        <v>564</v>
      </c>
      <c r="E498" s="13" t="s">
        <v>553</v>
      </c>
      <c r="F498" s="5">
        <v>91</v>
      </c>
      <c r="G498" s="14">
        <v>2.2999999999999998</v>
      </c>
      <c r="H498" s="14">
        <v>2.1</v>
      </c>
      <c r="I498" s="14">
        <v>1.5</v>
      </c>
      <c r="J498">
        <v>15.26</v>
      </c>
      <c r="K498">
        <v>16.760000000000002</v>
      </c>
      <c r="L498">
        <v>16.010000000000002</v>
      </c>
      <c r="M498">
        <v>0.16</v>
      </c>
      <c r="N498" s="14">
        <v>101.58333333333331</v>
      </c>
      <c r="O498" s="14">
        <v>103.08333333333331</v>
      </c>
      <c r="P498" s="14">
        <v>102.33333333333331</v>
      </c>
      <c r="Q498" s="14">
        <v>101.58333333333331</v>
      </c>
      <c r="R498" s="14">
        <v>103.08333333333331</v>
      </c>
      <c r="S498" s="14">
        <v>102.33333333333331</v>
      </c>
      <c r="T498" s="3">
        <v>102.33</v>
      </c>
      <c r="U498" s="3">
        <v>0.75</v>
      </c>
      <c r="V498" s="3">
        <v>702.86</v>
      </c>
      <c r="W498" s="3">
        <v>1223.43</v>
      </c>
      <c r="X498" s="3">
        <v>965.3</v>
      </c>
      <c r="Y498" s="3">
        <v>963.73</v>
      </c>
      <c r="Z498" s="3">
        <v>260.28500000000003</v>
      </c>
      <c r="AA498" s="4">
        <v>9.7699999999999995E-2</v>
      </c>
      <c r="AB498" s="4">
        <v>2.7102963000000001E-2</v>
      </c>
      <c r="AC498">
        <v>1.1476266666666668</v>
      </c>
      <c r="AD498" s="15">
        <v>6.6609999999999996</v>
      </c>
      <c r="AE498" s="15">
        <v>2.4255</v>
      </c>
      <c r="AF498" s="15">
        <f t="shared" si="97"/>
        <v>4.2355</v>
      </c>
      <c r="AG498" s="15">
        <v>1.2778733333333332</v>
      </c>
      <c r="AH498" s="15">
        <v>76.822296331586472</v>
      </c>
      <c r="AI498" s="2">
        <v>23.177703668413528</v>
      </c>
      <c r="AJ498" s="1">
        <f t="shared" si="98"/>
        <v>1.1588851834206764</v>
      </c>
      <c r="AK498" s="13">
        <v>0.14130000000000001</v>
      </c>
      <c r="AL498" s="16">
        <v>36.465827339999997</v>
      </c>
      <c r="AM498" s="10">
        <v>1.8232913669999999</v>
      </c>
      <c r="AN498" s="16">
        <v>21.151872006960556</v>
      </c>
      <c r="AO498" s="11">
        <v>1.8255112733085843</v>
      </c>
      <c r="AP498" s="14">
        <v>5.6991000000000014</v>
      </c>
      <c r="AQ498" s="2">
        <f>AP498*((G498*0.01)+(H498*0.01)+(I498*0.01))</f>
        <v>0.33624690000000007</v>
      </c>
      <c r="AR498" s="15">
        <v>0.96741122867353291</v>
      </c>
      <c r="AS498" s="15">
        <v>0.22422370783690984</v>
      </c>
      <c r="AT498" s="15">
        <f t="shared" si="99"/>
        <v>1.5827694090216095E-2</v>
      </c>
      <c r="AU498" s="2">
        <f t="shared" si="100"/>
        <v>2.1906656255666089E-2</v>
      </c>
      <c r="AV498" s="2">
        <f t="shared" si="101"/>
        <v>2.8388584316984115E-3</v>
      </c>
      <c r="AW498" s="3">
        <f t="shared" si="102"/>
        <v>12.958885183420676</v>
      </c>
    </row>
    <row r="499" spans="1:49" s="5" customFormat="1" x14ac:dyDescent="0.2">
      <c r="A499" s="5" t="s">
        <v>480</v>
      </c>
      <c r="B499" s="5" t="s">
        <v>481</v>
      </c>
      <c r="C499" s="5" t="s">
        <v>551</v>
      </c>
      <c r="D499" s="5" t="s">
        <v>565</v>
      </c>
      <c r="E499" s="13" t="s">
        <v>553</v>
      </c>
      <c r="F499" s="5">
        <v>92</v>
      </c>
      <c r="G499" s="14">
        <v>2.1</v>
      </c>
      <c r="H499" s="14">
        <v>2.4</v>
      </c>
      <c r="I499" s="14">
        <v>1.1000000000000001</v>
      </c>
      <c r="J499">
        <v>16.920000000000002</v>
      </c>
      <c r="K499">
        <v>18.02</v>
      </c>
      <c r="L499">
        <v>17.47</v>
      </c>
      <c r="M499">
        <v>0.16</v>
      </c>
      <c r="N499" s="14">
        <v>103.24166666666665</v>
      </c>
      <c r="O499" s="14">
        <v>104.34166666666664</v>
      </c>
      <c r="P499" s="14">
        <v>103.79166666666664</v>
      </c>
      <c r="Q499" s="14">
        <v>103.24166666666665</v>
      </c>
      <c r="R499" s="14">
        <v>104.34166666666664</v>
      </c>
      <c r="S499" s="14">
        <v>103.79166666666664</v>
      </c>
      <c r="T499" s="3">
        <v>103.79</v>
      </c>
      <c r="U499" s="3">
        <v>0.55000000000000004</v>
      </c>
      <c r="V499" s="3">
        <v>719.32</v>
      </c>
      <c r="W499" s="3">
        <v>1234.01</v>
      </c>
      <c r="X499" s="3">
        <v>979.49</v>
      </c>
      <c r="Y499" s="3">
        <v>978.66</v>
      </c>
      <c r="Z499" s="3">
        <v>257.34500000000003</v>
      </c>
      <c r="AA499" s="4">
        <v>9.7299999999999998E-2</v>
      </c>
      <c r="AB499" s="4">
        <v>2.6101275E-2</v>
      </c>
      <c r="AC499">
        <v>1.1476266666666668</v>
      </c>
      <c r="AD499" s="15">
        <v>7.3064999999999998</v>
      </c>
      <c r="AE499" s="15">
        <v>2.4868000000000001</v>
      </c>
      <c r="AF499" s="15">
        <f t="shared" si="97"/>
        <v>4.8196999999999992</v>
      </c>
      <c r="AG499" s="15">
        <v>1.3391733333333333</v>
      </c>
      <c r="AH499" s="15">
        <v>78.256196209046891</v>
      </c>
      <c r="AI499" s="2">
        <v>21.743803790953109</v>
      </c>
      <c r="AJ499" s="1">
        <f t="shared" si="98"/>
        <v>1.0871901895476555</v>
      </c>
      <c r="AK499" s="13">
        <v>8.2500000000000004E-2</v>
      </c>
      <c r="AL499" s="16">
        <v>42.827442830000003</v>
      </c>
      <c r="AM499" s="10">
        <v>2.1413721415000002</v>
      </c>
      <c r="AN499" s="16">
        <v>24.841904193735502</v>
      </c>
      <c r="AO499" s="11">
        <v>2.1432626176911445</v>
      </c>
      <c r="AP499" s="14">
        <v>4.3714687500000009</v>
      </c>
      <c r="AQ499" s="2">
        <f>AP499*((G499*0.01)+(H499*0.01)+(I499*0.01))</f>
        <v>0.24480225000000005</v>
      </c>
      <c r="AR499" s="15">
        <v>1.4088796433311646</v>
      </c>
      <c r="AS499" s="15">
        <v>0.30634402529660837</v>
      </c>
      <c r="AT499" s="15">
        <f t="shared" si="99"/>
        <v>2.0485807605900182E-2</v>
      </c>
      <c r="AU499" s="2">
        <f t="shared" si="100"/>
        <v>2.9807273661359993E-2</v>
      </c>
      <c r="AV499" s="2">
        <f t="shared" si="101"/>
        <v>3.6624764050902474E-3</v>
      </c>
      <c r="AW499" s="3">
        <f t="shared" si="102"/>
        <v>12.287190189547657</v>
      </c>
    </row>
    <row r="500" spans="1:49" s="5" customFormat="1" x14ac:dyDescent="0.2">
      <c r="A500" s="5" t="s">
        <v>480</v>
      </c>
      <c r="B500" s="5" t="s">
        <v>481</v>
      </c>
      <c r="C500" s="5" t="s">
        <v>551</v>
      </c>
      <c r="D500" s="5" t="s">
        <v>566</v>
      </c>
      <c r="E500" s="13" t="s">
        <v>553</v>
      </c>
      <c r="F500" s="5">
        <v>93</v>
      </c>
      <c r="G500" s="14">
        <v>2.2000000000000002</v>
      </c>
      <c r="H500" s="14">
        <v>2.4</v>
      </c>
      <c r="I500" s="14">
        <v>1.1499999999999999</v>
      </c>
      <c r="J500">
        <v>18.18</v>
      </c>
      <c r="K500">
        <v>19.38</v>
      </c>
      <c r="L500">
        <v>18.78</v>
      </c>
      <c r="M500">
        <v>0.16</v>
      </c>
      <c r="N500" s="14">
        <v>104.49999999999997</v>
      </c>
      <c r="O500" s="14">
        <v>105.64999999999998</v>
      </c>
      <c r="P500" s="14">
        <v>105.07499999999997</v>
      </c>
      <c r="Q500" s="14">
        <v>104.49999999999997</v>
      </c>
      <c r="R500" s="14">
        <v>105.64999999999998</v>
      </c>
      <c r="S500" s="14">
        <v>105.07499999999997</v>
      </c>
      <c r="T500" s="3">
        <v>105.08</v>
      </c>
      <c r="U500" s="3">
        <v>0.57499999999999996</v>
      </c>
      <c r="V500" s="3">
        <v>735.82</v>
      </c>
      <c r="W500" s="3">
        <v>1244.57</v>
      </c>
      <c r="X500" s="3">
        <v>992.84</v>
      </c>
      <c r="Y500" s="3">
        <v>991.85</v>
      </c>
      <c r="Z500" s="3">
        <v>254.375</v>
      </c>
      <c r="AA500" s="4">
        <v>9.8000000000000004E-2</v>
      </c>
      <c r="AB500" s="4">
        <v>2.5669846999999999E-2</v>
      </c>
      <c r="AC500">
        <v>1.1476266666666668</v>
      </c>
      <c r="AD500" s="15">
        <v>7.4753999999999996</v>
      </c>
      <c r="AE500" s="15">
        <v>2.5409000000000002</v>
      </c>
      <c r="AF500" s="15">
        <f t="shared" si="97"/>
        <v>4.9344999999999999</v>
      </c>
      <c r="AG500" s="15">
        <v>1.3932733333333334</v>
      </c>
      <c r="AH500" s="15">
        <v>77.981617546351217</v>
      </c>
      <c r="AI500" s="2">
        <v>22.018382453648783</v>
      </c>
      <c r="AJ500" s="1">
        <f t="shared" si="98"/>
        <v>1.1009191226824393</v>
      </c>
      <c r="AK500" s="13">
        <v>0.107</v>
      </c>
      <c r="AL500" s="16">
        <v>37.572928820000001</v>
      </c>
      <c r="AM500" s="10">
        <v>1.8786464410000001</v>
      </c>
      <c r="AN500" s="16">
        <v>21.79404223897912</v>
      </c>
      <c r="AO500" s="11">
        <v>1.8808010129415518</v>
      </c>
      <c r="AP500" s="14">
        <v>4.7755474999999992</v>
      </c>
      <c r="AQ500" s="2">
        <f>AP500*((G500*0.01)+(H500*0.01)+(I500*0.01))</f>
        <v>0.27459398124999995</v>
      </c>
      <c r="AR500" s="15">
        <v>1.3250362044002983</v>
      </c>
      <c r="AS500" s="15">
        <v>0.29175153913416912</v>
      </c>
      <c r="AT500" s="15">
        <f t="shared" si="99"/>
        <v>1.9987661985263132E-2</v>
      </c>
      <c r="AU500" s="2">
        <f t="shared" si="100"/>
        <v>2.8591650835148575E-2</v>
      </c>
      <c r="AV500" s="2">
        <f t="shared" si="101"/>
        <v>3.6028107975768298E-3</v>
      </c>
      <c r="AW500" s="3">
        <f t="shared" si="102"/>
        <v>12.600919122682438</v>
      </c>
    </row>
    <row r="501" spans="1:49" s="5" customFormat="1" x14ac:dyDescent="0.2">
      <c r="A501" s="5" t="s">
        <v>480</v>
      </c>
      <c r="B501" s="5" t="s">
        <v>481</v>
      </c>
      <c r="C501" s="5" t="s">
        <v>551</v>
      </c>
      <c r="D501" s="5" t="s">
        <v>567</v>
      </c>
      <c r="E501" s="13" t="s">
        <v>553</v>
      </c>
      <c r="F501" s="5">
        <v>94</v>
      </c>
      <c r="G501" s="14">
        <v>2.1</v>
      </c>
      <c r="H501" s="14">
        <v>2.35</v>
      </c>
      <c r="I501" s="14">
        <v>1.2</v>
      </c>
      <c r="J501">
        <v>19.54</v>
      </c>
      <c r="K501">
        <v>20.74</v>
      </c>
      <c r="L501">
        <v>20.14</v>
      </c>
      <c r="M501">
        <v>0.16</v>
      </c>
      <c r="N501" s="14">
        <v>105.80833333333331</v>
      </c>
      <c r="O501" s="14">
        <v>107.00833333333331</v>
      </c>
      <c r="P501" s="14">
        <v>106.4083333333333</v>
      </c>
      <c r="Q501" s="14">
        <v>105.80833333333331</v>
      </c>
      <c r="R501" s="14">
        <v>107.00833333333331</v>
      </c>
      <c r="S501" s="14">
        <v>106.4083333333333</v>
      </c>
      <c r="T501" s="3">
        <v>106.41</v>
      </c>
      <c r="U501" s="3">
        <v>0.6</v>
      </c>
      <c r="V501" s="3">
        <v>746.81</v>
      </c>
      <c r="W501" s="3">
        <v>1257.92</v>
      </c>
      <c r="X501" s="3">
        <v>1005.55</v>
      </c>
      <c r="Y501" s="3">
        <v>1005.46</v>
      </c>
      <c r="Z501" s="3">
        <v>255.55500000000001</v>
      </c>
      <c r="AA501" s="4">
        <v>9.7699999999999995E-2</v>
      </c>
      <c r="AB501" s="4">
        <v>2.5383027999999998E-2</v>
      </c>
      <c r="AC501">
        <v>1.1476266666666668</v>
      </c>
      <c r="AD501" s="15">
        <v>7.5871000000000004</v>
      </c>
      <c r="AE501" s="15">
        <v>2.5179</v>
      </c>
      <c r="AF501" s="15">
        <f t="shared" si="97"/>
        <v>5.0692000000000004</v>
      </c>
      <c r="AG501" s="15">
        <v>1.3702733333333332</v>
      </c>
      <c r="AH501" s="15">
        <v>78.72072353743215</v>
      </c>
      <c r="AI501" s="2">
        <v>21.27927646256785</v>
      </c>
      <c r="AJ501" s="1">
        <f t="shared" si="98"/>
        <v>1.0639638231283925</v>
      </c>
      <c r="AK501" s="13">
        <v>7.6300000000000007E-2</v>
      </c>
      <c r="AL501" s="16">
        <v>42.846441949999999</v>
      </c>
      <c r="AM501" s="10">
        <v>2.1423220975000001</v>
      </c>
      <c r="AN501" s="16">
        <v>24.852924564965196</v>
      </c>
      <c r="AO501" s="11">
        <v>2.1442117361484616</v>
      </c>
      <c r="AP501" s="14">
        <v>4.6634887500000008</v>
      </c>
      <c r="AQ501" s="2">
        <f>AP501*((G501*0.01)+(H501*0.01)+(I501*0.01))</f>
        <v>0.263487114375</v>
      </c>
      <c r="AR501" s="15">
        <v>1.3808274617009277</v>
      </c>
      <c r="AS501" s="15">
        <v>0.29383009304639857</v>
      </c>
      <c r="AT501" s="15">
        <f t="shared" si="99"/>
        <v>1.972764614859969E-2</v>
      </c>
      <c r="AU501" s="2">
        <f t="shared" si="100"/>
        <v>2.8707200090633139E-2</v>
      </c>
      <c r="AV501" s="2">
        <f t="shared" si="101"/>
        <v>3.5493478338389619E-3</v>
      </c>
      <c r="AW501" s="3">
        <f t="shared" si="102"/>
        <v>12.36396382312839</v>
      </c>
    </row>
    <row r="502" spans="1:49" s="5" customFormat="1" x14ac:dyDescent="0.2">
      <c r="A502" s="5" t="s">
        <v>480</v>
      </c>
      <c r="B502" s="5" t="s">
        <v>481</v>
      </c>
      <c r="C502" s="5" t="s">
        <v>551</v>
      </c>
      <c r="D502" s="5" t="s">
        <v>568</v>
      </c>
      <c r="E502" s="13" t="s">
        <v>553</v>
      </c>
      <c r="F502" s="5">
        <v>95</v>
      </c>
      <c r="G502" s="14">
        <v>2.1</v>
      </c>
      <c r="H502" s="14">
        <v>2.4</v>
      </c>
      <c r="I502" s="14">
        <v>1.2</v>
      </c>
      <c r="J502">
        <v>20.9</v>
      </c>
      <c r="K502">
        <v>22.1</v>
      </c>
      <c r="L502">
        <v>21.5</v>
      </c>
      <c r="M502">
        <v>0.16</v>
      </c>
      <c r="N502" s="14">
        <v>107.16666666666664</v>
      </c>
      <c r="O502" s="14">
        <v>108.36666666666665</v>
      </c>
      <c r="P502" s="14">
        <v>107.76666666666665</v>
      </c>
      <c r="Q502" s="14">
        <v>107.16666666666664</v>
      </c>
      <c r="R502" s="14">
        <v>108.36666666666665</v>
      </c>
      <c r="S502" s="14">
        <v>107.76666666666665</v>
      </c>
      <c r="T502" s="3">
        <v>107.77</v>
      </c>
      <c r="U502" s="3">
        <v>0.6</v>
      </c>
      <c r="V502" s="3">
        <v>760.92</v>
      </c>
      <c r="W502" s="3">
        <v>1270.3499999999999</v>
      </c>
      <c r="X502" s="3">
        <v>1018.66</v>
      </c>
      <c r="Y502" s="3">
        <v>1019.37</v>
      </c>
      <c r="Z502" s="3">
        <v>254.715</v>
      </c>
      <c r="AA502" s="4">
        <v>9.8000000000000004E-2</v>
      </c>
      <c r="AB502" s="4">
        <v>2.5033349E-2</v>
      </c>
      <c r="AC502">
        <v>1.1476266666666668</v>
      </c>
      <c r="AD502" s="15">
        <v>7.2234999999999996</v>
      </c>
      <c r="AE502" s="15">
        <v>2.6516000000000002</v>
      </c>
      <c r="AF502" s="15">
        <f t="shared" si="97"/>
        <v>4.5718999999999994</v>
      </c>
      <c r="AG502" s="15">
        <v>1.5039733333333334</v>
      </c>
      <c r="AH502" s="15">
        <v>75.246795796708511</v>
      </c>
      <c r="AI502" s="2">
        <v>24.753204203291489</v>
      </c>
      <c r="AJ502" s="1">
        <f t="shared" si="98"/>
        <v>1.2376602101645746</v>
      </c>
      <c r="AK502" s="13">
        <v>9.2799999999999994E-2</v>
      </c>
      <c r="AL502" s="16">
        <v>43.34554335</v>
      </c>
      <c r="AM502" s="10">
        <v>2.1672771675</v>
      </c>
      <c r="AN502" s="16">
        <v>25.142426537122969</v>
      </c>
      <c r="AO502" s="11">
        <v>2.1691450667871024</v>
      </c>
      <c r="AP502" s="14">
        <v>4.7688749999999995</v>
      </c>
      <c r="AQ502" s="2">
        <f>AP502*((G502*0.01)+(H502*0.01)+(I502*0.01))</f>
        <v>0.27182587499999994</v>
      </c>
      <c r="AR502" s="15">
        <v>1.2740684822590933</v>
      </c>
      <c r="AS502" s="15">
        <v>0.31537277310336997</v>
      </c>
      <c r="AT502" s="15">
        <f t="shared" si="99"/>
        <v>2.1879491393285103E-2</v>
      </c>
      <c r="AU502" s="2">
        <f t="shared" si="100"/>
        <v>3.090653176413026E-2</v>
      </c>
      <c r="AV502" s="2">
        <f t="shared" si="101"/>
        <v>3.9058624670973655E-3</v>
      </c>
      <c r="AW502" s="3">
        <f t="shared" si="102"/>
        <v>12.637660210164576</v>
      </c>
    </row>
    <row r="503" spans="1:49" s="5" customFormat="1" x14ac:dyDescent="0.2">
      <c r="A503" s="5" t="s">
        <v>480</v>
      </c>
      <c r="B503" s="5" t="s">
        <v>481</v>
      </c>
      <c r="C503" s="5" t="s">
        <v>551</v>
      </c>
      <c r="D503" s="5" t="s">
        <v>569</v>
      </c>
      <c r="E503" s="13" t="s">
        <v>553</v>
      </c>
      <c r="F503" s="5">
        <v>96</v>
      </c>
      <c r="G503" s="14">
        <v>2.35</v>
      </c>
      <c r="H503" s="14">
        <v>2.1</v>
      </c>
      <c r="I503" s="14">
        <v>1.1499999999999999</v>
      </c>
      <c r="J503">
        <v>22.26</v>
      </c>
      <c r="K503">
        <v>23.46</v>
      </c>
      <c r="L503">
        <v>22.86</v>
      </c>
      <c r="M503">
        <v>0.16</v>
      </c>
      <c r="N503" s="14">
        <v>108.52499999999998</v>
      </c>
      <c r="O503" s="14">
        <v>109.67499999999998</v>
      </c>
      <c r="P503" s="14">
        <v>109.09999999999998</v>
      </c>
      <c r="Q503" s="14">
        <v>108.52499999999998</v>
      </c>
      <c r="R503" s="14">
        <v>109.67499999999998</v>
      </c>
      <c r="S503" s="14">
        <v>109.09999999999998</v>
      </c>
      <c r="T503" s="3">
        <v>109.1</v>
      </c>
      <c r="U503" s="3">
        <v>0.57499999999999996</v>
      </c>
      <c r="V503" s="3">
        <v>773.92</v>
      </c>
      <c r="W503" s="3">
        <v>1285.56</v>
      </c>
      <c r="X503" s="3">
        <v>1031.8800000000001</v>
      </c>
      <c r="Y503" s="3">
        <v>1032.97</v>
      </c>
      <c r="Z503" s="3">
        <v>255.82</v>
      </c>
      <c r="AA503" s="4">
        <v>9.3600000000000003E-2</v>
      </c>
      <c r="AB503" s="4">
        <v>2.3673799999999998E-2</v>
      </c>
      <c r="AC503">
        <v>1.1476266666666668</v>
      </c>
      <c r="AD503" s="15">
        <v>7.7634999999999996</v>
      </c>
      <c r="AE503" s="15">
        <v>3.3344</v>
      </c>
      <c r="AF503" s="15">
        <f t="shared" si="97"/>
        <v>4.4291</v>
      </c>
      <c r="AG503" s="15">
        <v>2.186773333333333</v>
      </c>
      <c r="AH503" s="15">
        <v>66.94656588548149</v>
      </c>
      <c r="AI503" s="2">
        <v>33.05343411451851</v>
      </c>
      <c r="AJ503" s="1">
        <f t="shared" si="98"/>
        <v>1.6526717057259255</v>
      </c>
      <c r="AK503" s="13">
        <v>0.2114</v>
      </c>
      <c r="AL503" s="16">
        <v>25.668073140000001</v>
      </c>
      <c r="AM503" s="10">
        <v>1.283403657</v>
      </c>
      <c r="AN503" s="16">
        <v>14.888673515081207</v>
      </c>
      <c r="AO503" s="11">
        <v>1.2865554581132419</v>
      </c>
      <c r="AP503" s="14">
        <v>4.4691767187500009</v>
      </c>
      <c r="AQ503" s="2">
        <f>AP503*((G503*0.01)+(H503*0.01)+(I503*0.01))</f>
        <v>0.25027389625000002</v>
      </c>
      <c r="AR503" s="15">
        <v>1.4803337951656896</v>
      </c>
      <c r="AS503" s="15">
        <v>0.48930115566004267</v>
      </c>
      <c r="AT503" s="15">
        <f t="shared" si="99"/>
        <v>3.5487406472345877E-2</v>
      </c>
      <c r="AU503" s="2">
        <f t="shared" si="100"/>
        <v>4.5798588169779997E-2</v>
      </c>
      <c r="AV503" s="2">
        <f t="shared" si="101"/>
        <v>5.886342183319254E-3</v>
      </c>
      <c r="AW503" s="3">
        <f t="shared" si="102"/>
        <v>12.852671705725923</v>
      </c>
    </row>
    <row r="504" spans="1:49" s="5" customFormat="1" x14ac:dyDescent="0.2">
      <c r="A504" s="5" t="s">
        <v>480</v>
      </c>
      <c r="B504" s="5" t="s">
        <v>481</v>
      </c>
      <c r="C504" s="5" t="s">
        <v>551</v>
      </c>
      <c r="D504" s="5" t="s">
        <v>570</v>
      </c>
      <c r="E504" s="13" t="s">
        <v>553</v>
      </c>
      <c r="F504" s="5">
        <v>97</v>
      </c>
      <c r="G504" s="14">
        <v>1.8</v>
      </c>
      <c r="H504" s="14">
        <v>2.2000000000000002</v>
      </c>
      <c r="I504" s="14">
        <v>1.1499999999999999</v>
      </c>
      <c r="J504">
        <v>23.62</v>
      </c>
      <c r="K504">
        <v>24.82</v>
      </c>
      <c r="L504">
        <v>24.22</v>
      </c>
      <c r="M504">
        <v>0.16</v>
      </c>
      <c r="N504" s="14">
        <v>109.83333333333331</v>
      </c>
      <c r="O504" s="14">
        <v>110.98333333333332</v>
      </c>
      <c r="P504" s="14">
        <v>110.40833333333332</v>
      </c>
      <c r="Q504" s="14">
        <v>109.83333333333331</v>
      </c>
      <c r="R504" s="14">
        <v>110.98333333333332</v>
      </c>
      <c r="S504" s="14">
        <v>110.40833333333332</v>
      </c>
      <c r="T504" s="3">
        <v>110.41</v>
      </c>
      <c r="U504" s="3">
        <v>0.57499999999999996</v>
      </c>
      <c r="V504" s="3">
        <v>788.56</v>
      </c>
      <c r="W504" s="3">
        <v>1301.19</v>
      </c>
      <c r="X504" s="3">
        <v>1046.1500000000001</v>
      </c>
      <c r="Y504" s="3">
        <v>1046.95</v>
      </c>
      <c r="Z504" s="3">
        <v>256.315</v>
      </c>
      <c r="AA504" s="4">
        <v>8.6199999999999999E-2</v>
      </c>
      <c r="AB504" s="4">
        <v>2.1552459E-2</v>
      </c>
      <c r="AC504">
        <v>1.1476266666666668</v>
      </c>
      <c r="AD504" s="15">
        <v>7.1325000000000003</v>
      </c>
      <c r="AE504" s="15">
        <v>3.3128000000000002</v>
      </c>
      <c r="AF504" s="15">
        <f t="shared" si="97"/>
        <v>3.8197000000000001</v>
      </c>
      <c r="AG504" s="15">
        <v>2.1651733333333336</v>
      </c>
      <c r="AH504" s="15">
        <v>63.82257045818848</v>
      </c>
      <c r="AI504" s="2">
        <v>36.17742954181152</v>
      </c>
      <c r="AJ504" s="1">
        <f t="shared" si="98"/>
        <v>1.8088714770905761</v>
      </c>
      <c r="AK504" s="13">
        <v>0.29980000000000001</v>
      </c>
      <c r="AL504" s="16">
        <v>24.06281662</v>
      </c>
      <c r="AM504" s="10">
        <v>1.203140831</v>
      </c>
      <c r="AN504" s="16">
        <v>13.95755024361949</v>
      </c>
      <c r="AO504" s="11">
        <v>1.2065023245810058</v>
      </c>
      <c r="AP504" s="14">
        <v>3.6109999999999998</v>
      </c>
      <c r="AQ504" s="2">
        <f>AP504*((G504*0.01)+(H504*0.01)+(I504*0.01))</f>
        <v>0.18596650000000001</v>
      </c>
      <c r="AR504" s="15">
        <v>1.6574005354010894</v>
      </c>
      <c r="AS504" s="15">
        <v>0.59960491092033608</v>
      </c>
      <c r="AT504" s="15">
        <f t="shared" si="99"/>
        <v>4.1725735121269626E-2</v>
      </c>
      <c r="AU504" s="2">
        <f t="shared" si="100"/>
        <v>5.1685943321332972E-2</v>
      </c>
      <c r="AV504" s="2">
        <f t="shared" si="101"/>
        <v>6.2585844485020907E-3</v>
      </c>
      <c r="AW504" s="3">
        <f t="shared" si="102"/>
        <v>12.108871477090579</v>
      </c>
    </row>
    <row r="505" spans="1:49" s="5" customFormat="1" x14ac:dyDescent="0.2">
      <c r="A505" s="5" t="s">
        <v>480</v>
      </c>
      <c r="B505" s="5" t="s">
        <v>481</v>
      </c>
      <c r="C505" s="5" t="s">
        <v>551</v>
      </c>
      <c r="D505" s="5" t="s">
        <v>571</v>
      </c>
      <c r="E505" s="13" t="s">
        <v>553</v>
      </c>
      <c r="F505" s="5">
        <v>98</v>
      </c>
      <c r="G505" s="14">
        <v>1.9</v>
      </c>
      <c r="H505" s="14">
        <v>2.5</v>
      </c>
      <c r="I505" s="14">
        <v>1.2</v>
      </c>
      <c r="J505">
        <v>24.98</v>
      </c>
      <c r="K505">
        <v>26.18</v>
      </c>
      <c r="L505">
        <v>25.58</v>
      </c>
      <c r="M505">
        <v>0.16</v>
      </c>
      <c r="N505" s="14">
        <v>111.14166666666665</v>
      </c>
      <c r="O505" s="14">
        <v>112.34166666666665</v>
      </c>
      <c r="P505" s="14">
        <v>111.74166666666665</v>
      </c>
      <c r="Q505" s="14">
        <v>111.14166666666665</v>
      </c>
      <c r="R505" s="14">
        <v>112.34166666666665</v>
      </c>
      <c r="S505" s="14">
        <v>111.74166666666665</v>
      </c>
      <c r="T505" s="3">
        <v>111.74</v>
      </c>
      <c r="U505" s="3">
        <v>0.6</v>
      </c>
      <c r="V505" s="3">
        <v>809.69</v>
      </c>
      <c r="W505" s="3">
        <v>1307.4100000000001</v>
      </c>
      <c r="X505" s="3">
        <v>1062.05</v>
      </c>
      <c r="Y505" s="3">
        <v>1062.42</v>
      </c>
      <c r="Z505" s="3">
        <v>248.86</v>
      </c>
      <c r="AA505" s="4">
        <v>8.5900000000000004E-2</v>
      </c>
      <c r="AB505" s="4">
        <v>2.0582362999999999E-2</v>
      </c>
      <c r="AC505">
        <v>1.1476266666666668</v>
      </c>
      <c r="AD505" s="15">
        <v>7.3087999999999997</v>
      </c>
      <c r="AE505" s="15">
        <v>3.7816999999999998</v>
      </c>
      <c r="AF505" s="15">
        <f t="shared" si="97"/>
        <v>3.5270999999999999</v>
      </c>
      <c r="AG505" s="15">
        <v>2.6340733333333333</v>
      </c>
      <c r="AH505" s="15">
        <v>57.247212652135524</v>
      </c>
      <c r="AI505" s="2">
        <v>42.752787347864476</v>
      </c>
      <c r="AJ505" s="1">
        <f t="shared" si="98"/>
        <v>2.1376393673932239</v>
      </c>
      <c r="AK505" s="13">
        <v>0.2838</v>
      </c>
      <c r="AL505" s="16">
        <v>25.217391299999999</v>
      </c>
      <c r="AM505" s="10">
        <v>1.2608695650000001</v>
      </c>
      <c r="AN505" s="16">
        <v>14.627257134570765</v>
      </c>
      <c r="AO505" s="11">
        <v>1.2640775529781745</v>
      </c>
      <c r="AP505" s="14">
        <v>4.5592800000000011</v>
      </c>
      <c r="AQ505" s="2">
        <f>AP505*((G505*0.01)+(H505*0.01)+(I505*0.01))</f>
        <v>0.25531968000000005</v>
      </c>
      <c r="AR505" s="15">
        <v>1.3513478736408668</v>
      </c>
      <c r="AS505" s="15">
        <v>0.57773888274756813</v>
      </c>
      <c r="AT505" s="15">
        <f t="shared" si="99"/>
        <v>4.4703351232213605E-2</v>
      </c>
      <c r="AU505" s="2">
        <f t="shared" si="100"/>
        <v>4.9627770028016105E-2</v>
      </c>
      <c r="AV505" s="2">
        <f t="shared" si="101"/>
        <v>6.6191729924160508E-3</v>
      </c>
      <c r="AW505" s="3">
        <f t="shared" si="102"/>
        <v>13.337639367393223</v>
      </c>
    </row>
    <row r="506" spans="1:49" s="5" customFormat="1" x14ac:dyDescent="0.2">
      <c r="A506" s="5" t="s">
        <v>480</v>
      </c>
      <c r="B506" s="5" t="s">
        <v>481</v>
      </c>
      <c r="C506" s="5" t="s">
        <v>551</v>
      </c>
      <c r="D506" s="5" t="s">
        <v>572</v>
      </c>
      <c r="E506" s="13" t="s">
        <v>553</v>
      </c>
      <c r="F506" s="5">
        <v>99</v>
      </c>
      <c r="G506" s="14">
        <v>2.1</v>
      </c>
      <c r="H506" s="14">
        <v>2.2999999999999998</v>
      </c>
      <c r="I506" s="14">
        <v>1.2</v>
      </c>
      <c r="J506">
        <v>26.34</v>
      </c>
      <c r="K506">
        <v>27.54</v>
      </c>
      <c r="L506">
        <v>26.94</v>
      </c>
      <c r="M506">
        <v>0.16</v>
      </c>
      <c r="N506" s="14">
        <v>112.49999999999999</v>
      </c>
      <c r="O506" s="14">
        <v>113.69999999999999</v>
      </c>
      <c r="P506" s="14">
        <v>113.1</v>
      </c>
      <c r="Q506" s="14">
        <v>112.49999999999999</v>
      </c>
      <c r="R506" s="14">
        <v>113.69999999999999</v>
      </c>
      <c r="S506" s="14">
        <v>113.1</v>
      </c>
      <c r="T506" s="3">
        <v>113.1</v>
      </c>
      <c r="U506" s="3">
        <v>0.6</v>
      </c>
      <c r="V506" s="3">
        <v>829.3</v>
      </c>
      <c r="W506" s="3">
        <v>1316.14</v>
      </c>
      <c r="X506" s="3">
        <v>1078.04</v>
      </c>
      <c r="Y506" s="3">
        <v>1078.24</v>
      </c>
      <c r="Z506" s="3">
        <v>243.42</v>
      </c>
      <c r="AA506" s="4">
        <v>8.6199999999999999E-2</v>
      </c>
      <c r="AB506" s="4">
        <v>1.9917529999999999E-2</v>
      </c>
      <c r="AC506">
        <v>1.1476266666666668</v>
      </c>
      <c r="AD506" s="15">
        <v>7.0773999999999999</v>
      </c>
      <c r="AE506" s="15">
        <v>2.8174999999999999</v>
      </c>
      <c r="AF506" s="15">
        <f t="shared" si="97"/>
        <v>4.2599</v>
      </c>
      <c r="AG506" s="15">
        <v>1.6698733333333331</v>
      </c>
      <c r="AH506" s="15">
        <v>71.839170918281297</v>
      </c>
      <c r="AI506" s="2">
        <v>28.160829081718703</v>
      </c>
      <c r="AJ506" s="1">
        <f t="shared" si="98"/>
        <v>1.4080414540859352</v>
      </c>
      <c r="AK506" s="13">
        <v>0.1545</v>
      </c>
      <c r="AL506" s="16">
        <v>39.316575020000002</v>
      </c>
      <c r="AM506" s="10">
        <v>1.9658287510000001</v>
      </c>
      <c r="AN506" s="16">
        <v>22.805437946635731</v>
      </c>
      <c r="AO506" s="11">
        <v>1.9678878723794759</v>
      </c>
      <c r="AP506" s="14">
        <v>4.5592800000000011</v>
      </c>
      <c r="AQ506" s="2">
        <f>AP506*((G506*0.01)+(H506*0.01)+(I506*0.01))</f>
        <v>0.25531968000000005</v>
      </c>
      <c r="AR506" s="15">
        <v>1.3005942458750794</v>
      </c>
      <c r="AS506" s="15">
        <v>0.36625812262754925</v>
      </c>
      <c r="AT506" s="15">
        <f t="shared" si="99"/>
        <v>2.5667521062695549E-2</v>
      </c>
      <c r="AU506" s="2">
        <f t="shared" si="100"/>
        <v>3.1571450170494744E-2</v>
      </c>
      <c r="AV506" s="2">
        <f t="shared" si="101"/>
        <v>3.9805415251520614E-3</v>
      </c>
      <c r="AW506" s="3">
        <f t="shared" si="102"/>
        <v>12.608041454085933</v>
      </c>
    </row>
    <row r="507" spans="1:49" s="5" customFormat="1" x14ac:dyDescent="0.2">
      <c r="A507" s="5" t="s">
        <v>480</v>
      </c>
      <c r="B507" s="5" t="s">
        <v>481</v>
      </c>
      <c r="C507" s="5" t="s">
        <v>551</v>
      </c>
      <c r="D507" s="5" t="s">
        <v>573</v>
      </c>
      <c r="E507" s="13" t="s">
        <v>553</v>
      </c>
      <c r="F507" s="5">
        <v>100</v>
      </c>
      <c r="G507" s="14">
        <v>2</v>
      </c>
      <c r="H507" s="14">
        <v>2.2999999999999998</v>
      </c>
      <c r="I507" s="14">
        <v>1.1499999999999999</v>
      </c>
      <c r="J507">
        <v>27.7</v>
      </c>
      <c r="K507">
        <v>28.9</v>
      </c>
      <c r="L507">
        <v>28.3</v>
      </c>
      <c r="M507">
        <v>0.16</v>
      </c>
      <c r="N507" s="14">
        <v>113.85833333333332</v>
      </c>
      <c r="O507" s="14">
        <v>115.00833333333333</v>
      </c>
      <c r="P507" s="14">
        <v>114.43333333333332</v>
      </c>
      <c r="Q507" s="14">
        <v>113.85833333333332</v>
      </c>
      <c r="R507" s="14">
        <v>115.00833333333333</v>
      </c>
      <c r="S507" s="14">
        <v>114.43333333333332</v>
      </c>
      <c r="T507" s="3">
        <v>114.43</v>
      </c>
      <c r="U507" s="3">
        <v>0.57499999999999996</v>
      </c>
      <c r="V507" s="3">
        <v>848.36</v>
      </c>
      <c r="W507" s="3">
        <v>1324.03</v>
      </c>
      <c r="X507" s="3">
        <v>1093.3599999999999</v>
      </c>
      <c r="Y507" s="3">
        <v>1093.71</v>
      </c>
      <c r="Z507" s="3">
        <v>237.83500000000001</v>
      </c>
      <c r="AA507" s="4">
        <v>8.5500000000000007E-2</v>
      </c>
      <c r="AB507" s="4">
        <v>1.9022211000000001E-2</v>
      </c>
      <c r="AC507">
        <v>1.1476266666666668</v>
      </c>
      <c r="AD507" s="15">
        <v>6.8663999999999996</v>
      </c>
      <c r="AE507" s="15">
        <v>2.8378999999999999</v>
      </c>
      <c r="AF507" s="15">
        <f t="shared" si="97"/>
        <v>4.0284999999999993</v>
      </c>
      <c r="AG507" s="15">
        <v>1.6902733333333331</v>
      </c>
      <c r="AH507" s="15">
        <v>70.443428427541576</v>
      </c>
      <c r="AI507" s="2">
        <v>29.556571572458424</v>
      </c>
      <c r="AJ507" s="1">
        <f t="shared" si="98"/>
        <v>1.4778285786229213</v>
      </c>
      <c r="AK507" s="13">
        <v>0.12970000000000001</v>
      </c>
      <c r="AL507" s="16">
        <v>39.420831389999996</v>
      </c>
      <c r="AM507" s="10">
        <v>1.9710415694999999</v>
      </c>
      <c r="AN507" s="16">
        <v>22.865911479118328</v>
      </c>
      <c r="AO507" s="11">
        <v>1.9730952507917663</v>
      </c>
      <c r="AP507" s="14">
        <v>4.1729618749999995</v>
      </c>
      <c r="AQ507" s="2">
        <f>AP507*((G507*0.01)+(H507*0.01)+(I507*0.01))</f>
        <v>0.22742642218749995</v>
      </c>
      <c r="AR507" s="15">
        <v>1.3704350781621588</v>
      </c>
      <c r="AS507" s="15">
        <v>0.40505362473107503</v>
      </c>
      <c r="AT507" s="15">
        <f t="shared" si="99"/>
        <v>2.8061420772867454E-2</v>
      </c>
      <c r="AU507" s="2">
        <f t="shared" si="100"/>
        <v>3.4632084914506915E-2</v>
      </c>
      <c r="AV507" s="2">
        <f t="shared" si="101"/>
        <v>4.2867001039207939E-3</v>
      </c>
      <c r="AW507" s="3">
        <f t="shared" si="102"/>
        <v>12.377828578622919</v>
      </c>
    </row>
    <row r="508" spans="1:49" s="5" customFormat="1" x14ac:dyDescent="0.2">
      <c r="A508" s="5" t="s">
        <v>480</v>
      </c>
      <c r="B508" s="5" t="s">
        <v>481</v>
      </c>
      <c r="C508" s="5" t="s">
        <v>551</v>
      </c>
      <c r="D508" s="5" t="s">
        <v>574</v>
      </c>
      <c r="E508" s="13" t="s">
        <v>553</v>
      </c>
      <c r="F508" s="5">
        <v>101</v>
      </c>
      <c r="G508" s="14">
        <v>2.1</v>
      </c>
      <c r="H508" s="14">
        <v>2.2000000000000002</v>
      </c>
      <c r="I508" s="14">
        <v>1.2</v>
      </c>
      <c r="J508">
        <v>29.06</v>
      </c>
      <c r="K508">
        <v>30.26</v>
      </c>
      <c r="L508">
        <v>29.66</v>
      </c>
      <c r="M508">
        <v>0.16</v>
      </c>
      <c r="N508" s="14">
        <v>115.16666666666666</v>
      </c>
      <c r="O508" s="14">
        <v>116.36666666666666</v>
      </c>
      <c r="P508" s="14">
        <v>115.76666666666665</v>
      </c>
      <c r="Q508" s="14">
        <v>115.16666666666666</v>
      </c>
      <c r="R508" s="14">
        <v>116.36666666666666</v>
      </c>
      <c r="S508" s="14">
        <v>115.76666666666665</v>
      </c>
      <c r="T508" s="3">
        <v>115.77</v>
      </c>
      <c r="U508" s="3">
        <v>0.6</v>
      </c>
      <c r="V508" s="3">
        <v>863.86</v>
      </c>
      <c r="W508" s="3">
        <v>1333.93</v>
      </c>
      <c r="X508" s="3">
        <v>1111.57</v>
      </c>
      <c r="Y508" s="3">
        <v>1109.3</v>
      </c>
      <c r="Z508" s="3">
        <v>235.035</v>
      </c>
      <c r="AA508" s="4">
        <v>8.5900000000000004E-2</v>
      </c>
      <c r="AB508" s="4">
        <v>1.8645414999999999E-2</v>
      </c>
      <c r="AC508">
        <v>1.1476266666666668</v>
      </c>
      <c r="AD508" s="15">
        <v>7.2331000000000003</v>
      </c>
      <c r="AE508" s="15">
        <v>2.9011999999999998</v>
      </c>
      <c r="AF508" s="15">
        <f t="shared" si="97"/>
        <v>4.331900000000001</v>
      </c>
      <c r="AG508" s="15">
        <v>1.753573333333333</v>
      </c>
      <c r="AH508" s="15">
        <v>71.18427380614601</v>
      </c>
      <c r="AI508" s="2">
        <v>28.81572619385399</v>
      </c>
      <c r="AJ508" s="1">
        <f t="shared" si="98"/>
        <v>1.4407863096926996</v>
      </c>
      <c r="AK508" s="13">
        <v>0.11700000000000001</v>
      </c>
      <c r="AL508" s="16">
        <v>34.818941500000001</v>
      </c>
      <c r="AM508" s="10">
        <v>1.7409470750000002</v>
      </c>
      <c r="AN508" s="16">
        <v>20.196601798143853</v>
      </c>
      <c r="AO508" s="11">
        <v>1.7432718428148424</v>
      </c>
      <c r="AP508" s="14">
        <v>4.3543950000000011</v>
      </c>
      <c r="AQ508" s="2">
        <f>AP508*((G508*0.01)+(H508*0.01)+(I508*0.01))</f>
        <v>0.2394917250000001</v>
      </c>
      <c r="AR508" s="15">
        <v>1.397547382204263</v>
      </c>
      <c r="AS508" s="15">
        <v>0.40271342708535457</v>
      </c>
      <c r="AT508" s="15">
        <f t="shared" si="99"/>
        <v>2.7951478414434586E-2</v>
      </c>
      <c r="AU508" s="2">
        <f t="shared" si="100"/>
        <v>3.4593083386631959E-2</v>
      </c>
      <c r="AV508" s="2">
        <f t="shared" si="101"/>
        <v>4.3036515820646893E-3</v>
      </c>
      <c r="AW508" s="3">
        <f t="shared" si="102"/>
        <v>12.440786309692701</v>
      </c>
    </row>
    <row r="509" spans="1:49" s="5" customFormat="1" x14ac:dyDescent="0.2">
      <c r="A509" s="5" t="s">
        <v>480</v>
      </c>
      <c r="B509" s="5" t="s">
        <v>481</v>
      </c>
      <c r="C509" s="5" t="s">
        <v>551</v>
      </c>
      <c r="D509" s="5" t="s">
        <v>575</v>
      </c>
      <c r="E509" s="13" t="s">
        <v>553</v>
      </c>
      <c r="F509" s="5">
        <v>102</v>
      </c>
      <c r="G509" s="14">
        <v>2.4</v>
      </c>
      <c r="H509" s="14">
        <v>2.2000000000000002</v>
      </c>
      <c r="I509" s="14">
        <v>1.2</v>
      </c>
      <c r="J509">
        <v>30.42</v>
      </c>
      <c r="K509">
        <v>31.62</v>
      </c>
      <c r="L509">
        <v>31.02</v>
      </c>
      <c r="M509">
        <v>0.16</v>
      </c>
      <c r="N509" s="14">
        <v>116.52499999999999</v>
      </c>
      <c r="O509" s="14">
        <v>117.72499999999999</v>
      </c>
      <c r="P509" s="14">
        <v>117.125</v>
      </c>
      <c r="Q509" s="14">
        <v>116.52499999999999</v>
      </c>
      <c r="R509" s="14">
        <v>117.72499999999999</v>
      </c>
      <c r="S509" s="14">
        <v>117.125</v>
      </c>
      <c r="T509" s="3">
        <v>117.13</v>
      </c>
      <c r="U509" s="3">
        <v>0.6</v>
      </c>
      <c r="V509" s="3">
        <v>876.7</v>
      </c>
      <c r="W509" s="3">
        <v>1344.02</v>
      </c>
      <c r="X509" s="3">
        <v>1129.76</v>
      </c>
      <c r="Y509" s="3">
        <v>1125.1199999999999</v>
      </c>
      <c r="Z509" s="3">
        <v>233.66</v>
      </c>
      <c r="AA509" s="4">
        <v>8.6499999999999994E-2</v>
      </c>
      <c r="AB509" s="4">
        <v>1.8407039E-2</v>
      </c>
      <c r="AC509">
        <v>1.1476266666666668</v>
      </c>
      <c r="AD509" s="15">
        <v>7.6485000000000003</v>
      </c>
      <c r="AE509" s="15">
        <v>3.165</v>
      </c>
      <c r="AF509" s="15">
        <f t="shared" si="97"/>
        <v>4.4835000000000003</v>
      </c>
      <c r="AG509" s="15">
        <v>2.0173733333333335</v>
      </c>
      <c r="AH509" s="15">
        <v>68.967656653311195</v>
      </c>
      <c r="AI509" s="2">
        <v>31.032343346688805</v>
      </c>
      <c r="AJ509" s="1">
        <f t="shared" si="98"/>
        <v>1.5516171673344403</v>
      </c>
      <c r="AK509" s="13">
        <v>0.10390000000000001</v>
      </c>
      <c r="AL509" s="16">
        <v>34.406565659999998</v>
      </c>
      <c r="AM509" s="10">
        <v>1.720328283</v>
      </c>
      <c r="AN509" s="16">
        <v>19.957404675174015</v>
      </c>
      <c r="AO509" s="11">
        <v>1.7226808762187291</v>
      </c>
      <c r="AP509" s="14">
        <v>4.9831799999999991</v>
      </c>
      <c r="AQ509" s="2">
        <f>AP509*((G509*0.01)+(H509*0.01)+(I509*0.01))</f>
        <v>0.28902443999999994</v>
      </c>
      <c r="AR509" s="15">
        <v>1.3045632173297643</v>
      </c>
      <c r="AS509" s="15">
        <v>0.40483653677638254</v>
      </c>
      <c r="AT509" s="15">
        <f t="shared" si="99"/>
        <v>2.9762032337294742E-2</v>
      </c>
      <c r="AU509" s="2">
        <f t="shared" si="100"/>
        <v>3.5018360431157088E-2</v>
      </c>
      <c r="AV509" s="2">
        <f t="shared" si="101"/>
        <v>4.6054807021831063E-3</v>
      </c>
      <c r="AW509" s="3">
        <f t="shared" si="102"/>
        <v>13.15161716733444</v>
      </c>
    </row>
    <row r="510" spans="1:49" s="5" customFormat="1" x14ac:dyDescent="0.2">
      <c r="A510" s="5" t="s">
        <v>480</v>
      </c>
      <c r="B510" s="5" t="s">
        <v>481</v>
      </c>
      <c r="C510" s="5" t="s">
        <v>551</v>
      </c>
      <c r="D510" s="5" t="s">
        <v>576</v>
      </c>
      <c r="E510" s="13" t="s">
        <v>553</v>
      </c>
      <c r="F510" s="5">
        <v>103</v>
      </c>
      <c r="G510" s="14">
        <v>2.1</v>
      </c>
      <c r="H510" s="14">
        <v>2.2000000000000002</v>
      </c>
      <c r="I510" s="14">
        <v>1.2</v>
      </c>
      <c r="J510">
        <v>31.78</v>
      </c>
      <c r="K510">
        <v>32.979999999999997</v>
      </c>
      <c r="L510">
        <v>32.380000000000003</v>
      </c>
      <c r="M510">
        <v>0.16</v>
      </c>
      <c r="N510" s="14">
        <v>117.88333333333333</v>
      </c>
      <c r="O510" s="14">
        <v>119.08333333333333</v>
      </c>
      <c r="P510" s="14">
        <v>118.48333333333332</v>
      </c>
      <c r="Q510" s="14">
        <v>117.88333333333333</v>
      </c>
      <c r="R510" s="14">
        <v>119.08333333333333</v>
      </c>
      <c r="S510" s="14">
        <v>118.48333333333332</v>
      </c>
      <c r="T510" s="3">
        <v>118.48</v>
      </c>
      <c r="U510" s="3">
        <v>0.6</v>
      </c>
      <c r="V510" s="3">
        <v>891.73</v>
      </c>
      <c r="W510" s="3">
        <v>1357.75</v>
      </c>
      <c r="X510" s="3">
        <v>1146.6199999999999</v>
      </c>
      <c r="Y510" s="3">
        <v>1140.82</v>
      </c>
      <c r="Z510" s="3">
        <v>233.01</v>
      </c>
      <c r="AA510" s="4">
        <v>8.5800000000000001E-2</v>
      </c>
      <c r="AB510" s="4">
        <v>1.7958966999999999E-2</v>
      </c>
      <c r="AC510">
        <v>1.1476266666666668</v>
      </c>
      <c r="AD510" s="15">
        <v>6.8315000000000001</v>
      </c>
      <c r="AE510" s="15">
        <v>2.5009000000000001</v>
      </c>
      <c r="AF510" s="15">
        <f t="shared" si="97"/>
        <v>4.3306000000000004</v>
      </c>
      <c r="AG510" s="15">
        <v>1.3532733333333333</v>
      </c>
      <c r="AH510" s="15">
        <v>76.191001206923445</v>
      </c>
      <c r="AI510" s="2">
        <v>23.808998793076555</v>
      </c>
      <c r="AJ510" s="1">
        <f t="shared" si="98"/>
        <v>1.1904499396538277</v>
      </c>
      <c r="AK510" s="13">
        <v>0.13789999999999999</v>
      </c>
      <c r="AL510" s="16">
        <v>38.050314470000004</v>
      </c>
      <c r="AM510" s="10">
        <v>1.9025157235000003</v>
      </c>
      <c r="AN510" s="16">
        <v>22.070948068445478</v>
      </c>
      <c r="AO510" s="11">
        <v>1.9046432942062221</v>
      </c>
      <c r="AP510" s="14">
        <v>4.3543950000000011</v>
      </c>
      <c r="AQ510" s="2">
        <f>AP510*((G510*0.01)+(H510*0.01)+(I510*0.01))</f>
        <v>0.2394917250000001</v>
      </c>
      <c r="AR510" s="15">
        <v>1.3053187258696861</v>
      </c>
      <c r="AS510" s="15">
        <v>0.31078331968811579</v>
      </c>
      <c r="AT510" s="15">
        <f t="shared" si="99"/>
        <v>2.0792802424527707E-2</v>
      </c>
      <c r="AU510" s="2">
        <f t="shared" si="100"/>
        <v>2.6665208829240335E-2</v>
      </c>
      <c r="AV510" s="2">
        <f t="shared" si="101"/>
        <v>3.2506089336326958E-3</v>
      </c>
      <c r="AW510" s="3">
        <f t="shared" si="102"/>
        <v>12.19044993965383</v>
      </c>
    </row>
    <row r="511" spans="1:49" s="5" customFormat="1" x14ac:dyDescent="0.2">
      <c r="A511" s="5" t="s">
        <v>480</v>
      </c>
      <c r="B511" s="5" t="s">
        <v>481</v>
      </c>
      <c r="C511" s="5" t="s">
        <v>551</v>
      </c>
      <c r="D511" s="5" t="s">
        <v>577</v>
      </c>
      <c r="E511" s="13" t="s">
        <v>553</v>
      </c>
      <c r="F511" s="5">
        <v>104</v>
      </c>
      <c r="G511" s="14">
        <v>1.9</v>
      </c>
      <c r="H511" s="14">
        <v>2.5</v>
      </c>
      <c r="I511" s="14">
        <v>1.1000000000000001</v>
      </c>
      <c r="J511">
        <v>33.14</v>
      </c>
      <c r="K511">
        <v>34.24</v>
      </c>
      <c r="L511">
        <v>33.69</v>
      </c>
      <c r="M511">
        <v>0.16</v>
      </c>
      <c r="N511" s="14">
        <v>119.24166666666666</v>
      </c>
      <c r="O511" s="14">
        <v>120.34166666666665</v>
      </c>
      <c r="P511" s="14">
        <v>119.79166666666666</v>
      </c>
      <c r="Q511" s="14">
        <v>119.24166666666666</v>
      </c>
      <c r="R511" s="14">
        <v>120.34166666666665</v>
      </c>
      <c r="S511" s="14">
        <v>119.79166666666666</v>
      </c>
      <c r="T511" s="3">
        <v>119.79</v>
      </c>
      <c r="U511" s="3">
        <v>0.55000000000000004</v>
      </c>
      <c r="V511" s="3">
        <v>901.65</v>
      </c>
      <c r="W511" s="3">
        <v>1374.18</v>
      </c>
      <c r="X511" s="3">
        <v>1163.69</v>
      </c>
      <c r="Y511" s="3">
        <v>1156.06</v>
      </c>
      <c r="Z511" s="3">
        <v>236.26499999999999</v>
      </c>
      <c r="AA511" s="4">
        <v>0.1045</v>
      </c>
      <c r="AB511" s="4">
        <v>2.1836555000000001E-2</v>
      </c>
      <c r="AC511">
        <v>1.1476266666666668</v>
      </c>
      <c r="AD511" s="15">
        <v>6.5251000000000001</v>
      </c>
      <c r="AE511" s="15">
        <v>2.3934000000000002</v>
      </c>
      <c r="AF511" s="15">
        <f t="shared" si="97"/>
        <v>4.1317000000000004</v>
      </c>
      <c r="AG511" s="15">
        <v>1.2457733333333334</v>
      </c>
      <c r="AH511" s="15">
        <v>76.833481895462683</v>
      </c>
      <c r="AI511" s="2">
        <v>23.166518104537317</v>
      </c>
      <c r="AJ511" s="1">
        <f t="shared" si="98"/>
        <v>1.158325905226866</v>
      </c>
      <c r="AK511" s="13">
        <v>0.13930000000000001</v>
      </c>
      <c r="AL511" s="16">
        <v>39.80121003</v>
      </c>
      <c r="AM511" s="10">
        <v>1.9900605015000001</v>
      </c>
      <c r="AN511" s="16">
        <v>23.086548741299303</v>
      </c>
      <c r="AO511" s="11">
        <v>1.9920945759753557</v>
      </c>
      <c r="AP511" s="14">
        <v>4.1793400000000016</v>
      </c>
      <c r="AQ511" s="2">
        <f>AP511*((G511*0.01)+(H511*0.01)+(I511*0.01))</f>
        <v>0.22986370000000009</v>
      </c>
      <c r="AR511" s="15">
        <v>1.2866800340085591</v>
      </c>
      <c r="AS511" s="15">
        <v>0.29807896302605985</v>
      </c>
      <c r="AT511" s="15">
        <f t="shared" si="99"/>
        <v>1.9847068813195756E-2</v>
      </c>
      <c r="AU511" s="2">
        <f t="shared" si="100"/>
        <v>3.1149251636223254E-2</v>
      </c>
      <c r="AV511" s="2">
        <f t="shared" si="101"/>
        <v>3.7872275309712355E-3</v>
      </c>
      <c r="AW511" s="3">
        <f t="shared" si="102"/>
        <v>12.158325905226866</v>
      </c>
    </row>
    <row r="512" spans="1:49" s="5" customFormat="1" x14ac:dyDescent="0.2">
      <c r="A512" s="5" t="s">
        <v>480</v>
      </c>
      <c r="B512" s="5" t="s">
        <v>481</v>
      </c>
      <c r="C512" s="5" t="s">
        <v>551</v>
      </c>
      <c r="D512" s="5" t="s">
        <v>578</v>
      </c>
      <c r="E512" s="13" t="s">
        <v>553</v>
      </c>
      <c r="F512" s="5">
        <v>105</v>
      </c>
      <c r="G512" s="14">
        <v>2</v>
      </c>
      <c r="H512" s="14">
        <v>2.1</v>
      </c>
      <c r="I512" s="14">
        <v>1.1000000000000001</v>
      </c>
      <c r="J512">
        <v>34.4</v>
      </c>
      <c r="K512">
        <v>35.5</v>
      </c>
      <c r="L512">
        <v>34.950000000000003</v>
      </c>
      <c r="M512">
        <v>0.16</v>
      </c>
      <c r="N512" s="14">
        <v>120.49999999999999</v>
      </c>
      <c r="O512" s="14">
        <v>121.59999999999998</v>
      </c>
      <c r="P512" s="14">
        <v>121.04999999999998</v>
      </c>
      <c r="Q512" s="14">
        <v>120.49999999999999</v>
      </c>
      <c r="R512" s="14">
        <v>121.59999999999998</v>
      </c>
      <c r="S512" s="14">
        <v>121.04999999999998</v>
      </c>
      <c r="T512" s="3">
        <v>121.05</v>
      </c>
      <c r="U512" s="3">
        <v>0.55000000000000004</v>
      </c>
      <c r="V512" s="3">
        <v>916.37</v>
      </c>
      <c r="W512" s="3">
        <v>1382.06</v>
      </c>
      <c r="X512" s="3">
        <v>1176.1300000000001</v>
      </c>
      <c r="Y512" s="3">
        <v>1168.0999999999999</v>
      </c>
      <c r="Z512" s="3">
        <v>232.845</v>
      </c>
      <c r="AA512" s="4">
        <v>0.10929999999999999</v>
      </c>
      <c r="AB512" s="4">
        <v>2.2284096E-2</v>
      </c>
      <c r="AC512">
        <v>1.1476266666666668</v>
      </c>
      <c r="AD512" s="15">
        <v>6.4771000000000001</v>
      </c>
      <c r="AE512" s="15">
        <v>2.21</v>
      </c>
      <c r="AF512" s="15">
        <f t="shared" si="97"/>
        <v>4.2671000000000001</v>
      </c>
      <c r="AG512" s="15">
        <v>1.0623733333333332</v>
      </c>
      <c r="AH512" s="15">
        <v>80.06607282020363</v>
      </c>
      <c r="AI512" s="2">
        <v>19.93392717979637</v>
      </c>
      <c r="AJ512" s="1">
        <f t="shared" si="98"/>
        <v>0.99669635898981856</v>
      </c>
      <c r="AK512" s="13">
        <v>0.12180000000000001</v>
      </c>
      <c r="AL512" s="16">
        <v>45.307588680000002</v>
      </c>
      <c r="AM512" s="10">
        <v>2.2653794340000002</v>
      </c>
      <c r="AN512" s="16">
        <v>26.280503874709979</v>
      </c>
      <c r="AO512" s="11">
        <v>2.2671665091012088</v>
      </c>
      <c r="AP512" s="14">
        <v>3.6288587499999996</v>
      </c>
      <c r="AQ512" s="2">
        <f>AP512*((G512*0.01)+(H512*0.01)+(I512*0.01))</f>
        <v>0.18870065499999999</v>
      </c>
      <c r="AR512" s="15">
        <v>1.468636202313836</v>
      </c>
      <c r="AS512" s="15">
        <v>0.29275687110536702</v>
      </c>
      <c r="AT512" s="15">
        <f t="shared" si="99"/>
        <v>1.8141254372478797E-2</v>
      </c>
      <c r="AU512" s="2">
        <f t="shared" si="100"/>
        <v>3.1998326011816611E-2</v>
      </c>
      <c r="AV512" s="2">
        <f t="shared" si="101"/>
        <v>3.646752055526396E-3</v>
      </c>
      <c r="AW512" s="3">
        <f t="shared" si="102"/>
        <v>11.39669635898982</v>
      </c>
    </row>
    <row r="513" spans="1:49" s="5" customFormat="1" x14ac:dyDescent="0.2">
      <c r="A513" s="5" t="s">
        <v>480</v>
      </c>
      <c r="B513" s="5" t="s">
        <v>481</v>
      </c>
      <c r="C513" s="5" t="s">
        <v>551</v>
      </c>
      <c r="D513" s="5" t="s">
        <v>579</v>
      </c>
      <c r="E513" s="13" t="s">
        <v>553</v>
      </c>
      <c r="F513" s="5">
        <v>106</v>
      </c>
      <c r="G513" s="14">
        <v>2.1</v>
      </c>
      <c r="H513" s="14">
        <v>2.1</v>
      </c>
      <c r="I513" s="14">
        <v>1.2</v>
      </c>
      <c r="J513">
        <v>35.659999999999997</v>
      </c>
      <c r="K513">
        <v>36.86</v>
      </c>
      <c r="L513">
        <v>36.26</v>
      </c>
      <c r="M513">
        <v>0.16</v>
      </c>
      <c r="N513" s="14">
        <v>121.75833333333331</v>
      </c>
      <c r="O513" s="14">
        <v>122.95833333333331</v>
      </c>
      <c r="P513" s="14">
        <v>122.35833333333332</v>
      </c>
      <c r="Q513" s="14">
        <v>121.75833333333331</v>
      </c>
      <c r="R513" s="14">
        <v>122.95833333333331</v>
      </c>
      <c r="S513" s="14">
        <v>122.35833333333332</v>
      </c>
      <c r="T513" s="3">
        <v>122.36</v>
      </c>
      <c r="U513" s="3">
        <v>0.6</v>
      </c>
      <c r="V513" s="3">
        <v>934.19</v>
      </c>
      <c r="W513" s="3">
        <v>1389.04</v>
      </c>
      <c r="X513" s="3">
        <v>1188.52</v>
      </c>
      <c r="Y513" s="3">
        <v>1180.07</v>
      </c>
      <c r="Z513" s="3">
        <v>227.42500000000001</v>
      </c>
      <c r="AA513" s="4">
        <v>0.1094</v>
      </c>
      <c r="AB513" s="4">
        <v>2.1620194999999998E-2</v>
      </c>
      <c r="AC513">
        <v>1.1476266666666668</v>
      </c>
      <c r="AD513" s="15">
        <v>6.8174999999999999</v>
      </c>
      <c r="AE513" s="15">
        <v>2.3096000000000001</v>
      </c>
      <c r="AF513" s="15">
        <f t="shared" si="97"/>
        <v>4.5078999999999994</v>
      </c>
      <c r="AG513" s="15">
        <v>1.1619733333333333</v>
      </c>
      <c r="AH513" s="15">
        <v>79.506185323364079</v>
      </c>
      <c r="AI513" s="2">
        <v>20.493814676635921</v>
      </c>
      <c r="AJ513" s="1">
        <f t="shared" si="98"/>
        <v>1.0246907338317961</v>
      </c>
      <c r="AK513" s="13">
        <v>7.46E-2</v>
      </c>
      <c r="AL513" s="16">
        <v>49.662618080000001</v>
      </c>
      <c r="AM513" s="10">
        <v>2.4831309040000002</v>
      </c>
      <c r="AN513" s="16">
        <v>28.8066230162413</v>
      </c>
      <c r="AO513" s="11">
        <v>2.4847613741363292</v>
      </c>
      <c r="AP513" s="14">
        <v>4.1542200000000005</v>
      </c>
      <c r="AQ513" s="2">
        <f>AP513*((G513*0.01)+(H513*0.01)+(I513*0.01))</f>
        <v>0.22432788000000006</v>
      </c>
      <c r="AR513" s="15">
        <v>1.3648466699725419</v>
      </c>
      <c r="AS513" s="15">
        <v>0.27970914716440948</v>
      </c>
      <c r="AT513" s="15">
        <f t="shared" si="99"/>
        <v>1.7970447659551757E-2</v>
      </c>
      <c r="AU513" s="2">
        <f t="shared" si="100"/>
        <v>3.0600180699786397E-2</v>
      </c>
      <c r="AV513" s="2">
        <f t="shared" si="101"/>
        <v>3.618376731743428E-3</v>
      </c>
      <c r="AW513" s="3">
        <f t="shared" si="102"/>
        <v>11.824690733831797</v>
      </c>
    </row>
    <row r="514" spans="1:49" s="5" customFormat="1" x14ac:dyDescent="0.2">
      <c r="A514" s="5" t="s">
        <v>480</v>
      </c>
      <c r="B514" s="5" t="s">
        <v>481</v>
      </c>
      <c r="C514" s="5" t="s">
        <v>551</v>
      </c>
      <c r="D514" s="5" t="s">
        <v>580</v>
      </c>
      <c r="E514" s="13" t="s">
        <v>553</v>
      </c>
      <c r="F514" s="5">
        <v>107</v>
      </c>
      <c r="G514" s="14">
        <v>2.2000000000000002</v>
      </c>
      <c r="H514" s="14">
        <v>2</v>
      </c>
      <c r="I514" s="14">
        <v>1.1000000000000001</v>
      </c>
      <c r="J514">
        <v>37.020000000000003</v>
      </c>
      <c r="K514">
        <v>38.119999999999997</v>
      </c>
      <c r="L514">
        <v>37.57</v>
      </c>
      <c r="M514">
        <v>0.16</v>
      </c>
      <c r="N514" s="14">
        <v>123.11666666666665</v>
      </c>
      <c r="O514" s="14">
        <v>124.21666666666664</v>
      </c>
      <c r="P514" s="14">
        <v>123.66666666666664</v>
      </c>
      <c r="Q514" s="14">
        <v>123.11666666666665</v>
      </c>
      <c r="R514" s="14">
        <v>124.21666666666664</v>
      </c>
      <c r="S514" s="14">
        <v>123.66666666666664</v>
      </c>
      <c r="T514" s="3">
        <v>123.67</v>
      </c>
      <c r="U514" s="3">
        <v>0.55000000000000004</v>
      </c>
      <c r="V514" s="3">
        <v>949.89</v>
      </c>
      <c r="W514" s="3">
        <v>1393.48</v>
      </c>
      <c r="X514" s="3">
        <v>1201.24</v>
      </c>
      <c r="Y514" s="3">
        <v>1192.03</v>
      </c>
      <c r="Z514" s="3">
        <v>221.79499999999999</v>
      </c>
      <c r="AA514" s="4">
        <v>0.10970000000000001</v>
      </c>
      <c r="AB514" s="4">
        <v>2.0899195999999998E-2</v>
      </c>
      <c r="AC514">
        <v>1.1476266666666668</v>
      </c>
      <c r="AD514" s="15">
        <v>7.2380000000000004</v>
      </c>
      <c r="AE514" s="15">
        <v>2.5992999999999999</v>
      </c>
      <c r="AF514" s="15">
        <f t="shared" si="97"/>
        <v>4.6387</v>
      </c>
      <c r="AG514" s="15">
        <v>1.4516733333333331</v>
      </c>
      <c r="AH514" s="15">
        <v>76.164460635144437</v>
      </c>
      <c r="AI514" s="2">
        <v>23.835539364855563</v>
      </c>
      <c r="AJ514" s="1">
        <f t="shared" si="98"/>
        <v>1.1917769682427781</v>
      </c>
      <c r="AK514" s="13">
        <v>0.1502</v>
      </c>
      <c r="AL514" s="16">
        <v>30.43075498</v>
      </c>
      <c r="AM514" s="10">
        <v>1.5215377490000002</v>
      </c>
      <c r="AN514" s="16">
        <v>17.651249988399073</v>
      </c>
      <c r="AO514" s="11">
        <v>1.5241972056239927</v>
      </c>
      <c r="AP514" s="14">
        <v>3.8080350000000007</v>
      </c>
      <c r="AQ514" s="2">
        <f>AP514*((G514*0.01)+(H514*0.01)+(I514*0.01))</f>
        <v>0.20182585500000005</v>
      </c>
      <c r="AR514" s="15">
        <v>1.5993480452079176</v>
      </c>
      <c r="AS514" s="15">
        <v>0.38121323289658127</v>
      </c>
      <c r="AT514" s="15">
        <f t="shared" si="99"/>
        <v>2.4747512853073965E-2</v>
      </c>
      <c r="AU514" s="2">
        <f t="shared" si="100"/>
        <v>4.1819091648754969E-2</v>
      </c>
      <c r="AV514" s="2">
        <f t="shared" si="101"/>
        <v>4.931214017366228E-3</v>
      </c>
      <c r="AW514" s="3">
        <f t="shared" si="102"/>
        <v>11.791776968242779</v>
      </c>
    </row>
    <row r="515" spans="1:49" s="5" customFormat="1" x14ac:dyDescent="0.2">
      <c r="A515" s="5" t="s">
        <v>480</v>
      </c>
      <c r="B515" s="5" t="s">
        <v>481</v>
      </c>
      <c r="C515" s="5" t="s">
        <v>551</v>
      </c>
      <c r="D515" s="5" t="s">
        <v>581</v>
      </c>
      <c r="E515" s="13" t="s">
        <v>553</v>
      </c>
      <c r="F515" s="5">
        <v>108</v>
      </c>
      <c r="G515" s="14">
        <v>1.9</v>
      </c>
      <c r="H515" s="14">
        <v>2.15</v>
      </c>
      <c r="I515" s="14">
        <v>1.05</v>
      </c>
      <c r="J515">
        <v>38.28</v>
      </c>
      <c r="K515">
        <v>39.380000000000003</v>
      </c>
      <c r="L515">
        <v>38.83</v>
      </c>
      <c r="M515">
        <v>0.16</v>
      </c>
      <c r="N515" s="14">
        <v>124.37499999999997</v>
      </c>
      <c r="O515" s="14">
        <v>125.42499999999997</v>
      </c>
      <c r="P515" s="14">
        <v>124.89999999999998</v>
      </c>
      <c r="Q515" s="14">
        <v>124.37499999999997</v>
      </c>
      <c r="R515" s="14">
        <v>125.42499999999997</v>
      </c>
      <c r="S515" s="14">
        <v>124.89999999999998</v>
      </c>
      <c r="T515" s="3">
        <v>124.9</v>
      </c>
      <c r="U515" s="3">
        <v>0.52500000000000002</v>
      </c>
      <c r="V515" s="3">
        <v>966.7</v>
      </c>
      <c r="W515" s="3">
        <v>1401.11</v>
      </c>
      <c r="X515" s="3">
        <v>1213.6500000000001</v>
      </c>
      <c r="Y515" s="3">
        <v>1203.27</v>
      </c>
      <c r="Z515" s="3">
        <v>217.20500000000001</v>
      </c>
      <c r="AA515" s="4">
        <v>0.10970000000000001</v>
      </c>
      <c r="AB515" s="4">
        <v>2.0263304999999999E-2</v>
      </c>
      <c r="AC515">
        <v>1.1476266666666668</v>
      </c>
      <c r="AD515" s="15">
        <v>6.1371000000000002</v>
      </c>
      <c r="AE515" s="15">
        <v>2.2654999999999998</v>
      </c>
      <c r="AF515" s="15">
        <f t="shared" si="97"/>
        <v>3.8716000000000004</v>
      </c>
      <c r="AG515" s="15">
        <v>1.1178733333333331</v>
      </c>
      <c r="AH515" s="15">
        <v>77.595364106565697</v>
      </c>
      <c r="AI515" s="2">
        <v>22.404635893434303</v>
      </c>
      <c r="AJ515" s="1">
        <f t="shared" si="98"/>
        <v>1.1202317946717153</v>
      </c>
      <c r="AK515" s="13">
        <v>0.1231</v>
      </c>
      <c r="AL515" s="16">
        <v>41.520190020000001</v>
      </c>
      <c r="AM515" s="10">
        <v>2.0760095010000001</v>
      </c>
      <c r="AN515" s="16">
        <v>24.083636902552204</v>
      </c>
      <c r="AO515" s="11">
        <v>2.0779594433583801</v>
      </c>
      <c r="AP515" s="14">
        <v>3.3799401562500004</v>
      </c>
      <c r="AQ515" s="2">
        <f>AP515*((G515*0.01)+(H515*0.01)+(I515*0.01))</f>
        <v>0.17237694796875</v>
      </c>
      <c r="AR515" s="15">
        <v>1.476201678928271</v>
      </c>
      <c r="AS515" s="15">
        <v>0.33073761121664325</v>
      </c>
      <c r="AT515" s="15">
        <f t="shared" si="99"/>
        <v>2.0572646049835365E-2</v>
      </c>
      <c r="AU515" s="2">
        <f t="shared" si="100"/>
        <v>3.6281915950465767E-2</v>
      </c>
      <c r="AV515" s="2">
        <f t="shared" si="101"/>
        <v>4.1071969851406934E-3</v>
      </c>
      <c r="AW515" s="3">
        <f t="shared" si="102"/>
        <v>11.320231794671713</v>
      </c>
    </row>
    <row r="516" spans="1:49" s="5" customFormat="1" x14ac:dyDescent="0.2">
      <c r="A516" s="5" t="s">
        <v>480</v>
      </c>
      <c r="B516" s="5" t="s">
        <v>481</v>
      </c>
      <c r="C516" s="5" t="s">
        <v>551</v>
      </c>
      <c r="D516" s="5" t="s">
        <v>582</v>
      </c>
      <c r="E516" s="13" t="s">
        <v>553</v>
      </c>
      <c r="F516" s="5">
        <v>109</v>
      </c>
      <c r="G516" s="14">
        <v>2.1</v>
      </c>
      <c r="H516" s="14">
        <v>2.1</v>
      </c>
      <c r="I516" s="14">
        <v>1.1000000000000001</v>
      </c>
      <c r="J516">
        <v>39.54</v>
      </c>
      <c r="K516">
        <v>40.64</v>
      </c>
      <c r="L516">
        <v>40.090000000000003</v>
      </c>
      <c r="M516">
        <v>0.16</v>
      </c>
      <c r="N516" s="14">
        <v>125.5833333333333</v>
      </c>
      <c r="O516" s="14">
        <v>126.68333333333329</v>
      </c>
      <c r="P516" s="14">
        <v>126.1333333333333</v>
      </c>
      <c r="Q516" s="14">
        <v>125.5833333333333</v>
      </c>
      <c r="R516" s="14">
        <v>126.68333333333329</v>
      </c>
      <c r="S516" s="14">
        <v>126.1333333333333</v>
      </c>
      <c r="T516" s="3">
        <v>126.13</v>
      </c>
      <c r="U516" s="3">
        <v>0.55000000000000004</v>
      </c>
      <c r="V516" s="3">
        <v>977.53</v>
      </c>
      <c r="W516" s="3">
        <v>1409.65</v>
      </c>
      <c r="X516" s="3">
        <v>1224.56</v>
      </c>
      <c r="Y516" s="3">
        <v>1214.51</v>
      </c>
      <c r="Z516" s="3">
        <v>216.06</v>
      </c>
      <c r="AA516" s="4">
        <v>0.10979999999999999</v>
      </c>
      <c r="AB516" s="4">
        <v>2.0012091999999999E-2</v>
      </c>
      <c r="AC516">
        <v>1.1476266666666668</v>
      </c>
      <c r="AD516" s="15">
        <v>7.1981999999999999</v>
      </c>
      <c r="AE516" s="15">
        <v>2.6859999999999999</v>
      </c>
      <c r="AF516" s="15">
        <f t="shared" si="97"/>
        <v>4.5122</v>
      </c>
      <c r="AG516" s="15">
        <v>1.5383733333333331</v>
      </c>
      <c r="AH516" s="15">
        <v>74.574751042876372</v>
      </c>
      <c r="AI516" s="2">
        <v>25.425248957123628</v>
      </c>
      <c r="AJ516" s="1">
        <f t="shared" si="98"/>
        <v>1.2712624478561816</v>
      </c>
      <c r="AK516" s="13">
        <v>0.1188</v>
      </c>
      <c r="AL516" s="16">
        <v>30.44496487</v>
      </c>
      <c r="AM516" s="10">
        <v>1.5222482435</v>
      </c>
      <c r="AN516" s="16">
        <v>17.65949238399072</v>
      </c>
      <c r="AO516" s="11">
        <v>1.5249064610128831</v>
      </c>
      <c r="AP516" s="14">
        <v>3.8080350000000007</v>
      </c>
      <c r="AQ516" s="2">
        <f>AP516*((G516*0.01)+(H516*0.01)+(I516*0.01))</f>
        <v>0.20182585500000005</v>
      </c>
      <c r="AR516" s="15">
        <v>1.5888964605980072</v>
      </c>
      <c r="AS516" s="15">
        <v>0.4039808807779689</v>
      </c>
      <c r="AT516" s="15">
        <f t="shared" si="99"/>
        <v>2.6546643915081325E-2</v>
      </c>
      <c r="AU516" s="2">
        <f t="shared" si="100"/>
        <v>4.4357100709420984E-2</v>
      </c>
      <c r="AV516" s="2">
        <f t="shared" si="101"/>
        <v>5.2657478394752422E-3</v>
      </c>
      <c r="AW516" s="3">
        <f t="shared" si="102"/>
        <v>11.871262447856184</v>
      </c>
    </row>
    <row r="517" spans="1:49" s="5" customFormat="1" x14ac:dyDescent="0.2">
      <c r="A517" s="5" t="s">
        <v>480</v>
      </c>
      <c r="B517" s="5" t="s">
        <v>481</v>
      </c>
      <c r="C517" s="5" t="s">
        <v>583</v>
      </c>
      <c r="D517" s="5" t="s">
        <v>584</v>
      </c>
      <c r="E517" s="13" t="s">
        <v>585</v>
      </c>
      <c r="F517" s="5">
        <v>117</v>
      </c>
      <c r="G517" s="14">
        <v>2.0499999999999998</v>
      </c>
      <c r="H517" s="14">
        <v>2.4</v>
      </c>
      <c r="I517" s="14">
        <v>1.2</v>
      </c>
      <c r="J517">
        <v>0</v>
      </c>
      <c r="K517">
        <v>1.2</v>
      </c>
      <c r="L517">
        <v>0.6</v>
      </c>
      <c r="M517">
        <v>0.06</v>
      </c>
      <c r="N517" s="14">
        <v>126.01410256410254</v>
      </c>
      <c r="O517" s="14">
        <v>127.21410256410255</v>
      </c>
      <c r="P517" s="14">
        <v>126.61410256410255</v>
      </c>
      <c r="Q517" s="14">
        <v>126.01410256410254</v>
      </c>
      <c r="R517" s="14">
        <v>127.21410256410255</v>
      </c>
      <c r="S517" s="14">
        <v>126.61410256410255</v>
      </c>
      <c r="T517" s="3">
        <v>126.61</v>
      </c>
      <c r="U517" s="3">
        <v>0.6</v>
      </c>
      <c r="V517" s="3">
        <v>981.35</v>
      </c>
      <c r="W517" s="3">
        <v>1412.94</v>
      </c>
      <c r="X517" s="3">
        <v>1229.1099999999999</v>
      </c>
      <c r="Y517" s="3">
        <v>1218.8900000000001</v>
      </c>
      <c r="Z517" s="3">
        <v>215.79499999999999</v>
      </c>
      <c r="AA517" s="4">
        <v>0.10879999999999999</v>
      </c>
      <c r="AB517" s="4">
        <v>1.9777792999999998E-2</v>
      </c>
      <c r="AC517">
        <v>1.1476266666666668</v>
      </c>
      <c r="AD517" s="15">
        <v>7.2244999999999999</v>
      </c>
      <c r="AE517" s="15">
        <v>2.3769</v>
      </c>
      <c r="AF517" s="15">
        <f t="shared" si="97"/>
        <v>4.8475999999999999</v>
      </c>
      <c r="AG517" s="15">
        <v>1.2292733333333332</v>
      </c>
      <c r="AH517" s="15">
        <v>79.771285891538525</v>
      </c>
      <c r="AI517" s="2">
        <v>20.228714108461475</v>
      </c>
      <c r="AJ517" s="1">
        <f t="shared" si="98"/>
        <v>1.0114357054230738</v>
      </c>
      <c r="AK517" s="13">
        <v>0.1152</v>
      </c>
      <c r="AL517" s="16">
        <v>39.176346359999997</v>
      </c>
      <c r="AM517" s="10">
        <v>1.9588173179999999</v>
      </c>
      <c r="AN517" s="16">
        <v>22.724098816705336</v>
      </c>
      <c r="AO517" s="11">
        <v>1.9608838020894335</v>
      </c>
      <c r="AP517" s="14">
        <v>4.6634887499999991</v>
      </c>
      <c r="AQ517" s="2">
        <f>AP517*((G517*0.01)+(H517*0.01)+(I517*0.01))</f>
        <v>0.26348711437499994</v>
      </c>
      <c r="AR517" s="15">
        <v>1.3030745133315342</v>
      </c>
      <c r="AS517" s="15">
        <v>0.26359521792206175</v>
      </c>
      <c r="AT517" s="15">
        <f t="shared" si="99"/>
        <v>1.7559225964447985E-2</v>
      </c>
      <c r="AU517" s="2">
        <f t="shared" si="100"/>
        <v>2.8679159709920316E-2</v>
      </c>
      <c r="AV517" s="2">
        <f t="shared" si="101"/>
        <v>3.5308163085424381E-3</v>
      </c>
      <c r="AW517" s="3">
        <f t="shared" si="102"/>
        <v>12.311435705423074</v>
      </c>
    </row>
    <row r="518" spans="1:49" s="5" customFormat="1" x14ac:dyDescent="0.2">
      <c r="A518" s="5" t="s">
        <v>480</v>
      </c>
      <c r="B518" s="5" t="s">
        <v>481</v>
      </c>
      <c r="C518" s="5" t="s">
        <v>583</v>
      </c>
      <c r="D518" s="5" t="s">
        <v>586</v>
      </c>
      <c r="E518" s="13" t="s">
        <v>585</v>
      </c>
      <c r="F518" s="5">
        <v>118</v>
      </c>
      <c r="G518" s="14">
        <v>2.1</v>
      </c>
      <c r="H518" s="14">
        <v>2.2000000000000002</v>
      </c>
      <c r="I518" s="14">
        <v>1.1000000000000001</v>
      </c>
      <c r="J518">
        <v>1.26</v>
      </c>
      <c r="K518">
        <v>2.36</v>
      </c>
      <c r="L518">
        <v>1.81</v>
      </c>
      <c r="M518">
        <v>0.06</v>
      </c>
      <c r="N518" s="14">
        <v>127.27692307692305</v>
      </c>
      <c r="O518" s="14">
        <v>128.37692307692305</v>
      </c>
      <c r="P518" s="14">
        <v>127.82692307692305</v>
      </c>
      <c r="Q518" s="14">
        <v>127.27692307692305</v>
      </c>
      <c r="R518" s="14">
        <v>128.37692307692305</v>
      </c>
      <c r="S518" s="14">
        <v>127.82692307692305</v>
      </c>
      <c r="T518" s="3">
        <v>127.83</v>
      </c>
      <c r="U518" s="3">
        <v>0.55000000000000004</v>
      </c>
      <c r="V518" s="3">
        <v>995.02</v>
      </c>
      <c r="W518" s="3">
        <v>1421.61</v>
      </c>
      <c r="X518" s="3">
        <v>1240.5</v>
      </c>
      <c r="Y518" s="3">
        <v>1230.04</v>
      </c>
      <c r="Z518" s="3">
        <v>213.29499999999999</v>
      </c>
      <c r="AA518" s="4">
        <v>0.10979999999999999</v>
      </c>
      <c r="AB518" s="4">
        <v>1.9512286E-2</v>
      </c>
      <c r="AC518">
        <v>1.1476266666666668</v>
      </c>
      <c r="AD518" s="15">
        <v>7.8432000000000004</v>
      </c>
      <c r="AE518" s="15">
        <v>2.7561</v>
      </c>
      <c r="AF518" s="15">
        <f t="shared" si="97"/>
        <v>5.0871000000000004</v>
      </c>
      <c r="AG518" s="15">
        <v>1.6084733333333332</v>
      </c>
      <c r="AH518" s="15">
        <v>75.977063452868364</v>
      </c>
      <c r="AI518" s="2">
        <v>24.022936547131636</v>
      </c>
      <c r="AJ518" s="1">
        <f t="shared" si="98"/>
        <v>1.201146827356582</v>
      </c>
      <c r="AK518" s="13">
        <v>0.21429999999999999</v>
      </c>
      <c r="AL518" s="16">
        <v>31.860095390000001</v>
      </c>
      <c r="AM518" s="10">
        <v>1.5930047695000003</v>
      </c>
      <c r="AN518" s="16">
        <v>18.480333752900233</v>
      </c>
      <c r="AO518" s="11">
        <v>1.5955451092494217</v>
      </c>
      <c r="AP518" s="14">
        <v>3.9915287500000014</v>
      </c>
      <c r="AQ518" s="2">
        <f>AP518*((G518*0.01)+(H518*0.01)+(I518*0.01))</f>
        <v>0.2155425525000001</v>
      </c>
      <c r="AR518" s="15">
        <v>1.6774458491206738</v>
      </c>
      <c r="AS518" s="15">
        <v>0.40297175194675289</v>
      </c>
      <c r="AT518" s="15">
        <f t="shared" si="99"/>
        <v>2.6600757018776316E-2</v>
      </c>
      <c r="AU518" s="2">
        <f t="shared" si="100"/>
        <v>4.4246298363753468E-2</v>
      </c>
      <c r="AV518" s="2">
        <f t="shared" si="101"/>
        <v>5.3100632323043271E-3</v>
      </c>
      <c r="AW518" s="3">
        <f t="shared" si="102"/>
        <v>12.001146827356584</v>
      </c>
    </row>
    <row r="519" spans="1:49" s="5" customFormat="1" x14ac:dyDescent="0.2">
      <c r="A519" s="5" t="s">
        <v>480</v>
      </c>
      <c r="B519" s="5" t="s">
        <v>481</v>
      </c>
      <c r="C519" s="5" t="s">
        <v>583</v>
      </c>
      <c r="D519" s="5" t="s">
        <v>587</v>
      </c>
      <c r="E519" s="13" t="s">
        <v>585</v>
      </c>
      <c r="F519" s="5">
        <v>119</v>
      </c>
      <c r="G519" s="14">
        <v>2.2000000000000002</v>
      </c>
      <c r="H519" s="14">
        <v>2.25</v>
      </c>
      <c r="I519" s="14">
        <v>1.2</v>
      </c>
      <c r="J519">
        <v>2.42</v>
      </c>
      <c r="K519">
        <v>3.62</v>
      </c>
      <c r="L519">
        <v>3.02</v>
      </c>
      <c r="M519">
        <v>0.06</v>
      </c>
      <c r="N519" s="14">
        <v>128.43974358974356</v>
      </c>
      <c r="O519" s="14">
        <v>129.63974358974355</v>
      </c>
      <c r="P519" s="14">
        <v>129.03974358974355</v>
      </c>
      <c r="Q519" s="14">
        <v>128.43974358974356</v>
      </c>
      <c r="R519" s="14">
        <v>129.63974358974355</v>
      </c>
      <c r="S519" s="14">
        <v>129.03974358974355</v>
      </c>
      <c r="T519" s="3">
        <v>129.04</v>
      </c>
      <c r="U519" s="3">
        <v>0.6</v>
      </c>
      <c r="V519" s="3">
        <v>1004.8</v>
      </c>
      <c r="W519" s="3">
        <v>1433.1</v>
      </c>
      <c r="X519" s="3">
        <v>1251.45</v>
      </c>
      <c r="Y519" s="3">
        <v>1241.0899999999999</v>
      </c>
      <c r="Z519" s="3">
        <v>214.15</v>
      </c>
      <c r="AA519" s="4">
        <v>0.1071</v>
      </c>
      <c r="AB519" s="4">
        <v>1.8978083E-2</v>
      </c>
      <c r="AC519">
        <v>1.1476266666666668</v>
      </c>
      <c r="AD519" s="15">
        <v>7.6074999999999999</v>
      </c>
      <c r="AE519" s="15">
        <v>2.3254000000000001</v>
      </c>
      <c r="AF519" s="15">
        <f t="shared" si="97"/>
        <v>5.2820999999999998</v>
      </c>
      <c r="AG519" s="15">
        <v>1.1777733333333333</v>
      </c>
      <c r="AH519" s="15">
        <v>81.767857161285932</v>
      </c>
      <c r="AI519" s="2">
        <v>18.232142838714068</v>
      </c>
      <c r="AJ519" s="1">
        <f t="shared" si="98"/>
        <v>0.91160714193570347</v>
      </c>
      <c r="AK519" s="13">
        <v>3.7100000000000001E-2</v>
      </c>
      <c r="AL519" s="16">
        <v>57.010428740000002</v>
      </c>
      <c r="AM519" s="10">
        <v>2.8505214370000003</v>
      </c>
      <c r="AN519" s="16">
        <v>33.068694164733181</v>
      </c>
      <c r="AO519" s="11">
        <v>2.8519418757745654</v>
      </c>
      <c r="AP519" s="14">
        <v>4.6634887500000008</v>
      </c>
      <c r="AQ519" s="2">
        <f>AP519*((G519*0.01)+(H519*0.01)+(I519*0.01))</f>
        <v>0.263487114375</v>
      </c>
      <c r="AR519" s="15">
        <v>1.3852018691657253</v>
      </c>
      <c r="AS519" s="15">
        <v>0.25255198339083229</v>
      </c>
      <c r="AT519" s="15">
        <f t="shared" si="99"/>
        <v>1.657146897927312E-2</v>
      </c>
      <c r="AU519" s="2">
        <f t="shared" si="100"/>
        <v>2.7048317421158138E-2</v>
      </c>
      <c r="AV519" s="2">
        <f t="shared" si="101"/>
        <v>3.3030342619755856E-3</v>
      </c>
      <c r="AW519" s="3">
        <f t="shared" si="102"/>
        <v>12.211607141935701</v>
      </c>
    </row>
    <row r="520" spans="1:49" s="5" customFormat="1" x14ac:dyDescent="0.2">
      <c r="A520" s="5" t="s">
        <v>480</v>
      </c>
      <c r="B520" s="5" t="s">
        <v>481</v>
      </c>
      <c r="C520" s="5" t="s">
        <v>583</v>
      </c>
      <c r="D520" s="5" t="s">
        <v>588</v>
      </c>
      <c r="E520" s="13" t="s">
        <v>585</v>
      </c>
      <c r="F520" s="5">
        <v>120</v>
      </c>
      <c r="G520" s="14">
        <v>2.25</v>
      </c>
      <c r="H520" s="14">
        <v>1.9</v>
      </c>
      <c r="I520" s="14">
        <v>1.1499999999999999</v>
      </c>
      <c r="J520">
        <v>3.68</v>
      </c>
      <c r="K520">
        <v>4.88</v>
      </c>
      <c r="L520">
        <v>4.28</v>
      </c>
      <c r="M520">
        <v>0.06</v>
      </c>
      <c r="N520" s="14">
        <v>129.70256410256405</v>
      </c>
      <c r="O520" s="14">
        <v>130.85256410256406</v>
      </c>
      <c r="P520" s="14">
        <v>130.27756410256404</v>
      </c>
      <c r="Q520" s="14">
        <v>129.70256410256405</v>
      </c>
      <c r="R520" s="14">
        <v>130.85256410256406</v>
      </c>
      <c r="S520" s="14">
        <v>130.27756410256404</v>
      </c>
      <c r="T520" s="3">
        <v>130.28</v>
      </c>
      <c r="U520" s="3">
        <v>0.57499999999999996</v>
      </c>
      <c r="V520" s="3">
        <v>1016.79</v>
      </c>
      <c r="W520" s="3">
        <v>1444.28</v>
      </c>
      <c r="X520" s="3">
        <v>1262.47</v>
      </c>
      <c r="Y520" s="3">
        <v>1252.6500000000001</v>
      </c>
      <c r="Z520" s="3">
        <v>213.745</v>
      </c>
      <c r="AA520" s="4">
        <v>0.10009999999999999</v>
      </c>
      <c r="AB520" s="4">
        <v>1.7522287000000001E-2</v>
      </c>
      <c r="AC520">
        <v>1.1476266666666668</v>
      </c>
      <c r="AD520" s="15">
        <v>6.8475000000000001</v>
      </c>
      <c r="AE520" s="15">
        <v>1.9463999999999999</v>
      </c>
      <c r="AF520" s="15">
        <f t="shared" si="97"/>
        <v>4.9011000000000005</v>
      </c>
      <c r="AG520" s="15">
        <v>0.79877333333333311</v>
      </c>
      <c r="AH520" s="15">
        <v>85.986121329011993</v>
      </c>
      <c r="AI520" s="2">
        <v>14.013878670988007</v>
      </c>
      <c r="AJ520" s="1">
        <f t="shared" si="98"/>
        <v>0.70069393354940035</v>
      </c>
      <c r="AK520" s="13">
        <v>6.6699999999999995E-2</v>
      </c>
      <c r="AL520" s="16">
        <v>58.234189100000002</v>
      </c>
      <c r="AM520" s="10">
        <v>2.9117094550000004</v>
      </c>
      <c r="AN520" s="16">
        <v>33.778531960556847</v>
      </c>
      <c r="AO520" s="11">
        <v>2.9131000584148152</v>
      </c>
      <c r="AP520" s="14">
        <v>3.8869029687500007</v>
      </c>
      <c r="AQ520" s="2">
        <f>AP520*((G520*0.01)+(H520*0.01)+(I520*0.01))</f>
        <v>0.20600585734375002</v>
      </c>
      <c r="AR520" s="15">
        <v>1.4664305693142556</v>
      </c>
      <c r="AS520" s="15">
        <v>0.20550380077797845</v>
      </c>
      <c r="AT520" s="15">
        <f t="shared" si="99"/>
        <v>1.2331654106497596E-2</v>
      </c>
      <c r="AU520" s="2">
        <f t="shared" si="100"/>
        <v>2.0570930457875641E-2</v>
      </c>
      <c r="AV520" s="2">
        <f t="shared" si="101"/>
        <v>2.3246578903278184E-3</v>
      </c>
      <c r="AW520" s="3">
        <f t="shared" si="102"/>
        <v>11.3006939335494</v>
      </c>
    </row>
    <row r="521" spans="1:49" s="5" customFormat="1" x14ac:dyDescent="0.2">
      <c r="A521" s="5" t="s">
        <v>480</v>
      </c>
      <c r="B521" s="5" t="s">
        <v>481</v>
      </c>
      <c r="C521" s="5" t="s">
        <v>583</v>
      </c>
      <c r="D521" s="5" t="s">
        <v>589</v>
      </c>
      <c r="E521" s="13" t="s">
        <v>585</v>
      </c>
      <c r="F521" s="5">
        <v>121</v>
      </c>
      <c r="G521" s="14">
        <v>2.4</v>
      </c>
      <c r="H521" s="14">
        <v>2</v>
      </c>
      <c r="I521" s="14">
        <v>1.3</v>
      </c>
      <c r="J521">
        <v>4.9400000000000004</v>
      </c>
      <c r="K521">
        <v>6.24</v>
      </c>
      <c r="L521">
        <v>5.59</v>
      </c>
      <c r="M521">
        <v>0.06</v>
      </c>
      <c r="N521" s="14">
        <v>130.91538461538457</v>
      </c>
      <c r="O521" s="14">
        <v>132.21538461538458</v>
      </c>
      <c r="P521" s="14">
        <v>131.56538461538457</v>
      </c>
      <c r="Q521" s="14">
        <v>130.91538461538457</v>
      </c>
      <c r="R521" s="14">
        <v>132.21538461538458</v>
      </c>
      <c r="S521" s="14">
        <v>131.56538461538457</v>
      </c>
      <c r="T521" s="3">
        <v>131.57</v>
      </c>
      <c r="U521" s="3">
        <v>0.65</v>
      </c>
      <c r="V521" s="3">
        <v>1037.6400000000001</v>
      </c>
      <c r="W521" s="3">
        <v>1449.41</v>
      </c>
      <c r="X521" s="3">
        <v>1273.1600000000001</v>
      </c>
      <c r="Y521" s="3">
        <v>1265.52</v>
      </c>
      <c r="Z521" s="3">
        <v>205.88499999999999</v>
      </c>
      <c r="AA521" s="4">
        <v>0.1008</v>
      </c>
      <c r="AB521" s="4">
        <v>1.6896943000000001E-2</v>
      </c>
      <c r="AC521">
        <v>1.1476266666666668</v>
      </c>
      <c r="AD521" s="15">
        <v>7.1475999999999997</v>
      </c>
      <c r="AE521" s="15">
        <v>2.0746000000000002</v>
      </c>
      <c r="AF521" s="15">
        <f t="shared" si="97"/>
        <v>5.0729999999999995</v>
      </c>
      <c r="AG521" s="15">
        <v>0.92697333333333343</v>
      </c>
      <c r="AH521" s="15">
        <v>84.550375779447904</v>
      </c>
      <c r="AI521" s="2">
        <v>15.449624220552096</v>
      </c>
      <c r="AJ521" s="1">
        <f t="shared" si="98"/>
        <v>0.77248121102760481</v>
      </c>
      <c r="AK521" s="13">
        <v>7.5399999999999995E-2</v>
      </c>
      <c r="AL521" s="16">
        <v>54.741896760000003</v>
      </c>
      <c r="AM521" s="10">
        <v>2.7370948380000004</v>
      </c>
      <c r="AN521" s="16">
        <v>31.752840348027846</v>
      </c>
      <c r="AO521" s="11">
        <v>2.7385741093142335</v>
      </c>
      <c r="AP521" s="14">
        <v>4.9392200000000015</v>
      </c>
      <c r="AQ521" s="2">
        <f>AP521*((G521*0.01)+(H521*0.01)+(I521*0.01))</f>
        <v>0.28153554000000008</v>
      </c>
      <c r="AR521" s="15">
        <v>1.2147613050913568</v>
      </c>
      <c r="AS521" s="15">
        <v>0.18767605681328897</v>
      </c>
      <c r="AT521" s="15">
        <f t="shared" si="99"/>
        <v>1.2147297514837622E-2</v>
      </c>
      <c r="AU521" s="2">
        <f t="shared" si="100"/>
        <v>1.8917746526779529E-2</v>
      </c>
      <c r="AV521" s="2">
        <f t="shared" si="101"/>
        <v>2.3027591415220655E-3</v>
      </c>
      <c r="AW521" s="3">
        <f t="shared" si="102"/>
        <v>12.172481211027605</v>
      </c>
    </row>
    <row r="522" spans="1:49" s="5" customFormat="1" x14ac:dyDescent="0.2">
      <c r="A522" s="5" t="s">
        <v>480</v>
      </c>
      <c r="B522" s="5" t="s">
        <v>481</v>
      </c>
      <c r="C522" s="5" t="s">
        <v>583</v>
      </c>
      <c r="D522" s="5" t="s">
        <v>590</v>
      </c>
      <c r="E522" s="13" t="s">
        <v>585</v>
      </c>
      <c r="F522" s="5">
        <v>122</v>
      </c>
      <c r="G522" s="14">
        <v>2.35</v>
      </c>
      <c r="H522" s="14">
        <v>1.9</v>
      </c>
      <c r="I522" s="14">
        <v>1.1499999999999999</v>
      </c>
      <c r="J522">
        <v>6.3</v>
      </c>
      <c r="K522">
        <v>7.5</v>
      </c>
      <c r="L522">
        <v>6.9</v>
      </c>
      <c r="M522">
        <v>0.06</v>
      </c>
      <c r="N522" s="14">
        <v>132.27820512820509</v>
      </c>
      <c r="O522" s="14">
        <v>133.42820512820509</v>
      </c>
      <c r="P522" s="14">
        <v>132.8532051282051</v>
      </c>
      <c r="Q522" s="14">
        <v>132.27820512820509</v>
      </c>
      <c r="R522" s="14">
        <v>133.42820512820509</v>
      </c>
      <c r="S522" s="14">
        <v>132.8532051282051</v>
      </c>
      <c r="T522" s="3">
        <v>132.85</v>
      </c>
      <c r="U522" s="3">
        <v>0.57499999999999996</v>
      </c>
      <c r="V522" s="3">
        <v>1055.79</v>
      </c>
      <c r="W522" s="3">
        <v>1454.81</v>
      </c>
      <c r="X522" s="3">
        <v>1284.49</v>
      </c>
      <c r="Y522" s="3">
        <v>1278.29</v>
      </c>
      <c r="Z522" s="3">
        <v>199.51</v>
      </c>
      <c r="AA522" s="4">
        <v>0.1</v>
      </c>
      <c r="AB522" s="4">
        <v>1.6040387999999999E-2</v>
      </c>
      <c r="AC522">
        <v>1.1476266666666668</v>
      </c>
      <c r="AD522" s="15">
        <v>7.3304999999999998</v>
      </c>
      <c r="AE522" s="15">
        <v>2.2288000000000001</v>
      </c>
      <c r="AF522" s="15">
        <f t="shared" si="97"/>
        <v>5.1016999999999992</v>
      </c>
      <c r="AG522" s="15">
        <v>1.0811733333333333</v>
      </c>
      <c r="AH522" s="15">
        <v>82.513416092410111</v>
      </c>
      <c r="AI522" s="2">
        <v>17.486583907589889</v>
      </c>
      <c r="AJ522" s="1">
        <f t="shared" si="98"/>
        <v>0.87432919537949449</v>
      </c>
      <c r="AK522" s="13">
        <v>5.3600000000000002E-2</v>
      </c>
      <c r="AL522" s="16">
        <v>57.494052340000003</v>
      </c>
      <c r="AM522" s="10">
        <v>2.8747026170000005</v>
      </c>
      <c r="AN522" s="16">
        <v>33.349218294663572</v>
      </c>
      <c r="AO522" s="11">
        <v>2.876111113324145</v>
      </c>
      <c r="AP522" s="14">
        <v>4.0764804687499998</v>
      </c>
      <c r="AQ522" s="2">
        <f>AP522*((G522*0.01)+(H522*0.01)+(I522*0.01))</f>
        <v>0.22012994531249996</v>
      </c>
      <c r="AR522" s="15">
        <v>1.5167184979127919</v>
      </c>
      <c r="AS522" s="15">
        <v>0.26522225277945738</v>
      </c>
      <c r="AT522" s="15">
        <f t="shared" si="99"/>
        <v>1.6640917238784695E-2</v>
      </c>
      <c r="AU522" s="2">
        <f t="shared" si="100"/>
        <v>2.6522225277945739E-2</v>
      </c>
      <c r="AV522" s="2">
        <f t="shared" si="101"/>
        <v>3.0962918888875392E-3</v>
      </c>
      <c r="AW522" s="3">
        <f t="shared" si="102"/>
        <v>11.674329195379492</v>
      </c>
    </row>
    <row r="523" spans="1:49" s="5" customFormat="1" x14ac:dyDescent="0.2">
      <c r="A523" s="5" t="s">
        <v>480</v>
      </c>
      <c r="B523" s="5" t="s">
        <v>481</v>
      </c>
      <c r="C523" s="5" t="s">
        <v>583</v>
      </c>
      <c r="D523" s="5" t="s">
        <v>591</v>
      </c>
      <c r="E523" s="13" t="s">
        <v>585</v>
      </c>
      <c r="F523" s="5">
        <v>123</v>
      </c>
      <c r="G523" s="14">
        <v>2.25</v>
      </c>
      <c r="H523" s="14">
        <v>1.9</v>
      </c>
      <c r="I523" s="14">
        <v>1.1000000000000001</v>
      </c>
      <c r="J523">
        <v>7.56</v>
      </c>
      <c r="K523">
        <v>8.66</v>
      </c>
      <c r="L523">
        <v>8.11</v>
      </c>
      <c r="M523">
        <v>0.06</v>
      </c>
      <c r="N523" s="14">
        <v>133.4910256410256</v>
      </c>
      <c r="O523" s="14">
        <v>134.5910256410256</v>
      </c>
      <c r="P523" s="14">
        <v>134.04102564102561</v>
      </c>
      <c r="Q523" s="14">
        <v>133.4910256410256</v>
      </c>
      <c r="R523" s="14">
        <v>134.5910256410256</v>
      </c>
      <c r="S523" s="14">
        <v>134.04102564102561</v>
      </c>
      <c r="T523" s="3">
        <v>134.04</v>
      </c>
      <c r="U523" s="3">
        <v>0.55000000000000004</v>
      </c>
      <c r="V523" s="3">
        <v>1073.3699999999999</v>
      </c>
      <c r="W523" s="3">
        <v>1460.68</v>
      </c>
      <c r="X523" s="3">
        <v>1297.9000000000001</v>
      </c>
      <c r="Y523" s="3">
        <v>1290.17</v>
      </c>
      <c r="Z523" s="3">
        <v>193.655</v>
      </c>
      <c r="AA523" s="4">
        <v>0.10009999999999999</v>
      </c>
      <c r="AB523" s="4">
        <v>1.5435783E-2</v>
      </c>
      <c r="AC523">
        <v>1.1476266666666668</v>
      </c>
      <c r="AD523" s="15">
        <v>6.4367000000000001</v>
      </c>
      <c r="AE523" s="15">
        <v>1.8723000000000001</v>
      </c>
      <c r="AF523" s="15">
        <f t="shared" si="97"/>
        <v>4.5644</v>
      </c>
      <c r="AG523" s="15">
        <v>0.72467333333333328</v>
      </c>
      <c r="AH523" s="15">
        <v>86.298671096764267</v>
      </c>
      <c r="AI523" s="2">
        <v>13.701328903235733</v>
      </c>
      <c r="AJ523" s="1">
        <f t="shared" si="98"/>
        <v>0.68506644516178672</v>
      </c>
      <c r="AK523" s="13">
        <v>3.9800000000000002E-2</v>
      </c>
      <c r="AL523" s="16">
        <v>59.179487180000002</v>
      </c>
      <c r="AM523" s="10">
        <v>2.9589743590000004</v>
      </c>
      <c r="AN523" s="16">
        <v>34.326848712296986</v>
      </c>
      <c r="AO523" s="11">
        <v>2.9603427600903687</v>
      </c>
      <c r="AP523" s="14">
        <v>3.7179071875000012</v>
      </c>
      <c r="AQ523" s="2">
        <f>AP523*((G523*0.01)+(H523*0.01)+(I523*0.01))</f>
        <v>0.19519012734375005</v>
      </c>
      <c r="AR523" s="15">
        <v>1.4225942355731094</v>
      </c>
      <c r="AS523" s="15">
        <v>0.19491431517434377</v>
      </c>
      <c r="AT523" s="15">
        <f t="shared" si="99"/>
        <v>1.1568294116729366E-2</v>
      </c>
      <c r="AU523" s="2">
        <f t="shared" si="100"/>
        <v>1.9510922948951809E-2</v>
      </c>
      <c r="AV523" s="2">
        <f t="shared" si="101"/>
        <v>2.1823096959045795E-3</v>
      </c>
      <c r="AW523" s="3">
        <f t="shared" si="102"/>
        <v>11.185066445161787</v>
      </c>
    </row>
    <row r="524" spans="1:49" s="5" customFormat="1" x14ac:dyDescent="0.2">
      <c r="A524" s="5" t="s">
        <v>480</v>
      </c>
      <c r="B524" s="5" t="s">
        <v>481</v>
      </c>
      <c r="C524" s="5" t="s">
        <v>583</v>
      </c>
      <c r="D524" s="5" t="s">
        <v>592</v>
      </c>
      <c r="E524" s="13" t="s">
        <v>585</v>
      </c>
      <c r="F524" s="5">
        <v>124</v>
      </c>
      <c r="G524" s="14">
        <v>2.1</v>
      </c>
      <c r="H524" s="14">
        <v>2.0499999999999998</v>
      </c>
      <c r="I524" s="14">
        <v>1.05</v>
      </c>
      <c r="J524">
        <v>8.7200000000000006</v>
      </c>
      <c r="K524">
        <v>9.82</v>
      </c>
      <c r="L524">
        <v>9.27</v>
      </c>
      <c r="M524">
        <v>0.06</v>
      </c>
      <c r="N524" s="14">
        <v>134.6538461538461</v>
      </c>
      <c r="O524" s="14">
        <v>135.70384615384611</v>
      </c>
      <c r="P524" s="14">
        <v>135.17884615384611</v>
      </c>
      <c r="Q524" s="14">
        <v>134.6538461538461</v>
      </c>
      <c r="R524" s="14">
        <v>135.70384615384611</v>
      </c>
      <c r="S524" s="14">
        <v>135.17884615384611</v>
      </c>
      <c r="T524" s="3">
        <v>135.18</v>
      </c>
      <c r="U524" s="3">
        <v>0.52500000000000002</v>
      </c>
      <c r="V524" s="3">
        <v>1089.45</v>
      </c>
      <c r="W524" s="3">
        <v>1468.17</v>
      </c>
      <c r="X524" s="3">
        <v>1309.54</v>
      </c>
      <c r="Y524" s="3">
        <v>1301.54</v>
      </c>
      <c r="Z524" s="3">
        <v>189.36</v>
      </c>
      <c r="AA524" s="4">
        <v>0.10050000000000001</v>
      </c>
      <c r="AB524" s="4">
        <v>1.5011976E-2</v>
      </c>
      <c r="AC524">
        <v>1.1476266666666668</v>
      </c>
      <c r="AD524" s="15">
        <v>4.9928999999999997</v>
      </c>
      <c r="AE524" s="15">
        <v>2.0202</v>
      </c>
      <c r="AF524" s="15">
        <f t="shared" si="97"/>
        <v>2.9726999999999997</v>
      </c>
      <c r="AG524" s="15">
        <v>0.8725733333333332</v>
      </c>
      <c r="AH524" s="15">
        <v>77.307898354863369</v>
      </c>
      <c r="AI524" s="2">
        <v>22.692101645136631</v>
      </c>
      <c r="AJ524" s="1">
        <f t="shared" si="98"/>
        <v>1.1346050822568317</v>
      </c>
      <c r="AK524" s="13">
        <v>5.6599999999999998E-2</v>
      </c>
      <c r="AL524" s="16">
        <v>55.88464536</v>
      </c>
      <c r="AM524" s="10">
        <v>2.794232268</v>
      </c>
      <c r="AN524" s="16">
        <v>32.415687563805108</v>
      </c>
      <c r="AO524" s="11">
        <v>2.7956813065033761</v>
      </c>
      <c r="AP524" s="14">
        <v>3.5489114062500011</v>
      </c>
      <c r="AQ524" s="2">
        <f>AP524*((G524*0.01)+(H524*0.01)+(I524*0.01))</f>
        <v>0.18454339312500004</v>
      </c>
      <c r="AR524" s="15">
        <v>1.0835078403370138</v>
      </c>
      <c r="AS524" s="15">
        <v>0.24587070046229981</v>
      </c>
      <c r="AT524" s="15">
        <f t="shared" si="99"/>
        <v>1.5574937887265316E-2</v>
      </c>
      <c r="AU524" s="2">
        <f t="shared" si="100"/>
        <v>2.4710005396461131E-2</v>
      </c>
      <c r="AV524" s="2">
        <f t="shared" si="101"/>
        <v>2.8502015382861432E-3</v>
      </c>
      <c r="AW524" s="3">
        <f t="shared" si="102"/>
        <v>11.534605082256832</v>
      </c>
    </row>
    <row r="525" spans="1:49" s="5" customFormat="1" x14ac:dyDescent="0.2">
      <c r="A525" s="5" t="s">
        <v>480</v>
      </c>
      <c r="B525" s="5" t="s">
        <v>481</v>
      </c>
      <c r="C525" s="5" t="s">
        <v>583</v>
      </c>
      <c r="D525" s="5" t="s">
        <v>593</v>
      </c>
      <c r="E525" s="13" t="s">
        <v>585</v>
      </c>
      <c r="F525" s="5">
        <v>125</v>
      </c>
      <c r="G525" s="14">
        <v>2.2000000000000002</v>
      </c>
      <c r="H525" s="14">
        <v>2.25</v>
      </c>
      <c r="I525" s="14">
        <v>1.25</v>
      </c>
      <c r="J525">
        <v>9.8800000000000008</v>
      </c>
      <c r="K525">
        <v>11.18</v>
      </c>
      <c r="L525">
        <v>10.53</v>
      </c>
      <c r="M525">
        <v>0.06</v>
      </c>
      <c r="N525" s="14">
        <v>135.76666666666662</v>
      </c>
      <c r="O525" s="14">
        <v>137.01666666666662</v>
      </c>
      <c r="P525" s="14">
        <v>136.39166666666662</v>
      </c>
      <c r="Q525" s="14">
        <v>135.76666666666662</v>
      </c>
      <c r="R525" s="14">
        <v>137.01666666666662</v>
      </c>
      <c r="S525" s="14">
        <v>136.39166666666662</v>
      </c>
      <c r="T525" s="3">
        <v>136.38999999999999</v>
      </c>
      <c r="U525" s="3">
        <v>0.625</v>
      </c>
      <c r="V525" s="3">
        <v>1102.68</v>
      </c>
      <c r="W525" s="3">
        <v>1474.17</v>
      </c>
      <c r="X525" s="3">
        <v>1322.39</v>
      </c>
      <c r="Y525" s="3">
        <v>1313.61</v>
      </c>
      <c r="Z525" s="3">
        <v>185.745</v>
      </c>
      <c r="AA525" s="4">
        <v>0.1</v>
      </c>
      <c r="AB525" s="4">
        <v>1.4598286E-2</v>
      </c>
      <c r="AC525">
        <v>1.1476266666666668</v>
      </c>
      <c r="AD525" s="15">
        <v>6.7412999999999998</v>
      </c>
      <c r="AE525" s="15">
        <v>2.0331000000000001</v>
      </c>
      <c r="AF525" s="15">
        <f t="shared" si="97"/>
        <v>4.7081999999999997</v>
      </c>
      <c r="AG525" s="15">
        <v>0.88547333333333333</v>
      </c>
      <c r="AH525" s="15">
        <v>84.170092163646785</v>
      </c>
      <c r="AI525" s="2">
        <v>15.829907836353215</v>
      </c>
      <c r="AJ525" s="1">
        <f t="shared" si="98"/>
        <v>0.79149539181766082</v>
      </c>
      <c r="AK525" s="13">
        <v>8.0199999999999994E-2</v>
      </c>
      <c r="AL525" s="16">
        <v>51.947273819999999</v>
      </c>
      <c r="AM525" s="10">
        <v>2.597363691</v>
      </c>
      <c r="AN525" s="16">
        <v>30.131829361948956</v>
      </c>
      <c r="AO525" s="11">
        <v>2.5989224965983775</v>
      </c>
      <c r="AP525" s="14">
        <v>4.8578007812500008</v>
      </c>
      <c r="AQ525" s="2">
        <f>AP525*((G525*0.01)+(H525*0.01)+(I525*0.01))</f>
        <v>0.27689464453125001</v>
      </c>
      <c r="AR525" s="15">
        <v>1.1514826534104965</v>
      </c>
      <c r="AS525" s="15">
        <v>0.18227864278647607</v>
      </c>
      <c r="AT525" s="15">
        <f t="shared" si="99"/>
        <v>1.1832609696751867E-2</v>
      </c>
      <c r="AU525" s="2">
        <f t="shared" si="100"/>
        <v>1.8227864278647608E-2</v>
      </c>
      <c r="AV525" s="2">
        <f t="shared" si="101"/>
        <v>2.2222492335581003E-3</v>
      </c>
      <c r="AW525" s="3">
        <f t="shared" si="102"/>
        <v>12.191495391817659</v>
      </c>
    </row>
    <row r="526" spans="1:49" s="5" customFormat="1" x14ac:dyDescent="0.2">
      <c r="A526" s="5" t="s">
        <v>480</v>
      </c>
      <c r="B526" s="5" t="s">
        <v>481</v>
      </c>
      <c r="C526" s="5" t="s">
        <v>583</v>
      </c>
      <c r="D526" s="5" t="s">
        <v>594</v>
      </c>
      <c r="E526" s="13" t="s">
        <v>585</v>
      </c>
      <c r="F526" s="5">
        <v>126</v>
      </c>
      <c r="G526" s="14">
        <v>2.25</v>
      </c>
      <c r="H526" s="14">
        <v>2</v>
      </c>
      <c r="I526" s="14">
        <v>1.2</v>
      </c>
      <c r="J526">
        <v>11.24</v>
      </c>
      <c r="K526">
        <v>12.44</v>
      </c>
      <c r="L526">
        <v>11.84</v>
      </c>
      <c r="M526">
        <v>0.06</v>
      </c>
      <c r="N526" s="14">
        <v>137.07948717948713</v>
      </c>
      <c r="O526" s="14">
        <v>138.27948717948712</v>
      </c>
      <c r="P526" s="14">
        <v>137.67948717948713</v>
      </c>
      <c r="Q526" s="14">
        <v>137.07948717948713</v>
      </c>
      <c r="R526" s="14">
        <v>138.27948717948712</v>
      </c>
      <c r="S526" s="14">
        <v>137.67948717948713</v>
      </c>
      <c r="T526" s="3">
        <v>137.68</v>
      </c>
      <c r="U526" s="3">
        <v>0.6</v>
      </c>
      <c r="V526" s="3">
        <v>1116.93</v>
      </c>
      <c r="W526" s="3">
        <v>1482.31</v>
      </c>
      <c r="X526" s="3">
        <v>1336.92</v>
      </c>
      <c r="Y526" s="3">
        <v>1326.49</v>
      </c>
      <c r="Z526" s="3">
        <v>182.69</v>
      </c>
      <c r="AA526" s="4">
        <v>0.10050000000000001</v>
      </c>
      <c r="AB526" s="4">
        <v>1.4279271E-2</v>
      </c>
      <c r="AC526">
        <v>1.1476266666666668</v>
      </c>
      <c r="AD526" s="15">
        <v>6.1109</v>
      </c>
      <c r="AE526" s="15">
        <v>1.9785999999999999</v>
      </c>
      <c r="AF526" s="15">
        <f t="shared" si="97"/>
        <v>4.1322999999999999</v>
      </c>
      <c r="AG526" s="15">
        <v>0.83097333333333312</v>
      </c>
      <c r="AH526" s="15">
        <v>83.257554490249049</v>
      </c>
      <c r="AI526" s="2">
        <v>16.742445509750951</v>
      </c>
      <c r="AJ526" s="1">
        <f t="shared" si="98"/>
        <v>0.83712227548754758</v>
      </c>
      <c r="AK526" s="13">
        <v>7.7399999999999997E-2</v>
      </c>
      <c r="AL526" s="16">
        <v>42.836041360000003</v>
      </c>
      <c r="AM526" s="10">
        <v>2.1418020680000001</v>
      </c>
      <c r="AN526" s="16">
        <v>24.846891740139213</v>
      </c>
      <c r="AO526" s="11">
        <v>2.1436921650482086</v>
      </c>
      <c r="AP526" s="14">
        <v>4.25371875</v>
      </c>
      <c r="AQ526" s="2">
        <f>AP526*((G526*0.01)+(H526*0.01)+(I526*0.01))</f>
        <v>0.23182767187499997</v>
      </c>
      <c r="AR526" s="15">
        <v>1.1668080625531092</v>
      </c>
      <c r="AS526" s="15">
        <v>0.19535220407633511</v>
      </c>
      <c r="AT526" s="15">
        <f t="shared" si="99"/>
        <v>1.2282031938139157E-2</v>
      </c>
      <c r="AU526" s="2">
        <f t="shared" si="100"/>
        <v>1.963289650967168E-2</v>
      </c>
      <c r="AV526" s="2">
        <f t="shared" si="101"/>
        <v>2.3043370695600917E-3</v>
      </c>
      <c r="AW526" s="3">
        <f t="shared" si="102"/>
        <v>11.737122275487547</v>
      </c>
    </row>
    <row r="527" spans="1:49" s="5" customFormat="1" x14ac:dyDescent="0.2">
      <c r="A527" s="5" t="s">
        <v>480</v>
      </c>
      <c r="B527" s="5" t="s">
        <v>481</v>
      </c>
      <c r="C527" s="5" t="s">
        <v>583</v>
      </c>
      <c r="D527" s="5" t="s">
        <v>595</v>
      </c>
      <c r="E527" s="13" t="s">
        <v>585</v>
      </c>
      <c r="F527" s="5">
        <v>127</v>
      </c>
      <c r="G527" s="14">
        <v>2.25</v>
      </c>
      <c r="H527" s="14">
        <v>2.25</v>
      </c>
      <c r="I527" s="14">
        <v>1.2</v>
      </c>
      <c r="J527">
        <v>12.5</v>
      </c>
      <c r="K527">
        <v>13.7</v>
      </c>
      <c r="L527">
        <v>13.1</v>
      </c>
      <c r="M527">
        <v>0.06</v>
      </c>
      <c r="N527" s="14">
        <v>138.34230769230763</v>
      </c>
      <c r="O527" s="14">
        <v>139.54230769230762</v>
      </c>
      <c r="P527" s="14">
        <v>138.94230769230762</v>
      </c>
      <c r="Q527" s="14">
        <v>138.34230769230763</v>
      </c>
      <c r="R527" s="14">
        <v>139.54230769230762</v>
      </c>
      <c r="S527" s="14">
        <v>138.94230769230762</v>
      </c>
      <c r="T527" s="3">
        <v>138.94</v>
      </c>
      <c r="U527" s="3">
        <v>0.6</v>
      </c>
      <c r="V527" s="3">
        <v>1127.8</v>
      </c>
      <c r="W527" s="3">
        <v>1492.06</v>
      </c>
      <c r="X527" s="3">
        <v>1349.95</v>
      </c>
      <c r="Y527" s="3">
        <v>1339.06</v>
      </c>
      <c r="Z527" s="3">
        <v>182.13</v>
      </c>
      <c r="AA527" s="4">
        <v>9.8599999999999993E-2</v>
      </c>
      <c r="AB527" s="4">
        <v>1.3836709000000001E-2</v>
      </c>
      <c r="AC527">
        <v>1.1476266666666668</v>
      </c>
      <c r="AD527" s="15">
        <v>7.1060999999999996</v>
      </c>
      <c r="AE527" s="15">
        <v>2.2618</v>
      </c>
      <c r="AF527" s="15">
        <f t="shared" si="97"/>
        <v>4.8442999999999996</v>
      </c>
      <c r="AG527" s="15">
        <v>1.1141733333333332</v>
      </c>
      <c r="AH527" s="15">
        <v>81.301026773077211</v>
      </c>
      <c r="AI527" s="2">
        <v>18.698973226922789</v>
      </c>
      <c r="AJ527" s="1">
        <f t="shared" si="98"/>
        <v>0.93494866134613952</v>
      </c>
      <c r="AK527" s="13">
        <v>7.8299999999999995E-2</v>
      </c>
      <c r="AL527" s="16">
        <v>51.214953270000002</v>
      </c>
      <c r="AM527" s="10">
        <v>2.5607476635000004</v>
      </c>
      <c r="AN527" s="16">
        <v>29.707049460556846</v>
      </c>
      <c r="AO527" s="11">
        <v>2.5623287447399701</v>
      </c>
      <c r="AP527" s="14">
        <v>4.7688749999999995</v>
      </c>
      <c r="AQ527" s="2">
        <f>AP527*((G527*0.01)+(H527*0.01)+(I527*0.01))</f>
        <v>0.27182587499999994</v>
      </c>
      <c r="AR527" s="15">
        <v>1.2494505168060253</v>
      </c>
      <c r="AS527" s="15">
        <v>0.23363441762120696</v>
      </c>
      <c r="AT527" s="15">
        <f t="shared" si="99"/>
        <v>1.550152366440212E-2</v>
      </c>
      <c r="AU527" s="2">
        <f t="shared" si="100"/>
        <v>2.3036353577451006E-2</v>
      </c>
      <c r="AV527" s="2">
        <f t="shared" si="101"/>
        <v>2.8415223872247561E-3</v>
      </c>
      <c r="AW527" s="3">
        <f t="shared" si="102"/>
        <v>12.334948661346139</v>
      </c>
    </row>
    <row r="528" spans="1:49" s="5" customFormat="1" x14ac:dyDescent="0.2">
      <c r="A528" s="5" t="s">
        <v>480</v>
      </c>
      <c r="B528" s="5" t="s">
        <v>481</v>
      </c>
      <c r="C528" s="5" t="s">
        <v>583</v>
      </c>
      <c r="D528" s="5" t="s">
        <v>596</v>
      </c>
      <c r="E528" s="13" t="s">
        <v>585</v>
      </c>
      <c r="F528" s="5">
        <v>128</v>
      </c>
      <c r="G528" s="14">
        <v>2.1</v>
      </c>
      <c r="H528" s="14">
        <v>2.1</v>
      </c>
      <c r="I528" s="14">
        <v>1.1499999999999999</v>
      </c>
      <c r="J528">
        <v>13.76</v>
      </c>
      <c r="K528">
        <v>14.96</v>
      </c>
      <c r="L528">
        <v>14.36</v>
      </c>
      <c r="M528">
        <v>0.06</v>
      </c>
      <c r="N528" s="14">
        <v>139.60512820512812</v>
      </c>
      <c r="O528" s="14">
        <v>140.75512820512813</v>
      </c>
      <c r="P528" s="14">
        <v>140.18012820512814</v>
      </c>
      <c r="Q528" s="14">
        <v>139.60512820512812</v>
      </c>
      <c r="R528" s="14">
        <v>140.75512820512813</v>
      </c>
      <c r="S528" s="14">
        <v>140.18012820512814</v>
      </c>
      <c r="T528" s="3">
        <v>140.18</v>
      </c>
      <c r="U528" s="3">
        <v>0.57499999999999996</v>
      </c>
      <c r="V528" s="3">
        <v>1141.8800000000001</v>
      </c>
      <c r="W528" s="3">
        <v>1502.26</v>
      </c>
      <c r="X528" s="3">
        <v>1362.63</v>
      </c>
      <c r="Y528" s="3">
        <v>1351.61</v>
      </c>
      <c r="Z528" s="3">
        <v>180.19</v>
      </c>
      <c r="AA528" s="4">
        <v>9.11E-2</v>
      </c>
      <c r="AB528" s="4">
        <v>1.2518684E-2</v>
      </c>
      <c r="AC528">
        <v>1.1476266666666668</v>
      </c>
      <c r="AD528" s="15">
        <v>7.0105000000000004</v>
      </c>
      <c r="AE528" s="15">
        <v>2.3664999999999998</v>
      </c>
      <c r="AF528" s="15">
        <f t="shared" si="97"/>
        <v>4.6440000000000001</v>
      </c>
      <c r="AG528" s="15">
        <v>1.218873333333333</v>
      </c>
      <c r="AH528" s="15">
        <v>79.210307573874488</v>
      </c>
      <c r="AI528" s="2">
        <v>20.789692426125512</v>
      </c>
      <c r="AJ528" s="1">
        <f t="shared" si="98"/>
        <v>1.0394846213062756</v>
      </c>
      <c r="AK528" s="13">
        <v>0.1646</v>
      </c>
      <c r="AL528" s="16">
        <v>39.127218929999998</v>
      </c>
      <c r="AM528" s="10">
        <v>1.9563609465</v>
      </c>
      <c r="AN528" s="16">
        <v>22.695602627610207</v>
      </c>
      <c r="AO528" s="11">
        <v>1.9584300224900497</v>
      </c>
      <c r="AP528" s="14">
        <v>3.9811274999999999</v>
      </c>
      <c r="AQ528" s="2">
        <f>AP528*((G528*0.01)+(H528*0.01)+(I528*0.01))</f>
        <v>0.21299032125000003</v>
      </c>
      <c r="AR528" s="15">
        <v>1.4726665582384222</v>
      </c>
      <c r="AS528" s="15">
        <v>0.30616284792017667</v>
      </c>
      <c r="AT528" s="15">
        <f t="shared" si="99"/>
        <v>1.9562228084013013E-2</v>
      </c>
      <c r="AU528" s="2">
        <f t="shared" si="100"/>
        <v>2.7891435445528096E-2</v>
      </c>
      <c r="AV528" s="2">
        <f t="shared" si="101"/>
        <v>3.2743107747893389E-3</v>
      </c>
      <c r="AW528" s="3">
        <f t="shared" si="102"/>
        <v>11.739484621306277</v>
      </c>
    </row>
    <row r="529" spans="1:49" s="5" customFormat="1" x14ac:dyDescent="0.2">
      <c r="A529" s="5" t="s">
        <v>480</v>
      </c>
      <c r="B529" s="5" t="s">
        <v>481</v>
      </c>
      <c r="C529" s="5" t="s">
        <v>583</v>
      </c>
      <c r="D529" s="5" t="s">
        <v>597</v>
      </c>
      <c r="E529" s="13" t="s">
        <v>585</v>
      </c>
      <c r="F529" s="5">
        <v>129</v>
      </c>
      <c r="G529" s="14">
        <v>2.15</v>
      </c>
      <c r="H529" s="14">
        <v>2</v>
      </c>
      <c r="I529" s="14">
        <v>1.1499999999999999</v>
      </c>
      <c r="J529">
        <v>15.02</v>
      </c>
      <c r="K529">
        <v>16.22</v>
      </c>
      <c r="L529">
        <v>15.62</v>
      </c>
      <c r="M529">
        <v>0.06</v>
      </c>
      <c r="N529" s="14">
        <v>140.81794871794864</v>
      </c>
      <c r="O529" s="14">
        <v>141.96794871794864</v>
      </c>
      <c r="P529" s="14">
        <v>141.39294871794863</v>
      </c>
      <c r="Q529" s="14">
        <v>140.81794871794864</v>
      </c>
      <c r="R529" s="14">
        <v>141.96794871794864</v>
      </c>
      <c r="S529" s="14">
        <v>141.39294871794863</v>
      </c>
      <c r="T529" s="3">
        <v>141.38999999999999</v>
      </c>
      <c r="U529" s="3">
        <v>0.57499999999999996</v>
      </c>
      <c r="V529" s="3">
        <v>1176.51</v>
      </c>
      <c r="W529" s="3">
        <v>1504.86</v>
      </c>
      <c r="X529" s="3">
        <v>1372.65</v>
      </c>
      <c r="Y529" s="3">
        <v>1364.93</v>
      </c>
      <c r="Z529" s="3">
        <v>164.17500000000001</v>
      </c>
      <c r="AA529" s="4">
        <v>9.0300000000000005E-2</v>
      </c>
      <c r="AB529" s="4">
        <v>1.1228594E-2</v>
      </c>
      <c r="AC529">
        <v>1.1476266666666668</v>
      </c>
      <c r="AD529" s="15">
        <v>7.2133000000000003</v>
      </c>
      <c r="AE529" s="15">
        <v>2.3315000000000001</v>
      </c>
      <c r="AF529" s="15">
        <f t="shared" si="97"/>
        <v>4.8818000000000001</v>
      </c>
      <c r="AG529" s="15">
        <v>1.1838733333333333</v>
      </c>
      <c r="AH529" s="15">
        <v>80.482408658120946</v>
      </c>
      <c r="AI529" s="2">
        <v>19.517591341879054</v>
      </c>
      <c r="AJ529" s="1">
        <f t="shared" si="98"/>
        <v>0.97587956709395274</v>
      </c>
      <c r="AK529" s="13">
        <v>8.6999999999999994E-2</v>
      </c>
      <c r="AL529" s="16">
        <v>44.936708860000003</v>
      </c>
      <c r="AM529" s="10">
        <v>2.2468354430000002</v>
      </c>
      <c r="AN529" s="16">
        <v>26.065376368909515</v>
      </c>
      <c r="AO529" s="11">
        <v>2.2486372557442444</v>
      </c>
      <c r="AP529" s="14">
        <v>3.8869029687500007</v>
      </c>
      <c r="AQ529" s="2">
        <f>AP529*((G529*0.01)+(H529*0.01)+(I529*0.01))</f>
        <v>0.20600585734375002</v>
      </c>
      <c r="AR529" s="15">
        <v>1.5605414856249959</v>
      </c>
      <c r="AS529" s="15">
        <v>0.30458010988477496</v>
      </c>
      <c r="AT529" s="15">
        <f t="shared" si="99"/>
        <v>1.9115080881690897E-2</v>
      </c>
      <c r="AU529" s="2">
        <f t="shared" si="100"/>
        <v>2.7503583922595182E-2</v>
      </c>
      <c r="AV529" s="2">
        <f t="shared" si="101"/>
        <v>3.1837817515142329E-3</v>
      </c>
      <c r="AW529" s="3">
        <f t="shared" si="102"/>
        <v>11.575879567093953</v>
      </c>
    </row>
    <row r="530" spans="1:49" s="5" customFormat="1" x14ac:dyDescent="0.2">
      <c r="A530" s="5" t="s">
        <v>480</v>
      </c>
      <c r="B530" s="5" t="s">
        <v>481</v>
      </c>
      <c r="C530" s="5" t="s">
        <v>583</v>
      </c>
      <c r="D530" s="5" t="s">
        <v>598</v>
      </c>
      <c r="E530" s="13" t="s">
        <v>585</v>
      </c>
      <c r="F530" s="5">
        <v>130</v>
      </c>
      <c r="G530" s="14">
        <v>2.2000000000000002</v>
      </c>
      <c r="H530" s="14">
        <v>1.95</v>
      </c>
      <c r="I530" s="14">
        <v>1.1499999999999999</v>
      </c>
      <c r="J530">
        <v>16.28</v>
      </c>
      <c r="K530">
        <v>17.48</v>
      </c>
      <c r="L530">
        <v>16.88</v>
      </c>
      <c r="M530">
        <v>0.06</v>
      </c>
      <c r="N530" s="14">
        <v>142.03076923076915</v>
      </c>
      <c r="O530" s="14">
        <v>143.18076923076916</v>
      </c>
      <c r="P530" s="14">
        <v>142.60576923076917</v>
      </c>
      <c r="Q530" s="14">
        <v>142.03076923076915</v>
      </c>
      <c r="R530" s="14">
        <v>143.18076923076916</v>
      </c>
      <c r="S530" s="14">
        <v>142.60576923076917</v>
      </c>
      <c r="T530" s="3">
        <v>142.61000000000001</v>
      </c>
      <c r="U530" s="3">
        <v>0.57499999999999996</v>
      </c>
      <c r="V530" s="3">
        <v>1208.46</v>
      </c>
      <c r="W530" s="3">
        <v>1509.05</v>
      </c>
      <c r="X530" s="3">
        <v>1383.28</v>
      </c>
      <c r="Y530" s="3">
        <v>1378.36</v>
      </c>
      <c r="Z530" s="3">
        <v>150.29499999999999</v>
      </c>
      <c r="AA530" s="4">
        <v>9.11E-2</v>
      </c>
      <c r="AB530" s="4">
        <v>1.0300765999999999E-2</v>
      </c>
      <c r="AC530">
        <v>1.1476266666666668</v>
      </c>
      <c r="AD530" s="15">
        <v>6.9112</v>
      </c>
      <c r="AE530" s="15">
        <v>2.3267000000000002</v>
      </c>
      <c r="AF530" s="15">
        <f t="shared" si="97"/>
        <v>4.5845000000000002</v>
      </c>
      <c r="AG530" s="15">
        <v>1.1790733333333334</v>
      </c>
      <c r="AH530" s="15">
        <v>79.542667974497306</v>
      </c>
      <c r="AI530" s="2">
        <v>20.457332025502694</v>
      </c>
      <c r="AJ530" s="1">
        <f t="shared" si="98"/>
        <v>1.0228666012751348</v>
      </c>
      <c r="AK530" s="13">
        <v>0.21160000000000001</v>
      </c>
      <c r="AL530" s="16">
        <v>25.597749650000001</v>
      </c>
      <c r="AM530" s="10">
        <v>1.2798874825000002</v>
      </c>
      <c r="AN530" s="16">
        <v>14.847882627610209</v>
      </c>
      <c r="AO530" s="11">
        <v>1.2830479211082446</v>
      </c>
      <c r="AP530" s="14">
        <v>3.8869029687500007</v>
      </c>
      <c r="AQ530" s="2">
        <f>AP530*((G530*0.01)+(H530*0.01)+(I530*0.01))</f>
        <v>0.20600585734375007</v>
      </c>
      <c r="AR530" s="15">
        <v>1.4828189382836217</v>
      </c>
      <c r="AS530" s="15">
        <v>0.30334519354171446</v>
      </c>
      <c r="AT530" s="15">
        <f t="shared" si="99"/>
        <v>1.9180111929022484E-2</v>
      </c>
      <c r="AU530" s="2">
        <f t="shared" si="100"/>
        <v>2.7634747131650188E-2</v>
      </c>
      <c r="AV530" s="2">
        <f t="shared" si="101"/>
        <v>3.2119497947114086E-3</v>
      </c>
      <c r="AW530" s="3">
        <f t="shared" si="102"/>
        <v>11.622866601275136</v>
      </c>
    </row>
    <row r="531" spans="1:49" s="5" customFormat="1" x14ac:dyDescent="0.2">
      <c r="A531" s="5" t="s">
        <v>480</v>
      </c>
      <c r="B531" s="5" t="s">
        <v>481</v>
      </c>
      <c r="C531" s="5" t="s">
        <v>583</v>
      </c>
      <c r="D531" s="5" t="s">
        <v>599</v>
      </c>
      <c r="E531" s="13" t="s">
        <v>585</v>
      </c>
      <c r="F531" s="5">
        <v>131</v>
      </c>
      <c r="G531" s="14">
        <v>2.2000000000000002</v>
      </c>
      <c r="H531" s="14">
        <v>2.1</v>
      </c>
      <c r="I531" s="14">
        <v>1.1499999999999999</v>
      </c>
      <c r="J531">
        <v>17.54</v>
      </c>
      <c r="K531">
        <v>18.739999999999998</v>
      </c>
      <c r="L531">
        <v>18.14</v>
      </c>
      <c r="M531">
        <v>0.06</v>
      </c>
      <c r="N531" s="14">
        <v>143.24358974358967</v>
      </c>
      <c r="O531" s="14">
        <v>144.39358974358967</v>
      </c>
      <c r="P531" s="14">
        <v>143.81858974358965</v>
      </c>
      <c r="Q531" s="14">
        <v>143.24358974358967</v>
      </c>
      <c r="R531" s="14">
        <v>144.39358974358967</v>
      </c>
      <c r="S531" s="14">
        <v>143.81858974358965</v>
      </c>
      <c r="T531" s="3">
        <v>143.82</v>
      </c>
      <c r="U531" s="3">
        <v>0.57499999999999996</v>
      </c>
      <c r="V531" s="3">
        <v>1243.5899999999999</v>
      </c>
      <c r="W531" s="3">
        <v>1513.88</v>
      </c>
      <c r="X531" s="3">
        <v>1395.06</v>
      </c>
      <c r="Y531" s="3">
        <v>1391.68</v>
      </c>
      <c r="Z531" s="3">
        <v>135.14500000000001</v>
      </c>
      <c r="AA531" s="4">
        <v>9.0700000000000003E-2</v>
      </c>
      <c r="AB531" s="4">
        <v>9.1704319999999992E-3</v>
      </c>
      <c r="AC531">
        <v>1.1476266666666668</v>
      </c>
      <c r="AD531" s="15">
        <v>7.8152999999999997</v>
      </c>
      <c r="AE531" s="15">
        <v>2.4725999999999999</v>
      </c>
      <c r="AF531" s="15">
        <f t="shared" si="97"/>
        <v>5.3426999999999998</v>
      </c>
      <c r="AG531" s="15">
        <v>1.3249733333333331</v>
      </c>
      <c r="AH531" s="15">
        <v>80.128400611507672</v>
      </c>
      <c r="AI531" s="2">
        <v>19.871599388492328</v>
      </c>
      <c r="AJ531" s="1">
        <f t="shared" si="98"/>
        <v>0.99357996942461646</v>
      </c>
      <c r="AK531" s="13">
        <v>6.8199999999999997E-2</v>
      </c>
      <c r="AL531" s="16">
        <v>47.578785549999999</v>
      </c>
      <c r="AM531" s="10">
        <v>2.3789392775000002</v>
      </c>
      <c r="AN531" s="16">
        <v>27.597903451276103</v>
      </c>
      <c r="AO531" s="11">
        <v>2.3806411081959045</v>
      </c>
      <c r="AP531" s="14">
        <v>4.1729618750000013</v>
      </c>
      <c r="AQ531" s="2">
        <f>AP531*((G531*0.01)+(H531*0.01)+(I531*0.01))</f>
        <v>0.22742642218750009</v>
      </c>
      <c r="AR531" s="15">
        <v>1.5978275222879508</v>
      </c>
      <c r="AS531" s="15">
        <v>0.31751388414813464</v>
      </c>
      <c r="AT531" s="15">
        <f t="shared" si="99"/>
        <v>2.045926103911129E-2</v>
      </c>
      <c r="AU531" s="2">
        <f t="shared" si="100"/>
        <v>2.8798509292235812E-2</v>
      </c>
      <c r="AV531" s="2">
        <f t="shared" si="101"/>
        <v>3.425173732674246E-3</v>
      </c>
      <c r="AW531" s="3">
        <f t="shared" si="102"/>
        <v>11.893579969424618</v>
      </c>
    </row>
    <row r="532" spans="1:49" s="5" customFormat="1" x14ac:dyDescent="0.2">
      <c r="A532" s="5" t="s">
        <v>480</v>
      </c>
      <c r="B532" s="5" t="s">
        <v>481</v>
      </c>
      <c r="C532" s="5" t="s">
        <v>583</v>
      </c>
      <c r="D532" s="5" t="s">
        <v>600</v>
      </c>
      <c r="E532" s="13" t="s">
        <v>585</v>
      </c>
      <c r="F532" s="5">
        <v>132</v>
      </c>
      <c r="G532" s="14">
        <v>2.2000000000000002</v>
      </c>
      <c r="H532" s="14">
        <v>2</v>
      </c>
      <c r="I532" s="14">
        <v>1.2</v>
      </c>
      <c r="J532">
        <v>18.8</v>
      </c>
      <c r="K532">
        <v>20</v>
      </c>
      <c r="L532">
        <v>19.399999999999999</v>
      </c>
      <c r="M532">
        <v>0.06</v>
      </c>
      <c r="N532" s="14">
        <v>144.45641025641018</v>
      </c>
      <c r="O532" s="14">
        <v>145.65641025641017</v>
      </c>
      <c r="P532" s="14">
        <v>145.05641025641017</v>
      </c>
      <c r="Q532" s="14">
        <v>144.45641025641018</v>
      </c>
      <c r="R532" s="14">
        <v>145.65641025641017</v>
      </c>
      <c r="S532" s="14">
        <v>145.05641025641017</v>
      </c>
      <c r="T532" s="3">
        <v>145.06</v>
      </c>
      <c r="U532" s="3">
        <v>0.6</v>
      </c>
      <c r="V532" s="3">
        <v>1276.5</v>
      </c>
      <c r="W532" s="3">
        <v>1519.77</v>
      </c>
      <c r="X532" s="3">
        <v>1407.37</v>
      </c>
      <c r="Y532" s="3">
        <v>1405.33</v>
      </c>
      <c r="Z532" s="3">
        <v>121.63500000000001</v>
      </c>
      <c r="AA532" s="4">
        <v>9.0999999999999998E-2</v>
      </c>
      <c r="AB532" s="4">
        <v>8.2526849999999992E-3</v>
      </c>
      <c r="AC532">
        <v>1.1476266666666668</v>
      </c>
      <c r="AD532" s="15">
        <v>7.2122000000000002</v>
      </c>
      <c r="AE532" s="15">
        <v>2.1343000000000001</v>
      </c>
      <c r="AF532" s="15">
        <f t="shared" si="97"/>
        <v>5.0778999999999996</v>
      </c>
      <c r="AG532" s="15">
        <v>0.98667333333333329</v>
      </c>
      <c r="AH532" s="15">
        <v>83.730539988523518</v>
      </c>
      <c r="AI532" s="2">
        <v>16.269460011476482</v>
      </c>
      <c r="AJ532" s="1">
        <f t="shared" si="98"/>
        <v>0.81347300057382421</v>
      </c>
      <c r="AK532" s="13">
        <v>6.9400000000000003E-2</v>
      </c>
      <c r="AL532" s="16">
        <v>55.312298779999999</v>
      </c>
      <c r="AM532" s="10">
        <v>2.7656149390000002</v>
      </c>
      <c r="AN532" s="16">
        <v>32.083699988399069</v>
      </c>
      <c r="AO532" s="11">
        <v>2.767078963604034</v>
      </c>
      <c r="AP532" s="14">
        <v>4.1542200000000005</v>
      </c>
      <c r="AQ532" s="2">
        <f>AP532*((G532*0.01)+(H532*0.01)+(I532*0.01))</f>
        <v>0.22432788000000006</v>
      </c>
      <c r="AR532" s="15">
        <v>1.4598584892791746</v>
      </c>
      <c r="AS532" s="15">
        <v>0.23751109313742005</v>
      </c>
      <c r="AT532" s="15">
        <f t="shared" si="99"/>
        <v>1.4757687645461346E-2</v>
      </c>
      <c r="AU532" s="2">
        <f t="shared" si="100"/>
        <v>2.1613509475505225E-2</v>
      </c>
      <c r="AV532" s="2">
        <f t="shared" si="101"/>
        <v>2.5100790874142648E-3</v>
      </c>
      <c r="AW532" s="3">
        <f t="shared" si="102"/>
        <v>11.613473000573826</v>
      </c>
    </row>
    <row r="533" spans="1:49" s="5" customFormat="1" x14ac:dyDescent="0.2">
      <c r="A533" s="5" t="s">
        <v>480</v>
      </c>
      <c r="B533" s="5" t="s">
        <v>481</v>
      </c>
      <c r="C533" s="5" t="s">
        <v>583</v>
      </c>
      <c r="D533" s="5" t="s">
        <v>601</v>
      </c>
      <c r="E533" s="13" t="s">
        <v>585</v>
      </c>
      <c r="F533" s="5">
        <v>133</v>
      </c>
      <c r="G533" s="14">
        <v>2.2000000000000002</v>
      </c>
      <c r="H533" s="14">
        <v>2</v>
      </c>
      <c r="I533" s="14">
        <v>1.2</v>
      </c>
      <c r="J533">
        <v>20.059999999999999</v>
      </c>
      <c r="K533">
        <v>21.26</v>
      </c>
      <c r="L533">
        <v>20.66</v>
      </c>
      <c r="M533">
        <v>0.06</v>
      </c>
      <c r="N533" s="14">
        <v>145.71923076923068</v>
      </c>
      <c r="O533" s="14">
        <v>146.91923076923067</v>
      </c>
      <c r="P533" s="14">
        <v>146.31923076923067</v>
      </c>
      <c r="Q533" s="14">
        <v>145.71923076923068</v>
      </c>
      <c r="R533" s="14">
        <v>146.91923076923067</v>
      </c>
      <c r="S533" s="14">
        <v>146.31923076923067</v>
      </c>
      <c r="T533" s="3">
        <v>146.32</v>
      </c>
      <c r="U533" s="3">
        <v>0.6</v>
      </c>
      <c r="V533" s="3">
        <v>1302.23</v>
      </c>
      <c r="W533" s="3">
        <v>1528.09</v>
      </c>
      <c r="X533" s="3">
        <v>1419.98</v>
      </c>
      <c r="Y533" s="3">
        <v>1419.2</v>
      </c>
      <c r="Z533" s="3">
        <v>112.93</v>
      </c>
      <c r="AA533" s="4">
        <v>9.11E-2</v>
      </c>
      <c r="AB533" s="4">
        <v>7.6226649999999998E-3</v>
      </c>
      <c r="AC533">
        <v>1.1476266666666668</v>
      </c>
      <c r="AD533" s="15">
        <v>7.1391</v>
      </c>
      <c r="AE533" s="15">
        <v>2.0636000000000001</v>
      </c>
      <c r="AF533" s="15">
        <f t="shared" si="97"/>
        <v>5.0754999999999999</v>
      </c>
      <c r="AG533" s="15">
        <v>0.91597333333333331</v>
      </c>
      <c r="AH533" s="15">
        <v>84.712051904873704</v>
      </c>
      <c r="AI533" s="2">
        <v>15.287948095126296</v>
      </c>
      <c r="AJ533" s="1">
        <f t="shared" si="98"/>
        <v>0.7643974047563149</v>
      </c>
      <c r="AK533" s="13">
        <v>8.1000000000000003E-2</v>
      </c>
      <c r="AL533" s="16">
        <v>58.757637469999999</v>
      </c>
      <c r="AM533" s="10">
        <v>2.9378818735000003</v>
      </c>
      <c r="AN533" s="16">
        <v>34.082156305104405</v>
      </c>
      <c r="AO533" s="11">
        <v>2.9392600944182998</v>
      </c>
      <c r="AP533" s="14">
        <v>4.1542200000000005</v>
      </c>
      <c r="AQ533" s="2">
        <f>AP533*((G533*0.01)+(H533*0.01)+(I533*0.01))</f>
        <v>0.22432788000000006</v>
      </c>
      <c r="AR533" s="15">
        <v>1.4422619248218276</v>
      </c>
      <c r="AS533" s="15">
        <v>0.22049225446253043</v>
      </c>
      <c r="AT533" s="15">
        <f t="shared" si="99"/>
        <v>1.3592018811776916E-2</v>
      </c>
      <c r="AU533" s="2">
        <f t="shared" si="100"/>
        <v>2.0086844381536521E-2</v>
      </c>
      <c r="AV533" s="2">
        <f t="shared" si="101"/>
        <v>2.3229225103558494E-3</v>
      </c>
      <c r="AW533" s="3">
        <f t="shared" si="102"/>
        <v>11.564397404756317</v>
      </c>
    </row>
    <row r="534" spans="1:49" s="5" customFormat="1" x14ac:dyDescent="0.2">
      <c r="A534" s="5" t="s">
        <v>480</v>
      </c>
      <c r="B534" s="5" t="s">
        <v>481</v>
      </c>
      <c r="C534" s="5" t="s">
        <v>583</v>
      </c>
      <c r="D534" s="5" t="s">
        <v>602</v>
      </c>
      <c r="E534" s="13" t="s">
        <v>585</v>
      </c>
      <c r="F534" s="5">
        <v>134</v>
      </c>
      <c r="G534" s="14">
        <v>2.2999999999999998</v>
      </c>
      <c r="H534" s="14">
        <v>1.8</v>
      </c>
      <c r="I534" s="14">
        <v>1.2</v>
      </c>
      <c r="J534">
        <v>21.32</v>
      </c>
      <c r="K534">
        <v>22.52</v>
      </c>
      <c r="L534">
        <v>21.92</v>
      </c>
      <c r="M534">
        <v>0.06</v>
      </c>
      <c r="N534" s="14">
        <v>146.98205128205117</v>
      </c>
      <c r="O534" s="14">
        <v>148.18205128205116</v>
      </c>
      <c r="P534" s="14">
        <v>147.58205128205117</v>
      </c>
      <c r="Q534" s="14">
        <v>146.98205128205117</v>
      </c>
      <c r="R534" s="14">
        <v>148.18205128205116</v>
      </c>
      <c r="S534" s="14">
        <v>147.58205128205117</v>
      </c>
      <c r="T534" s="3">
        <v>147.58000000000001</v>
      </c>
      <c r="U534" s="3">
        <v>0.6</v>
      </c>
      <c r="V534" s="3">
        <v>1325.98</v>
      </c>
      <c r="W534" s="3">
        <v>1538.39</v>
      </c>
      <c r="X534" s="3">
        <v>1433.62</v>
      </c>
      <c r="Y534" s="3">
        <v>1433.06</v>
      </c>
      <c r="Z534" s="3">
        <v>106.205</v>
      </c>
      <c r="AA534" s="4">
        <v>9.0700000000000003E-2</v>
      </c>
      <c r="AB534" s="4">
        <v>7.0905849999999999E-3</v>
      </c>
      <c r="AC534">
        <v>1.1476266666666668</v>
      </c>
      <c r="AD534" s="15">
        <v>6.4263000000000003</v>
      </c>
      <c r="AE534" s="15">
        <v>2.0754999999999999</v>
      </c>
      <c r="AF534" s="15">
        <f t="shared" si="97"/>
        <v>4.3508000000000004</v>
      </c>
      <c r="AG534" s="15">
        <v>0.92787333333333311</v>
      </c>
      <c r="AH534" s="15">
        <v>82.422224776174829</v>
      </c>
      <c r="AI534" s="2">
        <v>17.577775223825171</v>
      </c>
      <c r="AJ534" s="1">
        <f t="shared" si="98"/>
        <v>0.87888876119125858</v>
      </c>
      <c r="AK534" s="13">
        <v>6.2399999999999997E-2</v>
      </c>
      <c r="AL534" s="16">
        <v>58.288770049999997</v>
      </c>
      <c r="AM534" s="10">
        <v>2.9144385024999999</v>
      </c>
      <c r="AN534" s="16">
        <v>33.810191444315542</v>
      </c>
      <c r="AO534" s="11">
        <v>2.9158278043901089</v>
      </c>
      <c r="AP534" s="14">
        <v>3.9587549999999991</v>
      </c>
      <c r="AQ534" s="2">
        <f>AP534*((G534*0.01)+(H534*0.01)+(I534*0.01))</f>
        <v>0.20981401499999996</v>
      </c>
      <c r="AR534" s="15">
        <v>1.3334175348899679</v>
      </c>
      <c r="AS534" s="15">
        <v>0.23438513707802916</v>
      </c>
      <c r="AT534" s="15">
        <f t="shared" si="99"/>
        <v>1.448239689281707E-2</v>
      </c>
      <c r="AU534" s="2">
        <f t="shared" si="100"/>
        <v>2.1258731932977247E-2</v>
      </c>
      <c r="AV534" s="2">
        <f t="shared" si="101"/>
        <v>2.4402661906263025E-3</v>
      </c>
      <c r="AW534" s="3">
        <f t="shared" si="102"/>
        <v>11.478888761191259</v>
      </c>
    </row>
    <row r="535" spans="1:49" s="5" customFormat="1" x14ac:dyDescent="0.2">
      <c r="A535" s="5" t="s">
        <v>480</v>
      </c>
      <c r="B535" s="5" t="s">
        <v>481</v>
      </c>
      <c r="C535" s="5" t="s">
        <v>583</v>
      </c>
      <c r="D535" s="5" t="s">
        <v>603</v>
      </c>
      <c r="E535" s="13" t="s">
        <v>585</v>
      </c>
      <c r="F535" s="5">
        <v>135</v>
      </c>
      <c r="G535" s="14">
        <v>2.2000000000000002</v>
      </c>
      <c r="H535" s="14">
        <v>1.9</v>
      </c>
      <c r="I535" s="14">
        <v>1.1499999999999999</v>
      </c>
      <c r="J535">
        <v>22.58</v>
      </c>
      <c r="K535">
        <v>23.78</v>
      </c>
      <c r="L535">
        <v>23.18</v>
      </c>
      <c r="M535">
        <v>0.06</v>
      </c>
      <c r="N535" s="14">
        <v>148.24487179487167</v>
      </c>
      <c r="O535" s="14">
        <v>149.39487179487168</v>
      </c>
      <c r="P535" s="14">
        <v>148.81987179487169</v>
      </c>
      <c r="Q535" s="14">
        <v>148.24487179487167</v>
      </c>
      <c r="R535" s="14">
        <v>149.39487179487168</v>
      </c>
      <c r="S535" s="14">
        <v>148.81987179487169</v>
      </c>
      <c r="T535" s="3">
        <v>148.82</v>
      </c>
      <c r="U535" s="3">
        <v>0.57499999999999996</v>
      </c>
      <c r="V535" s="3">
        <v>1346.53</v>
      </c>
      <c r="W535" s="3">
        <v>1551.25</v>
      </c>
      <c r="X535" s="3">
        <v>1448.17</v>
      </c>
      <c r="Y535" s="3">
        <v>1446.71</v>
      </c>
      <c r="Z535" s="3">
        <v>102.36</v>
      </c>
      <c r="AA535" s="4">
        <v>0.09</v>
      </c>
      <c r="AB535" s="4">
        <v>6.7155629999999999E-3</v>
      </c>
      <c r="AC535">
        <v>1.1476266666666668</v>
      </c>
      <c r="AD535" s="15">
        <v>6.7601000000000004</v>
      </c>
      <c r="AE535" s="15">
        <v>2.0644</v>
      </c>
      <c r="AF535" s="15">
        <f t="shared" si="97"/>
        <v>4.6957000000000004</v>
      </c>
      <c r="AG535" s="15">
        <v>0.91677333333333322</v>
      </c>
      <c r="AH535" s="15">
        <v>83.665430927066026</v>
      </c>
      <c r="AI535" s="2">
        <v>16.334569072933974</v>
      </c>
      <c r="AJ535" s="1">
        <f t="shared" si="98"/>
        <v>0.81672845364669877</v>
      </c>
      <c r="AK535" s="13">
        <v>4.7500000000000001E-2</v>
      </c>
      <c r="AL535" s="16">
        <v>59.157351679999998</v>
      </c>
      <c r="AM535" s="10">
        <v>2.9578675840000002</v>
      </c>
      <c r="AN535" s="16">
        <v>34.314009095127609</v>
      </c>
      <c r="AO535" s="11">
        <v>2.9592364968819234</v>
      </c>
      <c r="AP535" s="14">
        <v>3.7938068749999991</v>
      </c>
      <c r="AQ535" s="2">
        <f>AP535*((G535*0.01)+(H535*0.01)+(I535*0.01))</f>
        <v>0.19917486093749998</v>
      </c>
      <c r="AR535" s="15">
        <v>1.4793777116905391</v>
      </c>
      <c r="AS535" s="15">
        <v>0.24164997416568113</v>
      </c>
      <c r="AT535" s="15">
        <f t="shared" si="99"/>
        <v>1.4660247740939275E-2</v>
      </c>
      <c r="AU535" s="2">
        <f t="shared" si="100"/>
        <v>2.1748497674911299E-2</v>
      </c>
      <c r="AV535" s="2">
        <f t="shared" si="101"/>
        <v>2.4612184246173775E-3</v>
      </c>
      <c r="AW535" s="3">
        <f t="shared" si="102"/>
        <v>11.316728453646698</v>
      </c>
    </row>
    <row r="536" spans="1:49" s="5" customFormat="1" x14ac:dyDescent="0.2">
      <c r="A536" s="5" t="s">
        <v>480</v>
      </c>
      <c r="B536" s="5" t="s">
        <v>481</v>
      </c>
      <c r="C536" s="5" t="s">
        <v>583</v>
      </c>
      <c r="D536" s="5" t="s">
        <v>604</v>
      </c>
      <c r="E536" s="13" t="s">
        <v>585</v>
      </c>
      <c r="F536" s="5">
        <v>136</v>
      </c>
      <c r="G536" s="14">
        <v>2.15</v>
      </c>
      <c r="H536" s="14">
        <v>2.1</v>
      </c>
      <c r="I536" s="14">
        <v>1.1499999999999999</v>
      </c>
      <c r="J536">
        <v>23.84</v>
      </c>
      <c r="K536">
        <v>25.04</v>
      </c>
      <c r="L536">
        <v>24.44</v>
      </c>
      <c r="M536">
        <v>0.06</v>
      </c>
      <c r="N536" s="14">
        <v>149.45769230769218</v>
      </c>
      <c r="O536" s="14">
        <v>150.60769230769219</v>
      </c>
      <c r="P536" s="14">
        <v>150.03269230769217</v>
      </c>
      <c r="Q536" s="14">
        <v>149.45769230769218</v>
      </c>
      <c r="R536" s="14">
        <v>150.60769230769219</v>
      </c>
      <c r="S536" s="14">
        <v>150.03269230769217</v>
      </c>
      <c r="T536" s="3">
        <v>150.03</v>
      </c>
      <c r="U536" s="3">
        <v>0.57499999999999996</v>
      </c>
      <c r="V536" s="3">
        <v>1361.69</v>
      </c>
      <c r="W536" s="3">
        <v>1561.5</v>
      </c>
      <c r="X536" s="3">
        <v>1461.69</v>
      </c>
      <c r="Y536" s="3">
        <v>1460.18</v>
      </c>
      <c r="Z536" s="3">
        <v>99.905000000000001</v>
      </c>
      <c r="AA536" s="4">
        <v>6.2300000000000001E-2</v>
      </c>
      <c r="AB536" s="4">
        <v>4.5013129999999998E-3</v>
      </c>
      <c r="AC536">
        <v>1.1476266666666668</v>
      </c>
      <c r="AD536" s="15">
        <v>6.6932</v>
      </c>
      <c r="AE536" s="15">
        <v>2.0097</v>
      </c>
      <c r="AF536" s="15">
        <f t="shared" si="97"/>
        <v>4.6835000000000004</v>
      </c>
      <c r="AG536" s="15">
        <v>0.86207333333333325</v>
      </c>
      <c r="AH536" s="15">
        <v>84.454748291730581</v>
      </c>
      <c r="AI536" s="2">
        <v>15.545251708269419</v>
      </c>
      <c r="AJ536" s="1">
        <f t="shared" si="98"/>
        <v>0.77726258541347093</v>
      </c>
      <c r="AK536" s="13">
        <v>9.5699999999999993E-2</v>
      </c>
      <c r="AL536" s="16">
        <v>44.133099819999998</v>
      </c>
      <c r="AM536" s="10">
        <v>2.2066549910000002</v>
      </c>
      <c r="AN536" s="16">
        <v>25.599245835266821</v>
      </c>
      <c r="AO536" s="11">
        <v>2.2084895855097915</v>
      </c>
      <c r="AP536" s="14">
        <v>4.0764804687499998</v>
      </c>
      <c r="AQ536" s="2">
        <f>AP536*((G536*0.01)+(H536*0.01)+(I536*0.01))</f>
        <v>0.22012994531249996</v>
      </c>
      <c r="AR536" s="15">
        <v>1.3603826575020515</v>
      </c>
      <c r="AS536" s="15">
        <v>0.21147490830433854</v>
      </c>
      <c r="AT536" s="15">
        <f t="shared" si="99"/>
        <v>1.3063360388221349E-2</v>
      </c>
      <c r="AU536" s="2">
        <f t="shared" si="100"/>
        <v>1.3174886787360292E-2</v>
      </c>
      <c r="AV536" s="2">
        <f t="shared" si="101"/>
        <v>1.5252912387036458E-3</v>
      </c>
      <c r="AW536" s="3">
        <f t="shared" si="102"/>
        <v>11.577262585413472</v>
      </c>
    </row>
    <row r="537" spans="1:49" s="5" customFormat="1" x14ac:dyDescent="0.2">
      <c r="A537" s="5" t="s">
        <v>480</v>
      </c>
      <c r="B537" s="5" t="s">
        <v>481</v>
      </c>
      <c r="C537" s="5" t="s">
        <v>583</v>
      </c>
      <c r="D537" s="5" t="s">
        <v>605</v>
      </c>
      <c r="E537" s="13" t="s">
        <v>585</v>
      </c>
      <c r="F537" s="5">
        <v>137</v>
      </c>
      <c r="G537" s="14">
        <v>2</v>
      </c>
      <c r="H537" s="14">
        <v>2.2999999999999998</v>
      </c>
      <c r="I537" s="14">
        <v>1.25</v>
      </c>
      <c r="J537">
        <v>25.1</v>
      </c>
      <c r="K537">
        <v>26.4</v>
      </c>
      <c r="L537">
        <v>25.75</v>
      </c>
      <c r="M537">
        <v>0.06</v>
      </c>
      <c r="N537" s="14">
        <v>150.6705128205127</v>
      </c>
      <c r="O537" s="14">
        <v>151.9205128205127</v>
      </c>
      <c r="P537" s="14">
        <v>151.2955128205127</v>
      </c>
      <c r="Q537" s="14">
        <v>150.6705128205127</v>
      </c>
      <c r="R537" s="14">
        <v>151.9205128205127</v>
      </c>
      <c r="S537" s="14">
        <v>151.2955128205127</v>
      </c>
      <c r="T537" s="3">
        <v>151.30000000000001</v>
      </c>
      <c r="U537" s="3">
        <v>0.625</v>
      </c>
      <c r="V537" s="3">
        <v>1378.35</v>
      </c>
      <c r="W537" s="3">
        <v>1586.48</v>
      </c>
      <c r="X537" s="3">
        <v>1481.05</v>
      </c>
      <c r="Y537" s="3">
        <v>1480.45</v>
      </c>
      <c r="Z537" s="3">
        <v>104.065</v>
      </c>
      <c r="AA537" s="4">
        <v>6.3100000000000003E-2</v>
      </c>
      <c r="AB537" s="4">
        <v>4.6961340000000002E-3</v>
      </c>
      <c r="AC537">
        <v>1.1476266666666668</v>
      </c>
      <c r="AD537" s="15">
        <v>7.5008999999999997</v>
      </c>
      <c r="AE537" s="15">
        <v>2.1606999999999998</v>
      </c>
      <c r="AF537" s="15">
        <f t="shared" si="97"/>
        <v>5.3401999999999994</v>
      </c>
      <c r="AG537" s="15">
        <v>1.013073333333333</v>
      </c>
      <c r="AH537" s="15">
        <v>84.05430901236214</v>
      </c>
      <c r="AI537" s="2">
        <v>15.94569098763786</v>
      </c>
      <c r="AJ537" s="1">
        <f t="shared" si="98"/>
        <v>0.79728454938189308</v>
      </c>
      <c r="AK537" s="13">
        <v>3.2599999999999997E-2</v>
      </c>
      <c r="AL537" s="16">
        <v>67.103935419999999</v>
      </c>
      <c r="AM537" s="10">
        <v>3.3551967710000001</v>
      </c>
      <c r="AN537" s="16">
        <v>38.923396415313228</v>
      </c>
      <c r="AO537" s="11">
        <v>3.3564036366517107</v>
      </c>
      <c r="AP537" s="14">
        <v>4.5358281250000001</v>
      </c>
      <c r="AQ537" s="2">
        <f>AP537*((G537*0.01)+(H537*0.01)+(I537*0.01))</f>
        <v>0.25173846093749996</v>
      </c>
      <c r="AR537" s="15">
        <v>1.4006865247640601</v>
      </c>
      <c r="AS537" s="15">
        <v>0.22334914494436076</v>
      </c>
      <c r="AT537" s="15">
        <f t="shared" si="99"/>
        <v>1.417660576822998E-2</v>
      </c>
      <c r="AU537" s="2">
        <f t="shared" si="100"/>
        <v>1.4093331045989164E-2</v>
      </c>
      <c r="AV537" s="2">
        <f t="shared" si="101"/>
        <v>1.6767236970277103E-3</v>
      </c>
      <c r="AW537" s="3">
        <f t="shared" si="102"/>
        <v>11.897284549381892</v>
      </c>
    </row>
    <row r="538" spans="1:49" s="5" customFormat="1" x14ac:dyDescent="0.2">
      <c r="A538" s="5" t="s">
        <v>480</v>
      </c>
      <c r="B538" s="5" t="s">
        <v>481</v>
      </c>
      <c r="C538" s="5" t="s">
        <v>583</v>
      </c>
      <c r="D538" s="5" t="s">
        <v>606</v>
      </c>
      <c r="E538" s="13" t="s">
        <v>585</v>
      </c>
      <c r="F538" s="5">
        <v>138</v>
      </c>
      <c r="G538" s="14">
        <v>2.2000000000000002</v>
      </c>
      <c r="H538" s="14">
        <v>2</v>
      </c>
      <c r="I538" s="14">
        <v>1.1000000000000001</v>
      </c>
      <c r="J538">
        <v>26.46</v>
      </c>
      <c r="K538">
        <v>27.56</v>
      </c>
      <c r="L538">
        <v>27.01</v>
      </c>
      <c r="M538">
        <v>0.06</v>
      </c>
      <c r="N538" s="14">
        <v>151.98333333333321</v>
      </c>
      <c r="O538" s="14">
        <v>153.0833333333332</v>
      </c>
      <c r="P538" s="14">
        <v>152.53333333333319</v>
      </c>
      <c r="Q538" s="14">
        <v>151.98333333333321</v>
      </c>
      <c r="R538" s="14">
        <v>153.0833333333332</v>
      </c>
      <c r="S538" s="14">
        <v>152.53333333333319</v>
      </c>
      <c r="T538" s="3">
        <v>152.53</v>
      </c>
      <c r="U538" s="3">
        <v>0.55000000000000004</v>
      </c>
      <c r="V538" s="3">
        <v>1388.95</v>
      </c>
      <c r="W538" s="3">
        <v>1629.02</v>
      </c>
      <c r="X538" s="3">
        <v>1500.06</v>
      </c>
      <c r="Y538" s="3">
        <v>1500.08</v>
      </c>
      <c r="Z538" s="3">
        <v>120.035</v>
      </c>
      <c r="AA538" s="4">
        <v>6.2300000000000001E-2</v>
      </c>
      <c r="AB538" s="4">
        <v>5.2098320000000002E-3</v>
      </c>
      <c r="AC538">
        <v>1.1476266666666668</v>
      </c>
      <c r="AD538" s="15">
        <v>7.0115999999999996</v>
      </c>
      <c r="AE538" s="15">
        <v>2.2383000000000002</v>
      </c>
      <c r="AF538" s="15">
        <f t="shared" si="97"/>
        <v>4.773299999999999</v>
      </c>
      <c r="AG538" s="15">
        <v>1.0906733333333334</v>
      </c>
      <c r="AH538" s="15">
        <v>81.400438383075866</v>
      </c>
      <c r="AI538" s="2">
        <v>18.599561616924134</v>
      </c>
      <c r="AJ538" s="1">
        <f t="shared" si="98"/>
        <v>0.92997808084620681</v>
      </c>
      <c r="AK538" s="13">
        <v>7.9100000000000004E-2</v>
      </c>
      <c r="AL538" s="16">
        <v>52.435357789999998</v>
      </c>
      <c r="AM538" s="10">
        <v>2.6217678895000001</v>
      </c>
      <c r="AN538" s="16">
        <v>30.414940713457074</v>
      </c>
      <c r="AO538" s="11">
        <v>2.6233121938521315</v>
      </c>
      <c r="AP538" s="14">
        <v>3.8080350000000007</v>
      </c>
      <c r="AQ538" s="2">
        <f>AP538*((G538*0.01)+(H538*0.01)+(I538*0.01))</f>
        <v>0.20182585500000005</v>
      </c>
      <c r="AR538" s="15">
        <v>1.5398948101404877</v>
      </c>
      <c r="AS538" s="15">
        <v>0.28641368404789691</v>
      </c>
      <c r="AT538" s="15">
        <f t="shared" si="99"/>
        <v>1.7843509736728089E-2</v>
      </c>
      <c r="AU538" s="2">
        <f t="shared" si="100"/>
        <v>1.7843572516183979E-2</v>
      </c>
      <c r="AV538" s="2">
        <f t="shared" si="101"/>
        <v>2.057359999955911E-3</v>
      </c>
      <c r="AW538" s="3">
        <f t="shared" si="102"/>
        <v>11.529978080846208</v>
      </c>
    </row>
    <row r="539" spans="1:49" s="5" customFormat="1" x14ac:dyDescent="0.2">
      <c r="A539" s="5" t="s">
        <v>480</v>
      </c>
      <c r="B539" s="5" t="s">
        <v>481</v>
      </c>
      <c r="C539" s="5" t="s">
        <v>583</v>
      </c>
      <c r="D539" s="5" t="s">
        <v>607</v>
      </c>
      <c r="E539" s="13" t="s">
        <v>585</v>
      </c>
      <c r="F539" s="5">
        <v>139</v>
      </c>
      <c r="G539" s="14">
        <v>2.2000000000000002</v>
      </c>
      <c r="H539" s="14">
        <v>2.15</v>
      </c>
      <c r="I539" s="14">
        <v>1.2</v>
      </c>
      <c r="J539">
        <v>27.62</v>
      </c>
      <c r="K539">
        <v>28.82</v>
      </c>
      <c r="L539">
        <v>28.22</v>
      </c>
      <c r="M539">
        <v>0.06</v>
      </c>
      <c r="N539" s="14">
        <v>153.14615384615371</v>
      </c>
      <c r="O539" s="14">
        <v>154.3461538461537</v>
      </c>
      <c r="P539" s="14">
        <v>153.7461538461537</v>
      </c>
      <c r="Q539" s="14">
        <v>153.14615384615371</v>
      </c>
      <c r="R539" s="14">
        <v>154.3461538461537</v>
      </c>
      <c r="S539" s="14">
        <v>153.7461538461537</v>
      </c>
      <c r="T539" s="3">
        <v>153.75</v>
      </c>
      <c r="U539" s="3">
        <v>0.6</v>
      </c>
      <c r="V539" s="3">
        <v>1396.56</v>
      </c>
      <c r="W539" s="3">
        <v>1676.34</v>
      </c>
      <c r="X539" s="3">
        <v>1515.59</v>
      </c>
      <c r="Y539" s="3">
        <v>1519.56</v>
      </c>
      <c r="Z539" s="3">
        <v>139.88999999999999</v>
      </c>
      <c r="AA539" s="4">
        <v>6.2799999999999995E-2</v>
      </c>
      <c r="AB539" s="4">
        <v>6.0264130000000004E-3</v>
      </c>
      <c r="AC539">
        <v>1.1476266666666668</v>
      </c>
      <c r="AD539" s="15">
        <v>7.7495000000000003</v>
      </c>
      <c r="AE539" s="15">
        <v>2.4028999999999998</v>
      </c>
      <c r="AF539" s="15">
        <f t="shared" si="97"/>
        <v>5.3466000000000005</v>
      </c>
      <c r="AG539" s="15">
        <v>1.255273333333333</v>
      </c>
      <c r="AH539" s="15">
        <v>80.986103944234017</v>
      </c>
      <c r="AI539" s="2">
        <v>19.013896055765983</v>
      </c>
      <c r="AJ539" s="1">
        <f t="shared" si="98"/>
        <v>0.95069480278829921</v>
      </c>
      <c r="AK539" s="13">
        <v>8.8599999999999998E-2</v>
      </c>
      <c r="AL539" s="16">
        <v>47.69775679</v>
      </c>
      <c r="AM539" s="10">
        <v>2.3848878395000002</v>
      </c>
      <c r="AN539" s="16">
        <v>27.666912291183294</v>
      </c>
      <c r="AO539" s="11">
        <v>2.3865854283882189</v>
      </c>
      <c r="AP539" s="14">
        <v>4.4562487499999994</v>
      </c>
      <c r="AQ539" s="2">
        <f>AP539*((G539*0.01)+(H539*0.01)+(I539*0.01))</f>
        <v>0.24732180562499995</v>
      </c>
      <c r="AR539" s="15">
        <v>1.4814867175745821</v>
      </c>
      <c r="AS539" s="15">
        <v>0.28168834455961039</v>
      </c>
      <c r="AT539" s="15">
        <f t="shared" si="99"/>
        <v>1.8311699574846987E-2</v>
      </c>
      <c r="AU539" s="2">
        <f t="shared" si="100"/>
        <v>1.769002803834353E-2</v>
      </c>
      <c r="AV539" s="2">
        <f t="shared" si="101"/>
        <v>2.1317712894284562E-3</v>
      </c>
      <c r="AW539" s="3">
        <f t="shared" si="102"/>
        <v>12.050694802788296</v>
      </c>
    </row>
    <row r="540" spans="1:49" s="5" customFormat="1" x14ac:dyDescent="0.2">
      <c r="A540" s="5" t="s">
        <v>480</v>
      </c>
      <c r="B540" s="5" t="s">
        <v>481</v>
      </c>
      <c r="C540" s="5" t="s">
        <v>583</v>
      </c>
      <c r="D540" s="5" t="s">
        <v>608</v>
      </c>
      <c r="E540" s="13" t="s">
        <v>585</v>
      </c>
      <c r="F540" s="5">
        <v>140</v>
      </c>
      <c r="G540" s="14">
        <v>2</v>
      </c>
      <c r="H540" s="14">
        <v>2.1</v>
      </c>
      <c r="I540" s="14">
        <v>1.2</v>
      </c>
      <c r="J540">
        <v>28.88</v>
      </c>
      <c r="K540">
        <v>30.08</v>
      </c>
      <c r="L540">
        <v>29.48</v>
      </c>
      <c r="M540">
        <v>0.06</v>
      </c>
      <c r="N540" s="14">
        <v>154.40897435897421</v>
      </c>
      <c r="O540" s="14">
        <v>155.60897435897419</v>
      </c>
      <c r="P540" s="14">
        <v>155.0089743589742</v>
      </c>
      <c r="Q540" s="14">
        <v>154.40897435897421</v>
      </c>
      <c r="R540" s="14">
        <v>155.60897435897419</v>
      </c>
      <c r="S540" s="14">
        <v>155.0089743589742</v>
      </c>
      <c r="T540" s="3">
        <v>155.01</v>
      </c>
      <c r="U540" s="3">
        <v>0.6</v>
      </c>
      <c r="V540" s="3">
        <v>1404.45</v>
      </c>
      <c r="W540" s="3">
        <v>1727.62</v>
      </c>
      <c r="X540" s="3">
        <v>1530.46</v>
      </c>
      <c r="Y540" s="3">
        <v>1539.67</v>
      </c>
      <c r="Z540" s="3">
        <v>161.58500000000001</v>
      </c>
      <c r="AA540" s="4">
        <v>6.25E-2</v>
      </c>
      <c r="AB540" s="4">
        <v>6.8011579999999999E-3</v>
      </c>
      <c r="AC540">
        <v>1.1476266666666668</v>
      </c>
      <c r="AD540" s="15">
        <v>6.9722999999999997</v>
      </c>
      <c r="AE540" s="15">
        <v>2.1042000000000001</v>
      </c>
      <c r="AF540" s="15">
        <f t="shared" si="97"/>
        <v>4.8681000000000001</v>
      </c>
      <c r="AG540" s="15">
        <v>0.95657333333333328</v>
      </c>
      <c r="AH540" s="15">
        <v>83.577219208859788</v>
      </c>
      <c r="AI540" s="2">
        <v>16.422780791140212</v>
      </c>
      <c r="AJ540" s="1">
        <f t="shared" si="98"/>
        <v>0.82113903955701062</v>
      </c>
      <c r="AK540" s="13">
        <v>0.14499999999999999</v>
      </c>
      <c r="AL540" s="16">
        <v>39.908827189999997</v>
      </c>
      <c r="AM540" s="10">
        <v>1.9954413595</v>
      </c>
      <c r="AN540" s="16">
        <v>23.148971687935035</v>
      </c>
      <c r="AO540" s="11">
        <v>1.9974699545182673</v>
      </c>
      <c r="AP540" s="14">
        <v>3.9587549999999991</v>
      </c>
      <c r="AQ540" s="2">
        <f>AP540*((G540*0.01)+(H540*0.01)+(I540*0.01))</f>
        <v>0.20981401499999996</v>
      </c>
      <c r="AR540" s="15">
        <v>1.4713396846567506</v>
      </c>
      <c r="AS540" s="15">
        <v>0.24163489110423189</v>
      </c>
      <c r="AT540" s="15">
        <f t="shared" si="99"/>
        <v>1.4790807652572209E-2</v>
      </c>
      <c r="AU540" s="2">
        <f t="shared" si="100"/>
        <v>1.5102180694014493E-2</v>
      </c>
      <c r="AV540" s="2">
        <f t="shared" si="101"/>
        <v>1.7248410550685313E-3</v>
      </c>
      <c r="AW540" s="3">
        <f t="shared" si="102"/>
        <v>11.421139039557012</v>
      </c>
    </row>
    <row r="541" spans="1:49" s="5" customFormat="1" x14ac:dyDescent="0.2">
      <c r="A541" s="5" t="s">
        <v>480</v>
      </c>
      <c r="B541" s="5" t="s">
        <v>481</v>
      </c>
      <c r="C541" s="5" t="s">
        <v>583</v>
      </c>
      <c r="D541" s="5" t="s">
        <v>609</v>
      </c>
      <c r="E541" s="13" t="s">
        <v>585</v>
      </c>
      <c r="F541" s="5">
        <v>141</v>
      </c>
      <c r="G541" s="14">
        <v>2.2000000000000002</v>
      </c>
      <c r="H541" s="14">
        <v>2.1</v>
      </c>
      <c r="I541" s="14">
        <v>1.1499999999999999</v>
      </c>
      <c r="J541">
        <v>30.14</v>
      </c>
      <c r="K541">
        <v>31.34</v>
      </c>
      <c r="L541">
        <v>30.74</v>
      </c>
      <c r="M541">
        <v>0.06</v>
      </c>
      <c r="N541" s="14">
        <v>155.6717948717947</v>
      </c>
      <c r="O541" s="14">
        <v>156.82179487179471</v>
      </c>
      <c r="P541" s="14">
        <v>156.24679487179469</v>
      </c>
      <c r="Q541" s="14">
        <v>155.6717948717947</v>
      </c>
      <c r="R541" s="14">
        <v>156.82179487179471</v>
      </c>
      <c r="S541" s="14">
        <v>156.24679487179469</v>
      </c>
      <c r="T541" s="3">
        <v>156.25</v>
      </c>
      <c r="U541" s="3">
        <v>0.57499999999999996</v>
      </c>
      <c r="V541" s="3">
        <v>1409.94</v>
      </c>
      <c r="W541" s="3">
        <v>1780.3</v>
      </c>
      <c r="X541" s="3">
        <v>1545.01</v>
      </c>
      <c r="Y541" s="3">
        <v>1559.46</v>
      </c>
      <c r="Z541" s="3">
        <v>185.18</v>
      </c>
      <c r="AA541" s="4">
        <v>6.3100000000000003E-2</v>
      </c>
      <c r="AB541" s="4">
        <v>7.7250950000000004E-3</v>
      </c>
      <c r="AC541">
        <v>1.1476266666666668</v>
      </c>
      <c r="AD541" s="15">
        <v>7.4912999999999998</v>
      </c>
      <c r="AE541" s="15">
        <v>2.3397000000000001</v>
      </c>
      <c r="AF541" s="15">
        <f t="shared" si="97"/>
        <v>5.1516000000000002</v>
      </c>
      <c r="AG541" s="15">
        <v>1.1920733333333333</v>
      </c>
      <c r="AH541" s="15">
        <v>81.208469120414989</v>
      </c>
      <c r="AI541" s="2">
        <v>18.791530879585011</v>
      </c>
      <c r="AJ541" s="1">
        <f t="shared" si="98"/>
        <v>0.93957654397925061</v>
      </c>
      <c r="AK541" s="13">
        <v>5.1299999999999998E-2</v>
      </c>
      <c r="AL541" s="16">
        <v>60.077821010000001</v>
      </c>
      <c r="AM541" s="10">
        <v>3.0038910505</v>
      </c>
      <c r="AN541" s="16">
        <v>34.847924019721582</v>
      </c>
      <c r="AO541" s="11">
        <v>3.0052389993599502</v>
      </c>
      <c r="AP541" s="14">
        <v>4.1729618750000013</v>
      </c>
      <c r="AQ541" s="2">
        <f>AP541*((G541*0.01)+(H541*0.01)+(I541*0.01))</f>
        <v>0.22742642218750009</v>
      </c>
      <c r="AR541" s="15">
        <v>1.5201848287514803</v>
      </c>
      <c r="AS541" s="15">
        <v>0.28566600152160099</v>
      </c>
      <c r="AT541" s="15">
        <f t="shared" si="99"/>
        <v>1.8252847827347627E-2</v>
      </c>
      <c r="AU541" s="2">
        <f t="shared" si="100"/>
        <v>1.8025524696013023E-2</v>
      </c>
      <c r="AV541" s="2">
        <f t="shared" si="101"/>
        <v>2.1341457938383454E-3</v>
      </c>
      <c r="AW541" s="3">
        <f t="shared" si="102"/>
        <v>11.839576543979254</v>
      </c>
    </row>
    <row r="542" spans="1:49" s="5" customFormat="1" x14ac:dyDescent="0.2">
      <c r="A542" s="5" t="s">
        <v>480</v>
      </c>
      <c r="B542" s="5" t="s">
        <v>481</v>
      </c>
      <c r="C542" s="5" t="s">
        <v>583</v>
      </c>
      <c r="D542" s="5" t="s">
        <v>610</v>
      </c>
      <c r="E542" s="13" t="s">
        <v>585</v>
      </c>
      <c r="F542" s="5">
        <v>142</v>
      </c>
      <c r="G542" s="14">
        <v>2.0499999999999998</v>
      </c>
      <c r="H542" s="14">
        <v>2.0499999999999998</v>
      </c>
      <c r="I542" s="14">
        <v>1.1000000000000001</v>
      </c>
      <c r="J542">
        <v>31.4</v>
      </c>
      <c r="K542">
        <v>32.5</v>
      </c>
      <c r="L542">
        <v>31.95</v>
      </c>
      <c r="M542">
        <v>0.06</v>
      </c>
      <c r="N542" s="14">
        <v>156.88461538461522</v>
      </c>
      <c r="O542" s="14">
        <v>157.98461538461521</v>
      </c>
      <c r="P542" s="14">
        <v>157.4346153846152</v>
      </c>
      <c r="Q542" s="14">
        <v>156.88461538461522</v>
      </c>
      <c r="R542" s="14">
        <v>157.98461538461521</v>
      </c>
      <c r="S542" s="14">
        <v>157.4346153846152</v>
      </c>
      <c r="T542" s="3">
        <v>157.43</v>
      </c>
      <c r="U542" s="3">
        <v>0.55000000000000004</v>
      </c>
      <c r="V542" s="3">
        <v>1415.98</v>
      </c>
      <c r="W542" s="3">
        <v>1829.09</v>
      </c>
      <c r="X542" s="3">
        <v>1559.86</v>
      </c>
      <c r="Y542" s="3">
        <v>1578.29</v>
      </c>
      <c r="Z542" s="3">
        <v>206.55500000000001</v>
      </c>
      <c r="AA542" s="4">
        <v>6.2199999999999998E-2</v>
      </c>
      <c r="AB542" s="4">
        <v>8.3575820000000006E-3</v>
      </c>
      <c r="AC542">
        <v>1.1476266666666668</v>
      </c>
      <c r="AD542" s="15">
        <v>6.4881000000000002</v>
      </c>
      <c r="AE542" s="15">
        <v>2.1166</v>
      </c>
      <c r="AF542" s="15">
        <f t="shared" si="97"/>
        <v>4.3715000000000002</v>
      </c>
      <c r="AG542" s="15">
        <v>0.96897333333333324</v>
      </c>
      <c r="AH542" s="15">
        <v>81.856040226147243</v>
      </c>
      <c r="AI542" s="2">
        <v>18.143959773852757</v>
      </c>
      <c r="AJ542" s="1">
        <f t="shared" si="98"/>
        <v>0.9071979886926379</v>
      </c>
      <c r="AK542" s="13">
        <v>6.7199999999999996E-2</v>
      </c>
      <c r="AL542" s="16">
        <v>49.511645379999997</v>
      </c>
      <c r="AM542" s="10">
        <v>2.4755822690000002</v>
      </c>
      <c r="AN542" s="16">
        <v>28.719051844547561</v>
      </c>
      <c r="AO542" s="11">
        <v>2.4772177075475601</v>
      </c>
      <c r="AP542" s="14">
        <v>3.6288587499999996</v>
      </c>
      <c r="AQ542" s="2">
        <f>AP542*((G542*0.01)+(H542*0.01)+(I542*0.01))</f>
        <v>0.18870065499999997</v>
      </c>
      <c r="AR542" s="15">
        <v>1.4716674583526665</v>
      </c>
      <c r="AS542" s="15">
        <v>0.26701875164838901</v>
      </c>
      <c r="AT542" s="15">
        <f t="shared" si="99"/>
        <v>1.6307363830102603E-2</v>
      </c>
      <c r="AU542" s="2">
        <f t="shared" si="100"/>
        <v>1.6608566352529795E-2</v>
      </c>
      <c r="AV542" s="2">
        <f t="shared" si="101"/>
        <v>1.8779634805639314E-3</v>
      </c>
      <c r="AW542" s="3">
        <f t="shared" si="102"/>
        <v>11.307197988692637</v>
      </c>
    </row>
    <row r="543" spans="1:49" s="5" customFormat="1" x14ac:dyDescent="0.2">
      <c r="A543" s="5" t="s">
        <v>480</v>
      </c>
      <c r="B543" s="5" t="s">
        <v>481</v>
      </c>
      <c r="C543" s="5" t="s">
        <v>583</v>
      </c>
      <c r="D543" s="5" t="s">
        <v>611</v>
      </c>
      <c r="E543" s="13" t="s">
        <v>585</v>
      </c>
      <c r="F543" s="5">
        <v>143</v>
      </c>
      <c r="G543" s="14">
        <v>2.0499999999999998</v>
      </c>
      <c r="H543" s="14">
        <v>2.2000000000000002</v>
      </c>
      <c r="I543" s="14">
        <v>1.1000000000000001</v>
      </c>
      <c r="J543">
        <v>32.56</v>
      </c>
      <c r="K543">
        <v>33.659999999999997</v>
      </c>
      <c r="L543">
        <v>33.11</v>
      </c>
      <c r="M543">
        <v>0.06</v>
      </c>
      <c r="N543" s="14">
        <v>158.04743589743572</v>
      </c>
      <c r="O543" s="14">
        <v>159.14743589743571</v>
      </c>
      <c r="P543" s="14">
        <v>158.59743589743573</v>
      </c>
      <c r="Q543" s="14">
        <v>158.04743589743572</v>
      </c>
      <c r="R543" s="14">
        <v>159.14743589743571</v>
      </c>
      <c r="S543" s="14">
        <v>158.59743589743573</v>
      </c>
      <c r="T543" s="3">
        <v>158.6</v>
      </c>
      <c r="U543" s="3">
        <v>0.55000000000000004</v>
      </c>
      <c r="V543" s="3">
        <v>1419.72</v>
      </c>
      <c r="W543" s="3">
        <v>1884.51</v>
      </c>
      <c r="X543" s="3">
        <v>1574.89</v>
      </c>
      <c r="Y543" s="3">
        <v>1596.97</v>
      </c>
      <c r="Z543" s="3">
        <v>232.39500000000001</v>
      </c>
      <c r="AA543" s="4">
        <v>6.2799999999999995E-2</v>
      </c>
      <c r="AB543" s="4">
        <v>9.3565909999999992E-3</v>
      </c>
      <c r="AC543">
        <v>1.1476266666666668</v>
      </c>
      <c r="AD543" s="15">
        <v>7.5368000000000004</v>
      </c>
      <c r="AE543" s="15">
        <v>2.6442000000000001</v>
      </c>
      <c r="AF543" s="15">
        <f t="shared" si="97"/>
        <v>4.8925999999999998</v>
      </c>
      <c r="AG543" s="15">
        <v>1.4965733333333333</v>
      </c>
      <c r="AH543" s="15">
        <v>76.576416771705468</v>
      </c>
      <c r="AI543" s="2">
        <v>23.423583228294532</v>
      </c>
      <c r="AJ543" s="1">
        <f t="shared" si="98"/>
        <v>1.1711791614147267</v>
      </c>
      <c r="AK543" s="13">
        <v>9.9599999999999994E-2</v>
      </c>
      <c r="AL543" s="16">
        <v>45.424657529999998</v>
      </c>
      <c r="AM543" s="10">
        <v>2.2712328765000001</v>
      </c>
      <c r="AN543" s="16">
        <v>26.348409240139212</v>
      </c>
      <c r="AO543" s="11">
        <v>2.2730153495510019</v>
      </c>
      <c r="AP543" s="14">
        <v>3.8992421875000005</v>
      </c>
      <c r="AQ543" s="2">
        <f>AP543*((G543*0.01)+(H543*0.01)+(I543*0.01))</f>
        <v>0.20860945703125003</v>
      </c>
      <c r="AR543" s="15">
        <v>1.6385679642612179</v>
      </c>
      <c r="AS543" s="15">
        <v>0.38381133086089775</v>
      </c>
      <c r="AT543" s="15">
        <f t="shared" si="99"/>
        <v>2.5029024527249394E-2</v>
      </c>
      <c r="AU543" s="2">
        <f t="shared" si="100"/>
        <v>2.4103351578064376E-2</v>
      </c>
      <c r="AV543" s="2">
        <f t="shared" si="101"/>
        <v>2.8613520497377059E-3</v>
      </c>
      <c r="AW543" s="3">
        <f t="shared" si="102"/>
        <v>11.871179161414727</v>
      </c>
    </row>
    <row r="544" spans="1:49" s="5" customFormat="1" x14ac:dyDescent="0.2">
      <c r="A544" s="5" t="s">
        <v>480</v>
      </c>
      <c r="B544" s="5" t="s">
        <v>481</v>
      </c>
      <c r="C544" s="5" t="s">
        <v>583</v>
      </c>
      <c r="D544" s="5" t="s">
        <v>612</v>
      </c>
      <c r="E544" s="13" t="s">
        <v>585</v>
      </c>
      <c r="F544" s="5">
        <v>144</v>
      </c>
      <c r="G544" s="14">
        <v>2</v>
      </c>
      <c r="H544" s="14">
        <v>2.2000000000000002</v>
      </c>
      <c r="I544" s="14">
        <v>1.1000000000000001</v>
      </c>
      <c r="J544">
        <v>33.72</v>
      </c>
      <c r="K544">
        <v>34.82</v>
      </c>
      <c r="L544">
        <v>34.270000000000003</v>
      </c>
      <c r="M544">
        <v>0.06</v>
      </c>
      <c r="N544" s="14">
        <v>159.21025641025622</v>
      </c>
      <c r="O544" s="14">
        <v>160.31025641025622</v>
      </c>
      <c r="P544" s="14">
        <v>159.7602564102562</v>
      </c>
      <c r="Q544" s="14">
        <v>159.21025641025622</v>
      </c>
      <c r="R544" s="14">
        <v>160.31025641025622</v>
      </c>
      <c r="S544" s="14">
        <v>159.7602564102562</v>
      </c>
      <c r="T544" s="3">
        <v>159.76</v>
      </c>
      <c r="U544" s="3">
        <v>0.55000000000000004</v>
      </c>
      <c r="V544" s="3">
        <v>1424.02</v>
      </c>
      <c r="W544" s="3">
        <v>1935.53</v>
      </c>
      <c r="X544" s="3">
        <v>1589.19</v>
      </c>
      <c r="Y544" s="3">
        <v>1615.49</v>
      </c>
      <c r="Z544" s="3">
        <v>255.755</v>
      </c>
      <c r="AA544" s="4">
        <v>6.8900000000000003E-2</v>
      </c>
      <c r="AB544" s="4">
        <v>1.1145047999999999E-2</v>
      </c>
      <c r="AC544">
        <v>1.1476266666666668</v>
      </c>
      <c r="AD544" s="15">
        <v>7.4945000000000004</v>
      </c>
      <c r="AE544" s="15">
        <v>3.0874000000000001</v>
      </c>
      <c r="AF544" s="15">
        <f t="shared" si="97"/>
        <v>4.4070999999999998</v>
      </c>
      <c r="AG544" s="15">
        <v>1.9397733333333333</v>
      </c>
      <c r="AH544" s="15">
        <v>69.437339750491319</v>
      </c>
      <c r="AI544" s="2">
        <v>30.562660249508681</v>
      </c>
      <c r="AJ544" s="1">
        <f t="shared" si="98"/>
        <v>1.5281330124754342</v>
      </c>
      <c r="AK544" s="13">
        <v>0.15709999999999999</v>
      </c>
      <c r="AL544" s="16">
        <v>24.032882010000002</v>
      </c>
      <c r="AM544" s="10">
        <v>1.2016441005000003</v>
      </c>
      <c r="AN544" s="16">
        <v>13.94018678074246</v>
      </c>
      <c r="AO544" s="11">
        <v>1.2050097693655661</v>
      </c>
      <c r="AP544" s="14">
        <v>3.8080350000000007</v>
      </c>
      <c r="AQ544" s="2">
        <f>AP544*((G544*0.01)+(H544*0.01)+(I544*0.01))</f>
        <v>0.20182585500000005</v>
      </c>
      <c r="AR544" s="15">
        <v>1.6667056193898777</v>
      </c>
      <c r="AS544" s="15">
        <v>0.50938957581359756</v>
      </c>
      <c r="AT544" s="15">
        <f t="shared" si="99"/>
        <v>3.478179778823684E-2</v>
      </c>
      <c r="AU544" s="2">
        <f t="shared" si="100"/>
        <v>3.5096941773556871E-2</v>
      </c>
      <c r="AV544" s="2">
        <f t="shared" si="101"/>
        <v>4.2566037816080321E-3</v>
      </c>
      <c r="AW544" s="3">
        <f t="shared" si="102"/>
        <v>12.128133012475434</v>
      </c>
    </row>
    <row r="545" spans="1:49" s="5" customFormat="1" x14ac:dyDescent="0.2">
      <c r="A545" s="5" t="s">
        <v>480</v>
      </c>
      <c r="B545" s="5" t="s">
        <v>481</v>
      </c>
      <c r="C545" s="5" t="s">
        <v>583</v>
      </c>
      <c r="D545" s="5" t="s">
        <v>613</v>
      </c>
      <c r="E545" s="13" t="s">
        <v>585</v>
      </c>
      <c r="F545" s="5">
        <v>145</v>
      </c>
      <c r="G545" s="14">
        <v>2</v>
      </c>
      <c r="H545" s="14">
        <v>2</v>
      </c>
      <c r="I545" s="14">
        <v>1.2</v>
      </c>
      <c r="J545">
        <v>34.880000000000003</v>
      </c>
      <c r="K545">
        <v>36.08</v>
      </c>
      <c r="L545">
        <v>35.479999999999997</v>
      </c>
      <c r="M545">
        <v>0.06</v>
      </c>
      <c r="N545" s="14">
        <v>160.37307692307672</v>
      </c>
      <c r="O545" s="14">
        <v>161.57307692307671</v>
      </c>
      <c r="P545" s="14">
        <v>160.97307692307672</v>
      </c>
      <c r="Q545" s="14">
        <v>160.37307692307672</v>
      </c>
      <c r="R545" s="14">
        <v>161.57307692307671</v>
      </c>
      <c r="S545" s="14">
        <v>160.97307692307672</v>
      </c>
      <c r="T545" s="3">
        <v>160.97</v>
      </c>
      <c r="U545" s="3">
        <v>0.6</v>
      </c>
      <c r="V545" s="3">
        <v>1434.83</v>
      </c>
      <c r="W545" s="3">
        <v>1956.32</v>
      </c>
      <c r="X545" s="3">
        <v>1605.87</v>
      </c>
      <c r="Y545" s="3">
        <v>1633.1</v>
      </c>
      <c r="Z545" s="3">
        <v>260.745</v>
      </c>
      <c r="AA545" s="4">
        <v>7.0000000000000007E-2</v>
      </c>
      <c r="AB545" s="4">
        <v>1.1437301E-2</v>
      </c>
      <c r="AC545">
        <v>1.1476266666666668</v>
      </c>
      <c r="AD545" s="15">
        <v>6.9278000000000004</v>
      </c>
      <c r="AE545" s="15">
        <v>2.5118</v>
      </c>
      <c r="AF545" s="15">
        <f t="shared" si="97"/>
        <v>4.4160000000000004</v>
      </c>
      <c r="AG545" s="15">
        <v>1.3641733333333332</v>
      </c>
      <c r="AH545" s="15">
        <v>76.39909299144432</v>
      </c>
      <c r="AI545" s="2">
        <v>23.60090700855568</v>
      </c>
      <c r="AJ545" s="1">
        <f t="shared" si="98"/>
        <v>1.1800453504277841</v>
      </c>
      <c r="AK545" s="13">
        <v>0.1578</v>
      </c>
      <c r="AL545" s="16">
        <v>37.702329249999998</v>
      </c>
      <c r="AM545" s="10">
        <v>1.8851164625000001</v>
      </c>
      <c r="AN545" s="16">
        <v>21.869100493039443</v>
      </c>
      <c r="AO545" s="11">
        <v>1.887263648033447</v>
      </c>
      <c r="AP545" s="14">
        <v>3.7679999999999998</v>
      </c>
      <c r="AQ545" s="2">
        <f>AP545*((G545*0.01)+(H545*0.01)+(I545*0.01))</f>
        <v>0.195936</v>
      </c>
      <c r="AR545" s="15">
        <v>1.534016277423921</v>
      </c>
      <c r="AS545" s="15">
        <v>0.36204175513092712</v>
      </c>
      <c r="AT545" s="15">
        <f t="shared" si="99"/>
        <v>2.3098428164837863E-2</v>
      </c>
      <c r="AU545" s="2">
        <f t="shared" si="100"/>
        <v>2.5342922859164899E-2</v>
      </c>
      <c r="AV545" s="2">
        <f t="shared" si="101"/>
        <v>2.9347219602152254E-3</v>
      </c>
      <c r="AW545" s="3">
        <f t="shared" si="102"/>
        <v>11.580045350427785</v>
      </c>
    </row>
    <row r="546" spans="1:49" s="5" customFormat="1" x14ac:dyDescent="0.2">
      <c r="A546" s="5" t="s">
        <v>480</v>
      </c>
      <c r="B546" s="5" t="s">
        <v>481</v>
      </c>
      <c r="C546" s="5" t="s">
        <v>583</v>
      </c>
      <c r="D546" s="5" t="s">
        <v>614</v>
      </c>
      <c r="E546" s="13" t="s">
        <v>585</v>
      </c>
      <c r="F546" s="5">
        <v>146</v>
      </c>
      <c r="G546" s="14">
        <v>2</v>
      </c>
      <c r="H546" s="14">
        <v>2.1</v>
      </c>
      <c r="I546" s="14">
        <v>1.2</v>
      </c>
      <c r="J546">
        <v>36.14</v>
      </c>
      <c r="K546">
        <v>37.340000000000003</v>
      </c>
      <c r="L546">
        <v>36.74</v>
      </c>
      <c r="M546">
        <v>0.06</v>
      </c>
      <c r="N546" s="14">
        <v>161.63589743589722</v>
      </c>
      <c r="O546" s="14">
        <v>162.83589743589721</v>
      </c>
      <c r="P546" s="14">
        <v>162.23589743589721</v>
      </c>
      <c r="Q546" s="14">
        <v>161.63589743589722</v>
      </c>
      <c r="R546" s="14">
        <v>162.83589743589721</v>
      </c>
      <c r="S546" s="14">
        <v>162.23589743589721</v>
      </c>
      <c r="T546" s="3">
        <v>162.24</v>
      </c>
      <c r="U546" s="3">
        <v>0.6</v>
      </c>
      <c r="V546" s="3">
        <v>1449.59</v>
      </c>
      <c r="W546" s="3">
        <v>1972.16</v>
      </c>
      <c r="X546" s="3">
        <v>1625.87</v>
      </c>
      <c r="Y546" s="3">
        <v>1651.14</v>
      </c>
      <c r="Z546" s="3">
        <v>261.28500000000003</v>
      </c>
      <c r="AA546" s="4">
        <v>7.0499999999999993E-2</v>
      </c>
      <c r="AB546" s="4">
        <v>1.1417012000000001E-2</v>
      </c>
      <c r="AC546">
        <v>1.1476266666666668</v>
      </c>
      <c r="AD546" s="15">
        <v>7.1783999999999999</v>
      </c>
      <c r="AE546" s="15">
        <v>2.7057000000000002</v>
      </c>
      <c r="AF546" s="15">
        <f t="shared" si="97"/>
        <v>4.4726999999999997</v>
      </c>
      <c r="AG546" s="15">
        <v>1.5580733333333334</v>
      </c>
      <c r="AH546" s="15">
        <v>74.164617915225904</v>
      </c>
      <c r="AI546" s="2">
        <v>25.835382084774096</v>
      </c>
      <c r="AJ546" s="1">
        <f t="shared" si="98"/>
        <v>1.2917691042387049</v>
      </c>
      <c r="AK546" s="13">
        <v>0.16980000000000001</v>
      </c>
      <c r="AL546" s="16">
        <v>28.05084746</v>
      </c>
      <c r="AM546" s="10">
        <v>1.4025423730000002</v>
      </c>
      <c r="AN546" s="16">
        <v>16.270793190255219</v>
      </c>
      <c r="AO546" s="11">
        <v>1.4054270198272381</v>
      </c>
      <c r="AP546" s="14">
        <v>3.9587549999999991</v>
      </c>
      <c r="AQ546" s="2">
        <f>AP546*((G546*0.01)+(H546*0.01)+(I546*0.01))</f>
        <v>0.20981401499999996</v>
      </c>
      <c r="AR546" s="15">
        <v>1.5234015071236626</v>
      </c>
      <c r="AS546" s="15">
        <v>0.39357660005060524</v>
      </c>
      <c r="AT546" s="15">
        <f t="shared" si="99"/>
        <v>2.5943660723648933E-2</v>
      </c>
      <c r="AU546" s="2">
        <f t="shared" si="100"/>
        <v>2.7747150303567666E-2</v>
      </c>
      <c r="AV546" s="2">
        <f t="shared" si="101"/>
        <v>3.299627047106336E-3</v>
      </c>
      <c r="AW546" s="3">
        <f t="shared" si="102"/>
        <v>11.891769104238707</v>
      </c>
    </row>
    <row r="547" spans="1:49" s="5" customFormat="1" x14ac:dyDescent="0.2">
      <c r="A547" s="5" t="s">
        <v>480</v>
      </c>
      <c r="B547" s="5" t="s">
        <v>481</v>
      </c>
      <c r="C547" s="5" t="s">
        <v>583</v>
      </c>
      <c r="D547" s="5" t="s">
        <v>615</v>
      </c>
      <c r="E547" s="13" t="s">
        <v>585</v>
      </c>
      <c r="F547" s="5">
        <v>147</v>
      </c>
      <c r="G547" s="14">
        <v>1.8</v>
      </c>
      <c r="H547" s="14">
        <v>1.95</v>
      </c>
      <c r="I547" s="14">
        <v>1.2</v>
      </c>
      <c r="J547">
        <v>37.4</v>
      </c>
      <c r="K547">
        <v>38.6</v>
      </c>
      <c r="L547">
        <v>38</v>
      </c>
      <c r="M547">
        <v>0.06</v>
      </c>
      <c r="N547" s="14">
        <v>162.89871794871772</v>
      </c>
      <c r="O547" s="14">
        <v>164.09871794871771</v>
      </c>
      <c r="P547" s="14">
        <v>163.49871794871771</v>
      </c>
      <c r="Q547" s="14">
        <v>162.89871794871772</v>
      </c>
      <c r="R547" s="14">
        <v>164.09871794871771</v>
      </c>
      <c r="S547" s="14">
        <v>163.49871794871771</v>
      </c>
      <c r="T547" s="3">
        <v>163.5</v>
      </c>
      <c r="U547" s="3">
        <v>0.6</v>
      </c>
      <c r="V547" s="3">
        <v>1458.18</v>
      </c>
      <c r="W547" s="3">
        <v>1990.3</v>
      </c>
      <c r="X547" s="3">
        <v>1643.92</v>
      </c>
      <c r="Y547" s="3">
        <v>1669.04</v>
      </c>
      <c r="Z547" s="3">
        <v>266.06</v>
      </c>
      <c r="AA547" s="4">
        <v>7.0499999999999993E-2</v>
      </c>
      <c r="AB547" s="4">
        <v>1.149705E-2</v>
      </c>
      <c r="AC547">
        <v>1.1476266666666668</v>
      </c>
      <c r="AD547" s="15">
        <v>6.7549999999999999</v>
      </c>
      <c r="AE547" s="15">
        <v>2.2852999999999999</v>
      </c>
      <c r="AF547" s="15">
        <f t="shared" si="97"/>
        <v>4.4696999999999996</v>
      </c>
      <c r="AG547" s="15">
        <v>1.1376733333333331</v>
      </c>
      <c r="AH547" s="15">
        <v>79.711118455937793</v>
      </c>
      <c r="AI547" s="2">
        <v>20.288881544062207</v>
      </c>
      <c r="AJ547" s="1">
        <f t="shared" si="98"/>
        <v>1.0144440772031105</v>
      </c>
      <c r="AK547" s="13">
        <v>0.15260000000000001</v>
      </c>
      <c r="AL547" s="16">
        <v>33.47863993</v>
      </c>
      <c r="AM547" s="10">
        <v>1.6739319965000001</v>
      </c>
      <c r="AN547" s="16">
        <v>19.419164692575407</v>
      </c>
      <c r="AO547" s="11">
        <v>1.6763497036437465</v>
      </c>
      <c r="AP547" s="14">
        <v>3.3117187500000003</v>
      </c>
      <c r="AQ547" s="2">
        <f>AP547*((G547*0.01)+(H547*0.01)+(I547*0.01))</f>
        <v>0.16393007812500002</v>
      </c>
      <c r="AR547" s="15">
        <v>1.6931912872532828</v>
      </c>
      <c r="AS547" s="15">
        <v>0.34352957458520084</v>
      </c>
      <c r="AT547" s="15">
        <f t="shared" si="99"/>
        <v>2.0489629364788053E-2</v>
      </c>
      <c r="AU547" s="2">
        <f t="shared" si="100"/>
        <v>2.4218835008256657E-2</v>
      </c>
      <c r="AV547" s="2">
        <f t="shared" si="101"/>
        <v>2.6433512031262623E-3</v>
      </c>
      <c r="AW547" s="3">
        <f t="shared" si="102"/>
        <v>10.914444077203111</v>
      </c>
    </row>
    <row r="548" spans="1:49" s="5" customFormat="1" x14ac:dyDescent="0.2">
      <c r="A548" s="5" t="s">
        <v>480</v>
      </c>
      <c r="B548" s="5" t="s">
        <v>481</v>
      </c>
      <c r="C548" s="5" t="s">
        <v>583</v>
      </c>
      <c r="D548" s="5" t="s">
        <v>616</v>
      </c>
      <c r="E548" s="13" t="s">
        <v>585</v>
      </c>
      <c r="F548" s="5">
        <v>148</v>
      </c>
      <c r="G548" s="14">
        <v>2.0499999999999998</v>
      </c>
      <c r="H548" s="14">
        <v>2.1</v>
      </c>
      <c r="I548" s="14">
        <v>1.2</v>
      </c>
      <c r="J548">
        <v>38.659999999999997</v>
      </c>
      <c r="K548">
        <v>39.86</v>
      </c>
      <c r="L548">
        <v>39.26</v>
      </c>
      <c r="M548">
        <v>0.06</v>
      </c>
      <c r="N548" s="14">
        <v>164.16153846153821</v>
      </c>
      <c r="O548" s="14">
        <v>165.3615384615382</v>
      </c>
      <c r="P548" s="14">
        <v>164.76153846153821</v>
      </c>
      <c r="Q548" s="14">
        <v>164.16153846153821</v>
      </c>
      <c r="R548" s="14">
        <v>165.3615384615382</v>
      </c>
      <c r="S548" s="14">
        <v>164.76153846153821</v>
      </c>
      <c r="T548" s="3">
        <v>164.76</v>
      </c>
      <c r="U548" s="3">
        <v>0.6</v>
      </c>
      <c r="V548" s="3">
        <v>1467.4</v>
      </c>
      <c r="W548" s="3">
        <v>2022.85</v>
      </c>
      <c r="X548" s="3">
        <v>1663.37</v>
      </c>
      <c r="Y548" s="3">
        <v>1686.94</v>
      </c>
      <c r="Z548" s="3">
        <v>277.72500000000002</v>
      </c>
      <c r="AA548" s="4">
        <v>7.0499999999999993E-2</v>
      </c>
      <c r="AB548" s="4">
        <v>1.1863322000000001E-2</v>
      </c>
      <c r="AC548">
        <v>1.1476266666666668</v>
      </c>
      <c r="AD548" s="15">
        <v>6.5247999999999999</v>
      </c>
      <c r="AE548" s="15">
        <v>2.0697999999999999</v>
      </c>
      <c r="AF548" s="15">
        <f t="shared" si="97"/>
        <v>4.4550000000000001</v>
      </c>
      <c r="AG548" s="15">
        <v>0.92217333333333307</v>
      </c>
      <c r="AH548" s="15">
        <v>82.850221181884905</v>
      </c>
      <c r="AI548" s="2">
        <v>17.149778818115095</v>
      </c>
      <c r="AJ548" s="1">
        <f t="shared" si="98"/>
        <v>0.85748894090575478</v>
      </c>
      <c r="AK548" s="13">
        <v>4.7699999999999999E-2</v>
      </c>
      <c r="AL548" s="16">
        <v>58.914728680000003</v>
      </c>
      <c r="AM548" s="10">
        <v>2.9457364340000005</v>
      </c>
      <c r="AN548" s="16">
        <v>34.173276496519726</v>
      </c>
      <c r="AO548" s="11">
        <v>2.9471109817234642</v>
      </c>
      <c r="AP548" s="14">
        <v>4.0558987500000008</v>
      </c>
      <c r="AQ548" s="2">
        <f>AP548*((G548*0.01)+(H548*0.01)+(I548*0.01))</f>
        <v>0.216990583125</v>
      </c>
      <c r="AR548" s="15">
        <v>1.3257661654727777</v>
      </c>
      <c r="AS548" s="15">
        <v>0.22736596502398707</v>
      </c>
      <c r="AT548" s="15">
        <f t="shared" si="99"/>
        <v>1.4113717134247642E-2</v>
      </c>
      <c r="AU548" s="2">
        <f t="shared" si="100"/>
        <v>1.6029300534191087E-2</v>
      </c>
      <c r="AV548" s="2">
        <f t="shared" si="101"/>
        <v>1.8525846365436815E-3</v>
      </c>
      <c r="AW548" s="3">
        <f t="shared" si="102"/>
        <v>11.557488940905753</v>
      </c>
    </row>
    <row r="549" spans="1:49" s="5" customFormat="1" x14ac:dyDescent="0.2">
      <c r="A549" s="5" t="s">
        <v>480</v>
      </c>
      <c r="B549" s="5" t="s">
        <v>481</v>
      </c>
      <c r="C549" s="5" t="s">
        <v>583</v>
      </c>
      <c r="D549" s="5" t="s">
        <v>617</v>
      </c>
      <c r="E549" s="13" t="s">
        <v>585</v>
      </c>
      <c r="F549" s="5">
        <v>149</v>
      </c>
      <c r="G549" s="14">
        <v>2.1</v>
      </c>
      <c r="H549" s="14">
        <v>2.2000000000000002</v>
      </c>
      <c r="I549" s="14">
        <v>1.2</v>
      </c>
      <c r="J549">
        <v>39.92</v>
      </c>
      <c r="K549">
        <v>41.12</v>
      </c>
      <c r="L549">
        <v>40.520000000000003</v>
      </c>
      <c r="M549">
        <v>0.06</v>
      </c>
      <c r="N549" s="14">
        <v>165.42435897435871</v>
      </c>
      <c r="O549" s="14">
        <v>166.6243589743587</v>
      </c>
      <c r="P549" s="14">
        <v>166.02435897435871</v>
      </c>
      <c r="Q549" s="14">
        <v>165.42435897435871</v>
      </c>
      <c r="R549" s="14">
        <v>166.6243589743587</v>
      </c>
      <c r="S549" s="14">
        <v>166.02435897435871</v>
      </c>
      <c r="T549" s="3">
        <v>166.02</v>
      </c>
      <c r="U549" s="3">
        <v>0.6</v>
      </c>
      <c r="V549" s="3">
        <v>1474.67</v>
      </c>
      <c r="W549" s="3">
        <v>2042.43</v>
      </c>
      <c r="X549" s="3">
        <v>1680.08</v>
      </c>
      <c r="Y549" s="3">
        <v>1704.84</v>
      </c>
      <c r="Z549" s="3">
        <v>283.88</v>
      </c>
      <c r="AA549" s="4">
        <v>7.0300000000000001E-2</v>
      </c>
      <c r="AB549" s="4">
        <v>1.1960011E-2</v>
      </c>
      <c r="AC549">
        <v>1.1476266666666668</v>
      </c>
      <c r="AD549" s="15">
        <v>7.6923000000000004</v>
      </c>
      <c r="AE549" s="15">
        <v>2.3376000000000001</v>
      </c>
      <c r="AF549" s="15">
        <f t="shared" si="97"/>
        <v>5.3547000000000002</v>
      </c>
      <c r="AG549" s="15">
        <v>1.1899733333333333</v>
      </c>
      <c r="AH549" s="15">
        <v>81.817681758498765</v>
      </c>
      <c r="AI549" s="2">
        <v>18.182318241501235</v>
      </c>
      <c r="AJ549" s="1">
        <f t="shared" si="98"/>
        <v>0.90911591207506182</v>
      </c>
      <c r="AK549" s="13">
        <v>4.3099999999999999E-2</v>
      </c>
      <c r="AL549" s="16">
        <v>57.368941640000003</v>
      </c>
      <c r="AM549" s="10">
        <v>2.8684470820000003</v>
      </c>
      <c r="AN549" s="16">
        <v>33.276648283062649</v>
      </c>
      <c r="AO549" s="11">
        <v>2.8698586484763178</v>
      </c>
      <c r="AP549" s="14">
        <v>4.3543950000000011</v>
      </c>
      <c r="AQ549" s="2">
        <f>AP549*((G549*0.01)+(H549*0.01)+(I549*0.01))</f>
        <v>0.2394917250000001</v>
      </c>
      <c r="AR549" s="15">
        <v>1.5030040529932016</v>
      </c>
      <c r="AS549" s="15">
        <v>0.27328098009788571</v>
      </c>
      <c r="AT549" s="15">
        <f t="shared" si="99"/>
        <v>1.7514894780128278E-2</v>
      </c>
      <c r="AU549" s="2">
        <f t="shared" si="100"/>
        <v>1.9211652900881365E-2</v>
      </c>
      <c r="AV549" s="2">
        <f t="shared" si="101"/>
        <v>2.2879380125914932E-3</v>
      </c>
      <c r="AW549" s="3">
        <f t="shared" si="102"/>
        <v>11.909115912075062</v>
      </c>
    </row>
    <row r="550" spans="1:49" s="5" customFormat="1" x14ac:dyDescent="0.2">
      <c r="A550" s="5" t="s">
        <v>480</v>
      </c>
      <c r="B550" s="5" t="s">
        <v>481</v>
      </c>
      <c r="C550" s="5" t="s">
        <v>618</v>
      </c>
      <c r="D550" s="5" t="s">
        <v>619</v>
      </c>
      <c r="E550" s="13" t="s">
        <v>620</v>
      </c>
      <c r="F550" s="5">
        <v>156</v>
      </c>
      <c r="G550" s="14">
        <v>2.15</v>
      </c>
      <c r="H550" s="14">
        <v>2</v>
      </c>
      <c r="I550" s="14">
        <v>1.2</v>
      </c>
      <c r="J550">
        <v>0</v>
      </c>
      <c r="K550">
        <v>1.2</v>
      </c>
      <c r="L550">
        <v>0.6</v>
      </c>
      <c r="M550">
        <v>0.37</v>
      </c>
      <c r="N550" s="14">
        <v>166.24333333333331</v>
      </c>
      <c r="O550" s="14">
        <v>167.4433333333333</v>
      </c>
      <c r="P550" s="14">
        <v>166.84333333333331</v>
      </c>
      <c r="Q550" s="14">
        <v>166.24333333333331</v>
      </c>
      <c r="R550" s="14">
        <v>167.4433333333333</v>
      </c>
      <c r="S550" s="14">
        <v>166.84333333333331</v>
      </c>
      <c r="T550" s="3">
        <v>166.84</v>
      </c>
      <c r="U550" s="3">
        <v>0.6</v>
      </c>
      <c r="V550" s="3">
        <v>1479.52</v>
      </c>
      <c r="W550" s="3">
        <v>2066.85</v>
      </c>
      <c r="X550" s="3">
        <v>1691.65</v>
      </c>
      <c r="Y550" s="3">
        <v>1716.49</v>
      </c>
      <c r="Z550" s="3">
        <v>293.66500000000002</v>
      </c>
      <c r="AA550" s="4">
        <v>7.0300000000000001E-2</v>
      </c>
      <c r="AB550" s="4">
        <v>1.2280064E-2</v>
      </c>
      <c r="AC550">
        <v>1.1476266666666668</v>
      </c>
      <c r="AD550" s="15">
        <v>6.6375999999999999</v>
      </c>
      <c r="AE550" s="15">
        <v>2.0767000000000002</v>
      </c>
      <c r="AF550" s="15">
        <f t="shared" si="97"/>
        <v>4.5609000000000002</v>
      </c>
      <c r="AG550" s="15">
        <v>0.92907333333333342</v>
      </c>
      <c r="AH550" s="15">
        <v>83.076906263054113</v>
      </c>
      <c r="AI550" s="2">
        <v>16.923093736945887</v>
      </c>
      <c r="AJ550" s="1">
        <f t="shared" si="98"/>
        <v>0.84615468684729445</v>
      </c>
      <c r="AK550" s="13">
        <v>6.6699999999999995E-2</v>
      </c>
      <c r="AL550" s="16">
        <v>62.166761200000003</v>
      </c>
      <c r="AM550" s="10">
        <v>3.1083380600000003</v>
      </c>
      <c r="AN550" s="16">
        <v>36.059606264501163</v>
      </c>
      <c r="AO550" s="11">
        <v>3.1096407341113488</v>
      </c>
      <c r="AP550" s="14">
        <v>4.0558987500000008</v>
      </c>
      <c r="AQ550" s="2">
        <f>AP550*((G550*0.01)+(H550*0.01)+(I550*0.01))</f>
        <v>0.216990583125</v>
      </c>
      <c r="AR550" s="15">
        <v>1.3535775106154542</v>
      </c>
      <c r="AS550" s="15">
        <v>0.22906719092367214</v>
      </c>
      <c r="AT550" s="15">
        <f t="shared" si="99"/>
        <v>1.419335748644655E-2</v>
      </c>
      <c r="AU550" s="2">
        <f t="shared" si="100"/>
        <v>1.6103423521934151E-2</v>
      </c>
      <c r="AV550" s="2">
        <f t="shared" si="101"/>
        <v>1.8593261897206694E-3</v>
      </c>
      <c r="AW550" s="3">
        <f t="shared" si="102"/>
        <v>11.546154686847293</v>
      </c>
    </row>
    <row r="551" spans="1:49" s="5" customFormat="1" x14ac:dyDescent="0.2">
      <c r="A551" s="5" t="s">
        <v>480</v>
      </c>
      <c r="B551" s="5" t="s">
        <v>481</v>
      </c>
      <c r="C551" s="5" t="s">
        <v>618</v>
      </c>
      <c r="D551" s="5" t="s">
        <v>621</v>
      </c>
      <c r="E551" s="13" t="s">
        <v>620</v>
      </c>
      <c r="F551" s="5">
        <v>157</v>
      </c>
      <c r="G551" s="14">
        <v>2.0499999999999998</v>
      </c>
      <c r="H551" s="14">
        <v>2</v>
      </c>
      <c r="I551" s="14">
        <v>1.1499999999999999</v>
      </c>
      <c r="J551">
        <v>1.57</v>
      </c>
      <c r="K551">
        <v>2.77</v>
      </c>
      <c r="L551">
        <v>2.17</v>
      </c>
      <c r="M551">
        <v>0.37</v>
      </c>
      <c r="N551" s="14">
        <v>167.81666666666663</v>
      </c>
      <c r="O551" s="14">
        <v>168.96666666666664</v>
      </c>
      <c r="P551" s="14">
        <v>168.39166666666665</v>
      </c>
      <c r="Q551" s="14">
        <v>167.81666666666663</v>
      </c>
      <c r="R551" s="14">
        <v>168.96666666666664</v>
      </c>
      <c r="S551" s="14">
        <v>168.39166666666665</v>
      </c>
      <c r="T551" s="3">
        <v>168.39</v>
      </c>
      <c r="U551" s="3">
        <v>0.57499999999999996</v>
      </c>
      <c r="V551" s="3">
        <v>1487.89</v>
      </c>
      <c r="W551" s="3">
        <v>2112.59</v>
      </c>
      <c r="X551" s="3">
        <v>1713.26</v>
      </c>
      <c r="Y551" s="3">
        <v>1738.51</v>
      </c>
      <c r="Z551" s="3">
        <v>312.35000000000002</v>
      </c>
      <c r="AA551" s="4">
        <v>7.0099999999999996E-2</v>
      </c>
      <c r="AB551" s="4">
        <v>1.2833911E-2</v>
      </c>
      <c r="AC551">
        <v>1.1476266666666668</v>
      </c>
      <c r="AD551" s="15">
        <v>6.6746999999999996</v>
      </c>
      <c r="AE551" s="15">
        <v>2.0329999999999999</v>
      </c>
      <c r="AF551" s="15">
        <f t="shared" ref="AF551:AF614" si="103">AD551-AE551</f>
        <v>4.6417000000000002</v>
      </c>
      <c r="AG551" s="15">
        <v>0.88537333333333312</v>
      </c>
      <c r="AH551" s="15">
        <v>83.98115458331776</v>
      </c>
      <c r="AI551" s="2">
        <v>16.01884541668224</v>
      </c>
      <c r="AJ551" s="1">
        <f t="shared" ref="AJ551:AJ614" si="104">AI551*0.05</f>
        <v>0.80094227083411207</v>
      </c>
      <c r="AK551" s="13">
        <v>6.2100000000000002E-2</v>
      </c>
      <c r="AL551" s="16">
        <v>60.82018927</v>
      </c>
      <c r="AM551" s="10">
        <v>3.0410094635</v>
      </c>
      <c r="AN551" s="16">
        <v>35.278532059164732</v>
      </c>
      <c r="AO551" s="11">
        <v>3.0423409666072208</v>
      </c>
      <c r="AP551" s="14">
        <v>3.7018392187499995</v>
      </c>
      <c r="AQ551" s="2">
        <f>AP551*((G551*0.01)+(H551*0.01)+(I551*0.01))</f>
        <v>0.19249563937499994</v>
      </c>
      <c r="AR551" s="15">
        <v>1.4930614234509245</v>
      </c>
      <c r="AS551" s="15">
        <v>0.23917120139871911</v>
      </c>
      <c r="AT551" s="15">
        <f t="shared" ref="AT551:AT614" si="105">AS551*(AJ551/100+AQ551/AP551)</f>
        <v>1.4352525724397521E-2</v>
      </c>
      <c r="AU551" s="2">
        <f t="shared" ref="AU551:AU614" si="106">AS551*AA551</f>
        <v>1.676590121805021E-2</v>
      </c>
      <c r="AV551" s="2">
        <f t="shared" ref="AV551:AV614" si="107">AU551*((AT551/AS551)+(AQ551/AP551))</f>
        <v>1.8779389166188769E-3</v>
      </c>
      <c r="AW551" s="3">
        <f t="shared" ref="AW551:AW614" si="108">(AV551/AU551)*100</f>
        <v>11.20094227083411</v>
      </c>
    </row>
    <row r="552" spans="1:49" s="5" customFormat="1" x14ac:dyDescent="0.2">
      <c r="A552" s="5" t="s">
        <v>480</v>
      </c>
      <c r="B552" s="5" t="s">
        <v>481</v>
      </c>
      <c r="C552" s="5" t="s">
        <v>618</v>
      </c>
      <c r="D552" s="5" t="s">
        <v>622</v>
      </c>
      <c r="E552" s="13" t="s">
        <v>620</v>
      </c>
      <c r="F552" s="5">
        <v>158</v>
      </c>
      <c r="G552" s="14">
        <v>2</v>
      </c>
      <c r="H552" s="14">
        <v>2.1</v>
      </c>
      <c r="I552" s="14">
        <v>1.1499999999999999</v>
      </c>
      <c r="J552">
        <v>3.14</v>
      </c>
      <c r="K552">
        <v>4.34</v>
      </c>
      <c r="L552">
        <v>3.74</v>
      </c>
      <c r="M552">
        <v>0.37</v>
      </c>
      <c r="N552" s="14">
        <v>169.33999999999997</v>
      </c>
      <c r="O552" s="14">
        <v>170.48999999999998</v>
      </c>
      <c r="P552" s="14">
        <v>169.91499999999996</v>
      </c>
      <c r="Q552" s="14">
        <v>169.33999999999997</v>
      </c>
      <c r="R552" s="14">
        <v>170.48999999999998</v>
      </c>
      <c r="S552" s="14">
        <v>169.91499999999996</v>
      </c>
      <c r="T552" s="3">
        <v>169.92</v>
      </c>
      <c r="U552" s="3">
        <v>0.57499999999999996</v>
      </c>
      <c r="V552" s="3">
        <v>1497.87</v>
      </c>
      <c r="W552" s="3">
        <v>2156.89</v>
      </c>
      <c r="X552" s="3">
        <v>1732.19</v>
      </c>
      <c r="Y552" s="3">
        <v>1760.25</v>
      </c>
      <c r="Z552" s="3">
        <v>329.51</v>
      </c>
      <c r="AA552" s="4">
        <v>7.6999999999999999E-2</v>
      </c>
      <c r="AB552" s="4">
        <v>1.4674579E-2</v>
      </c>
      <c r="AC552">
        <v>1.1476266666666668</v>
      </c>
      <c r="AD552" s="15">
        <v>6.8197000000000001</v>
      </c>
      <c r="AE552" s="15">
        <v>1.9777</v>
      </c>
      <c r="AF552" s="15">
        <f t="shared" si="103"/>
        <v>4.8420000000000005</v>
      </c>
      <c r="AG552" s="15">
        <v>0.83007333333333322</v>
      </c>
      <c r="AH552" s="15">
        <v>85.365609988587366</v>
      </c>
      <c r="AI552" s="2">
        <v>14.634390011412634</v>
      </c>
      <c r="AJ552" s="1">
        <f t="shared" si="104"/>
        <v>0.73171950057063173</v>
      </c>
      <c r="AK552" s="13">
        <v>5.9499999999999997E-2</v>
      </c>
      <c r="AL552" s="16">
        <v>60.280373830000002</v>
      </c>
      <c r="AM552" s="10">
        <v>3.0140186915000005</v>
      </c>
      <c r="AN552" s="16">
        <v>34.965414054524366</v>
      </c>
      <c r="AO552" s="11">
        <v>3.0153621130324257</v>
      </c>
      <c r="AP552" s="14">
        <v>3.7938068749999991</v>
      </c>
      <c r="AQ552" s="2">
        <f>AP552*((G552*0.01)+(H552*0.01)+(I552*0.01))</f>
        <v>0.19917486093749998</v>
      </c>
      <c r="AR552" s="15">
        <v>1.4950875255961296</v>
      </c>
      <c r="AS552" s="15">
        <v>0.21879693950771636</v>
      </c>
      <c r="AT552" s="15">
        <f t="shared" si="105"/>
        <v>1.3087819197184799E-2</v>
      </c>
      <c r="AU552" s="2">
        <f t="shared" si="106"/>
        <v>1.6847364342094159E-2</v>
      </c>
      <c r="AV552" s="2">
        <f t="shared" si="107"/>
        <v>1.8922487061431728E-3</v>
      </c>
      <c r="AW552" s="3">
        <f t="shared" si="108"/>
        <v>11.231719500570632</v>
      </c>
    </row>
    <row r="553" spans="1:49" s="5" customFormat="1" x14ac:dyDescent="0.2">
      <c r="A553" s="5" t="s">
        <v>480</v>
      </c>
      <c r="B553" s="5" t="s">
        <v>481</v>
      </c>
      <c r="C553" s="5" t="s">
        <v>618</v>
      </c>
      <c r="D553" s="5" t="s">
        <v>623</v>
      </c>
      <c r="E553" s="13" t="s">
        <v>620</v>
      </c>
      <c r="F553" s="5">
        <v>159</v>
      </c>
      <c r="G553" s="14">
        <v>2.0499999999999998</v>
      </c>
      <c r="H553" s="14">
        <v>2.2000000000000002</v>
      </c>
      <c r="I553" s="14">
        <v>1.2</v>
      </c>
      <c r="J553">
        <v>4.71</v>
      </c>
      <c r="K553">
        <v>5.91</v>
      </c>
      <c r="L553">
        <v>5.31</v>
      </c>
      <c r="M553">
        <v>0.37</v>
      </c>
      <c r="N553" s="14">
        <v>170.86333333333332</v>
      </c>
      <c r="O553" s="14">
        <v>172.0633333333333</v>
      </c>
      <c r="P553" s="14">
        <v>171.46333333333331</v>
      </c>
      <c r="Q553" s="14">
        <v>170.86333333333332</v>
      </c>
      <c r="R553" s="14">
        <v>172.0633333333333</v>
      </c>
      <c r="S553" s="14">
        <v>171.46333333333331</v>
      </c>
      <c r="T553" s="3">
        <v>171.46</v>
      </c>
      <c r="U553" s="3">
        <v>0.6</v>
      </c>
      <c r="V553" s="3">
        <v>1519.09</v>
      </c>
      <c r="W553" s="3">
        <v>2181.54</v>
      </c>
      <c r="X553" s="3">
        <v>1752.87</v>
      </c>
      <c r="Y553" s="3">
        <v>1780.35</v>
      </c>
      <c r="Z553" s="3">
        <v>331.22500000000002</v>
      </c>
      <c r="AA553" s="4">
        <v>7.6700000000000004E-2</v>
      </c>
      <c r="AB553" s="4">
        <v>1.4538043E-2</v>
      </c>
      <c r="AC553">
        <v>1.1476266666666668</v>
      </c>
      <c r="AD553" s="15">
        <v>6.9564000000000004</v>
      </c>
      <c r="AE553" s="15">
        <v>2.2040999999999999</v>
      </c>
      <c r="AF553" s="15">
        <f t="shared" si="103"/>
        <v>4.7523</v>
      </c>
      <c r="AG553" s="15">
        <v>1.0564733333333332</v>
      </c>
      <c r="AH553" s="15">
        <v>81.812453805508</v>
      </c>
      <c r="AI553" s="2">
        <v>18.187546194492</v>
      </c>
      <c r="AJ553" s="1">
        <f t="shared" si="104"/>
        <v>0.90937730972460007</v>
      </c>
      <c r="AK553" s="13">
        <v>4.1099999999999998E-2</v>
      </c>
      <c r="AL553" s="16">
        <v>62.18951242</v>
      </c>
      <c r="AM553" s="10">
        <v>3.1094756210000001</v>
      </c>
      <c r="AN553" s="16">
        <v>36.072803027842227</v>
      </c>
      <c r="AO553" s="11">
        <v>3.1107778187445878</v>
      </c>
      <c r="AP553" s="14">
        <v>4.25371875</v>
      </c>
      <c r="AQ553" s="2">
        <f>AP553*((G553*0.01)+(H553*0.01)+(I553*0.01))</f>
        <v>0.23182767187499997</v>
      </c>
      <c r="AR553" s="15">
        <v>1.3655753176754655</v>
      </c>
      <c r="AS553" s="15">
        <v>0.24836464172280623</v>
      </c>
      <c r="AT553" s="15">
        <f t="shared" si="105"/>
        <v>1.5794444671098935E-2</v>
      </c>
      <c r="AU553" s="2">
        <f t="shared" si="106"/>
        <v>1.904956802013924E-2</v>
      </c>
      <c r="AV553" s="2">
        <f t="shared" si="107"/>
        <v>2.2496353633708771E-3</v>
      </c>
      <c r="AW553" s="3">
        <f t="shared" si="108"/>
        <v>11.809377309724599</v>
      </c>
    </row>
    <row r="554" spans="1:49" s="5" customFormat="1" x14ac:dyDescent="0.2">
      <c r="A554" s="5" t="s">
        <v>480</v>
      </c>
      <c r="B554" s="5" t="s">
        <v>481</v>
      </c>
      <c r="C554" s="5" t="s">
        <v>618</v>
      </c>
      <c r="D554" s="5" t="s">
        <v>624</v>
      </c>
      <c r="E554" s="13" t="s">
        <v>620</v>
      </c>
      <c r="F554" s="5">
        <v>160</v>
      </c>
      <c r="G554" s="14">
        <v>2.1</v>
      </c>
      <c r="H554" s="14">
        <v>2.1</v>
      </c>
      <c r="I554" s="14">
        <v>1.2</v>
      </c>
      <c r="J554">
        <v>6.28</v>
      </c>
      <c r="K554">
        <v>7.48</v>
      </c>
      <c r="L554">
        <v>6.88</v>
      </c>
      <c r="M554">
        <v>0.37</v>
      </c>
      <c r="N554" s="14">
        <v>172.43666666666664</v>
      </c>
      <c r="O554" s="14">
        <v>173.63666666666663</v>
      </c>
      <c r="P554" s="14">
        <v>173.03666666666663</v>
      </c>
      <c r="Q554" s="14">
        <v>172.43666666666664</v>
      </c>
      <c r="R554" s="14">
        <v>173.63666666666663</v>
      </c>
      <c r="S554" s="14">
        <v>173.03666666666663</v>
      </c>
      <c r="T554" s="3">
        <v>173.04</v>
      </c>
      <c r="U554" s="3">
        <v>0.6</v>
      </c>
      <c r="V554" s="3">
        <v>1535.82</v>
      </c>
      <c r="W554" s="3">
        <v>2207.63</v>
      </c>
      <c r="X554" s="3">
        <v>1775.52</v>
      </c>
      <c r="Y554" s="3">
        <v>1800.87</v>
      </c>
      <c r="Z554" s="3">
        <v>335.90499999999997</v>
      </c>
      <c r="AA554" s="4">
        <v>7.7200000000000005E-2</v>
      </c>
      <c r="AB554" s="4">
        <v>1.4667316E-2</v>
      </c>
      <c r="AC554">
        <v>1.1476266666666668</v>
      </c>
      <c r="AD554" s="15">
        <v>6.6420000000000003</v>
      </c>
      <c r="AE554" s="15">
        <v>2.0303</v>
      </c>
      <c r="AF554" s="15">
        <f t="shared" si="103"/>
        <v>4.6117000000000008</v>
      </c>
      <c r="AG554" s="15">
        <v>0.8826733333333332</v>
      </c>
      <c r="AH554" s="15">
        <v>83.934958915545124</v>
      </c>
      <c r="AI554" s="2">
        <v>16.065041084454876</v>
      </c>
      <c r="AJ554" s="1">
        <f t="shared" si="104"/>
        <v>0.80325205422274382</v>
      </c>
      <c r="AK554" s="13">
        <v>0.1057</v>
      </c>
      <c r="AL554" s="16">
        <v>46.290650409999998</v>
      </c>
      <c r="AM554" s="10">
        <v>2.3145325204999998</v>
      </c>
      <c r="AN554" s="16">
        <v>26.850725295823665</v>
      </c>
      <c r="AO554" s="11">
        <v>2.3162816729517335</v>
      </c>
      <c r="AP554" s="14">
        <v>4.1542200000000005</v>
      </c>
      <c r="AQ554" s="2">
        <f>AP554*((G554*0.01)+(H554*0.01)+(I554*0.01))</f>
        <v>0.22432788000000006</v>
      </c>
      <c r="AR554" s="15">
        <v>1.3226004721303477</v>
      </c>
      <c r="AS554" s="15">
        <v>0.21247630923093458</v>
      </c>
      <c r="AT554" s="15">
        <f t="shared" si="105"/>
        <v>1.3180441017104619E-2</v>
      </c>
      <c r="AU554" s="2">
        <f t="shared" si="106"/>
        <v>1.6403171072628151E-2</v>
      </c>
      <c r="AV554" s="2">
        <f t="shared" si="107"/>
        <v>1.903301284442397E-3</v>
      </c>
      <c r="AW554" s="3">
        <f t="shared" si="108"/>
        <v>11.603252054222745</v>
      </c>
    </row>
    <row r="555" spans="1:49" s="5" customFormat="1" x14ac:dyDescent="0.2">
      <c r="A555" s="5" t="s">
        <v>480</v>
      </c>
      <c r="B555" s="5" t="s">
        <v>481</v>
      </c>
      <c r="C555" s="5" t="s">
        <v>618</v>
      </c>
      <c r="D555" s="5" t="s">
        <v>625</v>
      </c>
      <c r="E555" s="13" t="s">
        <v>620</v>
      </c>
      <c r="F555" s="5">
        <v>161</v>
      </c>
      <c r="G555" s="14">
        <v>2</v>
      </c>
      <c r="H555" s="14">
        <v>1.95</v>
      </c>
      <c r="I555" s="14">
        <v>1.2</v>
      </c>
      <c r="J555">
        <v>7.85</v>
      </c>
      <c r="K555">
        <v>9.0500000000000007</v>
      </c>
      <c r="L555">
        <v>8.4499999999999993</v>
      </c>
      <c r="M555">
        <v>0.37</v>
      </c>
      <c r="N555" s="14">
        <v>174.00999999999996</v>
      </c>
      <c r="O555" s="14">
        <v>175.20999999999995</v>
      </c>
      <c r="P555" s="14">
        <v>174.60999999999996</v>
      </c>
      <c r="Q555" s="14">
        <v>174.00999999999996</v>
      </c>
      <c r="R555" s="14">
        <v>175.20999999999995</v>
      </c>
      <c r="S555" s="14">
        <v>174.60999999999996</v>
      </c>
      <c r="T555" s="3">
        <v>174.61</v>
      </c>
      <c r="U555" s="3">
        <v>0.6</v>
      </c>
      <c r="V555" s="3">
        <v>1548.12</v>
      </c>
      <c r="W555" s="3">
        <v>2223.35</v>
      </c>
      <c r="X555" s="3">
        <v>1797.66</v>
      </c>
      <c r="Y555" s="3">
        <v>1821.25</v>
      </c>
      <c r="Z555" s="3">
        <v>337.61500000000001</v>
      </c>
      <c r="AA555" s="4">
        <v>7.7200000000000005E-2</v>
      </c>
      <c r="AB555" s="4">
        <v>1.4576260000000001E-2</v>
      </c>
      <c r="AC555">
        <v>1.1476266666666668</v>
      </c>
      <c r="AD555" s="15">
        <v>6.2683999999999997</v>
      </c>
      <c r="AE555" s="15">
        <v>2.1187999999999998</v>
      </c>
      <c r="AF555" s="15">
        <f t="shared" si="103"/>
        <v>4.1495999999999995</v>
      </c>
      <c r="AG555" s="15">
        <v>0.971173333333333</v>
      </c>
      <c r="AH555" s="15">
        <v>81.034635393612433</v>
      </c>
      <c r="AI555" s="2">
        <v>18.965364606387567</v>
      </c>
      <c r="AJ555" s="1">
        <f t="shared" si="104"/>
        <v>0.94826823031937835</v>
      </c>
      <c r="AK555" s="13">
        <v>3.6700000000000003E-2</v>
      </c>
      <c r="AL555" s="16">
        <v>61.530398320000003</v>
      </c>
      <c r="AM555" s="10">
        <v>3.0765199160000005</v>
      </c>
      <c r="AN555" s="16">
        <v>35.69048626450116</v>
      </c>
      <c r="AO555" s="11">
        <v>3.0778360569635042</v>
      </c>
      <c r="AP555" s="14">
        <v>3.6743887499999999</v>
      </c>
      <c r="AQ555" s="2">
        <f>AP555*((G555*0.01)+(H555*0.01)+(I555*0.01))</f>
        <v>0.189231020625</v>
      </c>
      <c r="AR555" s="15">
        <v>1.3936395089750189</v>
      </c>
      <c r="AS555" s="15">
        <v>0.26430881417578178</v>
      </c>
      <c r="AT555" s="15">
        <f t="shared" si="105"/>
        <v>1.6118260444815583E-2</v>
      </c>
      <c r="AU555" s="2">
        <f t="shared" si="106"/>
        <v>2.0404640454370356E-2</v>
      </c>
      <c r="AV555" s="2">
        <f t="shared" si="107"/>
        <v>2.2951686897398366E-3</v>
      </c>
      <c r="AW555" s="3">
        <f t="shared" si="108"/>
        <v>11.248268230319381</v>
      </c>
    </row>
    <row r="556" spans="1:49" s="5" customFormat="1" x14ac:dyDescent="0.2">
      <c r="A556" s="5" t="s">
        <v>480</v>
      </c>
      <c r="B556" s="5" t="s">
        <v>481</v>
      </c>
      <c r="C556" s="5" t="s">
        <v>618</v>
      </c>
      <c r="D556" s="5" t="s">
        <v>626</v>
      </c>
      <c r="E556" s="13" t="s">
        <v>620</v>
      </c>
      <c r="F556" s="5">
        <v>162</v>
      </c>
      <c r="G556" s="14">
        <v>1.9</v>
      </c>
      <c r="H556" s="14">
        <v>2.1</v>
      </c>
      <c r="I556" s="14">
        <v>1.2</v>
      </c>
      <c r="J556">
        <v>9.42</v>
      </c>
      <c r="K556">
        <v>10.62</v>
      </c>
      <c r="L556">
        <v>10.02</v>
      </c>
      <c r="M556">
        <v>0.37</v>
      </c>
      <c r="N556" s="14">
        <v>175.58333333333329</v>
      </c>
      <c r="O556" s="14">
        <v>176.78333333333327</v>
      </c>
      <c r="P556" s="14">
        <v>176.18333333333328</v>
      </c>
      <c r="Q556" s="14">
        <v>175.58333333333329</v>
      </c>
      <c r="R556" s="14">
        <v>176.78333333333327</v>
      </c>
      <c r="S556" s="14">
        <v>176.18333333333328</v>
      </c>
      <c r="T556" s="3">
        <v>176.18</v>
      </c>
      <c r="U556" s="3">
        <v>0.6</v>
      </c>
      <c r="V556" s="3">
        <v>1556.17</v>
      </c>
      <c r="W556" s="3">
        <v>2241.12</v>
      </c>
      <c r="X556" s="3">
        <v>1818.97</v>
      </c>
      <c r="Y556" s="3">
        <v>1841.64</v>
      </c>
      <c r="Z556" s="3">
        <v>342.47500000000002</v>
      </c>
      <c r="AA556" s="4">
        <v>7.6700000000000004E-2</v>
      </c>
      <c r="AB556" s="4">
        <v>1.4524492999999999E-2</v>
      </c>
      <c r="AC556">
        <v>1.1476266666666668</v>
      </c>
      <c r="AD556" s="15">
        <v>6.8322000000000003</v>
      </c>
      <c r="AE556" s="15">
        <v>2.1076999999999999</v>
      </c>
      <c r="AF556" s="15">
        <f t="shared" si="103"/>
        <v>4.7245000000000008</v>
      </c>
      <c r="AG556" s="15">
        <v>0.96007333333333311</v>
      </c>
      <c r="AH556" s="15">
        <v>83.110898971016297</v>
      </c>
      <c r="AI556" s="2">
        <v>16.889101028983703</v>
      </c>
      <c r="AJ556" s="1">
        <f t="shared" si="104"/>
        <v>0.8444550514491852</v>
      </c>
      <c r="AK556" s="13">
        <v>6.8400000000000002E-2</v>
      </c>
      <c r="AL556" s="16">
        <v>49.44567627</v>
      </c>
      <c r="AM556" s="10">
        <v>2.4722838135000003</v>
      </c>
      <c r="AN556" s="16">
        <v>28.680786699535965</v>
      </c>
      <c r="AO556" s="11">
        <v>2.4739214325629066</v>
      </c>
      <c r="AP556" s="14">
        <v>3.7679999999999998</v>
      </c>
      <c r="AQ556" s="2">
        <f>AP556*((G556*0.01)+(H556*0.01)+(I556*0.01))</f>
        <v>0.195936</v>
      </c>
      <c r="AR556" s="15">
        <v>1.5086447275300781</v>
      </c>
      <c r="AS556" s="15">
        <v>0.25479653220099074</v>
      </c>
      <c r="AT556" s="15">
        <f t="shared" si="105"/>
        <v>1.5401061861540137E-2</v>
      </c>
      <c r="AU556" s="2">
        <f t="shared" si="106"/>
        <v>1.9542894019815991E-2</v>
      </c>
      <c r="AV556" s="2">
        <f t="shared" si="107"/>
        <v>2.1974919338105603E-3</v>
      </c>
      <c r="AW556" s="3">
        <f t="shared" si="108"/>
        <v>11.244455051449187</v>
      </c>
    </row>
    <row r="557" spans="1:49" s="5" customFormat="1" x14ac:dyDescent="0.2">
      <c r="A557" s="5" t="s">
        <v>480</v>
      </c>
      <c r="B557" s="5" t="s">
        <v>481</v>
      </c>
      <c r="C557" s="5" t="s">
        <v>618</v>
      </c>
      <c r="D557" s="5" t="s">
        <v>627</v>
      </c>
      <c r="E557" s="13" t="s">
        <v>620</v>
      </c>
      <c r="F557" s="5">
        <v>163</v>
      </c>
      <c r="G557" s="14">
        <v>2</v>
      </c>
      <c r="H557" s="14">
        <v>2.2000000000000002</v>
      </c>
      <c r="I557" s="14">
        <v>1.2</v>
      </c>
      <c r="J557">
        <v>10.99</v>
      </c>
      <c r="K557">
        <v>12.19</v>
      </c>
      <c r="L557">
        <v>11.59</v>
      </c>
      <c r="M557">
        <v>0.37</v>
      </c>
      <c r="N557" s="14">
        <v>177.15666666666661</v>
      </c>
      <c r="O557" s="14">
        <v>178.3566666666666</v>
      </c>
      <c r="P557" s="14">
        <v>177.7566666666666</v>
      </c>
      <c r="Q557" s="14">
        <v>177.15666666666661</v>
      </c>
      <c r="R557" s="14">
        <v>178.3566666666666</v>
      </c>
      <c r="S557" s="14">
        <v>177.7566666666666</v>
      </c>
      <c r="T557" s="3">
        <v>177.76</v>
      </c>
      <c r="U557" s="3">
        <v>0.6</v>
      </c>
      <c r="V557" s="3">
        <v>1564.51</v>
      </c>
      <c r="W557" s="3">
        <v>2269.14</v>
      </c>
      <c r="X557" s="3">
        <v>1842.13</v>
      </c>
      <c r="Y557" s="3">
        <v>1862.16</v>
      </c>
      <c r="Z557" s="3">
        <v>352.315</v>
      </c>
      <c r="AA557" s="4">
        <v>7.7200000000000005E-2</v>
      </c>
      <c r="AB557" s="4">
        <v>1.4866581E-2</v>
      </c>
      <c r="AC557">
        <v>1.1476266666666668</v>
      </c>
      <c r="AD557" s="15">
        <v>7.1242000000000001</v>
      </c>
      <c r="AE557" s="15">
        <v>2.0299999999999998</v>
      </c>
      <c r="AF557" s="15">
        <f t="shared" si="103"/>
        <v>5.0942000000000007</v>
      </c>
      <c r="AG557" s="15">
        <v>0.88237333333333301</v>
      </c>
      <c r="AH557" s="15">
        <v>85.236133079601913</v>
      </c>
      <c r="AI557" s="2">
        <v>14.763866920398087</v>
      </c>
      <c r="AJ557" s="1">
        <f t="shared" si="104"/>
        <v>0.73819334601990438</v>
      </c>
      <c r="AK557" s="13">
        <v>3.4599999999999999E-2</v>
      </c>
      <c r="AL557" s="16">
        <v>66.342412449999998</v>
      </c>
      <c r="AM557" s="10">
        <v>3.3171206225000001</v>
      </c>
      <c r="AN557" s="16">
        <v>38.481677755220417</v>
      </c>
      <c r="AO557" s="11">
        <v>3.3183413363026397</v>
      </c>
      <c r="AP557" s="14">
        <v>4.1542200000000005</v>
      </c>
      <c r="AQ557" s="2">
        <f>AP557*((G557*0.01)+(H557*0.01)+(I557*0.01))</f>
        <v>0.22432788000000006</v>
      </c>
      <c r="AR557" s="15">
        <v>1.4386752105890717</v>
      </c>
      <c r="AS557" s="15">
        <v>0.21240409350812739</v>
      </c>
      <c r="AT557" s="15">
        <f t="shared" si="105"/>
        <v>1.3037773934389773E-2</v>
      </c>
      <c r="AU557" s="2">
        <f t="shared" si="106"/>
        <v>1.6397596018827437E-2</v>
      </c>
      <c r="AV557" s="2">
        <f t="shared" si="107"/>
        <v>1.8919863327515724E-3</v>
      </c>
      <c r="AW557" s="3">
        <f t="shared" si="108"/>
        <v>11.538193346019906</v>
      </c>
    </row>
    <row r="558" spans="1:49" s="5" customFormat="1" x14ac:dyDescent="0.2">
      <c r="A558" s="5" t="s">
        <v>480</v>
      </c>
      <c r="B558" s="5" t="s">
        <v>481</v>
      </c>
      <c r="C558" s="5" t="s">
        <v>618</v>
      </c>
      <c r="D558" s="5" t="s">
        <v>628</v>
      </c>
      <c r="E558" s="13" t="s">
        <v>620</v>
      </c>
      <c r="F558" s="5">
        <v>164</v>
      </c>
      <c r="G558" s="14">
        <v>2.1</v>
      </c>
      <c r="H558" s="14">
        <v>2.15</v>
      </c>
      <c r="I558" s="14">
        <v>1.2</v>
      </c>
      <c r="J558">
        <v>12.56</v>
      </c>
      <c r="K558">
        <v>13.76</v>
      </c>
      <c r="L558">
        <v>13.16</v>
      </c>
      <c r="M558">
        <v>0.37</v>
      </c>
      <c r="N558" s="14">
        <v>178.72999999999993</v>
      </c>
      <c r="O558" s="14">
        <v>179.92999999999992</v>
      </c>
      <c r="P558" s="14">
        <v>179.32999999999993</v>
      </c>
      <c r="Q558" s="14">
        <v>178.72999999999993</v>
      </c>
      <c r="R558" s="14">
        <v>179.92999999999992</v>
      </c>
      <c r="S558" s="14">
        <v>179.32999999999993</v>
      </c>
      <c r="T558" s="3">
        <v>179.33</v>
      </c>
      <c r="U558" s="3">
        <v>0.6</v>
      </c>
      <c r="V558" s="3">
        <v>1570.6</v>
      </c>
      <c r="W558" s="3">
        <v>2297.2800000000002</v>
      </c>
      <c r="X558" s="3">
        <v>1863.47</v>
      </c>
      <c r="Y558" s="3">
        <v>1882.55</v>
      </c>
      <c r="Z558" s="3">
        <v>363.34</v>
      </c>
      <c r="AA558" s="4">
        <v>7.0900000000000005E-2</v>
      </c>
      <c r="AB558" s="4">
        <v>1.3921212000000001E-2</v>
      </c>
      <c r="AC558">
        <v>1.1476266666666668</v>
      </c>
      <c r="AD558" s="15">
        <v>6.8110999999999997</v>
      </c>
      <c r="AE558" s="15">
        <v>2.0348000000000002</v>
      </c>
      <c r="AF558" s="15">
        <f t="shared" si="103"/>
        <v>4.7762999999999991</v>
      </c>
      <c r="AG558" s="15">
        <v>0.88717333333333337</v>
      </c>
      <c r="AH558" s="15">
        <v>84.335172408922205</v>
      </c>
      <c r="AI558" s="2">
        <v>15.664827591077795</v>
      </c>
      <c r="AJ558" s="1">
        <f t="shared" si="104"/>
        <v>0.78324137955388984</v>
      </c>
      <c r="AK558" s="13">
        <v>6.8900000000000003E-2</v>
      </c>
      <c r="AL558" s="16">
        <v>55.833333330000002</v>
      </c>
      <c r="AM558" s="10">
        <v>2.7916666665000003</v>
      </c>
      <c r="AN558" s="16">
        <v>32.38592420533643</v>
      </c>
      <c r="AO558" s="11">
        <v>2.7931170360096305</v>
      </c>
      <c r="AP558" s="14">
        <v>4.25371875</v>
      </c>
      <c r="AQ558" s="2">
        <f>AP558*((G558*0.01)+(H558*0.01)+(I558*0.01))</f>
        <v>0.23182767187499997</v>
      </c>
      <c r="AR558" s="15">
        <v>1.3314169709347459</v>
      </c>
      <c r="AS558" s="15">
        <v>0.2085641730152783</v>
      </c>
      <c r="AT558" s="15">
        <f t="shared" si="105"/>
        <v>1.3000308335312693E-2</v>
      </c>
      <c r="AU558" s="2">
        <f t="shared" si="106"/>
        <v>1.4787199866783233E-2</v>
      </c>
      <c r="AV558" s="2">
        <f t="shared" si="107"/>
        <v>1.7276242537133562E-3</v>
      </c>
      <c r="AW558" s="3">
        <f t="shared" si="108"/>
        <v>11.683241379553889</v>
      </c>
    </row>
    <row r="559" spans="1:49" s="5" customFormat="1" x14ac:dyDescent="0.2">
      <c r="A559" s="5" t="s">
        <v>480</v>
      </c>
      <c r="B559" s="5" t="s">
        <v>481</v>
      </c>
      <c r="C559" s="5" t="s">
        <v>618</v>
      </c>
      <c r="D559" s="5" t="s">
        <v>629</v>
      </c>
      <c r="E559" s="13" t="s">
        <v>620</v>
      </c>
      <c r="F559" s="5">
        <v>165</v>
      </c>
      <c r="G559" s="14">
        <v>2</v>
      </c>
      <c r="H559" s="14">
        <v>2</v>
      </c>
      <c r="I559" s="14">
        <v>1.2</v>
      </c>
      <c r="J559">
        <v>14.13</v>
      </c>
      <c r="K559">
        <v>15.33</v>
      </c>
      <c r="L559">
        <v>14.73</v>
      </c>
      <c r="M559">
        <v>0.37</v>
      </c>
      <c r="N559" s="14">
        <v>180.30333333333326</v>
      </c>
      <c r="O559" s="14">
        <v>181.50333333333325</v>
      </c>
      <c r="P559" s="14">
        <v>180.90333333333325</v>
      </c>
      <c r="Q559" s="14">
        <v>180.30333333333326</v>
      </c>
      <c r="R559" s="14">
        <v>181.50333333333325</v>
      </c>
      <c r="S559" s="14">
        <v>180.90333333333325</v>
      </c>
      <c r="T559" s="3">
        <v>180.9</v>
      </c>
      <c r="U559" s="3">
        <v>0.6</v>
      </c>
      <c r="V559" s="3">
        <v>1596.77</v>
      </c>
      <c r="W559" s="3">
        <v>2315.6</v>
      </c>
      <c r="X559" s="3">
        <v>1887.16</v>
      </c>
      <c r="Y559" s="3">
        <v>1904.74</v>
      </c>
      <c r="Z559" s="3">
        <v>359.41500000000002</v>
      </c>
      <c r="AA559" s="4">
        <v>6.6699999999999995E-2</v>
      </c>
      <c r="AB559" s="4">
        <v>1.2807186999999999E-2</v>
      </c>
      <c r="AC559">
        <v>1.1476266666666668</v>
      </c>
      <c r="AD559" s="15">
        <v>6.3539000000000003</v>
      </c>
      <c r="AE559" s="15">
        <v>1.8873</v>
      </c>
      <c r="AF559" s="15">
        <f t="shared" si="103"/>
        <v>4.4666000000000006</v>
      </c>
      <c r="AG559" s="15">
        <v>0.73967333333333318</v>
      </c>
      <c r="AH559" s="15">
        <v>85.792652709999857</v>
      </c>
      <c r="AI559" s="2">
        <v>14.207347290000143</v>
      </c>
      <c r="AJ559" s="1">
        <f t="shared" si="104"/>
        <v>0.71036736450000726</v>
      </c>
      <c r="AK559" s="13">
        <v>6.0999999999999999E-2</v>
      </c>
      <c r="AL559" s="16">
        <v>60.156760290000001</v>
      </c>
      <c r="AM559" s="10">
        <v>3.0078380145000003</v>
      </c>
      <c r="AN559" s="16">
        <v>34.893712465197218</v>
      </c>
      <c r="AO559" s="11">
        <v>3.0091841953378835</v>
      </c>
      <c r="AP559" s="14">
        <v>3.7679999999999998</v>
      </c>
      <c r="AQ559" s="2">
        <f>AP559*((G559*0.01)+(H559*0.01)+(I559*0.01))</f>
        <v>0.195936</v>
      </c>
      <c r="AR559" s="15">
        <v>1.3817073602264687</v>
      </c>
      <c r="AS559" s="15">
        <v>0.19630396319886761</v>
      </c>
      <c r="AT559" s="15">
        <f t="shared" si="105"/>
        <v>1.1602285376125976E-2</v>
      </c>
      <c r="AU559" s="2">
        <f t="shared" si="106"/>
        <v>1.3093474345364469E-2</v>
      </c>
      <c r="AV559" s="2">
        <f t="shared" si="107"/>
        <v>1.454733100546555E-3</v>
      </c>
      <c r="AW559" s="3">
        <f t="shared" si="108"/>
        <v>11.110367364500009</v>
      </c>
    </row>
    <row r="560" spans="1:49" s="5" customFormat="1" x14ac:dyDescent="0.2">
      <c r="A560" s="5" t="s">
        <v>480</v>
      </c>
      <c r="B560" s="5" t="s">
        <v>481</v>
      </c>
      <c r="C560" s="5" t="s">
        <v>618</v>
      </c>
      <c r="D560" s="5" t="s">
        <v>630</v>
      </c>
      <c r="E560" s="13" t="s">
        <v>620</v>
      </c>
      <c r="F560" s="5">
        <v>166</v>
      </c>
      <c r="G560" s="14">
        <v>2.1</v>
      </c>
      <c r="H560" s="14">
        <v>2.2000000000000002</v>
      </c>
      <c r="I560" s="14">
        <v>1.25</v>
      </c>
      <c r="J560">
        <v>15.7</v>
      </c>
      <c r="K560">
        <v>17</v>
      </c>
      <c r="L560">
        <v>16.350000000000001</v>
      </c>
      <c r="M560">
        <v>0.37</v>
      </c>
      <c r="N560" s="14">
        <v>181.87666666666658</v>
      </c>
      <c r="O560" s="14">
        <v>183.12666666666658</v>
      </c>
      <c r="P560" s="14">
        <v>182.50166666666658</v>
      </c>
      <c r="Q560" s="14">
        <v>181.87666666666658</v>
      </c>
      <c r="R560" s="14">
        <v>183.12666666666658</v>
      </c>
      <c r="S560" s="14">
        <v>182.50166666666658</v>
      </c>
      <c r="T560" s="3">
        <v>182.5</v>
      </c>
      <c r="U560" s="3">
        <v>0.625</v>
      </c>
      <c r="V560" s="3">
        <v>1628.54</v>
      </c>
      <c r="W560" s="3">
        <v>2326.0100000000002</v>
      </c>
      <c r="X560" s="3">
        <v>1911.66</v>
      </c>
      <c r="Y560" s="3">
        <v>1928.71</v>
      </c>
      <c r="Z560" s="3">
        <v>348.73500000000001</v>
      </c>
      <c r="AA560" s="4">
        <v>6.6500000000000004E-2</v>
      </c>
      <c r="AB560" s="4">
        <v>1.2251774999999999E-2</v>
      </c>
      <c r="AC560">
        <v>1.1476266666666668</v>
      </c>
      <c r="AD560" s="15">
        <v>6.9912999999999998</v>
      </c>
      <c r="AE560" s="15">
        <v>2.0350999999999999</v>
      </c>
      <c r="AF560" s="15">
        <f t="shared" si="103"/>
        <v>4.9561999999999999</v>
      </c>
      <c r="AG560" s="15">
        <v>0.88747333333333311</v>
      </c>
      <c r="AH560" s="15">
        <v>84.813091309005401</v>
      </c>
      <c r="AI560" s="2">
        <v>15.186908690994599</v>
      </c>
      <c r="AJ560" s="1">
        <f t="shared" si="104"/>
        <v>0.75934543454973003</v>
      </c>
      <c r="AK560" s="13">
        <v>6.0999999999999999E-2</v>
      </c>
      <c r="AL560" s="16">
        <v>63.097398669999997</v>
      </c>
      <c r="AM560" s="10">
        <v>3.1548699335000001</v>
      </c>
      <c r="AN560" s="16">
        <v>36.599419182134568</v>
      </c>
      <c r="AO560" s="11">
        <v>3.1561534020548327</v>
      </c>
      <c r="AP560" s="14">
        <v>4.5358281250000019</v>
      </c>
      <c r="AQ560" s="2">
        <f>AP560*((G560*0.01)+(H560*0.01)+(I560*0.01))</f>
        <v>0.25173846093750013</v>
      </c>
      <c r="AR560" s="15">
        <v>1.2883365886650149</v>
      </c>
      <c r="AS560" s="15">
        <v>0.19565850135323035</v>
      </c>
      <c r="AT560" s="15">
        <f t="shared" si="105"/>
        <v>1.2344770722438461E-2</v>
      </c>
      <c r="AU560" s="2">
        <f t="shared" si="106"/>
        <v>1.3011290339989819E-2</v>
      </c>
      <c r="AV560" s="2">
        <f t="shared" si="107"/>
        <v>1.5430538669115928E-3</v>
      </c>
      <c r="AW560" s="3">
        <f t="shared" si="108"/>
        <v>11.859345434549731</v>
      </c>
    </row>
    <row r="561" spans="1:49" s="5" customFormat="1" x14ac:dyDescent="0.2">
      <c r="A561" s="5" t="s">
        <v>480</v>
      </c>
      <c r="B561" s="5" t="s">
        <v>481</v>
      </c>
      <c r="C561" s="5" t="s">
        <v>618</v>
      </c>
      <c r="D561" s="5" t="s">
        <v>631</v>
      </c>
      <c r="E561" s="13" t="s">
        <v>620</v>
      </c>
      <c r="F561" s="5">
        <v>167</v>
      </c>
      <c r="G561" s="14">
        <v>2</v>
      </c>
      <c r="H561" s="14">
        <v>2.1</v>
      </c>
      <c r="I561" s="14">
        <v>1.1499999999999999</v>
      </c>
      <c r="J561">
        <v>17.37</v>
      </c>
      <c r="K561">
        <v>18.57</v>
      </c>
      <c r="L561">
        <v>17.97</v>
      </c>
      <c r="M561">
        <v>0.37</v>
      </c>
      <c r="N561" s="14">
        <v>183.49999999999991</v>
      </c>
      <c r="O561" s="14">
        <v>184.64999999999992</v>
      </c>
      <c r="P561" s="14">
        <v>184.07499999999993</v>
      </c>
      <c r="Q561" s="14">
        <v>183.49999999999991</v>
      </c>
      <c r="R561" s="14">
        <v>184.64999999999992</v>
      </c>
      <c r="S561" s="14">
        <v>184.07499999999993</v>
      </c>
      <c r="T561" s="3">
        <v>184.08</v>
      </c>
      <c r="U561" s="3">
        <v>0.57499999999999996</v>
      </c>
      <c r="V561" s="3">
        <v>1648.54</v>
      </c>
      <c r="W561" s="3">
        <v>2345.71</v>
      </c>
      <c r="X561" s="3">
        <v>1936.57</v>
      </c>
      <c r="Y561" s="3">
        <v>1952.38</v>
      </c>
      <c r="Z561" s="3">
        <v>348.58499999999998</v>
      </c>
      <c r="AA561" s="4">
        <v>6.6900000000000001E-2</v>
      </c>
      <c r="AB561" s="4">
        <v>1.2153539999999999E-2</v>
      </c>
      <c r="AC561">
        <v>1.1476266666666668</v>
      </c>
      <c r="AD561" s="15">
        <v>6.9904000000000002</v>
      </c>
      <c r="AE561" s="15">
        <v>2.0042</v>
      </c>
      <c r="AF561" s="15">
        <f t="shared" si="103"/>
        <v>4.9862000000000002</v>
      </c>
      <c r="AG561" s="15">
        <v>0.85657333333333319</v>
      </c>
      <c r="AH561" s="15">
        <v>85.339610413319704</v>
      </c>
      <c r="AI561" s="2">
        <v>14.660389586680296</v>
      </c>
      <c r="AJ561" s="1">
        <f t="shared" si="104"/>
        <v>0.73301947933401479</v>
      </c>
      <c r="AK561" s="13">
        <v>4.3799999999999999E-2</v>
      </c>
      <c r="AL561" s="16">
        <v>66.072811770000001</v>
      </c>
      <c r="AM561" s="10">
        <v>3.3036405885000004</v>
      </c>
      <c r="AN561" s="16">
        <v>38.325296850348032</v>
      </c>
      <c r="AO561" s="11">
        <v>3.3048662814075596</v>
      </c>
      <c r="AP561" s="14">
        <v>3.7938068749999991</v>
      </c>
      <c r="AQ561" s="2">
        <f>AP561*((G561*0.01)+(H561*0.01)+(I561*0.01))</f>
        <v>0.19917486093749998</v>
      </c>
      <c r="AR561" s="15">
        <v>1.540081908711638</v>
      </c>
      <c r="AS561" s="15">
        <v>0.2257820077711081</v>
      </c>
      <c r="AT561" s="15">
        <f t="shared" si="105"/>
        <v>1.3508581505776837E-2</v>
      </c>
      <c r="AU561" s="2">
        <f t="shared" si="106"/>
        <v>1.5104816319887132E-2</v>
      </c>
      <c r="AV561" s="2">
        <f t="shared" si="107"/>
        <v>1.696726959530545E-3</v>
      </c>
      <c r="AW561" s="3">
        <f t="shared" si="108"/>
        <v>11.233019479334017</v>
      </c>
    </row>
    <row r="562" spans="1:49" s="5" customFormat="1" x14ac:dyDescent="0.2">
      <c r="A562" s="5" t="s">
        <v>480</v>
      </c>
      <c r="B562" s="5" t="s">
        <v>481</v>
      </c>
      <c r="C562" s="5" t="s">
        <v>618</v>
      </c>
      <c r="D562" s="5" t="s">
        <v>632</v>
      </c>
      <c r="E562" s="13" t="s">
        <v>620</v>
      </c>
      <c r="F562" s="5">
        <v>168</v>
      </c>
      <c r="G562" s="14">
        <v>2.1</v>
      </c>
      <c r="H562" s="14">
        <v>2.2999999999999998</v>
      </c>
      <c r="I562" s="14">
        <v>1.25</v>
      </c>
      <c r="J562">
        <v>18.940000000000001</v>
      </c>
      <c r="K562">
        <v>20.239999999999998</v>
      </c>
      <c r="L562">
        <v>19.59</v>
      </c>
      <c r="M562">
        <v>0.37</v>
      </c>
      <c r="N562" s="14">
        <v>185.02333333333326</v>
      </c>
      <c r="O562" s="14">
        <v>186.27333333333326</v>
      </c>
      <c r="P562" s="14">
        <v>185.64833333333326</v>
      </c>
      <c r="Q562" s="14">
        <v>185.02333333333326</v>
      </c>
      <c r="R562" s="14">
        <v>186.27333333333326</v>
      </c>
      <c r="S562" s="14">
        <v>185.64833333333326</v>
      </c>
      <c r="T562" s="3">
        <v>185.65</v>
      </c>
      <c r="U562" s="3">
        <v>0.625</v>
      </c>
      <c r="V562" s="3">
        <v>1665.59</v>
      </c>
      <c r="W562" s="3">
        <v>2364.7399999999998</v>
      </c>
      <c r="X562" s="3">
        <v>1963.18</v>
      </c>
      <c r="Y562" s="3">
        <v>1975.91</v>
      </c>
      <c r="Z562" s="3">
        <v>349.57499999999999</v>
      </c>
      <c r="AA562" s="4">
        <v>6.6699999999999995E-2</v>
      </c>
      <c r="AB562" s="4">
        <v>1.2025012E-2</v>
      </c>
      <c r="AC562">
        <v>1.1476266666666668</v>
      </c>
      <c r="AD562" s="15">
        <v>7.3589000000000002</v>
      </c>
      <c r="AE562" s="15">
        <v>2.0093000000000001</v>
      </c>
      <c r="AF562" s="15">
        <f t="shared" si="103"/>
        <v>5.3496000000000006</v>
      </c>
      <c r="AG562" s="15">
        <v>0.86167333333333329</v>
      </c>
      <c r="AH562" s="15">
        <v>86.127267516805475</v>
      </c>
      <c r="AI562" s="2">
        <v>13.872732483194525</v>
      </c>
      <c r="AJ562" s="1">
        <f t="shared" si="104"/>
        <v>0.69363662415972627</v>
      </c>
      <c r="AK562" s="13">
        <v>2.1899999999999999E-2</v>
      </c>
      <c r="AL562" s="16">
        <v>72.625</v>
      </c>
      <c r="AM562" s="10">
        <v>3.6312500000000001</v>
      </c>
      <c r="AN562" s="16">
        <v>42.125870069605568</v>
      </c>
      <c r="AO562" s="11">
        <v>3.6323651471871603</v>
      </c>
      <c r="AP562" s="14">
        <v>4.7492500000000009</v>
      </c>
      <c r="AQ562" s="2">
        <f>AP562*((G562*0.01)+(H562*0.01)+(I562*0.01))</f>
        <v>0.26833262500000005</v>
      </c>
      <c r="AR562" s="15">
        <v>1.3078429927532416</v>
      </c>
      <c r="AS562" s="15">
        <v>0.18143355968486249</v>
      </c>
      <c r="AT562" s="15">
        <f t="shared" si="105"/>
        <v>1.1509485740685634E-2</v>
      </c>
      <c r="AU562" s="2">
        <f t="shared" si="106"/>
        <v>1.2101618430980328E-2</v>
      </c>
      <c r="AV562" s="2">
        <f t="shared" si="107"/>
        <v>1.4514241402541202E-3</v>
      </c>
      <c r="AW562" s="3">
        <f t="shared" si="108"/>
        <v>11.993636624159725</v>
      </c>
    </row>
    <row r="563" spans="1:49" s="5" customFormat="1" x14ac:dyDescent="0.2">
      <c r="A563" s="5" t="s">
        <v>480</v>
      </c>
      <c r="B563" s="5" t="s">
        <v>481</v>
      </c>
      <c r="C563" s="5" t="s">
        <v>618</v>
      </c>
      <c r="D563" s="5" t="s">
        <v>633</v>
      </c>
      <c r="E563" s="13" t="s">
        <v>620</v>
      </c>
      <c r="F563" s="5">
        <v>169</v>
      </c>
      <c r="G563" s="14">
        <v>2.1</v>
      </c>
      <c r="H563" s="14">
        <v>2.0499999999999998</v>
      </c>
      <c r="I563" s="14">
        <v>1.3</v>
      </c>
      <c r="J563">
        <v>20.61</v>
      </c>
      <c r="K563">
        <v>21.91</v>
      </c>
      <c r="L563">
        <v>21.26</v>
      </c>
      <c r="M563">
        <v>0.37</v>
      </c>
      <c r="N563" s="14">
        <v>186.64666666666659</v>
      </c>
      <c r="O563" s="14">
        <v>187.9466666666666</v>
      </c>
      <c r="P563" s="14">
        <v>187.2966666666666</v>
      </c>
      <c r="Q563" s="14">
        <v>186.64666666666659</v>
      </c>
      <c r="R563" s="14">
        <v>187.9466666666666</v>
      </c>
      <c r="S563" s="14">
        <v>187.2966666666666</v>
      </c>
      <c r="T563" s="3">
        <v>187.3</v>
      </c>
      <c r="U563" s="3">
        <v>0.65</v>
      </c>
      <c r="V563" s="3">
        <v>1679.21</v>
      </c>
      <c r="W563" s="3">
        <v>2392.16</v>
      </c>
      <c r="X563" s="3">
        <v>1990.13</v>
      </c>
      <c r="Y563" s="3">
        <v>2000.63</v>
      </c>
      <c r="Z563" s="3">
        <v>356.47500000000002</v>
      </c>
      <c r="AA563" s="4">
        <v>6.6699999999999995E-2</v>
      </c>
      <c r="AB563" s="4">
        <v>1.2116171E-2</v>
      </c>
      <c r="AC563">
        <v>1.1476266666666668</v>
      </c>
      <c r="AD563" s="15">
        <v>6.9057000000000004</v>
      </c>
      <c r="AE563" s="15">
        <v>2.0989</v>
      </c>
      <c r="AF563" s="15">
        <f t="shared" si="103"/>
        <v>4.8068000000000008</v>
      </c>
      <c r="AG563" s="15">
        <v>0.95127333333333319</v>
      </c>
      <c r="AH563" s="15">
        <v>83.479311945778164</v>
      </c>
      <c r="AI563" s="2">
        <v>16.520688054221836</v>
      </c>
      <c r="AJ563" s="1">
        <f t="shared" si="104"/>
        <v>0.82603440271109185</v>
      </c>
      <c r="AK563" s="13">
        <v>5.5899999999999998E-2</v>
      </c>
      <c r="AL563" s="16">
        <v>59.870782480000003</v>
      </c>
      <c r="AM563" s="10">
        <v>2.9935391240000002</v>
      </c>
      <c r="AN563" s="16">
        <v>34.727832064965199</v>
      </c>
      <c r="AO563" s="11">
        <v>2.9948917320862685</v>
      </c>
      <c r="AP563" s="14">
        <v>4.3938903125000017</v>
      </c>
      <c r="AQ563" s="2">
        <f>AP563*((G563*0.01)+(H563*0.01)+(I563*0.01))</f>
        <v>0.23946702203125006</v>
      </c>
      <c r="AR563" s="15">
        <v>1.3104727072845725</v>
      </c>
      <c r="AS563" s="15">
        <v>0.21649910800619987</v>
      </c>
      <c r="AT563" s="15">
        <f t="shared" si="105"/>
        <v>1.3587558500031745E-2</v>
      </c>
      <c r="AU563" s="2">
        <f t="shared" si="106"/>
        <v>1.4440490504013531E-2</v>
      </c>
      <c r="AV563" s="2">
        <f t="shared" si="107"/>
        <v>1.6932968844208546E-3</v>
      </c>
      <c r="AW563" s="3">
        <f t="shared" si="108"/>
        <v>11.72603440271109</v>
      </c>
    </row>
    <row r="564" spans="1:49" s="5" customFormat="1" x14ac:dyDescent="0.2">
      <c r="A564" s="5" t="s">
        <v>480</v>
      </c>
      <c r="B564" s="5" t="s">
        <v>481</v>
      </c>
      <c r="C564" s="5" t="s">
        <v>618</v>
      </c>
      <c r="D564" s="5" t="s">
        <v>634</v>
      </c>
      <c r="E564" s="13" t="s">
        <v>620</v>
      </c>
      <c r="F564" s="5">
        <v>170</v>
      </c>
      <c r="G564" s="14">
        <v>2</v>
      </c>
      <c r="H564" s="14">
        <v>2.15</v>
      </c>
      <c r="I564" s="14">
        <v>1.25</v>
      </c>
      <c r="J564">
        <v>22.28</v>
      </c>
      <c r="K564">
        <v>23.58</v>
      </c>
      <c r="L564">
        <v>22.93</v>
      </c>
      <c r="M564">
        <v>0.37</v>
      </c>
      <c r="N564" s="14">
        <v>188.31999999999994</v>
      </c>
      <c r="O564" s="14">
        <v>189.56999999999994</v>
      </c>
      <c r="P564" s="14">
        <v>188.94499999999994</v>
      </c>
      <c r="Q564" s="14">
        <v>188.31999999999994</v>
      </c>
      <c r="R564" s="14">
        <v>189.56999999999994</v>
      </c>
      <c r="S564" s="14">
        <v>188.94499999999994</v>
      </c>
      <c r="T564" s="3">
        <v>188.95</v>
      </c>
      <c r="U564" s="3">
        <v>0.625</v>
      </c>
      <c r="V564" s="3">
        <v>1693.84</v>
      </c>
      <c r="W564" s="3">
        <v>2415.8200000000002</v>
      </c>
      <c r="X564" s="3">
        <v>2016.5</v>
      </c>
      <c r="Y564" s="3">
        <v>2025.35</v>
      </c>
      <c r="Z564" s="3">
        <v>360.99</v>
      </c>
      <c r="AA564" s="4">
        <v>6.8699999999999997E-2</v>
      </c>
      <c r="AB564" s="4">
        <v>1.2472046000000001E-2</v>
      </c>
      <c r="AC564">
        <v>1.1476266666666668</v>
      </c>
      <c r="AD564" s="15">
        <v>6.9132999999999996</v>
      </c>
      <c r="AE564" s="15">
        <v>1.9542999999999999</v>
      </c>
      <c r="AF564" s="15">
        <f t="shared" si="103"/>
        <v>4.9589999999999996</v>
      </c>
      <c r="AG564" s="15">
        <v>0.80667333333333313</v>
      </c>
      <c r="AH564" s="15">
        <v>86.009035082343672</v>
      </c>
      <c r="AI564" s="2">
        <v>13.990964917656328</v>
      </c>
      <c r="AJ564" s="1">
        <f t="shared" si="104"/>
        <v>0.69954824588281639</v>
      </c>
      <c r="AK564" s="13">
        <v>2.92E-2</v>
      </c>
      <c r="AL564" s="16">
        <v>70.653266329999994</v>
      </c>
      <c r="AM564" s="10">
        <v>3.5326633164999999</v>
      </c>
      <c r="AN564" s="16">
        <v>40.98217304524362</v>
      </c>
      <c r="AO564" s="11">
        <v>3.5338095743467526</v>
      </c>
      <c r="AP564" s="14">
        <v>4.2248945312500013</v>
      </c>
      <c r="AQ564" s="2">
        <f>AP564*((G564*0.01)+(H564*0.01)+(I564*0.01))</f>
        <v>0.22814430468750005</v>
      </c>
      <c r="AR564" s="15">
        <v>1.3646904770490136</v>
      </c>
      <c r="AS564" s="15">
        <v>0.19093336587852436</v>
      </c>
      <c r="AT564" s="15">
        <f t="shared" si="105"/>
        <v>1.1646072769248552E-2</v>
      </c>
      <c r="AU564" s="2">
        <f t="shared" si="106"/>
        <v>1.3117122235854622E-2</v>
      </c>
      <c r="AV564" s="2">
        <f t="shared" si="107"/>
        <v>1.508409799983525E-3</v>
      </c>
      <c r="AW564" s="3">
        <f t="shared" si="108"/>
        <v>11.499548245882815</v>
      </c>
    </row>
    <row r="565" spans="1:49" s="5" customFormat="1" x14ac:dyDescent="0.2">
      <c r="A565" s="5" t="s">
        <v>480</v>
      </c>
      <c r="B565" s="5" t="s">
        <v>481</v>
      </c>
      <c r="C565" s="5" t="s">
        <v>618</v>
      </c>
      <c r="D565" s="5" t="s">
        <v>635</v>
      </c>
      <c r="E565" s="13" t="s">
        <v>620</v>
      </c>
      <c r="F565" s="5">
        <v>171</v>
      </c>
      <c r="G565" s="14">
        <v>2.0499999999999998</v>
      </c>
      <c r="H565" s="14">
        <v>1.9</v>
      </c>
      <c r="I565" s="14">
        <v>1.3</v>
      </c>
      <c r="J565">
        <v>23.95</v>
      </c>
      <c r="K565">
        <v>25.25</v>
      </c>
      <c r="L565">
        <v>24.6</v>
      </c>
      <c r="M565">
        <v>0.37</v>
      </c>
      <c r="N565" s="14">
        <v>189.94333333333327</v>
      </c>
      <c r="O565" s="14">
        <v>191.24333333333328</v>
      </c>
      <c r="P565" s="14">
        <v>190.59333333333328</v>
      </c>
      <c r="Q565" s="14">
        <v>189.94333333333327</v>
      </c>
      <c r="R565" s="14">
        <v>191.24333333333328</v>
      </c>
      <c r="S565" s="14">
        <v>190.59333333333328</v>
      </c>
      <c r="T565" s="3">
        <v>190.59</v>
      </c>
      <c r="U565" s="3">
        <v>0.65</v>
      </c>
      <c r="V565" s="3">
        <v>1713.28</v>
      </c>
      <c r="W565" s="3">
        <v>2443.1999999999998</v>
      </c>
      <c r="X565" s="3">
        <v>2040.62</v>
      </c>
      <c r="Y565" s="3">
        <v>2049.36</v>
      </c>
      <c r="Z565" s="3">
        <v>364.96</v>
      </c>
      <c r="AA565" s="4">
        <v>7.1199999999999999E-2</v>
      </c>
      <c r="AB565" s="4">
        <v>1.2922467E-2</v>
      </c>
      <c r="AC565">
        <v>1.1476266666666668</v>
      </c>
      <c r="AD565" s="15">
        <v>6.5517000000000003</v>
      </c>
      <c r="AE565" s="15">
        <v>1.95</v>
      </c>
      <c r="AF565" s="15">
        <f t="shared" si="103"/>
        <v>4.6017000000000001</v>
      </c>
      <c r="AG565" s="15">
        <v>0.80237333333333316</v>
      </c>
      <c r="AH565" s="15">
        <v>85.152434398250222</v>
      </c>
      <c r="AI565" s="2">
        <v>14.847565601749778</v>
      </c>
      <c r="AJ565" s="1">
        <f t="shared" si="104"/>
        <v>0.74237828008748896</v>
      </c>
      <c r="AK565" s="13">
        <v>6.1400000000000003E-2</v>
      </c>
      <c r="AL565" s="16">
        <v>62.122146819999998</v>
      </c>
      <c r="AM565" s="10">
        <v>3.106107341</v>
      </c>
      <c r="AN565" s="16">
        <v>36.033727853828303</v>
      </c>
      <c r="AO565" s="11">
        <v>3.1074109502629503</v>
      </c>
      <c r="AP565" s="14">
        <v>3.9805878125000005</v>
      </c>
      <c r="AQ565" s="2">
        <f>AP565*((G565*0.01)+(H565*0.01)+(I565*0.01))</f>
        <v>0.20898086015625</v>
      </c>
      <c r="AR565" s="15">
        <v>1.357606863077671</v>
      </c>
      <c r="AS565" s="15">
        <v>0.2015715696093146</v>
      </c>
      <c r="AT565" s="15">
        <f t="shared" si="105"/>
        <v>1.2078930956100001E-2</v>
      </c>
      <c r="AU565" s="2">
        <f t="shared" si="106"/>
        <v>1.4351895756183199E-2</v>
      </c>
      <c r="AV565" s="2">
        <f t="shared" si="107"/>
        <v>1.6134944112739377E-3</v>
      </c>
      <c r="AW565" s="3">
        <f t="shared" si="108"/>
        <v>11.242378280087486</v>
      </c>
    </row>
    <row r="566" spans="1:49" s="5" customFormat="1" x14ac:dyDescent="0.2">
      <c r="A566" s="5" t="s">
        <v>480</v>
      </c>
      <c r="B566" s="5" t="s">
        <v>481</v>
      </c>
      <c r="C566" s="5" t="s">
        <v>618</v>
      </c>
      <c r="D566" s="5" t="s">
        <v>636</v>
      </c>
      <c r="E566" s="13" t="s">
        <v>620</v>
      </c>
      <c r="F566" s="5">
        <v>172</v>
      </c>
      <c r="G566" s="14">
        <v>2.1</v>
      </c>
      <c r="H566" s="14">
        <v>2.2000000000000002</v>
      </c>
      <c r="I566" s="14">
        <v>1.25</v>
      </c>
      <c r="J566">
        <v>25.62</v>
      </c>
      <c r="K566">
        <v>26.92</v>
      </c>
      <c r="L566">
        <v>26.27</v>
      </c>
      <c r="M566">
        <v>0.37</v>
      </c>
      <c r="N566" s="14">
        <v>191.61666666666662</v>
      </c>
      <c r="O566" s="14">
        <v>192.86666666666662</v>
      </c>
      <c r="P566" s="14">
        <v>192.24166666666662</v>
      </c>
      <c r="Q566" s="14">
        <v>191.61666666666662</v>
      </c>
      <c r="R566" s="14">
        <v>192.86666666666662</v>
      </c>
      <c r="S566" s="14">
        <v>192.24166666666662</v>
      </c>
      <c r="T566" s="3">
        <v>192.24</v>
      </c>
      <c r="U566" s="3">
        <v>0.625</v>
      </c>
      <c r="V566" s="3">
        <v>1736.08</v>
      </c>
      <c r="W566" s="3">
        <v>2461.04</v>
      </c>
      <c r="X566" s="3">
        <v>2063.5300000000002</v>
      </c>
      <c r="Y566" s="3">
        <v>2072.52</v>
      </c>
      <c r="Z566" s="3">
        <v>362.48</v>
      </c>
      <c r="AA566" s="4">
        <v>7.0999999999999994E-2</v>
      </c>
      <c r="AB566" s="4">
        <v>1.2648603E-2</v>
      </c>
      <c r="AC566">
        <v>1.1476266666666668</v>
      </c>
      <c r="AD566" s="15">
        <v>7.2630999999999997</v>
      </c>
      <c r="AE566" s="15">
        <v>2.0586000000000002</v>
      </c>
      <c r="AF566" s="15">
        <f t="shared" si="103"/>
        <v>5.2044999999999995</v>
      </c>
      <c r="AG566" s="15">
        <v>0.91097333333333341</v>
      </c>
      <c r="AH566" s="15">
        <v>85.103796817035686</v>
      </c>
      <c r="AI566" s="2">
        <v>14.896203182964314</v>
      </c>
      <c r="AJ566" s="1">
        <f t="shared" si="104"/>
        <v>0.74481015914821569</v>
      </c>
      <c r="AK566" s="13">
        <v>5.6300000000000003E-2</v>
      </c>
      <c r="AL566" s="16">
        <v>62.061994609999999</v>
      </c>
      <c r="AM566" s="10">
        <v>3.1030997305000003</v>
      </c>
      <c r="AN566" s="16">
        <v>35.998836780742458</v>
      </c>
      <c r="AO566" s="11">
        <v>3.1044046027264511</v>
      </c>
      <c r="AP566" s="14">
        <v>4.5358281250000019</v>
      </c>
      <c r="AQ566" s="2">
        <f>AP566*((G566*0.01)+(H566*0.01)+(I566*0.01))</f>
        <v>0.25173846093750013</v>
      </c>
      <c r="AR566" s="15">
        <v>1.3482594941432731</v>
      </c>
      <c r="AS566" s="15">
        <v>0.20083947368118871</v>
      </c>
      <c r="AT566" s="15">
        <f t="shared" si="105"/>
        <v>1.2642463592863274E-2</v>
      </c>
      <c r="AU566" s="2">
        <f t="shared" si="106"/>
        <v>1.4259602631364396E-2</v>
      </c>
      <c r="AV566" s="2">
        <f t="shared" si="107"/>
        <v>1.6890228611340164E-3</v>
      </c>
      <c r="AW566" s="3">
        <f t="shared" si="108"/>
        <v>11.844810159148217</v>
      </c>
    </row>
    <row r="567" spans="1:49" s="5" customFormat="1" x14ac:dyDescent="0.2">
      <c r="A567" s="5" t="s">
        <v>480</v>
      </c>
      <c r="B567" s="5" t="s">
        <v>481</v>
      </c>
      <c r="C567" s="5" t="s">
        <v>618</v>
      </c>
      <c r="D567" s="5" t="s">
        <v>637</v>
      </c>
      <c r="E567" s="13" t="s">
        <v>620</v>
      </c>
      <c r="F567" s="5">
        <v>173</v>
      </c>
      <c r="G567" s="14">
        <v>2.1</v>
      </c>
      <c r="H567" s="14">
        <v>2.2000000000000002</v>
      </c>
      <c r="I567" s="14">
        <v>1.25</v>
      </c>
      <c r="J567">
        <v>27.29</v>
      </c>
      <c r="K567">
        <v>28.59</v>
      </c>
      <c r="L567">
        <v>27.94</v>
      </c>
      <c r="M567">
        <v>0.37</v>
      </c>
      <c r="N567" s="14">
        <v>193.23999999999995</v>
      </c>
      <c r="O567" s="14">
        <v>194.48999999999995</v>
      </c>
      <c r="P567" s="14">
        <v>193.86499999999995</v>
      </c>
      <c r="Q567" s="14">
        <v>193.23999999999995</v>
      </c>
      <c r="R567" s="14">
        <v>194.48999999999995</v>
      </c>
      <c r="S567" s="14">
        <v>193.86499999999995</v>
      </c>
      <c r="T567" s="3">
        <v>193.87</v>
      </c>
      <c r="U567" s="3">
        <v>0.625</v>
      </c>
      <c r="V567" s="3">
        <v>1753.17</v>
      </c>
      <c r="W567" s="3">
        <v>2484.7800000000002</v>
      </c>
      <c r="X567" s="3">
        <v>2087.2600000000002</v>
      </c>
      <c r="Y567" s="3">
        <v>2095.39</v>
      </c>
      <c r="Z567" s="3">
        <v>365.80500000000001</v>
      </c>
      <c r="AA567" s="4">
        <v>7.1599999999999997E-2</v>
      </c>
      <c r="AB567" s="4">
        <v>1.2730473000000001E-2</v>
      </c>
      <c r="AC567">
        <v>1.1476266666666668</v>
      </c>
      <c r="AD567" s="15">
        <v>7.1780999999999997</v>
      </c>
      <c r="AE567" s="15">
        <v>1.9804999999999999</v>
      </c>
      <c r="AF567" s="15">
        <f t="shared" si="103"/>
        <v>5.1975999999999996</v>
      </c>
      <c r="AG567" s="15">
        <v>0.83287333333333313</v>
      </c>
      <c r="AH567" s="15">
        <v>86.188922704795971</v>
      </c>
      <c r="AI567" s="2">
        <v>13.811077295204029</v>
      </c>
      <c r="AJ567" s="1">
        <f t="shared" si="104"/>
        <v>0.69055386476020153</v>
      </c>
      <c r="AK567" s="13">
        <v>5.8599999999999999E-2</v>
      </c>
      <c r="AL567" s="16">
        <v>67.890410959999997</v>
      </c>
      <c r="AM567" s="10">
        <v>3.394520548</v>
      </c>
      <c r="AN567" s="16">
        <v>39.379588723897911</v>
      </c>
      <c r="AO567" s="11">
        <v>3.3957134376731823</v>
      </c>
      <c r="AP567" s="14">
        <v>4.5358281250000019</v>
      </c>
      <c r="AQ567" s="2">
        <f>AP567*((G567*0.01)+(H567*0.01)+(I567*0.01))</f>
        <v>0.25173846093750013</v>
      </c>
      <c r="AR567" s="15">
        <v>1.3295198069995942</v>
      </c>
      <c r="AS567" s="15">
        <v>0.18362100819976127</v>
      </c>
      <c r="AT567" s="15">
        <f t="shared" si="105"/>
        <v>1.1458967923721849E-2</v>
      </c>
      <c r="AU567" s="2">
        <f t="shared" si="106"/>
        <v>1.3147264187102907E-2</v>
      </c>
      <c r="AV567" s="2">
        <f t="shared" si="107"/>
        <v>1.5501352657226958E-3</v>
      </c>
      <c r="AW567" s="3">
        <f t="shared" si="108"/>
        <v>11.790553864760204</v>
      </c>
    </row>
    <row r="568" spans="1:49" s="5" customFormat="1" x14ac:dyDescent="0.2">
      <c r="A568" s="5" t="s">
        <v>480</v>
      </c>
      <c r="B568" s="5" t="s">
        <v>481</v>
      </c>
      <c r="C568" s="5" t="s">
        <v>618</v>
      </c>
      <c r="D568" s="5" t="s">
        <v>638</v>
      </c>
      <c r="E568" s="13" t="s">
        <v>620</v>
      </c>
      <c r="F568" s="5">
        <v>174</v>
      </c>
      <c r="G568" s="14">
        <v>2.0499999999999998</v>
      </c>
      <c r="H568" s="14">
        <v>2.35</v>
      </c>
      <c r="I568" s="14">
        <v>1.2</v>
      </c>
      <c r="J568">
        <v>28.96</v>
      </c>
      <c r="K568">
        <v>30.16</v>
      </c>
      <c r="L568">
        <v>29.56</v>
      </c>
      <c r="M568">
        <v>0.37</v>
      </c>
      <c r="N568" s="14">
        <v>194.86333333333329</v>
      </c>
      <c r="O568" s="14">
        <v>196.06333333333328</v>
      </c>
      <c r="P568" s="14">
        <v>195.46333333333328</v>
      </c>
      <c r="Q568" s="14">
        <v>194.86333333333329</v>
      </c>
      <c r="R568" s="14">
        <v>196.06333333333328</v>
      </c>
      <c r="S568" s="14">
        <v>195.46333333333328</v>
      </c>
      <c r="T568" s="3">
        <v>195.46</v>
      </c>
      <c r="U568" s="3">
        <v>0.6</v>
      </c>
      <c r="V568" s="3">
        <v>1770.39</v>
      </c>
      <c r="W568" s="3">
        <v>2504.3000000000002</v>
      </c>
      <c r="X568" s="3">
        <v>2111.67</v>
      </c>
      <c r="Y568" s="3">
        <v>2117.6999999999998</v>
      </c>
      <c r="Z568" s="3">
        <v>366.95499999999998</v>
      </c>
      <c r="AA568" s="4">
        <v>7.1199999999999999E-2</v>
      </c>
      <c r="AB568" s="4">
        <v>1.2556095E-2</v>
      </c>
      <c r="AC568">
        <v>1.1476266666666668</v>
      </c>
      <c r="AD568" s="15">
        <v>6.4116</v>
      </c>
      <c r="AE568" s="15">
        <v>1.9750000000000001</v>
      </c>
      <c r="AF568" s="15">
        <f t="shared" si="103"/>
        <v>4.4366000000000003</v>
      </c>
      <c r="AG568" s="15">
        <v>0.82737333333333329</v>
      </c>
      <c r="AH568" s="15">
        <v>84.282341855835142</v>
      </c>
      <c r="AI568" s="2">
        <v>15.717658144164858</v>
      </c>
      <c r="AJ568" s="1">
        <f t="shared" si="104"/>
        <v>0.78588290720824294</v>
      </c>
      <c r="AK568" s="13">
        <v>0.05</v>
      </c>
      <c r="AL568" s="16">
        <v>63.262307130000003</v>
      </c>
      <c r="AM568" s="10">
        <v>3.1631153565000005</v>
      </c>
      <c r="AN568" s="16">
        <v>36.695073741299304</v>
      </c>
      <c r="AO568" s="11">
        <v>3.1643954807397456</v>
      </c>
      <c r="AP568" s="14">
        <v>4.5592800000000011</v>
      </c>
      <c r="AQ568" s="2">
        <f>AP568*((G568*0.01)+(H568*0.01)+(I568*0.01))</f>
        <v>0.25531968000000005</v>
      </c>
      <c r="AR568" s="15">
        <v>1.1545624162879515</v>
      </c>
      <c r="AS568" s="15">
        <v>0.18147017365314985</v>
      </c>
      <c r="AT568" s="15">
        <f t="shared" si="105"/>
        <v>1.1588472800997613E-2</v>
      </c>
      <c r="AU568" s="2">
        <f t="shared" si="106"/>
        <v>1.292067636410427E-2</v>
      </c>
      <c r="AV568" s="2">
        <f t="shared" si="107"/>
        <v>1.548657139820869E-3</v>
      </c>
      <c r="AW568" s="3">
        <f t="shared" si="108"/>
        <v>11.985882907208243</v>
      </c>
    </row>
    <row r="569" spans="1:49" s="5" customFormat="1" x14ac:dyDescent="0.2">
      <c r="A569" s="5" t="s">
        <v>480</v>
      </c>
      <c r="B569" s="5" t="s">
        <v>481</v>
      </c>
      <c r="C569" s="5" t="s">
        <v>618</v>
      </c>
      <c r="D569" s="5" t="s">
        <v>639</v>
      </c>
      <c r="E569" s="13" t="s">
        <v>620</v>
      </c>
      <c r="F569" s="5">
        <v>175</v>
      </c>
      <c r="G569" s="14">
        <v>2.1</v>
      </c>
      <c r="H569" s="14">
        <v>2.25</v>
      </c>
      <c r="I569" s="14">
        <v>1.25</v>
      </c>
      <c r="J569">
        <v>30.53</v>
      </c>
      <c r="K569">
        <v>31.83</v>
      </c>
      <c r="L569">
        <v>31.18</v>
      </c>
      <c r="M569">
        <v>0.37</v>
      </c>
      <c r="N569" s="14">
        <v>196.43666666666661</v>
      </c>
      <c r="O569" s="14">
        <v>197.68666666666661</v>
      </c>
      <c r="P569" s="14">
        <v>197.06166666666661</v>
      </c>
      <c r="Q569" s="14">
        <v>196.43666666666661</v>
      </c>
      <c r="R569" s="14">
        <v>197.68666666666661</v>
      </c>
      <c r="S569" s="14">
        <v>197.06166666666661</v>
      </c>
      <c r="T569" s="3">
        <v>197.06</v>
      </c>
      <c r="U569" s="3">
        <v>0.625</v>
      </c>
      <c r="V569" s="3">
        <v>1783.84</v>
      </c>
      <c r="W569" s="3">
        <v>2537.35</v>
      </c>
      <c r="X569" s="3">
        <v>2136.08</v>
      </c>
      <c r="Y569" s="3">
        <v>2140.15</v>
      </c>
      <c r="Z569" s="3">
        <v>376.755</v>
      </c>
      <c r="AA569" s="4">
        <v>7.1199999999999999E-2</v>
      </c>
      <c r="AB569" s="4">
        <v>1.2759967000000001E-2</v>
      </c>
      <c r="AC569">
        <v>1.1476266666666668</v>
      </c>
      <c r="AD569" s="15">
        <v>7.2617000000000003</v>
      </c>
      <c r="AE569" s="15">
        <v>2.2999000000000001</v>
      </c>
      <c r="AF569" s="15">
        <f t="shared" si="103"/>
        <v>4.9618000000000002</v>
      </c>
      <c r="AG569" s="15">
        <v>1.1522733333333333</v>
      </c>
      <c r="AH569" s="15">
        <v>81.153753471499087</v>
      </c>
      <c r="AI569" s="2">
        <v>18.846246528500913</v>
      </c>
      <c r="AJ569" s="1">
        <f t="shared" si="104"/>
        <v>0.9423123264250457</v>
      </c>
      <c r="AK569" s="13">
        <v>6.9199999999999998E-2</v>
      </c>
      <c r="AL569" s="16">
        <v>52.732240439999998</v>
      </c>
      <c r="AM569" s="10">
        <v>2.636612022</v>
      </c>
      <c r="AN569" s="16">
        <v>30.587146426914153</v>
      </c>
      <c r="AO569" s="11">
        <v>2.638147636989812</v>
      </c>
      <c r="AP569" s="14">
        <v>4.6419257812499986</v>
      </c>
      <c r="AQ569" s="2">
        <f>AP569*((G569*0.01)+(H569*0.01)+(I569*0.01))</f>
        <v>0.25994784374999991</v>
      </c>
      <c r="AR569" s="15">
        <v>1.3171415531953872</v>
      </c>
      <c r="AS569" s="15">
        <v>0.2482317442445286</v>
      </c>
      <c r="AT569" s="15">
        <f t="shared" si="105"/>
        <v>1.6240096001809687E-2</v>
      </c>
      <c r="AU569" s="2">
        <f t="shared" si="106"/>
        <v>1.7674100190210436E-2</v>
      </c>
      <c r="AV569" s="2">
        <f t="shared" si="107"/>
        <v>2.1460444459806341E-3</v>
      </c>
      <c r="AW569" s="3">
        <f t="shared" si="108"/>
        <v>12.142312326425046</v>
      </c>
    </row>
    <row r="570" spans="1:49" s="5" customFormat="1" x14ac:dyDescent="0.2">
      <c r="A570" s="5" t="s">
        <v>480</v>
      </c>
      <c r="B570" s="5" t="s">
        <v>481</v>
      </c>
      <c r="C570" s="5" t="s">
        <v>618</v>
      </c>
      <c r="D570" s="5" t="s">
        <v>640</v>
      </c>
      <c r="E570" s="13" t="s">
        <v>620</v>
      </c>
      <c r="F570" s="5">
        <v>176</v>
      </c>
      <c r="G570" s="14">
        <v>2</v>
      </c>
      <c r="H570" s="14">
        <v>2.25</v>
      </c>
      <c r="I570" s="14">
        <v>1.1000000000000001</v>
      </c>
      <c r="J570">
        <v>32.200000000000003</v>
      </c>
      <c r="K570">
        <v>33.299999999999997</v>
      </c>
      <c r="L570">
        <v>32.75</v>
      </c>
      <c r="M570">
        <v>0.37</v>
      </c>
      <c r="N570" s="14">
        <v>198.05999999999995</v>
      </c>
      <c r="O570" s="14">
        <v>199.15999999999994</v>
      </c>
      <c r="P570" s="14">
        <v>198.60999999999996</v>
      </c>
      <c r="Q570" s="14">
        <v>198.05999999999995</v>
      </c>
      <c r="R570" s="14">
        <v>199.15999999999994</v>
      </c>
      <c r="S570" s="14">
        <v>198.60999999999996</v>
      </c>
      <c r="T570" s="3">
        <v>198.61</v>
      </c>
      <c r="U570" s="3">
        <v>0.55000000000000004</v>
      </c>
      <c r="V570" s="3">
        <v>1796.15</v>
      </c>
      <c r="W570" s="3">
        <v>2558.08</v>
      </c>
      <c r="X570" s="3">
        <v>2156.8200000000002</v>
      </c>
      <c r="Y570" s="3">
        <v>2161.9</v>
      </c>
      <c r="Z570" s="3">
        <v>380.96499999999997</v>
      </c>
      <c r="AA570" s="4">
        <v>7.1300000000000002E-2</v>
      </c>
      <c r="AB570" s="4">
        <v>1.2761768E-2</v>
      </c>
      <c r="AC570">
        <v>1.1476266666666668</v>
      </c>
      <c r="AD570" s="15">
        <v>6.4371999999999998</v>
      </c>
      <c r="AE570" s="15">
        <v>2.2484999999999999</v>
      </c>
      <c r="AF570" s="15">
        <f t="shared" si="103"/>
        <v>4.1886999999999999</v>
      </c>
      <c r="AG570" s="15">
        <v>1.1008733333333331</v>
      </c>
      <c r="AH570" s="15">
        <v>79.187861402810057</v>
      </c>
      <c r="AI570" s="2">
        <v>20.812138597189943</v>
      </c>
      <c r="AJ570" s="1">
        <f t="shared" si="104"/>
        <v>1.0406069298594971</v>
      </c>
      <c r="AK570" s="13">
        <v>0.12280000000000001</v>
      </c>
      <c r="AL570" s="16">
        <v>44.003647970000003</v>
      </c>
      <c r="AM570" s="10">
        <v>2.2001823985000004</v>
      </c>
      <c r="AN570" s="16">
        <v>25.524157755220418</v>
      </c>
      <c r="AO570" s="11">
        <v>2.2020223855967527</v>
      </c>
      <c r="AP570" s="14">
        <v>3.8992421875000005</v>
      </c>
      <c r="AQ570" s="2">
        <f>AP570*((G570*0.01)+(H570*0.01)+(I570*0.01))</f>
        <v>0.20860945703125003</v>
      </c>
      <c r="AR570" s="15">
        <v>1.3565644499565552</v>
      </c>
      <c r="AS570" s="15">
        <v>0.28233007348516564</v>
      </c>
      <c r="AT570" s="15">
        <f t="shared" si="105"/>
        <v>1.8042605241220405E-2</v>
      </c>
      <c r="AU570" s="2">
        <f t="shared" si="106"/>
        <v>2.0130134239492312E-2</v>
      </c>
      <c r="AV570" s="2">
        <f t="shared" si="107"/>
        <v>2.3633999355118533E-3</v>
      </c>
      <c r="AW570" s="3">
        <f t="shared" si="108"/>
        <v>11.740606929859494</v>
      </c>
    </row>
    <row r="571" spans="1:49" s="5" customFormat="1" x14ac:dyDescent="0.2">
      <c r="A571" s="5" t="s">
        <v>480</v>
      </c>
      <c r="B571" s="5" t="s">
        <v>481</v>
      </c>
      <c r="C571" s="5" t="s">
        <v>618</v>
      </c>
      <c r="D571" s="5" t="s">
        <v>641</v>
      </c>
      <c r="E571" s="13" t="s">
        <v>620</v>
      </c>
      <c r="F571" s="5">
        <v>177</v>
      </c>
      <c r="G571" s="14">
        <v>2.0499999999999998</v>
      </c>
      <c r="H571" s="14">
        <v>2.4</v>
      </c>
      <c r="I571" s="14">
        <v>1.1000000000000001</v>
      </c>
      <c r="J571">
        <v>33.67</v>
      </c>
      <c r="K571">
        <v>34.770000000000003</v>
      </c>
      <c r="L571">
        <v>34.22</v>
      </c>
      <c r="M571">
        <v>0.37</v>
      </c>
      <c r="N571" s="14">
        <v>199.53333333333327</v>
      </c>
      <c r="O571" s="14">
        <v>200.63333333333327</v>
      </c>
      <c r="P571" s="14">
        <v>200.08333333333326</v>
      </c>
      <c r="Q571" s="14">
        <v>199.53333333333327</v>
      </c>
      <c r="R571" s="14">
        <v>200.63333333333327</v>
      </c>
      <c r="S571" s="14">
        <v>200.08333333333326</v>
      </c>
      <c r="T571" s="3">
        <v>200.08</v>
      </c>
      <c r="U571" s="3">
        <v>0.55000000000000004</v>
      </c>
      <c r="V571" s="3">
        <v>1806.6</v>
      </c>
      <c r="W571" s="3">
        <v>2579.04</v>
      </c>
      <c r="X571" s="3">
        <v>2177.63</v>
      </c>
      <c r="Y571" s="3">
        <v>2182.5500000000002</v>
      </c>
      <c r="Z571" s="3">
        <v>386.22</v>
      </c>
      <c r="AA571" s="4">
        <v>6.93E-2</v>
      </c>
      <c r="AB571" s="4">
        <v>1.2453697999999999E-2</v>
      </c>
      <c r="AC571">
        <v>1.1476266666666668</v>
      </c>
      <c r="AD571" s="15">
        <v>6.3647</v>
      </c>
      <c r="AE571" s="15">
        <v>2.4472</v>
      </c>
      <c r="AF571" s="15">
        <f t="shared" si="103"/>
        <v>3.9175</v>
      </c>
      <c r="AG571" s="15">
        <v>1.2995733333333332</v>
      </c>
      <c r="AH571" s="15">
        <v>75.089992984572447</v>
      </c>
      <c r="AI571" s="2">
        <v>24.910007015427553</v>
      </c>
      <c r="AJ571" s="1">
        <f t="shared" si="104"/>
        <v>1.2455003507713778</v>
      </c>
      <c r="AK571" s="13">
        <v>0.1033</v>
      </c>
      <c r="AL571" s="16">
        <v>39.519906319999997</v>
      </c>
      <c r="AM571" s="10">
        <v>1.9759953159999999</v>
      </c>
      <c r="AN571" s="16">
        <v>22.923379535962876</v>
      </c>
      <c r="AO571" s="11">
        <v>1.9780438541280978</v>
      </c>
      <c r="AP571" s="14">
        <v>4.2748646874999991</v>
      </c>
      <c r="AQ571" s="2">
        <f>AP571*((G571*0.01)+(H571*0.01)+(I571*0.01))</f>
        <v>0.23725499015624996</v>
      </c>
      <c r="AR571" s="15">
        <v>1.2204066595577674</v>
      </c>
      <c r="AS571" s="15">
        <v>0.30400338451258491</v>
      </c>
      <c r="AT571" s="15">
        <f t="shared" si="105"/>
        <v>2.0658551060909566E-2</v>
      </c>
      <c r="AU571" s="2">
        <f t="shared" si="106"/>
        <v>2.1067434546722136E-2</v>
      </c>
      <c r="AV571" s="2">
        <f t="shared" si="107"/>
        <v>2.6008802058641116E-3</v>
      </c>
      <c r="AW571" s="3">
        <f t="shared" si="108"/>
        <v>12.345500350771378</v>
      </c>
    </row>
    <row r="572" spans="1:49" s="5" customFormat="1" x14ac:dyDescent="0.2">
      <c r="A572" s="5" t="s">
        <v>480</v>
      </c>
      <c r="B572" s="5" t="s">
        <v>481</v>
      </c>
      <c r="C572" s="5" t="s">
        <v>618</v>
      </c>
      <c r="D572" s="5" t="s">
        <v>642</v>
      </c>
      <c r="E572" s="13" t="s">
        <v>620</v>
      </c>
      <c r="F572" s="5">
        <v>178</v>
      </c>
      <c r="G572" s="14">
        <v>2.25</v>
      </c>
      <c r="H572" s="14">
        <v>1.95</v>
      </c>
      <c r="I572" s="14">
        <v>1.1000000000000001</v>
      </c>
      <c r="J572">
        <v>35.14</v>
      </c>
      <c r="K572">
        <v>36.24</v>
      </c>
      <c r="L572">
        <v>35.69</v>
      </c>
      <c r="M572">
        <v>0.37</v>
      </c>
      <c r="N572" s="14">
        <v>201.0066666666666</v>
      </c>
      <c r="O572" s="14">
        <v>202.1066666666666</v>
      </c>
      <c r="P572" s="14">
        <v>201.55666666666662</v>
      </c>
      <c r="Q572" s="14">
        <v>201.0066666666666</v>
      </c>
      <c r="R572" s="14">
        <v>202.1066666666666</v>
      </c>
      <c r="S572" s="14">
        <v>201.55666666666662</v>
      </c>
      <c r="T572" s="3">
        <v>201.56</v>
      </c>
      <c r="U572" s="3">
        <v>0.55000000000000004</v>
      </c>
      <c r="V572" s="3">
        <v>1828.17</v>
      </c>
      <c r="W572" s="3">
        <v>2593.6799999999998</v>
      </c>
      <c r="X572" s="3">
        <v>2199.7399999999998</v>
      </c>
      <c r="Y572" s="3">
        <v>2203.8000000000002</v>
      </c>
      <c r="Z572" s="3">
        <v>382.755</v>
      </c>
      <c r="AA572" s="4">
        <v>6.9800000000000001E-2</v>
      </c>
      <c r="AB572" s="4">
        <v>1.2313297000000001E-2</v>
      </c>
      <c r="AC572">
        <v>1.1476266666666668</v>
      </c>
      <c r="AD572" s="15">
        <v>6.5057999999999998</v>
      </c>
      <c r="AE572" s="15">
        <v>2.4773999999999998</v>
      </c>
      <c r="AF572" s="15">
        <f t="shared" si="103"/>
        <v>4.0283999999999995</v>
      </c>
      <c r="AG572" s="15">
        <v>1.329773333333333</v>
      </c>
      <c r="AH572" s="15">
        <v>75.182338259556118</v>
      </c>
      <c r="AI572" s="2">
        <v>24.817661740443882</v>
      </c>
      <c r="AJ572" s="1">
        <f t="shared" si="104"/>
        <v>1.2408830870221941</v>
      </c>
      <c r="AK572" s="13">
        <v>8.5999999999999993E-2</v>
      </c>
      <c r="AL572" s="16">
        <v>33.744221879999998</v>
      </c>
      <c r="AM572" s="10">
        <v>1.687211094</v>
      </c>
      <c r="AN572" s="16">
        <v>19.573214547563804</v>
      </c>
      <c r="AO572" s="11">
        <v>1.6896097998403883</v>
      </c>
      <c r="AP572" s="14">
        <v>3.8080350000000007</v>
      </c>
      <c r="AQ572" s="2">
        <f>AP572*((G572*0.01)+(H572*0.01)+(I572*0.01))</f>
        <v>0.20182585500000003</v>
      </c>
      <c r="AR572" s="15">
        <v>1.4070704007009736</v>
      </c>
      <c r="AS572" s="15">
        <v>0.34920197249587592</v>
      </c>
      <c r="AT572" s="15">
        <f t="shared" si="105"/>
        <v>2.2840892758530643E-2</v>
      </c>
      <c r="AU572" s="2">
        <f t="shared" si="106"/>
        <v>2.437429768021214E-2</v>
      </c>
      <c r="AV572" s="2">
        <f t="shared" si="107"/>
        <v>2.8861320915966821E-3</v>
      </c>
      <c r="AW572" s="3">
        <f t="shared" si="108"/>
        <v>11.840883087022194</v>
      </c>
    </row>
    <row r="573" spans="1:49" s="5" customFormat="1" x14ac:dyDescent="0.2">
      <c r="A573" s="5" t="s">
        <v>480</v>
      </c>
      <c r="B573" s="5" t="s">
        <v>481</v>
      </c>
      <c r="C573" s="5" t="s">
        <v>618</v>
      </c>
      <c r="D573" s="5" t="s">
        <v>643</v>
      </c>
      <c r="E573" s="13" t="s">
        <v>620</v>
      </c>
      <c r="F573" s="5">
        <v>179</v>
      </c>
      <c r="G573" s="14">
        <v>1.9</v>
      </c>
      <c r="H573" s="14">
        <v>1.9</v>
      </c>
      <c r="I573" s="14">
        <v>1.1000000000000001</v>
      </c>
      <c r="J573">
        <v>36.61</v>
      </c>
      <c r="K573">
        <v>37.71</v>
      </c>
      <c r="L573">
        <v>37.159999999999997</v>
      </c>
      <c r="M573">
        <v>0.37</v>
      </c>
      <c r="N573" s="14">
        <v>202.47999999999993</v>
      </c>
      <c r="O573" s="14">
        <v>203.57999999999993</v>
      </c>
      <c r="P573" s="14">
        <v>203.02999999999992</v>
      </c>
      <c r="Q573" s="14">
        <v>202.47999999999993</v>
      </c>
      <c r="R573" s="14">
        <v>203.57999999999993</v>
      </c>
      <c r="S573" s="14">
        <v>203.02999999999992</v>
      </c>
      <c r="T573" s="3">
        <v>203.03</v>
      </c>
      <c r="U573" s="3">
        <v>0.55000000000000004</v>
      </c>
      <c r="V573" s="3">
        <v>1850.1</v>
      </c>
      <c r="W573" s="3">
        <v>2608.75</v>
      </c>
      <c r="X573" s="3">
        <v>2222.86</v>
      </c>
      <c r="Y573" s="3">
        <v>2224.9</v>
      </c>
      <c r="Z573" s="3">
        <v>379.32499999999999</v>
      </c>
      <c r="AA573" s="4">
        <v>6.9800000000000001E-2</v>
      </c>
      <c r="AB573" s="4">
        <v>1.2089344E-2</v>
      </c>
      <c r="AC573">
        <v>1.1476266666666668</v>
      </c>
      <c r="AD573" s="15">
        <v>5.7088999999999999</v>
      </c>
      <c r="AE573" s="15">
        <v>1.7778</v>
      </c>
      <c r="AF573" s="15">
        <f t="shared" si="103"/>
        <v>3.9310999999999998</v>
      </c>
      <c r="AG573" s="15">
        <v>0.63017333333333325</v>
      </c>
      <c r="AH573" s="15">
        <v>86.184267258704068</v>
      </c>
      <c r="AI573" s="2">
        <v>13.815732741295932</v>
      </c>
      <c r="AJ573" s="1">
        <f t="shared" si="104"/>
        <v>0.69078663706479659</v>
      </c>
      <c r="AK573" s="13">
        <v>6.6699999999999995E-2</v>
      </c>
      <c r="AL573" s="16">
        <v>58.103015079999999</v>
      </c>
      <c r="AM573" s="10">
        <v>2.9051507540000001</v>
      </c>
      <c r="AN573" s="16">
        <v>33.70244494199536</v>
      </c>
      <c r="AO573" s="11">
        <v>2.9065444953529904</v>
      </c>
      <c r="AP573" s="14">
        <v>3.117235</v>
      </c>
      <c r="AQ573" s="2">
        <f>AP573*((G573*0.01)+(H573*0.01)+(I573*0.01))</f>
        <v>0.152744515</v>
      </c>
      <c r="AR573" s="15">
        <v>1.4632433337022499</v>
      </c>
      <c r="AS573" s="15">
        <v>0.20215778833913173</v>
      </c>
      <c r="AT573" s="15">
        <f t="shared" si="105"/>
        <v>1.1302210616249914E-2</v>
      </c>
      <c r="AU573" s="2">
        <f t="shared" si="106"/>
        <v>1.4110613626071395E-2</v>
      </c>
      <c r="AV573" s="2">
        <f t="shared" si="107"/>
        <v>1.4803143686917424E-3</v>
      </c>
      <c r="AW573" s="3">
        <f t="shared" si="108"/>
        <v>10.490786637064797</v>
      </c>
    </row>
    <row r="574" spans="1:49" s="5" customFormat="1" x14ac:dyDescent="0.2">
      <c r="A574" s="5" t="s">
        <v>480</v>
      </c>
      <c r="B574" s="5" t="s">
        <v>481</v>
      </c>
      <c r="C574" s="5" t="s">
        <v>618</v>
      </c>
      <c r="D574" s="5" t="s">
        <v>644</v>
      </c>
      <c r="E574" s="13" t="s">
        <v>620</v>
      </c>
      <c r="F574" s="5">
        <v>180</v>
      </c>
      <c r="G574" s="14">
        <v>1.75</v>
      </c>
      <c r="H574" s="14">
        <v>2</v>
      </c>
      <c r="I574" s="14">
        <v>1.2</v>
      </c>
      <c r="J574">
        <v>38.08</v>
      </c>
      <c r="K574">
        <v>39.28</v>
      </c>
      <c r="L574">
        <v>38.68</v>
      </c>
      <c r="M574">
        <v>0.37</v>
      </c>
      <c r="N574" s="14">
        <v>203.95333333333326</v>
      </c>
      <c r="O574" s="14">
        <v>205.15333333333325</v>
      </c>
      <c r="P574" s="14">
        <v>204.55333333333326</v>
      </c>
      <c r="Q574" s="14">
        <v>203.95333333333326</v>
      </c>
      <c r="R574" s="14">
        <v>205.15333333333325</v>
      </c>
      <c r="S574" s="14">
        <v>204.55333333333326</v>
      </c>
      <c r="T574" s="3">
        <v>204.55</v>
      </c>
      <c r="U574" s="3">
        <v>0.6</v>
      </c>
      <c r="V574" s="3">
        <v>1871.99</v>
      </c>
      <c r="W574" s="3">
        <v>2628.55</v>
      </c>
      <c r="X574" s="3">
        <v>2246.08</v>
      </c>
      <c r="Y574" s="3">
        <v>2246.7199999999998</v>
      </c>
      <c r="Z574" s="3">
        <v>378.28</v>
      </c>
      <c r="AA574" s="4">
        <v>6.9400000000000003E-2</v>
      </c>
      <c r="AB574" s="4">
        <v>1.1888439000000001E-2</v>
      </c>
      <c r="AC574">
        <v>1.1476266666666668</v>
      </c>
      <c r="AD574" s="15">
        <v>5.7995000000000001</v>
      </c>
      <c r="AE574" s="15">
        <v>1.9294</v>
      </c>
      <c r="AF574" s="15">
        <f t="shared" si="103"/>
        <v>3.8700999999999999</v>
      </c>
      <c r="AG574" s="15">
        <v>0.78177333333333321</v>
      </c>
      <c r="AH574" s="15">
        <v>83.194440662614781</v>
      </c>
      <c r="AI574" s="2">
        <v>16.805559337385219</v>
      </c>
      <c r="AJ574" s="1">
        <f t="shared" si="104"/>
        <v>0.84027796686926104</v>
      </c>
      <c r="AK574" s="13">
        <v>4.9399999999999999E-2</v>
      </c>
      <c r="AL574" s="16">
        <v>53.308128539999998</v>
      </c>
      <c r="AM574" s="10">
        <v>2.6654064270000002</v>
      </c>
      <c r="AN574" s="16">
        <v>30.92118824825986</v>
      </c>
      <c r="AO574" s="11">
        <v>2.6669254622304139</v>
      </c>
      <c r="AP574" s="14">
        <v>3.3117187500000003</v>
      </c>
      <c r="AQ574" s="2">
        <f>AP574*((G574*0.01)+(H574*0.01)+(I574*0.01))</f>
        <v>0.16393007812500002</v>
      </c>
      <c r="AR574" s="15">
        <v>1.4046704096878193</v>
      </c>
      <c r="AS574" s="15">
        <v>0.23606271919477859</v>
      </c>
      <c r="AT574" s="15">
        <f t="shared" si="105"/>
        <v>1.366868761752772E-2</v>
      </c>
      <c r="AU574" s="2">
        <f t="shared" si="106"/>
        <v>1.6382752712117636E-2</v>
      </c>
      <c r="AV574" s="2">
        <f t="shared" si="107"/>
        <v>1.7595531799062469E-3</v>
      </c>
      <c r="AW574" s="3">
        <f t="shared" si="108"/>
        <v>10.740277966869263</v>
      </c>
    </row>
    <row r="575" spans="1:49" s="5" customFormat="1" x14ac:dyDescent="0.2">
      <c r="A575" s="5" t="s">
        <v>480</v>
      </c>
      <c r="B575" s="5" t="s">
        <v>481</v>
      </c>
      <c r="C575" s="5" t="s">
        <v>618</v>
      </c>
      <c r="D575" s="5" t="s">
        <v>645</v>
      </c>
      <c r="E575" s="13" t="s">
        <v>620</v>
      </c>
      <c r="F575" s="5">
        <v>181</v>
      </c>
      <c r="G575" s="14">
        <v>1.9</v>
      </c>
      <c r="H575" s="14">
        <v>2.1</v>
      </c>
      <c r="I575" s="14">
        <v>1.1000000000000001</v>
      </c>
      <c r="J575">
        <v>39.65</v>
      </c>
      <c r="K575">
        <v>40.75</v>
      </c>
      <c r="L575">
        <v>40.200000000000003</v>
      </c>
      <c r="M575">
        <v>0.37</v>
      </c>
      <c r="N575" s="14">
        <v>205.52666666666659</v>
      </c>
      <c r="O575" s="14">
        <v>206.62666666666658</v>
      </c>
      <c r="P575" s="14">
        <v>206.0766666666666</v>
      </c>
      <c r="Q575" s="14">
        <v>205.52666666666659</v>
      </c>
      <c r="R575" s="14">
        <v>206.62666666666658</v>
      </c>
      <c r="S575" s="14">
        <v>206.0766666666666</v>
      </c>
      <c r="T575" s="3">
        <v>206.08</v>
      </c>
      <c r="U575" s="3">
        <v>0.55000000000000004</v>
      </c>
      <c r="V575" s="3">
        <v>1888.09</v>
      </c>
      <c r="W575" s="3">
        <v>2655.06</v>
      </c>
      <c r="X575" s="3">
        <v>2267.71</v>
      </c>
      <c r="Y575" s="3">
        <v>2268.6799999999998</v>
      </c>
      <c r="Z575" s="3">
        <v>383.48500000000001</v>
      </c>
      <c r="AA575" s="4">
        <v>6.9900000000000004E-2</v>
      </c>
      <c r="AB575" s="4">
        <v>1.2002059000000001E-2</v>
      </c>
      <c r="AC575">
        <v>1.1476266666666668</v>
      </c>
      <c r="AD575" s="15">
        <v>5.6207000000000003</v>
      </c>
      <c r="AE575" s="15">
        <v>1.7954000000000001</v>
      </c>
      <c r="AF575" s="15">
        <f t="shared" si="103"/>
        <v>3.8253000000000004</v>
      </c>
      <c r="AG575" s="15">
        <v>0.64777333333333331</v>
      </c>
      <c r="AH575" s="15">
        <v>85.518383333755608</v>
      </c>
      <c r="AI575" s="2">
        <v>14.481616666244392</v>
      </c>
      <c r="AJ575" s="1">
        <f t="shared" si="104"/>
        <v>0.72408083331221962</v>
      </c>
      <c r="AK575" s="13">
        <v>4.5900000000000003E-2</v>
      </c>
      <c r="AL575" s="16">
        <v>62.5</v>
      </c>
      <c r="AM575" s="10">
        <v>3.125</v>
      </c>
      <c r="AN575" s="16">
        <v>36.252900232018561</v>
      </c>
      <c r="AO575" s="11">
        <v>3.1262957313728337</v>
      </c>
      <c r="AP575" s="14">
        <v>3.4540000000000006</v>
      </c>
      <c r="AQ575" s="2">
        <f>AP575*((G575*0.01)+(H575*0.01)+(I575*0.01))</f>
        <v>0.17615400000000003</v>
      </c>
      <c r="AR575" s="15">
        <v>1.295041497780351</v>
      </c>
      <c r="AS575" s="15">
        <v>0.18754294537734023</v>
      </c>
      <c r="AT575" s="15">
        <f t="shared" si="105"/>
        <v>1.0922652735950878E-2</v>
      </c>
      <c r="AU575" s="2">
        <f t="shared" si="106"/>
        <v>1.3109251881876083E-2</v>
      </c>
      <c r="AV575" s="2">
        <f t="shared" si="107"/>
        <v>1.4320652722186467E-3</v>
      </c>
      <c r="AW575" s="3">
        <f t="shared" si="108"/>
        <v>10.924080833312219</v>
      </c>
    </row>
    <row r="576" spans="1:49" s="5" customFormat="1" x14ac:dyDescent="0.2">
      <c r="A576" s="5" t="s">
        <v>480</v>
      </c>
      <c r="B576" s="5" t="s">
        <v>481</v>
      </c>
      <c r="C576" s="5" t="s">
        <v>646</v>
      </c>
      <c r="D576" s="5" t="s">
        <v>647</v>
      </c>
      <c r="E576" s="13" t="s">
        <v>648</v>
      </c>
      <c r="F576" s="5">
        <v>188</v>
      </c>
      <c r="G576" s="14">
        <v>2.25</v>
      </c>
      <c r="H576" s="14">
        <v>2.1</v>
      </c>
      <c r="I576" s="14">
        <v>1.2</v>
      </c>
      <c r="J576">
        <v>0</v>
      </c>
      <c r="K576">
        <v>1.2</v>
      </c>
      <c r="L576">
        <v>0.6</v>
      </c>
      <c r="M576">
        <v>0.18</v>
      </c>
      <c r="N576" s="14">
        <v>206.70000000000005</v>
      </c>
      <c r="O576" s="14">
        <v>207.90000000000003</v>
      </c>
      <c r="P576" s="14">
        <v>207.30000000000004</v>
      </c>
      <c r="Q576" s="14">
        <v>206.70000000000005</v>
      </c>
      <c r="R576" s="14">
        <v>207.90000000000003</v>
      </c>
      <c r="S576" s="14">
        <v>207.30000000000004</v>
      </c>
      <c r="T576" s="3">
        <v>207.3</v>
      </c>
      <c r="U576" s="3">
        <v>0.6</v>
      </c>
      <c r="V576" s="3">
        <v>1895.93</v>
      </c>
      <c r="W576" s="3">
        <v>2677.56</v>
      </c>
      <c r="X576" s="3">
        <v>2285.63</v>
      </c>
      <c r="Y576" s="3">
        <v>2286.19</v>
      </c>
      <c r="Z576" s="3">
        <v>390.815</v>
      </c>
      <c r="AA576" s="4">
        <v>6.9699999999999998E-2</v>
      </c>
      <c r="AB576" s="4">
        <v>1.2116672E-2</v>
      </c>
      <c r="AC576">
        <v>1.1476266666666668</v>
      </c>
      <c r="AD576" s="15">
        <v>6.4253</v>
      </c>
      <c r="AE576" s="15">
        <v>1.9191</v>
      </c>
      <c r="AF576" s="15">
        <f t="shared" si="103"/>
        <v>4.5061999999999998</v>
      </c>
      <c r="AG576" s="15">
        <v>0.77147333333333323</v>
      </c>
      <c r="AH576" s="15">
        <v>85.382321250146845</v>
      </c>
      <c r="AI576" s="2">
        <v>14.617678749853155</v>
      </c>
      <c r="AJ576" s="1">
        <f t="shared" si="104"/>
        <v>0.73088393749265779</v>
      </c>
      <c r="AK576" s="13">
        <v>0.06</v>
      </c>
      <c r="AL576" s="16">
        <v>47.871416160000003</v>
      </c>
      <c r="AM576" s="10">
        <v>2.3935708080000002</v>
      </c>
      <c r="AN576" s="16">
        <v>27.76764278422274</v>
      </c>
      <c r="AO576" s="11">
        <v>2.3952622430351491</v>
      </c>
      <c r="AP576" s="14">
        <v>4.4562487499999994</v>
      </c>
      <c r="AQ576" s="2">
        <f>AP576*((G576*0.01)+(H576*0.01)+(I576*0.01))</f>
        <v>0.24732180562499995</v>
      </c>
      <c r="AR576" s="15">
        <v>1.1843309539965277</v>
      </c>
      <c r="AS576" s="15">
        <v>0.17312169419028356</v>
      </c>
      <c r="AT576" s="15">
        <f t="shared" si="105"/>
        <v>1.0873572682712678E-2</v>
      </c>
      <c r="AU576" s="2">
        <f t="shared" si="106"/>
        <v>1.2066582085062763E-2</v>
      </c>
      <c r="AV576" s="2">
        <f t="shared" si="107"/>
        <v>1.4275833217060568E-3</v>
      </c>
      <c r="AW576" s="3">
        <f t="shared" si="108"/>
        <v>11.830883937492654</v>
      </c>
    </row>
    <row r="577" spans="1:49" s="5" customFormat="1" x14ac:dyDescent="0.2">
      <c r="A577" s="5" t="s">
        <v>480</v>
      </c>
      <c r="B577" s="5" t="s">
        <v>481</v>
      </c>
      <c r="C577" s="5" t="s">
        <v>646</v>
      </c>
      <c r="D577" s="5" t="s">
        <v>649</v>
      </c>
      <c r="E577" s="13" t="s">
        <v>648</v>
      </c>
      <c r="F577" s="5">
        <v>189</v>
      </c>
      <c r="G577" s="14">
        <v>2</v>
      </c>
      <c r="H577" s="14">
        <v>2.4</v>
      </c>
      <c r="I577" s="14">
        <v>1.2</v>
      </c>
      <c r="J577">
        <v>1.38</v>
      </c>
      <c r="K577">
        <v>2.58</v>
      </c>
      <c r="L577">
        <v>1.98</v>
      </c>
      <c r="M577">
        <v>0.18</v>
      </c>
      <c r="N577" s="14">
        <v>208.08000000000004</v>
      </c>
      <c r="O577" s="14">
        <v>209.28000000000003</v>
      </c>
      <c r="P577" s="14">
        <v>208.68000000000004</v>
      </c>
      <c r="Q577" s="14">
        <v>208.08000000000004</v>
      </c>
      <c r="R577" s="14">
        <v>209.28000000000003</v>
      </c>
      <c r="S577" s="14">
        <v>208.68000000000004</v>
      </c>
      <c r="T577" s="3">
        <v>208.68</v>
      </c>
      <c r="U577" s="3">
        <v>0.6</v>
      </c>
      <c r="V577" s="3">
        <v>1905.2</v>
      </c>
      <c r="W577" s="3">
        <v>2701.58</v>
      </c>
      <c r="X577" s="3">
        <v>2305.23</v>
      </c>
      <c r="Y577" s="3">
        <v>2306</v>
      </c>
      <c r="Z577" s="3">
        <v>398.19</v>
      </c>
      <c r="AA577" s="4">
        <v>6.9099999999999995E-2</v>
      </c>
      <c r="AB577" s="4">
        <v>1.2130563E-2</v>
      </c>
      <c r="AC577">
        <v>1.1476266666666668</v>
      </c>
      <c r="AD577" s="15">
        <v>7.0824999999999996</v>
      </c>
      <c r="AE577" s="15">
        <v>2.0175000000000001</v>
      </c>
      <c r="AF577" s="15">
        <f t="shared" si="103"/>
        <v>5.0649999999999995</v>
      </c>
      <c r="AG577" s="15">
        <v>0.86987333333333328</v>
      </c>
      <c r="AH577" s="15">
        <v>85.343017711133399</v>
      </c>
      <c r="AI577" s="2">
        <v>14.656982288866601</v>
      </c>
      <c r="AJ577" s="1">
        <f t="shared" si="104"/>
        <v>0.73284911444333012</v>
      </c>
      <c r="AK577" s="13">
        <v>3.9300000000000002E-2</v>
      </c>
      <c r="AL577" s="16">
        <v>63.978001829999997</v>
      </c>
      <c r="AM577" s="10">
        <v>3.1989000915000001</v>
      </c>
      <c r="AN577" s="16">
        <v>37.110209878190254</v>
      </c>
      <c r="AO577" s="11">
        <v>3.2001659012305455</v>
      </c>
      <c r="AP577" s="14">
        <v>4.5592800000000011</v>
      </c>
      <c r="AQ577" s="2">
        <f>AP577*((G577*0.01)+(H577*0.01)+(I577*0.01))</f>
        <v>0.25531968000000005</v>
      </c>
      <c r="AR577" s="15">
        <v>1.3017128435483962</v>
      </c>
      <c r="AS577" s="15">
        <v>0.1907918209307902</v>
      </c>
      <c r="AT577" s="15">
        <f t="shared" si="105"/>
        <v>1.2082558142245851E-2</v>
      </c>
      <c r="AU577" s="2">
        <f t="shared" si="106"/>
        <v>1.3183714826317602E-2</v>
      </c>
      <c r="AV577" s="2">
        <f t="shared" si="107"/>
        <v>1.5731927979029739E-3</v>
      </c>
      <c r="AW577" s="3">
        <f t="shared" si="108"/>
        <v>11.932849114443329</v>
      </c>
    </row>
    <row r="578" spans="1:49" s="5" customFormat="1" x14ac:dyDescent="0.2">
      <c r="A578" s="5" t="s">
        <v>480</v>
      </c>
      <c r="B578" s="5" t="s">
        <v>481</v>
      </c>
      <c r="C578" s="5" t="s">
        <v>646</v>
      </c>
      <c r="D578" s="5" t="s">
        <v>650</v>
      </c>
      <c r="E578" s="13" t="s">
        <v>648</v>
      </c>
      <c r="F578" s="5">
        <v>190</v>
      </c>
      <c r="G578" s="14">
        <v>2.2000000000000002</v>
      </c>
      <c r="H578" s="14">
        <v>2.1</v>
      </c>
      <c r="I578" s="14">
        <v>1.25</v>
      </c>
      <c r="J578">
        <v>2.76</v>
      </c>
      <c r="K578">
        <v>4.0599999999999996</v>
      </c>
      <c r="L578">
        <v>3.41</v>
      </c>
      <c r="M578">
        <v>0.18</v>
      </c>
      <c r="N578" s="14">
        <v>209.46000000000004</v>
      </c>
      <c r="O578" s="14">
        <v>210.71000000000004</v>
      </c>
      <c r="P578" s="14">
        <v>210.08500000000004</v>
      </c>
      <c r="Q578" s="14">
        <v>209.46000000000004</v>
      </c>
      <c r="R578" s="14">
        <v>210.71000000000004</v>
      </c>
      <c r="S578" s="14">
        <v>210.08500000000004</v>
      </c>
      <c r="T578" s="3">
        <v>210.09</v>
      </c>
      <c r="U578" s="3">
        <v>0.625</v>
      </c>
      <c r="V578" s="3">
        <v>1917.89</v>
      </c>
      <c r="W578" s="3">
        <v>2724.87</v>
      </c>
      <c r="X578" s="3">
        <v>2326.44</v>
      </c>
      <c r="Y578" s="3">
        <v>2326.34</v>
      </c>
      <c r="Z578" s="3">
        <v>403.49</v>
      </c>
      <c r="AA578" s="4">
        <v>6.4500000000000002E-2</v>
      </c>
      <c r="AB578" s="4">
        <v>1.1379027999999999E-2</v>
      </c>
      <c r="AC578">
        <v>1.1476266666666668</v>
      </c>
      <c r="AD578" s="15">
        <v>7.5286</v>
      </c>
      <c r="AE578" s="15">
        <v>2.1446000000000001</v>
      </c>
      <c r="AF578" s="15">
        <f t="shared" si="103"/>
        <v>5.3840000000000003</v>
      </c>
      <c r="AG578" s="15">
        <v>0.99697333333333327</v>
      </c>
      <c r="AH578" s="15">
        <v>84.375842347980353</v>
      </c>
      <c r="AI578" s="2">
        <v>15.624157652019647</v>
      </c>
      <c r="AJ578" s="1">
        <f t="shared" si="104"/>
        <v>0.7812078826009824</v>
      </c>
      <c r="AK578" s="13">
        <v>5.1900000000000002E-2</v>
      </c>
      <c r="AL578" s="16">
        <v>61.584011840000002</v>
      </c>
      <c r="AM578" s="10">
        <v>3.0792005920000003</v>
      </c>
      <c r="AN578" s="16">
        <v>35.721584593967521</v>
      </c>
      <c r="AO578" s="11">
        <v>3.0805155876530073</v>
      </c>
      <c r="AP578" s="14">
        <v>4.5358281250000019</v>
      </c>
      <c r="AQ578" s="2">
        <f>AP578*((G578*0.01)+(H578*0.01)+(I578*0.01))</f>
        <v>0.25173846093750013</v>
      </c>
      <c r="AR578" s="15">
        <v>1.4067934581038233</v>
      </c>
      <c r="AS578" s="15">
        <v>0.21979962773244033</v>
      </c>
      <c r="AT578" s="15">
        <f t="shared" si="105"/>
        <v>1.391597135692388E-2</v>
      </c>
      <c r="AU578" s="2">
        <f t="shared" si="106"/>
        <v>1.4177075988742401E-2</v>
      </c>
      <c r="AV578" s="2">
        <f t="shared" si="107"/>
        <v>1.6844078698967937E-3</v>
      </c>
      <c r="AW578" s="3">
        <f t="shared" si="108"/>
        <v>11.881207882600984</v>
      </c>
    </row>
    <row r="579" spans="1:49" s="5" customFormat="1" x14ac:dyDescent="0.2">
      <c r="A579" s="5" t="s">
        <v>480</v>
      </c>
      <c r="B579" s="5" t="s">
        <v>481</v>
      </c>
      <c r="C579" s="5" t="s">
        <v>646</v>
      </c>
      <c r="D579" s="5" t="s">
        <v>651</v>
      </c>
      <c r="E579" s="13" t="s">
        <v>648</v>
      </c>
      <c r="F579" s="5">
        <v>191</v>
      </c>
      <c r="G579" s="14">
        <v>2.2000000000000002</v>
      </c>
      <c r="H579" s="14">
        <v>2.1</v>
      </c>
      <c r="I579" s="14">
        <v>1.3</v>
      </c>
      <c r="J579">
        <v>4.24</v>
      </c>
      <c r="K579">
        <v>5.54</v>
      </c>
      <c r="L579">
        <v>4.8899999999999997</v>
      </c>
      <c r="M579">
        <v>0.18</v>
      </c>
      <c r="N579" s="14">
        <v>210.89000000000004</v>
      </c>
      <c r="O579" s="14">
        <v>212.19000000000005</v>
      </c>
      <c r="P579" s="14">
        <v>211.54000000000005</v>
      </c>
      <c r="Q579" s="14">
        <v>210.89000000000004</v>
      </c>
      <c r="R579" s="14">
        <v>212.19000000000005</v>
      </c>
      <c r="S579" s="14">
        <v>211.54000000000005</v>
      </c>
      <c r="T579" s="3">
        <v>211.54</v>
      </c>
      <c r="U579" s="3">
        <v>0.65</v>
      </c>
      <c r="V579" s="3">
        <v>1953.15</v>
      </c>
      <c r="W579" s="3">
        <v>2736.47</v>
      </c>
      <c r="X579" s="3">
        <v>2350.25</v>
      </c>
      <c r="Y579" s="3">
        <v>2348.91</v>
      </c>
      <c r="Z579" s="3">
        <v>391.66</v>
      </c>
      <c r="AA579" s="4">
        <v>6.4000000000000001E-2</v>
      </c>
      <c r="AB579" s="4">
        <v>1.0868088E-2</v>
      </c>
      <c r="AC579">
        <v>1.1476266666666668</v>
      </c>
      <c r="AD579" s="15">
        <v>7.234</v>
      </c>
      <c r="AE579" s="15">
        <v>2.2986</v>
      </c>
      <c r="AF579" s="15">
        <f t="shared" si="103"/>
        <v>4.9353999999999996</v>
      </c>
      <c r="AG579" s="15">
        <v>1.1509733333333332</v>
      </c>
      <c r="AH579" s="15">
        <v>81.089340559676486</v>
      </c>
      <c r="AI579" s="2">
        <v>18.910659440323514</v>
      </c>
      <c r="AJ579" s="1">
        <f t="shared" si="104"/>
        <v>0.9455329720161757</v>
      </c>
      <c r="AK579" s="13">
        <v>4.5199999999999997E-2</v>
      </c>
      <c r="AL579" s="16">
        <v>62.080536909999999</v>
      </c>
      <c r="AM579" s="10">
        <v>3.1040268455</v>
      </c>
      <c r="AN579" s="16">
        <v>36.009592175174014</v>
      </c>
      <c r="AO579" s="11">
        <v>3.1053313281491688</v>
      </c>
      <c r="AP579" s="14">
        <v>4.7172612500000026</v>
      </c>
      <c r="AQ579" s="2">
        <f>AP579*((G579*0.01)+(H579*0.01)+(I579*0.01))</f>
        <v>0.26416663000000018</v>
      </c>
      <c r="AR579" s="15">
        <v>1.2902345260893342</v>
      </c>
      <c r="AS579" s="15">
        <v>0.24399185721022607</v>
      </c>
      <c r="AT579" s="15">
        <f t="shared" si="105"/>
        <v>1.5970567462729977E-2</v>
      </c>
      <c r="AU579" s="2">
        <f t="shared" si="106"/>
        <v>1.5615478861454469E-2</v>
      </c>
      <c r="AV579" s="2">
        <f t="shared" si="107"/>
        <v>1.8965831338561691E-3</v>
      </c>
      <c r="AW579" s="3">
        <f t="shared" si="108"/>
        <v>12.145532972016177</v>
      </c>
    </row>
    <row r="580" spans="1:49" s="5" customFormat="1" x14ac:dyDescent="0.2">
      <c r="A580" s="5" t="s">
        <v>480</v>
      </c>
      <c r="B580" s="5" t="s">
        <v>481</v>
      </c>
      <c r="C580" s="5" t="s">
        <v>646</v>
      </c>
      <c r="D580" s="5" t="s">
        <v>652</v>
      </c>
      <c r="E580" s="13" t="s">
        <v>648</v>
      </c>
      <c r="F580" s="5">
        <v>192</v>
      </c>
      <c r="G580" s="14">
        <v>2.25</v>
      </c>
      <c r="H580" s="14">
        <v>2.1</v>
      </c>
      <c r="I580" s="14">
        <v>1.1499999999999999</v>
      </c>
      <c r="J580">
        <v>5.72</v>
      </c>
      <c r="K580">
        <v>6.92</v>
      </c>
      <c r="L580">
        <v>6.32</v>
      </c>
      <c r="M580">
        <v>0.18</v>
      </c>
      <c r="N580" s="14">
        <v>212.37000000000006</v>
      </c>
      <c r="O580" s="14">
        <v>213.52000000000007</v>
      </c>
      <c r="P580" s="14">
        <v>212.94500000000005</v>
      </c>
      <c r="Q580" s="14">
        <v>212.37000000000006</v>
      </c>
      <c r="R580" s="14">
        <v>213.52000000000007</v>
      </c>
      <c r="S580" s="14">
        <v>212.94500000000005</v>
      </c>
      <c r="T580" s="3">
        <v>212.95</v>
      </c>
      <c r="U580" s="3">
        <v>0.57499999999999996</v>
      </c>
      <c r="V580" s="3">
        <v>1980.54</v>
      </c>
      <c r="W580" s="3">
        <v>2750.41</v>
      </c>
      <c r="X580" s="3">
        <v>2371.67</v>
      </c>
      <c r="Y580" s="3">
        <v>2370.85</v>
      </c>
      <c r="Z580" s="3">
        <v>384.935</v>
      </c>
      <c r="AA580" s="4">
        <v>6.4500000000000002E-2</v>
      </c>
      <c r="AB580" s="4">
        <v>1.0646483999999999E-2</v>
      </c>
      <c r="AC580">
        <v>1.1476266666666668</v>
      </c>
      <c r="AD580" s="15">
        <v>6.6592000000000002</v>
      </c>
      <c r="AE580" s="15">
        <v>2.1686000000000001</v>
      </c>
      <c r="AF580" s="15">
        <f t="shared" si="103"/>
        <v>4.4906000000000006</v>
      </c>
      <c r="AG580" s="15">
        <v>1.0209733333333333</v>
      </c>
      <c r="AH580" s="15">
        <v>81.475827833794597</v>
      </c>
      <c r="AI580" s="2">
        <v>18.524172166205403</v>
      </c>
      <c r="AJ580" s="1">
        <f t="shared" si="104"/>
        <v>0.92620860831027019</v>
      </c>
      <c r="AK580" s="13">
        <v>0.1096</v>
      </c>
      <c r="AL580" s="16">
        <v>39.747113800000001</v>
      </c>
      <c r="AM580" s="10">
        <v>1.9873556900000002</v>
      </c>
      <c r="AN580" s="16">
        <v>23.055170417633413</v>
      </c>
      <c r="AO580" s="11">
        <v>1.9893925300391015</v>
      </c>
      <c r="AP580" s="14">
        <v>4.2705717187499985</v>
      </c>
      <c r="AQ580" s="2">
        <f>AP580*((G580*0.01)+(H580*0.01)+(I580*0.01))</f>
        <v>0.2348814445312499</v>
      </c>
      <c r="AR580" s="15">
        <v>1.2905937884463343</v>
      </c>
      <c r="AS580" s="15">
        <v>0.23907181533815183</v>
      </c>
      <c r="AT580" s="15">
        <f t="shared" si="105"/>
        <v>1.5363253577303943E-2</v>
      </c>
      <c r="AU580" s="2">
        <f t="shared" si="106"/>
        <v>1.5420132089310794E-2</v>
      </c>
      <c r="AV580" s="2">
        <f t="shared" si="107"/>
        <v>1.839037120648198E-3</v>
      </c>
      <c r="AW580" s="3">
        <f t="shared" si="108"/>
        <v>11.926208608310269</v>
      </c>
    </row>
    <row r="581" spans="1:49" s="5" customFormat="1" x14ac:dyDescent="0.2">
      <c r="A581" s="5" t="s">
        <v>480</v>
      </c>
      <c r="B581" s="5" t="s">
        <v>481</v>
      </c>
      <c r="C581" s="5" t="s">
        <v>646</v>
      </c>
      <c r="D581" s="5" t="s">
        <v>653</v>
      </c>
      <c r="E581" s="13" t="s">
        <v>648</v>
      </c>
      <c r="F581" s="5">
        <v>193</v>
      </c>
      <c r="G581" s="14">
        <v>2.2000000000000002</v>
      </c>
      <c r="H581" s="14">
        <v>2.0499999999999998</v>
      </c>
      <c r="I581" s="14">
        <v>1.3</v>
      </c>
      <c r="J581">
        <v>7.1</v>
      </c>
      <c r="K581">
        <v>8.4</v>
      </c>
      <c r="L581">
        <v>7.75</v>
      </c>
      <c r="M581">
        <v>0.18</v>
      </c>
      <c r="N581" s="14">
        <v>213.70000000000007</v>
      </c>
      <c r="O581" s="14">
        <v>215.00000000000009</v>
      </c>
      <c r="P581" s="14">
        <v>214.35000000000008</v>
      </c>
      <c r="Q581" s="14">
        <v>213.70000000000007</v>
      </c>
      <c r="R581" s="14">
        <v>215.00000000000009</v>
      </c>
      <c r="S581" s="14">
        <v>214.35000000000008</v>
      </c>
      <c r="T581" s="3">
        <v>214.35</v>
      </c>
      <c r="U581" s="3">
        <v>0.65</v>
      </c>
      <c r="V581" s="3">
        <v>2003.04</v>
      </c>
      <c r="W581" s="3">
        <v>2764.41</v>
      </c>
      <c r="X581" s="3">
        <v>2395.6999999999998</v>
      </c>
      <c r="Y581" s="3">
        <v>2392.64</v>
      </c>
      <c r="Z581" s="3">
        <v>380.685</v>
      </c>
      <c r="AA581" s="4">
        <v>6.4000000000000001E-2</v>
      </c>
      <c r="AB581" s="4">
        <v>1.0376902E-2</v>
      </c>
      <c r="AC581">
        <v>1.1476266666666668</v>
      </c>
      <c r="AD581" s="15">
        <v>7.0186999999999999</v>
      </c>
      <c r="AE581" s="15">
        <v>2.2071000000000001</v>
      </c>
      <c r="AF581" s="15">
        <f t="shared" si="103"/>
        <v>4.8116000000000003</v>
      </c>
      <c r="AG581" s="15">
        <v>1.0594733333333333</v>
      </c>
      <c r="AH581" s="15">
        <v>81.954350198316945</v>
      </c>
      <c r="AI581" s="2">
        <v>18.045649801683055</v>
      </c>
      <c r="AJ581" s="1">
        <f t="shared" si="104"/>
        <v>0.90228249008415284</v>
      </c>
      <c r="AK581" s="13">
        <v>5.1799999999999999E-2</v>
      </c>
      <c r="AL581" s="16">
        <v>50.713606089999999</v>
      </c>
      <c r="AM581" s="10">
        <v>2.5356803045</v>
      </c>
      <c r="AN581" s="16">
        <v>29.416244831786543</v>
      </c>
      <c r="AO581" s="11">
        <v>2.5372770062863088</v>
      </c>
      <c r="AP581" s="14">
        <v>4.6081953125000004</v>
      </c>
      <c r="AQ581" s="2">
        <f>AP581*((G581*0.01)+(H581*0.01)+(I581*0.01))</f>
        <v>0.25575483984374997</v>
      </c>
      <c r="AR581" s="15">
        <v>1.2740504547208975</v>
      </c>
      <c r="AS581" s="15">
        <v>0.22991068335568365</v>
      </c>
      <c r="AT581" s="15">
        <f t="shared" si="105"/>
        <v>1.4834486764991595E-2</v>
      </c>
      <c r="AU581" s="2">
        <f t="shared" si="106"/>
        <v>1.4714283734763755E-2</v>
      </c>
      <c r="AV581" s="2">
        <f t="shared" si="107"/>
        <v>1.7660499002388505E-3</v>
      </c>
      <c r="AW581" s="3">
        <f t="shared" si="108"/>
        <v>12.002282490084152</v>
      </c>
    </row>
    <row r="582" spans="1:49" s="5" customFormat="1" x14ac:dyDescent="0.2">
      <c r="A582" s="5" t="s">
        <v>480</v>
      </c>
      <c r="B582" s="5" t="s">
        <v>481</v>
      </c>
      <c r="C582" s="5" t="s">
        <v>646</v>
      </c>
      <c r="D582" s="5" t="s">
        <v>654</v>
      </c>
      <c r="E582" s="13" t="s">
        <v>648</v>
      </c>
      <c r="F582" s="5">
        <v>194</v>
      </c>
      <c r="G582" s="14">
        <v>2</v>
      </c>
      <c r="H582" s="14">
        <v>2.15</v>
      </c>
      <c r="I582" s="14">
        <v>1.25</v>
      </c>
      <c r="J582">
        <v>8.58</v>
      </c>
      <c r="K582">
        <v>9.8800000000000008</v>
      </c>
      <c r="L582">
        <v>9.23</v>
      </c>
      <c r="M582">
        <v>0.18</v>
      </c>
      <c r="N582" s="14">
        <v>215.18000000000009</v>
      </c>
      <c r="O582" s="14">
        <v>216.43000000000009</v>
      </c>
      <c r="P582" s="14">
        <v>215.80500000000009</v>
      </c>
      <c r="Q582" s="14">
        <v>215.18000000000009</v>
      </c>
      <c r="R582" s="14">
        <v>216.43000000000009</v>
      </c>
      <c r="S582" s="14">
        <v>215.80500000000009</v>
      </c>
      <c r="T582" s="3">
        <v>215.81</v>
      </c>
      <c r="U582" s="3">
        <v>0.625</v>
      </c>
      <c r="V582" s="3">
        <v>2021.81</v>
      </c>
      <c r="W582" s="3">
        <v>2778.46</v>
      </c>
      <c r="X582" s="3">
        <v>2419.44</v>
      </c>
      <c r="Y582" s="3">
        <v>2415.37</v>
      </c>
      <c r="Z582" s="3">
        <v>378.32499999999999</v>
      </c>
      <c r="AA582" s="4">
        <v>6.4299999999999996E-2</v>
      </c>
      <c r="AB582" s="4">
        <v>1.0257675000000001E-2</v>
      </c>
      <c r="AC582">
        <v>1.1476266666666668</v>
      </c>
      <c r="AD582" s="15">
        <v>6.7106000000000003</v>
      </c>
      <c r="AE582" s="15">
        <v>1.8994</v>
      </c>
      <c r="AF582" s="15">
        <f t="shared" si="103"/>
        <v>4.8112000000000004</v>
      </c>
      <c r="AG582" s="15">
        <v>0.75177333333333318</v>
      </c>
      <c r="AH582" s="15">
        <v>86.486123727598908</v>
      </c>
      <c r="AI582" s="2">
        <v>13.513876272401092</v>
      </c>
      <c r="AJ582" s="1">
        <f t="shared" si="104"/>
        <v>0.67569381362005465</v>
      </c>
      <c r="AK582" s="13">
        <v>2.2200000000000001E-2</v>
      </c>
      <c r="AL582" s="16">
        <v>67.685589519999994</v>
      </c>
      <c r="AM582" s="10">
        <v>3.3842794759999997</v>
      </c>
      <c r="AN582" s="16">
        <v>39.260782784222734</v>
      </c>
      <c r="AO582" s="11">
        <v>3.3854759741688958</v>
      </c>
      <c r="AP582" s="14">
        <v>4.2248945312500013</v>
      </c>
      <c r="AQ582" s="2">
        <f>AP582*((G582*0.01)+(H582*0.01)+(I582*0.01))</f>
        <v>0.22814430468750005</v>
      </c>
      <c r="AR582" s="15">
        <v>1.3167129480241584</v>
      </c>
      <c r="AS582" s="15">
        <v>0.17793895865866957</v>
      </c>
      <c r="AT582" s="15">
        <f t="shared" si="105"/>
        <v>1.0811026303244733E-2</v>
      </c>
      <c r="AU582" s="2">
        <f t="shared" si="106"/>
        <v>1.1441475041752453E-2</v>
      </c>
      <c r="AV582" s="2">
        <f t="shared" si="107"/>
        <v>1.3129886435532686E-3</v>
      </c>
      <c r="AW582" s="3">
        <f t="shared" si="108"/>
        <v>11.475693813620053</v>
      </c>
    </row>
    <row r="583" spans="1:49" s="5" customFormat="1" x14ac:dyDescent="0.2">
      <c r="A583" s="5" t="s">
        <v>480</v>
      </c>
      <c r="B583" s="5" t="s">
        <v>481</v>
      </c>
      <c r="C583" s="5" t="s">
        <v>646</v>
      </c>
      <c r="D583" s="5" t="s">
        <v>655</v>
      </c>
      <c r="E583" s="13" t="s">
        <v>648</v>
      </c>
      <c r="F583" s="5">
        <v>195</v>
      </c>
      <c r="G583" s="14">
        <v>1.95</v>
      </c>
      <c r="H583" s="14">
        <v>1.95</v>
      </c>
      <c r="I583" s="14">
        <v>1.1499999999999999</v>
      </c>
      <c r="J583">
        <v>10.06</v>
      </c>
      <c r="K583">
        <v>11.26</v>
      </c>
      <c r="L583">
        <v>10.66</v>
      </c>
      <c r="M583">
        <v>0.18</v>
      </c>
      <c r="N583" s="14">
        <v>216.6100000000001</v>
      </c>
      <c r="O583" s="14">
        <v>217.7600000000001</v>
      </c>
      <c r="P583" s="14">
        <v>217.18500000000012</v>
      </c>
      <c r="Q583" s="14">
        <v>216.6100000000001</v>
      </c>
      <c r="R583" s="14">
        <v>217.7600000000001</v>
      </c>
      <c r="S583" s="14">
        <v>217.18500000000012</v>
      </c>
      <c r="T583" s="3">
        <v>217.19</v>
      </c>
      <c r="U583" s="3">
        <v>0.57499999999999996</v>
      </c>
      <c r="V583" s="3">
        <v>2038.29</v>
      </c>
      <c r="W583" s="3">
        <v>2791.29</v>
      </c>
      <c r="X583" s="3">
        <v>2446.86</v>
      </c>
      <c r="Y583" s="3">
        <v>2436.84</v>
      </c>
      <c r="Z583" s="3">
        <v>376.5</v>
      </c>
      <c r="AA583" s="4">
        <v>6.4500000000000002E-2</v>
      </c>
      <c r="AB583" s="4">
        <v>1.0136228000000001E-2</v>
      </c>
      <c r="AC583">
        <v>1.1476266666666668</v>
      </c>
      <c r="AD583" s="15">
        <v>5.7953999999999999</v>
      </c>
      <c r="AE583" s="15">
        <v>1.7417</v>
      </c>
      <c r="AF583" s="15">
        <f t="shared" si="103"/>
        <v>4.0537000000000001</v>
      </c>
      <c r="AG583" s="15">
        <v>0.59407333333333323</v>
      </c>
      <c r="AH583" s="15">
        <v>87.218108743111401</v>
      </c>
      <c r="AI583" s="2">
        <v>12.781891256888599</v>
      </c>
      <c r="AJ583" s="1">
        <f t="shared" si="104"/>
        <v>0.63909456284443</v>
      </c>
      <c r="AK583" s="13">
        <v>3.4099999999999998E-2</v>
      </c>
      <c r="AL583" s="16">
        <v>68.571428569999995</v>
      </c>
      <c r="AM583" s="10">
        <v>3.4285714284999997</v>
      </c>
      <c r="AN583" s="16">
        <v>39.774610539443152</v>
      </c>
      <c r="AO583" s="11">
        <v>3.4297524750813331</v>
      </c>
      <c r="AP583" s="14">
        <v>3.4327068749999996</v>
      </c>
      <c r="AQ583" s="2">
        <f>AP583*((G583*0.01)+(H583*0.01)+(I583*0.01))</f>
        <v>0.17335169718749999</v>
      </c>
      <c r="AR583" s="15">
        <v>1.3539674381120392</v>
      </c>
      <c r="AS583" s="15">
        <v>0.17306264559316131</v>
      </c>
      <c r="AT583" s="15">
        <f t="shared" si="105"/>
        <v>9.8456975607552656E-3</v>
      </c>
      <c r="AU583" s="2">
        <f t="shared" si="106"/>
        <v>1.1162540640758905E-2</v>
      </c>
      <c r="AV583" s="2">
        <f t="shared" si="107"/>
        <v>1.1987557950270396E-3</v>
      </c>
      <c r="AW583" s="3">
        <f t="shared" si="108"/>
        <v>10.739094562844432</v>
      </c>
    </row>
    <row r="584" spans="1:49" s="5" customFormat="1" x14ac:dyDescent="0.2">
      <c r="A584" s="5" t="s">
        <v>480</v>
      </c>
      <c r="B584" s="5" t="s">
        <v>481</v>
      </c>
      <c r="C584" s="5" t="s">
        <v>646</v>
      </c>
      <c r="D584" s="5" t="s">
        <v>656</v>
      </c>
      <c r="E584" s="13" t="s">
        <v>648</v>
      </c>
      <c r="F584" s="5">
        <v>196</v>
      </c>
      <c r="G584" s="14">
        <v>2.15</v>
      </c>
      <c r="H584" s="14">
        <v>1.8</v>
      </c>
      <c r="I584" s="14">
        <v>1.2</v>
      </c>
      <c r="J584">
        <v>11.44</v>
      </c>
      <c r="K584">
        <v>12.64</v>
      </c>
      <c r="L584">
        <v>12.04</v>
      </c>
      <c r="M584">
        <v>0.18</v>
      </c>
      <c r="N584" s="14">
        <v>217.94000000000011</v>
      </c>
      <c r="O584" s="14">
        <v>219.1400000000001</v>
      </c>
      <c r="P584" s="14">
        <v>218.54000000000011</v>
      </c>
      <c r="Q584" s="14">
        <v>217.94000000000011</v>
      </c>
      <c r="R584" s="14">
        <v>219.1400000000001</v>
      </c>
      <c r="S584" s="14">
        <v>218.54000000000011</v>
      </c>
      <c r="T584" s="3">
        <v>218.54</v>
      </c>
      <c r="U584" s="3">
        <v>0.6</v>
      </c>
      <c r="V584" s="3">
        <v>2056</v>
      </c>
      <c r="W584" s="3">
        <v>2805.63</v>
      </c>
      <c r="X584" s="3">
        <v>2469.63</v>
      </c>
      <c r="Y584" s="3">
        <v>2457.85</v>
      </c>
      <c r="Z584" s="3">
        <v>374.815</v>
      </c>
      <c r="AA584" s="4">
        <v>6.4199999999999993E-2</v>
      </c>
      <c r="AB584" s="4">
        <v>9.9665750000000001E-3</v>
      </c>
      <c r="AC584">
        <v>1.1476266666666668</v>
      </c>
      <c r="AD584" s="15">
        <v>6.1029999999999998</v>
      </c>
      <c r="AE584" s="15">
        <v>1.8633</v>
      </c>
      <c r="AF584" s="15">
        <f t="shared" si="103"/>
        <v>4.2397</v>
      </c>
      <c r="AG584" s="15">
        <v>0.71567333333333316</v>
      </c>
      <c r="AH584" s="15">
        <v>85.557630370264732</v>
      </c>
      <c r="AI584" s="2">
        <v>14.442369629735268</v>
      </c>
      <c r="AJ584" s="1">
        <f t="shared" si="104"/>
        <v>0.72211848148676339</v>
      </c>
      <c r="AK584" s="13">
        <v>3.0099999999999998E-2</v>
      </c>
      <c r="AL584" s="16">
        <v>70.286278379999999</v>
      </c>
      <c r="AM584" s="10">
        <v>3.5143139190000001</v>
      </c>
      <c r="AN584" s="16">
        <v>40.769303004640371</v>
      </c>
      <c r="AO584" s="11">
        <v>3.5154661598822337</v>
      </c>
      <c r="AP584" s="14">
        <v>3.6743887499999999</v>
      </c>
      <c r="AQ584" s="2">
        <f>AP584*((G584*0.01)+(H584*0.01)+(I584*0.01))</f>
        <v>0.189231020625</v>
      </c>
      <c r="AR584" s="15">
        <v>1.3486252191832815</v>
      </c>
      <c r="AS584" s="15">
        <v>0.19477343907427683</v>
      </c>
      <c r="AT584" s="15">
        <f t="shared" si="105"/>
        <v>1.1437327112907972E-2</v>
      </c>
      <c r="AU584" s="2">
        <f t="shared" si="106"/>
        <v>1.2504454788568571E-2</v>
      </c>
      <c r="AV584" s="2">
        <f t="shared" si="107"/>
        <v>1.3782558222599733E-3</v>
      </c>
      <c r="AW584" s="3">
        <f t="shared" si="108"/>
        <v>11.022118481486764</v>
      </c>
    </row>
    <row r="585" spans="1:49" s="5" customFormat="1" x14ac:dyDescent="0.2">
      <c r="A585" s="5" t="s">
        <v>480</v>
      </c>
      <c r="B585" s="5" t="s">
        <v>481</v>
      </c>
      <c r="C585" s="5" t="s">
        <v>646</v>
      </c>
      <c r="D585" s="5" t="s">
        <v>657</v>
      </c>
      <c r="E585" s="13" t="s">
        <v>648</v>
      </c>
      <c r="F585" s="5">
        <v>197</v>
      </c>
      <c r="G585" s="14">
        <v>2</v>
      </c>
      <c r="H585" s="14">
        <v>2.35</v>
      </c>
      <c r="I585" s="14">
        <v>1.2</v>
      </c>
      <c r="J585">
        <v>12.82</v>
      </c>
      <c r="K585">
        <v>14.02</v>
      </c>
      <c r="L585">
        <v>13.42</v>
      </c>
      <c r="M585">
        <v>0.18</v>
      </c>
      <c r="N585" s="14">
        <v>219.32000000000011</v>
      </c>
      <c r="O585" s="14">
        <v>220.5200000000001</v>
      </c>
      <c r="P585" s="14">
        <v>219.9200000000001</v>
      </c>
      <c r="Q585" s="14">
        <v>219.32000000000011</v>
      </c>
      <c r="R585" s="14">
        <v>220.5200000000001</v>
      </c>
      <c r="S585" s="14">
        <v>219.9200000000001</v>
      </c>
      <c r="T585" s="3">
        <v>219.92</v>
      </c>
      <c r="U585" s="3">
        <v>0.6</v>
      </c>
      <c r="V585" s="3">
        <v>2073.2199999999998</v>
      </c>
      <c r="W585" s="3">
        <v>2831.84</v>
      </c>
      <c r="X585" s="3">
        <v>2491.1</v>
      </c>
      <c r="Y585" s="3">
        <v>2479.33</v>
      </c>
      <c r="Z585" s="3">
        <v>379.31</v>
      </c>
      <c r="AA585" s="4">
        <v>5.4699999999999999E-2</v>
      </c>
      <c r="AB585" s="4">
        <v>8.5177299999999994E-3</v>
      </c>
      <c r="AC585">
        <v>1.1476266666666668</v>
      </c>
      <c r="AD585" s="15">
        <v>7.1665000000000001</v>
      </c>
      <c r="AE585" s="15">
        <v>1.9984999999999999</v>
      </c>
      <c r="AF585" s="15">
        <f t="shared" si="103"/>
        <v>5.1680000000000001</v>
      </c>
      <c r="AG585" s="15">
        <v>0.85087333333333315</v>
      </c>
      <c r="AH585" s="15">
        <v>85.863245723729023</v>
      </c>
      <c r="AI585" s="2">
        <v>14.136754276270977</v>
      </c>
      <c r="AJ585" s="1">
        <f t="shared" si="104"/>
        <v>0.70683771381354887</v>
      </c>
      <c r="AK585" s="13">
        <v>3.5400000000000001E-2</v>
      </c>
      <c r="AL585" s="16">
        <v>66.477272729999996</v>
      </c>
      <c r="AM585" s="10">
        <v>3.3238636365000001</v>
      </c>
      <c r="AN585" s="16">
        <v>38.559902975638046</v>
      </c>
      <c r="AO585" s="11">
        <v>3.3250818747884998</v>
      </c>
      <c r="AP585" s="14">
        <v>4.4562487499999994</v>
      </c>
      <c r="AQ585" s="2">
        <f>AP585*((G585*0.01)+(H585*0.01)+(I585*0.01))</f>
        <v>0.24732180562499995</v>
      </c>
      <c r="AR585" s="15">
        <v>1.3506591913957529</v>
      </c>
      <c r="AS585" s="15">
        <v>0.19093937099748601</v>
      </c>
      <c r="AT585" s="15">
        <f t="shared" si="105"/>
        <v>1.1946766575089073E-2</v>
      </c>
      <c r="AU585" s="2">
        <f t="shared" si="106"/>
        <v>1.0444383593562484E-2</v>
      </c>
      <c r="AV585" s="2">
        <f t="shared" si="107"/>
        <v>1.2331514211000899E-3</v>
      </c>
      <c r="AW585" s="3">
        <f t="shared" si="108"/>
        <v>11.806837713813549</v>
      </c>
    </row>
    <row r="586" spans="1:49" s="5" customFormat="1" x14ac:dyDescent="0.2">
      <c r="A586" s="5" t="s">
        <v>480</v>
      </c>
      <c r="B586" s="5" t="s">
        <v>481</v>
      </c>
      <c r="C586" s="5" t="s">
        <v>646</v>
      </c>
      <c r="D586" s="5" t="s">
        <v>658</v>
      </c>
      <c r="E586" s="13" t="s">
        <v>648</v>
      </c>
      <c r="F586" s="5">
        <v>198</v>
      </c>
      <c r="G586" s="14">
        <v>2.2999999999999998</v>
      </c>
      <c r="H586" s="14">
        <v>2.2000000000000002</v>
      </c>
      <c r="I586" s="14">
        <v>1.1499999999999999</v>
      </c>
      <c r="J586">
        <v>14.2</v>
      </c>
      <c r="K586">
        <v>15.4</v>
      </c>
      <c r="L586">
        <v>14.8</v>
      </c>
      <c r="M586">
        <v>0.18</v>
      </c>
      <c r="N586" s="14">
        <v>220.7000000000001</v>
      </c>
      <c r="O586" s="14">
        <v>221.85000000000011</v>
      </c>
      <c r="P586" s="14">
        <v>221.27500000000009</v>
      </c>
      <c r="Q586" s="14">
        <v>220.7000000000001</v>
      </c>
      <c r="R586" s="14">
        <v>221.85000000000011</v>
      </c>
      <c r="S586" s="14">
        <v>221.27500000000009</v>
      </c>
      <c r="T586" s="3">
        <v>221.28</v>
      </c>
      <c r="U586" s="3">
        <v>0.57499999999999996</v>
      </c>
      <c r="V586" s="3">
        <v>2119.5500000000002</v>
      </c>
      <c r="W586" s="3">
        <v>2841.27</v>
      </c>
      <c r="X586" s="3">
        <v>2514.59</v>
      </c>
      <c r="Y586" s="3">
        <v>2504.08</v>
      </c>
      <c r="Z586" s="3">
        <v>360.86</v>
      </c>
      <c r="AA586" s="4">
        <v>5.4699999999999999E-2</v>
      </c>
      <c r="AB586" s="4">
        <v>8.0248909999999993E-3</v>
      </c>
      <c r="AC586">
        <v>1.1476266666666668</v>
      </c>
      <c r="AD586" s="15">
        <v>6.8048000000000002</v>
      </c>
      <c r="AE586" s="15">
        <v>1.8865000000000001</v>
      </c>
      <c r="AF586" s="15">
        <f t="shared" si="103"/>
        <v>4.9183000000000003</v>
      </c>
      <c r="AG586" s="15">
        <v>0.73887333333333327</v>
      </c>
      <c r="AH586" s="15">
        <v>86.939178105437819</v>
      </c>
      <c r="AI586" s="2">
        <v>13.060821894562181</v>
      </c>
      <c r="AJ586" s="1">
        <f t="shared" si="104"/>
        <v>0.65304109472810912</v>
      </c>
      <c r="AK586" s="13">
        <v>1.8499999999999999E-2</v>
      </c>
      <c r="AL586" s="16">
        <v>75</v>
      </c>
      <c r="AM586" s="10">
        <v>3.75</v>
      </c>
      <c r="AN586" s="16">
        <v>43.503480278422273</v>
      </c>
      <c r="AO586" s="11">
        <v>3.7510798445247739</v>
      </c>
      <c r="AP586" s="14">
        <v>4.5701718750000007</v>
      </c>
      <c r="AQ586" s="2">
        <f>AP586*((G586*0.01)+(H586*0.01)+(I586*0.01))</f>
        <v>0.25821471093750004</v>
      </c>
      <c r="AR586" s="15">
        <v>1.2378469536954413</v>
      </c>
      <c r="AS586" s="15">
        <v>0.1616729859494252</v>
      </c>
      <c r="AT586" s="15">
        <f t="shared" si="105"/>
        <v>1.0190314743466272E-2</v>
      </c>
      <c r="AU586" s="2">
        <f t="shared" si="106"/>
        <v>8.8435123314335572E-3</v>
      </c>
      <c r="AV586" s="2">
        <f t="shared" si="107"/>
        <v>1.0570686631936009E-3</v>
      </c>
      <c r="AW586" s="3">
        <f t="shared" si="108"/>
        <v>11.953041094728109</v>
      </c>
    </row>
    <row r="587" spans="1:49" s="5" customFormat="1" x14ac:dyDescent="0.2">
      <c r="A587" s="5" t="s">
        <v>480</v>
      </c>
      <c r="B587" s="5" t="s">
        <v>481</v>
      </c>
      <c r="C587" s="5" t="s">
        <v>646</v>
      </c>
      <c r="D587" s="5" t="s">
        <v>659</v>
      </c>
      <c r="E587" s="13" t="s">
        <v>648</v>
      </c>
      <c r="F587" s="5">
        <v>199</v>
      </c>
      <c r="G587" s="14">
        <v>2.1</v>
      </c>
      <c r="H587" s="14">
        <v>2.35</v>
      </c>
      <c r="I587" s="14">
        <v>1.2</v>
      </c>
      <c r="J587">
        <v>15.58</v>
      </c>
      <c r="K587">
        <v>16.78</v>
      </c>
      <c r="L587">
        <v>16.18</v>
      </c>
      <c r="M587">
        <v>0.18</v>
      </c>
      <c r="N587" s="14">
        <v>222.03000000000011</v>
      </c>
      <c r="O587" s="14">
        <v>223.2300000000001</v>
      </c>
      <c r="P587" s="14">
        <v>222.63000000000011</v>
      </c>
      <c r="Q587" s="14">
        <v>222.03000000000011</v>
      </c>
      <c r="R587" s="14">
        <v>223.2300000000001</v>
      </c>
      <c r="S587" s="14">
        <v>222.63000000000011</v>
      </c>
      <c r="T587" s="3">
        <v>222.63</v>
      </c>
      <c r="U587" s="3">
        <v>0.6</v>
      </c>
      <c r="V587" s="3">
        <v>2152.69</v>
      </c>
      <c r="W587" s="3">
        <v>2850.8</v>
      </c>
      <c r="X587" s="3">
        <v>2539.44</v>
      </c>
      <c r="Y587" s="3">
        <v>2528.87</v>
      </c>
      <c r="Z587" s="3">
        <v>349.05500000000001</v>
      </c>
      <c r="AA587" s="4">
        <v>5.4399999999999997E-2</v>
      </c>
      <c r="AB587" s="4">
        <v>7.6553369999999999E-3</v>
      </c>
      <c r="AC587">
        <v>1.1476266666666668</v>
      </c>
      <c r="AD587" s="15">
        <v>7.2853000000000003</v>
      </c>
      <c r="AE587" s="15">
        <v>1.9858</v>
      </c>
      <c r="AF587" s="15">
        <f t="shared" si="103"/>
        <v>5.2995000000000001</v>
      </c>
      <c r="AG587" s="15">
        <v>0.83817333333333321</v>
      </c>
      <c r="AH587" s="15">
        <v>86.34379368512063</v>
      </c>
      <c r="AI587" s="2">
        <v>13.65620631487937</v>
      </c>
      <c r="AJ587" s="1">
        <f t="shared" si="104"/>
        <v>0.68281031574396855</v>
      </c>
      <c r="AK587" s="13">
        <v>3.9E-2</v>
      </c>
      <c r="AL587" s="16">
        <v>66.350301979999998</v>
      </c>
      <c r="AM587" s="10">
        <v>3.317515099</v>
      </c>
      <c r="AN587" s="16">
        <v>38.4862540487239</v>
      </c>
      <c r="AO587" s="11">
        <v>3.3187356677043414</v>
      </c>
      <c r="AP587" s="14">
        <v>4.6634887500000008</v>
      </c>
      <c r="AQ587" s="2">
        <f>AP587*((G587*0.01)+(H587*0.01)+(I587*0.01))</f>
        <v>0.263487114375</v>
      </c>
      <c r="AR587" s="15">
        <v>1.3161119630305387</v>
      </c>
      <c r="AS587" s="15">
        <v>0.17973096500625912</v>
      </c>
      <c r="AT587" s="15">
        <f t="shared" si="105"/>
        <v>1.1382021092502557E-2</v>
      </c>
      <c r="AU587" s="2">
        <f t="shared" si="106"/>
        <v>9.7773644963404967E-3</v>
      </c>
      <c r="AV587" s="2">
        <f t="shared" si="107"/>
        <v>1.1716030414753772E-3</v>
      </c>
      <c r="AW587" s="3">
        <f t="shared" si="108"/>
        <v>11.982810315743967</v>
      </c>
    </row>
    <row r="588" spans="1:49" s="5" customFormat="1" x14ac:dyDescent="0.2">
      <c r="A588" s="5" t="s">
        <v>480</v>
      </c>
      <c r="B588" s="5" t="s">
        <v>481</v>
      </c>
      <c r="C588" s="5" t="s">
        <v>646</v>
      </c>
      <c r="D588" s="5" t="s">
        <v>660</v>
      </c>
      <c r="E588" s="13" t="s">
        <v>648</v>
      </c>
      <c r="F588" s="5">
        <v>200</v>
      </c>
      <c r="G588" s="14">
        <v>2.35</v>
      </c>
      <c r="H588" s="14">
        <v>1.8</v>
      </c>
      <c r="I588" s="14">
        <v>1.2</v>
      </c>
      <c r="J588">
        <v>16.96</v>
      </c>
      <c r="K588">
        <v>18.16</v>
      </c>
      <c r="L588">
        <v>17.559999999999999</v>
      </c>
      <c r="M588">
        <v>0.18</v>
      </c>
      <c r="N588" s="14">
        <v>223.41000000000011</v>
      </c>
      <c r="O588" s="14">
        <v>224.6100000000001</v>
      </c>
      <c r="P588" s="14">
        <v>224.0100000000001</v>
      </c>
      <c r="Q588" s="14">
        <v>223.41000000000011</v>
      </c>
      <c r="R588" s="14">
        <v>224.6100000000001</v>
      </c>
      <c r="S588" s="14">
        <v>224.0100000000001</v>
      </c>
      <c r="T588" s="3">
        <v>224.01</v>
      </c>
      <c r="U588" s="3">
        <v>0.6</v>
      </c>
      <c r="V588" s="3">
        <v>2190.3000000000002</v>
      </c>
      <c r="W588" s="3">
        <v>2866.52</v>
      </c>
      <c r="X588" s="3">
        <v>2565.3200000000002</v>
      </c>
      <c r="Y588" s="3">
        <v>2554.2199999999998</v>
      </c>
      <c r="Z588" s="3">
        <v>338.11</v>
      </c>
      <c r="AA588" s="4">
        <v>5.45E-2</v>
      </c>
      <c r="AB588" s="4">
        <v>7.3603089999999998E-3</v>
      </c>
      <c r="AC588">
        <v>1.1476266666666668</v>
      </c>
      <c r="AD588" s="15">
        <v>6.1135999999999999</v>
      </c>
      <c r="AE588" s="15">
        <v>1.7257</v>
      </c>
      <c r="AF588" s="15">
        <f t="shared" si="103"/>
        <v>4.3879000000000001</v>
      </c>
      <c r="AG588" s="15">
        <v>0.57807333333333322</v>
      </c>
      <c r="AH588" s="15">
        <v>88.359314588882214</v>
      </c>
      <c r="AI588" s="2">
        <v>11.640685411117786</v>
      </c>
      <c r="AJ588" s="1">
        <f t="shared" si="104"/>
        <v>0.5820342705558893</v>
      </c>
      <c r="AK588" s="13">
        <v>3.3099999999999997E-2</v>
      </c>
      <c r="AL588" s="16">
        <v>70.099367659999999</v>
      </c>
      <c r="AM588" s="10">
        <v>3.504968383</v>
      </c>
      <c r="AN588" s="16">
        <v>40.660886113689095</v>
      </c>
      <c r="AO588" s="11">
        <v>3.5061236951695864</v>
      </c>
      <c r="AP588" s="14">
        <v>4.0558987500000008</v>
      </c>
      <c r="AQ588" s="2">
        <f>AP588*((G588*0.01)+(H588*0.01)+(I588*0.01))</f>
        <v>0.21699058312500005</v>
      </c>
      <c r="AR588" s="15">
        <v>1.2243829640306807</v>
      </c>
      <c r="AS588" s="15">
        <v>0.14252656907013103</v>
      </c>
      <c r="AT588" s="15">
        <f t="shared" si="105"/>
        <v>8.4547249218876845E-3</v>
      </c>
      <c r="AU588" s="2">
        <f t="shared" si="106"/>
        <v>7.7676980143221415E-3</v>
      </c>
      <c r="AV588" s="2">
        <f t="shared" si="107"/>
        <v>8.7635435200911346E-4</v>
      </c>
      <c r="AW588" s="3">
        <f t="shared" si="108"/>
        <v>11.28203427055589</v>
      </c>
    </row>
    <row r="589" spans="1:49" s="5" customFormat="1" x14ac:dyDescent="0.2">
      <c r="A589" s="5" t="s">
        <v>480</v>
      </c>
      <c r="B589" s="5" t="s">
        <v>481</v>
      </c>
      <c r="C589" s="5" t="s">
        <v>646</v>
      </c>
      <c r="D589" s="5" t="s">
        <v>661</v>
      </c>
      <c r="E589" s="13" t="s">
        <v>648</v>
      </c>
      <c r="F589" s="5">
        <v>201</v>
      </c>
      <c r="G589" s="14">
        <v>2.25</v>
      </c>
      <c r="H589" s="14">
        <v>2.1</v>
      </c>
      <c r="I589" s="14">
        <v>1.1000000000000001</v>
      </c>
      <c r="J589">
        <v>18.34</v>
      </c>
      <c r="K589">
        <v>19.440000000000001</v>
      </c>
      <c r="L589">
        <v>18.89</v>
      </c>
      <c r="M589">
        <v>0.18</v>
      </c>
      <c r="N589" s="14">
        <v>224.79000000000011</v>
      </c>
      <c r="O589" s="14">
        <v>225.8900000000001</v>
      </c>
      <c r="P589" s="14">
        <v>225.34000000000009</v>
      </c>
      <c r="Q589" s="14">
        <v>224.79000000000011</v>
      </c>
      <c r="R589" s="14">
        <v>225.8900000000001</v>
      </c>
      <c r="S589" s="14">
        <v>225.34000000000009</v>
      </c>
      <c r="T589" s="3">
        <v>225.34</v>
      </c>
      <c r="U589" s="3">
        <v>0.55000000000000004</v>
      </c>
      <c r="V589" s="3">
        <v>2211.9499999999998</v>
      </c>
      <c r="W589" s="3">
        <v>2879.06</v>
      </c>
      <c r="X589" s="3">
        <v>2589.2199999999998</v>
      </c>
      <c r="Y589" s="3">
        <v>2578.64</v>
      </c>
      <c r="Z589" s="3">
        <v>333.55500000000001</v>
      </c>
      <c r="AA589" s="4">
        <v>5.4399999999999997E-2</v>
      </c>
      <c r="AB589" s="4">
        <v>7.1695839999999997E-3</v>
      </c>
      <c r="AC589">
        <v>1.1476266666666668</v>
      </c>
      <c r="AD589" s="15">
        <v>6.3178000000000001</v>
      </c>
      <c r="AE589" s="15">
        <v>1.7612000000000001</v>
      </c>
      <c r="AF589" s="15">
        <f t="shared" si="103"/>
        <v>4.5565999999999995</v>
      </c>
      <c r="AG589" s="15">
        <v>0.6135733333333333</v>
      </c>
      <c r="AH589" s="15">
        <v>88.132441723423852</v>
      </c>
      <c r="AI589" s="2">
        <v>11.867558276576148</v>
      </c>
      <c r="AJ589" s="1">
        <f t="shared" si="104"/>
        <v>0.59337791382880745</v>
      </c>
      <c r="AK589" s="13">
        <v>3.2000000000000002E-3</v>
      </c>
      <c r="AL589" s="16">
        <v>93.625498010000001</v>
      </c>
      <c r="AM589" s="10">
        <v>4.6812749005000001</v>
      </c>
      <c r="AN589" s="16">
        <v>54.30713341647332</v>
      </c>
      <c r="AO589" s="11">
        <v>4.6821399695066015</v>
      </c>
      <c r="AP589" s="14">
        <v>4.0848946874999994</v>
      </c>
      <c r="AQ589" s="2">
        <f>AP589*((G589*0.01)+(H589*0.01)+(I589*0.01))</f>
        <v>0.22262676046874996</v>
      </c>
      <c r="AR589" s="15">
        <v>1.2656809364398907</v>
      </c>
      <c r="AS589" s="15">
        <v>0.15020542272751883</v>
      </c>
      <c r="AT589" s="15">
        <f t="shared" si="105"/>
        <v>9.0774813424880692E-3</v>
      </c>
      <c r="AU589" s="2">
        <f t="shared" si="106"/>
        <v>8.1711749963770241E-3</v>
      </c>
      <c r="AV589" s="2">
        <f t="shared" si="107"/>
        <v>9.3914402233389877E-4</v>
      </c>
      <c r="AW589" s="3">
        <f t="shared" si="108"/>
        <v>11.493377913828807</v>
      </c>
    </row>
    <row r="590" spans="1:49" s="5" customFormat="1" x14ac:dyDescent="0.2">
      <c r="A590" s="5" t="s">
        <v>480</v>
      </c>
      <c r="B590" s="5" t="s">
        <v>481</v>
      </c>
      <c r="C590" s="5" t="s">
        <v>646</v>
      </c>
      <c r="D590" s="5" t="s">
        <v>662</v>
      </c>
      <c r="E590" s="13" t="s">
        <v>648</v>
      </c>
      <c r="F590" s="5">
        <v>202</v>
      </c>
      <c r="G590" s="14">
        <v>2.2000000000000002</v>
      </c>
      <c r="H590" s="14">
        <v>2.15</v>
      </c>
      <c r="I590" s="14">
        <v>1.2</v>
      </c>
      <c r="J590">
        <v>19.62</v>
      </c>
      <c r="K590">
        <v>20.82</v>
      </c>
      <c r="L590">
        <v>20.22</v>
      </c>
      <c r="M590">
        <v>0.18</v>
      </c>
      <c r="N590" s="14">
        <v>226.07000000000011</v>
      </c>
      <c r="O590" s="14">
        <v>227.2700000000001</v>
      </c>
      <c r="P590" s="14">
        <v>226.6700000000001</v>
      </c>
      <c r="Q590" s="14">
        <v>226.07000000000011</v>
      </c>
      <c r="R590" s="14">
        <v>227.2700000000001</v>
      </c>
      <c r="S590" s="14">
        <v>226.6700000000001</v>
      </c>
      <c r="T590" s="3">
        <v>226.67</v>
      </c>
      <c r="U590" s="3">
        <v>0.6</v>
      </c>
      <c r="V590" s="3">
        <v>2229.09</v>
      </c>
      <c r="W590" s="3">
        <v>2894.49</v>
      </c>
      <c r="X590" s="3">
        <v>2616.1999999999998</v>
      </c>
      <c r="Y590" s="3">
        <v>2603.0700000000002</v>
      </c>
      <c r="Z590" s="3">
        <v>332.7</v>
      </c>
      <c r="AA590" s="4">
        <v>5.4300000000000001E-2</v>
      </c>
      <c r="AB590" s="4">
        <v>7.08385E-3</v>
      </c>
      <c r="AC590">
        <v>1.1476266666666668</v>
      </c>
      <c r="AD590" s="15">
        <v>7.5164</v>
      </c>
      <c r="AE590" s="15">
        <v>1.9553</v>
      </c>
      <c r="AF590" s="15">
        <f t="shared" si="103"/>
        <v>5.5610999999999997</v>
      </c>
      <c r="AG590" s="15">
        <v>0.80767333333333324</v>
      </c>
      <c r="AH590" s="15">
        <v>87.318227685917535</v>
      </c>
      <c r="AI590" s="2">
        <v>12.681772314082465</v>
      </c>
      <c r="AJ590" s="1">
        <f t="shared" si="104"/>
        <v>0.63408861570412334</v>
      </c>
      <c r="AK590" s="13">
        <v>1.0500000000000001E-2</v>
      </c>
      <c r="AL590" s="16">
        <v>84.671532850000006</v>
      </c>
      <c r="AM590" s="10">
        <v>4.2335766425000001</v>
      </c>
      <c r="AN590" s="16">
        <v>49.113418126450121</v>
      </c>
      <c r="AO590" s="11">
        <v>4.234533172372319</v>
      </c>
      <c r="AP590" s="14">
        <v>4.4562487499999994</v>
      </c>
      <c r="AQ590" s="2">
        <f>AP590*((G590*0.01)+(H590*0.01)+(I590*0.01))</f>
        <v>0.24732180562499995</v>
      </c>
      <c r="AR590" s="15">
        <v>1.429178147502052</v>
      </c>
      <c r="AS590" s="15">
        <v>0.18124511862883178</v>
      </c>
      <c r="AT590" s="15">
        <f t="shared" si="105"/>
        <v>1.1208358747645017E-2</v>
      </c>
      <c r="AU590" s="2">
        <f t="shared" si="106"/>
        <v>9.8416099415455649E-3</v>
      </c>
      <c r="AV590" s="2">
        <f t="shared" si="107"/>
        <v>1.1548232317529032E-3</v>
      </c>
      <c r="AW590" s="3">
        <f t="shared" si="108"/>
        <v>11.734088615704122</v>
      </c>
    </row>
    <row r="591" spans="1:49" s="5" customFormat="1" x14ac:dyDescent="0.2">
      <c r="A591" s="5" t="s">
        <v>480</v>
      </c>
      <c r="B591" s="5" t="s">
        <v>481</v>
      </c>
      <c r="C591" s="5" t="s">
        <v>646</v>
      </c>
      <c r="D591" s="5" t="s">
        <v>663</v>
      </c>
      <c r="E591" s="13" t="s">
        <v>648</v>
      </c>
      <c r="F591" s="5">
        <v>203</v>
      </c>
      <c r="G591" s="14">
        <v>1.9</v>
      </c>
      <c r="H591" s="14">
        <v>2.2999999999999998</v>
      </c>
      <c r="I591" s="14">
        <v>1.25</v>
      </c>
      <c r="J591">
        <v>21</v>
      </c>
      <c r="K591">
        <v>22.3</v>
      </c>
      <c r="L591">
        <v>21.65</v>
      </c>
      <c r="M591">
        <v>0.18</v>
      </c>
      <c r="N591" s="14">
        <v>227.4500000000001</v>
      </c>
      <c r="O591" s="14">
        <v>228.7000000000001</v>
      </c>
      <c r="P591" s="14">
        <v>228.0750000000001</v>
      </c>
      <c r="Q591" s="14">
        <v>227.4500000000001</v>
      </c>
      <c r="R591" s="14">
        <v>228.7000000000001</v>
      </c>
      <c r="S591" s="14">
        <v>228.0750000000001</v>
      </c>
      <c r="T591" s="3">
        <v>228.08</v>
      </c>
      <c r="U591" s="3">
        <v>0.625</v>
      </c>
      <c r="V591" s="3">
        <v>2251.19</v>
      </c>
      <c r="W591" s="3">
        <v>2917.28</v>
      </c>
      <c r="X591" s="3">
        <v>2642.81</v>
      </c>
      <c r="Y591" s="3">
        <v>2628.96</v>
      </c>
      <c r="Z591" s="3">
        <v>333.04500000000002</v>
      </c>
      <c r="AA591" s="4">
        <v>5.4600000000000003E-2</v>
      </c>
      <c r="AB591" s="4">
        <v>7.0665199999999997E-3</v>
      </c>
      <c r="AC591">
        <v>1.1476266666666668</v>
      </c>
      <c r="AD591" s="15">
        <v>6.6310000000000002</v>
      </c>
      <c r="AE591" s="15">
        <v>1.7379</v>
      </c>
      <c r="AF591" s="15">
        <f t="shared" si="103"/>
        <v>4.8931000000000004</v>
      </c>
      <c r="AG591" s="15">
        <v>0.59027333333333321</v>
      </c>
      <c r="AH591" s="15">
        <v>89.235215305420269</v>
      </c>
      <c r="AI591" s="2">
        <v>10.764784694579731</v>
      </c>
      <c r="AJ591" s="1">
        <f t="shared" si="104"/>
        <v>0.5382392347289866</v>
      </c>
      <c r="AK591" s="13">
        <v>2.24E-2</v>
      </c>
      <c r="AL591" s="16">
        <v>74.746335959999996</v>
      </c>
      <c r="AM591" s="10">
        <v>3.7373167980000002</v>
      </c>
      <c r="AN591" s="16">
        <v>43.356343364269136</v>
      </c>
      <c r="AO591" s="11">
        <v>3.7384003060952389</v>
      </c>
      <c r="AP591" s="14">
        <v>4.3273124999999988</v>
      </c>
      <c r="AQ591" s="2">
        <f>AP591*((G591*0.01)+(H591*0.01)+(I591*0.01))</f>
        <v>0.2358385312499999</v>
      </c>
      <c r="AR591" s="15">
        <v>1.2671544598023219</v>
      </c>
      <c r="AS591" s="15">
        <v>0.13640644934548485</v>
      </c>
      <c r="AT591" s="15">
        <f t="shared" si="105"/>
        <v>8.168344518407044E-3</v>
      </c>
      <c r="AU591" s="2">
        <f t="shared" si="106"/>
        <v>7.4477921342634727E-3</v>
      </c>
      <c r="AV591" s="2">
        <f t="shared" si="107"/>
        <v>8.5189628202238384E-4</v>
      </c>
      <c r="AW591" s="3">
        <f t="shared" si="108"/>
        <v>11.438239234728986</v>
      </c>
    </row>
    <row r="592" spans="1:49" s="5" customFormat="1" x14ac:dyDescent="0.2">
      <c r="A592" s="5" t="s">
        <v>480</v>
      </c>
      <c r="B592" s="5" t="s">
        <v>481</v>
      </c>
      <c r="C592" s="5" t="s">
        <v>646</v>
      </c>
      <c r="D592" s="5" t="s">
        <v>664</v>
      </c>
      <c r="E592" s="13" t="s">
        <v>648</v>
      </c>
      <c r="F592" s="5">
        <v>204</v>
      </c>
      <c r="G592" s="14">
        <v>2.0499999999999998</v>
      </c>
      <c r="H592" s="14">
        <v>2.25</v>
      </c>
      <c r="I592" s="14">
        <v>1.2</v>
      </c>
      <c r="J592">
        <v>22.48</v>
      </c>
      <c r="K592">
        <v>23.68</v>
      </c>
      <c r="L592">
        <v>23.08</v>
      </c>
      <c r="M592">
        <v>0.18</v>
      </c>
      <c r="N592" s="14">
        <v>228.88000000000011</v>
      </c>
      <c r="O592" s="14">
        <v>230.0800000000001</v>
      </c>
      <c r="P592" s="14">
        <v>229.4800000000001</v>
      </c>
      <c r="Q592" s="14">
        <v>228.88000000000011</v>
      </c>
      <c r="R592" s="14">
        <v>230.0800000000001</v>
      </c>
      <c r="S592" s="14">
        <v>229.4800000000001</v>
      </c>
      <c r="T592" s="3">
        <v>229.48</v>
      </c>
      <c r="U592" s="3">
        <v>0.6</v>
      </c>
      <c r="V592" s="3">
        <v>2263.89</v>
      </c>
      <c r="W592" s="3">
        <v>2951.54</v>
      </c>
      <c r="X592" s="3">
        <v>2668.69</v>
      </c>
      <c r="Y592" s="3">
        <v>2654.67</v>
      </c>
      <c r="Z592" s="3">
        <v>343.82499999999999</v>
      </c>
      <c r="AA592" s="4">
        <v>5.6099999999999997E-2</v>
      </c>
      <c r="AB592" s="4">
        <v>7.4125850000000002E-3</v>
      </c>
      <c r="AC592">
        <v>1.1476266666666668</v>
      </c>
      <c r="AD592" s="15">
        <v>6.8057999999999996</v>
      </c>
      <c r="AE592" s="15">
        <v>1.7989999999999999</v>
      </c>
      <c r="AF592" s="15">
        <f t="shared" si="103"/>
        <v>5.0068000000000001</v>
      </c>
      <c r="AG592" s="15">
        <v>0.65137333333333314</v>
      </c>
      <c r="AH592" s="15">
        <v>88.487921897055116</v>
      </c>
      <c r="AI592" s="2">
        <v>11.512078102944884</v>
      </c>
      <c r="AJ592" s="1">
        <f t="shared" si="104"/>
        <v>0.57560390514724424</v>
      </c>
      <c r="AK592" s="13">
        <v>2.87E-2</v>
      </c>
      <c r="AL592" s="16">
        <v>76.142975890000002</v>
      </c>
      <c r="AM592" s="10">
        <v>3.8071487945000002</v>
      </c>
      <c r="AN592" s="16">
        <v>44.166459332946637</v>
      </c>
      <c r="AO592" s="11">
        <v>3.8082124341300614</v>
      </c>
      <c r="AP592" s="14">
        <v>4.3543950000000002</v>
      </c>
      <c r="AQ592" s="2">
        <f>AP592*((G592*0.01)+(H592*0.01)+(I592*0.01))</f>
        <v>0.23949172499999999</v>
      </c>
      <c r="AR592" s="15">
        <v>1.2994166430315424</v>
      </c>
      <c r="AS592" s="15">
        <v>0.14958985882845563</v>
      </c>
      <c r="AT592" s="15">
        <f t="shared" si="105"/>
        <v>9.088487304685899E-3</v>
      </c>
      <c r="AU592" s="2">
        <f t="shared" si="106"/>
        <v>8.3919910802763599E-3</v>
      </c>
      <c r="AV592" s="2">
        <f t="shared" si="107"/>
        <v>9.7142364720807859E-4</v>
      </c>
      <c r="AW592" s="3">
        <f t="shared" si="108"/>
        <v>11.575603905147243</v>
      </c>
    </row>
    <row r="593" spans="1:49" s="5" customFormat="1" x14ac:dyDescent="0.2">
      <c r="A593" s="5" t="s">
        <v>480</v>
      </c>
      <c r="B593" s="5" t="s">
        <v>481</v>
      </c>
      <c r="C593" s="5" t="s">
        <v>646</v>
      </c>
      <c r="D593" s="5" t="s">
        <v>665</v>
      </c>
      <c r="E593" s="13" t="s">
        <v>648</v>
      </c>
      <c r="F593" s="5">
        <v>205</v>
      </c>
      <c r="G593" s="14">
        <v>2.1</v>
      </c>
      <c r="H593" s="14">
        <v>2.2999999999999998</v>
      </c>
      <c r="I593" s="14">
        <v>1.2</v>
      </c>
      <c r="J593">
        <v>23.86</v>
      </c>
      <c r="K593">
        <v>25.06</v>
      </c>
      <c r="L593">
        <v>24.46</v>
      </c>
      <c r="M593">
        <v>0.18</v>
      </c>
      <c r="N593" s="14">
        <v>230.2600000000001</v>
      </c>
      <c r="O593" s="14">
        <v>231.46000000000009</v>
      </c>
      <c r="P593" s="14">
        <v>230.8600000000001</v>
      </c>
      <c r="Q593" s="14">
        <v>230.2600000000001</v>
      </c>
      <c r="R593" s="14">
        <v>231.46000000000009</v>
      </c>
      <c r="S593" s="14">
        <v>230.8600000000001</v>
      </c>
      <c r="T593" s="3">
        <v>230.86</v>
      </c>
      <c r="U593" s="3">
        <v>0.6</v>
      </c>
      <c r="V593" s="3">
        <v>2304.19</v>
      </c>
      <c r="W593" s="3">
        <v>2968.36</v>
      </c>
      <c r="X593" s="3">
        <v>2693.93</v>
      </c>
      <c r="Y593" s="3">
        <v>2679.28</v>
      </c>
      <c r="Z593" s="3">
        <v>332.08499999999998</v>
      </c>
      <c r="AA593" s="4">
        <v>5.7099999999999998E-2</v>
      </c>
      <c r="AB593" s="4">
        <v>7.2256960000000002E-3</v>
      </c>
      <c r="AC593">
        <v>1.1476266666666668</v>
      </c>
      <c r="AD593" s="15">
        <v>7.0248999999999997</v>
      </c>
      <c r="AE593" s="15">
        <v>1.8273999999999999</v>
      </c>
      <c r="AF593" s="15">
        <f t="shared" si="103"/>
        <v>5.1974999999999998</v>
      </c>
      <c r="AG593" s="15">
        <v>0.67977333333333312</v>
      </c>
      <c r="AH593" s="15">
        <v>88.43386559073312</v>
      </c>
      <c r="AI593" s="2">
        <v>11.56613440926688</v>
      </c>
      <c r="AJ593" s="1">
        <f t="shared" si="104"/>
        <v>0.57830672046334397</v>
      </c>
      <c r="AK593" s="13">
        <v>1.8800000000000001E-2</v>
      </c>
      <c r="AL593" s="16">
        <v>75.584415579999998</v>
      </c>
      <c r="AM593" s="10">
        <v>3.7792207790000001</v>
      </c>
      <c r="AN593" s="16">
        <v>43.842468433874707</v>
      </c>
      <c r="AO593" s="11">
        <v>3.7802922765872706</v>
      </c>
      <c r="AP593" s="14">
        <v>4.5592800000000011</v>
      </c>
      <c r="AQ593" s="2">
        <f>AP593*((G593*0.01)+(H593*0.01)+(I593*0.01))</f>
        <v>0.25531968000000005</v>
      </c>
      <c r="AR593" s="15">
        <v>1.2890792698262294</v>
      </c>
      <c r="AS593" s="15">
        <v>0.14909664099009776</v>
      </c>
      <c r="AT593" s="15">
        <f t="shared" si="105"/>
        <v>9.211647790276313E-3</v>
      </c>
      <c r="AU593" s="2">
        <f t="shared" si="106"/>
        <v>8.513418200534582E-3</v>
      </c>
      <c r="AV593" s="2">
        <f t="shared" si="107"/>
        <v>1.0027365080547141E-3</v>
      </c>
      <c r="AW593" s="3">
        <f t="shared" si="108"/>
        <v>11.778306720463345</v>
      </c>
    </row>
    <row r="594" spans="1:49" s="5" customFormat="1" x14ac:dyDescent="0.2">
      <c r="A594" s="5" t="s">
        <v>480</v>
      </c>
      <c r="B594" s="5" t="s">
        <v>481</v>
      </c>
      <c r="C594" s="5" t="s">
        <v>646</v>
      </c>
      <c r="D594" s="5" t="s">
        <v>666</v>
      </c>
      <c r="E594" s="13" t="s">
        <v>648</v>
      </c>
      <c r="F594" s="5">
        <v>206</v>
      </c>
      <c r="G594" s="14">
        <v>2.25</v>
      </c>
      <c r="H594" s="14">
        <v>2.2000000000000002</v>
      </c>
      <c r="I594" s="14">
        <v>1.3</v>
      </c>
      <c r="J594">
        <v>25.24</v>
      </c>
      <c r="K594">
        <v>26.54</v>
      </c>
      <c r="L594">
        <v>25.89</v>
      </c>
      <c r="M594">
        <v>0.18</v>
      </c>
      <c r="N594" s="14">
        <v>231.6400000000001</v>
      </c>
      <c r="O594" s="14">
        <v>232.94000000000011</v>
      </c>
      <c r="P594" s="14">
        <v>232.29000000000011</v>
      </c>
      <c r="Q594" s="14">
        <v>231.6400000000001</v>
      </c>
      <c r="R594" s="14">
        <v>232.94000000000011</v>
      </c>
      <c r="S594" s="14">
        <v>232.29000000000011</v>
      </c>
      <c r="T594" s="3">
        <v>232.29</v>
      </c>
      <c r="U594" s="3">
        <v>0.65</v>
      </c>
      <c r="V594" s="3">
        <v>2357.92</v>
      </c>
      <c r="W594" s="3">
        <v>2975.75</v>
      </c>
      <c r="X594" s="3">
        <v>2718.96</v>
      </c>
      <c r="Y594" s="3">
        <v>2704.33</v>
      </c>
      <c r="Z594" s="3">
        <v>308.91500000000002</v>
      </c>
      <c r="AA594" s="4">
        <v>5.7099999999999998E-2</v>
      </c>
      <c r="AB594" s="4">
        <v>6.6822990000000001E-3</v>
      </c>
      <c r="AC594">
        <v>1.1476266666666668</v>
      </c>
      <c r="AD594" s="15">
        <v>7.5972</v>
      </c>
      <c r="AE594" s="15">
        <v>2.0726</v>
      </c>
      <c r="AF594" s="15">
        <f t="shared" si="103"/>
        <v>5.5245999999999995</v>
      </c>
      <c r="AG594" s="15">
        <v>0.9249733333333332</v>
      </c>
      <c r="AH594" s="15">
        <v>85.658379469029484</v>
      </c>
      <c r="AI594" s="2">
        <v>14.341620530970516</v>
      </c>
      <c r="AJ594" s="1">
        <f t="shared" si="104"/>
        <v>0.7170810265485259</v>
      </c>
      <c r="AK594" s="13">
        <v>4.6600000000000003E-2</v>
      </c>
      <c r="AL594" s="16">
        <v>65.634218290000007</v>
      </c>
      <c r="AM594" s="10">
        <v>3.2817109145000005</v>
      </c>
      <c r="AN594" s="16">
        <v>38.070892279582374</v>
      </c>
      <c r="AO594" s="11">
        <v>3.2829447948980852</v>
      </c>
      <c r="AP594" s="14">
        <v>5.0521128125000008</v>
      </c>
      <c r="AQ594" s="2">
        <f>AP594*((G594*0.01)+(H594*0.01)+(I594*0.01))</f>
        <v>0.29049648671875</v>
      </c>
      <c r="AR594" s="15">
        <v>1.2766091282395196</v>
      </c>
      <c r="AS594" s="15">
        <v>0.18308643683584275</v>
      </c>
      <c r="AT594" s="15">
        <f t="shared" si="105"/>
        <v>1.1840348218794537E-2</v>
      </c>
      <c r="AU594" s="2">
        <f t="shared" si="106"/>
        <v>1.0454235543326621E-2</v>
      </c>
      <c r="AV594" s="2">
        <f t="shared" si="107"/>
        <v>1.2772024270344485E-3</v>
      </c>
      <c r="AW594" s="3">
        <f t="shared" si="108"/>
        <v>12.217081026548522</v>
      </c>
    </row>
    <row r="595" spans="1:49" s="5" customFormat="1" x14ac:dyDescent="0.2">
      <c r="A595" s="5" t="s">
        <v>480</v>
      </c>
      <c r="B595" s="5" t="s">
        <v>481</v>
      </c>
      <c r="C595" s="5" t="s">
        <v>646</v>
      </c>
      <c r="D595" s="5" t="s">
        <v>667</v>
      </c>
      <c r="E595" s="13" t="s">
        <v>648</v>
      </c>
      <c r="F595" s="5">
        <v>207</v>
      </c>
      <c r="G595" s="14">
        <v>2.2999999999999998</v>
      </c>
      <c r="H595" s="14">
        <v>2.2999999999999998</v>
      </c>
      <c r="I595" s="14">
        <v>1.2</v>
      </c>
      <c r="J595">
        <v>26.72</v>
      </c>
      <c r="K595">
        <v>27.92</v>
      </c>
      <c r="L595">
        <v>27.32</v>
      </c>
      <c r="M595">
        <v>0.18</v>
      </c>
      <c r="N595" s="14">
        <v>233.12000000000012</v>
      </c>
      <c r="O595" s="14">
        <v>234.32000000000011</v>
      </c>
      <c r="P595" s="14">
        <v>233.72000000000011</v>
      </c>
      <c r="Q595" s="14">
        <v>233.12000000000012</v>
      </c>
      <c r="R595" s="14">
        <v>234.32000000000011</v>
      </c>
      <c r="S595" s="14">
        <v>233.72000000000011</v>
      </c>
      <c r="T595" s="3">
        <v>233.72</v>
      </c>
      <c r="U595" s="3">
        <v>0.6</v>
      </c>
      <c r="V595" s="3">
        <v>2407.59</v>
      </c>
      <c r="W595" s="3">
        <v>2983.99</v>
      </c>
      <c r="X595" s="3">
        <v>2743.15</v>
      </c>
      <c r="Y595" s="3">
        <v>2729.37</v>
      </c>
      <c r="Z595" s="3">
        <v>288.2</v>
      </c>
      <c r="AA595" s="4">
        <v>5.6899999999999999E-2</v>
      </c>
      <c r="AB595" s="4">
        <v>6.1542649999999999E-3</v>
      </c>
      <c r="AC595">
        <v>1.1476266666666668</v>
      </c>
      <c r="AD595" s="15">
        <v>8.2546999999999997</v>
      </c>
      <c r="AE595" s="15">
        <v>2.8891</v>
      </c>
      <c r="AF595" s="15">
        <f t="shared" si="103"/>
        <v>5.3655999999999997</v>
      </c>
      <c r="AG595" s="15">
        <v>1.7414733333333332</v>
      </c>
      <c r="AH595" s="15">
        <v>75.49661792336461</v>
      </c>
      <c r="AI595" s="2">
        <v>24.50338207663539</v>
      </c>
      <c r="AJ595" s="1">
        <f t="shared" si="104"/>
        <v>1.2251691038317696</v>
      </c>
      <c r="AK595" s="13">
        <v>8.8800000000000004E-2</v>
      </c>
      <c r="AL595" s="16">
        <v>35.418181820000001</v>
      </c>
      <c r="AM595" s="10">
        <v>1.770909091</v>
      </c>
      <c r="AN595" s="16">
        <v>20.54418899071926</v>
      </c>
      <c r="AO595" s="11">
        <v>1.7731945771929394</v>
      </c>
      <c r="AP595" s="14">
        <v>4.9831799999999991</v>
      </c>
      <c r="AQ595" s="2">
        <f>AP595*((G595*0.01)+(H595*0.01)+(I595*0.01))</f>
        <v>0.28902443999999994</v>
      </c>
      <c r="AR595" s="15">
        <v>1.4262124453327663</v>
      </c>
      <c r="AS595" s="15">
        <v>0.34947028470441233</v>
      </c>
      <c r="AT595" s="15">
        <f t="shared" si="105"/>
        <v>2.4550878468127296E-2</v>
      </c>
      <c r="AU595" s="2">
        <f t="shared" si="106"/>
        <v>1.9884859199681061E-2</v>
      </c>
      <c r="AV595" s="2">
        <f t="shared" si="107"/>
        <v>2.5502668184179443E-3</v>
      </c>
      <c r="AW595" s="3">
        <f t="shared" si="108"/>
        <v>12.825169103831769</v>
      </c>
    </row>
    <row r="596" spans="1:49" s="5" customFormat="1" x14ac:dyDescent="0.2">
      <c r="A596" s="5" t="s">
        <v>480</v>
      </c>
      <c r="B596" s="5" t="s">
        <v>481</v>
      </c>
      <c r="C596" s="5" t="s">
        <v>646</v>
      </c>
      <c r="D596" s="5" t="s">
        <v>668</v>
      </c>
      <c r="E596" s="13" t="s">
        <v>648</v>
      </c>
      <c r="F596" s="5">
        <v>208</v>
      </c>
      <c r="G596" s="14">
        <v>2.2000000000000002</v>
      </c>
      <c r="H596" s="14">
        <v>2.2000000000000002</v>
      </c>
      <c r="I596" s="14">
        <v>1.1499999999999999</v>
      </c>
      <c r="J596">
        <v>28.1</v>
      </c>
      <c r="K596">
        <v>29.3</v>
      </c>
      <c r="L596">
        <v>28.7</v>
      </c>
      <c r="M596">
        <v>0.18</v>
      </c>
      <c r="N596" s="14">
        <v>234.50000000000011</v>
      </c>
      <c r="O596" s="14">
        <v>235.65000000000012</v>
      </c>
      <c r="P596" s="14">
        <v>235.0750000000001</v>
      </c>
      <c r="Q596" s="14">
        <v>234.50000000000011</v>
      </c>
      <c r="R596" s="14">
        <v>235.65000000000012</v>
      </c>
      <c r="S596" s="14">
        <v>235.0750000000001</v>
      </c>
      <c r="T596" s="3">
        <v>235.08</v>
      </c>
      <c r="U596" s="3">
        <v>0.57499999999999996</v>
      </c>
      <c r="V596" s="3">
        <v>2438.62</v>
      </c>
      <c r="W596" s="3">
        <v>2996.48</v>
      </c>
      <c r="X596" s="3">
        <v>2766.56</v>
      </c>
      <c r="Y596" s="3">
        <v>2753.19</v>
      </c>
      <c r="Z596" s="3">
        <v>278.93</v>
      </c>
      <c r="AA596" s="4">
        <v>5.7299999999999997E-2</v>
      </c>
      <c r="AB596" s="4">
        <v>5.9453070000000004E-3</v>
      </c>
      <c r="AC596">
        <v>1.1476266666666668</v>
      </c>
      <c r="AD596" s="15">
        <v>7.8459000000000003</v>
      </c>
      <c r="AE596" s="15">
        <v>2.8140000000000001</v>
      </c>
      <c r="AF596" s="15">
        <f t="shared" si="103"/>
        <v>5.0319000000000003</v>
      </c>
      <c r="AG596" s="15">
        <v>1.6663733333333333</v>
      </c>
      <c r="AH596" s="15">
        <v>75.122344962532623</v>
      </c>
      <c r="AI596" s="2">
        <v>24.877655037467377</v>
      </c>
      <c r="AJ596" s="1">
        <f t="shared" si="104"/>
        <v>1.2438827518733691</v>
      </c>
      <c r="AK596" s="13">
        <v>0.1149</v>
      </c>
      <c r="AL596" s="16">
        <v>38.75266525</v>
      </c>
      <c r="AM596" s="10">
        <v>1.9376332625000001</v>
      </c>
      <c r="AN596" s="16">
        <v>22.478344112529001</v>
      </c>
      <c r="AO596" s="11">
        <v>1.939722315164311</v>
      </c>
      <c r="AP596" s="14">
        <v>4.3693100000000014</v>
      </c>
      <c r="AQ596" s="2">
        <f>AP596*((G596*0.01)+(H596*0.01)+(I596*0.01))</f>
        <v>0.24249670500000012</v>
      </c>
      <c r="AR596" s="15">
        <v>1.5330277168095949</v>
      </c>
      <c r="AS596" s="15">
        <v>0.38138134701665316</v>
      </c>
      <c r="AT596" s="15">
        <f t="shared" si="105"/>
        <v>2.5910601553826722E-2</v>
      </c>
      <c r="AU596" s="2">
        <f t="shared" si="106"/>
        <v>2.1853151184054224E-2</v>
      </c>
      <c r="AV596" s="2">
        <f t="shared" si="107"/>
        <v>2.6975273597492806E-3</v>
      </c>
      <c r="AW596" s="3">
        <f t="shared" si="108"/>
        <v>12.343882751873371</v>
      </c>
    </row>
    <row r="597" spans="1:49" s="5" customFormat="1" x14ac:dyDescent="0.2">
      <c r="A597" s="5" t="s">
        <v>480</v>
      </c>
      <c r="B597" s="5" t="s">
        <v>481</v>
      </c>
      <c r="C597" s="5" t="s">
        <v>646</v>
      </c>
      <c r="D597" s="5" t="s">
        <v>669</v>
      </c>
      <c r="E597" s="13" t="s">
        <v>648</v>
      </c>
      <c r="F597" s="5">
        <v>209</v>
      </c>
      <c r="G597" s="14">
        <v>2.15</v>
      </c>
      <c r="H597" s="14">
        <v>2.1</v>
      </c>
      <c r="I597" s="14">
        <v>1.1000000000000001</v>
      </c>
      <c r="J597">
        <v>29.48</v>
      </c>
      <c r="K597">
        <v>30.58</v>
      </c>
      <c r="L597">
        <v>30.03</v>
      </c>
      <c r="M597">
        <v>0.18</v>
      </c>
      <c r="N597" s="14">
        <v>235.83000000000013</v>
      </c>
      <c r="O597" s="14">
        <v>236.93000000000012</v>
      </c>
      <c r="P597" s="14">
        <v>236.38000000000011</v>
      </c>
      <c r="Q597" s="14">
        <v>235.83000000000013</v>
      </c>
      <c r="R597" s="14">
        <v>236.93000000000012</v>
      </c>
      <c r="S597" s="14">
        <v>236.38000000000011</v>
      </c>
      <c r="T597" s="3">
        <v>236.38</v>
      </c>
      <c r="U597" s="3">
        <v>0.55000000000000004</v>
      </c>
      <c r="V597" s="3">
        <v>2464.67</v>
      </c>
      <c r="W597" s="3">
        <v>3006</v>
      </c>
      <c r="X597" s="3">
        <v>2789.36</v>
      </c>
      <c r="Y597" s="3">
        <v>2775.96</v>
      </c>
      <c r="Z597" s="3">
        <v>270.66500000000002</v>
      </c>
      <c r="AA597" s="4">
        <v>5.6899999999999999E-2</v>
      </c>
      <c r="AB597" s="4">
        <v>5.680325E-3</v>
      </c>
      <c r="AC597">
        <v>1.1476266666666668</v>
      </c>
      <c r="AD597" s="15">
        <v>7.0842000000000001</v>
      </c>
      <c r="AE597" s="15">
        <v>2.7402000000000002</v>
      </c>
      <c r="AF597" s="15">
        <f t="shared" si="103"/>
        <v>4.3439999999999994</v>
      </c>
      <c r="AG597" s="15">
        <v>1.5925733333333334</v>
      </c>
      <c r="AH597" s="15">
        <v>73.173525468115159</v>
      </c>
      <c r="AI597" s="2">
        <v>26.826474531884841</v>
      </c>
      <c r="AJ597" s="1">
        <f t="shared" si="104"/>
        <v>1.3413237265942421</v>
      </c>
      <c r="AK597" s="13">
        <v>9.11E-2</v>
      </c>
      <c r="AL597" s="16">
        <v>30.351681960000001</v>
      </c>
      <c r="AM597" s="10">
        <v>1.5175840980000002</v>
      </c>
      <c r="AN597" s="16">
        <v>17.605383967517401</v>
      </c>
      <c r="AO597" s="11">
        <v>1.5202504709759095</v>
      </c>
      <c r="AP597" s="14">
        <v>3.8992421875000005</v>
      </c>
      <c r="AQ597" s="2">
        <f>AP597*((G597*0.01)+(H597*0.01)+(I597*0.01))</f>
        <v>0.20860945703125003</v>
      </c>
      <c r="AR597" s="15">
        <v>1.5224941277986039</v>
      </c>
      <c r="AS597" s="15">
        <v>0.40843149944333462</v>
      </c>
      <c r="AT597" s="15">
        <f t="shared" si="105"/>
        <v>2.7329473829136478E-2</v>
      </c>
      <c r="AU597" s="2">
        <f t="shared" si="106"/>
        <v>2.323975231832574E-2</v>
      </c>
      <c r="AV597" s="2">
        <f t="shared" si="107"/>
        <v>2.7983738099082926E-3</v>
      </c>
      <c r="AW597" s="3">
        <f t="shared" si="108"/>
        <v>12.041323726594241</v>
      </c>
    </row>
    <row r="598" spans="1:49" s="5" customFormat="1" x14ac:dyDescent="0.2">
      <c r="A598" s="5" t="s">
        <v>480</v>
      </c>
      <c r="B598" s="5" t="s">
        <v>481</v>
      </c>
      <c r="C598" s="5" t="s">
        <v>646</v>
      </c>
      <c r="D598" s="5" t="s">
        <v>670</v>
      </c>
      <c r="E598" s="13" t="s">
        <v>648</v>
      </c>
      <c r="F598" s="5">
        <v>210</v>
      </c>
      <c r="G598" s="14">
        <v>2.25</v>
      </c>
      <c r="H598" s="14">
        <v>2.2000000000000002</v>
      </c>
      <c r="I598" s="14">
        <v>1.1499999999999999</v>
      </c>
      <c r="J598">
        <v>30.76</v>
      </c>
      <c r="K598">
        <v>31.96</v>
      </c>
      <c r="L598">
        <v>31.36</v>
      </c>
      <c r="M598">
        <v>0.18</v>
      </c>
      <c r="N598" s="14">
        <v>237.11000000000013</v>
      </c>
      <c r="O598" s="14">
        <v>238.26000000000013</v>
      </c>
      <c r="P598" s="14">
        <v>237.68500000000012</v>
      </c>
      <c r="Q598" s="14">
        <v>237.11000000000013</v>
      </c>
      <c r="R598" s="14">
        <v>238.26000000000013</v>
      </c>
      <c r="S598" s="14">
        <v>237.68500000000012</v>
      </c>
      <c r="T598" s="3">
        <v>237.69</v>
      </c>
      <c r="U598" s="3">
        <v>0.57499999999999996</v>
      </c>
      <c r="V598" s="3">
        <v>2483.41</v>
      </c>
      <c r="W598" s="3">
        <v>3018.5</v>
      </c>
      <c r="X598" s="3">
        <v>2814.41</v>
      </c>
      <c r="Y598" s="3">
        <v>2798.9</v>
      </c>
      <c r="Z598" s="3">
        <v>267.54500000000002</v>
      </c>
      <c r="AA598" s="4">
        <v>5.7299999999999997E-2</v>
      </c>
      <c r="AB598" s="4">
        <v>5.6158850000000001E-3</v>
      </c>
      <c r="AC598">
        <v>1.1476266666666668</v>
      </c>
      <c r="AD598" s="15">
        <v>7.4522000000000004</v>
      </c>
      <c r="AE598" s="15">
        <v>2.6080999999999999</v>
      </c>
      <c r="AF598" s="15">
        <f t="shared" si="103"/>
        <v>4.844100000000001</v>
      </c>
      <c r="AG598" s="15">
        <v>1.4604733333333331</v>
      </c>
      <c r="AH598" s="15">
        <v>76.834699889815454</v>
      </c>
      <c r="AI598" s="2">
        <v>23.165300110184546</v>
      </c>
      <c r="AJ598" s="1">
        <f t="shared" si="104"/>
        <v>1.1582650055092274</v>
      </c>
      <c r="AK598" s="13">
        <v>0.1114</v>
      </c>
      <c r="AL598" s="16">
        <v>35.382830630000001</v>
      </c>
      <c r="AM598" s="10">
        <v>1.7691415315000001</v>
      </c>
      <c r="AN598" s="16">
        <v>20.523683660092807</v>
      </c>
      <c r="AO598" s="11">
        <v>1.7714292981878124</v>
      </c>
      <c r="AP598" s="14">
        <v>4.4691767187500009</v>
      </c>
      <c r="AQ598" s="2">
        <f>AP598*((G598*0.01)+(H598*0.01)+(I598*0.01))</f>
        <v>0.25027389625000002</v>
      </c>
      <c r="AR598" s="15">
        <v>1.4106789080152287</v>
      </c>
      <c r="AS598" s="15">
        <v>0.32678800263280211</v>
      </c>
      <c r="AT598" s="15">
        <f t="shared" si="105"/>
        <v>2.2085199224135238E-2</v>
      </c>
      <c r="AU598" s="2">
        <f t="shared" si="106"/>
        <v>1.8724952550859559E-2</v>
      </c>
      <c r="AV598" s="2">
        <f t="shared" si="107"/>
        <v>2.3140792583910843E-3</v>
      </c>
      <c r="AW598" s="3">
        <f t="shared" si="108"/>
        <v>12.358265005509228</v>
      </c>
    </row>
    <row r="599" spans="1:49" s="5" customFormat="1" x14ac:dyDescent="0.2">
      <c r="A599" s="5" t="s">
        <v>480</v>
      </c>
      <c r="B599" s="5" t="s">
        <v>481</v>
      </c>
      <c r="C599" s="5" t="s">
        <v>646</v>
      </c>
      <c r="D599" s="5" t="s">
        <v>671</v>
      </c>
      <c r="E599" s="13" t="s">
        <v>648</v>
      </c>
      <c r="F599" s="5">
        <v>211</v>
      </c>
      <c r="G599" s="14">
        <v>2.2000000000000002</v>
      </c>
      <c r="H599" s="14">
        <v>2.15</v>
      </c>
      <c r="I599" s="14">
        <v>1.1000000000000001</v>
      </c>
      <c r="J599">
        <v>32.14</v>
      </c>
      <c r="K599">
        <v>33.24</v>
      </c>
      <c r="L599">
        <v>32.69</v>
      </c>
      <c r="M599">
        <v>0.18</v>
      </c>
      <c r="N599" s="14">
        <v>238.44000000000014</v>
      </c>
      <c r="O599" s="14">
        <v>239.54000000000013</v>
      </c>
      <c r="P599" s="14">
        <v>238.99000000000012</v>
      </c>
      <c r="Q599" s="14">
        <v>238.44000000000014</v>
      </c>
      <c r="R599" s="14">
        <v>239.54000000000013</v>
      </c>
      <c r="S599" s="14">
        <v>238.99000000000012</v>
      </c>
      <c r="T599" s="3">
        <v>238.99</v>
      </c>
      <c r="U599" s="3">
        <v>0.55000000000000004</v>
      </c>
      <c r="V599" s="3">
        <v>2499.42</v>
      </c>
      <c r="W599" s="3">
        <v>3038.91</v>
      </c>
      <c r="X599" s="3">
        <v>2837.52</v>
      </c>
      <c r="Y599" s="3">
        <v>2821.67</v>
      </c>
      <c r="Z599" s="3">
        <v>269.745</v>
      </c>
      <c r="AA599" s="4">
        <v>5.9799999999999999E-2</v>
      </c>
      <c r="AB599" s="4">
        <v>5.8543600000000003E-3</v>
      </c>
      <c r="AC599">
        <v>1.1476266666666668</v>
      </c>
      <c r="AD599" s="15">
        <v>7.1151999999999997</v>
      </c>
      <c r="AE599" s="15">
        <v>2.4657</v>
      </c>
      <c r="AF599" s="15">
        <f t="shared" si="103"/>
        <v>4.6494999999999997</v>
      </c>
      <c r="AG599" s="15">
        <v>1.3180733333333332</v>
      </c>
      <c r="AH599" s="15">
        <v>77.912741750974149</v>
      </c>
      <c r="AI599" s="2">
        <v>22.087258249025851</v>
      </c>
      <c r="AJ599" s="1">
        <f t="shared" si="104"/>
        <v>1.1043629124512926</v>
      </c>
      <c r="AK599" s="13">
        <v>6.7100000000000007E-2</v>
      </c>
      <c r="AL599" s="16">
        <v>45.668016190000003</v>
      </c>
      <c r="AM599" s="10">
        <v>2.2834008095000002</v>
      </c>
      <c r="AN599" s="16">
        <v>26.489568555684457</v>
      </c>
      <c r="AO599" s="11">
        <v>2.2851737913833285</v>
      </c>
      <c r="AP599" s="14">
        <v>4.0848946874999994</v>
      </c>
      <c r="AQ599" s="2">
        <f>AP599*((G599*0.01)+(H599*0.01)+(I599*0.01))</f>
        <v>0.22262676046874996</v>
      </c>
      <c r="AR599" s="15">
        <v>1.4608879273177919</v>
      </c>
      <c r="AS599" s="15">
        <v>0.32267008923552165</v>
      </c>
      <c r="AT599" s="15">
        <f t="shared" si="105"/>
        <v>2.1148968658426519E-2</v>
      </c>
      <c r="AU599" s="2">
        <f t="shared" si="106"/>
        <v>1.9295671336284195E-2</v>
      </c>
      <c r="AV599" s="2">
        <f t="shared" si="107"/>
        <v>2.3163224136013945E-3</v>
      </c>
      <c r="AW599" s="3">
        <f t="shared" si="108"/>
        <v>12.004362912451292</v>
      </c>
    </row>
    <row r="600" spans="1:49" s="5" customFormat="1" x14ac:dyDescent="0.2">
      <c r="A600" s="5" t="s">
        <v>480</v>
      </c>
      <c r="B600" s="5" t="s">
        <v>481</v>
      </c>
      <c r="C600" s="5" t="s">
        <v>646</v>
      </c>
      <c r="D600" s="5" t="s">
        <v>672</v>
      </c>
      <c r="E600" s="13" t="s">
        <v>648</v>
      </c>
      <c r="F600" s="5">
        <v>212</v>
      </c>
      <c r="G600" s="14">
        <v>2.15</v>
      </c>
      <c r="H600" s="14">
        <v>2.2000000000000002</v>
      </c>
      <c r="I600" s="14">
        <v>1.2</v>
      </c>
      <c r="J600">
        <v>33.42</v>
      </c>
      <c r="K600">
        <v>34.619999999999997</v>
      </c>
      <c r="L600">
        <v>34.020000000000003</v>
      </c>
      <c r="M600">
        <v>0.18</v>
      </c>
      <c r="N600" s="14">
        <v>239.72000000000014</v>
      </c>
      <c r="O600" s="14">
        <v>240.92000000000013</v>
      </c>
      <c r="P600" s="14">
        <v>240.32000000000014</v>
      </c>
      <c r="Q600" s="14">
        <v>239.72000000000014</v>
      </c>
      <c r="R600" s="14">
        <v>240.92000000000013</v>
      </c>
      <c r="S600" s="14">
        <v>240.32000000000014</v>
      </c>
      <c r="T600" s="3">
        <v>240.32</v>
      </c>
      <c r="U600" s="3">
        <v>0.6</v>
      </c>
      <c r="V600" s="3">
        <v>2525.16</v>
      </c>
      <c r="W600" s="3">
        <v>3058.6</v>
      </c>
      <c r="X600" s="3">
        <v>2860.47</v>
      </c>
      <c r="Y600" s="3">
        <v>2843.9</v>
      </c>
      <c r="Z600" s="3">
        <v>266.72000000000003</v>
      </c>
      <c r="AA600" s="4">
        <v>7.0199999999999999E-2</v>
      </c>
      <c r="AB600" s="4">
        <v>6.7590929999999999E-3</v>
      </c>
      <c r="AC600">
        <v>1.1476266666666668</v>
      </c>
      <c r="AD600" s="15">
        <v>7.7150999999999996</v>
      </c>
      <c r="AE600" s="15">
        <v>2.7010999999999998</v>
      </c>
      <c r="AF600" s="15">
        <f t="shared" si="103"/>
        <v>5.0139999999999993</v>
      </c>
      <c r="AG600" s="15">
        <v>1.553473333333333</v>
      </c>
      <c r="AH600" s="15">
        <v>76.34595141104495</v>
      </c>
      <c r="AI600" s="2">
        <v>23.65404858895505</v>
      </c>
      <c r="AJ600" s="1">
        <f t="shared" si="104"/>
        <v>1.1827024294477526</v>
      </c>
      <c r="AK600" s="13">
        <v>0.1076</v>
      </c>
      <c r="AL600" s="16">
        <v>39.243365330000003</v>
      </c>
      <c r="AM600" s="10">
        <v>1.9621682665000002</v>
      </c>
      <c r="AN600" s="16">
        <v>22.762972929234341</v>
      </c>
      <c r="AO600" s="11">
        <v>1.9642312252022713</v>
      </c>
      <c r="AP600" s="14">
        <v>4.4562487499999994</v>
      </c>
      <c r="AQ600" s="2">
        <f>AP600*((G600*0.01)+(H600*0.01)+(I600*0.01))</f>
        <v>0.24732180562499995</v>
      </c>
      <c r="AR600" s="15">
        <v>1.473767220318061</v>
      </c>
      <c r="AS600" s="15">
        <v>0.34860561438212651</v>
      </c>
      <c r="AT600" s="15">
        <f t="shared" si="105"/>
        <v>2.3470578668696694E-2</v>
      </c>
      <c r="AU600" s="2">
        <f t="shared" si="106"/>
        <v>2.4472114129625279E-2</v>
      </c>
      <c r="AV600" s="2">
        <f t="shared" si="107"/>
        <v>3.0058369567367107E-3</v>
      </c>
      <c r="AW600" s="3">
        <f t="shared" si="108"/>
        <v>12.282702429447752</v>
      </c>
    </row>
    <row r="601" spans="1:49" s="5" customFormat="1" x14ac:dyDescent="0.2">
      <c r="A601" s="5" t="s">
        <v>480</v>
      </c>
      <c r="B601" s="5" t="s">
        <v>481</v>
      </c>
      <c r="C601" s="5" t="s">
        <v>646</v>
      </c>
      <c r="D601" s="5" t="s">
        <v>673</v>
      </c>
      <c r="E601" s="13" t="s">
        <v>648</v>
      </c>
      <c r="F601" s="5">
        <v>213</v>
      </c>
      <c r="G601" s="14">
        <v>2.15</v>
      </c>
      <c r="H601" s="14">
        <v>2.0499999999999998</v>
      </c>
      <c r="I601" s="14">
        <v>1.1499999999999999</v>
      </c>
      <c r="J601">
        <v>34.799999999999997</v>
      </c>
      <c r="K601">
        <v>36</v>
      </c>
      <c r="L601">
        <v>35.4</v>
      </c>
      <c r="M601">
        <v>0.18</v>
      </c>
      <c r="N601" s="14">
        <v>241.10000000000014</v>
      </c>
      <c r="O601" s="14">
        <v>242.25000000000014</v>
      </c>
      <c r="P601" s="14">
        <v>241.67500000000013</v>
      </c>
      <c r="Q601" s="14">
        <v>241.10000000000014</v>
      </c>
      <c r="R601" s="14">
        <v>242.25000000000014</v>
      </c>
      <c r="S601" s="14">
        <v>241.67500000000013</v>
      </c>
      <c r="T601" s="3">
        <v>241.68</v>
      </c>
      <c r="U601" s="3">
        <v>0.57499999999999996</v>
      </c>
      <c r="V601" s="3">
        <v>2583.8000000000002</v>
      </c>
      <c r="W601" s="3">
        <v>3065.99</v>
      </c>
      <c r="X601" s="3">
        <v>2875.45</v>
      </c>
      <c r="Y601" s="3">
        <v>2863.21</v>
      </c>
      <c r="Z601" s="3">
        <v>241.095</v>
      </c>
      <c r="AA601" s="4">
        <v>7.2300000000000003E-2</v>
      </c>
      <c r="AB601" s="4">
        <v>6.2599960000000003E-3</v>
      </c>
      <c r="AC601">
        <v>1.1476266666666668</v>
      </c>
      <c r="AD601" s="15">
        <v>7.3613999999999997</v>
      </c>
      <c r="AE601" s="15">
        <v>2.6716000000000002</v>
      </c>
      <c r="AF601" s="15">
        <f t="shared" si="103"/>
        <v>4.6898</v>
      </c>
      <c r="AG601" s="15">
        <v>1.5239733333333334</v>
      </c>
      <c r="AH601" s="15">
        <v>75.474268989535076</v>
      </c>
      <c r="AI601" s="2">
        <v>24.525731010464924</v>
      </c>
      <c r="AJ601" s="1">
        <f t="shared" si="104"/>
        <v>1.2262865505232463</v>
      </c>
      <c r="AK601" s="13">
        <v>0.15529999999999999</v>
      </c>
      <c r="AL601" s="16">
        <v>32.360627180000002</v>
      </c>
      <c r="AM601" s="10">
        <v>1.6180313590000002</v>
      </c>
      <c r="AN601" s="16">
        <v>18.770665417633413</v>
      </c>
      <c r="AO601" s="11">
        <v>1.6205324676498734</v>
      </c>
      <c r="AP601" s="14">
        <v>3.981127499999999</v>
      </c>
      <c r="AQ601" s="2">
        <f>AP601*((G601*0.01)+(H601*0.01)+(I601*0.01))</f>
        <v>0.21299032124999992</v>
      </c>
      <c r="AR601" s="15">
        <v>1.5608074178315903</v>
      </c>
      <c r="AS601" s="15">
        <v>0.38279942888875923</v>
      </c>
      <c r="AT601" s="15">
        <f t="shared" si="105"/>
        <v>2.5173987357491268E-2</v>
      </c>
      <c r="AU601" s="2">
        <f t="shared" si="106"/>
        <v>2.7676398708657294E-2</v>
      </c>
      <c r="AV601" s="2">
        <f t="shared" si="107"/>
        <v>3.3007666168597839E-3</v>
      </c>
      <c r="AW601" s="3">
        <f t="shared" si="108"/>
        <v>11.926286550523244</v>
      </c>
    </row>
    <row r="602" spans="1:49" s="5" customFormat="1" x14ac:dyDescent="0.2">
      <c r="A602" s="5" t="s">
        <v>480</v>
      </c>
      <c r="B602" s="5" t="s">
        <v>481</v>
      </c>
      <c r="C602" s="5" t="s">
        <v>674</v>
      </c>
      <c r="D602" s="5" t="s">
        <v>675</v>
      </c>
      <c r="E602" s="13" t="s">
        <v>676</v>
      </c>
      <c r="F602" s="5">
        <v>220</v>
      </c>
      <c r="G602" s="14">
        <v>2.2999999999999998</v>
      </c>
      <c r="H602" s="14">
        <v>2.35</v>
      </c>
      <c r="I602" s="14">
        <v>1.4</v>
      </c>
      <c r="J602">
        <v>0</v>
      </c>
      <c r="K602">
        <v>1.4</v>
      </c>
      <c r="L602">
        <v>0.7</v>
      </c>
      <c r="M602">
        <v>0.14000000000000001</v>
      </c>
      <c r="N602" s="14">
        <v>241.34444444444443</v>
      </c>
      <c r="O602" s="14">
        <v>242.74444444444444</v>
      </c>
      <c r="P602" s="14">
        <v>242.04444444444442</v>
      </c>
      <c r="Q602" s="14">
        <v>241.34444444444443</v>
      </c>
      <c r="R602" s="14">
        <v>242.74444444444444</v>
      </c>
      <c r="S602" s="14">
        <v>242.04444444444442</v>
      </c>
      <c r="T602" s="3">
        <v>242.04</v>
      </c>
      <c r="U602" s="3">
        <v>0.7</v>
      </c>
      <c r="V602" s="3">
        <v>2599.02</v>
      </c>
      <c r="W602" s="3">
        <v>3069.54</v>
      </c>
      <c r="X602" s="3">
        <v>2879.23</v>
      </c>
      <c r="Y602" s="3">
        <v>2868.32</v>
      </c>
      <c r="Z602" s="3">
        <v>235.26</v>
      </c>
      <c r="AA602" s="4">
        <v>7.0199999999999999E-2</v>
      </c>
      <c r="AB602" s="4">
        <v>5.9608380000000004E-3</v>
      </c>
      <c r="AC602">
        <v>1.1476266666666668</v>
      </c>
      <c r="AD602" s="15">
        <v>7.4520999999999997</v>
      </c>
      <c r="AE602" s="15">
        <v>2.6579999999999999</v>
      </c>
      <c r="AF602" s="15">
        <f t="shared" si="103"/>
        <v>4.7941000000000003</v>
      </c>
      <c r="AG602" s="15">
        <v>1.5103733333333331</v>
      </c>
      <c r="AH602" s="15">
        <v>76.042830963411163</v>
      </c>
      <c r="AI602" s="2">
        <v>23.957169036588837</v>
      </c>
      <c r="AJ602" s="1">
        <f t="shared" si="104"/>
        <v>1.197858451829442</v>
      </c>
      <c r="AK602" s="13">
        <v>9.7500000000000003E-2</v>
      </c>
      <c r="AL602" s="16">
        <v>44.633730829999998</v>
      </c>
      <c r="AM602" s="10">
        <v>2.2316865414999998</v>
      </c>
      <c r="AN602" s="16">
        <v>25.889635052204174</v>
      </c>
      <c r="AO602" s="11">
        <v>2.2335005752209312</v>
      </c>
      <c r="AP602" s="14">
        <v>5.9407818750000008</v>
      </c>
      <c r="AQ602" s="2">
        <f>AP602*((G602*0.01)+(H602*0.01)+(I602*0.01))</f>
        <v>0.35941730343750006</v>
      </c>
      <c r="AR602" s="15">
        <v>1.061219459994621</v>
      </c>
      <c r="AS602" s="15">
        <v>0.25423813988008659</v>
      </c>
      <c r="AT602" s="15">
        <f t="shared" si="105"/>
        <v>1.8426820509072815E-2</v>
      </c>
      <c r="AU602" s="2">
        <f t="shared" si="106"/>
        <v>1.7847517419582078E-2</v>
      </c>
      <c r="AV602" s="2">
        <f t="shared" si="107"/>
        <v>2.3733376036216272E-3</v>
      </c>
      <c r="AW602" s="3">
        <f t="shared" si="108"/>
        <v>13.297858451829441</v>
      </c>
    </row>
    <row r="603" spans="1:49" s="5" customFormat="1" x14ac:dyDescent="0.2">
      <c r="A603" s="5" t="s">
        <v>480</v>
      </c>
      <c r="B603" s="5" t="s">
        <v>481</v>
      </c>
      <c r="C603" s="5" t="s">
        <v>674</v>
      </c>
      <c r="D603" s="5" t="s">
        <v>677</v>
      </c>
      <c r="E603" s="13" t="s">
        <v>676</v>
      </c>
      <c r="F603" s="5">
        <v>221</v>
      </c>
      <c r="G603" s="14">
        <v>2.4500000000000002</v>
      </c>
      <c r="H603" s="14">
        <v>2.2999999999999998</v>
      </c>
      <c r="I603" s="14">
        <v>1.2</v>
      </c>
      <c r="J603">
        <v>1.54</v>
      </c>
      <c r="K603">
        <v>2.74</v>
      </c>
      <c r="L603">
        <v>2.14</v>
      </c>
      <c r="M603">
        <v>0.14000000000000001</v>
      </c>
      <c r="N603" s="14">
        <v>242.88888888888889</v>
      </c>
      <c r="O603" s="14">
        <v>244.08888888888887</v>
      </c>
      <c r="P603" s="14">
        <v>243.48888888888888</v>
      </c>
      <c r="Q603" s="14">
        <v>242.88888888888889</v>
      </c>
      <c r="R603" s="14">
        <v>244.08888888888887</v>
      </c>
      <c r="S603" s="14">
        <v>243.48888888888888</v>
      </c>
      <c r="T603" s="3">
        <v>243.49</v>
      </c>
      <c r="U603" s="3">
        <v>0.6</v>
      </c>
      <c r="V603" s="3">
        <v>2656.24</v>
      </c>
      <c r="W603" s="3">
        <v>3079.1</v>
      </c>
      <c r="X603" s="3">
        <v>2896.83</v>
      </c>
      <c r="Y603" s="3">
        <v>2888.9</v>
      </c>
      <c r="Z603" s="3">
        <v>211.43</v>
      </c>
      <c r="AA603" s="4">
        <v>7.0699999999999999E-2</v>
      </c>
      <c r="AB603" s="4">
        <v>5.3485390000000002E-3</v>
      </c>
      <c r="AC603">
        <v>1.1476266666666668</v>
      </c>
      <c r="AD603" s="15">
        <v>7.1387</v>
      </c>
      <c r="AE603" s="15">
        <v>3.1078000000000001</v>
      </c>
      <c r="AF603" s="15">
        <f t="shared" si="103"/>
        <v>4.0308999999999999</v>
      </c>
      <c r="AG603" s="15">
        <v>1.9601733333333333</v>
      </c>
      <c r="AH603" s="15">
        <v>67.281766984435734</v>
      </c>
      <c r="AI603" s="2">
        <v>32.718233015564266</v>
      </c>
      <c r="AJ603" s="1">
        <f t="shared" si="104"/>
        <v>1.6359116507782134</v>
      </c>
      <c r="AK603" s="13">
        <v>0.17380000000000001</v>
      </c>
      <c r="AL603" s="16">
        <v>29.550060800000001</v>
      </c>
      <c r="AM603" s="10">
        <v>1.4775030400000002</v>
      </c>
      <c r="AN603" s="16">
        <v>17.140406496519724</v>
      </c>
      <c r="AO603" s="11">
        <v>1.4802416131190348</v>
      </c>
      <c r="AP603" s="14">
        <v>5.3134687500000002</v>
      </c>
      <c r="AQ603" s="2">
        <f>AP603*((G603*0.01)+(H603*0.01)+(I603*0.01))</f>
        <v>0.31615139062499997</v>
      </c>
      <c r="AR603" s="15">
        <v>1.1275258433266091</v>
      </c>
      <c r="AS603" s="15">
        <v>0.36890653273030605</v>
      </c>
      <c r="AT603" s="15">
        <f t="shared" si="105"/>
        <v>2.7984923646870226E-2</v>
      </c>
      <c r="AU603" s="2">
        <f t="shared" si="106"/>
        <v>2.6081691864032638E-2</v>
      </c>
      <c r="AV603" s="2">
        <f t="shared" si="107"/>
        <v>3.5303947677436669E-3</v>
      </c>
      <c r="AW603" s="3">
        <f t="shared" si="108"/>
        <v>13.535911650778212</v>
      </c>
    </row>
    <row r="604" spans="1:49" s="5" customFormat="1" x14ac:dyDescent="0.2">
      <c r="A604" s="5" t="s">
        <v>480</v>
      </c>
      <c r="B604" s="5" t="s">
        <v>481</v>
      </c>
      <c r="C604" s="5" t="s">
        <v>674</v>
      </c>
      <c r="D604" s="5" t="s">
        <v>678</v>
      </c>
      <c r="E604" s="13" t="s">
        <v>676</v>
      </c>
      <c r="F604" s="5">
        <v>222</v>
      </c>
      <c r="G604" s="14">
        <v>2.2999999999999998</v>
      </c>
      <c r="H604" s="14">
        <v>2.4</v>
      </c>
      <c r="I604" s="14">
        <v>1.2</v>
      </c>
      <c r="J604">
        <v>2.88</v>
      </c>
      <c r="K604">
        <v>4.08</v>
      </c>
      <c r="L604">
        <v>3.48</v>
      </c>
      <c r="M604">
        <v>0.14000000000000001</v>
      </c>
      <c r="N604" s="14">
        <v>244.23333333333332</v>
      </c>
      <c r="O604" s="14">
        <v>245.43333333333331</v>
      </c>
      <c r="P604" s="14">
        <v>244.83333333333331</v>
      </c>
      <c r="Q604" s="14">
        <v>244.23333333333332</v>
      </c>
      <c r="R604" s="14">
        <v>245.43333333333331</v>
      </c>
      <c r="S604" s="14">
        <v>244.83333333333331</v>
      </c>
      <c r="T604" s="3">
        <v>244.83</v>
      </c>
      <c r="U604" s="3">
        <v>0.6</v>
      </c>
      <c r="V604" s="3">
        <v>2706.68</v>
      </c>
      <c r="W604" s="3">
        <v>3087.89</v>
      </c>
      <c r="X604" s="3">
        <v>2912.95</v>
      </c>
      <c r="Y604" s="3">
        <v>2907.92</v>
      </c>
      <c r="Z604" s="3">
        <v>190.60499999999999</v>
      </c>
      <c r="AA604" s="4">
        <v>7.0199999999999999E-2</v>
      </c>
      <c r="AB604" s="4">
        <v>4.7734270000000002E-3</v>
      </c>
      <c r="AC604">
        <v>1.1476266666666668</v>
      </c>
      <c r="AD604" s="15">
        <v>7.8720999999999997</v>
      </c>
      <c r="AE604" s="15">
        <v>3.0634999999999999</v>
      </c>
      <c r="AF604" s="15">
        <f t="shared" si="103"/>
        <v>4.8086000000000002</v>
      </c>
      <c r="AG604" s="15">
        <v>1.9158733333333331</v>
      </c>
      <c r="AH604" s="15">
        <v>71.508945929842341</v>
      </c>
      <c r="AI604" s="2">
        <v>28.491054070157659</v>
      </c>
      <c r="AJ604" s="1">
        <f t="shared" si="104"/>
        <v>1.4245527035078831</v>
      </c>
      <c r="AK604" s="13">
        <v>0.11409999999999999</v>
      </c>
      <c r="AL604" s="16">
        <v>36.681465039999999</v>
      </c>
      <c r="AM604" s="10">
        <v>1.834073252</v>
      </c>
      <c r="AN604" s="16">
        <v>21.276951879350349</v>
      </c>
      <c r="AO604" s="11">
        <v>1.8362801239739692</v>
      </c>
      <c r="AP604" s="14">
        <v>5.2021949999999988</v>
      </c>
      <c r="AQ604" s="2">
        <f>AP604*((G604*0.01)+(H604*0.01)+(I604*0.01))</f>
        <v>0.30692950499999994</v>
      </c>
      <c r="AR604" s="15">
        <v>1.2926223129531542</v>
      </c>
      <c r="AS604" s="15">
        <v>0.36828172210640575</v>
      </c>
      <c r="AT604" s="15">
        <f t="shared" si="105"/>
        <v>2.6974988833070132E-2</v>
      </c>
      <c r="AU604" s="2">
        <f t="shared" si="106"/>
        <v>2.5853376891869683E-2</v>
      </c>
      <c r="AV604" s="2">
        <f t="shared" si="107"/>
        <v>3.4189934527018343E-3</v>
      </c>
      <c r="AW604" s="3">
        <f t="shared" si="108"/>
        <v>13.224552703507882</v>
      </c>
    </row>
    <row r="605" spans="1:49" s="5" customFormat="1" x14ac:dyDescent="0.2">
      <c r="A605" s="5" t="s">
        <v>480</v>
      </c>
      <c r="B605" s="5" t="s">
        <v>481</v>
      </c>
      <c r="C605" s="5" t="s">
        <v>674</v>
      </c>
      <c r="D605" s="5" t="s">
        <v>679</v>
      </c>
      <c r="E605" s="13" t="s">
        <v>676</v>
      </c>
      <c r="F605" s="5">
        <v>223</v>
      </c>
      <c r="G605" s="14">
        <v>2.2999999999999998</v>
      </c>
      <c r="H605" s="14">
        <v>2.35</v>
      </c>
      <c r="I605" s="14">
        <v>1.2</v>
      </c>
      <c r="J605">
        <v>4.22</v>
      </c>
      <c r="K605">
        <v>5.42</v>
      </c>
      <c r="L605">
        <v>4.82</v>
      </c>
      <c r="M605">
        <v>0.14000000000000001</v>
      </c>
      <c r="N605" s="14">
        <v>245.57777777777775</v>
      </c>
      <c r="O605" s="14">
        <v>246.77777777777774</v>
      </c>
      <c r="P605" s="14">
        <v>246.17777777777775</v>
      </c>
      <c r="Q605" s="14">
        <v>245.57777777777775</v>
      </c>
      <c r="R605" s="14">
        <v>246.77777777777774</v>
      </c>
      <c r="S605" s="14">
        <v>246.17777777777775</v>
      </c>
      <c r="T605" s="3">
        <v>246.18</v>
      </c>
      <c r="U605" s="3">
        <v>0.6</v>
      </c>
      <c r="V605" s="3">
        <v>2746.16</v>
      </c>
      <c r="W605" s="3">
        <v>3100.32</v>
      </c>
      <c r="X605" s="3">
        <v>2930.75</v>
      </c>
      <c r="Y605" s="3">
        <v>2927.08</v>
      </c>
      <c r="Z605" s="3">
        <v>177.08</v>
      </c>
      <c r="AA605" s="4">
        <v>7.0699999999999999E-2</v>
      </c>
      <c r="AB605" s="4">
        <v>4.449461E-3</v>
      </c>
      <c r="AC605">
        <v>1.1476266666666668</v>
      </c>
      <c r="AD605" s="15">
        <v>7.6375000000000002</v>
      </c>
      <c r="AE605" s="15">
        <v>2.3839000000000001</v>
      </c>
      <c r="AF605" s="15">
        <f t="shared" si="103"/>
        <v>5.2536000000000005</v>
      </c>
      <c r="AG605" s="15">
        <v>1.2362733333333333</v>
      </c>
      <c r="AH605" s="15">
        <v>80.950732474491033</v>
      </c>
      <c r="AI605" s="2">
        <v>19.049267525508967</v>
      </c>
      <c r="AJ605" s="1">
        <f t="shared" si="104"/>
        <v>0.95246337627544841</v>
      </c>
      <c r="AK605" s="13">
        <v>4.3099999999999999E-2</v>
      </c>
      <c r="AL605" s="16">
        <v>69.345661449999994</v>
      </c>
      <c r="AM605" s="10">
        <v>3.4672830724999999</v>
      </c>
      <c r="AN605" s="16">
        <v>40.22370153712297</v>
      </c>
      <c r="AO605" s="11">
        <v>3.4684509373559025</v>
      </c>
      <c r="AP605" s="14">
        <v>5.0920987500000008</v>
      </c>
      <c r="AQ605" s="2">
        <f>AP605*((G605*0.01)+(H605*0.01)+(I605*0.01))</f>
        <v>0.29788777687500001</v>
      </c>
      <c r="AR605" s="15">
        <v>1.2744987188894035</v>
      </c>
      <c r="AS605" s="15">
        <v>0.24278267057042702</v>
      </c>
      <c r="AT605" s="15">
        <f t="shared" si="105"/>
        <v>1.6515202249496767E-2</v>
      </c>
      <c r="AU605" s="2">
        <f t="shared" si="106"/>
        <v>1.7164734809329191E-2</v>
      </c>
      <c r="AV605" s="2">
        <f t="shared" si="107"/>
        <v>2.1717617853851791E-3</v>
      </c>
      <c r="AW605" s="3">
        <f t="shared" si="108"/>
        <v>12.652463376275447</v>
      </c>
    </row>
    <row r="606" spans="1:49" s="5" customFormat="1" x14ac:dyDescent="0.2">
      <c r="A606" s="5" t="s">
        <v>480</v>
      </c>
      <c r="B606" s="5" t="s">
        <v>481</v>
      </c>
      <c r="C606" s="5" t="s">
        <v>674</v>
      </c>
      <c r="D606" s="5" t="s">
        <v>680</v>
      </c>
      <c r="E606" s="13" t="s">
        <v>676</v>
      </c>
      <c r="F606" s="5">
        <v>224</v>
      </c>
      <c r="G606" s="14">
        <v>2.4</v>
      </c>
      <c r="H606" s="14">
        <v>2.25</v>
      </c>
      <c r="I606" s="14">
        <v>1.2</v>
      </c>
      <c r="J606">
        <v>5.56</v>
      </c>
      <c r="K606">
        <v>6.76</v>
      </c>
      <c r="L606">
        <v>6.16</v>
      </c>
      <c r="M606">
        <v>0.14000000000000001</v>
      </c>
      <c r="N606" s="14">
        <v>246.92222222222219</v>
      </c>
      <c r="O606" s="14">
        <v>248.12222222222218</v>
      </c>
      <c r="P606" s="14">
        <v>247.52222222222218</v>
      </c>
      <c r="Q606" s="14">
        <v>246.92222222222219</v>
      </c>
      <c r="R606" s="14">
        <v>248.12222222222218</v>
      </c>
      <c r="S606" s="14">
        <v>247.52222222222218</v>
      </c>
      <c r="T606" s="3">
        <v>247.52</v>
      </c>
      <c r="U606" s="3">
        <v>0.6</v>
      </c>
      <c r="V606" s="3">
        <v>2776.63</v>
      </c>
      <c r="W606" s="3">
        <v>3111.44</v>
      </c>
      <c r="X606" s="3">
        <v>2949.03</v>
      </c>
      <c r="Y606" s="3">
        <v>2946.1</v>
      </c>
      <c r="Z606" s="3">
        <v>167.405</v>
      </c>
      <c r="AA606" s="4">
        <v>7.0400000000000004E-2</v>
      </c>
      <c r="AB606" s="4">
        <v>4.1709620000000003E-3</v>
      </c>
      <c r="AC606">
        <v>1.1476266666666668</v>
      </c>
      <c r="AD606" s="15">
        <v>7.0198999999999998</v>
      </c>
      <c r="AE606" s="15">
        <v>1.9341999999999999</v>
      </c>
      <c r="AF606" s="15">
        <f t="shared" si="103"/>
        <v>5.0857000000000001</v>
      </c>
      <c r="AG606" s="15">
        <v>0.78657333333333312</v>
      </c>
      <c r="AH606" s="15">
        <v>86.605301070227199</v>
      </c>
      <c r="AI606" s="2">
        <v>13.394698929772801</v>
      </c>
      <c r="AJ606" s="1">
        <f t="shared" si="104"/>
        <v>0.66973494648864007</v>
      </c>
      <c r="AK606" s="13">
        <v>2.3699999999999999E-2</v>
      </c>
      <c r="AL606" s="16">
        <v>78.706199459999993</v>
      </c>
      <c r="AM606" s="10">
        <v>3.9353099729999999</v>
      </c>
      <c r="AN606" s="16">
        <v>45.65324794663573</v>
      </c>
      <c r="AO606" s="11">
        <v>3.9363389823023702</v>
      </c>
      <c r="AP606" s="14">
        <v>5.0920987500000008</v>
      </c>
      <c r="AQ606" s="2">
        <f>AP606*((G606*0.01)+(H606*0.01)+(I606*0.01))</f>
        <v>0.29788777687500001</v>
      </c>
      <c r="AR606" s="15">
        <v>1.153212775642525</v>
      </c>
      <c r="AS606" s="15">
        <v>0.15446937931699242</v>
      </c>
      <c r="AT606" s="15">
        <f t="shared" si="105"/>
        <v>1.0070994104954049E-2</v>
      </c>
      <c r="AU606" s="2">
        <f t="shared" si="106"/>
        <v>1.0874644303916266E-2</v>
      </c>
      <c r="AV606" s="2">
        <f t="shared" si="107"/>
        <v>1.3451646767678666E-3</v>
      </c>
      <c r="AW606" s="3">
        <f t="shared" si="108"/>
        <v>12.36973494648864</v>
      </c>
    </row>
    <row r="607" spans="1:49" s="5" customFormat="1" x14ac:dyDescent="0.2">
      <c r="A607" s="5" t="s">
        <v>480</v>
      </c>
      <c r="B607" s="5" t="s">
        <v>481</v>
      </c>
      <c r="C607" s="5" t="s">
        <v>674</v>
      </c>
      <c r="D607" s="5" t="s">
        <v>681</v>
      </c>
      <c r="E607" s="13" t="s">
        <v>676</v>
      </c>
      <c r="F607" s="5">
        <v>225</v>
      </c>
      <c r="G607" s="14">
        <v>2.2999999999999998</v>
      </c>
      <c r="H607" s="14">
        <v>2.35</v>
      </c>
      <c r="I607" s="14">
        <v>1.25</v>
      </c>
      <c r="J607">
        <v>6.9</v>
      </c>
      <c r="K607">
        <v>8.1999999999999993</v>
      </c>
      <c r="L607">
        <v>7.55</v>
      </c>
      <c r="M607">
        <v>0.14000000000000001</v>
      </c>
      <c r="N607" s="14">
        <v>248.26666666666662</v>
      </c>
      <c r="O607" s="14">
        <v>249.51666666666662</v>
      </c>
      <c r="P607" s="14">
        <v>248.89166666666662</v>
      </c>
      <c r="Q607" s="14">
        <v>248.26666666666662</v>
      </c>
      <c r="R607" s="14">
        <v>249.51666666666662</v>
      </c>
      <c r="S607" s="14">
        <v>248.89166666666662</v>
      </c>
      <c r="T607" s="3">
        <v>248.89</v>
      </c>
      <c r="U607" s="3">
        <v>0.625</v>
      </c>
      <c r="V607" s="3">
        <v>2801.19</v>
      </c>
      <c r="W607" s="3">
        <v>3123.97</v>
      </c>
      <c r="X607" s="3">
        <v>2966.56</v>
      </c>
      <c r="Y607" s="3">
        <v>2965.55</v>
      </c>
      <c r="Z607" s="3">
        <v>161.38999999999999</v>
      </c>
      <c r="AA607" s="4">
        <v>7.4999999999999997E-2</v>
      </c>
      <c r="AB607" s="4">
        <v>4.2699569999999996E-3</v>
      </c>
      <c r="AC607">
        <v>1.1476266666666668</v>
      </c>
      <c r="AD607" s="15">
        <v>7.4729999999999999</v>
      </c>
      <c r="AE607" s="15">
        <v>1.9890000000000001</v>
      </c>
      <c r="AF607" s="15">
        <f t="shared" si="103"/>
        <v>5.484</v>
      </c>
      <c r="AG607" s="15">
        <v>0.84137333333333331</v>
      </c>
      <c r="AH607" s="15">
        <v>86.698439933980183</v>
      </c>
      <c r="AI607" s="2">
        <v>13.301560066019817</v>
      </c>
      <c r="AJ607" s="1">
        <f t="shared" si="104"/>
        <v>0.66507800330099087</v>
      </c>
      <c r="AK607" s="13">
        <v>1.83E-2</v>
      </c>
      <c r="AL607" s="16">
        <v>76.747141040000002</v>
      </c>
      <c r="AM607" s="10">
        <v>3.8373570520000002</v>
      </c>
      <c r="AN607" s="16">
        <v>44.516903155452439</v>
      </c>
      <c r="AO607" s="11">
        <v>3.8384123208084526</v>
      </c>
      <c r="AP607" s="14">
        <v>5.304269531250001</v>
      </c>
      <c r="AQ607" s="2">
        <f>AP607*((G607*0.01)+(H607*0.01)+(I607*0.01))</f>
        <v>0.31295190234375003</v>
      </c>
      <c r="AR607" s="15">
        <v>1.1925060172880582</v>
      </c>
      <c r="AS607" s="15">
        <v>0.15862190418047173</v>
      </c>
      <c r="AT607" s="15">
        <f t="shared" si="105"/>
        <v>1.0413651739769323E-2</v>
      </c>
      <c r="AU607" s="2">
        <f t="shared" si="106"/>
        <v>1.1896642813535379E-2</v>
      </c>
      <c r="AV607" s="2">
        <f t="shared" si="107"/>
        <v>1.4829258064812864E-3</v>
      </c>
      <c r="AW607" s="3">
        <f t="shared" si="108"/>
        <v>12.465078003300988</v>
      </c>
    </row>
    <row r="608" spans="1:49" s="5" customFormat="1" x14ac:dyDescent="0.2">
      <c r="A608" s="5" t="s">
        <v>480</v>
      </c>
      <c r="B608" s="5" t="s">
        <v>481</v>
      </c>
      <c r="C608" s="5" t="s">
        <v>674</v>
      </c>
      <c r="D608" s="5" t="s">
        <v>682</v>
      </c>
      <c r="E608" s="13" t="s">
        <v>676</v>
      </c>
      <c r="F608" s="5">
        <v>226</v>
      </c>
      <c r="G608" s="14">
        <v>2.2999999999999998</v>
      </c>
      <c r="H608" s="14">
        <v>2.2999999999999998</v>
      </c>
      <c r="I608" s="14">
        <v>1.2</v>
      </c>
      <c r="J608">
        <v>8.34</v>
      </c>
      <c r="K608">
        <v>9.5399999999999991</v>
      </c>
      <c r="L608">
        <v>8.94</v>
      </c>
      <c r="M608">
        <v>0.14000000000000001</v>
      </c>
      <c r="N608" s="14">
        <v>249.66111111111107</v>
      </c>
      <c r="O608" s="14">
        <v>250.86111111111106</v>
      </c>
      <c r="P608" s="14">
        <v>250.26111111111106</v>
      </c>
      <c r="Q608" s="14">
        <v>249.66111111111107</v>
      </c>
      <c r="R608" s="14">
        <v>250.86111111111106</v>
      </c>
      <c r="S608" s="14">
        <v>250.26111111111106</v>
      </c>
      <c r="T608" s="3">
        <v>250.26</v>
      </c>
      <c r="U608" s="3">
        <v>0.6</v>
      </c>
      <c r="V608" s="3">
        <v>2820.18</v>
      </c>
      <c r="W608" s="3">
        <v>3138.21</v>
      </c>
      <c r="X608" s="3">
        <v>2984.61</v>
      </c>
      <c r="Y608" s="3">
        <v>2983.8</v>
      </c>
      <c r="Z608" s="3">
        <v>159.01499999999999</v>
      </c>
      <c r="AA608" s="4">
        <v>0.104</v>
      </c>
      <c r="AB608" s="4">
        <v>5.7917899999999998E-3</v>
      </c>
      <c r="AC608">
        <v>1.1476266666666668</v>
      </c>
      <c r="AD608" s="15">
        <v>7.2474999999999996</v>
      </c>
      <c r="AE608" s="15">
        <v>1.9531000000000001</v>
      </c>
      <c r="AF608" s="15">
        <f t="shared" si="103"/>
        <v>5.2943999999999996</v>
      </c>
      <c r="AG608" s="15">
        <v>0.80547333333333326</v>
      </c>
      <c r="AH608" s="15">
        <v>86.795244928583216</v>
      </c>
      <c r="AI608" s="2">
        <v>13.204755071416784</v>
      </c>
      <c r="AJ608" s="1">
        <f t="shared" si="104"/>
        <v>0.66023775357083925</v>
      </c>
      <c r="AK608" s="13">
        <v>1.7600000000000001E-2</v>
      </c>
      <c r="AL608" s="16">
        <v>74.639769450000003</v>
      </c>
      <c r="AM608" s="10">
        <v>3.7319884725000003</v>
      </c>
      <c r="AN608" s="16">
        <v>43.294529843387473</v>
      </c>
      <c r="AO608" s="11">
        <v>3.7330735271184903</v>
      </c>
      <c r="AP608" s="14">
        <v>4.9831799999999991</v>
      </c>
      <c r="AQ608" s="2">
        <f>AP608*((G608*0.01)+(H608*0.01)+(I608*0.01))</f>
        <v>0.28902443999999994</v>
      </c>
      <c r="AR608" s="15">
        <v>1.2240925138833705</v>
      </c>
      <c r="AS608" s="15">
        <v>0.16163841830584755</v>
      </c>
      <c r="AT608" s="15">
        <f t="shared" si="105"/>
        <v>1.0442226123669121E-2</v>
      </c>
      <c r="AU608" s="2">
        <f t="shared" si="106"/>
        <v>1.6810395503808143E-2</v>
      </c>
      <c r="AV608" s="2">
        <f t="shared" si="107"/>
        <v>2.0609944560824604E-3</v>
      </c>
      <c r="AW608" s="3">
        <f t="shared" si="108"/>
        <v>12.260237753570836</v>
      </c>
    </row>
    <row r="609" spans="1:49" s="5" customFormat="1" x14ac:dyDescent="0.2">
      <c r="A609" s="5" t="s">
        <v>480</v>
      </c>
      <c r="B609" s="5" t="s">
        <v>481</v>
      </c>
      <c r="C609" s="5" t="s">
        <v>674</v>
      </c>
      <c r="D609" s="5" t="s">
        <v>683</v>
      </c>
      <c r="E609" s="13" t="s">
        <v>676</v>
      </c>
      <c r="F609" s="5">
        <v>227</v>
      </c>
      <c r="G609" s="14">
        <v>2.2999999999999998</v>
      </c>
      <c r="H609" s="14">
        <v>2.25</v>
      </c>
      <c r="I609" s="14">
        <v>1.25</v>
      </c>
      <c r="J609">
        <v>9.68</v>
      </c>
      <c r="K609">
        <v>10.98</v>
      </c>
      <c r="L609">
        <v>10.33</v>
      </c>
      <c r="M609">
        <v>0.14000000000000001</v>
      </c>
      <c r="N609" s="14">
        <v>251.0055555555555</v>
      </c>
      <c r="O609" s="14">
        <v>252.2555555555555</v>
      </c>
      <c r="P609" s="14">
        <v>251.6305555555555</v>
      </c>
      <c r="Q609" s="14">
        <v>251.0055555555555</v>
      </c>
      <c r="R609" s="14">
        <v>252.2555555555555</v>
      </c>
      <c r="S609" s="14">
        <v>251.6305555555555</v>
      </c>
      <c r="T609" s="3">
        <v>251.63</v>
      </c>
      <c r="U609" s="3">
        <v>0.625</v>
      </c>
      <c r="V609" s="3">
        <v>2841.22</v>
      </c>
      <c r="W609" s="3">
        <v>3151.76</v>
      </c>
      <c r="X609" s="3">
        <v>2998.38</v>
      </c>
      <c r="Y609" s="3">
        <v>2996.97</v>
      </c>
      <c r="Z609" s="3">
        <v>155.27000000000001</v>
      </c>
      <c r="AA609" s="4">
        <v>0.1036</v>
      </c>
      <c r="AB609" s="4">
        <v>5.6247340000000002E-3</v>
      </c>
      <c r="AC609">
        <v>1.1476266666666668</v>
      </c>
      <c r="AD609" s="15">
        <v>7.2397999999999998</v>
      </c>
      <c r="AE609" s="15">
        <v>1.9296</v>
      </c>
      <c r="AF609" s="15">
        <f t="shared" si="103"/>
        <v>5.3102</v>
      </c>
      <c r="AG609" s="15">
        <v>0.78197333333333319</v>
      </c>
      <c r="AH609" s="15">
        <v>87.164296047606442</v>
      </c>
      <c r="AI609" s="2">
        <v>12.835703952393558</v>
      </c>
      <c r="AJ609" s="1">
        <f t="shared" si="104"/>
        <v>0.64178519761967801</v>
      </c>
      <c r="AK609" s="13">
        <v>2.2200000000000001E-2</v>
      </c>
      <c r="AL609" s="16">
        <v>77.370030580000005</v>
      </c>
      <c r="AM609" s="10">
        <v>3.8685015290000004</v>
      </c>
      <c r="AN609" s="16">
        <v>44.878207993039446</v>
      </c>
      <c r="AO609" s="11">
        <v>3.8695483043729202</v>
      </c>
      <c r="AP609" s="14">
        <v>5.0785820312499999</v>
      </c>
      <c r="AQ609" s="2">
        <f>AP609*((G609*0.01)+(H609*0.01)+(I609*0.01))</f>
        <v>0.29455775781249999</v>
      </c>
      <c r="AR609" s="15">
        <v>1.1995815556087133</v>
      </c>
      <c r="AS609" s="15">
        <v>0.15397473714545176</v>
      </c>
      <c r="AT609" s="15">
        <f t="shared" si="105"/>
        <v>9.9187218255095185E-3</v>
      </c>
      <c r="AU609" s="2">
        <f t="shared" si="106"/>
        <v>1.5951782768268804E-2</v>
      </c>
      <c r="AV609" s="2">
        <f t="shared" si="107"/>
        <v>1.9527829816823768E-3</v>
      </c>
      <c r="AW609" s="3">
        <f t="shared" si="108"/>
        <v>12.241785197619677</v>
      </c>
    </row>
    <row r="610" spans="1:49" s="5" customFormat="1" x14ac:dyDescent="0.2">
      <c r="A610" s="5" t="s">
        <v>480</v>
      </c>
      <c r="B610" s="5" t="s">
        <v>481</v>
      </c>
      <c r="C610" s="5" t="s">
        <v>674</v>
      </c>
      <c r="D610" s="5" t="s">
        <v>684</v>
      </c>
      <c r="E610" s="13" t="s">
        <v>676</v>
      </c>
      <c r="F610" s="5">
        <v>228</v>
      </c>
      <c r="G610" s="14">
        <v>2.1</v>
      </c>
      <c r="H610" s="14">
        <v>2.4</v>
      </c>
      <c r="I610" s="14">
        <v>1.1499999999999999</v>
      </c>
      <c r="J610">
        <v>11.12</v>
      </c>
      <c r="K610">
        <v>12.32</v>
      </c>
      <c r="L610">
        <v>11.72</v>
      </c>
      <c r="M610">
        <v>0.14000000000000001</v>
      </c>
      <c r="N610" s="14">
        <v>252.39999999999995</v>
      </c>
      <c r="O610" s="14">
        <v>253.54999999999995</v>
      </c>
      <c r="P610" s="14">
        <v>252.97499999999997</v>
      </c>
      <c r="Q610" s="14">
        <v>252.39999999999995</v>
      </c>
      <c r="R610" s="14">
        <v>253.54999999999995</v>
      </c>
      <c r="S610" s="14">
        <v>252.97499999999997</v>
      </c>
      <c r="T610" s="3">
        <v>252.98</v>
      </c>
      <c r="U610" s="3">
        <v>0.57499999999999996</v>
      </c>
      <c r="V610" s="3">
        <v>2857.68</v>
      </c>
      <c r="W610" s="3">
        <v>3164.54</v>
      </c>
      <c r="X610" s="3">
        <v>3010.8</v>
      </c>
      <c r="Y610" s="3">
        <v>3009.95</v>
      </c>
      <c r="Z610" s="3">
        <v>153.43</v>
      </c>
      <c r="AA610" s="4">
        <v>0.1048</v>
      </c>
      <c r="AB610" s="4">
        <v>5.5803040000000003E-3</v>
      </c>
      <c r="AC610">
        <v>1.1476266666666668</v>
      </c>
      <c r="AD610" s="15">
        <v>6.6675000000000004</v>
      </c>
      <c r="AE610" s="15">
        <v>1.9662999999999999</v>
      </c>
      <c r="AF610" s="15">
        <f t="shared" si="103"/>
        <v>4.7012</v>
      </c>
      <c r="AG610" s="15">
        <v>0.81867333333333314</v>
      </c>
      <c r="AH610" s="15">
        <v>85.168621019081371</v>
      </c>
      <c r="AI610" s="2">
        <v>14.831378980918629</v>
      </c>
      <c r="AJ610" s="1">
        <f t="shared" si="104"/>
        <v>0.74156894904593151</v>
      </c>
      <c r="AK610" s="13">
        <v>4.87E-2</v>
      </c>
      <c r="AL610" s="16">
        <v>67.050067659999996</v>
      </c>
      <c r="AM610" s="10">
        <v>3.3525033830000002</v>
      </c>
      <c r="AN610" s="16">
        <v>38.892150614849186</v>
      </c>
      <c r="AO610" s="11">
        <v>3.35371121789376</v>
      </c>
      <c r="AP610" s="14">
        <v>4.5701718750000007</v>
      </c>
      <c r="AQ610" s="2">
        <f>AP610*((G610*0.01)+(H610*0.01)+(I610*0.01))</f>
        <v>0.25821471093750004</v>
      </c>
      <c r="AR610" s="15">
        <v>1.2078043199049999</v>
      </c>
      <c r="AS610" s="15">
        <v>0.17913403603301747</v>
      </c>
      <c r="AT610" s="15">
        <f t="shared" si="105"/>
        <v>1.1449475424259094E-2</v>
      </c>
      <c r="AU610" s="2">
        <f t="shared" si="106"/>
        <v>1.8773246976260233E-2</v>
      </c>
      <c r="AV610" s="2">
        <f t="shared" si="107"/>
        <v>2.2605934786210564E-3</v>
      </c>
      <c r="AW610" s="3">
        <f t="shared" si="108"/>
        <v>12.041568949045931</v>
      </c>
    </row>
    <row r="611" spans="1:49" s="5" customFormat="1" x14ac:dyDescent="0.2">
      <c r="A611" s="5" t="s">
        <v>480</v>
      </c>
      <c r="B611" s="5" t="s">
        <v>481</v>
      </c>
      <c r="C611" s="5" t="s">
        <v>674</v>
      </c>
      <c r="D611" s="5" t="s">
        <v>685</v>
      </c>
      <c r="E611" s="13" t="s">
        <v>676</v>
      </c>
      <c r="F611" s="5">
        <v>229</v>
      </c>
      <c r="G611" s="14">
        <v>2.2999999999999998</v>
      </c>
      <c r="H611" s="14">
        <v>2.2000000000000002</v>
      </c>
      <c r="I611" s="14">
        <v>1.2</v>
      </c>
      <c r="J611">
        <v>12.46</v>
      </c>
      <c r="K611">
        <v>13.66</v>
      </c>
      <c r="L611">
        <v>13.06</v>
      </c>
      <c r="M611">
        <v>0.14000000000000001</v>
      </c>
      <c r="N611" s="14">
        <v>253.6944444444444</v>
      </c>
      <c r="O611" s="14">
        <v>254.89444444444439</v>
      </c>
      <c r="P611" s="14">
        <v>254.29444444444439</v>
      </c>
      <c r="Q611" s="14">
        <v>253.6944444444444</v>
      </c>
      <c r="R611" s="14">
        <v>254.89444444444439</v>
      </c>
      <c r="S611" s="14">
        <v>254.29444444444439</v>
      </c>
      <c r="T611" s="3">
        <v>254.29</v>
      </c>
      <c r="U611" s="3">
        <v>0.6</v>
      </c>
      <c r="V611" s="3">
        <v>2870.43</v>
      </c>
      <c r="W611" s="3">
        <v>3183.18</v>
      </c>
      <c r="X611" s="3">
        <v>3022.81</v>
      </c>
      <c r="Y611" s="3">
        <v>3022.54</v>
      </c>
      <c r="Z611" s="3">
        <v>156.375</v>
      </c>
      <c r="AA611" s="4">
        <v>0.1037</v>
      </c>
      <c r="AB611" s="4">
        <v>5.6097339999999999E-3</v>
      </c>
      <c r="AC611">
        <v>1.1476266666666668</v>
      </c>
      <c r="AD611" s="15">
        <v>7.7370999999999999</v>
      </c>
      <c r="AE611" s="15">
        <v>2.1063999999999998</v>
      </c>
      <c r="AF611" s="15">
        <f t="shared" si="103"/>
        <v>5.6307</v>
      </c>
      <c r="AG611" s="15">
        <v>0.95877333333333303</v>
      </c>
      <c r="AH611" s="15">
        <v>85.449924677844763</v>
      </c>
      <c r="AI611" s="2">
        <v>14.550075322155237</v>
      </c>
      <c r="AJ611" s="1">
        <f t="shared" si="104"/>
        <v>0.72750376610776191</v>
      </c>
      <c r="AK611" s="13">
        <v>4.2299999999999997E-2</v>
      </c>
      <c r="AL611" s="16">
        <v>66.455194289999994</v>
      </c>
      <c r="AM611" s="10">
        <v>3.3227597145000001</v>
      </c>
      <c r="AN611" s="16">
        <v>38.547096455916467</v>
      </c>
      <c r="AO611" s="11">
        <v>3.3239783573760109</v>
      </c>
      <c r="AP611" s="14">
        <v>4.7688749999999995</v>
      </c>
      <c r="AQ611" s="2">
        <f>AP611*((G611*0.01)+(H611*0.01)+(I611*0.01))</f>
        <v>0.27182587499999994</v>
      </c>
      <c r="AR611" s="15">
        <v>1.3817668387897217</v>
      </c>
      <c r="AS611" s="15">
        <v>0.20104811582046775</v>
      </c>
      <c r="AT611" s="15">
        <f t="shared" si="105"/>
        <v>1.292237521604926E-2</v>
      </c>
      <c r="AU611" s="2">
        <f t="shared" si="106"/>
        <v>2.0848689610582505E-2</v>
      </c>
      <c r="AV611" s="2">
        <f t="shared" si="107"/>
        <v>2.528425617707511E-3</v>
      </c>
      <c r="AW611" s="3">
        <f t="shared" si="108"/>
        <v>12.127503766107763</v>
      </c>
    </row>
    <row r="612" spans="1:49" s="5" customFormat="1" x14ac:dyDescent="0.2">
      <c r="A612" s="5" t="s">
        <v>480</v>
      </c>
      <c r="B612" s="5" t="s">
        <v>481</v>
      </c>
      <c r="C612" s="5" t="s">
        <v>674</v>
      </c>
      <c r="D612" s="5" t="s">
        <v>686</v>
      </c>
      <c r="E612" s="13" t="s">
        <v>676</v>
      </c>
      <c r="F612" s="5">
        <v>230</v>
      </c>
      <c r="G612" s="14">
        <v>2.2999999999999998</v>
      </c>
      <c r="H612" s="14">
        <v>2.6</v>
      </c>
      <c r="I612" s="14">
        <v>1.2</v>
      </c>
      <c r="J612">
        <v>13.8</v>
      </c>
      <c r="K612">
        <v>15</v>
      </c>
      <c r="L612">
        <v>14.4</v>
      </c>
      <c r="M612">
        <v>0.14000000000000001</v>
      </c>
      <c r="N612" s="14">
        <v>255.03888888888883</v>
      </c>
      <c r="O612" s="14">
        <v>256.23888888888882</v>
      </c>
      <c r="P612" s="14">
        <v>255.63888888888883</v>
      </c>
      <c r="Q612" s="14">
        <v>255.03888888888883</v>
      </c>
      <c r="R612" s="14">
        <v>256.23888888888882</v>
      </c>
      <c r="S612" s="14">
        <v>255.63888888888883</v>
      </c>
      <c r="T612" s="3">
        <v>255.64</v>
      </c>
      <c r="U612" s="3">
        <v>0.6</v>
      </c>
      <c r="V612" s="3">
        <v>2877.36</v>
      </c>
      <c r="W612" s="3">
        <v>3205.85</v>
      </c>
      <c r="X612" s="3">
        <v>3034.96</v>
      </c>
      <c r="Y612" s="3">
        <v>3035.51</v>
      </c>
      <c r="Z612" s="3">
        <v>164.245</v>
      </c>
      <c r="AA612" s="4">
        <v>0.10440000000000001</v>
      </c>
      <c r="AB612" s="4">
        <v>5.8938940000000002E-3</v>
      </c>
      <c r="AC612">
        <v>1.1476266666666668</v>
      </c>
      <c r="AD612" s="15">
        <v>7.9904999999999999</v>
      </c>
      <c r="AE612" s="15">
        <v>2.3963000000000001</v>
      </c>
      <c r="AF612" s="15">
        <f t="shared" si="103"/>
        <v>5.5941999999999998</v>
      </c>
      <c r="AG612" s="15">
        <v>1.2486733333333333</v>
      </c>
      <c r="AH612" s="15">
        <v>81.752207406050672</v>
      </c>
      <c r="AI612" s="2">
        <v>18.247792593949328</v>
      </c>
      <c r="AJ612" s="1">
        <f t="shared" si="104"/>
        <v>0.9123896296974664</v>
      </c>
      <c r="AK612" s="13">
        <v>7.7499999999999999E-2</v>
      </c>
      <c r="AL612" s="16">
        <v>50.8560558</v>
      </c>
      <c r="AM612" s="10">
        <v>2.5428027900000001</v>
      </c>
      <c r="AN612" s="16">
        <v>29.498872273781902</v>
      </c>
      <c r="AO612" s="11">
        <v>2.544395022167703</v>
      </c>
      <c r="AP612" s="14">
        <v>5.6543550000000007</v>
      </c>
      <c r="AQ612" s="2">
        <f>AP612*((G612*0.01)+(H612*0.01)+(I612*0.01))</f>
        <v>0.34491565500000004</v>
      </c>
      <c r="AR612" s="15">
        <v>1.2101952094152795</v>
      </c>
      <c r="AS612" s="15">
        <v>0.22083391179601089</v>
      </c>
      <c r="AT612" s="15">
        <f t="shared" si="105"/>
        <v>1.5485734329638717E-2</v>
      </c>
      <c r="AU612" s="2">
        <f t="shared" si="106"/>
        <v>2.3055060391503537E-2</v>
      </c>
      <c r="AV612" s="2">
        <f t="shared" si="107"/>
        <v>3.0230693478959978E-3</v>
      </c>
      <c r="AW612" s="3">
        <f t="shared" si="108"/>
        <v>13.112389629697466</v>
      </c>
    </row>
    <row r="613" spans="1:49" s="5" customFormat="1" x14ac:dyDescent="0.2">
      <c r="A613" s="5" t="s">
        <v>480</v>
      </c>
      <c r="B613" s="5" t="s">
        <v>481</v>
      </c>
      <c r="C613" s="5" t="s">
        <v>674</v>
      </c>
      <c r="D613" s="5" t="s">
        <v>687</v>
      </c>
      <c r="E613" s="13" t="s">
        <v>676</v>
      </c>
      <c r="F613" s="5">
        <v>231</v>
      </c>
      <c r="G613" s="14">
        <v>2.2999999999999998</v>
      </c>
      <c r="H613" s="14">
        <v>2.2999999999999998</v>
      </c>
      <c r="I613" s="14">
        <v>1.2</v>
      </c>
      <c r="J613">
        <v>15.14</v>
      </c>
      <c r="K613">
        <v>16.34</v>
      </c>
      <c r="L613">
        <v>15.74</v>
      </c>
      <c r="M613">
        <v>0.14000000000000001</v>
      </c>
      <c r="N613" s="14">
        <v>256.38333333333327</v>
      </c>
      <c r="O613" s="14">
        <v>257.58333333333326</v>
      </c>
      <c r="P613" s="14">
        <v>256.98333333333323</v>
      </c>
      <c r="Q613" s="14">
        <v>256.38333333333327</v>
      </c>
      <c r="R613" s="14">
        <v>257.58333333333326</v>
      </c>
      <c r="S613" s="14">
        <v>256.98333333333323</v>
      </c>
      <c r="T613" s="3">
        <v>256.98</v>
      </c>
      <c r="U613" s="3">
        <v>0.6</v>
      </c>
      <c r="V613" s="3">
        <v>2886.34</v>
      </c>
      <c r="W613" s="3">
        <v>3229.23</v>
      </c>
      <c r="X613" s="3">
        <v>3045.6</v>
      </c>
      <c r="Y613" s="3">
        <v>3048.39</v>
      </c>
      <c r="Z613" s="3">
        <v>171.44499999999999</v>
      </c>
      <c r="AA613" s="4">
        <v>0.104</v>
      </c>
      <c r="AB613" s="4">
        <v>6.0919010000000003E-3</v>
      </c>
      <c r="AC613">
        <v>1.1476266666666668</v>
      </c>
      <c r="AD613" s="15">
        <v>7.1738</v>
      </c>
      <c r="AE613" s="15">
        <v>2.3201999999999998</v>
      </c>
      <c r="AF613" s="15">
        <f t="shared" si="103"/>
        <v>4.8536000000000001</v>
      </c>
      <c r="AG613" s="15">
        <v>1.172573333333333</v>
      </c>
      <c r="AH613" s="15">
        <v>80.541991269196814</v>
      </c>
      <c r="AI613" s="2">
        <v>19.458008730803186</v>
      </c>
      <c r="AJ613" s="1">
        <f t="shared" si="104"/>
        <v>0.97290043654015934</v>
      </c>
      <c r="AK613" s="13">
        <v>6.2300000000000001E-2</v>
      </c>
      <c r="AL613" s="16">
        <v>58.714380380000001</v>
      </c>
      <c r="AM613" s="10">
        <v>2.9357190190000004</v>
      </c>
      <c r="AN613" s="16">
        <v>34.057065185614853</v>
      </c>
      <c r="AO613" s="11">
        <v>2.9370982548287903</v>
      </c>
      <c r="AP613" s="14">
        <v>4.9831799999999991</v>
      </c>
      <c r="AQ613" s="2">
        <f>AP613*((G613*0.01)+(H613*0.01)+(I613*0.01))</f>
        <v>0.28902443999999994</v>
      </c>
      <c r="AR613" s="15">
        <v>1.209302761155193</v>
      </c>
      <c r="AS613" s="15">
        <v>0.23530623684742139</v>
      </c>
      <c r="AT613" s="15">
        <f t="shared" si="105"/>
        <v>1.5937057142645223E-2</v>
      </c>
      <c r="AU613" s="2">
        <f t="shared" si="106"/>
        <v>2.4471848632131823E-2</v>
      </c>
      <c r="AV613" s="2">
        <f t="shared" si="107"/>
        <v>3.0768211634987488E-3</v>
      </c>
      <c r="AW613" s="3">
        <f t="shared" si="108"/>
        <v>12.572900436540158</v>
      </c>
    </row>
    <row r="614" spans="1:49" s="5" customFormat="1" x14ac:dyDescent="0.2">
      <c r="A614" s="5" t="s">
        <v>480</v>
      </c>
      <c r="B614" s="5" t="s">
        <v>481</v>
      </c>
      <c r="C614" s="5" t="s">
        <v>674</v>
      </c>
      <c r="D614" s="5" t="s">
        <v>688</v>
      </c>
      <c r="E614" s="13" t="s">
        <v>676</v>
      </c>
      <c r="F614" s="5">
        <v>232</v>
      </c>
      <c r="G614" s="14">
        <v>2.2999999999999998</v>
      </c>
      <c r="H614" s="14">
        <v>2.35</v>
      </c>
      <c r="I614" s="14">
        <v>1.1499999999999999</v>
      </c>
      <c r="J614">
        <v>16.48</v>
      </c>
      <c r="K614">
        <v>17.68</v>
      </c>
      <c r="L614">
        <v>17.079999999999998</v>
      </c>
      <c r="M614">
        <v>0.14000000000000001</v>
      </c>
      <c r="N614" s="14">
        <v>257.7277777777777</v>
      </c>
      <c r="O614" s="14">
        <v>258.87777777777768</v>
      </c>
      <c r="P614" s="14">
        <v>258.30277777777769</v>
      </c>
      <c r="Q614" s="14">
        <v>257.7277777777777</v>
      </c>
      <c r="R614" s="14">
        <v>258.87777777777768</v>
      </c>
      <c r="S614" s="14">
        <v>258.30277777777769</v>
      </c>
      <c r="T614" s="3">
        <v>258.3</v>
      </c>
      <c r="U614" s="3">
        <v>0.57499999999999996</v>
      </c>
      <c r="V614" s="3">
        <v>2891.04</v>
      </c>
      <c r="W614" s="3">
        <v>3260.09</v>
      </c>
      <c r="X614" s="3">
        <v>3057.1</v>
      </c>
      <c r="Y614" s="3">
        <v>3061.08</v>
      </c>
      <c r="Z614" s="3">
        <v>184.52500000000001</v>
      </c>
      <c r="AA614" s="4">
        <v>0.1041</v>
      </c>
      <c r="AB614" s="4">
        <v>6.5069899999999998E-3</v>
      </c>
      <c r="AC614">
        <v>1.1476266666666668</v>
      </c>
      <c r="AD614" s="15">
        <v>7.4356999999999998</v>
      </c>
      <c r="AE614" s="15">
        <v>1.9036999999999999</v>
      </c>
      <c r="AF614" s="15">
        <f t="shared" si="103"/>
        <v>5.532</v>
      </c>
      <c r="AG614" s="15">
        <v>0.75607333333333315</v>
      </c>
      <c r="AH614" s="15">
        <v>87.976073222216456</v>
      </c>
      <c r="AI614" s="2">
        <v>12.023926777783544</v>
      </c>
      <c r="AJ614" s="1">
        <f t="shared" si="104"/>
        <v>0.60119633888917723</v>
      </c>
      <c r="AK614" s="13">
        <v>2.5100000000000001E-2</v>
      </c>
      <c r="AL614" s="16">
        <v>74.335378320000004</v>
      </c>
      <c r="AM614" s="10">
        <v>3.7167689160000004</v>
      </c>
      <c r="AN614" s="16">
        <v>43.117968863109049</v>
      </c>
      <c r="AO614" s="11">
        <v>3.7178584124390506</v>
      </c>
      <c r="AP614" s="14">
        <v>4.8799279687499997</v>
      </c>
      <c r="AQ614" s="2">
        <f>AP614*((G614*0.01)+(H614*0.01)+(I614*0.01))</f>
        <v>0.28303582218749995</v>
      </c>
      <c r="AR614" s="15">
        <v>1.2885586372587445</v>
      </c>
      <c r="AS614" s="15">
        <v>0.15493534703279696</v>
      </c>
      <c r="AT614" s="15">
        <f t="shared" si="105"/>
        <v>9.9177157619086409E-3</v>
      </c>
      <c r="AU614" s="2">
        <f t="shared" si="106"/>
        <v>1.6128769626114162E-2</v>
      </c>
      <c r="AV614" s="2">
        <f t="shared" si="107"/>
        <v>1.9679028491293108E-3</v>
      </c>
      <c r="AW614" s="3">
        <f t="shared" si="108"/>
        <v>12.201196338889178</v>
      </c>
    </row>
    <row r="615" spans="1:49" s="5" customFormat="1" x14ac:dyDescent="0.2">
      <c r="A615" s="5" t="s">
        <v>480</v>
      </c>
      <c r="B615" s="5" t="s">
        <v>481</v>
      </c>
      <c r="C615" s="5" t="s">
        <v>674</v>
      </c>
      <c r="D615" s="5" t="s">
        <v>689</v>
      </c>
      <c r="E615" s="13" t="s">
        <v>676</v>
      </c>
      <c r="F615" s="5">
        <v>233</v>
      </c>
      <c r="G615" s="14">
        <v>2.2999999999999998</v>
      </c>
      <c r="H615" s="14">
        <v>2.1</v>
      </c>
      <c r="I615" s="14">
        <v>1.3</v>
      </c>
      <c r="J615">
        <v>17.82</v>
      </c>
      <c r="K615">
        <v>19.12</v>
      </c>
      <c r="L615">
        <v>18.47</v>
      </c>
      <c r="M615">
        <v>0.14000000000000001</v>
      </c>
      <c r="N615" s="14">
        <v>259.02222222222213</v>
      </c>
      <c r="O615" s="14">
        <v>260.32222222222214</v>
      </c>
      <c r="P615" s="14">
        <v>259.6722222222221</v>
      </c>
      <c r="Q615" s="14">
        <v>259.02222222222213</v>
      </c>
      <c r="R615" s="14">
        <v>260.32222222222214</v>
      </c>
      <c r="S615" s="14">
        <v>259.6722222222221</v>
      </c>
      <c r="T615" s="3">
        <v>259.67</v>
      </c>
      <c r="U615" s="3">
        <v>0.65</v>
      </c>
      <c r="V615" s="3">
        <v>2895.62</v>
      </c>
      <c r="W615" s="3">
        <v>3291.05</v>
      </c>
      <c r="X615" s="3">
        <v>3067.57</v>
      </c>
      <c r="Y615" s="3">
        <v>3074.24</v>
      </c>
      <c r="Z615" s="3">
        <v>197.715</v>
      </c>
      <c r="AA615" s="4">
        <v>9.7799999999999998E-2</v>
      </c>
      <c r="AB615" s="4">
        <v>6.5346670000000001E-3</v>
      </c>
      <c r="AC615">
        <v>1.1476266666666668</v>
      </c>
      <c r="AD615" s="15">
        <v>6.6712999999999996</v>
      </c>
      <c r="AE615" s="15">
        <v>1.9520999999999999</v>
      </c>
      <c r="AF615" s="15">
        <f t="shared" ref="AF615:AF678" si="109">AD615-AE615</f>
        <v>4.7191999999999998</v>
      </c>
      <c r="AG615" s="15">
        <v>0.80447333333333315</v>
      </c>
      <c r="AH615" s="15">
        <v>85.435899540281767</v>
      </c>
      <c r="AI615" s="2">
        <v>14.564100459718233</v>
      </c>
      <c r="AJ615" s="1">
        <f t="shared" ref="AJ615:AJ678" si="110">AI615*0.05</f>
        <v>0.72820502298591172</v>
      </c>
      <c r="AK615" s="13">
        <v>1.32E-2</v>
      </c>
      <c r="AL615" s="16">
        <v>80.924855489999999</v>
      </c>
      <c r="AM615" s="10">
        <v>4.0462427745000005</v>
      </c>
      <c r="AN615" s="16">
        <v>46.940171397911833</v>
      </c>
      <c r="AO615" s="11">
        <v>4.0472435793010364</v>
      </c>
      <c r="AP615" s="14">
        <v>4.9392200000000015</v>
      </c>
      <c r="AQ615" s="2">
        <f>AP615*((G615*0.01)+(H615*0.01)+(I615*0.01))</f>
        <v>0.28153554000000008</v>
      </c>
      <c r="AR615" s="15">
        <v>1.1183290749011647</v>
      </c>
      <c r="AS615" s="15">
        <v>0.16287456993884317</v>
      </c>
      <c r="AT615" s="15">
        <f t="shared" ref="AT615:AT678" si="111">AS615*(AJ615/100+AQ615/AP615)</f>
        <v>1.0469911285975419E-2</v>
      </c>
      <c r="AU615" s="2">
        <f t="shared" ref="AU615:AU678" si="112">AS615*AA615</f>
        <v>1.592913294001886E-2</v>
      </c>
      <c r="AV615" s="2">
        <f t="shared" ref="AV615:AV678" si="113">AU615*((AT615/AS615)+(AQ615/AP615))</f>
        <v>1.931917901349471E-3</v>
      </c>
      <c r="AW615" s="3">
        <f t="shared" ref="AW615:AW678" si="114">(AV615/AU615)*100</f>
        <v>12.128205022985913</v>
      </c>
    </row>
    <row r="616" spans="1:49" s="5" customFormat="1" x14ac:dyDescent="0.2">
      <c r="A616" s="5" t="s">
        <v>480</v>
      </c>
      <c r="B616" s="5" t="s">
        <v>481</v>
      </c>
      <c r="C616" s="5" t="s">
        <v>674</v>
      </c>
      <c r="D616" s="5" t="s">
        <v>690</v>
      </c>
      <c r="E616" s="13" t="s">
        <v>676</v>
      </c>
      <c r="F616" s="5">
        <v>234</v>
      </c>
      <c r="G616" s="14">
        <v>2.2999999999999998</v>
      </c>
      <c r="H616" s="14">
        <v>2.4</v>
      </c>
      <c r="I616" s="14">
        <v>1.2</v>
      </c>
      <c r="J616">
        <v>19.260000000000002</v>
      </c>
      <c r="K616">
        <v>20.46</v>
      </c>
      <c r="L616">
        <v>19.86</v>
      </c>
      <c r="M616">
        <v>0.14000000000000001</v>
      </c>
      <c r="N616" s="14">
        <v>260.46666666666658</v>
      </c>
      <c r="O616" s="14">
        <v>261.66666666666657</v>
      </c>
      <c r="P616" s="14">
        <v>261.06666666666661</v>
      </c>
      <c r="Q616" s="14">
        <v>260.46666666666658</v>
      </c>
      <c r="R616" s="14">
        <v>261.66666666666657</v>
      </c>
      <c r="S616" s="14">
        <v>261.06666666666661</v>
      </c>
      <c r="T616" s="3">
        <v>261.07</v>
      </c>
      <c r="U616" s="3">
        <v>0.6</v>
      </c>
      <c r="V616" s="3">
        <v>2908.47</v>
      </c>
      <c r="W616" s="3">
        <v>3308.48</v>
      </c>
      <c r="X616" s="3">
        <v>3081.71</v>
      </c>
      <c r="Y616" s="3">
        <v>3088.5</v>
      </c>
      <c r="Z616" s="3">
        <v>200.005</v>
      </c>
      <c r="AA616" s="4">
        <v>9.6799999999999997E-2</v>
      </c>
      <c r="AB616" s="4">
        <v>6.4910410000000003E-3</v>
      </c>
      <c r="AC616">
        <v>1.1476266666666668</v>
      </c>
      <c r="AD616" s="15">
        <v>7.5198</v>
      </c>
      <c r="AE616" s="15">
        <v>2.0266000000000002</v>
      </c>
      <c r="AF616" s="15">
        <f t="shared" si="109"/>
        <v>5.4931999999999999</v>
      </c>
      <c r="AG616" s="15">
        <v>0.87897333333333338</v>
      </c>
      <c r="AH616" s="15">
        <v>86.206066794583947</v>
      </c>
      <c r="AI616" s="2">
        <v>13.793933205416053</v>
      </c>
      <c r="AJ616" s="1">
        <f t="shared" si="110"/>
        <v>0.68969666027080268</v>
      </c>
      <c r="AK616" s="13">
        <v>3.3799999999999997E-2</v>
      </c>
      <c r="AL616" s="16">
        <v>72.520325200000002</v>
      </c>
      <c r="AM616" s="10">
        <v>3.6260162600000001</v>
      </c>
      <c r="AN616" s="16">
        <v>42.065153828306265</v>
      </c>
      <c r="AO616" s="11">
        <v>3.6271330162794402</v>
      </c>
      <c r="AP616" s="14">
        <v>5.2021949999999988</v>
      </c>
      <c r="AQ616" s="2">
        <f>AP616*((G616*0.01)+(H616*0.01)+(I616*0.01))</f>
        <v>0.30692950499999994</v>
      </c>
      <c r="AR616" s="15">
        <v>1.224900899203766</v>
      </c>
      <c r="AS616" s="15">
        <v>0.16896201186870805</v>
      </c>
      <c r="AT616" s="15">
        <f t="shared" si="111"/>
        <v>1.113408405323861E-2</v>
      </c>
      <c r="AU616" s="2">
        <f t="shared" si="112"/>
        <v>1.635552274889094E-2</v>
      </c>
      <c r="AV616" s="2">
        <f t="shared" si="113"/>
        <v>2.0427551785380631E-3</v>
      </c>
      <c r="AW616" s="3">
        <f t="shared" si="114"/>
        <v>12.489696660270802</v>
      </c>
    </row>
    <row r="617" spans="1:49" s="5" customFormat="1" x14ac:dyDescent="0.2">
      <c r="A617" s="5" t="s">
        <v>480</v>
      </c>
      <c r="B617" s="5" t="s">
        <v>481</v>
      </c>
      <c r="C617" s="5" t="s">
        <v>674</v>
      </c>
      <c r="D617" s="5" t="s">
        <v>691</v>
      </c>
      <c r="E617" s="13" t="s">
        <v>676</v>
      </c>
      <c r="F617" s="5">
        <v>235</v>
      </c>
      <c r="G617" s="14">
        <v>2.2999999999999998</v>
      </c>
      <c r="H617" s="14">
        <v>2.15</v>
      </c>
      <c r="I617" s="14">
        <v>1.2</v>
      </c>
      <c r="J617">
        <v>20.6</v>
      </c>
      <c r="K617">
        <v>21.8</v>
      </c>
      <c r="L617">
        <v>21.2</v>
      </c>
      <c r="M617">
        <v>0.14000000000000001</v>
      </c>
      <c r="N617" s="14">
        <v>261.81111111111102</v>
      </c>
      <c r="O617" s="14">
        <v>263.01111111111101</v>
      </c>
      <c r="P617" s="14">
        <v>262.41111111111104</v>
      </c>
      <c r="Q617" s="14">
        <v>261.81111111111102</v>
      </c>
      <c r="R617" s="14">
        <v>263.01111111111101</v>
      </c>
      <c r="S617" s="14">
        <v>262.41111111111104</v>
      </c>
      <c r="T617" s="3">
        <v>262.41000000000003</v>
      </c>
      <c r="U617" s="3">
        <v>0.6</v>
      </c>
      <c r="V617" s="3">
        <v>2923.11</v>
      </c>
      <c r="W617" s="3">
        <v>3317.57</v>
      </c>
      <c r="X617" s="3">
        <v>3095.88</v>
      </c>
      <c r="Y617" s="3">
        <v>3102.39</v>
      </c>
      <c r="Z617" s="3">
        <v>197.23</v>
      </c>
      <c r="AA617" s="4">
        <v>9.6199999999999994E-2</v>
      </c>
      <c r="AB617" s="4">
        <v>6.3357379999999996E-3</v>
      </c>
      <c r="AC617">
        <v>1.1476266666666668</v>
      </c>
      <c r="AD617" s="15">
        <v>6.4741999999999997</v>
      </c>
      <c r="AE617" s="15">
        <v>2.0329000000000002</v>
      </c>
      <c r="AF617" s="15">
        <f t="shared" si="109"/>
        <v>4.4413</v>
      </c>
      <c r="AG617" s="15">
        <v>0.88527333333333336</v>
      </c>
      <c r="AH617" s="15">
        <v>83.380059225067782</v>
      </c>
      <c r="AI617" s="2">
        <v>16.619940774932218</v>
      </c>
      <c r="AJ617" s="1">
        <f t="shared" si="110"/>
        <v>0.83099703874661091</v>
      </c>
      <c r="AK617" s="13">
        <v>3.5299999999999998E-2</v>
      </c>
      <c r="AL617" s="16">
        <v>66.729500470000005</v>
      </c>
      <c r="AM617" s="10">
        <v>3.3364750235000002</v>
      </c>
      <c r="AN617" s="16">
        <v>38.706206769141538</v>
      </c>
      <c r="AO617" s="11">
        <v>3.3376886587037036</v>
      </c>
      <c r="AP617" s="14">
        <v>4.6634887499999991</v>
      </c>
      <c r="AQ617" s="2">
        <f>AP617*((G617*0.01)+(H617*0.01)+(I617*0.01))</f>
        <v>0.26348711437499994</v>
      </c>
      <c r="AR617" s="15">
        <v>1.142186379957137</v>
      </c>
      <c r="AS617" s="15">
        <v>0.18983069988821857</v>
      </c>
      <c r="AT617" s="15">
        <f t="shared" si="111"/>
        <v>1.2302922038387412E-2</v>
      </c>
      <c r="AU617" s="2">
        <f t="shared" si="112"/>
        <v>1.8261713329246625E-2</v>
      </c>
      <c r="AV617" s="2">
        <f t="shared" si="113"/>
        <v>2.2153279031953033E-3</v>
      </c>
      <c r="AW617" s="3">
        <f t="shared" si="114"/>
        <v>12.13099703874661</v>
      </c>
    </row>
    <row r="618" spans="1:49" s="5" customFormat="1" x14ac:dyDescent="0.2">
      <c r="A618" s="5" t="s">
        <v>480</v>
      </c>
      <c r="B618" s="5" t="s">
        <v>481</v>
      </c>
      <c r="C618" s="5" t="s">
        <v>674</v>
      </c>
      <c r="D618" s="5" t="s">
        <v>692</v>
      </c>
      <c r="E618" s="13" t="s">
        <v>676</v>
      </c>
      <c r="F618" s="5">
        <v>236</v>
      </c>
      <c r="G618" s="14">
        <v>2.25</v>
      </c>
      <c r="H618" s="14">
        <v>2.2999999999999998</v>
      </c>
      <c r="I618" s="14">
        <v>1.2</v>
      </c>
      <c r="J618">
        <v>21.94</v>
      </c>
      <c r="K618">
        <v>23.14</v>
      </c>
      <c r="L618">
        <v>22.54</v>
      </c>
      <c r="M618">
        <v>0.14000000000000001</v>
      </c>
      <c r="N618" s="14">
        <v>263.15555555555545</v>
      </c>
      <c r="O618" s="14">
        <v>264.35555555555544</v>
      </c>
      <c r="P618" s="14">
        <v>263.75555555555547</v>
      </c>
      <c r="Q618" s="14">
        <v>263.15555555555545</v>
      </c>
      <c r="R618" s="14">
        <v>264.35555555555544</v>
      </c>
      <c r="S618" s="14">
        <v>263.75555555555547</v>
      </c>
      <c r="T618" s="3">
        <v>263.76</v>
      </c>
      <c r="U618" s="3">
        <v>0.6</v>
      </c>
      <c r="V618" s="3">
        <v>2932.88</v>
      </c>
      <c r="W618" s="3">
        <v>3333.97</v>
      </c>
      <c r="X618" s="3">
        <v>3110.12</v>
      </c>
      <c r="Y618" s="3">
        <v>3116.37</v>
      </c>
      <c r="Z618" s="3">
        <v>200.54499999999999</v>
      </c>
      <c r="AA618" s="4">
        <v>9.6799999999999997E-2</v>
      </c>
      <c r="AB618" s="4">
        <v>6.4494849999999996E-3</v>
      </c>
      <c r="AC618">
        <v>1.1476266666666668</v>
      </c>
      <c r="AD618" s="15">
        <v>6.9721000000000002</v>
      </c>
      <c r="AE618" s="15">
        <v>2.0804</v>
      </c>
      <c r="AF618" s="15">
        <f t="shared" si="109"/>
        <v>4.8917000000000002</v>
      </c>
      <c r="AG618" s="15">
        <v>0.93277333333333323</v>
      </c>
      <c r="AH618" s="15">
        <v>83.985275921943156</v>
      </c>
      <c r="AI618" s="2">
        <v>16.014724078056844</v>
      </c>
      <c r="AJ618" s="1">
        <f t="shared" si="110"/>
        <v>0.80073620390284228</v>
      </c>
      <c r="AK618" s="13">
        <v>4.2099999999999999E-2</v>
      </c>
      <c r="AL618" s="16">
        <v>67.160686429999998</v>
      </c>
      <c r="AM618" s="10">
        <v>3.3580343214999999</v>
      </c>
      <c r="AN618" s="16">
        <v>38.956314634570766</v>
      </c>
      <c r="AO618" s="11">
        <v>3.3592401677123305</v>
      </c>
      <c r="AP618" s="14">
        <v>4.8754387499999998</v>
      </c>
      <c r="AQ618" s="2">
        <f>AP618*((G618*0.01)+(H618*0.01)+(I618*0.01))</f>
        <v>0.28033772812499996</v>
      </c>
      <c r="AR618" s="15">
        <v>1.1946562416220148</v>
      </c>
      <c r="AS618" s="15">
        <v>0.19132090077704972</v>
      </c>
      <c r="AT618" s="15">
        <f t="shared" si="111"/>
        <v>1.253292751283523E-2</v>
      </c>
      <c r="AU618" s="2">
        <f t="shared" si="112"/>
        <v>1.8519863195218412E-2</v>
      </c>
      <c r="AV618" s="2">
        <f t="shared" si="113"/>
        <v>2.2780795169675089E-3</v>
      </c>
      <c r="AW618" s="3">
        <f t="shared" si="114"/>
        <v>12.300736203902842</v>
      </c>
    </row>
    <row r="619" spans="1:49" s="5" customFormat="1" x14ac:dyDescent="0.2">
      <c r="A619" s="5" t="s">
        <v>480</v>
      </c>
      <c r="B619" s="5" t="s">
        <v>481</v>
      </c>
      <c r="C619" s="5" t="s">
        <v>674</v>
      </c>
      <c r="D619" s="5" t="s">
        <v>693</v>
      </c>
      <c r="E619" s="13" t="s">
        <v>676</v>
      </c>
      <c r="F619" s="5">
        <v>237</v>
      </c>
      <c r="G619" s="14">
        <v>2.2000000000000002</v>
      </c>
      <c r="H619" s="14">
        <v>2.1</v>
      </c>
      <c r="I619" s="14">
        <v>1.2</v>
      </c>
      <c r="J619">
        <v>23.28</v>
      </c>
      <c r="K619">
        <v>24.48</v>
      </c>
      <c r="L619">
        <v>23.88</v>
      </c>
      <c r="M619">
        <v>0.14000000000000001</v>
      </c>
      <c r="N619" s="14">
        <v>264.49999999999989</v>
      </c>
      <c r="O619" s="14">
        <v>265.69999999999987</v>
      </c>
      <c r="P619" s="14">
        <v>265.09999999999991</v>
      </c>
      <c r="Q619" s="14">
        <v>264.49999999999989</v>
      </c>
      <c r="R619" s="14">
        <v>265.69999999999987</v>
      </c>
      <c r="S619" s="14">
        <v>265.09999999999991</v>
      </c>
      <c r="T619" s="3">
        <v>265.10000000000002</v>
      </c>
      <c r="U619" s="3">
        <v>0.6</v>
      </c>
      <c r="V619" s="3">
        <v>2941.26</v>
      </c>
      <c r="W619" s="3">
        <v>3349.09</v>
      </c>
      <c r="X619" s="3">
        <v>3125.18</v>
      </c>
      <c r="Y619" s="3">
        <v>3130.26</v>
      </c>
      <c r="Z619" s="3">
        <v>203.91499999999999</v>
      </c>
      <c r="AA619" s="4">
        <v>9.6500000000000002E-2</v>
      </c>
      <c r="AB619" s="4">
        <v>6.5047220000000001E-3</v>
      </c>
      <c r="AC619">
        <v>1.1476266666666668</v>
      </c>
      <c r="AD619" s="15">
        <v>6.3170999999999999</v>
      </c>
      <c r="AE619" s="15">
        <v>1.8522000000000001</v>
      </c>
      <c r="AF619" s="15">
        <f t="shared" si="109"/>
        <v>4.4649000000000001</v>
      </c>
      <c r="AG619" s="15">
        <v>0.70457333333333327</v>
      </c>
      <c r="AH619" s="15">
        <v>86.370500669958645</v>
      </c>
      <c r="AI619" s="2">
        <v>13.629499330041355</v>
      </c>
      <c r="AJ619" s="1">
        <f t="shared" si="110"/>
        <v>0.68147496650206785</v>
      </c>
      <c r="AK619" s="13">
        <v>2.0799999999999999E-2</v>
      </c>
      <c r="AL619" s="16">
        <v>76.390465379999995</v>
      </c>
      <c r="AM619" s="10">
        <v>3.8195232689999998</v>
      </c>
      <c r="AN619" s="16">
        <v>44.310014721577723</v>
      </c>
      <c r="AO619" s="11">
        <v>3.8205834636129135</v>
      </c>
      <c r="AP619" s="14">
        <v>4.3543950000000011</v>
      </c>
      <c r="AQ619" s="2">
        <f>AP619*((G619*0.01)+(H619*0.01)+(I619*0.01))</f>
        <v>0.2394917250000001</v>
      </c>
      <c r="AR619" s="15">
        <v>1.1871852078953178</v>
      </c>
      <c r="AS619" s="15">
        <v>0.16180739995644242</v>
      </c>
      <c r="AT619" s="15">
        <f t="shared" si="111"/>
        <v>1.0002083922255368E-2</v>
      </c>
      <c r="AU619" s="2">
        <f t="shared" si="112"/>
        <v>1.5614414095796694E-2</v>
      </c>
      <c r="AV619" s="2">
        <f t="shared" si="113"/>
        <v>1.8239938737664614E-3</v>
      </c>
      <c r="AW619" s="3">
        <f t="shared" si="114"/>
        <v>11.681474966502069</v>
      </c>
    </row>
    <row r="620" spans="1:49" s="5" customFormat="1" x14ac:dyDescent="0.2">
      <c r="A620" s="5" t="s">
        <v>480</v>
      </c>
      <c r="B620" s="5" t="s">
        <v>481</v>
      </c>
      <c r="C620" s="5" t="s">
        <v>674</v>
      </c>
      <c r="D620" s="5" t="s">
        <v>694</v>
      </c>
      <c r="E620" s="13" t="s">
        <v>676</v>
      </c>
      <c r="F620" s="5">
        <v>238</v>
      </c>
      <c r="G620" s="14">
        <v>2.15</v>
      </c>
      <c r="H620" s="14">
        <v>2.1</v>
      </c>
      <c r="I620" s="14">
        <v>1.25</v>
      </c>
      <c r="J620">
        <v>24.62</v>
      </c>
      <c r="K620">
        <v>25.92</v>
      </c>
      <c r="L620">
        <v>25.27</v>
      </c>
      <c r="M620">
        <v>0.14000000000000001</v>
      </c>
      <c r="N620" s="14">
        <v>265.84444444444432</v>
      </c>
      <c r="O620" s="14">
        <v>267.09444444444432</v>
      </c>
      <c r="P620" s="14">
        <v>266.46944444444432</v>
      </c>
      <c r="Q620" s="14">
        <v>265.84444444444432</v>
      </c>
      <c r="R620" s="14">
        <v>267.09444444444432</v>
      </c>
      <c r="S620" s="14">
        <v>266.46944444444432</v>
      </c>
      <c r="T620" s="3">
        <v>266.47000000000003</v>
      </c>
      <c r="U620" s="3">
        <v>0.625</v>
      </c>
      <c r="V620" s="3">
        <v>2950.83</v>
      </c>
      <c r="W620" s="3">
        <v>3368.95</v>
      </c>
      <c r="X620" s="3">
        <v>3139.96</v>
      </c>
      <c r="Y620" s="3">
        <v>3144.45</v>
      </c>
      <c r="Z620" s="3">
        <v>209.06</v>
      </c>
      <c r="AA620" s="4">
        <v>9.64E-2</v>
      </c>
      <c r="AB620" s="4">
        <v>6.6352959999999997E-3</v>
      </c>
      <c r="AC620">
        <v>1.1476266666666668</v>
      </c>
      <c r="AD620" s="15">
        <v>6.7473999999999998</v>
      </c>
      <c r="AE620" s="15">
        <v>2.0305</v>
      </c>
      <c r="AF620" s="15">
        <f t="shared" si="109"/>
        <v>4.7168999999999999</v>
      </c>
      <c r="AG620" s="15">
        <v>0.88287333333333318</v>
      </c>
      <c r="AH620" s="15">
        <v>84.233766604838763</v>
      </c>
      <c r="AI620" s="2">
        <v>15.766233395161237</v>
      </c>
      <c r="AJ620" s="1">
        <f t="shared" si="110"/>
        <v>0.78831166975806188</v>
      </c>
      <c r="AK620" s="13">
        <v>5.33E-2</v>
      </c>
      <c r="AL620" s="16">
        <v>50.510677809999997</v>
      </c>
      <c r="AM620" s="10">
        <v>2.5255338905000002</v>
      </c>
      <c r="AN620" s="16">
        <v>29.29853701276102</v>
      </c>
      <c r="AO620" s="11">
        <v>2.5271370030261648</v>
      </c>
      <c r="AP620" s="14">
        <v>4.4309570312500002</v>
      </c>
      <c r="AQ620" s="2">
        <f>AP620*((G620*0.01)+(H620*0.01)+(I620*0.01))</f>
        <v>0.24370263671874998</v>
      </c>
      <c r="AR620" s="15">
        <v>1.2637841653259281</v>
      </c>
      <c r="AS620" s="15">
        <v>0.19925116111637606</v>
      </c>
      <c r="AT620" s="15">
        <f t="shared" si="111"/>
        <v>1.2529534016609511E-2</v>
      </c>
      <c r="AU620" s="2">
        <f t="shared" si="112"/>
        <v>1.9207811931618652E-2</v>
      </c>
      <c r="AV620" s="2">
        <f t="shared" si="113"/>
        <v>2.2642767354401827E-3</v>
      </c>
      <c r="AW620" s="3">
        <f t="shared" si="114"/>
        <v>11.788311669758061</v>
      </c>
    </row>
    <row r="621" spans="1:49" s="5" customFormat="1" x14ac:dyDescent="0.2">
      <c r="A621" s="5" t="s">
        <v>480</v>
      </c>
      <c r="B621" s="5" t="s">
        <v>481</v>
      </c>
      <c r="C621" s="5" t="s">
        <v>674</v>
      </c>
      <c r="D621" s="5" t="s">
        <v>695</v>
      </c>
      <c r="E621" s="13" t="s">
        <v>676</v>
      </c>
      <c r="F621" s="5">
        <v>239</v>
      </c>
      <c r="G621" s="14">
        <v>2.2999999999999998</v>
      </c>
      <c r="H621" s="14">
        <v>2.35</v>
      </c>
      <c r="I621" s="14">
        <v>1.2</v>
      </c>
      <c r="J621">
        <v>26.06</v>
      </c>
      <c r="K621">
        <v>27.26</v>
      </c>
      <c r="L621">
        <v>26.66</v>
      </c>
      <c r="M621">
        <v>0.14000000000000001</v>
      </c>
      <c r="N621" s="14">
        <v>267.23888888888877</v>
      </c>
      <c r="O621" s="14">
        <v>268.43888888888875</v>
      </c>
      <c r="P621" s="14">
        <v>267.83888888888873</v>
      </c>
      <c r="Q621" s="14">
        <v>267.23888888888877</v>
      </c>
      <c r="R621" s="14">
        <v>268.43888888888875</v>
      </c>
      <c r="S621" s="14">
        <v>267.83888888888873</v>
      </c>
      <c r="T621" s="3">
        <v>267.83999999999997</v>
      </c>
      <c r="U621" s="3">
        <v>0.6</v>
      </c>
      <c r="V621" s="3">
        <v>2956.57</v>
      </c>
      <c r="W621" s="3">
        <v>3395.06</v>
      </c>
      <c r="X621" s="3">
        <v>3154.06</v>
      </c>
      <c r="Y621" s="3">
        <v>3158.65</v>
      </c>
      <c r="Z621" s="3">
        <v>219.245</v>
      </c>
      <c r="AA621" s="4">
        <v>9.69E-2</v>
      </c>
      <c r="AB621" s="4">
        <v>6.9429940000000001E-3</v>
      </c>
      <c r="AC621">
        <v>1.1476266666666668</v>
      </c>
      <c r="AD621" s="15">
        <v>6.8189000000000002</v>
      </c>
      <c r="AE621" s="15">
        <v>2.0789</v>
      </c>
      <c r="AF621" s="15">
        <f t="shared" si="109"/>
        <v>4.74</v>
      </c>
      <c r="AG621" s="15">
        <v>0.93127333333333318</v>
      </c>
      <c r="AH621" s="15">
        <v>83.579113920330656</v>
      </c>
      <c r="AI621" s="2">
        <v>16.420886079669344</v>
      </c>
      <c r="AJ621" s="1">
        <f t="shared" si="110"/>
        <v>0.82104430398346728</v>
      </c>
      <c r="AK621" s="13">
        <v>4.5400000000000003E-2</v>
      </c>
      <c r="AL621" s="16">
        <v>59.464285709999999</v>
      </c>
      <c r="AM621" s="10">
        <v>2.9732142855000001</v>
      </c>
      <c r="AN621" s="16">
        <v>34.492045075406033</v>
      </c>
      <c r="AO621" s="11">
        <v>2.9745761357714944</v>
      </c>
      <c r="AP621" s="14">
        <v>5.0920987500000008</v>
      </c>
      <c r="AQ621" s="2">
        <f>AP621*((G621*0.01)+(H621*0.01)+(I621*0.01))</f>
        <v>0.29788777687500001</v>
      </c>
      <c r="AR621" s="15">
        <v>1.113739856936854</v>
      </c>
      <c r="AS621" s="15">
        <v>0.18288595313147316</v>
      </c>
      <c r="AT621" s="15">
        <f t="shared" si="111"/>
        <v>1.220040295916301E-2</v>
      </c>
      <c r="AU621" s="2">
        <f t="shared" si="112"/>
        <v>1.7721648858439749E-2</v>
      </c>
      <c r="AV621" s="2">
        <f t="shared" si="113"/>
        <v>2.2189355049616207E-3</v>
      </c>
      <c r="AW621" s="3">
        <f t="shared" si="114"/>
        <v>12.521044303983464</v>
      </c>
    </row>
    <row r="622" spans="1:49" s="5" customFormat="1" x14ac:dyDescent="0.2">
      <c r="A622" s="5" t="s">
        <v>480</v>
      </c>
      <c r="B622" s="5" t="s">
        <v>481</v>
      </c>
      <c r="C622" s="5" t="s">
        <v>674</v>
      </c>
      <c r="D622" s="5" t="s">
        <v>696</v>
      </c>
      <c r="E622" s="13" t="s">
        <v>676</v>
      </c>
      <c r="F622" s="5">
        <v>240</v>
      </c>
      <c r="G622" s="14">
        <v>2.35</v>
      </c>
      <c r="H622" s="14">
        <v>2.2999999999999998</v>
      </c>
      <c r="I622" s="14">
        <v>1.2</v>
      </c>
      <c r="J622">
        <v>27.4</v>
      </c>
      <c r="K622">
        <v>28.6</v>
      </c>
      <c r="L622">
        <v>28</v>
      </c>
      <c r="M622">
        <v>0.14000000000000001</v>
      </c>
      <c r="N622" s="14">
        <v>268.5833333333332</v>
      </c>
      <c r="O622" s="14">
        <v>269.78333333333319</v>
      </c>
      <c r="P622" s="14">
        <v>269.18333333333317</v>
      </c>
      <c r="Q622" s="14">
        <v>268.5833333333332</v>
      </c>
      <c r="R622" s="14">
        <v>269.78333333333319</v>
      </c>
      <c r="S622" s="14">
        <v>269.18333333333317</v>
      </c>
      <c r="T622" s="3">
        <v>269.18</v>
      </c>
      <c r="U622" s="3">
        <v>0.6</v>
      </c>
      <c r="V622" s="3">
        <v>2963.75</v>
      </c>
      <c r="W622" s="3">
        <v>3418.54</v>
      </c>
      <c r="X622" s="3">
        <v>3168.23</v>
      </c>
      <c r="Y622" s="3">
        <v>3172.53</v>
      </c>
      <c r="Z622" s="3">
        <v>227.39500000000001</v>
      </c>
      <c r="AA622" s="4">
        <v>0.1002</v>
      </c>
      <c r="AB622" s="4">
        <v>7.4053039999999997E-3</v>
      </c>
      <c r="AC622">
        <v>1.1476266666666668</v>
      </c>
      <c r="AD622" s="15">
        <v>7.4065000000000003</v>
      </c>
      <c r="AE622" s="15">
        <v>2.3534000000000002</v>
      </c>
      <c r="AF622" s="15">
        <f t="shared" si="109"/>
        <v>5.0531000000000006</v>
      </c>
      <c r="AG622" s="15">
        <v>1.2057733333333334</v>
      </c>
      <c r="AH622" s="15">
        <v>80.734977860765142</v>
      </c>
      <c r="AI622" s="2">
        <v>19.265022139234858</v>
      </c>
      <c r="AJ622" s="1">
        <f t="shared" si="110"/>
        <v>0.96325110696174299</v>
      </c>
      <c r="AK622" s="13">
        <v>8.7400000000000005E-2</v>
      </c>
      <c r="AL622" s="16">
        <v>46.281499689999997</v>
      </c>
      <c r="AM622" s="10">
        <v>2.3140749844999999</v>
      </c>
      <c r="AN622" s="16">
        <v>26.845417453596287</v>
      </c>
      <c r="AO622" s="11">
        <v>2.3158244825307195</v>
      </c>
      <c r="AP622" s="14">
        <v>5.0920987500000008</v>
      </c>
      <c r="AQ622" s="2">
        <f>AP622*((G622*0.01)+(H622*0.01)+(I622*0.01))</f>
        <v>0.29788777687500001</v>
      </c>
      <c r="AR622" s="15">
        <v>1.2291343197799007</v>
      </c>
      <c r="AS622" s="15">
        <v>0.23679299882653163</v>
      </c>
      <c r="AT622" s="15">
        <f t="shared" si="111"/>
        <v>1.6133301613756569E-2</v>
      </c>
      <c r="AU622" s="2">
        <f t="shared" si="112"/>
        <v>2.3726658482418467E-2</v>
      </c>
      <c r="AV622" s="2">
        <f t="shared" si="113"/>
        <v>3.004566342919888E-3</v>
      </c>
      <c r="AW622" s="3">
        <f t="shared" si="114"/>
        <v>12.66325110696174</v>
      </c>
    </row>
    <row r="623" spans="1:49" s="5" customFormat="1" x14ac:dyDescent="0.2">
      <c r="A623" s="5" t="s">
        <v>480</v>
      </c>
      <c r="B623" s="5" t="s">
        <v>481</v>
      </c>
      <c r="C623" s="5" t="s">
        <v>674</v>
      </c>
      <c r="D623" s="5" t="s">
        <v>697</v>
      </c>
      <c r="E623" s="13" t="s">
        <v>676</v>
      </c>
      <c r="F623" s="5">
        <v>241</v>
      </c>
      <c r="G623" s="14">
        <v>2.2999999999999998</v>
      </c>
      <c r="H623" s="14">
        <v>2.2999999999999998</v>
      </c>
      <c r="I623" s="14">
        <v>1.1499999999999999</v>
      </c>
      <c r="J623">
        <v>28.74</v>
      </c>
      <c r="K623">
        <v>29.94</v>
      </c>
      <c r="L623">
        <v>29.34</v>
      </c>
      <c r="M623">
        <v>0.14000000000000001</v>
      </c>
      <c r="N623" s="14">
        <v>269.92777777777764</v>
      </c>
      <c r="O623" s="14">
        <v>271.07777777777761</v>
      </c>
      <c r="P623" s="14">
        <v>270.50277777777762</v>
      </c>
      <c r="Q623" s="14">
        <v>269.92777777777764</v>
      </c>
      <c r="R623" s="14">
        <v>271.07777777777761</v>
      </c>
      <c r="S623" s="14">
        <v>270.50277777777762</v>
      </c>
      <c r="T623" s="3">
        <v>270.5</v>
      </c>
      <c r="U623" s="3">
        <v>0.57499999999999996</v>
      </c>
      <c r="V623" s="3">
        <v>2971.96</v>
      </c>
      <c r="W623" s="3">
        <v>3438.36</v>
      </c>
      <c r="X623" s="3">
        <v>3181.11</v>
      </c>
      <c r="Y623" s="3">
        <v>3185.7</v>
      </c>
      <c r="Z623" s="3">
        <v>233.2</v>
      </c>
      <c r="AA623" s="4">
        <v>0.1069</v>
      </c>
      <c r="AB623" s="4">
        <v>8.0525430000000005E-3</v>
      </c>
      <c r="AC623">
        <v>1.1476266666666668</v>
      </c>
      <c r="AD623" s="15">
        <v>7.1631</v>
      </c>
      <c r="AE623" s="15">
        <v>2.1248</v>
      </c>
      <c r="AF623" s="15">
        <f t="shared" si="109"/>
        <v>5.0382999999999996</v>
      </c>
      <c r="AG623" s="15">
        <v>0.97717333333333323</v>
      </c>
      <c r="AH623" s="15">
        <v>83.755670099665195</v>
      </c>
      <c r="AI623" s="2">
        <v>16.244329900334805</v>
      </c>
      <c r="AJ623" s="1">
        <f t="shared" si="110"/>
        <v>0.81221649501674031</v>
      </c>
      <c r="AK623" s="13">
        <v>3.7699999999999997E-2</v>
      </c>
      <c r="AL623" s="16">
        <v>62.186559680000002</v>
      </c>
      <c r="AM623" s="10">
        <v>3.1093279840000001</v>
      </c>
      <c r="AN623" s="16">
        <v>36.071090301624132</v>
      </c>
      <c r="AO623" s="11">
        <v>3.1106302435496098</v>
      </c>
      <c r="AP623" s="14">
        <v>4.7755474999999992</v>
      </c>
      <c r="AQ623" s="2">
        <f>AP623*((G623*0.01)+(H623*0.01)+(I623*0.01))</f>
        <v>0.27459398124999995</v>
      </c>
      <c r="AR623" s="15">
        <v>1.2596405612829387</v>
      </c>
      <c r="AS623" s="15">
        <v>0.20462016833322952</v>
      </c>
      <c r="AT623" s="15">
        <f t="shared" si="111"/>
        <v>1.3427618438494207E-2</v>
      </c>
      <c r="AU623" s="2">
        <f t="shared" si="112"/>
        <v>2.1873895994822236E-2</v>
      </c>
      <c r="AV623" s="2">
        <f t="shared" si="113"/>
        <v>2.6931614307773091E-3</v>
      </c>
      <c r="AW623" s="3">
        <f t="shared" si="114"/>
        <v>12.31221649501674</v>
      </c>
    </row>
    <row r="624" spans="1:49" s="5" customFormat="1" x14ac:dyDescent="0.2">
      <c r="A624" s="5" t="s">
        <v>480</v>
      </c>
      <c r="B624" s="5" t="s">
        <v>481</v>
      </c>
      <c r="C624" s="5" t="s">
        <v>674</v>
      </c>
      <c r="D624" s="5" t="s">
        <v>698</v>
      </c>
      <c r="E624" s="13" t="s">
        <v>676</v>
      </c>
      <c r="F624" s="5">
        <v>242</v>
      </c>
      <c r="G624" s="14">
        <v>2.25</v>
      </c>
      <c r="H624" s="14">
        <v>2.25</v>
      </c>
      <c r="I624" s="14">
        <v>1.2</v>
      </c>
      <c r="J624">
        <v>30.08</v>
      </c>
      <c r="K624">
        <v>31.28</v>
      </c>
      <c r="L624">
        <v>30.68</v>
      </c>
      <c r="M624">
        <v>0.14000000000000001</v>
      </c>
      <c r="N624" s="14">
        <v>271.22222222222206</v>
      </c>
      <c r="O624" s="14">
        <v>272.42222222222205</v>
      </c>
      <c r="P624" s="14">
        <v>271.82222222222208</v>
      </c>
      <c r="Q624" s="14">
        <v>271.22222222222206</v>
      </c>
      <c r="R624" s="14">
        <v>272.42222222222205</v>
      </c>
      <c r="S624" s="14">
        <v>271.82222222222208</v>
      </c>
      <c r="T624" s="3">
        <v>271.82</v>
      </c>
      <c r="U624" s="3">
        <v>0.6</v>
      </c>
      <c r="V624" s="3">
        <v>2983</v>
      </c>
      <c r="W624" s="3">
        <v>3448.26</v>
      </c>
      <c r="X624" s="3">
        <v>3193.1</v>
      </c>
      <c r="Y624" s="3">
        <v>3198.04</v>
      </c>
      <c r="Z624" s="3">
        <v>232.63</v>
      </c>
      <c r="AA624" s="4">
        <v>0.1069</v>
      </c>
      <c r="AB624" s="4">
        <v>8.0120239999999995E-3</v>
      </c>
      <c r="AC624">
        <v>1.1476266666666668</v>
      </c>
      <c r="AD624" s="15">
        <v>7.9919000000000002</v>
      </c>
      <c r="AE624" s="15">
        <v>2.0886</v>
      </c>
      <c r="AF624" s="15">
        <f t="shared" si="109"/>
        <v>5.9032999999999998</v>
      </c>
      <c r="AG624" s="15">
        <v>0.94097333333333322</v>
      </c>
      <c r="AH624" s="15">
        <v>86.251669278744956</v>
      </c>
      <c r="AI624" s="2">
        <v>13.748330721255044</v>
      </c>
      <c r="AJ624" s="1">
        <f t="shared" si="110"/>
        <v>0.68741653606275221</v>
      </c>
      <c r="AK624" s="13">
        <v>2.1700000000000001E-2</v>
      </c>
      <c r="AL624" s="16">
        <v>75.424688560000007</v>
      </c>
      <c r="AM624" s="10">
        <v>3.7712344280000005</v>
      </c>
      <c r="AN624" s="16">
        <v>43.749819350348034</v>
      </c>
      <c r="AO624" s="11">
        <v>3.7723081940547343</v>
      </c>
      <c r="AP624" s="14">
        <v>4.7688749999999995</v>
      </c>
      <c r="AQ624" s="2">
        <f>AP624*((G624*0.01)+(H624*0.01)+(I624*0.01))</f>
        <v>0.27182587499999994</v>
      </c>
      <c r="AR624" s="15">
        <v>1.4351966309314743</v>
      </c>
      <c r="AS624" s="15">
        <v>0.19731557932076921</v>
      </c>
      <c r="AT624" s="15">
        <f t="shared" si="111"/>
        <v>1.2603367941762826E-2</v>
      </c>
      <c r="AU624" s="2">
        <f t="shared" si="112"/>
        <v>2.1093035429390228E-2</v>
      </c>
      <c r="AV624" s="2">
        <f t="shared" si="113"/>
        <v>2.5496030524496888E-3</v>
      </c>
      <c r="AW624" s="3">
        <f t="shared" si="114"/>
        <v>12.087416536062749</v>
      </c>
    </row>
    <row r="625" spans="1:49" s="5" customFormat="1" x14ac:dyDescent="0.2">
      <c r="A625" s="5" t="s">
        <v>480</v>
      </c>
      <c r="B625" s="5" t="s">
        <v>481</v>
      </c>
      <c r="C625" s="5" t="s">
        <v>674</v>
      </c>
      <c r="D625" s="5" t="s">
        <v>699</v>
      </c>
      <c r="E625" s="13" t="s">
        <v>676</v>
      </c>
      <c r="F625" s="5">
        <v>243</v>
      </c>
      <c r="G625" s="14">
        <v>2.25</v>
      </c>
      <c r="H625" s="14">
        <v>2.25</v>
      </c>
      <c r="I625" s="14">
        <v>1.1499999999999999</v>
      </c>
      <c r="J625">
        <v>31.42</v>
      </c>
      <c r="K625">
        <v>32.619999999999997</v>
      </c>
      <c r="L625">
        <v>32.020000000000003</v>
      </c>
      <c r="M625">
        <v>0.14000000000000001</v>
      </c>
      <c r="N625" s="14">
        <v>272.56666666666649</v>
      </c>
      <c r="O625" s="14">
        <v>273.71666666666647</v>
      </c>
      <c r="P625" s="14">
        <v>273.14166666666648</v>
      </c>
      <c r="Q625" s="14">
        <v>272.56666666666649</v>
      </c>
      <c r="R625" s="14">
        <v>273.71666666666647</v>
      </c>
      <c r="S625" s="14">
        <v>273.14166666666648</v>
      </c>
      <c r="T625" s="3">
        <v>273.14</v>
      </c>
      <c r="U625" s="3">
        <v>0.57499999999999996</v>
      </c>
      <c r="V625" s="3">
        <v>2991.03</v>
      </c>
      <c r="W625" s="3">
        <v>3458.58</v>
      </c>
      <c r="X625" s="3">
        <v>3204.16</v>
      </c>
      <c r="Y625" s="3">
        <v>3210.38</v>
      </c>
      <c r="Z625" s="3">
        <v>233.77500000000001</v>
      </c>
      <c r="AA625" s="4">
        <v>0.1069</v>
      </c>
      <c r="AB625" s="4">
        <v>8.0093360000000006E-3</v>
      </c>
      <c r="AC625">
        <v>1.1476266666666668</v>
      </c>
      <c r="AD625" s="15">
        <v>7.4747000000000003</v>
      </c>
      <c r="AE625" s="15">
        <v>2.2267999999999999</v>
      </c>
      <c r="AF625" s="15">
        <f t="shared" si="109"/>
        <v>5.2479000000000005</v>
      </c>
      <c r="AG625" s="15">
        <v>1.0791733333333331</v>
      </c>
      <c r="AH625" s="15">
        <v>82.943562110338533</v>
      </c>
      <c r="AI625" s="2">
        <v>17.056437889661467</v>
      </c>
      <c r="AJ625" s="1">
        <f t="shared" si="110"/>
        <v>0.85282189448307344</v>
      </c>
      <c r="AK625" s="13">
        <v>0.1111</v>
      </c>
      <c r="AL625" s="16">
        <v>48.18097015</v>
      </c>
      <c r="AM625" s="10">
        <v>2.4090485075000001</v>
      </c>
      <c r="AN625" s="16">
        <v>27.947198462877029</v>
      </c>
      <c r="AO625" s="11">
        <v>2.4107290829721988</v>
      </c>
      <c r="AP625" s="14">
        <v>4.5701718750000007</v>
      </c>
      <c r="AQ625" s="2">
        <f>AP625*((G625*0.01)+(H625*0.01)+(I625*0.01))</f>
        <v>0.25821471093750004</v>
      </c>
      <c r="AR625" s="15">
        <v>1.3844278741340188</v>
      </c>
      <c r="AS625" s="15">
        <v>0.23613408047882947</v>
      </c>
      <c r="AT625" s="15">
        <f t="shared" si="111"/>
        <v>1.5355378685713605E-2</v>
      </c>
      <c r="AU625" s="2">
        <f t="shared" si="112"/>
        <v>2.524273320318687E-2</v>
      </c>
      <c r="AV625" s="2">
        <f t="shared" si="113"/>
        <v>3.0677044074828423E-3</v>
      </c>
      <c r="AW625" s="3">
        <f t="shared" si="114"/>
        <v>12.152821894483074</v>
      </c>
    </row>
    <row r="626" spans="1:49" s="5" customFormat="1" x14ac:dyDescent="0.2">
      <c r="A626" s="5" t="s">
        <v>480</v>
      </c>
      <c r="B626" s="5" t="s">
        <v>481</v>
      </c>
      <c r="C626" s="5" t="s">
        <v>674</v>
      </c>
      <c r="D626" s="5" t="s">
        <v>700</v>
      </c>
      <c r="E626" s="13" t="s">
        <v>676</v>
      </c>
      <c r="F626" s="5">
        <v>244</v>
      </c>
      <c r="G626" s="14">
        <v>2.2999999999999998</v>
      </c>
      <c r="H626" s="14">
        <v>2.2999999999999998</v>
      </c>
      <c r="I626" s="14">
        <v>1.2</v>
      </c>
      <c r="J626">
        <v>32.76</v>
      </c>
      <c r="K626">
        <v>33.96</v>
      </c>
      <c r="L626">
        <v>33.36</v>
      </c>
      <c r="M626">
        <v>0.14000000000000001</v>
      </c>
      <c r="N626" s="14">
        <v>273.86111111111092</v>
      </c>
      <c r="O626" s="14">
        <v>275.0611111111109</v>
      </c>
      <c r="P626" s="14">
        <v>274.46111111111088</v>
      </c>
      <c r="Q626" s="14">
        <v>273.86111111111092</v>
      </c>
      <c r="R626" s="14">
        <v>275.0611111111109</v>
      </c>
      <c r="S626" s="14">
        <v>274.46111111111088</v>
      </c>
      <c r="T626" s="3">
        <v>274.45999999999998</v>
      </c>
      <c r="U626" s="3">
        <v>0.6</v>
      </c>
      <c r="V626" s="3">
        <v>3001.14</v>
      </c>
      <c r="W626" s="3">
        <v>3468.05</v>
      </c>
      <c r="X626" s="3">
        <v>3216.28</v>
      </c>
      <c r="Y626" s="3">
        <v>3222.72</v>
      </c>
      <c r="Z626" s="3">
        <v>233.45500000000001</v>
      </c>
      <c r="AA626" s="4">
        <v>0.1069</v>
      </c>
      <c r="AB626" s="4">
        <v>7.9775699999999998E-3</v>
      </c>
      <c r="AC626">
        <v>1.1476266666666668</v>
      </c>
      <c r="AD626" s="15">
        <v>7.2359</v>
      </c>
      <c r="AE626" s="15">
        <v>2.0665</v>
      </c>
      <c r="AF626" s="15">
        <f t="shared" si="109"/>
        <v>5.1693999999999996</v>
      </c>
      <c r="AG626" s="15">
        <v>0.91887333333333321</v>
      </c>
      <c r="AH626" s="15">
        <v>84.90748882277515</v>
      </c>
      <c r="AI626" s="2">
        <v>15.09251117722485</v>
      </c>
      <c r="AJ626" s="1">
        <f t="shared" si="110"/>
        <v>0.7546255588612425</v>
      </c>
      <c r="AK626" s="13">
        <v>2.53E-2</v>
      </c>
      <c r="AL626" s="16">
        <v>72.707659120000002</v>
      </c>
      <c r="AM626" s="10">
        <v>3.6353829560000004</v>
      </c>
      <c r="AN626" s="16">
        <v>42.173816194895593</v>
      </c>
      <c r="AO626" s="11">
        <v>3.6364968357988849</v>
      </c>
      <c r="AP626" s="14">
        <v>4.9831799999999991</v>
      </c>
      <c r="AQ626" s="2">
        <f>AP626*((G626*0.01)+(H626*0.01)+(I626*0.01))</f>
        <v>0.28902443999999994</v>
      </c>
      <c r="AR626" s="15">
        <v>1.2217646830604825</v>
      </c>
      <c r="AS626" s="15">
        <v>0.18439497135028904</v>
      </c>
      <c r="AT626" s="15">
        <f t="shared" si="111"/>
        <v>1.208639992138091E-2</v>
      </c>
      <c r="AU626" s="2">
        <f t="shared" si="112"/>
        <v>1.9711822437345896E-2</v>
      </c>
      <c r="AV626" s="2">
        <f t="shared" si="113"/>
        <v>2.4353218529616812E-3</v>
      </c>
      <c r="AW626" s="3">
        <f t="shared" si="114"/>
        <v>12.354625558861242</v>
      </c>
    </row>
    <row r="627" spans="1:49" s="5" customFormat="1" x14ac:dyDescent="0.2">
      <c r="A627" s="5" t="s">
        <v>480</v>
      </c>
      <c r="B627" s="5" t="s">
        <v>481</v>
      </c>
      <c r="C627" s="5" t="s">
        <v>674</v>
      </c>
      <c r="D627" s="5" t="s">
        <v>701</v>
      </c>
      <c r="E627" s="13" t="s">
        <v>676</v>
      </c>
      <c r="F627" s="5">
        <v>245</v>
      </c>
      <c r="G627" s="14">
        <v>2.15</v>
      </c>
      <c r="H627" s="14">
        <v>2.2999999999999998</v>
      </c>
      <c r="I627" s="14">
        <v>1.1499999999999999</v>
      </c>
      <c r="J627">
        <v>34.1</v>
      </c>
      <c r="K627">
        <v>35.299999999999997</v>
      </c>
      <c r="L627">
        <v>34.700000000000003</v>
      </c>
      <c r="M627">
        <v>0.14000000000000001</v>
      </c>
      <c r="N627" s="14">
        <v>275.20555555555535</v>
      </c>
      <c r="O627" s="14">
        <v>276.35555555555533</v>
      </c>
      <c r="P627" s="14">
        <v>275.78055555555534</v>
      </c>
      <c r="Q627" s="14">
        <v>275.20555555555535</v>
      </c>
      <c r="R627" s="14">
        <v>276.35555555555533</v>
      </c>
      <c r="S627" s="14">
        <v>275.78055555555534</v>
      </c>
      <c r="T627" s="3">
        <v>275.77999999999997</v>
      </c>
      <c r="U627" s="3">
        <v>0.57499999999999996</v>
      </c>
      <c r="V627" s="3">
        <v>3006.89</v>
      </c>
      <c r="W627" s="3">
        <v>3485.05</v>
      </c>
      <c r="X627" s="3">
        <v>3228.66</v>
      </c>
      <c r="Y627" s="3">
        <v>3235.06</v>
      </c>
      <c r="Z627" s="3">
        <v>239.08</v>
      </c>
      <c r="AA627" s="4">
        <v>0.1069</v>
      </c>
      <c r="AB627" s="4">
        <v>8.1230959999999998E-3</v>
      </c>
      <c r="AC627">
        <v>1.1476266666666668</v>
      </c>
      <c r="AD627" s="15">
        <v>7.0544000000000002</v>
      </c>
      <c r="AE627" s="15">
        <v>2.0920999999999998</v>
      </c>
      <c r="AF627" s="15">
        <f t="shared" si="109"/>
        <v>4.9623000000000008</v>
      </c>
      <c r="AG627" s="15">
        <v>0.94447333333333305</v>
      </c>
      <c r="AH627" s="15">
        <v>84.010333899162106</v>
      </c>
      <c r="AI627" s="2">
        <v>15.989666100837894</v>
      </c>
      <c r="AJ627" s="1">
        <f t="shared" si="110"/>
        <v>0.7994833050418948</v>
      </c>
      <c r="AK627" s="13">
        <v>2.4899999999999999E-2</v>
      </c>
      <c r="AL627" s="16">
        <v>69.708029199999999</v>
      </c>
      <c r="AM627" s="10">
        <v>3.4854014600000003</v>
      </c>
      <c r="AN627" s="16">
        <v>40.433891647331784</v>
      </c>
      <c r="AO627" s="11">
        <v>3.4865632558968631</v>
      </c>
      <c r="AP627" s="14">
        <v>4.4691767187499982</v>
      </c>
      <c r="AQ627" s="2">
        <f>AP627*((G627*0.01)+(H627*0.01)+(I627*0.01))</f>
        <v>0.25027389624999985</v>
      </c>
      <c r="AR627" s="15">
        <v>1.3216692256880418</v>
      </c>
      <c r="AS627" s="15">
        <v>0.21133049614504762</v>
      </c>
      <c r="AT627" s="15">
        <f t="shared" si="111"/>
        <v>1.3524059819264524E-2</v>
      </c>
      <c r="AU627" s="2">
        <f t="shared" si="112"/>
        <v>2.2591230037905589E-2</v>
      </c>
      <c r="AV627" s="2">
        <f t="shared" si="113"/>
        <v>2.7108308768020901E-3</v>
      </c>
      <c r="AW627" s="3">
        <f t="shared" si="114"/>
        <v>11.999483305041892</v>
      </c>
    </row>
    <row r="628" spans="1:49" s="5" customFormat="1" x14ac:dyDescent="0.2">
      <c r="A628" s="5" t="s">
        <v>480</v>
      </c>
      <c r="B628" s="5" t="s">
        <v>481</v>
      </c>
      <c r="C628" s="5" t="s">
        <v>674</v>
      </c>
      <c r="D628" s="5" t="s">
        <v>702</v>
      </c>
      <c r="E628" s="13" t="s">
        <v>676</v>
      </c>
      <c r="F628" s="5">
        <v>246</v>
      </c>
      <c r="G628" s="14">
        <v>2.2999999999999998</v>
      </c>
      <c r="H628" s="14">
        <v>2.35</v>
      </c>
      <c r="I628" s="14">
        <v>1.3</v>
      </c>
      <c r="J628">
        <v>35.44</v>
      </c>
      <c r="K628">
        <v>36.74</v>
      </c>
      <c r="L628">
        <v>36.090000000000003</v>
      </c>
      <c r="M628">
        <v>0.14000000000000001</v>
      </c>
      <c r="N628" s="14">
        <v>276.49999999999977</v>
      </c>
      <c r="O628" s="14">
        <v>277.79999999999978</v>
      </c>
      <c r="P628" s="14">
        <v>277.14999999999975</v>
      </c>
      <c r="Q628" s="14">
        <v>276.49999999999977</v>
      </c>
      <c r="R628" s="14">
        <v>277.79999999999978</v>
      </c>
      <c r="S628" s="14">
        <v>277.14999999999975</v>
      </c>
      <c r="T628" s="3">
        <v>277.14999999999998</v>
      </c>
      <c r="U628" s="3">
        <v>0.65</v>
      </c>
      <c r="V628" s="3">
        <v>3017.69</v>
      </c>
      <c r="W628" s="3">
        <v>3501.57</v>
      </c>
      <c r="X628" s="3">
        <v>3242.96</v>
      </c>
      <c r="Y628" s="3">
        <v>3247.87</v>
      </c>
      <c r="Z628" s="3">
        <v>241.94</v>
      </c>
      <c r="AA628" s="4">
        <v>0.10730000000000001</v>
      </c>
      <c r="AB628" s="4">
        <v>8.2446310000000005E-3</v>
      </c>
      <c r="AC628">
        <v>1.1476266666666668</v>
      </c>
      <c r="AD628" s="15">
        <v>7.4463999999999997</v>
      </c>
      <c r="AE628" s="15">
        <v>2.1793999999999998</v>
      </c>
      <c r="AF628" s="15">
        <f t="shared" si="109"/>
        <v>5.2669999999999995</v>
      </c>
      <c r="AG628" s="15">
        <v>1.031773333333333</v>
      </c>
      <c r="AH628" s="15">
        <v>83.619456063402836</v>
      </c>
      <c r="AI628" s="2">
        <v>16.380543936597164</v>
      </c>
      <c r="AJ628" s="1">
        <f t="shared" si="110"/>
        <v>0.81902719682985825</v>
      </c>
      <c r="AK628" s="13">
        <v>4.9200000000000001E-2</v>
      </c>
      <c r="AL628" s="16">
        <v>63.173652689999997</v>
      </c>
      <c r="AM628" s="10">
        <v>3.1586826344999999</v>
      </c>
      <c r="AN628" s="16">
        <v>36.643650052204173</v>
      </c>
      <c r="AO628" s="11">
        <v>3.1599645544676385</v>
      </c>
      <c r="AP628" s="14">
        <v>5.5164403125000003</v>
      </c>
      <c r="AQ628" s="2">
        <f>AP628*((G628*0.01)+(H628*0.01)+(I628*0.01))</f>
        <v>0.32822819859375002</v>
      </c>
      <c r="AR628" s="15">
        <v>1.1418184511233815</v>
      </c>
      <c r="AS628" s="15">
        <v>0.18703607306243883</v>
      </c>
      <c r="AT628" s="15">
        <f t="shared" si="111"/>
        <v>1.2660522653479047E-2</v>
      </c>
      <c r="AU628" s="2">
        <f t="shared" si="112"/>
        <v>2.0068970639599688E-2</v>
      </c>
      <c r="AV628" s="2">
        <f t="shared" si="113"/>
        <v>2.5525778337744834E-3</v>
      </c>
      <c r="AW628" s="3">
        <f t="shared" si="114"/>
        <v>12.719027196829858</v>
      </c>
    </row>
    <row r="629" spans="1:49" s="5" customFormat="1" x14ac:dyDescent="0.2">
      <c r="A629" s="5" t="s">
        <v>480</v>
      </c>
      <c r="B629" s="5" t="s">
        <v>481</v>
      </c>
      <c r="C629" s="5" t="s">
        <v>674</v>
      </c>
      <c r="D629" s="5" t="s">
        <v>703</v>
      </c>
      <c r="E629" s="13" t="s">
        <v>676</v>
      </c>
      <c r="F629" s="5">
        <v>247</v>
      </c>
      <c r="G629" s="14">
        <v>2.2000000000000002</v>
      </c>
      <c r="H629" s="14">
        <v>2.25</v>
      </c>
      <c r="I629" s="14">
        <v>1.2</v>
      </c>
      <c r="J629">
        <v>36.880000000000003</v>
      </c>
      <c r="K629">
        <v>38.08</v>
      </c>
      <c r="L629">
        <v>37.479999999999997</v>
      </c>
      <c r="M629">
        <v>0.14000000000000001</v>
      </c>
      <c r="N629" s="14">
        <v>277.94444444444423</v>
      </c>
      <c r="O629" s="14">
        <v>279.14444444444422</v>
      </c>
      <c r="P629" s="14">
        <v>278.54444444444425</v>
      </c>
      <c r="Q629" s="14">
        <v>277.94444444444423</v>
      </c>
      <c r="R629" s="14">
        <v>279.14444444444422</v>
      </c>
      <c r="S629" s="14">
        <v>278.54444444444425</v>
      </c>
      <c r="T629" s="3">
        <v>278.54000000000002</v>
      </c>
      <c r="U629" s="3">
        <v>0.6</v>
      </c>
      <c r="V629" s="3">
        <v>3024.05</v>
      </c>
      <c r="W629" s="3">
        <v>3521.38</v>
      </c>
      <c r="X629" s="3">
        <v>3255.98</v>
      </c>
      <c r="Y629" s="3">
        <v>3260.86</v>
      </c>
      <c r="Z629" s="3">
        <v>248.66499999999999</v>
      </c>
      <c r="AA629" s="4">
        <v>0.1069</v>
      </c>
      <c r="AB629" s="4">
        <v>8.3821980000000004E-3</v>
      </c>
      <c r="AC629">
        <v>1.1476266666666668</v>
      </c>
      <c r="AD629" s="15">
        <v>7.1866000000000003</v>
      </c>
      <c r="AE629" s="15">
        <v>2.0145</v>
      </c>
      <c r="AF629" s="15">
        <f t="shared" si="109"/>
        <v>5.1721000000000004</v>
      </c>
      <c r="AG629" s="15">
        <v>0.86687333333333316</v>
      </c>
      <c r="AH629" s="15">
        <v>85.645352521289482</v>
      </c>
      <c r="AI629" s="2">
        <v>14.354647478710518</v>
      </c>
      <c r="AJ629" s="1">
        <f t="shared" si="110"/>
        <v>0.71773237393552591</v>
      </c>
      <c r="AK629" s="13">
        <v>3.44E-2</v>
      </c>
      <c r="AL629" s="16">
        <v>72.827804110000002</v>
      </c>
      <c r="AM629" s="10">
        <v>3.6413902055000005</v>
      </c>
      <c r="AN629" s="16">
        <v>42.243505864269146</v>
      </c>
      <c r="AO629" s="11">
        <v>3.6425022482781442</v>
      </c>
      <c r="AP629" s="14">
        <v>4.6634887500000008</v>
      </c>
      <c r="AQ629" s="2">
        <f>AP629*((G629*0.01)+(H629*0.01)+(I629*0.01))</f>
        <v>0.263487114375</v>
      </c>
      <c r="AR629" s="15">
        <v>1.2949475504435028</v>
      </c>
      <c r="AS629" s="15">
        <v>0.18588515590036173</v>
      </c>
      <c r="AT629" s="15">
        <f t="shared" si="111"/>
        <v>1.1836669250607855E-2</v>
      </c>
      <c r="AU629" s="2">
        <f t="shared" si="112"/>
        <v>1.9871123165748669E-2</v>
      </c>
      <c r="AV629" s="2">
        <f t="shared" si="113"/>
        <v>2.3880584017547794E-3</v>
      </c>
      <c r="AW629" s="3">
        <f t="shared" si="114"/>
        <v>12.017732373935523</v>
      </c>
    </row>
    <row r="630" spans="1:49" s="5" customFormat="1" x14ac:dyDescent="0.2">
      <c r="A630" s="5" t="s">
        <v>480</v>
      </c>
      <c r="B630" s="5" t="s">
        <v>481</v>
      </c>
      <c r="C630" s="5" t="s">
        <v>674</v>
      </c>
      <c r="D630" s="5" t="s">
        <v>704</v>
      </c>
      <c r="E630" s="13" t="s">
        <v>676</v>
      </c>
      <c r="F630" s="5">
        <v>248</v>
      </c>
      <c r="G630" s="14">
        <v>2.25</v>
      </c>
      <c r="H630" s="14">
        <v>2.2999999999999998</v>
      </c>
      <c r="I630" s="14">
        <v>1.25</v>
      </c>
      <c r="J630">
        <v>38.22</v>
      </c>
      <c r="K630">
        <v>39.520000000000003</v>
      </c>
      <c r="L630">
        <v>38.869999999999997</v>
      </c>
      <c r="M630">
        <v>0.14000000000000001</v>
      </c>
      <c r="N630" s="14">
        <v>279.28888888888866</v>
      </c>
      <c r="O630" s="14">
        <v>280.53888888888866</v>
      </c>
      <c r="P630" s="14">
        <v>279.91388888888866</v>
      </c>
      <c r="Q630" s="14">
        <v>279.28888888888866</v>
      </c>
      <c r="R630" s="14">
        <v>280.53888888888866</v>
      </c>
      <c r="S630" s="14">
        <v>279.91388888888866</v>
      </c>
      <c r="T630" s="3">
        <v>279.91000000000003</v>
      </c>
      <c r="U630" s="3">
        <v>0.625</v>
      </c>
      <c r="V630" s="3">
        <v>3030.71</v>
      </c>
      <c r="W630" s="3">
        <v>3542.79</v>
      </c>
      <c r="X630" s="3">
        <v>3268.94</v>
      </c>
      <c r="Y630" s="3">
        <v>3273.67</v>
      </c>
      <c r="Z630" s="3">
        <v>256.04000000000002</v>
      </c>
      <c r="AA630" s="4">
        <v>9.8599999999999993E-2</v>
      </c>
      <c r="AB630" s="4">
        <v>7.9318549999999998E-3</v>
      </c>
      <c r="AC630">
        <v>1.1476266666666668</v>
      </c>
      <c r="AD630" s="15">
        <v>7.3082000000000003</v>
      </c>
      <c r="AE630" s="15">
        <v>2.1295999999999999</v>
      </c>
      <c r="AF630" s="15">
        <f t="shared" si="109"/>
        <v>5.1786000000000003</v>
      </c>
      <c r="AG630" s="15">
        <v>0.98197333333333314</v>
      </c>
      <c r="AH630" s="15">
        <v>84.060358018625976</v>
      </c>
      <c r="AI630" s="2">
        <v>15.939641981374024</v>
      </c>
      <c r="AJ630" s="1">
        <f t="shared" si="110"/>
        <v>0.79698209906870121</v>
      </c>
      <c r="AK630" s="13">
        <v>3.6999999999999998E-2</v>
      </c>
      <c r="AL630" s="16">
        <v>65.772432929999994</v>
      </c>
      <c r="AM630" s="10">
        <v>3.2886216464999998</v>
      </c>
      <c r="AN630" s="16">
        <v>38.151063184454756</v>
      </c>
      <c r="AO630" s="11">
        <v>3.2898529349848409</v>
      </c>
      <c r="AP630" s="14">
        <v>5.0785820312499999</v>
      </c>
      <c r="AQ630" s="2">
        <f>AP630*((G630*0.01)+(H630*0.01)+(I630*0.01))</f>
        <v>0.29455775781249999</v>
      </c>
      <c r="AR630" s="15">
        <v>1.2130498819208837</v>
      </c>
      <c r="AS630" s="15">
        <v>0.19335580823366919</v>
      </c>
      <c r="AT630" s="15">
        <f t="shared" si="111"/>
        <v>1.2755648056684761E-2</v>
      </c>
      <c r="AU630" s="2">
        <f t="shared" si="112"/>
        <v>1.9064882691839782E-2</v>
      </c>
      <c r="AV630" s="2">
        <f t="shared" si="113"/>
        <v>2.3634700945158247E-3</v>
      </c>
      <c r="AW630" s="3">
        <f t="shared" si="114"/>
        <v>12.396982099068699</v>
      </c>
    </row>
    <row r="631" spans="1:49" s="5" customFormat="1" x14ac:dyDescent="0.2">
      <c r="A631" s="5" t="s">
        <v>480</v>
      </c>
      <c r="B631" s="5" t="s">
        <v>481</v>
      </c>
      <c r="C631" s="5" t="s">
        <v>674</v>
      </c>
      <c r="D631" s="5" t="s">
        <v>705</v>
      </c>
      <c r="E631" s="13" t="s">
        <v>676</v>
      </c>
      <c r="F631" s="5">
        <v>249</v>
      </c>
      <c r="G631" s="14">
        <v>2.2000000000000002</v>
      </c>
      <c r="H631" s="14">
        <v>2.15</v>
      </c>
      <c r="I631" s="14">
        <v>1.2</v>
      </c>
      <c r="J631">
        <v>39.659999999999997</v>
      </c>
      <c r="K631">
        <v>40.86</v>
      </c>
      <c r="L631">
        <v>40.26</v>
      </c>
      <c r="M631">
        <v>0.14000000000000001</v>
      </c>
      <c r="N631" s="14">
        <v>280.68333333333311</v>
      </c>
      <c r="O631" s="14">
        <v>281.8833333333331</v>
      </c>
      <c r="P631" s="14">
        <v>281.28333333333308</v>
      </c>
      <c r="Q631" s="14">
        <v>280.68333333333311</v>
      </c>
      <c r="R631" s="14">
        <v>281.8833333333331</v>
      </c>
      <c r="S631" s="14">
        <v>281.28333333333308</v>
      </c>
      <c r="T631" s="3">
        <v>281.27999999999997</v>
      </c>
      <c r="U631" s="3">
        <v>0.6</v>
      </c>
      <c r="V631" s="3">
        <v>3049.34</v>
      </c>
      <c r="W631" s="3">
        <v>3552.53</v>
      </c>
      <c r="X631" s="3">
        <v>3283.41</v>
      </c>
      <c r="Y631" s="3">
        <v>3287.56</v>
      </c>
      <c r="Z631" s="3">
        <v>251.595</v>
      </c>
      <c r="AA631" s="4">
        <v>9.8000000000000004E-2</v>
      </c>
      <c r="AB631" s="4">
        <v>7.7089259999999996E-3</v>
      </c>
      <c r="AC631">
        <v>1.1476266666666668</v>
      </c>
      <c r="AD631" s="15">
        <v>7.1506999999999996</v>
      </c>
      <c r="AE631" s="15">
        <v>2.0364</v>
      </c>
      <c r="AF631" s="15">
        <f t="shared" si="109"/>
        <v>5.1143000000000001</v>
      </c>
      <c r="AG631" s="15">
        <v>0.88877333333333319</v>
      </c>
      <c r="AH631" s="15">
        <v>85.194694717483614</v>
      </c>
      <c r="AI631" s="2">
        <v>14.805305282516386</v>
      </c>
      <c r="AJ631" s="1">
        <f t="shared" si="110"/>
        <v>0.74026526412581939</v>
      </c>
      <c r="AK631" s="13">
        <v>3.44E-2</v>
      </c>
      <c r="AL631" s="16">
        <v>62.931034480000001</v>
      </c>
      <c r="AM631" s="10">
        <v>3.146551724</v>
      </c>
      <c r="AN631" s="16">
        <v>36.50292023201856</v>
      </c>
      <c r="AO631" s="11">
        <v>3.1478385841410885</v>
      </c>
      <c r="AP631" s="14">
        <v>4.4562487499999994</v>
      </c>
      <c r="AQ631" s="2">
        <f>AP631*((G631*0.01)+(H631*0.01)+(I631*0.01))</f>
        <v>0.24732180562499995</v>
      </c>
      <c r="AR631" s="15">
        <v>1.3471136083535133</v>
      </c>
      <c r="AS631" s="15">
        <v>0.19944428221905999</v>
      </c>
      <c r="AT631" s="15">
        <f t="shared" si="111"/>
        <v>1.2545574405710597E-2</v>
      </c>
      <c r="AU631" s="2">
        <f t="shared" si="112"/>
        <v>1.9545539657467879E-2</v>
      </c>
      <c r="AV631" s="2">
        <f t="shared" si="113"/>
        <v>2.3142437427491058E-3</v>
      </c>
      <c r="AW631" s="3">
        <f t="shared" si="114"/>
        <v>11.840265264125819</v>
      </c>
    </row>
    <row r="632" spans="1:49" s="5" customFormat="1" x14ac:dyDescent="0.2">
      <c r="A632" s="5" t="s">
        <v>480</v>
      </c>
      <c r="B632" s="5" t="s">
        <v>481</v>
      </c>
      <c r="C632" s="5" t="s">
        <v>674</v>
      </c>
      <c r="D632" s="5" t="s">
        <v>706</v>
      </c>
      <c r="E632" s="13" t="s">
        <v>676</v>
      </c>
      <c r="F632" s="5">
        <v>250</v>
      </c>
      <c r="G632" s="14">
        <v>2.2000000000000002</v>
      </c>
      <c r="H632" s="14">
        <v>2.2000000000000002</v>
      </c>
      <c r="I632" s="14">
        <v>1.1499999999999999</v>
      </c>
      <c r="J632">
        <v>41</v>
      </c>
      <c r="K632">
        <v>42.2</v>
      </c>
      <c r="L632">
        <v>41.6</v>
      </c>
      <c r="M632">
        <v>0.14000000000000001</v>
      </c>
      <c r="N632" s="14">
        <v>282.02777777777754</v>
      </c>
      <c r="O632" s="14">
        <v>283.17777777777752</v>
      </c>
      <c r="P632" s="14">
        <v>282.60277777777753</v>
      </c>
      <c r="Q632" s="14">
        <v>282.02777777777754</v>
      </c>
      <c r="R632" s="14">
        <v>283.17777777777752</v>
      </c>
      <c r="S632" s="14">
        <v>282.60277777777753</v>
      </c>
      <c r="T632" s="3">
        <v>282.60000000000002</v>
      </c>
      <c r="U632" s="3">
        <v>0.57499999999999996</v>
      </c>
      <c r="V632" s="3">
        <v>3064.43</v>
      </c>
      <c r="W632" s="3">
        <v>3563.17</v>
      </c>
      <c r="X632" s="3">
        <v>3294.8</v>
      </c>
      <c r="Y632" s="3">
        <v>3301.02</v>
      </c>
      <c r="Z632" s="3">
        <v>249.37</v>
      </c>
      <c r="AA632" s="4">
        <v>9.7600000000000006E-2</v>
      </c>
      <c r="AB632" s="4">
        <v>7.5716120000000001E-3</v>
      </c>
      <c r="AC632">
        <v>1.1476266666666668</v>
      </c>
      <c r="AD632" s="15">
        <v>6.6505000000000001</v>
      </c>
      <c r="AE632" s="15">
        <v>2.0668000000000002</v>
      </c>
      <c r="AF632" s="15">
        <f t="shared" si="109"/>
        <v>4.5837000000000003</v>
      </c>
      <c r="AG632" s="15">
        <v>0.9191733333333334</v>
      </c>
      <c r="AH632" s="15">
        <v>83.296483897503251</v>
      </c>
      <c r="AI632" s="2">
        <v>16.703516102496749</v>
      </c>
      <c r="AJ632" s="1">
        <f t="shared" si="110"/>
        <v>0.83517580512483747</v>
      </c>
      <c r="AK632" s="13">
        <v>5.1499999999999997E-2</v>
      </c>
      <c r="AL632" s="16">
        <v>53.096539159999999</v>
      </c>
      <c r="AM632" s="10">
        <v>2.6548269580000001</v>
      </c>
      <c r="AN632" s="16">
        <v>30.798456589327145</v>
      </c>
      <c r="AO632" s="11">
        <v>2.6563520431079035</v>
      </c>
      <c r="AP632" s="14">
        <v>4.3693100000000014</v>
      </c>
      <c r="AQ632" s="2">
        <f>AP632*((G632*0.01)+(H632*0.01)+(I632*0.01))</f>
        <v>0.24249670500000012</v>
      </c>
      <c r="AR632" s="15">
        <v>1.2594376076161526</v>
      </c>
      <c r="AS632" s="15">
        <v>0.21037036358906397</v>
      </c>
      <c r="AT632" s="15">
        <f t="shared" si="111"/>
        <v>1.3432517557042063E-2</v>
      </c>
      <c r="AU632" s="2">
        <f t="shared" si="112"/>
        <v>2.0532147486292646E-2</v>
      </c>
      <c r="AV632" s="2">
        <f t="shared" si="113"/>
        <v>2.4505478990565475E-3</v>
      </c>
      <c r="AW632" s="3">
        <f t="shared" si="114"/>
        <v>11.935175805124839</v>
      </c>
    </row>
    <row r="633" spans="1:49" s="5" customFormat="1" x14ac:dyDescent="0.2">
      <c r="A633" s="5" t="s">
        <v>480</v>
      </c>
      <c r="B633" s="5" t="s">
        <v>481</v>
      </c>
      <c r="C633" s="5" t="s">
        <v>674</v>
      </c>
      <c r="D633" s="5" t="s">
        <v>707</v>
      </c>
      <c r="E633" s="13" t="s">
        <v>676</v>
      </c>
      <c r="F633" s="5">
        <v>251</v>
      </c>
      <c r="G633" s="14">
        <v>2.15</v>
      </c>
      <c r="H633" s="14">
        <v>2.0499999999999998</v>
      </c>
      <c r="I633" s="14">
        <v>1.1499999999999999</v>
      </c>
      <c r="J633">
        <v>42.34</v>
      </c>
      <c r="K633">
        <v>43.54</v>
      </c>
      <c r="L633">
        <v>42.94</v>
      </c>
      <c r="M633">
        <v>0.14000000000000001</v>
      </c>
      <c r="N633" s="14">
        <v>283.32222222222197</v>
      </c>
      <c r="O633" s="14">
        <v>284.47222222222194</v>
      </c>
      <c r="P633" s="14">
        <v>283.89722222222196</v>
      </c>
      <c r="Q633" s="14">
        <v>283.32222222222197</v>
      </c>
      <c r="R633" s="14">
        <v>284.47222222222194</v>
      </c>
      <c r="S633" s="14">
        <v>283.89722222222196</v>
      </c>
      <c r="T633" s="3">
        <v>283.89999999999998</v>
      </c>
      <c r="U633" s="3">
        <v>0.57499999999999996</v>
      </c>
      <c r="V633" s="3">
        <v>3076.61</v>
      </c>
      <c r="W633" s="3">
        <v>3575.69</v>
      </c>
      <c r="X633" s="3">
        <v>3309.17</v>
      </c>
      <c r="Y633" s="3">
        <v>3314.28</v>
      </c>
      <c r="Z633" s="3">
        <v>249.54</v>
      </c>
      <c r="AA633" s="4">
        <v>9.98E-2</v>
      </c>
      <c r="AB633" s="4">
        <v>7.7163099999999997E-3</v>
      </c>
      <c r="AC633">
        <v>1.1476266666666668</v>
      </c>
      <c r="AD633" s="15">
        <v>6.173</v>
      </c>
      <c r="AE633" s="15">
        <v>1.8922000000000001</v>
      </c>
      <c r="AF633" s="15">
        <f t="shared" si="109"/>
        <v>4.2808000000000002</v>
      </c>
      <c r="AG633" s="15">
        <v>0.74457333333333331</v>
      </c>
      <c r="AH633" s="15">
        <v>85.183721010445652</v>
      </c>
      <c r="AI633" s="2">
        <v>14.816278989554348</v>
      </c>
      <c r="AJ633" s="1">
        <f t="shared" si="110"/>
        <v>0.7408139494777175</v>
      </c>
      <c r="AK633" s="13">
        <v>6.1199999999999997E-2</v>
      </c>
      <c r="AL633" s="16">
        <v>63.614744350000002</v>
      </c>
      <c r="AM633" s="10">
        <v>3.1807372175000004</v>
      </c>
      <c r="AN633" s="16">
        <v>36.899503683294668</v>
      </c>
      <c r="AO633" s="11">
        <v>3.1820102524645715</v>
      </c>
      <c r="AP633" s="14">
        <v>3.981127499999999</v>
      </c>
      <c r="AQ633" s="2">
        <f>AP633*((G633*0.01)+(H633*0.01)+(I633*0.01))</f>
        <v>0.21299032124999992</v>
      </c>
      <c r="AR633" s="15">
        <v>1.2622990178871023</v>
      </c>
      <c r="AS633" s="15">
        <v>0.18702574417255752</v>
      </c>
      <c r="AT633" s="15">
        <f t="shared" si="111"/>
        <v>1.139139011517664E-2</v>
      </c>
      <c r="AU633" s="2">
        <f t="shared" si="112"/>
        <v>1.8665169268421239E-2</v>
      </c>
      <c r="AV633" s="2">
        <f t="shared" si="113"/>
        <v>2.1354472893551648E-3</v>
      </c>
      <c r="AW633" s="3">
        <f t="shared" si="114"/>
        <v>11.440813949477716</v>
      </c>
    </row>
    <row r="634" spans="1:49" s="5" customFormat="1" x14ac:dyDescent="0.2">
      <c r="A634" s="5" t="s">
        <v>480</v>
      </c>
      <c r="B634" s="5" t="s">
        <v>481</v>
      </c>
      <c r="C634" s="5" t="s">
        <v>708</v>
      </c>
      <c r="D634" s="5" t="s">
        <v>709</v>
      </c>
      <c r="E634" s="13" t="s">
        <v>710</v>
      </c>
      <c r="F634" s="5">
        <v>259</v>
      </c>
      <c r="G634" s="14">
        <v>2.25</v>
      </c>
      <c r="H634" s="14">
        <v>2.15</v>
      </c>
      <c r="I634" s="14">
        <v>1.1000000000000001</v>
      </c>
      <c r="J634">
        <v>0</v>
      </c>
      <c r="K634">
        <v>1.1000000000000001</v>
      </c>
      <c r="L634">
        <v>0.55000000000000004</v>
      </c>
      <c r="M634">
        <v>0.16</v>
      </c>
      <c r="N634" s="14">
        <v>283.73428571428576</v>
      </c>
      <c r="O634" s="14">
        <v>284.83428571428578</v>
      </c>
      <c r="P634" s="14">
        <v>284.28428571428577</v>
      </c>
      <c r="Q634" s="14">
        <v>283.73428571428576</v>
      </c>
      <c r="R634" s="14">
        <v>284.83428571428578</v>
      </c>
      <c r="S634" s="14">
        <v>284.28428571428577</v>
      </c>
      <c r="T634" s="3">
        <v>284.27999999999997</v>
      </c>
      <c r="U634" s="3">
        <v>0.55000000000000004</v>
      </c>
      <c r="V634" s="3">
        <v>3080.46</v>
      </c>
      <c r="W634" s="3">
        <v>3581.01</v>
      </c>
      <c r="X634" s="3">
        <v>3314.12</v>
      </c>
      <c r="Y634" s="3">
        <v>3318.16</v>
      </c>
      <c r="Z634" s="3">
        <v>250.27500000000001</v>
      </c>
      <c r="AA634" s="4">
        <v>9.74E-2</v>
      </c>
      <c r="AB634" s="4">
        <v>7.5349179999999998E-3</v>
      </c>
      <c r="AC634">
        <v>1.1476266666666668</v>
      </c>
      <c r="AD634" s="15">
        <v>6.6551999999999998</v>
      </c>
      <c r="AE634" s="15">
        <v>2.0289000000000001</v>
      </c>
      <c r="AF634" s="15">
        <f t="shared" si="109"/>
        <v>4.6262999999999996</v>
      </c>
      <c r="AG634" s="15">
        <v>0.88127333333333335</v>
      </c>
      <c r="AH634" s="15">
        <v>83.998881540085407</v>
      </c>
      <c r="AI634" s="2">
        <v>16.001118459914593</v>
      </c>
      <c r="AJ634" s="1">
        <f t="shared" si="110"/>
        <v>0.8000559229957297</v>
      </c>
      <c r="AK634" s="13">
        <v>3.3599999999999998E-2</v>
      </c>
      <c r="AL634" s="16">
        <v>62.583518929999997</v>
      </c>
      <c r="AM634" s="10">
        <v>3.1291759465000002</v>
      </c>
      <c r="AN634" s="16">
        <v>36.301345087006958</v>
      </c>
      <c r="AO634" s="11">
        <v>3.1304699494092212</v>
      </c>
      <c r="AP634" s="14">
        <v>4.1793400000000016</v>
      </c>
      <c r="AQ634" s="2">
        <f>AP634*((G634*0.01)+(H634*0.01)+(I634*0.01))</f>
        <v>0.22986370000000009</v>
      </c>
      <c r="AR634" s="15">
        <v>1.3178093510777613</v>
      </c>
      <c r="AS634" s="15">
        <v>0.21086423534178436</v>
      </c>
      <c r="AT634" s="15">
        <f t="shared" si="111"/>
        <v>1.3284564748129741E-2</v>
      </c>
      <c r="AU634" s="2">
        <f t="shared" si="112"/>
        <v>2.0538176522289796E-2</v>
      </c>
      <c r="AV634" s="2">
        <f t="shared" si="113"/>
        <v>2.4235163151937757E-3</v>
      </c>
      <c r="AW634" s="3">
        <f t="shared" si="114"/>
        <v>11.80005592299573</v>
      </c>
    </row>
    <row r="635" spans="1:49" s="5" customFormat="1" x14ac:dyDescent="0.2">
      <c r="A635" s="5" t="s">
        <v>480</v>
      </c>
      <c r="B635" s="5" t="s">
        <v>481</v>
      </c>
      <c r="C635" s="5" t="s">
        <v>708</v>
      </c>
      <c r="D635" s="5" t="s">
        <v>711</v>
      </c>
      <c r="E635" s="13" t="s">
        <v>710</v>
      </c>
      <c r="F635" s="5">
        <v>260</v>
      </c>
      <c r="G635" s="14">
        <v>2.2999999999999998</v>
      </c>
      <c r="H635" s="14">
        <v>2.2000000000000002</v>
      </c>
      <c r="I635" s="14">
        <v>1.2</v>
      </c>
      <c r="J635">
        <v>1.26</v>
      </c>
      <c r="K635">
        <v>2.46</v>
      </c>
      <c r="L635">
        <v>1.86</v>
      </c>
      <c r="M635">
        <v>0.16</v>
      </c>
      <c r="N635" s="14">
        <v>284.99571428571437</v>
      </c>
      <c r="O635" s="14">
        <v>286.19571428571436</v>
      </c>
      <c r="P635" s="14">
        <v>285.59571428571439</v>
      </c>
      <c r="Q635" s="14">
        <v>284.99571428571437</v>
      </c>
      <c r="R635" s="14">
        <v>286.19571428571436</v>
      </c>
      <c r="S635" s="14">
        <v>285.59571428571439</v>
      </c>
      <c r="T635" s="3">
        <v>285.60000000000002</v>
      </c>
      <c r="U635" s="3">
        <v>0.6</v>
      </c>
      <c r="V635" s="3">
        <v>3088.39</v>
      </c>
      <c r="W635" s="3">
        <v>3596.79</v>
      </c>
      <c r="X635" s="3">
        <v>3327.21</v>
      </c>
      <c r="Y635" s="3">
        <v>3331.62</v>
      </c>
      <c r="Z635" s="3">
        <v>254.2</v>
      </c>
      <c r="AA635" s="4">
        <v>9.8199999999999996E-2</v>
      </c>
      <c r="AB635" s="4">
        <v>7.6988860000000003E-3</v>
      </c>
      <c r="AC635">
        <v>1.1476266666666668</v>
      </c>
      <c r="AD635" s="15">
        <v>7.4638</v>
      </c>
      <c r="AE635" s="15">
        <v>2.5451000000000001</v>
      </c>
      <c r="AF635" s="15">
        <f t="shared" si="109"/>
        <v>4.9186999999999994</v>
      </c>
      <c r="AG635" s="15">
        <v>1.3974733333333333</v>
      </c>
      <c r="AH635" s="15">
        <v>77.874683616451307</v>
      </c>
      <c r="AI635" s="2">
        <v>22.125316383548693</v>
      </c>
      <c r="AJ635" s="1">
        <f t="shared" si="110"/>
        <v>1.1062658191774346</v>
      </c>
      <c r="AK635" s="13">
        <v>7.1999999999999995E-2</v>
      </c>
      <c r="AL635" s="16">
        <v>50.447350309999997</v>
      </c>
      <c r="AM635" s="10">
        <v>2.5223675155</v>
      </c>
      <c r="AN635" s="16">
        <v>29.261804124129931</v>
      </c>
      <c r="AO635" s="11">
        <v>2.5239726391642288</v>
      </c>
      <c r="AP635" s="14">
        <v>4.7688749999999995</v>
      </c>
      <c r="AQ635" s="2">
        <f>AP635*((G635*0.01)+(H635*0.01)+(I635*0.01))</f>
        <v>0.27182587499999994</v>
      </c>
      <c r="AR635" s="15">
        <v>1.324457725005024</v>
      </c>
      <c r="AS635" s="15">
        <v>0.29304046202371281</v>
      </c>
      <c r="AT635" s="15">
        <f t="shared" si="111"/>
        <v>1.9945112803079597E-2</v>
      </c>
      <c r="AU635" s="2">
        <f t="shared" si="112"/>
        <v>2.8776573370728597E-2</v>
      </c>
      <c r="AV635" s="2">
        <f t="shared" si="113"/>
        <v>3.5988747593939459E-3</v>
      </c>
      <c r="AW635" s="3">
        <f t="shared" si="114"/>
        <v>12.506265819177434</v>
      </c>
    </row>
    <row r="636" spans="1:49" s="5" customFormat="1" x14ac:dyDescent="0.2">
      <c r="A636" s="5" t="s">
        <v>480</v>
      </c>
      <c r="B636" s="5" t="s">
        <v>481</v>
      </c>
      <c r="C636" s="5" t="s">
        <v>708</v>
      </c>
      <c r="D636" s="5" t="s">
        <v>712</v>
      </c>
      <c r="E636" s="13" t="s">
        <v>710</v>
      </c>
      <c r="F636" s="5">
        <v>261</v>
      </c>
      <c r="G636" s="14">
        <v>2.2999999999999998</v>
      </c>
      <c r="H636" s="14">
        <v>2.25</v>
      </c>
      <c r="I636" s="14">
        <v>1.1000000000000001</v>
      </c>
      <c r="J636">
        <v>2.62</v>
      </c>
      <c r="K636">
        <v>3.72</v>
      </c>
      <c r="L636">
        <v>3.17</v>
      </c>
      <c r="M636">
        <v>0.16</v>
      </c>
      <c r="N636" s="14">
        <v>286.35714285714295</v>
      </c>
      <c r="O636" s="14">
        <v>287.45714285714297</v>
      </c>
      <c r="P636" s="14">
        <v>286.90714285714296</v>
      </c>
      <c r="Q636" s="14">
        <v>286.35714285714295</v>
      </c>
      <c r="R636" s="14">
        <v>287.45714285714297</v>
      </c>
      <c r="S636" s="14">
        <v>286.90714285714296</v>
      </c>
      <c r="T636" s="3">
        <v>286.91000000000003</v>
      </c>
      <c r="U636" s="3">
        <v>0.55000000000000004</v>
      </c>
      <c r="V636" s="3">
        <v>3094.35</v>
      </c>
      <c r="W636" s="3">
        <v>3616.6</v>
      </c>
      <c r="X636" s="3">
        <v>3342.49</v>
      </c>
      <c r="Y636" s="3">
        <v>3344.98</v>
      </c>
      <c r="Z636" s="3">
        <v>261.125</v>
      </c>
      <c r="AA636" s="4">
        <v>9.8199999999999996E-2</v>
      </c>
      <c r="AB636" s="4">
        <v>7.8542049999999995E-3</v>
      </c>
      <c r="AC636">
        <v>1.1476266666666668</v>
      </c>
      <c r="AD636" s="15">
        <v>7.3548999999999998</v>
      </c>
      <c r="AE636" s="15">
        <v>2.3902999999999999</v>
      </c>
      <c r="AF636" s="15">
        <f t="shared" si="109"/>
        <v>4.9645999999999999</v>
      </c>
      <c r="AG636" s="15">
        <v>1.2426733333333331</v>
      </c>
      <c r="AH636" s="15">
        <v>79.980367117714593</v>
      </c>
      <c r="AI636" s="2">
        <v>20.019632882285407</v>
      </c>
      <c r="AJ636" s="1">
        <f t="shared" si="110"/>
        <v>1.0009816441142705</v>
      </c>
      <c r="AK636" s="13">
        <v>4.6699999999999998E-2</v>
      </c>
      <c r="AL636" s="16">
        <v>50.842105259999997</v>
      </c>
      <c r="AM636" s="10">
        <v>2.5421052629999998</v>
      </c>
      <c r="AN636" s="16">
        <v>29.490780313225056</v>
      </c>
      <c r="AO636" s="11">
        <v>2.5436979317859851</v>
      </c>
      <c r="AP636" s="14">
        <v>4.4691521875000007</v>
      </c>
      <c r="AQ636" s="2">
        <f>AP636*((G636*0.01)+(H636*0.01)+(I636*0.01))</f>
        <v>0.25250709859375003</v>
      </c>
      <c r="AR636" s="15">
        <v>1.388915184113616</v>
      </c>
      <c r="AS636" s="15">
        <v>0.27805572090586428</v>
      </c>
      <c r="AT636" s="15">
        <f t="shared" si="111"/>
        <v>1.8493434957858639E-2</v>
      </c>
      <c r="AU636" s="2">
        <f t="shared" si="112"/>
        <v>2.7305071792955871E-2</v>
      </c>
      <c r="AV636" s="2">
        <f t="shared" si="113"/>
        <v>3.3587918691637248E-3</v>
      </c>
      <c r="AW636" s="3">
        <f t="shared" si="114"/>
        <v>12.30098164411427</v>
      </c>
    </row>
    <row r="637" spans="1:49" s="5" customFormat="1" x14ac:dyDescent="0.2">
      <c r="A637" s="5" t="s">
        <v>480</v>
      </c>
      <c r="B637" s="5" t="s">
        <v>481</v>
      </c>
      <c r="C637" s="5" t="s">
        <v>708</v>
      </c>
      <c r="D637" s="5" t="s">
        <v>713</v>
      </c>
      <c r="E637" s="13" t="s">
        <v>710</v>
      </c>
      <c r="F637" s="5">
        <v>262</v>
      </c>
      <c r="G637" s="14">
        <v>2.25</v>
      </c>
      <c r="H637" s="14">
        <v>2.4</v>
      </c>
      <c r="I637" s="14">
        <v>1.2</v>
      </c>
      <c r="J637">
        <v>3.88</v>
      </c>
      <c r="K637">
        <v>5.08</v>
      </c>
      <c r="L637">
        <v>4.4800000000000004</v>
      </c>
      <c r="M637">
        <v>0.16</v>
      </c>
      <c r="N637" s="14">
        <v>287.61857142857156</v>
      </c>
      <c r="O637" s="14">
        <v>288.81857142857154</v>
      </c>
      <c r="P637" s="14">
        <v>288.21857142857152</v>
      </c>
      <c r="Q637" s="14">
        <v>287.61857142857156</v>
      </c>
      <c r="R637" s="14">
        <v>288.81857142857154</v>
      </c>
      <c r="S637" s="14">
        <v>288.21857142857152</v>
      </c>
      <c r="T637" s="3">
        <v>288.22000000000003</v>
      </c>
      <c r="U637" s="3">
        <v>0.6</v>
      </c>
      <c r="V637" s="3">
        <v>3102.67</v>
      </c>
      <c r="W637" s="3">
        <v>3637.64</v>
      </c>
      <c r="X637" s="3">
        <v>3356.2</v>
      </c>
      <c r="Y637" s="3">
        <v>3358.34</v>
      </c>
      <c r="Z637" s="3">
        <v>267.48500000000001</v>
      </c>
      <c r="AA637" s="4">
        <v>9.8199999999999996E-2</v>
      </c>
      <c r="AB637" s="4">
        <v>8.0258589999999998E-3</v>
      </c>
      <c r="AC637">
        <v>1.1476266666666668</v>
      </c>
      <c r="AD637" s="15">
        <v>7.4539999999999997</v>
      </c>
      <c r="AE637" s="15">
        <v>2.1663000000000001</v>
      </c>
      <c r="AF637" s="15">
        <f t="shared" si="109"/>
        <v>5.2876999999999992</v>
      </c>
      <c r="AG637" s="15">
        <v>1.0186733333333333</v>
      </c>
      <c r="AH637" s="15">
        <v>83.846923112702925</v>
      </c>
      <c r="AI637" s="2">
        <v>16.153076887297075</v>
      </c>
      <c r="AJ637" s="1">
        <f t="shared" si="110"/>
        <v>0.80765384436485377</v>
      </c>
      <c r="AK637" s="13">
        <v>6.5299999999999997E-2</v>
      </c>
      <c r="AL637" s="16">
        <v>39.02894491</v>
      </c>
      <c r="AM637" s="10">
        <v>1.9514472455</v>
      </c>
      <c r="AN637" s="16">
        <v>22.63859913573086</v>
      </c>
      <c r="AO637" s="11">
        <v>1.9535215258526171</v>
      </c>
      <c r="AP637" s="14">
        <v>5.0920987500000008</v>
      </c>
      <c r="AQ637" s="2">
        <f>AP637*((G637*0.01)+(H637*0.01)+(I637*0.01))</f>
        <v>0.29788777687500001</v>
      </c>
      <c r="AR637" s="15">
        <v>1.2384624970859672</v>
      </c>
      <c r="AS637" s="15">
        <v>0.20004979937463568</v>
      </c>
      <c r="AT637" s="15">
        <f t="shared" si="111"/>
        <v>1.3318623158709608E-2</v>
      </c>
      <c r="AU637" s="2">
        <f t="shared" si="112"/>
        <v>1.9644890298589224E-2</v>
      </c>
      <c r="AV637" s="2">
        <f t="shared" si="113"/>
        <v>2.4571148766527528E-3</v>
      </c>
      <c r="AW637" s="3">
        <f t="shared" si="114"/>
        <v>12.507653844364853</v>
      </c>
    </row>
    <row r="638" spans="1:49" s="5" customFormat="1" x14ac:dyDescent="0.2">
      <c r="A638" s="5" t="s">
        <v>480</v>
      </c>
      <c r="B638" s="5" t="s">
        <v>481</v>
      </c>
      <c r="C638" s="5" t="s">
        <v>708</v>
      </c>
      <c r="D638" s="5" t="s">
        <v>714</v>
      </c>
      <c r="E638" s="13" t="s">
        <v>710</v>
      </c>
      <c r="F638" s="5">
        <v>263</v>
      </c>
      <c r="G638" s="14">
        <v>2.25</v>
      </c>
      <c r="H638" s="14">
        <v>2.2000000000000002</v>
      </c>
      <c r="I638" s="14">
        <v>1.2</v>
      </c>
      <c r="J638">
        <v>5.24</v>
      </c>
      <c r="K638">
        <v>6.44</v>
      </c>
      <c r="L638">
        <v>5.84</v>
      </c>
      <c r="M638">
        <v>0.16</v>
      </c>
      <c r="N638" s="14">
        <v>288.98000000000013</v>
      </c>
      <c r="O638" s="14">
        <v>290.18000000000012</v>
      </c>
      <c r="P638" s="14">
        <v>289.58000000000015</v>
      </c>
      <c r="Q638" s="14">
        <v>288.98000000000013</v>
      </c>
      <c r="R638" s="14">
        <v>290.18000000000012</v>
      </c>
      <c r="S638" s="14">
        <v>289.58000000000015</v>
      </c>
      <c r="T638" s="3">
        <v>289.58</v>
      </c>
      <c r="U638" s="3">
        <v>0.6</v>
      </c>
      <c r="V638" s="3">
        <v>3110.85</v>
      </c>
      <c r="W638" s="3">
        <v>3654.42</v>
      </c>
      <c r="X638" s="3">
        <v>3369.49</v>
      </c>
      <c r="Y638" s="3">
        <v>3372.21</v>
      </c>
      <c r="Z638" s="3">
        <v>271.78500000000003</v>
      </c>
      <c r="AA638" s="4">
        <v>0.10059999999999999</v>
      </c>
      <c r="AB638" s="4">
        <v>8.3163490000000007E-3</v>
      </c>
      <c r="AC638">
        <v>1.1476266666666668</v>
      </c>
      <c r="AD638" s="15">
        <v>6.8971999999999998</v>
      </c>
      <c r="AE638" s="15">
        <v>1.9826999999999999</v>
      </c>
      <c r="AF638" s="15">
        <f t="shared" si="109"/>
        <v>4.9145000000000003</v>
      </c>
      <c r="AG638" s="15">
        <v>0.83507333333333311</v>
      </c>
      <c r="AH638" s="15">
        <v>85.475907777504659</v>
      </c>
      <c r="AI638" s="2">
        <v>14.524092222495341</v>
      </c>
      <c r="AJ638" s="1">
        <f t="shared" si="110"/>
        <v>0.72620461112476709</v>
      </c>
      <c r="AK638" s="13">
        <v>5.3900000000000003E-2</v>
      </c>
      <c r="AL638" s="16">
        <v>66.563275430000004</v>
      </c>
      <c r="AM638" s="10">
        <v>3.3281637715000003</v>
      </c>
      <c r="AN638" s="16">
        <v>38.609788532482604</v>
      </c>
      <c r="AO638" s="11">
        <v>3.329380436346244</v>
      </c>
      <c r="AP638" s="14">
        <v>4.6634887500000008</v>
      </c>
      <c r="AQ638" s="2">
        <f>AP638*((G638*0.01)+(H638*0.01)+(I638*0.01))</f>
        <v>0.263487114375</v>
      </c>
      <c r="AR638" s="15">
        <v>1.2328910053301474</v>
      </c>
      <c r="AS638" s="15">
        <v>0.17906622661700061</v>
      </c>
      <c r="AT638" s="15">
        <f t="shared" si="111"/>
        <v>1.1417628998520314E-2</v>
      </c>
      <c r="AU638" s="2">
        <f t="shared" si="112"/>
        <v>1.8014062397670262E-2</v>
      </c>
      <c r="AV638" s="2">
        <f t="shared" si="113"/>
        <v>2.1664080027195133E-3</v>
      </c>
      <c r="AW638" s="3">
        <f t="shared" si="114"/>
        <v>12.026204611124763</v>
      </c>
    </row>
    <row r="639" spans="1:49" s="5" customFormat="1" x14ac:dyDescent="0.2">
      <c r="A639" s="5" t="s">
        <v>480</v>
      </c>
      <c r="B639" s="5" t="s">
        <v>481</v>
      </c>
      <c r="C639" s="5" t="s">
        <v>708</v>
      </c>
      <c r="D639" s="5" t="s">
        <v>715</v>
      </c>
      <c r="E639" s="13" t="s">
        <v>710</v>
      </c>
      <c r="F639" s="5">
        <v>264</v>
      </c>
      <c r="G639" s="14">
        <v>2.1</v>
      </c>
      <c r="H639" s="14">
        <v>2.25</v>
      </c>
      <c r="I639" s="14">
        <v>1.2</v>
      </c>
      <c r="J639">
        <v>6.6</v>
      </c>
      <c r="K639">
        <v>7.8</v>
      </c>
      <c r="L639">
        <v>7.2</v>
      </c>
      <c r="M639">
        <v>0.16</v>
      </c>
      <c r="N639" s="14">
        <v>290.34142857142871</v>
      </c>
      <c r="O639" s="14">
        <v>291.5414285714287</v>
      </c>
      <c r="P639" s="14">
        <v>290.94142857142867</v>
      </c>
      <c r="Q639" s="14">
        <v>290.34142857142871</v>
      </c>
      <c r="R639" s="14">
        <v>291.5414285714287</v>
      </c>
      <c r="S639" s="14">
        <v>290.94142857142867</v>
      </c>
      <c r="T639" s="3">
        <v>290.94</v>
      </c>
      <c r="U639" s="3">
        <v>0.6</v>
      </c>
      <c r="V639" s="3">
        <v>3129.21</v>
      </c>
      <c r="W639" s="3">
        <v>3668.72</v>
      </c>
      <c r="X639" s="3">
        <v>3382.43</v>
      </c>
      <c r="Y639" s="3">
        <v>3385.74</v>
      </c>
      <c r="Z639" s="3">
        <v>269.755</v>
      </c>
      <c r="AA639" s="4">
        <v>0.10150000000000001</v>
      </c>
      <c r="AB639" s="4">
        <v>8.2962190000000005E-3</v>
      </c>
      <c r="AC639">
        <v>1.1476266666666668</v>
      </c>
      <c r="AD639" s="15">
        <v>6.4791999999999996</v>
      </c>
      <c r="AE639" s="15">
        <v>1.9004000000000001</v>
      </c>
      <c r="AF639" s="15">
        <f t="shared" si="109"/>
        <v>4.5787999999999993</v>
      </c>
      <c r="AG639" s="15">
        <v>0.75277333333333329</v>
      </c>
      <c r="AH639" s="15">
        <v>85.880840677423549</v>
      </c>
      <c r="AI639" s="2">
        <v>14.119159322576451</v>
      </c>
      <c r="AJ639" s="1">
        <f t="shared" si="110"/>
        <v>0.70595796612882256</v>
      </c>
      <c r="AK639" s="13">
        <v>2.63E-2</v>
      </c>
      <c r="AL639" s="16">
        <v>73.908730160000005</v>
      </c>
      <c r="AM639" s="10">
        <v>3.6954365080000002</v>
      </c>
      <c r="AN639" s="16">
        <v>42.87049313225058</v>
      </c>
      <c r="AO639" s="11">
        <v>3.6965322918458643</v>
      </c>
      <c r="AP639" s="14">
        <v>4.4562487499999994</v>
      </c>
      <c r="AQ639" s="2">
        <f>AP639*((G639*0.01)+(H639*0.01)+(I639*0.01))</f>
        <v>0.24732180562499995</v>
      </c>
      <c r="AR639" s="15">
        <v>1.1964263290583439</v>
      </c>
      <c r="AS639" s="15">
        <v>0.16892533957700037</v>
      </c>
      <c r="AT639" s="15">
        <f t="shared" si="111"/>
        <v>1.0567898238077519E-2</v>
      </c>
      <c r="AU639" s="2">
        <f t="shared" si="112"/>
        <v>1.714592196706554E-2</v>
      </c>
      <c r="AV639" s="2">
        <f t="shared" si="113"/>
        <v>2.0242403403370056E-3</v>
      </c>
      <c r="AW639" s="3">
        <f t="shared" si="114"/>
        <v>11.805957966128823</v>
      </c>
    </row>
    <row r="640" spans="1:49" s="5" customFormat="1" x14ac:dyDescent="0.2">
      <c r="A640" s="5" t="s">
        <v>480</v>
      </c>
      <c r="B640" s="5" t="s">
        <v>481</v>
      </c>
      <c r="C640" s="5" t="s">
        <v>708</v>
      </c>
      <c r="D640" s="5" t="s">
        <v>716</v>
      </c>
      <c r="E640" s="13" t="s">
        <v>710</v>
      </c>
      <c r="F640" s="5">
        <v>265</v>
      </c>
      <c r="G640" s="14">
        <v>2.15</v>
      </c>
      <c r="H640" s="14">
        <v>2.1</v>
      </c>
      <c r="I640" s="14">
        <v>1.1499999999999999</v>
      </c>
      <c r="J640">
        <v>7.96</v>
      </c>
      <c r="K640">
        <v>9.16</v>
      </c>
      <c r="L640">
        <v>8.56</v>
      </c>
      <c r="M640">
        <v>0.16</v>
      </c>
      <c r="N640" s="14">
        <v>291.70285714285728</v>
      </c>
      <c r="O640" s="14">
        <v>292.85285714285726</v>
      </c>
      <c r="P640" s="14">
        <v>292.27785714285727</v>
      </c>
      <c r="Q640" s="14">
        <v>291.70285714285728</v>
      </c>
      <c r="R640" s="14">
        <v>292.85285714285726</v>
      </c>
      <c r="S640" s="14">
        <v>292.27785714285727</v>
      </c>
      <c r="T640" s="3">
        <v>292.27999999999997</v>
      </c>
      <c r="U640" s="3">
        <v>0.57499999999999996</v>
      </c>
      <c r="V640" s="3">
        <v>3146.42</v>
      </c>
      <c r="W640" s="3">
        <v>3681.54</v>
      </c>
      <c r="X640" s="3">
        <v>3395.81</v>
      </c>
      <c r="Y640" s="3">
        <v>3398.91</v>
      </c>
      <c r="Z640" s="3">
        <v>267.56</v>
      </c>
      <c r="AA640" s="4">
        <v>0.1022</v>
      </c>
      <c r="AB640" s="4">
        <v>8.2461749999999997E-3</v>
      </c>
      <c r="AC640">
        <v>1.1476266666666668</v>
      </c>
      <c r="AD640" s="15">
        <v>6.4645000000000001</v>
      </c>
      <c r="AE640" s="15">
        <v>1.8559000000000001</v>
      </c>
      <c r="AF640" s="15">
        <f t="shared" si="109"/>
        <v>4.6086</v>
      </c>
      <c r="AG640" s="15">
        <v>0.70827333333333331</v>
      </c>
      <c r="AH640" s="15">
        <v>86.67876233024171</v>
      </c>
      <c r="AI640" s="2">
        <v>13.32123766975829</v>
      </c>
      <c r="AJ640" s="1">
        <f t="shared" si="110"/>
        <v>0.66606188348791451</v>
      </c>
      <c r="AK640" s="13">
        <v>1.9800000000000002E-2</v>
      </c>
      <c r="AL640" s="16">
        <v>76.20192308</v>
      </c>
      <c r="AM640" s="10">
        <v>3.810096154</v>
      </c>
      <c r="AN640" s="16">
        <v>44.200651438515081</v>
      </c>
      <c r="AO640" s="11">
        <v>3.8111589710645228</v>
      </c>
      <c r="AP640" s="14">
        <v>4.0764804687499998</v>
      </c>
      <c r="AQ640" s="2">
        <f>AP640*((G640*0.01)+(H640*0.01)+(I640*0.01))</f>
        <v>0.22012994531249996</v>
      </c>
      <c r="AR640" s="15">
        <v>1.304280340379917</v>
      </c>
      <c r="AS640" s="15">
        <v>0.17374628402194117</v>
      </c>
      <c r="AT640" s="15">
        <f t="shared" si="111"/>
        <v>1.0539557109031625E-2</v>
      </c>
      <c r="AU640" s="2">
        <f t="shared" si="112"/>
        <v>1.7756870227042389E-2</v>
      </c>
      <c r="AV640" s="2">
        <f t="shared" si="113"/>
        <v>2.0360137288033212E-3</v>
      </c>
      <c r="AW640" s="3">
        <f t="shared" si="114"/>
        <v>11.466061883487914</v>
      </c>
    </row>
    <row r="641" spans="1:49" s="5" customFormat="1" x14ac:dyDescent="0.2">
      <c r="A641" s="5" t="s">
        <v>480</v>
      </c>
      <c r="B641" s="5" t="s">
        <v>481</v>
      </c>
      <c r="C641" s="5" t="s">
        <v>708</v>
      </c>
      <c r="D641" s="5" t="s">
        <v>717</v>
      </c>
      <c r="E641" s="13" t="s">
        <v>710</v>
      </c>
      <c r="F641" s="5">
        <v>266</v>
      </c>
      <c r="G641" s="14">
        <v>2.2000000000000002</v>
      </c>
      <c r="H641" s="14">
        <v>2.2000000000000002</v>
      </c>
      <c r="I641" s="14">
        <v>1.2</v>
      </c>
      <c r="J641">
        <v>9.32</v>
      </c>
      <c r="K641">
        <v>10.52</v>
      </c>
      <c r="L641">
        <v>9.92</v>
      </c>
      <c r="M641">
        <v>0.16</v>
      </c>
      <c r="N641" s="14">
        <v>293.01428571428585</v>
      </c>
      <c r="O641" s="14">
        <v>294.21428571428584</v>
      </c>
      <c r="P641" s="14">
        <v>293.61428571428587</v>
      </c>
      <c r="Q641" s="14">
        <v>293.01428571428585</v>
      </c>
      <c r="R641" s="14">
        <v>294.21428571428584</v>
      </c>
      <c r="S641" s="14">
        <v>293.61428571428587</v>
      </c>
      <c r="T641" s="3">
        <v>293.61</v>
      </c>
      <c r="U641" s="3">
        <v>0.6</v>
      </c>
      <c r="V641" s="3">
        <v>3161.5</v>
      </c>
      <c r="W641" s="3">
        <v>3690.15</v>
      </c>
      <c r="X641" s="3">
        <v>3408.24</v>
      </c>
      <c r="Y641" s="3">
        <v>3411.99</v>
      </c>
      <c r="Z641" s="3">
        <v>264.32499999999999</v>
      </c>
      <c r="AA641" s="4">
        <v>0.10150000000000001</v>
      </c>
      <c r="AB641" s="4">
        <v>8.0705680000000002E-3</v>
      </c>
      <c r="AC641">
        <v>1.1476266666666668</v>
      </c>
      <c r="AD641" s="15">
        <v>7.3160999999999996</v>
      </c>
      <c r="AE641" s="15">
        <v>2.0042</v>
      </c>
      <c r="AF641" s="15">
        <f t="shared" si="109"/>
        <v>5.3118999999999996</v>
      </c>
      <c r="AG641" s="15">
        <v>0.85657333333333319</v>
      </c>
      <c r="AH641" s="15">
        <v>86.113689935164942</v>
      </c>
      <c r="AI641" s="2">
        <v>13.886310064835058</v>
      </c>
      <c r="AJ641" s="1">
        <f t="shared" si="110"/>
        <v>0.69431550324175295</v>
      </c>
      <c r="AK641" s="13">
        <v>2.1899999999999999E-2</v>
      </c>
      <c r="AL641" s="16">
        <v>73.357664229999997</v>
      </c>
      <c r="AM641" s="10">
        <v>3.6678832115</v>
      </c>
      <c r="AN641" s="16">
        <v>42.550849321345709</v>
      </c>
      <c r="AO641" s="11">
        <v>3.6689872244535757</v>
      </c>
      <c r="AP641" s="14">
        <v>4.5592800000000011</v>
      </c>
      <c r="AQ641" s="2">
        <f>AP641*((G641*0.01)+(H641*0.01)+(I641*0.01))</f>
        <v>0.2553196800000001</v>
      </c>
      <c r="AR641" s="15">
        <v>1.3529490036438498</v>
      </c>
      <c r="AS641" s="15">
        <v>0.18787469366508155</v>
      </c>
      <c r="AT641" s="15">
        <f t="shared" si="111"/>
        <v>1.1825425970029182E-2</v>
      </c>
      <c r="AU641" s="2">
        <f t="shared" si="112"/>
        <v>1.906928140700578E-2</v>
      </c>
      <c r="AV641" s="2">
        <f t="shared" si="113"/>
        <v>2.2681604947502858E-3</v>
      </c>
      <c r="AW641" s="3">
        <f t="shared" si="114"/>
        <v>11.894315503241755</v>
      </c>
    </row>
    <row r="642" spans="1:49" s="5" customFormat="1" x14ac:dyDescent="0.2">
      <c r="A642" s="5" t="s">
        <v>480</v>
      </c>
      <c r="B642" s="5" t="s">
        <v>481</v>
      </c>
      <c r="C642" s="5" t="s">
        <v>708</v>
      </c>
      <c r="D642" s="5" t="s">
        <v>718</v>
      </c>
      <c r="E642" s="13" t="s">
        <v>710</v>
      </c>
      <c r="F642" s="5">
        <v>267</v>
      </c>
      <c r="G642" s="14">
        <v>2.2000000000000002</v>
      </c>
      <c r="H642" s="14">
        <v>2.1</v>
      </c>
      <c r="I642" s="14">
        <v>1.1499999999999999</v>
      </c>
      <c r="J642">
        <v>10.68</v>
      </c>
      <c r="K642">
        <v>11.88</v>
      </c>
      <c r="L642">
        <v>11.28</v>
      </c>
      <c r="M642">
        <v>0.16</v>
      </c>
      <c r="N642" s="14">
        <v>294.37571428571442</v>
      </c>
      <c r="O642" s="14">
        <v>295.5257142857144</v>
      </c>
      <c r="P642" s="14">
        <v>294.95071428571441</v>
      </c>
      <c r="Q642" s="14">
        <v>294.37571428571442</v>
      </c>
      <c r="R642" s="14">
        <v>295.5257142857144</v>
      </c>
      <c r="S642" s="14">
        <v>294.95071428571441</v>
      </c>
      <c r="T642" s="3">
        <v>294.95</v>
      </c>
      <c r="U642" s="3">
        <v>0.57499999999999996</v>
      </c>
      <c r="V642" s="3">
        <v>3175.33</v>
      </c>
      <c r="W642" s="3">
        <v>3698.16</v>
      </c>
      <c r="X642" s="3">
        <v>3422.31</v>
      </c>
      <c r="Y642" s="3">
        <v>3425.16</v>
      </c>
      <c r="Z642" s="3">
        <v>261.41500000000002</v>
      </c>
      <c r="AA642" s="4">
        <v>0.10150000000000001</v>
      </c>
      <c r="AB642" s="4">
        <v>7.9445539999999995E-3</v>
      </c>
      <c r="AC642">
        <v>1.1476266666666668</v>
      </c>
      <c r="AD642" s="15">
        <v>7.1894999999999998</v>
      </c>
      <c r="AE642" s="15">
        <v>1.9798</v>
      </c>
      <c r="AF642" s="15">
        <f t="shared" si="109"/>
        <v>5.2096999999999998</v>
      </c>
      <c r="AG642" s="15">
        <v>0.83217333333333321</v>
      </c>
      <c r="AH642" s="15">
        <v>86.226567698098052</v>
      </c>
      <c r="AI642" s="2">
        <v>13.773432301901948</v>
      </c>
      <c r="AJ642" s="1">
        <f t="shared" si="110"/>
        <v>0.68867161509509744</v>
      </c>
      <c r="AK642" s="13">
        <v>3.6200000000000003E-2</v>
      </c>
      <c r="AL642" s="16">
        <v>68.439407149999994</v>
      </c>
      <c r="AM642" s="10">
        <v>3.4219703574999998</v>
      </c>
      <c r="AN642" s="16">
        <v>39.698031989559162</v>
      </c>
      <c r="AO642" s="11">
        <v>3.4231536815645129</v>
      </c>
      <c r="AP642" s="14">
        <v>4.1729618750000013</v>
      </c>
      <c r="AQ642" s="2">
        <f>AP642*((G642*0.01)+(H642*0.01)+(I642*0.01))</f>
        <v>0.22742642218750009</v>
      </c>
      <c r="AR642" s="15">
        <v>1.4478620975499163</v>
      </c>
      <c r="AS642" s="15">
        <v>0.19942030583093523</v>
      </c>
      <c r="AT642" s="15">
        <f t="shared" si="111"/>
        <v>1.2241757708779456E-2</v>
      </c>
      <c r="AU642" s="2">
        <f t="shared" si="112"/>
        <v>2.0241161041839928E-2</v>
      </c>
      <c r="AV642" s="2">
        <f t="shared" si="113"/>
        <v>2.345681684221391E-3</v>
      </c>
      <c r="AW642" s="3">
        <f t="shared" si="114"/>
        <v>11.588671615095098</v>
      </c>
    </row>
    <row r="643" spans="1:49" s="5" customFormat="1" x14ac:dyDescent="0.2">
      <c r="A643" s="5" t="s">
        <v>480</v>
      </c>
      <c r="B643" s="5" t="s">
        <v>481</v>
      </c>
      <c r="C643" s="5" t="s">
        <v>708</v>
      </c>
      <c r="D643" s="5" t="s">
        <v>719</v>
      </c>
      <c r="E643" s="13" t="s">
        <v>710</v>
      </c>
      <c r="F643" s="5">
        <v>268</v>
      </c>
      <c r="G643" s="14">
        <v>2.2999999999999998</v>
      </c>
      <c r="H643" s="14">
        <v>2.2000000000000002</v>
      </c>
      <c r="I643" s="14">
        <v>1.2</v>
      </c>
      <c r="J643">
        <v>12.04</v>
      </c>
      <c r="K643">
        <v>13.24</v>
      </c>
      <c r="L643">
        <v>12.64</v>
      </c>
      <c r="M643">
        <v>0.16</v>
      </c>
      <c r="N643" s="14">
        <v>295.68714285714299</v>
      </c>
      <c r="O643" s="14">
        <v>296.88714285714298</v>
      </c>
      <c r="P643" s="14">
        <v>296.28714285714295</v>
      </c>
      <c r="Q643" s="14">
        <v>295.68714285714299</v>
      </c>
      <c r="R643" s="14">
        <v>296.88714285714298</v>
      </c>
      <c r="S643" s="14">
        <v>296.28714285714295</v>
      </c>
      <c r="T643" s="3">
        <v>296.29000000000002</v>
      </c>
      <c r="U643" s="3">
        <v>0.6</v>
      </c>
      <c r="V643" s="3">
        <v>3189.05</v>
      </c>
      <c r="W643" s="3">
        <v>3716.49</v>
      </c>
      <c r="X643" s="3">
        <v>3434.88</v>
      </c>
      <c r="Y643" s="3">
        <v>3438.33</v>
      </c>
      <c r="Z643" s="3">
        <v>263.72000000000003</v>
      </c>
      <c r="AA643" s="4">
        <v>0.1022</v>
      </c>
      <c r="AB643" s="4">
        <v>8.0457020000000001E-3</v>
      </c>
      <c r="AC643">
        <v>1.1476266666666668</v>
      </c>
      <c r="AD643" s="15">
        <v>7.3493000000000004</v>
      </c>
      <c r="AE643" s="15">
        <v>2.0032999999999999</v>
      </c>
      <c r="AF643" s="15">
        <f t="shared" si="109"/>
        <v>5.3460000000000001</v>
      </c>
      <c r="AG643" s="15">
        <v>0.85567333333333306</v>
      </c>
      <c r="AH643" s="15">
        <v>86.202541034624005</v>
      </c>
      <c r="AI643" s="2">
        <v>13.797458965375995</v>
      </c>
      <c r="AJ643" s="1">
        <f t="shared" si="110"/>
        <v>0.68987294826879975</v>
      </c>
      <c r="AK643" s="13">
        <v>2.9100000000000001E-2</v>
      </c>
      <c r="AL643" s="16">
        <v>69.432773109999999</v>
      </c>
      <c r="AM643" s="10">
        <v>3.4716386555000001</v>
      </c>
      <c r="AN643" s="16">
        <v>40.274230342227376</v>
      </c>
      <c r="AO643" s="11">
        <v>3.4728050556231702</v>
      </c>
      <c r="AP643" s="14">
        <v>4.7688749999999995</v>
      </c>
      <c r="AQ643" s="2">
        <f>AP643*((G643*0.01)+(H643*0.01)+(I643*0.01))</f>
        <v>0.27182587499999994</v>
      </c>
      <c r="AR643" s="15">
        <v>1.3004478694311203</v>
      </c>
      <c r="AS643" s="15">
        <v>0.1794287611508654</v>
      </c>
      <c r="AT643" s="15">
        <f t="shared" si="111"/>
        <v>1.1465269870192984E-2</v>
      </c>
      <c r="AU643" s="2">
        <f t="shared" si="112"/>
        <v>1.8337619389618445E-2</v>
      </c>
      <c r="AV643" s="2">
        <f t="shared" si="113"/>
        <v>2.2169948859419742E-3</v>
      </c>
      <c r="AW643" s="3">
        <f t="shared" si="114"/>
        <v>12.089872948268798</v>
      </c>
    </row>
    <row r="644" spans="1:49" s="5" customFormat="1" x14ac:dyDescent="0.2">
      <c r="A644" s="5" t="s">
        <v>480</v>
      </c>
      <c r="B644" s="5" t="s">
        <v>481</v>
      </c>
      <c r="C644" s="5" t="s">
        <v>708</v>
      </c>
      <c r="D644" s="5" t="s">
        <v>720</v>
      </c>
      <c r="E644" s="13" t="s">
        <v>710</v>
      </c>
      <c r="F644" s="5">
        <v>269</v>
      </c>
      <c r="G644" s="14">
        <v>2.25</v>
      </c>
      <c r="H644" s="14">
        <v>1.9</v>
      </c>
      <c r="I644" s="14">
        <v>1.1499999999999999</v>
      </c>
      <c r="J644">
        <v>13.4</v>
      </c>
      <c r="K644">
        <v>14.6</v>
      </c>
      <c r="L644">
        <v>14</v>
      </c>
      <c r="M644">
        <v>0.16</v>
      </c>
      <c r="N644" s="14">
        <v>297.04857142857156</v>
      </c>
      <c r="O644" s="14">
        <v>298.19857142857154</v>
      </c>
      <c r="P644" s="14">
        <v>297.62357142857155</v>
      </c>
      <c r="Q644" s="14">
        <v>297.04857142857156</v>
      </c>
      <c r="R644" s="14">
        <v>298.19857142857154</v>
      </c>
      <c r="S644" s="14">
        <v>297.62357142857155</v>
      </c>
      <c r="T644" s="3">
        <v>297.62</v>
      </c>
      <c r="U644" s="3">
        <v>0.57499999999999996</v>
      </c>
      <c r="V644" s="3">
        <v>3202.34</v>
      </c>
      <c r="W644" s="3">
        <v>3734.75</v>
      </c>
      <c r="X644" s="3">
        <v>3448.25</v>
      </c>
      <c r="Y644" s="3">
        <v>3451.41</v>
      </c>
      <c r="Z644" s="3">
        <v>266.20499999999998</v>
      </c>
      <c r="AA644" s="4">
        <v>0.10100000000000001</v>
      </c>
      <c r="AB644" s="4">
        <v>7.9851950000000005E-3</v>
      </c>
      <c r="AC644">
        <v>1.1476266666666668</v>
      </c>
      <c r="AD644" s="15">
        <v>6.8071999999999999</v>
      </c>
      <c r="AE644" s="15">
        <v>2.133</v>
      </c>
      <c r="AF644" s="15">
        <f t="shared" si="109"/>
        <v>4.6741999999999999</v>
      </c>
      <c r="AG644" s="15">
        <v>0.98537333333333321</v>
      </c>
      <c r="AH644" s="15">
        <v>82.589264679551803</v>
      </c>
      <c r="AI644" s="2">
        <v>17.410735320448197</v>
      </c>
      <c r="AJ644" s="1">
        <f t="shared" si="110"/>
        <v>0.87053676602240992</v>
      </c>
      <c r="AK644" s="13">
        <v>4.6100000000000002E-2</v>
      </c>
      <c r="AL644" s="16">
        <v>57.976298999999997</v>
      </c>
      <c r="AM644" s="10">
        <v>2.8988149500000002</v>
      </c>
      <c r="AN644" s="16">
        <v>33.628943735498837</v>
      </c>
      <c r="AO644" s="11">
        <v>2.9002117361226412</v>
      </c>
      <c r="AP644" s="14">
        <v>3.8869029687500007</v>
      </c>
      <c r="AQ644" s="2">
        <f>AP644*((G644*0.01)+(H644*0.01)+(I644*0.01))</f>
        <v>0.20600585734375002</v>
      </c>
      <c r="AR644" s="15">
        <v>1.4560624175173096</v>
      </c>
      <c r="AS644" s="15">
        <v>0.25351117361445791</v>
      </c>
      <c r="AT644" s="15">
        <f t="shared" si="111"/>
        <v>1.5643000173855028E-2</v>
      </c>
      <c r="AU644" s="2">
        <f t="shared" si="112"/>
        <v>2.560462853506025E-2</v>
      </c>
      <c r="AV644" s="2">
        <f t="shared" si="113"/>
        <v>2.9369883299175514E-3</v>
      </c>
      <c r="AW644" s="3">
        <f t="shared" si="114"/>
        <v>11.470536766022409</v>
      </c>
    </row>
    <row r="645" spans="1:49" s="5" customFormat="1" x14ac:dyDescent="0.2">
      <c r="A645" s="5" t="s">
        <v>480</v>
      </c>
      <c r="B645" s="5" t="s">
        <v>481</v>
      </c>
      <c r="C645" s="5" t="s">
        <v>708</v>
      </c>
      <c r="D645" s="5" t="s">
        <v>721</v>
      </c>
      <c r="E645" s="13" t="s">
        <v>710</v>
      </c>
      <c r="F645" s="5">
        <v>270</v>
      </c>
      <c r="G645" s="14">
        <v>2.2000000000000002</v>
      </c>
      <c r="H645" s="14">
        <v>2.1</v>
      </c>
      <c r="I645" s="14">
        <v>1.1499999999999999</v>
      </c>
      <c r="J645">
        <v>14.76</v>
      </c>
      <c r="K645">
        <v>15.96</v>
      </c>
      <c r="L645">
        <v>15.36</v>
      </c>
      <c r="M645">
        <v>0.16</v>
      </c>
      <c r="N645" s="14">
        <v>298.36000000000013</v>
      </c>
      <c r="O645" s="14">
        <v>299.5100000000001</v>
      </c>
      <c r="P645" s="14">
        <v>298.93500000000012</v>
      </c>
      <c r="Q645" s="14">
        <v>298.36000000000013</v>
      </c>
      <c r="R645" s="14">
        <v>299.5100000000001</v>
      </c>
      <c r="S645" s="14">
        <v>298.93500000000012</v>
      </c>
      <c r="T645" s="3">
        <v>298.94</v>
      </c>
      <c r="U645" s="3">
        <v>0.57499999999999996</v>
      </c>
      <c r="V645" s="3">
        <v>3210.05</v>
      </c>
      <c r="W645" s="3">
        <v>3746.62</v>
      </c>
      <c r="X645" s="3">
        <v>3461.88</v>
      </c>
      <c r="Y645" s="3">
        <v>3464.39</v>
      </c>
      <c r="Z645" s="3">
        <v>268.28500000000003</v>
      </c>
      <c r="AA645" s="4">
        <v>0.1011</v>
      </c>
      <c r="AB645" s="4">
        <v>8.023723E-3</v>
      </c>
      <c r="AC645">
        <v>1.1476266666666668</v>
      </c>
      <c r="AD645" s="15">
        <v>6.8113999999999999</v>
      </c>
      <c r="AE645" s="15">
        <v>2.0175000000000001</v>
      </c>
      <c r="AF645" s="15">
        <f t="shared" si="109"/>
        <v>4.7938999999999998</v>
      </c>
      <c r="AG645" s="15">
        <v>0.86987333333333328</v>
      </c>
      <c r="AH645" s="15">
        <v>84.641452223841355</v>
      </c>
      <c r="AI645" s="2">
        <v>15.358547776158645</v>
      </c>
      <c r="AJ645" s="1">
        <f t="shared" si="110"/>
        <v>0.76792738880793232</v>
      </c>
      <c r="AK645" s="13">
        <v>3.8699999999999998E-2</v>
      </c>
      <c r="AL645" s="16">
        <v>67.341772149999997</v>
      </c>
      <c r="AM645" s="10">
        <v>3.3670886074999999</v>
      </c>
      <c r="AN645" s="16">
        <v>39.061352755220419</v>
      </c>
      <c r="AO645" s="11">
        <v>3.3682912122849902</v>
      </c>
      <c r="AP645" s="14">
        <v>4.1729618750000013</v>
      </c>
      <c r="AQ645" s="2">
        <f>AP645*((G645*0.01)+(H645*0.01)+(I645*0.01))</f>
        <v>0.22742642218750009</v>
      </c>
      <c r="AR645" s="15">
        <v>1.3572549912963994</v>
      </c>
      <c r="AS645" s="15">
        <v>0.20845465628255541</v>
      </c>
      <c r="AT645" s="15">
        <f t="shared" si="111"/>
        <v>1.2961559166238449E-2</v>
      </c>
      <c r="AU645" s="2">
        <f t="shared" si="112"/>
        <v>2.1074765750166351E-2</v>
      </c>
      <c r="AV645" s="2">
        <f t="shared" si="113"/>
        <v>2.4589883650907732E-3</v>
      </c>
      <c r="AW645" s="3">
        <f t="shared" si="114"/>
        <v>11.667927388807932</v>
      </c>
    </row>
    <row r="646" spans="1:49" s="5" customFormat="1" x14ac:dyDescent="0.2">
      <c r="A646" s="5" t="s">
        <v>480</v>
      </c>
      <c r="B646" s="5" t="s">
        <v>481</v>
      </c>
      <c r="C646" s="5" t="s">
        <v>708</v>
      </c>
      <c r="D646" s="5" t="s">
        <v>722</v>
      </c>
      <c r="E646" s="13" t="s">
        <v>710</v>
      </c>
      <c r="F646" s="5">
        <v>271</v>
      </c>
      <c r="G646" s="14">
        <v>2.35</v>
      </c>
      <c r="H646" s="14">
        <v>2.0499999999999998</v>
      </c>
      <c r="I646" s="14">
        <v>1.1499999999999999</v>
      </c>
      <c r="J646">
        <v>16.12</v>
      </c>
      <c r="K646">
        <v>17.32</v>
      </c>
      <c r="L646">
        <v>16.72</v>
      </c>
      <c r="M646">
        <v>0.16</v>
      </c>
      <c r="N646" s="14">
        <v>299.67142857142869</v>
      </c>
      <c r="O646" s="14">
        <v>300.82142857142867</v>
      </c>
      <c r="P646" s="14">
        <v>300.24642857142868</v>
      </c>
      <c r="Q646" s="14">
        <v>299.67142857142869</v>
      </c>
      <c r="R646" s="14">
        <v>300.82142857142867</v>
      </c>
      <c r="S646" s="14">
        <v>300.24642857142868</v>
      </c>
      <c r="T646" s="3">
        <v>300.25</v>
      </c>
      <c r="U646" s="3">
        <v>0.57499999999999996</v>
      </c>
      <c r="V646" s="3">
        <v>3220.1</v>
      </c>
      <c r="W646" s="3">
        <v>3758.9</v>
      </c>
      <c r="X646" s="3">
        <v>3475.36</v>
      </c>
      <c r="Y646" s="3">
        <v>3477.36</v>
      </c>
      <c r="Z646" s="3">
        <v>269.39999999999998</v>
      </c>
      <c r="AA646" s="4">
        <v>9.8400000000000001E-2</v>
      </c>
      <c r="AB646" s="4">
        <v>7.8117430000000003E-3</v>
      </c>
      <c r="AC646">
        <v>1.1476266666666668</v>
      </c>
      <c r="AD646" s="15">
        <v>7.0617000000000001</v>
      </c>
      <c r="AE646" s="15">
        <v>2.3071000000000002</v>
      </c>
      <c r="AF646" s="15">
        <f t="shared" si="109"/>
        <v>4.7545999999999999</v>
      </c>
      <c r="AG646" s="15">
        <v>1.1594733333333334</v>
      </c>
      <c r="AH646" s="15">
        <v>80.394674398130562</v>
      </c>
      <c r="AI646" s="2">
        <v>19.605325601869438</v>
      </c>
      <c r="AJ646" s="1">
        <f t="shared" si="110"/>
        <v>0.98026628009347194</v>
      </c>
      <c r="AK646" s="13">
        <v>3.85E-2</v>
      </c>
      <c r="AL646" s="16">
        <v>52.933985329999999</v>
      </c>
      <c r="AM646" s="10">
        <v>2.6466992665000002</v>
      </c>
      <c r="AN646" s="16">
        <v>30.704167824825987</v>
      </c>
      <c r="AO646" s="11">
        <v>2.648229032257527</v>
      </c>
      <c r="AP646" s="14">
        <v>4.3693100000000014</v>
      </c>
      <c r="AQ646" s="2">
        <f>AP646*((G646*0.01)+(H646*0.01)+(I646*0.01))</f>
        <v>0.24249670500000003</v>
      </c>
      <c r="AR646" s="15">
        <v>1.3535485770827274</v>
      </c>
      <c r="AS646" s="15">
        <v>0.26536760571653945</v>
      </c>
      <c r="AT646" s="15">
        <f t="shared" si="111"/>
        <v>1.732921127439857E-2</v>
      </c>
      <c r="AU646" s="2">
        <f t="shared" si="112"/>
        <v>2.6112172402507482E-2</v>
      </c>
      <c r="AV646" s="2">
        <f t="shared" si="113"/>
        <v>3.1544199577399844E-3</v>
      </c>
      <c r="AW646" s="3">
        <f t="shared" si="114"/>
        <v>12.080266280093472</v>
      </c>
    </row>
    <row r="647" spans="1:49" s="5" customFormat="1" x14ac:dyDescent="0.2">
      <c r="A647" s="5" t="s">
        <v>480</v>
      </c>
      <c r="B647" s="5" t="s">
        <v>481</v>
      </c>
      <c r="C647" s="5" t="s">
        <v>708</v>
      </c>
      <c r="D647" s="5" t="s">
        <v>723</v>
      </c>
      <c r="E647" s="13" t="s">
        <v>710</v>
      </c>
      <c r="F647" s="5">
        <v>272</v>
      </c>
      <c r="G647" s="14">
        <v>2.25</v>
      </c>
      <c r="H647" s="14">
        <v>2</v>
      </c>
      <c r="I647" s="14">
        <v>1.2</v>
      </c>
      <c r="J647">
        <v>17.48</v>
      </c>
      <c r="K647">
        <v>18.68</v>
      </c>
      <c r="L647">
        <v>18.079999999999998</v>
      </c>
      <c r="M647">
        <v>0.16</v>
      </c>
      <c r="N647" s="14">
        <v>300.98285714285726</v>
      </c>
      <c r="O647" s="14">
        <v>302.18285714285724</v>
      </c>
      <c r="P647" s="14">
        <v>301.58285714285728</v>
      </c>
      <c r="Q647" s="14">
        <v>300.98285714285726</v>
      </c>
      <c r="R647" s="14">
        <v>302.18285714285724</v>
      </c>
      <c r="S647" s="14">
        <v>301.58285714285728</v>
      </c>
      <c r="T647" s="3">
        <v>301.58</v>
      </c>
      <c r="U647" s="3">
        <v>0.6</v>
      </c>
      <c r="V647" s="3">
        <v>3243.03</v>
      </c>
      <c r="W647" s="3">
        <v>3764.66</v>
      </c>
      <c r="X647" s="3">
        <v>3488.4</v>
      </c>
      <c r="Y647" s="3">
        <v>3490.94</v>
      </c>
      <c r="Z647" s="3">
        <v>260.815</v>
      </c>
      <c r="AA647" s="4">
        <v>9.8100000000000007E-2</v>
      </c>
      <c r="AB647" s="4">
        <v>7.5244159999999999E-3</v>
      </c>
      <c r="AC647">
        <v>1.1476266666666668</v>
      </c>
      <c r="AD647" s="15">
        <v>6.7888999999999999</v>
      </c>
      <c r="AE647" s="15">
        <v>2.1486999999999998</v>
      </c>
      <c r="AF647" s="15">
        <f t="shared" si="109"/>
        <v>4.6402000000000001</v>
      </c>
      <c r="AG647" s="15">
        <v>1.001073333333333</v>
      </c>
      <c r="AH647" s="15">
        <v>82.254479189686492</v>
      </c>
      <c r="AI647" s="2">
        <v>17.745520810313508</v>
      </c>
      <c r="AJ647" s="1">
        <f t="shared" si="110"/>
        <v>0.88727604051567543</v>
      </c>
      <c r="AK647" s="13">
        <v>6.25E-2</v>
      </c>
      <c r="AL647" s="16">
        <v>55.705173639999998</v>
      </c>
      <c r="AM647" s="10">
        <v>2.7852586820000003</v>
      </c>
      <c r="AN647" s="16">
        <v>32.311585638051042</v>
      </c>
      <c r="AO647" s="11">
        <v>2.7867123866047567</v>
      </c>
      <c r="AP647" s="14">
        <v>4.25371875</v>
      </c>
      <c r="AQ647" s="2">
        <f>AP647*((G647*0.01)+(H647*0.01)+(I647*0.01))</f>
        <v>0.23182767187499997</v>
      </c>
      <c r="AR647" s="15">
        <v>1.3261980081154481</v>
      </c>
      <c r="AS647" s="15">
        <v>0.23534074351609002</v>
      </c>
      <c r="AT647" s="15">
        <f t="shared" si="111"/>
        <v>1.4914192552416617E-2</v>
      </c>
      <c r="AU647" s="2">
        <f t="shared" si="112"/>
        <v>2.3086926938928432E-2</v>
      </c>
      <c r="AV647" s="2">
        <f t="shared" si="113"/>
        <v>2.7213198075636698E-3</v>
      </c>
      <c r="AW647" s="3">
        <f t="shared" si="114"/>
        <v>11.787276040515675</v>
      </c>
    </row>
    <row r="648" spans="1:49" s="5" customFormat="1" x14ac:dyDescent="0.2">
      <c r="A648" s="5" t="s">
        <v>480</v>
      </c>
      <c r="B648" s="5" t="s">
        <v>481</v>
      </c>
      <c r="C648" s="5" t="s">
        <v>708</v>
      </c>
      <c r="D648" s="5" t="s">
        <v>724</v>
      </c>
      <c r="E648" s="13" t="s">
        <v>710</v>
      </c>
      <c r="F648" s="5">
        <v>273</v>
      </c>
      <c r="G648" s="14">
        <v>2.4</v>
      </c>
      <c r="H648" s="14">
        <v>2.2000000000000002</v>
      </c>
      <c r="I648" s="14">
        <v>1.2</v>
      </c>
      <c r="J648">
        <v>18.84</v>
      </c>
      <c r="K648">
        <v>20.04</v>
      </c>
      <c r="L648">
        <v>19.440000000000001</v>
      </c>
      <c r="M648">
        <v>0.16</v>
      </c>
      <c r="N648" s="14">
        <v>302.34428571428583</v>
      </c>
      <c r="O648" s="14">
        <v>303.54428571428582</v>
      </c>
      <c r="P648" s="14">
        <v>302.9442857142858</v>
      </c>
      <c r="Q648" s="14">
        <v>302.34428571428583</v>
      </c>
      <c r="R648" s="14">
        <v>303.54428571428582</v>
      </c>
      <c r="S648" s="14">
        <v>302.9442857142858</v>
      </c>
      <c r="T648" s="3">
        <v>302.94</v>
      </c>
      <c r="U648" s="3">
        <v>0.6</v>
      </c>
      <c r="V648" s="3">
        <v>3266.98</v>
      </c>
      <c r="W648" s="3">
        <v>3772.84</v>
      </c>
      <c r="X648" s="3">
        <v>3502.2</v>
      </c>
      <c r="Y648" s="3">
        <v>3504.82</v>
      </c>
      <c r="Z648" s="3">
        <v>252.93</v>
      </c>
      <c r="AA648" s="4">
        <v>9.74E-2</v>
      </c>
      <c r="AB648" s="4">
        <v>7.2219099999999998E-3</v>
      </c>
      <c r="AC648">
        <v>1.1476266666666668</v>
      </c>
      <c r="AD648" s="15">
        <v>7.1710000000000003</v>
      </c>
      <c r="AE648" s="15">
        <v>2.0280999999999998</v>
      </c>
      <c r="AF648" s="15">
        <f t="shared" si="109"/>
        <v>5.1429000000000009</v>
      </c>
      <c r="AG648" s="15">
        <v>0.880473333333333</v>
      </c>
      <c r="AH648" s="15">
        <v>85.382388163443309</v>
      </c>
      <c r="AI648" s="2">
        <v>14.617611836556691</v>
      </c>
      <c r="AJ648" s="1">
        <f t="shared" si="110"/>
        <v>0.7308805918278346</v>
      </c>
      <c r="AK648" s="13">
        <v>3.2800000000000003E-2</v>
      </c>
      <c r="AL648" s="16">
        <v>68.093385209999994</v>
      </c>
      <c r="AM648" s="10">
        <v>3.4046692605</v>
      </c>
      <c r="AN648" s="16">
        <v>39.497323207656606</v>
      </c>
      <c r="AO648" s="11">
        <v>3.4058585956251348</v>
      </c>
      <c r="AP648" s="14">
        <v>4.9831799999999991</v>
      </c>
      <c r="AQ648" s="2">
        <f>AP648*((G648*0.01)+(H648*0.01)+(I648*0.01))</f>
        <v>0.28902443999999994</v>
      </c>
      <c r="AR648" s="15">
        <v>1.2087408709565648</v>
      </c>
      <c r="AS648" s="15">
        <v>0.17668904862624532</v>
      </c>
      <c r="AT648" s="15">
        <f t="shared" si="111"/>
        <v>1.15393507846167E-2</v>
      </c>
      <c r="AU648" s="2">
        <f t="shared" si="112"/>
        <v>1.7209513336196296E-2</v>
      </c>
      <c r="AV648" s="2">
        <f t="shared" si="113"/>
        <v>2.1220845399210517E-3</v>
      </c>
      <c r="AW648" s="3">
        <f t="shared" si="114"/>
        <v>12.330880591827833</v>
      </c>
    </row>
    <row r="649" spans="1:49" s="5" customFormat="1" x14ac:dyDescent="0.2">
      <c r="A649" s="5" t="s">
        <v>480</v>
      </c>
      <c r="B649" s="5" t="s">
        <v>481</v>
      </c>
      <c r="C649" s="5" t="s">
        <v>708</v>
      </c>
      <c r="D649" s="5" t="s">
        <v>725</v>
      </c>
      <c r="E649" s="13" t="s">
        <v>710</v>
      </c>
      <c r="F649" s="5">
        <v>274</v>
      </c>
      <c r="G649" s="14">
        <v>2.2000000000000002</v>
      </c>
      <c r="H649" s="14">
        <v>2</v>
      </c>
      <c r="I649" s="14">
        <v>1.2</v>
      </c>
      <c r="J649">
        <v>20.2</v>
      </c>
      <c r="K649">
        <v>21.4</v>
      </c>
      <c r="L649">
        <v>20.8</v>
      </c>
      <c r="M649">
        <v>0.16</v>
      </c>
      <c r="N649" s="14">
        <v>303.70571428571441</v>
      </c>
      <c r="O649" s="14">
        <v>304.9057142857144</v>
      </c>
      <c r="P649" s="14">
        <v>304.30571428571443</v>
      </c>
      <c r="Q649" s="14">
        <v>303.70571428571441</v>
      </c>
      <c r="R649" s="14">
        <v>304.9057142857144</v>
      </c>
      <c r="S649" s="14">
        <v>304.30571428571443</v>
      </c>
      <c r="T649" s="3">
        <v>304.31</v>
      </c>
      <c r="U649" s="3">
        <v>0.6</v>
      </c>
      <c r="V649" s="3">
        <v>3284.01</v>
      </c>
      <c r="W649" s="3">
        <v>3780.35</v>
      </c>
      <c r="X649" s="3">
        <v>3515.4</v>
      </c>
      <c r="Y649" s="3">
        <v>3518.8</v>
      </c>
      <c r="Z649" s="3">
        <v>248.17</v>
      </c>
      <c r="AA649" s="4">
        <v>9.8500000000000004E-2</v>
      </c>
      <c r="AB649" s="4">
        <v>7.1411080000000002E-3</v>
      </c>
      <c r="AC649">
        <v>1.1476266666666668</v>
      </c>
      <c r="AD649" s="15">
        <v>6.6676000000000002</v>
      </c>
      <c r="AE649" s="15">
        <v>2.0251000000000001</v>
      </c>
      <c r="AF649" s="15">
        <f t="shared" si="109"/>
        <v>4.6425000000000001</v>
      </c>
      <c r="AG649" s="15">
        <v>0.87747333333333333</v>
      </c>
      <c r="AH649" s="15">
        <v>84.103667167474242</v>
      </c>
      <c r="AI649" s="2">
        <v>15.896332832525758</v>
      </c>
      <c r="AJ649" s="1">
        <f t="shared" si="110"/>
        <v>0.79481664162628796</v>
      </c>
      <c r="AK649" s="13">
        <v>0.1009</v>
      </c>
      <c r="AL649" s="16">
        <v>38.922518160000003</v>
      </c>
      <c r="AM649" s="10">
        <v>1.9461259080000002</v>
      </c>
      <c r="AN649" s="16">
        <v>22.576866682134572</v>
      </c>
      <c r="AO649" s="11">
        <v>1.9482058540587608</v>
      </c>
      <c r="AP649" s="14">
        <v>4.1542200000000005</v>
      </c>
      <c r="AQ649" s="2">
        <f>AP649*((G649*0.01)+(H649*0.01)+(I649*0.01))</f>
        <v>0.22432788000000006</v>
      </c>
      <c r="AR649" s="15">
        <v>1.3287628804765594</v>
      </c>
      <c r="AS649" s="15">
        <v>0.21122457003561035</v>
      </c>
      <c r="AT649" s="15">
        <f t="shared" si="111"/>
        <v>1.3084974815769564E-2</v>
      </c>
      <c r="AU649" s="2">
        <f t="shared" si="112"/>
        <v>2.080562014850762E-2</v>
      </c>
      <c r="AV649" s="2">
        <f t="shared" si="113"/>
        <v>2.4123735073727139E-3</v>
      </c>
      <c r="AW649" s="3">
        <f t="shared" si="114"/>
        <v>11.59481664162629</v>
      </c>
    </row>
    <row r="650" spans="1:49" s="5" customFormat="1" x14ac:dyDescent="0.2">
      <c r="A650" s="5" t="s">
        <v>480</v>
      </c>
      <c r="B650" s="5" t="s">
        <v>481</v>
      </c>
      <c r="C650" s="5" t="s">
        <v>708</v>
      </c>
      <c r="D650" s="5" t="s">
        <v>726</v>
      </c>
      <c r="E650" s="13" t="s">
        <v>710</v>
      </c>
      <c r="F650" s="5">
        <v>275</v>
      </c>
      <c r="G650" s="14">
        <v>2.25</v>
      </c>
      <c r="H650" s="14">
        <v>2.1</v>
      </c>
      <c r="I650" s="14">
        <v>1.25</v>
      </c>
      <c r="J650">
        <v>21.56</v>
      </c>
      <c r="K650">
        <v>22.86</v>
      </c>
      <c r="L650">
        <v>22.21</v>
      </c>
      <c r="M650">
        <v>0.16</v>
      </c>
      <c r="N650" s="14">
        <v>305.06714285714298</v>
      </c>
      <c r="O650" s="14">
        <v>306.31714285714298</v>
      </c>
      <c r="P650" s="14">
        <v>305.69214285714298</v>
      </c>
      <c r="Q650" s="14">
        <v>305.06714285714298</v>
      </c>
      <c r="R650" s="14">
        <v>306.31714285714298</v>
      </c>
      <c r="S650" s="14">
        <v>305.69214285714298</v>
      </c>
      <c r="T650" s="3">
        <v>305.69</v>
      </c>
      <c r="U650" s="3">
        <v>0.625</v>
      </c>
      <c r="V650" s="3">
        <v>3298.85</v>
      </c>
      <c r="W650" s="3">
        <v>3788.6</v>
      </c>
      <c r="X650" s="3">
        <v>3529.06</v>
      </c>
      <c r="Y650" s="3">
        <v>3532.88</v>
      </c>
      <c r="Z650" s="3">
        <v>244.875</v>
      </c>
      <c r="AA650" s="4">
        <v>9.7699999999999995E-2</v>
      </c>
      <c r="AB650" s="4">
        <v>6.9716470000000001E-3</v>
      </c>
      <c r="AC650">
        <v>1.1476266666666668</v>
      </c>
      <c r="AD650" s="15">
        <v>7.1094999999999997</v>
      </c>
      <c r="AE650" s="15">
        <v>2.0164</v>
      </c>
      <c r="AF650" s="15">
        <f t="shared" si="109"/>
        <v>5.0930999999999997</v>
      </c>
      <c r="AG650" s="15">
        <v>0.86877333333333318</v>
      </c>
      <c r="AH650" s="15">
        <v>85.427846504622153</v>
      </c>
      <c r="AI650" s="2">
        <v>14.572153495377847</v>
      </c>
      <c r="AJ650" s="1">
        <f t="shared" si="110"/>
        <v>0.72860767476889243</v>
      </c>
      <c r="AK650" s="13">
        <v>1.61E-2</v>
      </c>
      <c r="AL650" s="16">
        <v>72.57240204</v>
      </c>
      <c r="AM650" s="10">
        <v>3.6286201020000002</v>
      </c>
      <c r="AN650" s="16">
        <v>42.095360812064968</v>
      </c>
      <c r="AO650" s="11">
        <v>3.6297360571587696</v>
      </c>
      <c r="AP650" s="14">
        <v>4.6419257812499986</v>
      </c>
      <c r="AQ650" s="2">
        <f>AP650*((G650*0.01)+(H650*0.01)+(I650*0.01))</f>
        <v>0.25994784374999991</v>
      </c>
      <c r="AR650" s="15">
        <v>1.2843534374062942</v>
      </c>
      <c r="AS650" s="15">
        <v>0.18715795432200685</v>
      </c>
      <c r="AT650" s="15">
        <f t="shared" si="111"/>
        <v>1.1844492661162984E-2</v>
      </c>
      <c r="AU650" s="2">
        <f t="shared" si="112"/>
        <v>1.8285332137260069E-2</v>
      </c>
      <c r="AV650" s="2">
        <f t="shared" si="113"/>
        <v>2.1811855326821874E-3</v>
      </c>
      <c r="AW650" s="3">
        <f t="shared" si="114"/>
        <v>11.928607674768893</v>
      </c>
    </row>
    <row r="651" spans="1:49" s="5" customFormat="1" x14ac:dyDescent="0.2">
      <c r="A651" s="5" t="s">
        <v>480</v>
      </c>
      <c r="B651" s="5" t="s">
        <v>481</v>
      </c>
      <c r="C651" s="5" t="s">
        <v>708</v>
      </c>
      <c r="D651" s="5" t="s">
        <v>727</v>
      </c>
      <c r="E651" s="13" t="s">
        <v>710</v>
      </c>
      <c r="F651" s="5">
        <v>276</v>
      </c>
      <c r="G651" s="14">
        <v>2.2999999999999998</v>
      </c>
      <c r="H651" s="14">
        <v>2.25</v>
      </c>
      <c r="I651" s="14">
        <v>1.2</v>
      </c>
      <c r="J651">
        <v>23.02</v>
      </c>
      <c r="K651">
        <v>24.22</v>
      </c>
      <c r="L651">
        <v>23.62</v>
      </c>
      <c r="M651">
        <v>0.16</v>
      </c>
      <c r="N651" s="14">
        <v>306.47857142857157</v>
      </c>
      <c r="O651" s="14">
        <v>307.67857142857156</v>
      </c>
      <c r="P651" s="14">
        <v>307.07857142857154</v>
      </c>
      <c r="Q651" s="14">
        <v>306.47857142857157</v>
      </c>
      <c r="R651" s="14">
        <v>307.67857142857156</v>
      </c>
      <c r="S651" s="14">
        <v>307.07857142857154</v>
      </c>
      <c r="T651" s="3">
        <v>307.08</v>
      </c>
      <c r="U651" s="3">
        <v>0.6</v>
      </c>
      <c r="V651" s="3">
        <v>3314.03</v>
      </c>
      <c r="W651" s="3">
        <v>3802.18</v>
      </c>
      <c r="X651" s="3">
        <v>3544.13</v>
      </c>
      <c r="Y651" s="3">
        <v>3547.07</v>
      </c>
      <c r="Z651" s="3">
        <v>244.07499999999999</v>
      </c>
      <c r="AA651" s="4">
        <v>9.8100000000000007E-2</v>
      </c>
      <c r="AB651" s="4">
        <v>6.9419679999999997E-3</v>
      </c>
      <c r="AC651">
        <v>1.1476266666666668</v>
      </c>
      <c r="AD651" s="15">
        <v>7.6332000000000004</v>
      </c>
      <c r="AE651" s="15">
        <v>2.1217000000000001</v>
      </c>
      <c r="AF651" s="15">
        <f t="shared" si="109"/>
        <v>5.5114999999999998</v>
      </c>
      <c r="AG651" s="15">
        <v>0.97407333333333335</v>
      </c>
      <c r="AH651" s="15">
        <v>84.98092175865203</v>
      </c>
      <c r="AI651" s="2">
        <v>15.01907824134797</v>
      </c>
      <c r="AJ651" s="1">
        <f t="shared" si="110"/>
        <v>0.75095391206739848</v>
      </c>
      <c r="AK651" s="13">
        <v>1.55E-2</v>
      </c>
      <c r="AL651" s="16">
        <v>80.934809349999995</v>
      </c>
      <c r="AM651" s="10">
        <v>4.0467404675000003</v>
      </c>
      <c r="AN651" s="16">
        <v>46.945945098607886</v>
      </c>
      <c r="AO651" s="11">
        <v>4.0477411492463444</v>
      </c>
      <c r="AP651" s="14">
        <v>4.8754387499999998</v>
      </c>
      <c r="AQ651" s="2">
        <f>AP651*((G651*0.01)+(H651*0.01)+(I651*0.01))</f>
        <v>0.28033772812499996</v>
      </c>
      <c r="AR651" s="15">
        <v>1.3302542942075386</v>
      </c>
      <c r="AS651" s="15">
        <v>0.19979193325592151</v>
      </c>
      <c r="AT651" s="15">
        <f t="shared" si="111"/>
        <v>1.2988381500995913E-2</v>
      </c>
      <c r="AU651" s="2">
        <f t="shared" si="112"/>
        <v>1.9599588652405901E-2</v>
      </c>
      <c r="AV651" s="2">
        <f t="shared" si="113"/>
        <v>2.4011365727610386E-3</v>
      </c>
      <c r="AW651" s="3">
        <f t="shared" si="114"/>
        <v>12.250953912067398</v>
      </c>
    </row>
    <row r="652" spans="1:49" s="5" customFormat="1" x14ac:dyDescent="0.2">
      <c r="A652" s="5" t="s">
        <v>480</v>
      </c>
      <c r="B652" s="5" t="s">
        <v>481</v>
      </c>
      <c r="C652" s="5" t="s">
        <v>708</v>
      </c>
      <c r="D652" s="5" t="s">
        <v>728</v>
      </c>
      <c r="E652" s="13" t="s">
        <v>710</v>
      </c>
      <c r="F652" s="5">
        <v>277</v>
      </c>
      <c r="G652" s="14">
        <v>2.25</v>
      </c>
      <c r="H652" s="14">
        <v>2.0499999999999998</v>
      </c>
      <c r="I652" s="14">
        <v>1.3</v>
      </c>
      <c r="J652">
        <v>24.38</v>
      </c>
      <c r="K652">
        <v>25.68</v>
      </c>
      <c r="L652">
        <v>25.03</v>
      </c>
      <c r="M652">
        <v>0.16</v>
      </c>
      <c r="N652" s="14">
        <v>307.84000000000015</v>
      </c>
      <c r="O652" s="14">
        <v>309.14000000000016</v>
      </c>
      <c r="P652" s="14">
        <v>308.49000000000012</v>
      </c>
      <c r="Q652" s="14">
        <v>307.84000000000015</v>
      </c>
      <c r="R652" s="14">
        <v>309.14000000000016</v>
      </c>
      <c r="S652" s="14">
        <v>308.49000000000012</v>
      </c>
      <c r="T652" s="3">
        <v>308.49</v>
      </c>
      <c r="U652" s="3">
        <v>0.65</v>
      </c>
      <c r="V652" s="3">
        <v>3326.2</v>
      </c>
      <c r="W652" s="3">
        <v>3818.07</v>
      </c>
      <c r="X652" s="3">
        <v>3558.98</v>
      </c>
      <c r="Y652" s="3">
        <v>3561.46</v>
      </c>
      <c r="Z652" s="3">
        <v>245.935</v>
      </c>
      <c r="AA652" s="4">
        <v>9.7799999999999998E-2</v>
      </c>
      <c r="AB652" s="4">
        <v>6.959603E-3</v>
      </c>
      <c r="AC652">
        <v>1.1476266666666668</v>
      </c>
      <c r="AD652" s="15">
        <v>7.1970999999999998</v>
      </c>
      <c r="AE652" s="15">
        <v>2.1436999999999999</v>
      </c>
      <c r="AF652" s="15">
        <f t="shared" si="109"/>
        <v>5.0533999999999999</v>
      </c>
      <c r="AG652" s="15">
        <v>0.99607333333333314</v>
      </c>
      <c r="AH652" s="15">
        <v>83.534544604984902</v>
      </c>
      <c r="AI652" s="2">
        <v>16.465455395015098</v>
      </c>
      <c r="AJ652" s="1">
        <f t="shared" si="110"/>
        <v>0.82327276975075492</v>
      </c>
      <c r="AK652" s="13">
        <v>6.0900000000000003E-2</v>
      </c>
      <c r="AL652" s="16">
        <v>59.534883720000003</v>
      </c>
      <c r="AM652" s="10">
        <v>2.9767441860000003</v>
      </c>
      <c r="AN652" s="16">
        <v>34.532995197215783</v>
      </c>
      <c r="AO652" s="11">
        <v>2.9781044220921475</v>
      </c>
      <c r="AP652" s="14">
        <v>4.71726125</v>
      </c>
      <c r="AQ652" s="2">
        <f>AP652*((G652*0.01)+(H652*0.01)+(I652*0.01))</f>
        <v>0.26416662999999996</v>
      </c>
      <c r="AR652" s="15">
        <v>1.2824121906187267</v>
      </c>
      <c r="AS652" s="15">
        <v>0.21115500722656247</v>
      </c>
      <c r="AT652" s="15">
        <f t="shared" si="111"/>
        <v>1.3563062081149024E-2</v>
      </c>
      <c r="AU652" s="2">
        <f t="shared" si="112"/>
        <v>2.0650959706757809E-2</v>
      </c>
      <c r="AV652" s="2">
        <f t="shared" si="113"/>
        <v>2.4829212151148117E-3</v>
      </c>
      <c r="AW652" s="3">
        <f t="shared" si="114"/>
        <v>12.023272769750754</v>
      </c>
    </row>
    <row r="653" spans="1:49" s="5" customFormat="1" x14ac:dyDescent="0.2">
      <c r="A653" s="5" t="s">
        <v>480</v>
      </c>
      <c r="B653" s="5" t="s">
        <v>481</v>
      </c>
      <c r="C653" s="5" t="s">
        <v>708</v>
      </c>
      <c r="D653" s="5" t="s">
        <v>729</v>
      </c>
      <c r="E653" s="13" t="s">
        <v>710</v>
      </c>
      <c r="F653" s="5">
        <v>278</v>
      </c>
      <c r="G653" s="14">
        <v>2.2999999999999998</v>
      </c>
      <c r="H653" s="14">
        <v>2.25</v>
      </c>
      <c r="I653" s="14">
        <v>1.25</v>
      </c>
      <c r="J653">
        <v>25.84</v>
      </c>
      <c r="K653">
        <v>27.14</v>
      </c>
      <c r="L653">
        <v>26.49</v>
      </c>
      <c r="M653">
        <v>0.16</v>
      </c>
      <c r="N653" s="14">
        <v>309.30142857142874</v>
      </c>
      <c r="O653" s="14">
        <v>310.55142857142874</v>
      </c>
      <c r="P653" s="14">
        <v>309.92642857142874</v>
      </c>
      <c r="Q653" s="14">
        <v>309.30142857142874</v>
      </c>
      <c r="R653" s="14">
        <v>310.55142857142874</v>
      </c>
      <c r="S653" s="14">
        <v>309.92642857142874</v>
      </c>
      <c r="T653" s="3">
        <v>309.93</v>
      </c>
      <c r="U653" s="3">
        <v>0.625</v>
      </c>
      <c r="V653" s="3">
        <v>3339.3</v>
      </c>
      <c r="W653" s="3">
        <v>3837.17</v>
      </c>
      <c r="X653" s="3">
        <v>3572.92</v>
      </c>
      <c r="Y653" s="3">
        <v>3576.15</v>
      </c>
      <c r="Z653" s="3">
        <v>248.935</v>
      </c>
      <c r="AA653" s="4">
        <v>0.1135</v>
      </c>
      <c r="AB653" s="4">
        <v>8.1295919999999997E-3</v>
      </c>
      <c r="AC653">
        <v>1.1476266666666668</v>
      </c>
      <c r="AD653" s="15">
        <v>8.5076999999999998</v>
      </c>
      <c r="AE653" s="15">
        <v>2.5821000000000001</v>
      </c>
      <c r="AF653" s="15">
        <f t="shared" si="109"/>
        <v>5.9255999999999993</v>
      </c>
      <c r="AG653" s="15">
        <v>1.4344733333333333</v>
      </c>
      <c r="AH653" s="15">
        <v>80.510067381574999</v>
      </c>
      <c r="AI653" s="2">
        <v>19.489932618425001</v>
      </c>
      <c r="AJ653" s="1">
        <f t="shared" si="110"/>
        <v>0.97449663092125016</v>
      </c>
      <c r="AK653" s="13">
        <v>5.2499999999999998E-2</v>
      </c>
      <c r="AL653" s="16">
        <v>57.072771869999997</v>
      </c>
      <c r="AM653" s="10">
        <v>2.8536385934999999</v>
      </c>
      <c r="AN653" s="16">
        <v>33.104856073085848</v>
      </c>
      <c r="AO653" s="11">
        <v>2.8550574814375733</v>
      </c>
      <c r="AP653" s="14">
        <v>5.0785820312499999</v>
      </c>
      <c r="AQ653" s="2">
        <f>AP653*((G653*0.01)+(H653*0.01)+(I653*0.01))</f>
        <v>0.29455775781249999</v>
      </c>
      <c r="AR653" s="15">
        <v>1.4492378557724677</v>
      </c>
      <c r="AS653" s="15">
        <v>0.28245548157076117</v>
      </c>
      <c r="AT653" s="15">
        <f t="shared" si="111"/>
        <v>1.9134937082863606E-2</v>
      </c>
      <c r="AU653" s="2">
        <f t="shared" si="112"/>
        <v>3.2058697158281392E-2</v>
      </c>
      <c r="AV653" s="2">
        <f t="shared" si="113"/>
        <v>4.03121979408534E-3</v>
      </c>
      <c r="AW653" s="3">
        <f t="shared" si="114"/>
        <v>12.574496630921249</v>
      </c>
    </row>
    <row r="654" spans="1:49" s="5" customFormat="1" x14ac:dyDescent="0.2">
      <c r="A654" s="5" t="s">
        <v>480</v>
      </c>
      <c r="B654" s="5" t="s">
        <v>481</v>
      </c>
      <c r="C654" s="5" t="s">
        <v>708</v>
      </c>
      <c r="D654" s="5" t="s">
        <v>730</v>
      </c>
      <c r="E654" s="13" t="s">
        <v>710</v>
      </c>
      <c r="F654" s="5">
        <v>279</v>
      </c>
      <c r="G654" s="14">
        <v>2.25</v>
      </c>
      <c r="H654" s="14">
        <v>2.25</v>
      </c>
      <c r="I654" s="14">
        <v>1.25</v>
      </c>
      <c r="J654">
        <v>27.3</v>
      </c>
      <c r="K654">
        <v>28.6</v>
      </c>
      <c r="L654">
        <v>27.95</v>
      </c>
      <c r="M654">
        <v>0.16</v>
      </c>
      <c r="N654" s="14">
        <v>310.71285714285733</v>
      </c>
      <c r="O654" s="14">
        <v>311.96285714285733</v>
      </c>
      <c r="P654" s="14">
        <v>311.33785714285733</v>
      </c>
      <c r="Q654" s="14">
        <v>310.71285714285733</v>
      </c>
      <c r="R654" s="14">
        <v>311.96285714285733</v>
      </c>
      <c r="S654" s="14">
        <v>311.33785714285733</v>
      </c>
      <c r="T654" s="3">
        <v>311.33999999999997</v>
      </c>
      <c r="U654" s="3">
        <v>0.625</v>
      </c>
      <c r="V654" s="3">
        <v>3354.75</v>
      </c>
      <c r="W654" s="3">
        <v>3847.52</v>
      </c>
      <c r="X654" s="3">
        <v>3586.46</v>
      </c>
      <c r="Y654" s="3">
        <v>3588.59</v>
      </c>
      <c r="Z654" s="3">
        <v>246.38499999999999</v>
      </c>
      <c r="AA654" s="4">
        <v>0.1145</v>
      </c>
      <c r="AB654" s="4">
        <v>8.0911809999999994E-3</v>
      </c>
      <c r="AC654">
        <v>1.1476266666666668</v>
      </c>
      <c r="AD654" s="15">
        <v>7.7497999999999996</v>
      </c>
      <c r="AE654" s="15">
        <v>2.4022999999999999</v>
      </c>
      <c r="AF654" s="15">
        <f t="shared" si="109"/>
        <v>5.3475000000000001</v>
      </c>
      <c r="AG654" s="15">
        <v>1.2546733333333331</v>
      </c>
      <c r="AH654" s="15">
        <v>80.996055844237162</v>
      </c>
      <c r="AI654" s="2">
        <v>19.003944155762838</v>
      </c>
      <c r="AJ654" s="1">
        <f t="shared" si="110"/>
        <v>0.95019720778814198</v>
      </c>
      <c r="AK654" s="13">
        <v>9.6299999999999997E-2</v>
      </c>
      <c r="AL654" s="16">
        <v>51.363636360000001</v>
      </c>
      <c r="AM654" s="10">
        <v>2.5681818180000002</v>
      </c>
      <c r="AN654" s="16">
        <v>29.793292552204178</v>
      </c>
      <c r="AO654" s="11">
        <v>2.5697583252722009</v>
      </c>
      <c r="AP654" s="14">
        <v>4.9675781250000002</v>
      </c>
      <c r="AQ654" s="2">
        <f>AP654*((G654*0.01)+(H654*0.01)+(I654*0.01))</f>
        <v>0.28563574218749999</v>
      </c>
      <c r="AR654" s="15">
        <v>1.3290527430473642</v>
      </c>
      <c r="AS654" s="15">
        <v>0.25257244108935539</v>
      </c>
      <c r="AT654" s="15">
        <f t="shared" si="111"/>
        <v>1.6922851645511338E-2</v>
      </c>
      <c r="AU654" s="2">
        <f t="shared" si="112"/>
        <v>2.8919544504731193E-2</v>
      </c>
      <c r="AV654" s="2">
        <f t="shared" si="113"/>
        <v>3.6005403224330917E-3</v>
      </c>
      <c r="AW654" s="3">
        <f t="shared" si="114"/>
        <v>12.450197207788142</v>
      </c>
    </row>
    <row r="655" spans="1:49" s="5" customFormat="1" x14ac:dyDescent="0.2">
      <c r="A655" s="5" t="s">
        <v>480</v>
      </c>
      <c r="B655" s="5" t="s">
        <v>481</v>
      </c>
      <c r="C655" s="5" t="s">
        <v>708</v>
      </c>
      <c r="D655" s="5" t="s">
        <v>731</v>
      </c>
      <c r="E655" s="13" t="s">
        <v>710</v>
      </c>
      <c r="F655" s="5">
        <v>280</v>
      </c>
      <c r="G655" s="14">
        <v>2</v>
      </c>
      <c r="H655" s="14">
        <v>2</v>
      </c>
      <c r="I655" s="14">
        <v>1.25</v>
      </c>
      <c r="J655">
        <v>28.76</v>
      </c>
      <c r="K655">
        <v>30.06</v>
      </c>
      <c r="L655">
        <v>29.41</v>
      </c>
      <c r="M655">
        <v>0.16</v>
      </c>
      <c r="N655" s="14">
        <v>312.12428571428592</v>
      </c>
      <c r="O655" s="14">
        <v>313.37428571428592</v>
      </c>
      <c r="P655" s="14">
        <v>312.74928571428592</v>
      </c>
      <c r="Q655" s="14">
        <v>312.12428571428592</v>
      </c>
      <c r="R655" s="14">
        <v>313.37428571428592</v>
      </c>
      <c r="S655" s="14">
        <v>312.74928571428592</v>
      </c>
      <c r="T655" s="3">
        <v>312.75</v>
      </c>
      <c r="U655" s="3">
        <v>0.625</v>
      </c>
      <c r="V655" s="3">
        <v>3371.41</v>
      </c>
      <c r="W655" s="3">
        <v>3856.34</v>
      </c>
      <c r="X655" s="3">
        <v>3598.46</v>
      </c>
      <c r="Y655" s="3">
        <v>3600.92</v>
      </c>
      <c r="Z655" s="3">
        <v>242.465</v>
      </c>
      <c r="AA655" s="4">
        <v>0.1145</v>
      </c>
      <c r="AB655" s="4">
        <v>7.9385810000000001E-3</v>
      </c>
      <c r="AC655">
        <v>1.1476266666666668</v>
      </c>
      <c r="AD655" s="15">
        <v>6.3615000000000004</v>
      </c>
      <c r="AE655" s="15">
        <v>2.0819000000000001</v>
      </c>
      <c r="AF655" s="15">
        <f t="shared" si="109"/>
        <v>4.2796000000000003</v>
      </c>
      <c r="AG655" s="15">
        <v>0.93427333333333329</v>
      </c>
      <c r="AH655" s="15">
        <v>82.081012069082362</v>
      </c>
      <c r="AI655" s="2">
        <v>17.918987930917638</v>
      </c>
      <c r="AJ655" s="1">
        <f t="shared" si="110"/>
        <v>0.8959493965458819</v>
      </c>
      <c r="AK655" s="13">
        <v>6.4699999999999994E-2</v>
      </c>
      <c r="AL655" s="16">
        <v>57.293729370000001</v>
      </c>
      <c r="AM655" s="10">
        <v>2.8646864685000004</v>
      </c>
      <c r="AN655" s="16">
        <v>33.233021676334111</v>
      </c>
      <c r="AO655" s="11">
        <v>2.8660998870951802</v>
      </c>
      <c r="AP655" s="14">
        <v>3.9250000000000003</v>
      </c>
      <c r="AQ655" s="2">
        <f>AP655*((G655*0.01)+(H655*0.01)+(I655*0.01))</f>
        <v>0.20606250000000004</v>
      </c>
      <c r="AR655" s="15">
        <v>1.3283753715498938</v>
      </c>
      <c r="AS655" s="15">
        <v>0.23803142250530782</v>
      </c>
      <c r="AT655" s="15">
        <f t="shared" si="111"/>
        <v>1.4629290775054546E-2</v>
      </c>
      <c r="AU655" s="2">
        <f t="shared" si="112"/>
        <v>2.7254597876857745E-2</v>
      </c>
      <c r="AV655" s="2">
        <f t="shared" si="113"/>
        <v>3.1059201822787774E-3</v>
      </c>
      <c r="AW655" s="3">
        <f t="shared" si="114"/>
        <v>11.395949396545884</v>
      </c>
    </row>
    <row r="656" spans="1:49" s="5" customFormat="1" x14ac:dyDescent="0.2">
      <c r="A656" s="5" t="s">
        <v>480</v>
      </c>
      <c r="B656" s="5" t="s">
        <v>481</v>
      </c>
      <c r="C656" s="5" t="s">
        <v>708</v>
      </c>
      <c r="D656" s="5" t="s">
        <v>732</v>
      </c>
      <c r="E656" s="13" t="s">
        <v>710</v>
      </c>
      <c r="F656" s="5">
        <v>281</v>
      </c>
      <c r="G656" s="14">
        <v>1.9</v>
      </c>
      <c r="H656" s="14">
        <v>2.15</v>
      </c>
      <c r="I656" s="14">
        <v>1.25</v>
      </c>
      <c r="J656">
        <v>30.22</v>
      </c>
      <c r="K656">
        <v>31.52</v>
      </c>
      <c r="L656">
        <v>30.87</v>
      </c>
      <c r="M656">
        <v>0.16</v>
      </c>
      <c r="N656" s="14">
        <v>313.5357142857145</v>
      </c>
      <c r="O656" s="14">
        <v>314.7857142857145</v>
      </c>
      <c r="P656" s="14">
        <v>314.1607142857145</v>
      </c>
      <c r="Q656" s="14">
        <v>313.5357142857145</v>
      </c>
      <c r="R656" s="14">
        <v>314.7857142857145</v>
      </c>
      <c r="S656" s="14">
        <v>314.1607142857145</v>
      </c>
      <c r="T656" s="3">
        <v>314.16000000000003</v>
      </c>
      <c r="U656" s="3">
        <v>0.625</v>
      </c>
      <c r="V656" s="3">
        <v>3386.53</v>
      </c>
      <c r="W656" s="3">
        <v>3863.51</v>
      </c>
      <c r="X656" s="3">
        <v>3611.51</v>
      </c>
      <c r="Y656" s="3">
        <v>3613.25</v>
      </c>
      <c r="Z656" s="3">
        <v>238.49</v>
      </c>
      <c r="AA656" s="4">
        <v>0.1145</v>
      </c>
      <c r="AB656" s="4">
        <v>7.7852809999999998E-3</v>
      </c>
      <c r="AC656">
        <v>1.1476266666666668</v>
      </c>
      <c r="AD656" s="15">
        <v>7.1140999999999996</v>
      </c>
      <c r="AE656" s="15">
        <v>2.4127000000000001</v>
      </c>
      <c r="AF656" s="15">
        <f t="shared" si="109"/>
        <v>4.7013999999999996</v>
      </c>
      <c r="AG656" s="15">
        <v>1.2650733333333333</v>
      </c>
      <c r="AH656" s="15">
        <v>78.796966605621861</v>
      </c>
      <c r="AI656" s="2">
        <v>21.203033394378139</v>
      </c>
      <c r="AJ656" s="1">
        <f t="shared" si="110"/>
        <v>1.0601516697189071</v>
      </c>
      <c r="AK656" s="13">
        <v>0.1031</v>
      </c>
      <c r="AL656" s="16">
        <v>41.784302650000001</v>
      </c>
      <c r="AM656" s="10">
        <v>2.0892151325000001</v>
      </c>
      <c r="AN656" s="16">
        <v>24.236834483758702</v>
      </c>
      <c r="AO656" s="11">
        <v>2.0911527610069509</v>
      </c>
      <c r="AP656" s="14">
        <v>4.02373828125</v>
      </c>
      <c r="AQ656" s="2">
        <f>AP656*((G656*0.01)+(H656*0.01)+(I656*0.01))</f>
        <v>0.21325812890624996</v>
      </c>
      <c r="AR656" s="15">
        <v>1.4828184430225442</v>
      </c>
      <c r="AS656" s="15">
        <v>0.31440248965206807</v>
      </c>
      <c r="AT656" s="15">
        <f t="shared" si="111"/>
        <v>1.9996475195243821E-2</v>
      </c>
      <c r="AU656" s="2">
        <f t="shared" si="112"/>
        <v>3.5999085065161793E-2</v>
      </c>
      <c r="AV656" s="2">
        <f t="shared" si="113"/>
        <v>4.1975479183089925E-3</v>
      </c>
      <c r="AW656" s="3">
        <f t="shared" si="114"/>
        <v>11.660151669718907</v>
      </c>
    </row>
    <row r="657" spans="1:49" s="5" customFormat="1" x14ac:dyDescent="0.2">
      <c r="A657" s="5" t="s">
        <v>480</v>
      </c>
      <c r="B657" s="5" t="s">
        <v>481</v>
      </c>
      <c r="C657" s="5" t="s">
        <v>708</v>
      </c>
      <c r="D657" s="5" t="s">
        <v>733</v>
      </c>
      <c r="E657" s="13" t="s">
        <v>710</v>
      </c>
      <c r="F657" s="5">
        <v>282</v>
      </c>
      <c r="G657" s="14">
        <v>2.2000000000000002</v>
      </c>
      <c r="H657" s="14">
        <v>2.1</v>
      </c>
      <c r="I657" s="14">
        <v>1.25</v>
      </c>
      <c r="J657">
        <v>31.68</v>
      </c>
      <c r="K657">
        <v>32.979999999999997</v>
      </c>
      <c r="L657">
        <v>32.33</v>
      </c>
      <c r="M657">
        <v>0.16</v>
      </c>
      <c r="N657" s="14">
        <v>314.94714285714309</v>
      </c>
      <c r="O657" s="14">
        <v>316.19714285714309</v>
      </c>
      <c r="P657" s="14">
        <v>315.57214285714309</v>
      </c>
      <c r="Q657" s="14">
        <v>314.94714285714309</v>
      </c>
      <c r="R657" s="14">
        <v>316.19714285714309</v>
      </c>
      <c r="S657" s="14">
        <v>315.57214285714309</v>
      </c>
      <c r="T657" s="3">
        <v>315.57</v>
      </c>
      <c r="U657" s="3">
        <v>0.625</v>
      </c>
      <c r="V657" s="3">
        <v>3394.14</v>
      </c>
      <c r="W657" s="3">
        <v>3877.81</v>
      </c>
      <c r="X657" s="3">
        <v>3623.4</v>
      </c>
      <c r="Y657" s="3">
        <v>3625.58</v>
      </c>
      <c r="Z657" s="3">
        <v>241.83500000000001</v>
      </c>
      <c r="AA657" s="4">
        <v>0.1145</v>
      </c>
      <c r="AB657" s="4">
        <v>7.8642009999999995E-3</v>
      </c>
      <c r="AC657">
        <v>1.1476266666666668</v>
      </c>
      <c r="AD657" s="15">
        <v>7.1712999999999996</v>
      </c>
      <c r="AE657" s="15">
        <v>2.4470999999999998</v>
      </c>
      <c r="AF657" s="15">
        <f t="shared" si="109"/>
        <v>4.7241999999999997</v>
      </c>
      <c r="AG657" s="15">
        <v>1.299473333333333</v>
      </c>
      <c r="AH657" s="15">
        <v>78.427227682776063</v>
      </c>
      <c r="AI657" s="2">
        <v>21.572772317223937</v>
      </c>
      <c r="AJ657" s="1">
        <f t="shared" si="110"/>
        <v>1.0786386158611969</v>
      </c>
      <c r="AK657" s="13">
        <v>9.7000000000000003E-2</v>
      </c>
      <c r="AL657" s="16">
        <v>52.216748770000002</v>
      </c>
      <c r="AM657" s="10">
        <v>2.6108374385000004</v>
      </c>
      <c r="AN657" s="16">
        <v>30.28813733758701</v>
      </c>
      <c r="AO657" s="11">
        <v>2.6123882043588473</v>
      </c>
      <c r="AP657" s="14">
        <v>4.5358281250000019</v>
      </c>
      <c r="AQ657" s="2">
        <f>AP657*((G657*0.01)+(H657*0.01)+(I657*0.01))</f>
        <v>0.25173846093750013</v>
      </c>
      <c r="AR657" s="15">
        <v>1.3280206320280996</v>
      </c>
      <c r="AS657" s="15">
        <v>0.28649086727318013</v>
      </c>
      <c r="AT657" s="15">
        <f t="shared" si="111"/>
        <v>1.8990444258985668E-2</v>
      </c>
      <c r="AU657" s="2">
        <f t="shared" si="112"/>
        <v>3.2803204302779124E-2</v>
      </c>
      <c r="AV657" s="2">
        <f t="shared" si="113"/>
        <v>3.9949837064581E-3</v>
      </c>
      <c r="AW657" s="3">
        <f t="shared" si="114"/>
        <v>12.178638615861196</v>
      </c>
    </row>
    <row r="658" spans="1:49" s="5" customFormat="1" x14ac:dyDescent="0.2">
      <c r="A658" s="5" t="s">
        <v>480</v>
      </c>
      <c r="B658" s="5" t="s">
        <v>481</v>
      </c>
      <c r="C658" s="5" t="s">
        <v>708</v>
      </c>
      <c r="D658" s="5" t="s">
        <v>734</v>
      </c>
      <c r="E658" s="13" t="s">
        <v>710</v>
      </c>
      <c r="F658" s="5">
        <v>283</v>
      </c>
      <c r="G658" s="14">
        <v>1.95</v>
      </c>
      <c r="H658" s="14">
        <v>1.95</v>
      </c>
      <c r="I658" s="14">
        <v>1.25</v>
      </c>
      <c r="J658">
        <v>33.14</v>
      </c>
      <c r="K658">
        <v>34.44</v>
      </c>
      <c r="L658">
        <v>33.79</v>
      </c>
      <c r="M658">
        <v>0.16</v>
      </c>
      <c r="N658" s="14">
        <v>316.35857142857168</v>
      </c>
      <c r="O658" s="14">
        <v>317.60857142857168</v>
      </c>
      <c r="P658" s="14">
        <v>316.98357142857168</v>
      </c>
      <c r="Q658" s="14">
        <v>316.35857142857168</v>
      </c>
      <c r="R658" s="14">
        <v>317.60857142857168</v>
      </c>
      <c r="S658" s="14">
        <v>316.98357142857168</v>
      </c>
      <c r="T658" s="3">
        <v>316.98</v>
      </c>
      <c r="U658" s="3">
        <v>0.625</v>
      </c>
      <c r="V658" s="3">
        <v>3404.07</v>
      </c>
      <c r="W658" s="3">
        <v>3891.93</v>
      </c>
      <c r="X658" s="3">
        <v>3636.89</v>
      </c>
      <c r="Y658" s="3">
        <v>3637.91</v>
      </c>
      <c r="Z658" s="3">
        <v>243.93</v>
      </c>
      <c r="AA658" s="4">
        <v>0.114</v>
      </c>
      <c r="AB658" s="4">
        <v>7.8687319999999998E-3</v>
      </c>
      <c r="AC658">
        <v>1.1476266666666668</v>
      </c>
      <c r="AD658" s="15">
        <v>6.5777999999999999</v>
      </c>
      <c r="AE658" s="15">
        <v>2.1614</v>
      </c>
      <c r="AF658" s="15">
        <f t="shared" si="109"/>
        <v>4.4163999999999994</v>
      </c>
      <c r="AG658" s="15">
        <v>1.0137733333333332</v>
      </c>
      <c r="AH658" s="15">
        <v>81.330737140373671</v>
      </c>
      <c r="AI658" s="2">
        <v>18.669262859626329</v>
      </c>
      <c r="AJ658" s="1">
        <f t="shared" si="110"/>
        <v>0.9334631429813165</v>
      </c>
      <c r="AK658" s="13">
        <v>0.1173</v>
      </c>
      <c r="AL658" s="16">
        <v>20.040899799999998</v>
      </c>
      <c r="AM658" s="10">
        <v>1.0020449899999999</v>
      </c>
      <c r="AN658" s="16">
        <v>11.624651856148491</v>
      </c>
      <c r="AO658" s="11">
        <v>1.0060786062649876</v>
      </c>
      <c r="AP658" s="14">
        <v>3.731203125</v>
      </c>
      <c r="AQ658" s="2">
        <f>AP658*((G658*0.01)+(H658*0.01)+(I658*0.01))</f>
        <v>0.19215696093750001</v>
      </c>
      <c r="AR658" s="15">
        <v>1.4553411195841377</v>
      </c>
      <c r="AS658" s="15">
        <v>0.27170145911939148</v>
      </c>
      <c r="AT658" s="15">
        <f t="shared" si="111"/>
        <v>1.6528858124470632E-2</v>
      </c>
      <c r="AU658" s="2">
        <f t="shared" si="112"/>
        <v>3.097396633961063E-2</v>
      </c>
      <c r="AV658" s="2">
        <f t="shared" si="113"/>
        <v>3.4794490926795996E-3</v>
      </c>
      <c r="AW658" s="3">
        <f t="shared" si="114"/>
        <v>11.233463142981318</v>
      </c>
    </row>
    <row r="659" spans="1:49" s="5" customFormat="1" x14ac:dyDescent="0.2">
      <c r="A659" s="5" t="s">
        <v>480</v>
      </c>
      <c r="B659" s="5" t="s">
        <v>481</v>
      </c>
      <c r="C659" s="5" t="s">
        <v>708</v>
      </c>
      <c r="D659" s="5" t="s">
        <v>735</v>
      </c>
      <c r="E659" s="13" t="s">
        <v>710</v>
      </c>
      <c r="F659" s="5">
        <v>284</v>
      </c>
      <c r="G659" s="14">
        <v>2.2000000000000002</v>
      </c>
      <c r="H659" s="14">
        <v>2</v>
      </c>
      <c r="I659" s="14">
        <v>1.2</v>
      </c>
      <c r="J659">
        <v>34.6</v>
      </c>
      <c r="K659">
        <v>35.799999999999997</v>
      </c>
      <c r="L659">
        <v>35.200000000000003</v>
      </c>
      <c r="M659">
        <v>0.16</v>
      </c>
      <c r="N659" s="14">
        <v>317.77000000000027</v>
      </c>
      <c r="O659" s="14">
        <v>318.97000000000025</v>
      </c>
      <c r="P659" s="14">
        <v>318.37000000000023</v>
      </c>
      <c r="Q659" s="14">
        <v>317.77000000000027</v>
      </c>
      <c r="R659" s="14">
        <v>318.97000000000025</v>
      </c>
      <c r="S659" s="14">
        <v>318.37000000000023</v>
      </c>
      <c r="T659" s="3">
        <v>318.37</v>
      </c>
      <c r="U659" s="3">
        <v>0.6</v>
      </c>
      <c r="V659" s="3">
        <v>3412.31</v>
      </c>
      <c r="W659" s="3">
        <v>3907.83</v>
      </c>
      <c r="X659" s="3">
        <v>3648.67</v>
      </c>
      <c r="Y659" s="3">
        <v>3650.07</v>
      </c>
      <c r="Z659" s="3">
        <v>247.76</v>
      </c>
      <c r="AA659" s="4">
        <v>0.1145</v>
      </c>
      <c r="AB659" s="4">
        <v>7.9878350000000004E-3</v>
      </c>
      <c r="AC659">
        <v>1.1476266666666668</v>
      </c>
      <c r="AD659" s="15">
        <v>6.9031000000000002</v>
      </c>
      <c r="AE659" s="15">
        <v>2.1589</v>
      </c>
      <c r="AF659" s="15">
        <f t="shared" si="109"/>
        <v>4.7442000000000002</v>
      </c>
      <c r="AG659" s="15">
        <v>1.0112733333333332</v>
      </c>
      <c r="AH659" s="15">
        <v>82.429362890512337</v>
      </c>
      <c r="AI659" s="2">
        <v>17.570637109487663</v>
      </c>
      <c r="AJ659" s="1">
        <f t="shared" si="110"/>
        <v>0.87853185547438317</v>
      </c>
      <c r="AK659" s="13">
        <v>0.123</v>
      </c>
      <c r="AL659" s="16">
        <v>37.404580150000001</v>
      </c>
      <c r="AM659" s="10">
        <v>1.8702290075000001</v>
      </c>
      <c r="AN659" s="16">
        <v>21.696392198375872</v>
      </c>
      <c r="AO659" s="11">
        <v>1.8723932654478428</v>
      </c>
      <c r="AP659" s="14">
        <v>4.1542200000000005</v>
      </c>
      <c r="AQ659" s="2">
        <f>AP659*((G659*0.01)+(H659*0.01)+(I659*0.01))</f>
        <v>0.22432788000000006</v>
      </c>
      <c r="AR659" s="15">
        <v>1.3854522228801875</v>
      </c>
      <c r="AS659" s="15">
        <v>0.24343278240760796</v>
      </c>
      <c r="AT659" s="15">
        <f t="shared" si="111"/>
        <v>1.5284004790129308E-2</v>
      </c>
      <c r="AU659" s="2">
        <f t="shared" si="112"/>
        <v>2.7873053585671114E-2</v>
      </c>
      <c r="AV659" s="2">
        <f t="shared" si="113"/>
        <v>3.2551634420960461E-3</v>
      </c>
      <c r="AW659" s="3">
        <f t="shared" si="114"/>
        <v>11.678531855474384</v>
      </c>
    </row>
    <row r="660" spans="1:49" s="5" customFormat="1" x14ac:dyDescent="0.2">
      <c r="A660" s="5" t="s">
        <v>480</v>
      </c>
      <c r="B660" s="5" t="s">
        <v>481</v>
      </c>
      <c r="C660" s="5" t="s">
        <v>708</v>
      </c>
      <c r="D660" s="5" t="s">
        <v>736</v>
      </c>
      <c r="E660" s="13" t="s">
        <v>710</v>
      </c>
      <c r="F660" s="5">
        <v>285</v>
      </c>
      <c r="G660" s="14">
        <v>2.2000000000000002</v>
      </c>
      <c r="H660" s="14">
        <v>2.25</v>
      </c>
      <c r="I660" s="14">
        <v>1.2</v>
      </c>
      <c r="J660">
        <v>35.96</v>
      </c>
      <c r="K660">
        <v>37.159999999999997</v>
      </c>
      <c r="L660">
        <v>36.56</v>
      </c>
      <c r="M660">
        <v>0.16</v>
      </c>
      <c r="N660" s="14">
        <v>319.13142857142884</v>
      </c>
      <c r="O660" s="14">
        <v>320.33142857142883</v>
      </c>
      <c r="P660" s="14">
        <v>319.73142857142886</v>
      </c>
      <c r="Q660" s="14">
        <v>319.13142857142884</v>
      </c>
      <c r="R660" s="14">
        <v>320.33142857142883</v>
      </c>
      <c r="S660" s="14">
        <v>319.73142857142886</v>
      </c>
      <c r="T660" s="3">
        <v>319.73</v>
      </c>
      <c r="U660" s="3">
        <v>0.6</v>
      </c>
      <c r="V660" s="3">
        <v>3419.59</v>
      </c>
      <c r="W660" s="3">
        <v>3922.19</v>
      </c>
      <c r="X660" s="3">
        <v>3660.53</v>
      </c>
      <c r="Y660" s="3">
        <v>3661.96</v>
      </c>
      <c r="Z660" s="3">
        <v>251.3</v>
      </c>
      <c r="AA660" s="4">
        <v>0.1069</v>
      </c>
      <c r="AB660" s="4">
        <v>7.5365609999999998E-3</v>
      </c>
      <c r="AC660">
        <v>1.1476266666666668</v>
      </c>
      <c r="AD660" s="15">
        <v>9.8210999999999995</v>
      </c>
      <c r="AE660" s="15">
        <v>2.1814</v>
      </c>
      <c r="AF660" s="15">
        <f t="shared" si="109"/>
        <v>7.6396999999999995</v>
      </c>
      <c r="AG660" s="15">
        <v>1.0337733333333332</v>
      </c>
      <c r="AH660" s="15">
        <v>88.081206990509756</v>
      </c>
      <c r="AI660" s="2">
        <v>11.918793009490244</v>
      </c>
      <c r="AJ660" s="1">
        <f t="shared" si="110"/>
        <v>0.59593965047451225</v>
      </c>
      <c r="AK660" s="13">
        <v>4.1599999999999998E-2</v>
      </c>
      <c r="AL660" s="16">
        <v>65.676567660000003</v>
      </c>
      <c r="AM660" s="10">
        <v>3.2838283830000004</v>
      </c>
      <c r="AN660" s="16">
        <v>38.095456879350351</v>
      </c>
      <c r="AO660" s="11">
        <v>3.2850614680697223</v>
      </c>
      <c r="AP660" s="14">
        <v>4.6634887500000008</v>
      </c>
      <c r="AQ660" s="2">
        <f>AP660*((G660*0.01)+(H660*0.01)+(I660*0.01))</f>
        <v>0.263487114375</v>
      </c>
      <c r="AR660" s="15">
        <v>1.8598679654439674</v>
      </c>
      <c r="AS660" s="15">
        <v>0.22167381305108391</v>
      </c>
      <c r="AT660" s="15">
        <f t="shared" si="111"/>
        <v>1.3845612584076392E-2</v>
      </c>
      <c r="AU660" s="2">
        <f t="shared" si="112"/>
        <v>2.3696930615160868E-2</v>
      </c>
      <c r="AV660" s="2">
        <f t="shared" si="113"/>
        <v>2.818972564994355E-3</v>
      </c>
      <c r="AW660" s="3">
        <f t="shared" si="114"/>
        <v>11.89593965047451</v>
      </c>
    </row>
    <row r="661" spans="1:49" s="5" customFormat="1" x14ac:dyDescent="0.2">
      <c r="A661" s="5" t="s">
        <v>480</v>
      </c>
      <c r="B661" s="5" t="s">
        <v>481</v>
      </c>
      <c r="C661" s="5" t="s">
        <v>737</v>
      </c>
      <c r="D661" s="5" t="s">
        <v>738</v>
      </c>
      <c r="E661" s="13" t="s">
        <v>739</v>
      </c>
      <c r="F661" s="5">
        <v>292</v>
      </c>
      <c r="G661" s="14">
        <v>1.85</v>
      </c>
      <c r="H661" s="14">
        <v>2.15</v>
      </c>
      <c r="I661" s="14">
        <v>0.9</v>
      </c>
      <c r="J661">
        <v>0</v>
      </c>
      <c r="K661">
        <v>0.9</v>
      </c>
      <c r="L661">
        <v>0.45</v>
      </c>
      <c r="M661">
        <v>0.14000000000000001</v>
      </c>
      <c r="N661" s="14">
        <v>320</v>
      </c>
      <c r="O661" s="14">
        <v>320.89999999999998</v>
      </c>
      <c r="P661" s="14">
        <v>320.45</v>
      </c>
      <c r="Q661" s="14">
        <v>320</v>
      </c>
      <c r="R661" s="14">
        <v>320.89999999999998</v>
      </c>
      <c r="S661" s="14">
        <v>320.45</v>
      </c>
      <c r="T661" s="3">
        <v>320.45</v>
      </c>
      <c r="U661" s="3">
        <v>0.45</v>
      </c>
      <c r="V661" s="3">
        <v>3429.29</v>
      </c>
      <c r="W661" s="3">
        <v>3926.21</v>
      </c>
      <c r="X661" s="3">
        <v>3666.62</v>
      </c>
      <c r="Y661" s="3">
        <v>3668.68</v>
      </c>
      <c r="Z661" s="3">
        <v>248.46</v>
      </c>
      <c r="AA661" s="4">
        <v>0.1028</v>
      </c>
      <c r="AB661" s="4">
        <v>7.1064520000000001E-3</v>
      </c>
      <c r="AC661">
        <v>1.1476266666666668</v>
      </c>
      <c r="AD661" s="15">
        <v>4.6143999999999998</v>
      </c>
      <c r="AE661" s="15">
        <v>1.6849000000000001</v>
      </c>
      <c r="AF661" s="15">
        <f t="shared" si="109"/>
        <v>2.9295</v>
      </c>
      <c r="AG661" s="15">
        <v>0.53727333333333327</v>
      </c>
      <c r="AH661" s="15">
        <v>84.502207624380787</v>
      </c>
      <c r="AI661" s="2">
        <v>15.497792375619213</v>
      </c>
      <c r="AJ661" s="1">
        <f t="shared" si="110"/>
        <v>0.77488961878096063</v>
      </c>
      <c r="AK661" s="13">
        <v>1.1599999999999999E-2</v>
      </c>
      <c r="AL661" s="16">
        <v>82.343987819999995</v>
      </c>
      <c r="AM661" s="10">
        <v>4.1171993909999998</v>
      </c>
      <c r="AN661" s="16">
        <v>47.763334002320185</v>
      </c>
      <c r="AO661" s="11">
        <v>4.1181829518916189</v>
      </c>
      <c r="AP661" s="14">
        <v>2.8260000000000001</v>
      </c>
      <c r="AQ661" s="2">
        <f>AP661*((G661*0.01)+(H661*0.01)+(I661*0.01))</f>
        <v>0.13847400000000001</v>
      </c>
      <c r="AR661" s="15">
        <v>1.2267421561689078</v>
      </c>
      <c r="AS661" s="15">
        <v>0.19011795234725168</v>
      </c>
      <c r="AT661" s="15">
        <f t="shared" si="111"/>
        <v>1.078898394119312E-2</v>
      </c>
      <c r="AU661" s="2">
        <f t="shared" si="112"/>
        <v>1.9544125501297475E-2</v>
      </c>
      <c r="AV661" s="2">
        <f t="shared" si="113"/>
        <v>2.0667696987182291E-3</v>
      </c>
      <c r="AW661" s="3">
        <f t="shared" si="114"/>
        <v>10.574889618780961</v>
      </c>
    </row>
    <row r="662" spans="1:49" s="5" customFormat="1" x14ac:dyDescent="0.2">
      <c r="A662" s="5" t="s">
        <v>480</v>
      </c>
      <c r="B662" s="5" t="s">
        <v>481</v>
      </c>
      <c r="C662" s="5" t="s">
        <v>737</v>
      </c>
      <c r="D662" s="5" t="s">
        <v>740</v>
      </c>
      <c r="E662" s="13" t="s">
        <v>739</v>
      </c>
      <c r="F662" s="5">
        <v>293</v>
      </c>
      <c r="G662" s="14">
        <v>2.2999999999999998</v>
      </c>
      <c r="H662" s="14">
        <v>2.5</v>
      </c>
      <c r="I662" s="14">
        <v>1.2</v>
      </c>
      <c r="J662">
        <v>1.04</v>
      </c>
      <c r="K662">
        <v>2.2400000000000002</v>
      </c>
      <c r="L662">
        <v>1.64</v>
      </c>
      <c r="M662">
        <v>0.14000000000000001</v>
      </c>
      <c r="N662" s="14">
        <v>321.03571428571428</v>
      </c>
      <c r="O662" s="14">
        <v>322.23571428571427</v>
      </c>
      <c r="P662" s="14">
        <v>321.63571428571424</v>
      </c>
      <c r="Q662" s="14">
        <v>321.03571428571428</v>
      </c>
      <c r="R662" s="14">
        <v>322.23571428571427</v>
      </c>
      <c r="S662" s="14">
        <v>321.63571428571424</v>
      </c>
      <c r="T662" s="3">
        <v>321.64</v>
      </c>
      <c r="U662" s="3">
        <v>0.6</v>
      </c>
      <c r="V662" s="3">
        <v>3450.69</v>
      </c>
      <c r="W662" s="3">
        <v>3936.06</v>
      </c>
      <c r="X662" s="3">
        <v>3677.61</v>
      </c>
      <c r="Y662" s="3">
        <v>3680.21</v>
      </c>
      <c r="Z662" s="3">
        <v>242.685</v>
      </c>
      <c r="AA662" s="4">
        <v>0.1032</v>
      </c>
      <c r="AB662" s="4">
        <v>6.9978569999999997E-3</v>
      </c>
      <c r="AC662">
        <v>1.1476266666666668</v>
      </c>
      <c r="AD662" s="15">
        <v>7.2262000000000004</v>
      </c>
      <c r="AE662" s="15">
        <v>2.2948</v>
      </c>
      <c r="AF662" s="15">
        <f t="shared" si="109"/>
        <v>4.9314</v>
      </c>
      <c r="AG662" s="15">
        <v>1.1471733333333332</v>
      </c>
      <c r="AH662" s="15">
        <v>81.127589149208262</v>
      </c>
      <c r="AI662" s="2">
        <v>18.872410850791738</v>
      </c>
      <c r="AJ662" s="1">
        <f t="shared" si="110"/>
        <v>0.94362054253958694</v>
      </c>
      <c r="AK662" s="13">
        <v>3.7100000000000001E-2</v>
      </c>
      <c r="AL662" s="16">
        <v>66.272727270000004</v>
      </c>
      <c r="AM662" s="10">
        <v>3.3136363635000006</v>
      </c>
      <c r="AN662" s="16">
        <v>38.441257117169378</v>
      </c>
      <c r="AO662" s="11">
        <v>3.3148583603993562</v>
      </c>
      <c r="AP662" s="14">
        <v>5.4259199999999987</v>
      </c>
      <c r="AQ662" s="2">
        <f>AP662*((G662*0.01)+(H662*0.01)+(I662*0.01))</f>
        <v>0.32555519999999993</v>
      </c>
      <c r="AR662" s="15">
        <v>1.1202843634504998</v>
      </c>
      <c r="AS662" s="15">
        <v>0.21142466776755525</v>
      </c>
      <c r="AT662" s="15">
        <f t="shared" si="111"/>
        <v>1.468052666310404E-2</v>
      </c>
      <c r="AU662" s="2">
        <f t="shared" si="112"/>
        <v>2.1819025713611703E-2</v>
      </c>
      <c r="AV662" s="2">
        <f t="shared" si="113"/>
        <v>2.8241718944490395E-3</v>
      </c>
      <c r="AW662" s="3">
        <f t="shared" si="114"/>
        <v>12.943620542539588</v>
      </c>
    </row>
    <row r="663" spans="1:49" s="5" customFormat="1" x14ac:dyDescent="0.2">
      <c r="A663" s="5" t="s">
        <v>480</v>
      </c>
      <c r="B663" s="5" t="s">
        <v>481</v>
      </c>
      <c r="C663" s="5" t="s">
        <v>737</v>
      </c>
      <c r="D663" s="5" t="s">
        <v>741</v>
      </c>
      <c r="E663" s="13" t="s">
        <v>739</v>
      </c>
      <c r="F663" s="5">
        <v>294</v>
      </c>
      <c r="G663" s="14">
        <v>2.2999999999999998</v>
      </c>
      <c r="H663" s="14">
        <v>2.7</v>
      </c>
      <c r="I663" s="14">
        <v>1.25</v>
      </c>
      <c r="J663">
        <v>2.38</v>
      </c>
      <c r="K663">
        <v>3.68</v>
      </c>
      <c r="L663">
        <v>3.03</v>
      </c>
      <c r="M663">
        <v>0.14000000000000001</v>
      </c>
      <c r="N663" s="14">
        <v>322.37142857142857</v>
      </c>
      <c r="O663" s="14">
        <v>323.62142857142857</v>
      </c>
      <c r="P663" s="14">
        <v>322.99642857142857</v>
      </c>
      <c r="Q663" s="14">
        <v>322.37142857142857</v>
      </c>
      <c r="R663" s="14">
        <v>323.62142857142857</v>
      </c>
      <c r="S663" s="14">
        <v>322.99642857142857</v>
      </c>
      <c r="T663" s="3">
        <v>323</v>
      </c>
      <c r="U663" s="3">
        <v>0.625</v>
      </c>
      <c r="V663" s="3">
        <v>3474.82</v>
      </c>
      <c r="W663" s="3">
        <v>3944.4</v>
      </c>
      <c r="X663" s="3">
        <v>3690.32</v>
      </c>
      <c r="Y663" s="3">
        <v>3693.39</v>
      </c>
      <c r="Z663" s="3">
        <v>234.79</v>
      </c>
      <c r="AA663" s="4">
        <v>0.1033</v>
      </c>
      <c r="AB663" s="4">
        <v>6.7666979999999998E-3</v>
      </c>
      <c r="AC663">
        <v>1.1476266666666668</v>
      </c>
      <c r="AD663" s="15">
        <v>7.9724000000000004</v>
      </c>
      <c r="AE663" s="15">
        <v>2.3740000000000001</v>
      </c>
      <c r="AF663" s="15">
        <f t="shared" si="109"/>
        <v>5.5983999999999998</v>
      </c>
      <c r="AG663" s="15">
        <v>1.2263733333333333</v>
      </c>
      <c r="AH663" s="15">
        <v>82.03056316400253</v>
      </c>
      <c r="AI663" s="2">
        <v>17.96943683599747</v>
      </c>
      <c r="AJ663" s="1">
        <f t="shared" si="110"/>
        <v>0.89847184179987361</v>
      </c>
      <c r="AK663" s="13">
        <v>3.8100000000000002E-2</v>
      </c>
      <c r="AL663" s="16">
        <v>63.851992410000001</v>
      </c>
      <c r="AM663" s="10">
        <v>3.1925996205000002</v>
      </c>
      <c r="AN663" s="16">
        <v>37.037118567285383</v>
      </c>
      <c r="AO663" s="11">
        <v>3.1938679272657389</v>
      </c>
      <c r="AP663" s="14">
        <v>6.1328125</v>
      </c>
      <c r="AQ663" s="2">
        <f>AP663*((G663*0.01)+(H663*0.01)+(I663*0.01))</f>
        <v>0.38330078125</v>
      </c>
      <c r="AR663" s="15">
        <v>1.1128292823779193</v>
      </c>
      <c r="AS663" s="15">
        <v>0.19996915498938428</v>
      </c>
      <c r="AT663" s="15">
        <f t="shared" si="111"/>
        <v>1.4294738736701283E-2</v>
      </c>
      <c r="AU663" s="2">
        <f t="shared" si="112"/>
        <v>2.0656813710403395E-2</v>
      </c>
      <c r="AV663" s="2">
        <f t="shared" si="113"/>
        <v>2.7676973684014547E-3</v>
      </c>
      <c r="AW663" s="3">
        <f t="shared" si="114"/>
        <v>13.398471841799875</v>
      </c>
    </row>
    <row r="664" spans="1:49" s="5" customFormat="1" x14ac:dyDescent="0.2">
      <c r="A664" s="5" t="s">
        <v>480</v>
      </c>
      <c r="B664" s="5" t="s">
        <v>481</v>
      </c>
      <c r="C664" s="5" t="s">
        <v>737</v>
      </c>
      <c r="D664" s="5" t="s">
        <v>742</v>
      </c>
      <c r="E664" s="13" t="s">
        <v>739</v>
      </c>
      <c r="F664" s="5">
        <v>295</v>
      </c>
      <c r="G664" s="14">
        <v>2.35</v>
      </c>
      <c r="H664" s="14">
        <v>2.2999999999999998</v>
      </c>
      <c r="I664" s="14">
        <v>1.2</v>
      </c>
      <c r="J664">
        <v>3.82</v>
      </c>
      <c r="K664">
        <v>5.0199999999999996</v>
      </c>
      <c r="L664">
        <v>4.42</v>
      </c>
      <c r="M664">
        <v>0.14000000000000001</v>
      </c>
      <c r="N664" s="14">
        <v>323.75714285714287</v>
      </c>
      <c r="O664" s="14">
        <v>324.95714285714286</v>
      </c>
      <c r="P664" s="14">
        <v>324.35714285714289</v>
      </c>
      <c r="Q664" s="14">
        <v>323.75714285714287</v>
      </c>
      <c r="R664" s="14">
        <v>324.95714285714286</v>
      </c>
      <c r="S664" s="14">
        <v>324.35714285714289</v>
      </c>
      <c r="T664" s="3">
        <v>324.36</v>
      </c>
      <c r="U664" s="3">
        <v>0.6</v>
      </c>
      <c r="V664" s="3">
        <v>3492.69</v>
      </c>
      <c r="W664" s="3">
        <v>3955.58</v>
      </c>
      <c r="X664" s="3">
        <v>3701.97</v>
      </c>
      <c r="Y664" s="3">
        <v>3706.56</v>
      </c>
      <c r="Z664" s="3">
        <v>231.44499999999999</v>
      </c>
      <c r="AA664" s="4">
        <v>0.1032</v>
      </c>
      <c r="AB664" s="4">
        <v>6.6349130000000001E-3</v>
      </c>
      <c r="AC664">
        <v>1.1476266666666668</v>
      </c>
      <c r="AD664" s="15">
        <v>7.6715</v>
      </c>
      <c r="AE664" s="15">
        <v>2.3613</v>
      </c>
      <c r="AF664" s="15">
        <f t="shared" si="109"/>
        <v>5.3102</v>
      </c>
      <c r="AG664" s="15">
        <v>1.2136733333333332</v>
      </c>
      <c r="AH664" s="15">
        <v>81.396430137106691</v>
      </c>
      <c r="AI664" s="2">
        <v>18.603569862893309</v>
      </c>
      <c r="AJ664" s="1">
        <f t="shared" si="110"/>
        <v>0.9301784931446655</v>
      </c>
      <c r="AK664" s="13">
        <v>0.10979999999999999</v>
      </c>
      <c r="AL664" s="16">
        <v>33.575317599999998</v>
      </c>
      <c r="AM664" s="10">
        <v>1.67876588</v>
      </c>
      <c r="AN664" s="16">
        <v>19.475242227378189</v>
      </c>
      <c r="AO664" s="11">
        <v>1.6811766355300608</v>
      </c>
      <c r="AP664" s="14">
        <v>5.0920987500000008</v>
      </c>
      <c r="AQ664" s="2">
        <f>AP664*((G664*0.01)+(H664*0.01)+(I664*0.01))</f>
        <v>0.29788777687500001</v>
      </c>
      <c r="AR664" s="15">
        <v>1.2811757300137459</v>
      </c>
      <c r="AS664" s="15">
        <v>0.23834442199954056</v>
      </c>
      <c r="AT664" s="15">
        <f t="shared" si="111"/>
        <v>1.6160177240022808E-2</v>
      </c>
      <c r="AU664" s="2">
        <f t="shared" si="112"/>
        <v>2.4597144350352585E-2</v>
      </c>
      <c r="AV664" s="2">
        <f t="shared" si="113"/>
        <v>3.1066632356659802E-3</v>
      </c>
      <c r="AW664" s="3">
        <f t="shared" si="114"/>
        <v>12.630178493144664</v>
      </c>
    </row>
    <row r="665" spans="1:49" s="5" customFormat="1" x14ac:dyDescent="0.2">
      <c r="A665" s="5" t="s">
        <v>480</v>
      </c>
      <c r="B665" s="5" t="s">
        <v>481</v>
      </c>
      <c r="C665" s="5" t="s">
        <v>737</v>
      </c>
      <c r="D665" s="5" t="s">
        <v>743</v>
      </c>
      <c r="E665" s="13" t="s">
        <v>739</v>
      </c>
      <c r="F665" s="5">
        <v>296</v>
      </c>
      <c r="G665" s="14">
        <v>2.2999999999999998</v>
      </c>
      <c r="H665" s="14">
        <v>2.4500000000000002</v>
      </c>
      <c r="I665" s="14">
        <v>1.25</v>
      </c>
      <c r="J665">
        <v>5.16</v>
      </c>
      <c r="K665">
        <v>6.46</v>
      </c>
      <c r="L665">
        <v>5.81</v>
      </c>
      <c r="M665">
        <v>0.14000000000000001</v>
      </c>
      <c r="N665" s="14">
        <v>325.09285714285716</v>
      </c>
      <c r="O665" s="14">
        <v>326.34285714285716</v>
      </c>
      <c r="P665" s="14">
        <v>325.71785714285716</v>
      </c>
      <c r="Q665" s="14">
        <v>325.09285714285716</v>
      </c>
      <c r="R665" s="14">
        <v>326.34285714285716</v>
      </c>
      <c r="S665" s="14">
        <v>325.71785714285716</v>
      </c>
      <c r="T665" s="3">
        <v>325.72000000000003</v>
      </c>
      <c r="U665" s="3">
        <v>0.625</v>
      </c>
      <c r="V665" s="3">
        <v>3508.29</v>
      </c>
      <c r="W665" s="3">
        <v>3968.6</v>
      </c>
      <c r="X665" s="3">
        <v>3714.58</v>
      </c>
      <c r="Y665" s="3">
        <v>3719.74</v>
      </c>
      <c r="Z665" s="3">
        <v>230.155</v>
      </c>
      <c r="AA665" s="4">
        <v>0.1037</v>
      </c>
      <c r="AB665" s="4">
        <v>6.6153109999999996E-3</v>
      </c>
      <c r="AC665">
        <v>1.1476266666666668</v>
      </c>
      <c r="AD665" s="15">
        <v>7.4127999999999998</v>
      </c>
      <c r="AE665" s="15">
        <v>2.2240000000000002</v>
      </c>
      <c r="AF665" s="15">
        <f t="shared" si="109"/>
        <v>5.1887999999999996</v>
      </c>
      <c r="AG665" s="15">
        <v>1.0763733333333334</v>
      </c>
      <c r="AH665" s="15">
        <v>82.819735766821026</v>
      </c>
      <c r="AI665" s="2">
        <v>17.180264233178974</v>
      </c>
      <c r="AJ665" s="1">
        <f t="shared" si="110"/>
        <v>0.85901321165894873</v>
      </c>
      <c r="AK665" s="13">
        <v>5.4399999999999997E-2</v>
      </c>
      <c r="AL665" s="16">
        <v>62.01117318</v>
      </c>
      <c r="AM665" s="10">
        <v>3.1005586590000003</v>
      </c>
      <c r="AN665" s="16">
        <v>35.969357993039445</v>
      </c>
      <c r="AO665" s="11">
        <v>3.1018646001880676</v>
      </c>
      <c r="AP665" s="14">
        <v>5.5348632812499998</v>
      </c>
      <c r="AQ665" s="2">
        <f>AP665*((G665*0.01)+(H665*0.01)+(I665*0.01))</f>
        <v>0.33209179687499996</v>
      </c>
      <c r="AR665" s="15">
        <v>1.1319472613817481</v>
      </c>
      <c r="AS665" s="15">
        <v>0.19447153048561736</v>
      </c>
      <c r="AT665" s="15">
        <f t="shared" si="111"/>
        <v>1.3338827968923852E-2</v>
      </c>
      <c r="AU665" s="2">
        <f t="shared" si="112"/>
        <v>2.0166697711358521E-2</v>
      </c>
      <c r="AV665" s="2">
        <f t="shared" si="113"/>
        <v>2.5932383230589146E-3</v>
      </c>
      <c r="AW665" s="3">
        <f t="shared" si="114"/>
        <v>12.859013211658946</v>
      </c>
    </row>
    <row r="666" spans="1:49" s="5" customFormat="1" x14ac:dyDescent="0.2">
      <c r="A666" s="5" t="s">
        <v>480</v>
      </c>
      <c r="B666" s="5" t="s">
        <v>481</v>
      </c>
      <c r="C666" s="5" t="s">
        <v>737</v>
      </c>
      <c r="D666" s="5" t="s">
        <v>744</v>
      </c>
      <c r="E666" s="13" t="s">
        <v>739</v>
      </c>
      <c r="F666" s="5">
        <v>297</v>
      </c>
      <c r="G666" s="14">
        <v>2.2999999999999998</v>
      </c>
      <c r="H666" s="14">
        <v>2.7</v>
      </c>
      <c r="I666" s="14">
        <v>1.25</v>
      </c>
      <c r="J666">
        <v>6.6</v>
      </c>
      <c r="K666">
        <v>7.9</v>
      </c>
      <c r="L666">
        <v>7.25</v>
      </c>
      <c r="M666">
        <v>0.14000000000000001</v>
      </c>
      <c r="N666" s="14">
        <v>326.47857142857146</v>
      </c>
      <c r="O666" s="14">
        <v>327.72857142857146</v>
      </c>
      <c r="P666" s="14">
        <v>327.10357142857146</v>
      </c>
      <c r="Q666" s="14">
        <v>326.47857142857146</v>
      </c>
      <c r="R666" s="14">
        <v>327.72857142857146</v>
      </c>
      <c r="S666" s="14">
        <v>327.10357142857146</v>
      </c>
      <c r="T666" s="3">
        <v>327.10000000000002</v>
      </c>
      <c r="U666" s="3">
        <v>0.625</v>
      </c>
      <c r="V666" s="3">
        <v>3520.21</v>
      </c>
      <c r="W666" s="3">
        <v>3980.53</v>
      </c>
      <c r="X666" s="3">
        <v>3727.78</v>
      </c>
      <c r="Y666" s="3">
        <v>3733.1</v>
      </c>
      <c r="Z666" s="3">
        <v>230.16</v>
      </c>
      <c r="AA666" s="4">
        <v>0.10290000000000001</v>
      </c>
      <c r="AB666" s="4">
        <v>6.5407959999999998E-3</v>
      </c>
      <c r="AC666">
        <v>1.1476266666666668</v>
      </c>
      <c r="AD666" s="15">
        <v>7.9501999999999997</v>
      </c>
      <c r="AE666" s="15">
        <v>2.2629000000000001</v>
      </c>
      <c r="AF666" s="15">
        <f t="shared" si="109"/>
        <v>5.6872999999999996</v>
      </c>
      <c r="AG666" s="15">
        <v>1.1152733333333333</v>
      </c>
      <c r="AH666" s="15">
        <v>83.605125903334624</v>
      </c>
      <c r="AI666" s="2">
        <v>16.394874096665376</v>
      </c>
      <c r="AJ666" s="1">
        <f t="shared" si="110"/>
        <v>0.81974370483326886</v>
      </c>
      <c r="AK666" s="13">
        <v>2.2700000000000001E-2</v>
      </c>
      <c r="AL666" s="16">
        <v>71.90594059</v>
      </c>
      <c r="AM666" s="10">
        <v>3.5952970295000002</v>
      </c>
      <c r="AN666" s="16">
        <v>41.708782244779584</v>
      </c>
      <c r="AO666" s="11">
        <v>3.5964233246840567</v>
      </c>
      <c r="AP666" s="14">
        <v>6.1328125</v>
      </c>
      <c r="AQ666" s="2">
        <f>AP666*((G666*0.01)+(H666*0.01)+(I666*0.01))</f>
        <v>0.38330078125</v>
      </c>
      <c r="AR666" s="15">
        <v>1.1092094097664542</v>
      </c>
      <c r="AS666" s="15">
        <v>0.18185348619957536</v>
      </c>
      <c r="AT666" s="15">
        <f t="shared" si="111"/>
        <v>1.2856575392614316E-2</v>
      </c>
      <c r="AU666" s="2">
        <f t="shared" si="112"/>
        <v>1.8712723729936306E-2</v>
      </c>
      <c r="AV666" s="2">
        <f t="shared" si="113"/>
        <v>2.4924868410210327E-3</v>
      </c>
      <c r="AW666" s="3">
        <f t="shared" si="114"/>
        <v>13.31974370483327</v>
      </c>
    </row>
    <row r="667" spans="1:49" s="5" customFormat="1" x14ac:dyDescent="0.2">
      <c r="A667" s="5" t="s">
        <v>480</v>
      </c>
      <c r="B667" s="5" t="s">
        <v>481</v>
      </c>
      <c r="C667" s="5" t="s">
        <v>737</v>
      </c>
      <c r="D667" s="5" t="s">
        <v>745</v>
      </c>
      <c r="E667" s="13" t="s">
        <v>739</v>
      </c>
      <c r="F667" s="5">
        <v>298</v>
      </c>
      <c r="G667" s="14">
        <v>2.4</v>
      </c>
      <c r="H667" s="14">
        <v>2.25</v>
      </c>
      <c r="I667" s="14">
        <v>1.25</v>
      </c>
      <c r="J667">
        <v>8.0399999999999991</v>
      </c>
      <c r="K667">
        <v>9.34</v>
      </c>
      <c r="L667">
        <v>8.69</v>
      </c>
      <c r="M667">
        <v>0.14000000000000001</v>
      </c>
      <c r="N667" s="14">
        <v>327.86428571428576</v>
      </c>
      <c r="O667" s="14">
        <v>329.11428571428576</v>
      </c>
      <c r="P667" s="14">
        <v>328.48928571428576</v>
      </c>
      <c r="Q667" s="14">
        <v>327.86428571428576</v>
      </c>
      <c r="R667" s="14">
        <v>329.11428571428576</v>
      </c>
      <c r="S667" s="14">
        <v>328.48928571428576</v>
      </c>
      <c r="T667" s="3">
        <v>328.49</v>
      </c>
      <c r="U667" s="3">
        <v>0.625</v>
      </c>
      <c r="V667" s="3">
        <v>3528.97</v>
      </c>
      <c r="W667" s="3">
        <v>3996.95</v>
      </c>
      <c r="X667" s="3">
        <v>3741.66</v>
      </c>
      <c r="Y667" s="3">
        <v>3746.57</v>
      </c>
      <c r="Z667" s="3">
        <v>233.99</v>
      </c>
      <c r="AA667" s="4">
        <v>0.1033</v>
      </c>
      <c r="AB667" s="4">
        <v>6.6480890000000003E-3</v>
      </c>
      <c r="AC667">
        <v>1.1476266666666668</v>
      </c>
      <c r="AD667" s="15">
        <v>7.2516999999999996</v>
      </c>
      <c r="AE667" s="15">
        <v>2.0623999999999998</v>
      </c>
      <c r="AF667" s="15">
        <f t="shared" si="109"/>
        <v>5.1892999999999994</v>
      </c>
      <c r="AG667" s="15">
        <v>0.91477333333333299</v>
      </c>
      <c r="AH667" s="15">
        <v>85.013723076721462</v>
      </c>
      <c r="AI667" s="2">
        <v>14.986276923278538</v>
      </c>
      <c r="AJ667" s="1">
        <f t="shared" si="110"/>
        <v>0.74931384616392693</v>
      </c>
      <c r="AK667" s="13">
        <v>2.0899999999999998E-2</v>
      </c>
      <c r="AL667" s="16">
        <v>77.906976740000005</v>
      </c>
      <c r="AM667" s="10">
        <v>3.8953488370000002</v>
      </c>
      <c r="AN667" s="16">
        <v>45.189661682134577</v>
      </c>
      <c r="AO667" s="11">
        <v>3.8963883997770621</v>
      </c>
      <c r="AP667" s="14">
        <v>5.304269531250001</v>
      </c>
      <c r="AQ667" s="2">
        <f>AP667*((G667*0.01)+(H667*0.01)+(I667*0.01))</f>
        <v>0.31295190234375003</v>
      </c>
      <c r="AR667" s="15">
        <v>1.1507849096602847</v>
      </c>
      <c r="AS667" s="15">
        <v>0.17245981335299115</v>
      </c>
      <c r="AT667" s="15">
        <f t="shared" si="111"/>
        <v>1.1467394248348904E-2</v>
      </c>
      <c r="AU667" s="2">
        <f t="shared" si="112"/>
        <v>1.7815098719363986E-2</v>
      </c>
      <c r="AV667" s="2">
        <f t="shared" si="113"/>
        <v>2.2356726502969172E-3</v>
      </c>
      <c r="AW667" s="3">
        <f t="shared" si="114"/>
        <v>12.549313846163926</v>
      </c>
    </row>
    <row r="668" spans="1:49" s="5" customFormat="1" x14ac:dyDescent="0.2">
      <c r="A668" s="5" t="s">
        <v>480</v>
      </c>
      <c r="B668" s="5" t="s">
        <v>481</v>
      </c>
      <c r="C668" s="5" t="s">
        <v>737</v>
      </c>
      <c r="D668" s="5" t="s">
        <v>746</v>
      </c>
      <c r="E668" s="13" t="s">
        <v>739</v>
      </c>
      <c r="F668" s="5">
        <v>299</v>
      </c>
      <c r="G668" s="14">
        <v>2.35</v>
      </c>
      <c r="H668" s="14">
        <v>2.5499999999999998</v>
      </c>
      <c r="I668" s="14">
        <v>1.3</v>
      </c>
      <c r="J668">
        <v>9.48</v>
      </c>
      <c r="K668">
        <v>10.78</v>
      </c>
      <c r="L668">
        <v>10.130000000000001</v>
      </c>
      <c r="M668">
        <v>0.14000000000000001</v>
      </c>
      <c r="N668" s="14">
        <v>329.25000000000006</v>
      </c>
      <c r="O668" s="14">
        <v>330.55000000000007</v>
      </c>
      <c r="P668" s="14">
        <v>329.90000000000009</v>
      </c>
      <c r="Q668" s="14">
        <v>329.25000000000006</v>
      </c>
      <c r="R668" s="14">
        <v>330.55000000000007</v>
      </c>
      <c r="S668" s="14">
        <v>329.90000000000009</v>
      </c>
      <c r="T668" s="3">
        <v>329.9</v>
      </c>
      <c r="U668" s="3">
        <v>0.65</v>
      </c>
      <c r="V668" s="3">
        <v>3538.05</v>
      </c>
      <c r="W668" s="3">
        <v>4017.81</v>
      </c>
      <c r="X668" s="3">
        <v>3756.12</v>
      </c>
      <c r="Y668" s="3">
        <v>3760.23</v>
      </c>
      <c r="Z668" s="3">
        <v>239.88</v>
      </c>
      <c r="AA668" s="4">
        <v>9.7500000000000003E-2</v>
      </c>
      <c r="AB668" s="4">
        <v>6.4120160000000004E-3</v>
      </c>
      <c r="AC668">
        <v>1.1476266666666668</v>
      </c>
      <c r="AD668" s="15">
        <v>8.0896000000000008</v>
      </c>
      <c r="AE668" s="15">
        <v>2.2103999999999999</v>
      </c>
      <c r="AF668" s="15">
        <f t="shared" si="109"/>
        <v>5.8792000000000009</v>
      </c>
      <c r="AG668" s="15">
        <v>1.0627733333333331</v>
      </c>
      <c r="AH668" s="15">
        <v>84.690616308907366</v>
      </c>
      <c r="AI668" s="2">
        <v>15.309383691092634</v>
      </c>
      <c r="AJ668" s="1">
        <f t="shared" si="110"/>
        <v>0.76546918455463175</v>
      </c>
      <c r="AK668" s="13">
        <v>1.1900000000000001E-2</v>
      </c>
      <c r="AL668" s="16">
        <v>79.830508469999998</v>
      </c>
      <c r="AM668" s="10">
        <v>3.9915254235000002</v>
      </c>
      <c r="AN668" s="16">
        <v>46.30539934454756</v>
      </c>
      <c r="AO668" s="11">
        <v>3.9925399442518863</v>
      </c>
      <c r="AP668" s="14">
        <v>6.1255512500000018</v>
      </c>
      <c r="AQ668" s="2">
        <f>AP668*((G668*0.01)+(H668*0.01)+(I668*0.01))</f>
        <v>0.3797841775000001</v>
      </c>
      <c r="AR668" s="15">
        <v>1.1332814060340011</v>
      </c>
      <c r="AS668" s="15">
        <v>0.17349839874955464</v>
      </c>
      <c r="AT668" s="15">
        <f t="shared" si="111"/>
        <v>1.2084977500595947E-2</v>
      </c>
      <c r="AU668" s="2">
        <f t="shared" si="112"/>
        <v>1.6916093878081576E-2</v>
      </c>
      <c r="AV668" s="2">
        <f t="shared" si="113"/>
        <v>2.2270831267491623E-3</v>
      </c>
      <c r="AW668" s="3">
        <f t="shared" si="114"/>
        <v>13.165469184554631</v>
      </c>
    </row>
    <row r="669" spans="1:49" s="5" customFormat="1" x14ac:dyDescent="0.2">
      <c r="A669" s="5" t="s">
        <v>480</v>
      </c>
      <c r="B669" s="5" t="s">
        <v>481</v>
      </c>
      <c r="C669" s="5" t="s">
        <v>737</v>
      </c>
      <c r="D669" s="5" t="s">
        <v>747</v>
      </c>
      <c r="E669" s="13" t="s">
        <v>739</v>
      </c>
      <c r="F669" s="5">
        <v>300</v>
      </c>
      <c r="G669" s="14">
        <v>2.4</v>
      </c>
      <c r="H669" s="14">
        <v>2.4</v>
      </c>
      <c r="I669" s="14">
        <v>1.3</v>
      </c>
      <c r="J669">
        <v>10.92</v>
      </c>
      <c r="K669">
        <v>12.22</v>
      </c>
      <c r="L669">
        <v>11.57</v>
      </c>
      <c r="M669">
        <v>0.14000000000000001</v>
      </c>
      <c r="N669" s="14">
        <v>330.68571428571437</v>
      </c>
      <c r="O669" s="14">
        <v>331.98571428571438</v>
      </c>
      <c r="P669" s="14">
        <v>331.3357142857144</v>
      </c>
      <c r="Q669" s="14">
        <v>330.68571428571437</v>
      </c>
      <c r="R669" s="14">
        <v>331.98571428571438</v>
      </c>
      <c r="S669" s="14">
        <v>331.3357142857144</v>
      </c>
      <c r="T669" s="3">
        <v>331.34</v>
      </c>
      <c r="U669" s="3">
        <v>0.65</v>
      </c>
      <c r="V669" s="3">
        <v>3572.57</v>
      </c>
      <c r="W669" s="3">
        <v>4023.99</v>
      </c>
      <c r="X669" s="3">
        <v>3769.12</v>
      </c>
      <c r="Y669" s="3">
        <v>3774.96</v>
      </c>
      <c r="Z669" s="3">
        <v>225.71</v>
      </c>
      <c r="AA669" s="4">
        <v>9.7799999999999998E-2</v>
      </c>
      <c r="AB669" s="4">
        <v>6.0394530000000002E-3</v>
      </c>
      <c r="AC669">
        <v>1.1476266666666668</v>
      </c>
      <c r="AD669" s="15">
        <v>8.0576000000000008</v>
      </c>
      <c r="AE669" s="15">
        <v>2.2105000000000001</v>
      </c>
      <c r="AF669" s="15">
        <f t="shared" si="109"/>
        <v>5.8471000000000011</v>
      </c>
      <c r="AG669" s="15">
        <v>1.0628733333333333</v>
      </c>
      <c r="AH669" s="15">
        <v>84.618271561105885</v>
      </c>
      <c r="AI669" s="2">
        <v>15.381728438894115</v>
      </c>
      <c r="AJ669" s="1">
        <f t="shared" si="110"/>
        <v>0.76908642194470578</v>
      </c>
      <c r="AK669" s="13">
        <v>3.2300000000000002E-2</v>
      </c>
      <c r="AL669" s="16">
        <v>71.815008730000002</v>
      </c>
      <c r="AM669" s="10">
        <v>3.5907504365000005</v>
      </c>
      <c r="AN669" s="16">
        <v>41.656037546403716</v>
      </c>
      <c r="AO669" s="11">
        <v>3.5918781573467862</v>
      </c>
      <c r="AP669" s="14">
        <v>5.8780799999999997</v>
      </c>
      <c r="AQ669" s="2">
        <f>AP669*((G669*0.01)+(H669*0.01)+(I669*0.01))</f>
        <v>0.35856287999999997</v>
      </c>
      <c r="AR669" s="15">
        <v>1.1755493857404686</v>
      </c>
      <c r="AS669" s="15">
        <v>0.18081981417968679</v>
      </c>
      <c r="AT669" s="15">
        <f t="shared" si="111"/>
        <v>1.2420669304002513E-2</v>
      </c>
      <c r="AU669" s="2">
        <f t="shared" si="112"/>
        <v>1.7684177826773367E-2</v>
      </c>
      <c r="AV669" s="2">
        <f t="shared" si="113"/>
        <v>2.2934763053646212E-3</v>
      </c>
      <c r="AW669" s="3">
        <f t="shared" si="114"/>
        <v>12.969086421944706</v>
      </c>
    </row>
    <row r="670" spans="1:49" s="5" customFormat="1" x14ac:dyDescent="0.2">
      <c r="A670" s="5" t="s">
        <v>480</v>
      </c>
      <c r="B670" s="5" t="s">
        <v>481</v>
      </c>
      <c r="C670" s="5" t="s">
        <v>737</v>
      </c>
      <c r="D670" s="5" t="s">
        <v>748</v>
      </c>
      <c r="E670" s="13" t="s">
        <v>739</v>
      </c>
      <c r="F670" s="5">
        <v>301</v>
      </c>
      <c r="G670" s="14">
        <v>2.4</v>
      </c>
      <c r="H670" s="14">
        <v>2.25</v>
      </c>
      <c r="I670" s="14">
        <v>1.2</v>
      </c>
      <c r="J670">
        <v>12.36</v>
      </c>
      <c r="K670">
        <v>13.56</v>
      </c>
      <c r="L670">
        <v>12.96</v>
      </c>
      <c r="M670">
        <v>0.14000000000000001</v>
      </c>
      <c r="N670" s="14">
        <v>332.12142857142868</v>
      </c>
      <c r="O670" s="14">
        <v>333.32142857142867</v>
      </c>
      <c r="P670" s="14">
        <v>332.72142857142865</v>
      </c>
      <c r="Q670" s="14">
        <v>332.12142857142868</v>
      </c>
      <c r="R670" s="14">
        <v>333.32142857142867</v>
      </c>
      <c r="S670" s="14">
        <v>332.72142857142865</v>
      </c>
      <c r="T670" s="3">
        <v>332.72</v>
      </c>
      <c r="U670" s="3">
        <v>0.6</v>
      </c>
      <c r="V670" s="3">
        <v>3602.78</v>
      </c>
      <c r="W670" s="3">
        <v>4030.54</v>
      </c>
      <c r="X670" s="3">
        <v>3782.23</v>
      </c>
      <c r="Y670" s="3">
        <v>3789.13</v>
      </c>
      <c r="Z670" s="3">
        <v>213.88</v>
      </c>
      <c r="AA670" s="4">
        <v>9.74E-2</v>
      </c>
      <c r="AB670" s="4">
        <v>5.6734519999999998E-3</v>
      </c>
      <c r="AC670">
        <v>1.1476266666666668</v>
      </c>
      <c r="AD670" s="15">
        <v>7.2027999999999999</v>
      </c>
      <c r="AE670" s="15">
        <v>2.1189</v>
      </c>
      <c r="AF670" s="15">
        <f t="shared" si="109"/>
        <v>5.0838999999999999</v>
      </c>
      <c r="AG670" s="15">
        <v>0.97127333333333321</v>
      </c>
      <c r="AH670" s="15">
        <v>83.95961139565506</v>
      </c>
      <c r="AI670" s="2">
        <v>16.04038860434494</v>
      </c>
      <c r="AJ670" s="1">
        <f t="shared" si="110"/>
        <v>0.80201943021724709</v>
      </c>
      <c r="AK670" s="13">
        <v>4.7500000000000001E-2</v>
      </c>
      <c r="AL670" s="16">
        <v>67.598908589999994</v>
      </c>
      <c r="AM670" s="10">
        <v>3.3799454294999998</v>
      </c>
      <c r="AN670" s="16">
        <v>39.2105038225058</v>
      </c>
      <c r="AO670" s="11">
        <v>3.3811434613748554</v>
      </c>
      <c r="AP670" s="14">
        <v>5.0920987500000008</v>
      </c>
      <c r="AQ670" s="2">
        <f>AP670*((G670*0.01)+(H670*0.01)+(I670*0.01))</f>
        <v>0.29788777687500001</v>
      </c>
      <c r="AR670" s="15">
        <v>1.1891311678378846</v>
      </c>
      <c r="AS670" s="15">
        <v>0.19074126033658187</v>
      </c>
      <c r="AT670" s="15">
        <f t="shared" si="111"/>
        <v>1.2688145699030687E-2</v>
      </c>
      <c r="AU670" s="2">
        <f t="shared" si="112"/>
        <v>1.8578198756783074E-2</v>
      </c>
      <c r="AV670" s="2">
        <f t="shared" si="113"/>
        <v>2.3226500183573988E-3</v>
      </c>
      <c r="AW670" s="3">
        <f t="shared" si="114"/>
        <v>12.502019430217246</v>
      </c>
    </row>
    <row r="671" spans="1:49" s="5" customFormat="1" x14ac:dyDescent="0.2">
      <c r="A671" s="5" t="s">
        <v>480</v>
      </c>
      <c r="B671" s="5" t="s">
        <v>481</v>
      </c>
      <c r="C671" s="5" t="s">
        <v>737</v>
      </c>
      <c r="D671" s="5" t="s">
        <v>749</v>
      </c>
      <c r="E671" s="13" t="s">
        <v>739</v>
      </c>
      <c r="F671" s="5">
        <v>302</v>
      </c>
      <c r="G671" s="14">
        <v>2.4500000000000002</v>
      </c>
      <c r="H671" s="14">
        <v>2.4</v>
      </c>
      <c r="I671" s="14">
        <v>1.35</v>
      </c>
      <c r="J671">
        <v>13.7</v>
      </c>
      <c r="K671">
        <v>15.1</v>
      </c>
      <c r="L671">
        <v>14.4</v>
      </c>
      <c r="M671">
        <v>0.14000000000000001</v>
      </c>
      <c r="N671" s="14">
        <v>333.45714285714297</v>
      </c>
      <c r="O671" s="14">
        <v>334.80714285714299</v>
      </c>
      <c r="P671" s="14">
        <v>334.13214285714298</v>
      </c>
      <c r="Q671" s="14">
        <v>333.45714285714297</v>
      </c>
      <c r="R671" s="14">
        <v>334.80714285714299</v>
      </c>
      <c r="S671" s="14">
        <v>334.13214285714298</v>
      </c>
      <c r="T671" s="3">
        <v>334.13</v>
      </c>
      <c r="U671" s="3">
        <v>0.67500000000000004</v>
      </c>
      <c r="V671" s="3">
        <v>3631.85</v>
      </c>
      <c r="W671" s="3">
        <v>4043.51</v>
      </c>
      <c r="X671" s="3">
        <v>3795.84</v>
      </c>
      <c r="Y671" s="3">
        <v>3803.61</v>
      </c>
      <c r="Z671" s="3">
        <v>205.83</v>
      </c>
      <c r="AA671" s="4">
        <v>9.74E-2</v>
      </c>
      <c r="AB671" s="4">
        <v>5.4675050000000001E-3</v>
      </c>
      <c r="AC671">
        <v>1.1476266666666668</v>
      </c>
      <c r="AD671" s="15">
        <v>8.4716000000000005</v>
      </c>
      <c r="AE671" s="15">
        <v>2.2564000000000002</v>
      </c>
      <c r="AF671" s="15">
        <f t="shared" si="109"/>
        <v>6.2152000000000003</v>
      </c>
      <c r="AG671" s="15">
        <v>1.1087733333333334</v>
      </c>
      <c r="AH671" s="15">
        <v>84.861040819373088</v>
      </c>
      <c r="AI671" s="2">
        <v>15.138959180626912</v>
      </c>
      <c r="AJ671" s="1">
        <f t="shared" si="110"/>
        <v>0.75694795903134571</v>
      </c>
      <c r="AK671" s="13">
        <v>3.0300000000000001E-2</v>
      </c>
      <c r="AL671" s="16">
        <v>76.085240729999995</v>
      </c>
      <c r="AM671" s="10">
        <v>3.8042620364999999</v>
      </c>
      <c r="AN671" s="16">
        <v>44.13297026102088</v>
      </c>
      <c r="AO671" s="11">
        <v>3.8053264830176041</v>
      </c>
      <c r="AP671" s="14">
        <v>6.2319923437499991</v>
      </c>
      <c r="AQ671" s="2">
        <f>AP671*((G671*0.01)+(H671*0.01)+(I671*0.01))</f>
        <v>0.38638352531249992</v>
      </c>
      <c r="AR671" s="15">
        <v>1.1752218117980313</v>
      </c>
      <c r="AS671" s="15">
        <v>0.17791635036992795</v>
      </c>
      <c r="AT671" s="15">
        <f t="shared" si="111"/>
        <v>1.237754790584376E-2</v>
      </c>
      <c r="AU671" s="2">
        <f t="shared" si="112"/>
        <v>1.7329052526030984E-2</v>
      </c>
      <c r="AV671" s="2">
        <f t="shared" si="113"/>
        <v>2.2799744226431034E-3</v>
      </c>
      <c r="AW671" s="3">
        <f t="shared" si="114"/>
        <v>13.156947959031346</v>
      </c>
    </row>
    <row r="672" spans="1:49" s="5" customFormat="1" x14ac:dyDescent="0.2">
      <c r="A672" s="5" t="s">
        <v>480</v>
      </c>
      <c r="B672" s="5" t="s">
        <v>481</v>
      </c>
      <c r="C672" s="5" t="s">
        <v>737</v>
      </c>
      <c r="D672" s="5" t="s">
        <v>750</v>
      </c>
      <c r="E672" s="13" t="s">
        <v>739</v>
      </c>
      <c r="F672" s="5">
        <v>303</v>
      </c>
      <c r="G672" s="14">
        <v>2.4</v>
      </c>
      <c r="H672" s="14">
        <v>2.4500000000000002</v>
      </c>
      <c r="I672" s="14">
        <v>1.3</v>
      </c>
      <c r="J672">
        <v>15.24</v>
      </c>
      <c r="K672">
        <v>16.54</v>
      </c>
      <c r="L672">
        <v>15.89</v>
      </c>
      <c r="M672">
        <v>0.14000000000000001</v>
      </c>
      <c r="N672" s="14">
        <v>334.94285714285729</v>
      </c>
      <c r="O672" s="14">
        <v>336.2428571428573</v>
      </c>
      <c r="P672" s="14">
        <v>335.59285714285727</v>
      </c>
      <c r="Q672" s="14">
        <v>334.94285714285729</v>
      </c>
      <c r="R672" s="14">
        <v>336.2428571428573</v>
      </c>
      <c r="S672" s="14">
        <v>335.59285714285727</v>
      </c>
      <c r="T672" s="3">
        <v>335.59</v>
      </c>
      <c r="U672" s="3">
        <v>0.65</v>
      </c>
      <c r="V672" s="3">
        <v>3659.3</v>
      </c>
      <c r="W672" s="3">
        <v>4052.41</v>
      </c>
      <c r="X672" s="3">
        <v>3810.66</v>
      </c>
      <c r="Y672" s="3">
        <v>3818.6</v>
      </c>
      <c r="Z672" s="3">
        <v>196.55500000000001</v>
      </c>
      <c r="AA672" s="4">
        <v>9.74E-2</v>
      </c>
      <c r="AB672" s="4">
        <v>5.2021280000000003E-3</v>
      </c>
      <c r="AC672">
        <v>1.1476266666666668</v>
      </c>
      <c r="AD672" s="15">
        <v>7.5640999999999998</v>
      </c>
      <c r="AE672" s="15">
        <v>1.9748000000000001</v>
      </c>
      <c r="AF672" s="15">
        <f t="shared" si="109"/>
        <v>5.5892999999999997</v>
      </c>
      <c r="AG672" s="15">
        <v>0.82717333333333332</v>
      </c>
      <c r="AH672" s="15">
        <v>87.10859859673694</v>
      </c>
      <c r="AI672" s="2">
        <v>12.89140140326306</v>
      </c>
      <c r="AJ672" s="1">
        <f t="shared" si="110"/>
        <v>0.64457007016315304</v>
      </c>
      <c r="AK672" s="13">
        <v>3.2099999999999997E-2</v>
      </c>
      <c r="AL672" s="16">
        <v>78.043775650000001</v>
      </c>
      <c r="AM672" s="10">
        <v>3.9021887825000001</v>
      </c>
      <c r="AN672" s="16">
        <v>45.269011397911832</v>
      </c>
      <c r="AO672" s="11">
        <v>3.9032265235659631</v>
      </c>
      <c r="AP672" s="14">
        <v>6.001177812499999</v>
      </c>
      <c r="AQ672" s="2">
        <f>AP672*((G672*0.01)+(H672*0.01)+(I672*0.01))</f>
        <v>0.36907243546874996</v>
      </c>
      <c r="AR672" s="15">
        <v>1.0692023355762439</v>
      </c>
      <c r="AS672" s="15">
        <v>0.1378351648921973</v>
      </c>
      <c r="AT672" s="15">
        <f t="shared" si="111"/>
        <v>9.3653068599252685E-3</v>
      </c>
      <c r="AU672" s="2">
        <f t="shared" si="112"/>
        <v>1.3425145060500018E-2</v>
      </c>
      <c r="AV672" s="2">
        <f t="shared" si="113"/>
        <v>1.7378273093774726E-3</v>
      </c>
      <c r="AW672" s="3">
        <f t="shared" si="114"/>
        <v>12.944570070163156</v>
      </c>
    </row>
    <row r="673" spans="1:49" s="5" customFormat="1" x14ac:dyDescent="0.2">
      <c r="A673" s="5" t="s">
        <v>480</v>
      </c>
      <c r="B673" s="5" t="s">
        <v>481</v>
      </c>
      <c r="C673" s="5" t="s">
        <v>737</v>
      </c>
      <c r="D673" s="5" t="s">
        <v>751</v>
      </c>
      <c r="E673" s="13" t="s">
        <v>739</v>
      </c>
      <c r="F673" s="5">
        <v>304</v>
      </c>
      <c r="G673" s="14">
        <v>2.4</v>
      </c>
      <c r="H673" s="14">
        <v>2.35</v>
      </c>
      <c r="I673" s="14">
        <v>1.25</v>
      </c>
      <c r="J673">
        <v>16.68</v>
      </c>
      <c r="K673">
        <v>17.98</v>
      </c>
      <c r="L673">
        <v>17.329999999999998</v>
      </c>
      <c r="M673">
        <v>0.14000000000000001</v>
      </c>
      <c r="N673" s="14">
        <v>336.3785714285716</v>
      </c>
      <c r="O673" s="14">
        <v>337.6285714285716</v>
      </c>
      <c r="P673" s="14">
        <v>337.0035714285716</v>
      </c>
      <c r="Q673" s="14">
        <v>336.3785714285716</v>
      </c>
      <c r="R673" s="14">
        <v>337.6285714285716</v>
      </c>
      <c r="S673" s="14">
        <v>337.0035714285716</v>
      </c>
      <c r="T673" s="3">
        <v>337</v>
      </c>
      <c r="U673" s="3">
        <v>0.625</v>
      </c>
      <c r="V673" s="3">
        <v>3680.63</v>
      </c>
      <c r="W673" s="3">
        <v>4061.89</v>
      </c>
      <c r="X673" s="3">
        <v>3823.54</v>
      </c>
      <c r="Y673" s="3">
        <v>3833.08</v>
      </c>
      <c r="Z673" s="3">
        <v>190.63</v>
      </c>
      <c r="AA673" s="4">
        <v>9.7100000000000006E-2</v>
      </c>
      <c r="AB673" s="4">
        <v>5.0091420000000003E-3</v>
      </c>
      <c r="AC673">
        <v>1.1476266666666668</v>
      </c>
      <c r="AD673" s="15">
        <v>7.9158999999999997</v>
      </c>
      <c r="AE673" s="15">
        <v>2.1471</v>
      </c>
      <c r="AF673" s="15">
        <f t="shared" si="109"/>
        <v>5.7687999999999997</v>
      </c>
      <c r="AG673" s="15">
        <v>0.99947333333333321</v>
      </c>
      <c r="AH673" s="15">
        <v>85.232964389736026</v>
      </c>
      <c r="AI673" s="2">
        <v>14.767035610263974</v>
      </c>
      <c r="AJ673" s="1">
        <f t="shared" si="110"/>
        <v>0.73835178051319872</v>
      </c>
      <c r="AK673" s="13">
        <v>2.1600000000000001E-2</v>
      </c>
      <c r="AL673" s="16">
        <v>72.27214377</v>
      </c>
      <c r="AM673" s="10">
        <v>3.6136071885000001</v>
      </c>
      <c r="AN673" s="16">
        <v>41.921197082366589</v>
      </c>
      <c r="AO673" s="11">
        <v>3.6147277785165062</v>
      </c>
      <c r="AP673" s="14">
        <v>5.5348632812499998</v>
      </c>
      <c r="AQ673" s="2">
        <f>AP673*((G673*0.01)+(H673*0.01)+(I673*0.01))</f>
        <v>0.33209179687499996</v>
      </c>
      <c r="AR673" s="15">
        <v>1.2228438155395194</v>
      </c>
      <c r="AS673" s="15">
        <v>0.18057778169863142</v>
      </c>
      <c r="AT673" s="15">
        <f t="shared" si="111"/>
        <v>1.2167966168300966E-2</v>
      </c>
      <c r="AU673" s="2">
        <f t="shared" si="112"/>
        <v>1.7534102602937113E-2</v>
      </c>
      <c r="AV673" s="2">
        <f t="shared" si="113"/>
        <v>2.2335556711182503E-3</v>
      </c>
      <c r="AW673" s="3">
        <f t="shared" si="114"/>
        <v>12.738351780513197</v>
      </c>
    </row>
    <row r="674" spans="1:49" s="5" customFormat="1" x14ac:dyDescent="0.2">
      <c r="A674" s="5" t="s">
        <v>480</v>
      </c>
      <c r="B674" s="5" t="s">
        <v>481</v>
      </c>
      <c r="C674" s="5" t="s">
        <v>737</v>
      </c>
      <c r="D674" s="5" t="s">
        <v>752</v>
      </c>
      <c r="E674" s="13" t="s">
        <v>739</v>
      </c>
      <c r="F674" s="5">
        <v>305</v>
      </c>
      <c r="G674" s="14">
        <v>2.4500000000000002</v>
      </c>
      <c r="H674" s="14">
        <v>2.35</v>
      </c>
      <c r="I674" s="14">
        <v>1.25</v>
      </c>
      <c r="J674">
        <v>18.12</v>
      </c>
      <c r="K674">
        <v>19.420000000000002</v>
      </c>
      <c r="L674">
        <v>18.77</v>
      </c>
      <c r="M674">
        <v>0.14000000000000001</v>
      </c>
      <c r="N674" s="14">
        <v>337.7642857142859</v>
      </c>
      <c r="O674" s="14">
        <v>339.0142857142859</v>
      </c>
      <c r="P674" s="14">
        <v>338.3892857142859</v>
      </c>
      <c r="Q674" s="14">
        <v>337.7642857142859</v>
      </c>
      <c r="R674" s="14">
        <v>339.0142857142859</v>
      </c>
      <c r="S674" s="14">
        <v>338.3892857142859</v>
      </c>
      <c r="T674" s="3">
        <v>338.39</v>
      </c>
      <c r="U674" s="3">
        <v>0.625</v>
      </c>
      <c r="V674" s="3">
        <v>3698.88</v>
      </c>
      <c r="W674" s="3">
        <v>4072.55</v>
      </c>
      <c r="X674" s="3">
        <v>3837.05</v>
      </c>
      <c r="Y674" s="3">
        <v>3847.35</v>
      </c>
      <c r="Z674" s="3">
        <v>186.83500000000001</v>
      </c>
      <c r="AA674" s="4">
        <v>9.7500000000000003E-2</v>
      </c>
      <c r="AB674" s="4">
        <v>4.914875E-3</v>
      </c>
      <c r="AC674">
        <v>1.1476266666666668</v>
      </c>
      <c r="AD674" s="15">
        <v>7.7087000000000003</v>
      </c>
      <c r="AE674" s="15">
        <v>2.0752000000000002</v>
      </c>
      <c r="AF674" s="15">
        <f t="shared" si="109"/>
        <v>5.6334999999999997</v>
      </c>
      <c r="AG674" s="15">
        <v>0.92757333333333336</v>
      </c>
      <c r="AH674" s="15">
        <v>85.862475753459051</v>
      </c>
      <c r="AI674" s="2">
        <v>14.137524246540949</v>
      </c>
      <c r="AJ674" s="1">
        <f t="shared" si="110"/>
        <v>0.70687621232704745</v>
      </c>
      <c r="AK674" s="13">
        <v>3.7400000000000003E-2</v>
      </c>
      <c r="AL674" s="16">
        <v>72.398523990000001</v>
      </c>
      <c r="AM674" s="10">
        <v>3.6199261995000001</v>
      </c>
      <c r="AN674" s="16">
        <v>41.994503474477959</v>
      </c>
      <c r="AO674" s="11">
        <v>3.6210448339984023</v>
      </c>
      <c r="AP674" s="14">
        <v>5.6520000000000019</v>
      </c>
      <c r="AQ674" s="2">
        <f>AP674*((G674*0.01)+(H674*0.01)+(I674*0.01))</f>
        <v>0.34194600000000008</v>
      </c>
      <c r="AR674" s="15">
        <v>1.1608410002359044</v>
      </c>
      <c r="AS674" s="15">
        <v>0.16411417787213961</v>
      </c>
      <c r="AT674" s="15">
        <f t="shared" si="111"/>
        <v>1.10889918456987E-2</v>
      </c>
      <c r="AU674" s="2">
        <f t="shared" si="112"/>
        <v>1.6001132342533614E-2</v>
      </c>
      <c r="AV674" s="2">
        <f t="shared" si="113"/>
        <v>2.0492452116789065E-3</v>
      </c>
      <c r="AW674" s="3">
        <f t="shared" si="114"/>
        <v>12.806876212327046</v>
      </c>
    </row>
    <row r="675" spans="1:49" s="5" customFormat="1" x14ac:dyDescent="0.2">
      <c r="A675" s="5" t="s">
        <v>480</v>
      </c>
      <c r="B675" s="5" t="s">
        <v>481</v>
      </c>
      <c r="C675" s="5" t="s">
        <v>737</v>
      </c>
      <c r="D675" s="5" t="s">
        <v>753</v>
      </c>
      <c r="E675" s="13" t="s">
        <v>739</v>
      </c>
      <c r="F675" s="5">
        <v>306</v>
      </c>
      <c r="G675" s="14">
        <v>2.4500000000000002</v>
      </c>
      <c r="H675" s="14">
        <v>2.5</v>
      </c>
      <c r="I675" s="14">
        <v>1.1000000000000001</v>
      </c>
      <c r="J675">
        <v>19.559999999999999</v>
      </c>
      <c r="K675">
        <v>20.66</v>
      </c>
      <c r="L675">
        <v>20.11</v>
      </c>
      <c r="M675">
        <v>0.14000000000000001</v>
      </c>
      <c r="N675" s="14">
        <v>339.1500000000002</v>
      </c>
      <c r="O675" s="14">
        <v>340.25000000000023</v>
      </c>
      <c r="P675" s="14">
        <v>339.70000000000022</v>
      </c>
      <c r="Q675" s="14">
        <v>339.1500000000002</v>
      </c>
      <c r="R675" s="14">
        <v>340.25000000000023</v>
      </c>
      <c r="S675" s="14">
        <v>339.70000000000022</v>
      </c>
      <c r="T675" s="3">
        <v>339.7</v>
      </c>
      <c r="U675" s="3">
        <v>0.55000000000000004</v>
      </c>
      <c r="V675" s="3">
        <v>3711.35</v>
      </c>
      <c r="W675" s="3">
        <v>4083.75</v>
      </c>
      <c r="X675" s="3">
        <v>3849.94</v>
      </c>
      <c r="Y675" s="3">
        <v>3860.8</v>
      </c>
      <c r="Z675" s="3">
        <v>186.2</v>
      </c>
      <c r="AA675" s="4">
        <v>6.13E-2</v>
      </c>
      <c r="AB675" s="4">
        <v>3.0556469999999999E-3</v>
      </c>
      <c r="AC675">
        <v>1.1476266666666668</v>
      </c>
      <c r="AD675" s="15">
        <v>7.0464000000000002</v>
      </c>
      <c r="AE675" s="15">
        <v>1.9462999999999999</v>
      </c>
      <c r="AF675" s="15">
        <f t="shared" si="109"/>
        <v>5.1001000000000003</v>
      </c>
      <c r="AG675" s="15">
        <v>0.79867333333333312</v>
      </c>
      <c r="AH675" s="15">
        <v>86.460348818285382</v>
      </c>
      <c r="AI675" s="2">
        <v>13.539651181714618</v>
      </c>
      <c r="AJ675" s="1">
        <f t="shared" si="110"/>
        <v>0.67698255908573091</v>
      </c>
      <c r="AK675" s="13">
        <v>8.2000000000000007E-3</v>
      </c>
      <c r="AL675" s="16">
        <v>80.335731409999994</v>
      </c>
      <c r="AM675" s="10">
        <v>4.0167865704999999</v>
      </c>
      <c r="AN675" s="16">
        <v>46.598452093967516</v>
      </c>
      <c r="AO675" s="11">
        <v>4.0177947126438838</v>
      </c>
      <c r="AP675" s="14">
        <v>5.2894771875000011</v>
      </c>
      <c r="AQ675" s="2">
        <f>AP675*((G675*0.01)+(H675*0.01)+(I675*0.01))</f>
        <v>0.32001336984375012</v>
      </c>
      <c r="AR675" s="15">
        <v>1.1151902398356515</v>
      </c>
      <c r="AS675" s="15">
        <v>0.1509928684862738</v>
      </c>
      <c r="AT675" s="15">
        <f t="shared" si="111"/>
        <v>1.0157263928534896E-2</v>
      </c>
      <c r="AU675" s="2">
        <f t="shared" si="112"/>
        <v>9.2558628382085843E-3</v>
      </c>
      <c r="AV675" s="2">
        <f t="shared" si="113"/>
        <v>1.1826199805308087E-3</v>
      </c>
      <c r="AW675" s="3">
        <f t="shared" si="114"/>
        <v>12.776982559085734</v>
      </c>
    </row>
    <row r="676" spans="1:49" s="5" customFormat="1" x14ac:dyDescent="0.2">
      <c r="A676" s="5" t="s">
        <v>480</v>
      </c>
      <c r="B676" s="5" t="s">
        <v>481</v>
      </c>
      <c r="C676" s="5" t="s">
        <v>737</v>
      </c>
      <c r="D676" s="5" t="s">
        <v>754</v>
      </c>
      <c r="E676" s="13" t="s">
        <v>739</v>
      </c>
      <c r="F676" s="5">
        <v>307</v>
      </c>
      <c r="G676" s="14">
        <v>2.4500000000000002</v>
      </c>
      <c r="H676" s="14">
        <v>2.5</v>
      </c>
      <c r="I676" s="14">
        <v>1.25</v>
      </c>
      <c r="J676">
        <v>20.8</v>
      </c>
      <c r="K676">
        <v>22.1</v>
      </c>
      <c r="L676">
        <v>21.45</v>
      </c>
      <c r="M676">
        <v>0.14000000000000001</v>
      </c>
      <c r="N676" s="14">
        <v>340.38571428571453</v>
      </c>
      <c r="O676" s="14">
        <v>341.63571428571453</v>
      </c>
      <c r="P676" s="14">
        <v>341.01071428571453</v>
      </c>
      <c r="Q676" s="14">
        <v>340.38571428571453</v>
      </c>
      <c r="R676" s="14">
        <v>341.63571428571453</v>
      </c>
      <c r="S676" s="14">
        <v>341.01071428571453</v>
      </c>
      <c r="T676" s="3">
        <v>341.01</v>
      </c>
      <c r="U676" s="3">
        <v>0.625</v>
      </c>
      <c r="V676" s="3">
        <v>3730.73</v>
      </c>
      <c r="W676" s="3">
        <v>4104.62</v>
      </c>
      <c r="X676" s="3">
        <v>3871.64</v>
      </c>
      <c r="Y676" s="3">
        <v>3882.19</v>
      </c>
      <c r="Z676" s="3">
        <v>186.94499999999999</v>
      </c>
      <c r="AA676" s="4">
        <v>5.5E-2</v>
      </c>
      <c r="AB676" s="4">
        <v>2.7493019999999999E-3</v>
      </c>
      <c r="AC676">
        <v>1.1476266666666668</v>
      </c>
      <c r="AD676" s="15">
        <v>8.0446000000000009</v>
      </c>
      <c r="AE676" s="15">
        <v>2.1749000000000001</v>
      </c>
      <c r="AF676" s="15">
        <f t="shared" si="109"/>
        <v>5.8697000000000008</v>
      </c>
      <c r="AG676" s="15">
        <v>1.0272733333333333</v>
      </c>
      <c r="AH676" s="15">
        <v>85.105447220326596</v>
      </c>
      <c r="AI676" s="2">
        <v>14.894552779673404</v>
      </c>
      <c r="AJ676" s="1">
        <f t="shared" si="110"/>
        <v>0.74472763898367023</v>
      </c>
      <c r="AK676" s="13">
        <v>2.7199999999999998E-2</v>
      </c>
      <c r="AL676" s="16">
        <v>70.402611530000001</v>
      </c>
      <c r="AM676" s="10">
        <v>3.5201305765000002</v>
      </c>
      <c r="AN676" s="16">
        <v>40.836781629930393</v>
      </c>
      <c r="AO676" s="11">
        <v>3.5212809140439538</v>
      </c>
      <c r="AP676" s="14">
        <v>6.0107695312500002</v>
      </c>
      <c r="AQ676" s="2">
        <f>AP676*((G676*0.01)+(H676*0.01)+(I676*0.01))</f>
        <v>0.37266771093750001</v>
      </c>
      <c r="AR676" s="15">
        <v>1.1474359975833308</v>
      </c>
      <c r="AS676" s="15">
        <v>0.17090546027302123</v>
      </c>
      <c r="AT676" s="15">
        <f t="shared" si="111"/>
        <v>1.1868918736112762E-2</v>
      </c>
      <c r="AU676" s="2">
        <f t="shared" si="112"/>
        <v>9.3998003150161675E-3</v>
      </c>
      <c r="AV676" s="2">
        <f t="shared" si="113"/>
        <v>1.2355781500172044E-3</v>
      </c>
      <c r="AW676" s="3">
        <f t="shared" si="114"/>
        <v>13.144727638983673</v>
      </c>
    </row>
    <row r="677" spans="1:49" s="5" customFormat="1" x14ac:dyDescent="0.2">
      <c r="A677" s="5" t="s">
        <v>480</v>
      </c>
      <c r="B677" s="5" t="s">
        <v>481</v>
      </c>
      <c r="C677" s="5" t="s">
        <v>737</v>
      </c>
      <c r="D677" s="5" t="s">
        <v>755</v>
      </c>
      <c r="E677" s="13" t="s">
        <v>739</v>
      </c>
      <c r="F677" s="5">
        <v>308</v>
      </c>
      <c r="G677" s="14">
        <v>2.4</v>
      </c>
      <c r="H677" s="14">
        <v>2.4500000000000002</v>
      </c>
      <c r="I677" s="14">
        <v>1.35</v>
      </c>
      <c r="J677">
        <v>22.24</v>
      </c>
      <c r="K677">
        <v>23.64</v>
      </c>
      <c r="L677">
        <v>22.94</v>
      </c>
      <c r="M677">
        <v>0.14000000000000001</v>
      </c>
      <c r="N677" s="14">
        <v>341.77142857142883</v>
      </c>
      <c r="O677" s="14">
        <v>343.12142857142885</v>
      </c>
      <c r="P677" s="14">
        <v>342.44642857142884</v>
      </c>
      <c r="Q677" s="14">
        <v>341.77142857142883</v>
      </c>
      <c r="R677" s="14">
        <v>343.12142857142885</v>
      </c>
      <c r="S677" s="14">
        <v>342.44642857142884</v>
      </c>
      <c r="T677" s="3">
        <v>342.45</v>
      </c>
      <c r="U677" s="3">
        <v>0.67500000000000004</v>
      </c>
      <c r="V677" s="3">
        <v>3747.74</v>
      </c>
      <c r="W677" s="3">
        <v>4143.0600000000004</v>
      </c>
      <c r="X677" s="3">
        <v>3897.45</v>
      </c>
      <c r="Y677" s="3">
        <v>3908.28</v>
      </c>
      <c r="Z677" s="3">
        <v>197.66</v>
      </c>
      <c r="AA677" s="4">
        <v>5.5199999999999999E-2</v>
      </c>
      <c r="AB677" s="4">
        <v>2.9005260000000001E-3</v>
      </c>
      <c r="AC677">
        <v>1.1476266666666668</v>
      </c>
      <c r="AD677" s="15">
        <v>7.9676</v>
      </c>
      <c r="AE677" s="15">
        <v>2.1204999999999998</v>
      </c>
      <c r="AF677" s="15">
        <f t="shared" si="109"/>
        <v>5.8471000000000002</v>
      </c>
      <c r="AG677" s="15">
        <v>0.97287333333333303</v>
      </c>
      <c r="AH677" s="15">
        <v>85.734939335051166</v>
      </c>
      <c r="AI677" s="2">
        <v>14.265060664948834</v>
      </c>
      <c r="AJ677" s="1">
        <f t="shared" si="110"/>
        <v>0.71325303324744171</v>
      </c>
      <c r="AK677" s="13">
        <v>2.6599999999999999E-2</v>
      </c>
      <c r="AL677" s="16">
        <v>74.074074069999995</v>
      </c>
      <c r="AM677" s="10">
        <v>3.7037037035</v>
      </c>
      <c r="AN677" s="16">
        <v>42.966400272621804</v>
      </c>
      <c r="AO677" s="11">
        <v>3.7047970421224989</v>
      </c>
      <c r="AP677" s="14">
        <v>6.2319923437499991</v>
      </c>
      <c r="AQ677" s="2">
        <f>AP677*((G677*0.01)+(H677*0.01)+(I677*0.01))</f>
        <v>0.38638352531249992</v>
      </c>
      <c r="AR677" s="15">
        <v>1.0943487984501481</v>
      </c>
      <c r="AS677" s="15">
        <v>0.15610951998505224</v>
      </c>
      <c r="AT677" s="15">
        <f t="shared" si="111"/>
        <v>1.0792246125554643E-2</v>
      </c>
      <c r="AU677" s="2">
        <f t="shared" si="112"/>
        <v>8.6172455031748828E-3</v>
      </c>
      <c r="AV677" s="2">
        <f t="shared" si="113"/>
        <v>1.1300012073274591E-3</v>
      </c>
      <c r="AW677" s="3">
        <f t="shared" si="114"/>
        <v>13.113253033247441</v>
      </c>
    </row>
    <row r="678" spans="1:49" s="5" customFormat="1" x14ac:dyDescent="0.2">
      <c r="A678" s="5" t="s">
        <v>480</v>
      </c>
      <c r="B678" s="5" t="s">
        <v>481</v>
      </c>
      <c r="C678" s="5" t="s">
        <v>737</v>
      </c>
      <c r="D678" s="5" t="s">
        <v>756</v>
      </c>
      <c r="E678" s="13" t="s">
        <v>739</v>
      </c>
      <c r="F678" s="5">
        <v>309</v>
      </c>
      <c r="G678" s="14">
        <v>2.25</v>
      </c>
      <c r="H678" s="14">
        <v>2.2000000000000002</v>
      </c>
      <c r="I678" s="14">
        <v>1.3</v>
      </c>
      <c r="J678">
        <v>23.78</v>
      </c>
      <c r="K678">
        <v>25.08</v>
      </c>
      <c r="L678">
        <v>24.43</v>
      </c>
      <c r="M678">
        <v>0.14000000000000001</v>
      </c>
      <c r="N678" s="14">
        <v>343.25714285714315</v>
      </c>
      <c r="O678" s="14">
        <v>344.55714285714316</v>
      </c>
      <c r="P678" s="14">
        <v>343.90714285714319</v>
      </c>
      <c r="Q678" s="14">
        <v>343.25714285714315</v>
      </c>
      <c r="R678" s="14">
        <v>344.55714285714316</v>
      </c>
      <c r="S678" s="14">
        <v>343.90714285714319</v>
      </c>
      <c r="T678" s="3">
        <v>343.91</v>
      </c>
      <c r="U678" s="3">
        <v>0.65</v>
      </c>
      <c r="V678" s="3">
        <v>3759.17</v>
      </c>
      <c r="W678" s="3">
        <v>4175.58</v>
      </c>
      <c r="X678" s="3">
        <v>3922.35</v>
      </c>
      <c r="Y678" s="3">
        <v>3934.74</v>
      </c>
      <c r="Z678" s="3">
        <v>208.20500000000001</v>
      </c>
      <c r="AA678" s="4">
        <v>5.5199999999999999E-2</v>
      </c>
      <c r="AB678" s="4">
        <v>3.0252130000000001E-3</v>
      </c>
      <c r="AC678">
        <v>1.1476266666666668</v>
      </c>
      <c r="AD678" s="15">
        <v>7.5989000000000004</v>
      </c>
      <c r="AE678" s="15">
        <v>2</v>
      </c>
      <c r="AF678" s="15">
        <f t="shared" si="109"/>
        <v>5.5989000000000004</v>
      </c>
      <c r="AG678" s="15">
        <v>0.85237333333333321</v>
      </c>
      <c r="AH678" s="15">
        <v>86.787517916359675</v>
      </c>
      <c r="AI678" s="2">
        <v>13.212482083640325</v>
      </c>
      <c r="AJ678" s="1">
        <f t="shared" si="110"/>
        <v>0.66062410418201623</v>
      </c>
      <c r="AK678" s="13">
        <v>2.5100000000000001E-2</v>
      </c>
      <c r="AL678" s="16">
        <v>81.170292570000001</v>
      </c>
      <c r="AM678" s="10">
        <v>4.0585146285000002</v>
      </c>
      <c r="AN678" s="16">
        <v>47.08253629350348</v>
      </c>
      <c r="AO678" s="11">
        <v>4.059512407882071</v>
      </c>
      <c r="AP678" s="14">
        <v>5.0521128125000008</v>
      </c>
      <c r="AQ678" s="2">
        <f>AP678*((G678*0.01)+(H678*0.01)+(I678*0.01))</f>
        <v>0.29049648671875</v>
      </c>
      <c r="AR678" s="15">
        <v>1.2769456211214272</v>
      </c>
      <c r="AS678" s="15">
        <v>0.16871621140849832</v>
      </c>
      <c r="AT678" s="15">
        <f t="shared" si="111"/>
        <v>1.081576211621588E-2</v>
      </c>
      <c r="AU678" s="2">
        <f t="shared" si="112"/>
        <v>9.3131348697491068E-3</v>
      </c>
      <c r="AV678" s="2">
        <f t="shared" si="113"/>
        <v>1.1325353238256901E-3</v>
      </c>
      <c r="AW678" s="3">
        <f t="shared" si="114"/>
        <v>12.160624104182013</v>
      </c>
    </row>
    <row r="679" spans="1:49" s="5" customFormat="1" x14ac:dyDescent="0.2">
      <c r="A679" s="5" t="s">
        <v>480</v>
      </c>
      <c r="B679" s="5" t="s">
        <v>481</v>
      </c>
      <c r="C679" s="5" t="s">
        <v>737</v>
      </c>
      <c r="D679" s="5" t="s">
        <v>757</v>
      </c>
      <c r="E679" s="13" t="s">
        <v>739</v>
      </c>
      <c r="F679" s="5">
        <v>310</v>
      </c>
      <c r="G679" s="14">
        <v>2.2999999999999998</v>
      </c>
      <c r="H679" s="14">
        <v>2.4500000000000002</v>
      </c>
      <c r="I679" s="14">
        <v>1.35</v>
      </c>
      <c r="J679">
        <v>25.22</v>
      </c>
      <c r="K679">
        <v>26.62</v>
      </c>
      <c r="L679">
        <v>25.92</v>
      </c>
      <c r="M679">
        <v>0.14000000000000001</v>
      </c>
      <c r="N679" s="14">
        <v>344.69285714285746</v>
      </c>
      <c r="O679" s="14">
        <v>346.04285714285749</v>
      </c>
      <c r="P679" s="14">
        <v>345.36785714285747</v>
      </c>
      <c r="Q679" s="14">
        <v>344.69285714285746</v>
      </c>
      <c r="R679" s="14">
        <v>346.04285714285749</v>
      </c>
      <c r="S679" s="14">
        <v>345.36785714285747</v>
      </c>
      <c r="T679" s="3">
        <v>345.37</v>
      </c>
      <c r="U679" s="3">
        <v>0.67500000000000004</v>
      </c>
      <c r="V679" s="3">
        <v>3768.76</v>
      </c>
      <c r="W679" s="3">
        <v>4207.88</v>
      </c>
      <c r="X679" s="3">
        <v>3948.7</v>
      </c>
      <c r="Y679" s="3">
        <v>3961.2</v>
      </c>
      <c r="Z679" s="3">
        <v>219.56</v>
      </c>
      <c r="AA679" s="4">
        <v>5.5199999999999999E-2</v>
      </c>
      <c r="AB679" s="4">
        <v>3.1674899999999998E-3</v>
      </c>
      <c r="AC679">
        <v>1.1476266666666668</v>
      </c>
      <c r="AD679" s="15">
        <v>7.8037000000000001</v>
      </c>
      <c r="AE679" s="15">
        <v>2.0863</v>
      </c>
      <c r="AF679" s="15">
        <f t="shared" ref="AF679:AF726" si="115">AD679-AE679</f>
        <v>5.7173999999999996</v>
      </c>
      <c r="AG679" s="15">
        <v>0.93867333333333325</v>
      </c>
      <c r="AH679" s="15">
        <v>85.897491113379161</v>
      </c>
      <c r="AI679" s="2">
        <v>14.102508886620839</v>
      </c>
      <c r="AJ679" s="1">
        <f t="shared" ref="AJ679:AJ726" si="116">AI679*0.05</f>
        <v>0.70512544433104196</v>
      </c>
      <c r="AK679" s="13">
        <v>2.0799999999999999E-2</v>
      </c>
      <c r="AL679" s="16">
        <v>78.79714577</v>
      </c>
      <c r="AM679" s="10">
        <v>3.9398572885000003</v>
      </c>
      <c r="AN679" s="16">
        <v>45.706001026682138</v>
      </c>
      <c r="AO679" s="11">
        <v>3.9408851104474709</v>
      </c>
      <c r="AP679" s="14">
        <v>5.9776523437500009</v>
      </c>
      <c r="AQ679" s="2">
        <f>AP679*((G679*0.01)+(H679*0.01)+(I679*0.01))</f>
        <v>0.36463679296875007</v>
      </c>
      <c r="AR679" s="15">
        <v>1.1134928815812888</v>
      </c>
      <c r="AS679" s="15">
        <v>0.15703043257689173</v>
      </c>
      <c r="AT679" s="15">
        <f t="shared" ref="AT679:AT726" si="117">AS679*(AJ679/100+AQ679/AP679)</f>
        <v>1.0686117922633161E-2</v>
      </c>
      <c r="AU679" s="2">
        <f t="shared" ref="AU679:AU726" si="118">AS679*AA679</f>
        <v>8.6680798782444238E-3</v>
      </c>
      <c r="AV679" s="2">
        <f t="shared" ref="AV679:AV726" si="119">AU679*((AT679/AS679)+(AQ679/AP679))</f>
        <v>1.1186265819022603E-3</v>
      </c>
      <c r="AW679" s="3">
        <f t="shared" ref="AW679:AW726" si="120">(AV679/AU679)*100</f>
        <v>12.905125444331041</v>
      </c>
    </row>
    <row r="680" spans="1:49" s="5" customFormat="1" x14ac:dyDescent="0.2">
      <c r="A680" s="5" t="s">
        <v>480</v>
      </c>
      <c r="B680" s="5" t="s">
        <v>481</v>
      </c>
      <c r="C680" s="5" t="s">
        <v>737</v>
      </c>
      <c r="D680" s="5" t="s">
        <v>758</v>
      </c>
      <c r="E680" s="13" t="s">
        <v>739</v>
      </c>
      <c r="F680" s="5">
        <v>311</v>
      </c>
      <c r="G680" s="14">
        <v>2.35</v>
      </c>
      <c r="H680" s="14">
        <v>2.35</v>
      </c>
      <c r="I680" s="14">
        <v>1.3</v>
      </c>
      <c r="J680">
        <v>26.76</v>
      </c>
      <c r="K680">
        <v>28.06</v>
      </c>
      <c r="L680">
        <v>27.41</v>
      </c>
      <c r="M680">
        <v>0.14000000000000001</v>
      </c>
      <c r="N680" s="14">
        <v>346.17857142857179</v>
      </c>
      <c r="O680" s="14">
        <v>347.4785714285718</v>
      </c>
      <c r="P680" s="14">
        <v>346.82857142857176</v>
      </c>
      <c r="Q680" s="14">
        <v>346.17857142857179</v>
      </c>
      <c r="R680" s="14">
        <v>347.4785714285718</v>
      </c>
      <c r="S680" s="14">
        <v>346.82857142857176</v>
      </c>
      <c r="T680" s="3">
        <v>346.83</v>
      </c>
      <c r="U680" s="3">
        <v>0.65</v>
      </c>
      <c r="V680" s="3">
        <v>3778.97</v>
      </c>
      <c r="W680" s="3">
        <v>4260.13</v>
      </c>
      <c r="X680" s="3">
        <v>3974.03</v>
      </c>
      <c r="Y680" s="3">
        <v>3987.66</v>
      </c>
      <c r="Z680" s="3">
        <v>240.58</v>
      </c>
      <c r="AA680" s="4">
        <v>5.5399999999999998E-2</v>
      </c>
      <c r="AB680" s="4">
        <v>3.4461700000000001E-3</v>
      </c>
      <c r="AC680">
        <v>1.1476266666666668</v>
      </c>
      <c r="AD680" s="15">
        <v>7.9111000000000002</v>
      </c>
      <c r="AE680" s="15">
        <v>2.0345</v>
      </c>
      <c r="AF680" s="15">
        <f t="shared" si="115"/>
        <v>5.8765999999999998</v>
      </c>
      <c r="AG680" s="15">
        <v>0.88687333333333318</v>
      </c>
      <c r="AH680" s="15">
        <v>86.887309380485959</v>
      </c>
      <c r="AI680" s="2">
        <v>13.112690619514041</v>
      </c>
      <c r="AJ680" s="1">
        <f t="shared" si="116"/>
        <v>0.65563453097570212</v>
      </c>
      <c r="AK680" s="13">
        <v>2.7799999999999998E-2</v>
      </c>
      <c r="AL680" s="16">
        <v>76.697401510000006</v>
      </c>
      <c r="AM680" s="10">
        <v>3.8348700755000005</v>
      </c>
      <c r="AN680" s="16">
        <v>44.488051919953598</v>
      </c>
      <c r="AO680" s="11">
        <v>3.8359260284793528</v>
      </c>
      <c r="AP680" s="14">
        <v>5.6357112500000008</v>
      </c>
      <c r="AQ680" s="2">
        <f>AP680*((G680*0.01)+(H680*0.01)+(I680*0.01))</f>
        <v>0.33814267500000006</v>
      </c>
      <c r="AR680" s="15">
        <v>1.2001099831602147</v>
      </c>
      <c r="AS680" s="15">
        <v>0.15736670918570092</v>
      </c>
      <c r="AT680" s="15">
        <f t="shared" si="117"/>
        <v>1.0473753036823625E-2</v>
      </c>
      <c r="AU680" s="2">
        <f t="shared" si="118"/>
        <v>8.7181156888878307E-3</v>
      </c>
      <c r="AV680" s="2">
        <f t="shared" si="119"/>
        <v>1.1033328595732987E-3</v>
      </c>
      <c r="AW680" s="3">
        <f t="shared" si="120"/>
        <v>12.655634530975703</v>
      </c>
    </row>
    <row r="681" spans="1:49" s="5" customFormat="1" x14ac:dyDescent="0.2">
      <c r="A681" s="5" t="s">
        <v>480</v>
      </c>
      <c r="B681" s="5" t="s">
        <v>481</v>
      </c>
      <c r="C681" s="5" t="s">
        <v>737</v>
      </c>
      <c r="D681" s="5" t="s">
        <v>759</v>
      </c>
      <c r="E681" s="13" t="s">
        <v>739</v>
      </c>
      <c r="F681" s="5">
        <v>312</v>
      </c>
      <c r="G681" s="14">
        <v>2.2999999999999998</v>
      </c>
      <c r="H681" s="14">
        <v>2.25</v>
      </c>
      <c r="I681" s="14">
        <v>1.2</v>
      </c>
      <c r="J681">
        <v>28.2</v>
      </c>
      <c r="K681">
        <v>29.4</v>
      </c>
      <c r="L681">
        <v>28.8</v>
      </c>
      <c r="M681">
        <v>0.14000000000000001</v>
      </c>
      <c r="N681" s="14">
        <v>347.6142857142861</v>
      </c>
      <c r="O681" s="14">
        <v>348.81428571428609</v>
      </c>
      <c r="P681" s="14">
        <v>348.21428571428612</v>
      </c>
      <c r="Q681" s="14">
        <v>347.6142857142861</v>
      </c>
      <c r="R681" s="14">
        <v>348.81428571428609</v>
      </c>
      <c r="S681" s="14">
        <v>348.21428571428612</v>
      </c>
      <c r="T681" s="3">
        <v>348.21</v>
      </c>
      <c r="U681" s="3">
        <v>0.6</v>
      </c>
      <c r="V681" s="3">
        <v>3787.17</v>
      </c>
      <c r="W681" s="3">
        <v>4310.17</v>
      </c>
      <c r="X681" s="3">
        <v>3997.44</v>
      </c>
      <c r="Y681" s="3">
        <v>4012.67</v>
      </c>
      <c r="Z681" s="3">
        <v>261.5</v>
      </c>
      <c r="AA681" s="4">
        <v>5.5E-2</v>
      </c>
      <c r="AB681" s="4">
        <v>3.679042E-3</v>
      </c>
      <c r="AC681">
        <v>1.1476266666666668</v>
      </c>
      <c r="AD681" s="15">
        <v>6.952</v>
      </c>
      <c r="AE681" s="15">
        <v>1.8929</v>
      </c>
      <c r="AF681" s="15">
        <f t="shared" si="115"/>
        <v>5.0590999999999999</v>
      </c>
      <c r="AG681" s="15">
        <v>0.74527333333333323</v>
      </c>
      <c r="AH681" s="15">
        <v>87.160141318729785</v>
      </c>
      <c r="AI681" s="2">
        <v>12.839858681270215</v>
      </c>
      <c r="AJ681" s="1">
        <f t="shared" si="116"/>
        <v>0.64199293406351077</v>
      </c>
      <c r="AK681" s="13">
        <v>6.1600000000000002E-2</v>
      </c>
      <c r="AL681" s="16">
        <v>65.295774649999998</v>
      </c>
      <c r="AM681" s="10">
        <v>3.2647887325</v>
      </c>
      <c r="AN681" s="16">
        <v>37.874579263341069</v>
      </c>
      <c r="AO681" s="11">
        <v>3.2660290059733024</v>
      </c>
      <c r="AP681" s="14">
        <v>4.8754387499999998</v>
      </c>
      <c r="AQ681" s="2">
        <f>AP681*((G681*0.01)+(H681*0.01)+(I681*0.01))</f>
        <v>0.28033772812499996</v>
      </c>
      <c r="AR681" s="15">
        <v>1.1905335357424669</v>
      </c>
      <c r="AS681" s="15">
        <v>0.15286282354246236</v>
      </c>
      <c r="AT681" s="15">
        <f t="shared" si="117"/>
        <v>9.7709808796441668E-3</v>
      </c>
      <c r="AU681" s="2">
        <f t="shared" si="118"/>
        <v>8.4074552948354298E-3</v>
      </c>
      <c r="AV681" s="2">
        <f t="shared" si="119"/>
        <v>1.0208326278334664E-3</v>
      </c>
      <c r="AW681" s="3">
        <f t="shared" si="120"/>
        <v>12.141992934063509</v>
      </c>
    </row>
    <row r="682" spans="1:49" s="5" customFormat="1" x14ac:dyDescent="0.2">
      <c r="A682" s="5" t="s">
        <v>480</v>
      </c>
      <c r="B682" s="5" t="s">
        <v>481</v>
      </c>
      <c r="C682" s="5" t="s">
        <v>737</v>
      </c>
      <c r="D682" s="5" t="s">
        <v>760</v>
      </c>
      <c r="E682" s="13" t="s">
        <v>739</v>
      </c>
      <c r="F682" s="5">
        <v>313</v>
      </c>
      <c r="G682" s="14">
        <v>2.2999999999999998</v>
      </c>
      <c r="H682" s="14">
        <v>2.2999999999999998</v>
      </c>
      <c r="I682" s="14">
        <v>1.3</v>
      </c>
      <c r="J682">
        <v>29.54</v>
      </c>
      <c r="K682">
        <v>30.84</v>
      </c>
      <c r="L682">
        <v>30.19</v>
      </c>
      <c r="M682">
        <v>0.14000000000000001</v>
      </c>
      <c r="N682" s="14">
        <v>348.95000000000039</v>
      </c>
      <c r="O682" s="14">
        <v>350.2500000000004</v>
      </c>
      <c r="P682" s="14">
        <v>349.60000000000036</v>
      </c>
      <c r="Q682" s="14">
        <v>348.95000000000039</v>
      </c>
      <c r="R682" s="14">
        <v>350.2500000000004</v>
      </c>
      <c r="S682" s="14">
        <v>349.60000000000036</v>
      </c>
      <c r="T682" s="3">
        <v>349.6</v>
      </c>
      <c r="U682" s="3">
        <v>0.65</v>
      </c>
      <c r="V682" s="3">
        <v>3793.42</v>
      </c>
      <c r="W682" s="3">
        <v>4367.41</v>
      </c>
      <c r="X682" s="3">
        <v>4020.18</v>
      </c>
      <c r="Y682" s="3">
        <v>4037.87</v>
      </c>
      <c r="Z682" s="3">
        <v>286.995</v>
      </c>
      <c r="AA682" s="4">
        <v>4.8599999999999997E-2</v>
      </c>
      <c r="AB682" s="4">
        <v>3.5446459999999998E-3</v>
      </c>
      <c r="AC682">
        <v>1.1476266666666668</v>
      </c>
      <c r="AD682" s="15">
        <v>7.8402000000000003</v>
      </c>
      <c r="AE682" s="15">
        <v>2.0851999999999999</v>
      </c>
      <c r="AF682" s="15">
        <f t="shared" si="115"/>
        <v>5.7550000000000008</v>
      </c>
      <c r="AG682" s="15">
        <v>0.93757333333333315</v>
      </c>
      <c r="AH682" s="15">
        <v>85.990839597324793</v>
      </c>
      <c r="AI682" s="2">
        <v>14.009160402675207</v>
      </c>
      <c r="AJ682" s="1">
        <f t="shared" si="116"/>
        <v>0.70045802013376035</v>
      </c>
      <c r="AK682" s="13">
        <v>2.8400000000000002E-2</v>
      </c>
      <c r="AL682" s="16">
        <v>79.285193289999995</v>
      </c>
      <c r="AM682" s="10">
        <v>3.9642596645000001</v>
      </c>
      <c r="AN682" s="16">
        <v>45.98909123549884</v>
      </c>
      <c r="AO682" s="11">
        <v>3.9652811612269883</v>
      </c>
      <c r="AP682" s="14">
        <v>5.3984449999999997</v>
      </c>
      <c r="AQ682" s="2">
        <f>AP682*((G682*0.01)+(H682*0.01)+(I682*0.01))</f>
        <v>0.31850825499999996</v>
      </c>
      <c r="AR682" s="15">
        <v>1.2397224262418778</v>
      </c>
      <c r="AS682" s="15">
        <v>0.1736747032401614</v>
      </c>
      <c r="AT682" s="15">
        <f t="shared" si="117"/>
        <v>1.1463325878958742E-2</v>
      </c>
      <c r="AU682" s="2">
        <f t="shared" si="118"/>
        <v>8.4405905774718442E-3</v>
      </c>
      <c r="AV682" s="2">
        <f t="shared" si="119"/>
        <v>1.0551124817882334E-3</v>
      </c>
      <c r="AW682" s="3">
        <f t="shared" si="120"/>
        <v>12.50045802013376</v>
      </c>
    </row>
    <row r="683" spans="1:49" s="5" customFormat="1" x14ac:dyDescent="0.2">
      <c r="A683" s="5" t="s">
        <v>480</v>
      </c>
      <c r="B683" s="5" t="s">
        <v>481</v>
      </c>
      <c r="C683" s="5" t="s">
        <v>737</v>
      </c>
      <c r="D683" s="5" t="s">
        <v>761</v>
      </c>
      <c r="E683" s="13" t="s">
        <v>739</v>
      </c>
      <c r="F683" s="5">
        <v>314</v>
      </c>
      <c r="G683" s="14">
        <v>2.4</v>
      </c>
      <c r="H683" s="14">
        <v>2.4</v>
      </c>
      <c r="I683" s="14">
        <v>1.2</v>
      </c>
      <c r="J683">
        <v>30.98</v>
      </c>
      <c r="K683">
        <v>32.18</v>
      </c>
      <c r="L683">
        <v>31.58</v>
      </c>
      <c r="M683">
        <v>0.14000000000000001</v>
      </c>
      <c r="N683" s="14">
        <v>350.3857142857147</v>
      </c>
      <c r="O683" s="14">
        <v>351.58571428571469</v>
      </c>
      <c r="P683" s="14">
        <v>350.98571428571472</v>
      </c>
      <c r="Q683" s="14">
        <v>350.3857142857147</v>
      </c>
      <c r="R683" s="14">
        <v>351.58571428571469</v>
      </c>
      <c r="S683" s="14">
        <v>350.98571428571472</v>
      </c>
      <c r="T683" s="3">
        <v>350.99</v>
      </c>
      <c r="U683" s="3">
        <v>0.6</v>
      </c>
      <c r="V683" s="3">
        <v>3818.22</v>
      </c>
      <c r="W683" s="3">
        <v>4397.92</v>
      </c>
      <c r="X683" s="3">
        <v>4047.82</v>
      </c>
      <c r="Y683" s="3">
        <v>4066.39</v>
      </c>
      <c r="Z683" s="3">
        <v>289.85000000000002</v>
      </c>
      <c r="AA683" s="4">
        <v>4.6800000000000001E-2</v>
      </c>
      <c r="AB683" s="4">
        <v>3.41588E-3</v>
      </c>
      <c r="AC683">
        <v>1.1476266666666668</v>
      </c>
      <c r="AD683" s="15">
        <v>7.8216999999999999</v>
      </c>
      <c r="AE683" s="15">
        <v>2.1383999999999999</v>
      </c>
      <c r="AF683" s="15">
        <f t="shared" si="115"/>
        <v>5.6833</v>
      </c>
      <c r="AG683" s="15">
        <v>0.99077333333333306</v>
      </c>
      <c r="AH683" s="15">
        <v>85.154892913972574</v>
      </c>
      <c r="AI683" s="2">
        <v>14.845107086027426</v>
      </c>
      <c r="AJ683" s="1">
        <f t="shared" si="116"/>
        <v>0.74225535430137135</v>
      </c>
      <c r="AK683" s="13">
        <v>2.41E-2</v>
      </c>
      <c r="AL683" s="16">
        <v>76.937799040000002</v>
      </c>
      <c r="AM683" s="10">
        <v>3.8468899520000002</v>
      </c>
      <c r="AN683" s="16">
        <v>44.627493642691419</v>
      </c>
      <c r="AO683" s="11">
        <v>3.8479426064844788</v>
      </c>
      <c r="AP683" s="14">
        <v>5.4259199999999987</v>
      </c>
      <c r="AQ683" s="2">
        <f>AP683*((G683*0.01)+(H683*0.01)+(I683*0.01))</f>
        <v>0.32555519999999993</v>
      </c>
      <c r="AR683" s="15">
        <v>1.2300353365573644</v>
      </c>
      <c r="AS683" s="15">
        <v>0.18260006290791853</v>
      </c>
      <c r="AT683" s="15">
        <f t="shared" si="117"/>
        <v>1.2311362518366809E-2</v>
      </c>
      <c r="AU683" s="2">
        <f t="shared" si="118"/>
        <v>8.5456829440905876E-3</v>
      </c>
      <c r="AV683" s="2">
        <f t="shared" si="119"/>
        <v>1.088912742505002E-3</v>
      </c>
      <c r="AW683" s="3">
        <f t="shared" si="120"/>
        <v>12.742255354301371</v>
      </c>
    </row>
    <row r="684" spans="1:49" s="5" customFormat="1" x14ac:dyDescent="0.2">
      <c r="A684" s="5" t="s">
        <v>480</v>
      </c>
      <c r="B684" s="5" t="s">
        <v>481</v>
      </c>
      <c r="C684" s="5" t="s">
        <v>737</v>
      </c>
      <c r="D684" s="5" t="s">
        <v>762</v>
      </c>
      <c r="E684" s="13" t="s">
        <v>739</v>
      </c>
      <c r="F684" s="5">
        <v>315</v>
      </c>
      <c r="G684" s="14">
        <v>2.4</v>
      </c>
      <c r="H684" s="14">
        <v>2</v>
      </c>
      <c r="I684" s="14">
        <v>1.2</v>
      </c>
      <c r="J684">
        <v>32.32</v>
      </c>
      <c r="K684">
        <v>33.520000000000003</v>
      </c>
      <c r="L684">
        <v>32.92</v>
      </c>
      <c r="M684">
        <v>0.14000000000000001</v>
      </c>
      <c r="N684" s="14">
        <v>351.72142857142899</v>
      </c>
      <c r="O684" s="14">
        <v>352.92142857142898</v>
      </c>
      <c r="P684" s="14">
        <v>352.32142857142901</v>
      </c>
      <c r="Q684" s="14">
        <v>351.72142857142899</v>
      </c>
      <c r="R684" s="14">
        <v>352.92142857142898</v>
      </c>
      <c r="S684" s="14">
        <v>352.32142857142901</v>
      </c>
      <c r="T684" s="3">
        <v>352.32</v>
      </c>
      <c r="U684" s="3">
        <v>0.6</v>
      </c>
      <c r="V684" s="3">
        <v>3846</v>
      </c>
      <c r="W684" s="3">
        <v>4420.8500000000004</v>
      </c>
      <c r="X684" s="3">
        <v>4079.28</v>
      </c>
      <c r="Y684" s="3">
        <v>4094.96</v>
      </c>
      <c r="Z684" s="3">
        <v>287.42500000000001</v>
      </c>
      <c r="AA684" s="4">
        <v>4.6399999999999997E-2</v>
      </c>
      <c r="AB684" s="4">
        <v>3.3358319999999999E-3</v>
      </c>
      <c r="AC684">
        <v>1.1476266666666668</v>
      </c>
      <c r="AD684" s="15">
        <v>7.3890000000000002</v>
      </c>
      <c r="AE684" s="15">
        <v>2.3618000000000001</v>
      </c>
      <c r="AF684" s="15">
        <f t="shared" si="115"/>
        <v>5.0272000000000006</v>
      </c>
      <c r="AG684" s="15">
        <v>1.2141733333333333</v>
      </c>
      <c r="AH684" s="15">
        <v>80.546375477191987</v>
      </c>
      <c r="AI684" s="2">
        <v>19.453624522808013</v>
      </c>
      <c r="AJ684" s="1">
        <f t="shared" si="116"/>
        <v>0.97268122614040076</v>
      </c>
      <c r="AK684" s="13">
        <v>4.7500000000000001E-2</v>
      </c>
      <c r="AL684" s="16">
        <v>64.042392129999996</v>
      </c>
      <c r="AM684" s="10">
        <v>3.2021196065000002</v>
      </c>
      <c r="AN684" s="16">
        <v>37.147559240139209</v>
      </c>
      <c r="AO684" s="11">
        <v>3.2033841440469977</v>
      </c>
      <c r="AP684" s="14">
        <v>4.5592800000000011</v>
      </c>
      <c r="AQ684" s="2">
        <f>AP684*((G684*0.01)+(H684*0.01)+(I684*0.01))</f>
        <v>0.25531968000000005</v>
      </c>
      <c r="AR684" s="15">
        <v>1.3689383703859672</v>
      </c>
      <c r="AS684" s="15">
        <v>0.26630813052353292</v>
      </c>
      <c r="AT684" s="15">
        <f t="shared" si="117"/>
        <v>1.7503584498605722E-2</v>
      </c>
      <c r="AU684" s="2">
        <f t="shared" si="118"/>
        <v>1.2356697256291927E-2</v>
      </c>
      <c r="AV684" s="2">
        <f t="shared" si="119"/>
        <v>1.5041413670876533E-3</v>
      </c>
      <c r="AW684" s="3">
        <f t="shared" si="120"/>
        <v>12.1726812261404</v>
      </c>
    </row>
    <row r="685" spans="1:49" s="5" customFormat="1" x14ac:dyDescent="0.2">
      <c r="A685" s="5" t="s">
        <v>480</v>
      </c>
      <c r="B685" s="5" t="s">
        <v>481</v>
      </c>
      <c r="C685" s="5" t="s">
        <v>737</v>
      </c>
      <c r="D685" s="5" t="s">
        <v>763</v>
      </c>
      <c r="E685" s="13" t="s">
        <v>739</v>
      </c>
      <c r="F685" s="5">
        <v>316</v>
      </c>
      <c r="G685" s="14">
        <v>2.2999999999999998</v>
      </c>
      <c r="H685" s="14">
        <v>2.4500000000000002</v>
      </c>
      <c r="I685" s="14">
        <v>1.1000000000000001</v>
      </c>
      <c r="J685">
        <v>33.659999999999997</v>
      </c>
      <c r="K685">
        <v>34.76</v>
      </c>
      <c r="L685">
        <v>34.21</v>
      </c>
      <c r="M685">
        <v>0.14000000000000001</v>
      </c>
      <c r="N685" s="14">
        <v>353.05714285714328</v>
      </c>
      <c r="O685" s="14">
        <v>354.1571428571433</v>
      </c>
      <c r="P685" s="14">
        <v>353.60714285714329</v>
      </c>
      <c r="Q685" s="14">
        <v>353.05714285714328</v>
      </c>
      <c r="R685" s="14">
        <v>354.1571428571433</v>
      </c>
      <c r="S685" s="14">
        <v>353.60714285714329</v>
      </c>
      <c r="T685" s="3">
        <v>353.61</v>
      </c>
      <c r="U685" s="3">
        <v>0.55000000000000004</v>
      </c>
      <c r="V685" s="3">
        <v>3863.64</v>
      </c>
      <c r="W685" s="3">
        <v>4447.6899999999996</v>
      </c>
      <c r="X685" s="3">
        <v>4108.34</v>
      </c>
      <c r="Y685" s="3">
        <v>4122.68</v>
      </c>
      <c r="Z685" s="3">
        <v>292.02499999999998</v>
      </c>
      <c r="AA685" s="4">
        <v>4.6600000000000003E-2</v>
      </c>
      <c r="AB685" s="4">
        <v>3.3733349999999999E-3</v>
      </c>
      <c r="AC685">
        <v>1.1476266666666668</v>
      </c>
      <c r="AD685" s="15">
        <v>7.4550000000000001</v>
      </c>
      <c r="AE685" s="15">
        <v>2.4803000000000002</v>
      </c>
      <c r="AF685" s="15">
        <f t="shared" si="115"/>
        <v>4.9747000000000003</v>
      </c>
      <c r="AG685" s="15">
        <v>1.3326733333333334</v>
      </c>
      <c r="AH685" s="15">
        <v>78.871183567169012</v>
      </c>
      <c r="AI685" s="2">
        <v>21.128816432830988</v>
      </c>
      <c r="AJ685" s="1">
        <f t="shared" si="116"/>
        <v>1.0564408216415495</v>
      </c>
      <c r="AK685" s="13">
        <v>6.0400000000000002E-2</v>
      </c>
      <c r="AL685" s="16">
        <v>57.010676160000003</v>
      </c>
      <c r="AM685" s="10">
        <v>2.8505338080000002</v>
      </c>
      <c r="AN685" s="16">
        <v>33.068837679814386</v>
      </c>
      <c r="AO685" s="11">
        <v>2.8519542406130896</v>
      </c>
      <c r="AP685" s="14">
        <v>4.8706796875</v>
      </c>
      <c r="AQ685" s="2">
        <f>AP685*((G685*0.01)+(H685*0.01)+(I685*0.01))</f>
        <v>0.28493476171875004</v>
      </c>
      <c r="AR685" s="15">
        <v>1.2949677946427951</v>
      </c>
      <c r="AS685" s="15">
        <v>0.273611368194356</v>
      </c>
      <c r="AT685" s="15">
        <f t="shared" si="117"/>
        <v>1.8896807225626967E-2</v>
      </c>
      <c r="AU685" s="2">
        <f t="shared" si="118"/>
        <v>1.275028975785699E-2</v>
      </c>
      <c r="AV685" s="2">
        <f t="shared" si="119"/>
        <v>1.6264831675488508E-3</v>
      </c>
      <c r="AW685" s="3">
        <f t="shared" si="120"/>
        <v>12.756440821641551</v>
      </c>
    </row>
    <row r="686" spans="1:49" s="5" customFormat="1" x14ac:dyDescent="0.2">
      <c r="A686" s="5" t="s">
        <v>480</v>
      </c>
      <c r="B686" s="5" t="s">
        <v>481</v>
      </c>
      <c r="C686" s="5" t="s">
        <v>737</v>
      </c>
      <c r="D686" s="5" t="s">
        <v>764</v>
      </c>
      <c r="E686" s="13" t="s">
        <v>739</v>
      </c>
      <c r="F686" s="5">
        <v>317</v>
      </c>
      <c r="G686" s="14">
        <v>2.2999999999999998</v>
      </c>
      <c r="H686" s="14">
        <v>2.2999999999999998</v>
      </c>
      <c r="I686" s="14">
        <v>1.1499999999999999</v>
      </c>
      <c r="J686">
        <v>34.9</v>
      </c>
      <c r="K686">
        <v>36.1</v>
      </c>
      <c r="L686">
        <v>35.5</v>
      </c>
      <c r="M686">
        <v>0.14000000000000001</v>
      </c>
      <c r="N686" s="14">
        <v>354.2928571428576</v>
      </c>
      <c r="O686" s="14">
        <v>355.44285714285758</v>
      </c>
      <c r="P686" s="14">
        <v>354.86785714285759</v>
      </c>
      <c r="Q686" s="14">
        <v>354.2928571428576</v>
      </c>
      <c r="R686" s="14">
        <v>355.44285714285758</v>
      </c>
      <c r="S686" s="14">
        <v>354.86785714285759</v>
      </c>
      <c r="T686" s="3">
        <v>354.87</v>
      </c>
      <c r="U686" s="3">
        <v>0.57499999999999996</v>
      </c>
      <c r="V686" s="3">
        <v>3879.9</v>
      </c>
      <c r="W686" s="3">
        <v>4476.41</v>
      </c>
      <c r="X686" s="3">
        <v>4139.53</v>
      </c>
      <c r="Y686" s="3">
        <v>4149.75</v>
      </c>
      <c r="Z686" s="3">
        <v>298.255</v>
      </c>
      <c r="AA686" s="4">
        <v>4.6600000000000003E-2</v>
      </c>
      <c r="AB686" s="4">
        <v>3.4247890000000001E-3</v>
      </c>
      <c r="AC686">
        <v>1.1476266666666668</v>
      </c>
      <c r="AD686" s="15">
        <v>7.6318000000000001</v>
      </c>
      <c r="AE686" s="15">
        <v>2.9140999999999999</v>
      </c>
      <c r="AF686" s="15">
        <f t="shared" si="115"/>
        <v>4.7177000000000007</v>
      </c>
      <c r="AG686" s="15">
        <v>1.7664733333333331</v>
      </c>
      <c r="AH686" s="15">
        <v>72.757154342984876</v>
      </c>
      <c r="AI686" s="2">
        <v>27.242845657015124</v>
      </c>
      <c r="AJ686" s="1">
        <f t="shared" si="116"/>
        <v>1.3621422828507563</v>
      </c>
      <c r="AK686" s="13">
        <v>0.1731</v>
      </c>
      <c r="AL686" s="16">
        <v>34.332321700000001</v>
      </c>
      <c r="AM686" s="10">
        <v>1.7166160850000001</v>
      </c>
      <c r="AN686" s="16">
        <v>19.914339733178654</v>
      </c>
      <c r="AO686" s="11">
        <v>1.7189737587527993</v>
      </c>
      <c r="AP686" s="14">
        <v>4.7755474999999992</v>
      </c>
      <c r="AQ686" s="2">
        <f>AP686*((G686*0.01)+(H686*0.01)+(I686*0.01))</f>
        <v>0.27459398124999995</v>
      </c>
      <c r="AR686" s="15">
        <v>1.3577863759774842</v>
      </c>
      <c r="AS686" s="15">
        <v>0.36989964675952514</v>
      </c>
      <c r="AT686" s="15">
        <f t="shared" si="117"/>
        <v>2.6307789181299779E-2</v>
      </c>
      <c r="AU686" s="2">
        <f t="shared" si="118"/>
        <v>1.7237323538993873E-2</v>
      </c>
      <c r="AV686" s="2">
        <f t="shared" si="119"/>
        <v>2.2170890793407174E-3</v>
      </c>
      <c r="AW686" s="3">
        <f t="shared" si="120"/>
        <v>12.862142282850758</v>
      </c>
    </row>
    <row r="687" spans="1:49" s="5" customFormat="1" x14ac:dyDescent="0.2">
      <c r="A687" s="5" t="s">
        <v>480</v>
      </c>
      <c r="B687" s="5" t="s">
        <v>481</v>
      </c>
      <c r="C687" s="5" t="s">
        <v>737</v>
      </c>
      <c r="D687" s="5" t="s">
        <v>765</v>
      </c>
      <c r="E687" s="13" t="s">
        <v>739</v>
      </c>
      <c r="F687" s="5">
        <v>318</v>
      </c>
      <c r="G687" s="14">
        <v>2.2999999999999998</v>
      </c>
      <c r="H687" s="14">
        <v>2.35</v>
      </c>
      <c r="I687" s="14">
        <v>1.2</v>
      </c>
      <c r="J687">
        <v>36.24</v>
      </c>
      <c r="K687">
        <v>37.44</v>
      </c>
      <c r="L687">
        <v>36.840000000000003</v>
      </c>
      <c r="M687">
        <v>0.14000000000000001</v>
      </c>
      <c r="N687" s="14">
        <v>355.57857142857188</v>
      </c>
      <c r="O687" s="14">
        <v>356.77857142857187</v>
      </c>
      <c r="P687" s="14">
        <v>356.1785714285719</v>
      </c>
      <c r="Q687" s="14">
        <v>355.57857142857188</v>
      </c>
      <c r="R687" s="14">
        <v>356.77857142857187</v>
      </c>
      <c r="S687" s="14">
        <v>356.1785714285719</v>
      </c>
      <c r="T687" s="3">
        <v>356.18</v>
      </c>
      <c r="U687" s="3">
        <v>0.6</v>
      </c>
      <c r="V687" s="3">
        <v>3894.38</v>
      </c>
      <c r="W687" s="3">
        <v>4511.07</v>
      </c>
      <c r="X687" s="3">
        <v>4169.2700000000004</v>
      </c>
      <c r="Y687" s="3">
        <v>4177.8999999999996</v>
      </c>
      <c r="Z687" s="3">
        <v>308.34500000000003</v>
      </c>
      <c r="AA687" s="4">
        <v>4.6800000000000001E-2</v>
      </c>
      <c r="AB687" s="4">
        <v>3.532856E-3</v>
      </c>
      <c r="AC687">
        <v>1.1476266666666668</v>
      </c>
      <c r="AD687" s="15">
        <v>8.8501999999999992</v>
      </c>
      <c r="AE687" s="15">
        <v>2.3603000000000001</v>
      </c>
      <c r="AF687" s="15">
        <f t="shared" si="115"/>
        <v>6.4898999999999987</v>
      </c>
      <c r="AG687" s="15">
        <v>1.2126733333333333</v>
      </c>
      <c r="AH687" s="15">
        <v>84.256257216203068</v>
      </c>
      <c r="AI687" s="2">
        <v>15.743742783796932</v>
      </c>
      <c r="AJ687" s="1">
        <f t="shared" si="116"/>
        <v>0.78718713918984662</v>
      </c>
      <c r="AK687" s="13">
        <v>0.14399999999999999</v>
      </c>
      <c r="AL687" s="16">
        <v>28.748144480000001</v>
      </c>
      <c r="AM687" s="10">
        <v>1.4374072240000002</v>
      </c>
      <c r="AN687" s="16">
        <v>16.675257819025521</v>
      </c>
      <c r="AO687" s="11">
        <v>1.4402220410781759</v>
      </c>
      <c r="AP687" s="14">
        <v>5.0920987500000008</v>
      </c>
      <c r="AQ687" s="2">
        <f>AP687*((G687*0.01)+(H687*0.01)+(I687*0.01))</f>
        <v>0.29788777687500001</v>
      </c>
      <c r="AR687" s="15">
        <v>1.5126519950802861</v>
      </c>
      <c r="AS687" s="15">
        <v>0.23814803931941286</v>
      </c>
      <c r="AT687" s="15">
        <f t="shared" si="117"/>
        <v>1.5806331037940848E-2</v>
      </c>
      <c r="AU687" s="2">
        <f t="shared" si="118"/>
        <v>1.1145328240148522E-2</v>
      </c>
      <c r="AV687" s="2">
        <f t="shared" si="119"/>
        <v>1.3917379946243201E-3</v>
      </c>
      <c r="AW687" s="3">
        <f t="shared" si="120"/>
        <v>12.487187139189844</v>
      </c>
    </row>
    <row r="688" spans="1:49" s="5" customFormat="1" x14ac:dyDescent="0.2">
      <c r="A688" s="5" t="s">
        <v>480</v>
      </c>
      <c r="B688" s="5" t="s">
        <v>481</v>
      </c>
      <c r="C688" s="5" t="s">
        <v>737</v>
      </c>
      <c r="D688" s="5" t="s">
        <v>766</v>
      </c>
      <c r="E688" s="13" t="s">
        <v>739</v>
      </c>
      <c r="F688" s="5">
        <v>319</v>
      </c>
      <c r="G688" s="14">
        <v>2.25</v>
      </c>
      <c r="H688" s="14">
        <v>2.35</v>
      </c>
      <c r="I688" s="14">
        <v>1.2</v>
      </c>
      <c r="J688">
        <v>37.58</v>
      </c>
      <c r="K688">
        <v>38.78</v>
      </c>
      <c r="L688">
        <v>38.18</v>
      </c>
      <c r="M688">
        <v>0.14000000000000001</v>
      </c>
      <c r="N688" s="14">
        <v>356.91428571428617</v>
      </c>
      <c r="O688" s="14">
        <v>358.11428571428615</v>
      </c>
      <c r="P688" s="14">
        <v>357.51428571428619</v>
      </c>
      <c r="Q688" s="14">
        <v>356.91428571428617</v>
      </c>
      <c r="R688" s="14">
        <v>358.11428571428615</v>
      </c>
      <c r="S688" s="14">
        <v>357.51428571428619</v>
      </c>
      <c r="T688" s="3">
        <v>357.51</v>
      </c>
      <c r="U688" s="3">
        <v>0.6</v>
      </c>
      <c r="V688" s="3">
        <v>3906.27</v>
      </c>
      <c r="W688" s="3">
        <v>4551.16</v>
      </c>
      <c r="X688" s="3">
        <v>4199.17</v>
      </c>
      <c r="Y688" s="3">
        <v>4206.47</v>
      </c>
      <c r="Z688" s="3">
        <v>322.44499999999999</v>
      </c>
      <c r="AA688" s="4">
        <v>4.6399999999999997E-2</v>
      </c>
      <c r="AB688" s="4">
        <v>3.634642E-3</v>
      </c>
      <c r="AC688">
        <v>1.1476266666666668</v>
      </c>
      <c r="AD688" s="15">
        <v>8.0236000000000001</v>
      </c>
      <c r="AE688" s="15">
        <v>2.7783000000000002</v>
      </c>
      <c r="AF688" s="15">
        <f t="shared" si="115"/>
        <v>5.2453000000000003</v>
      </c>
      <c r="AG688" s="15">
        <v>1.6306733333333334</v>
      </c>
      <c r="AH688" s="15">
        <v>76.284472695259637</v>
      </c>
      <c r="AI688" s="2">
        <v>23.715527304740363</v>
      </c>
      <c r="AJ688" s="1">
        <f t="shared" si="116"/>
        <v>1.1857763652370181</v>
      </c>
      <c r="AK688" s="13">
        <v>0.1087</v>
      </c>
      <c r="AL688" s="16">
        <v>40.274725269999998</v>
      </c>
      <c r="AM688" s="10">
        <v>2.0137362634999998</v>
      </c>
      <c r="AN688" s="16">
        <v>23.361209553364269</v>
      </c>
      <c r="AO688" s="11">
        <v>2.0157464470847866</v>
      </c>
      <c r="AP688" s="14">
        <v>4.9831799999999991</v>
      </c>
      <c r="AQ688" s="2">
        <f>AP688*((G688*0.01)+(H688*0.01)+(I688*0.01))</f>
        <v>0.28902443999999994</v>
      </c>
      <c r="AR688" s="15">
        <v>1.3798364364388473</v>
      </c>
      <c r="AS688" s="15">
        <v>0.32723548684441134</v>
      </c>
      <c r="AT688" s="15">
        <f t="shared" si="117"/>
        <v>2.2859939298645177E-2</v>
      </c>
      <c r="AU688" s="2">
        <f t="shared" si="118"/>
        <v>1.5183726589580684E-2</v>
      </c>
      <c r="AV688" s="2">
        <f t="shared" si="119"/>
        <v>1.9413573256528158E-3</v>
      </c>
      <c r="AW688" s="3">
        <f t="shared" si="120"/>
        <v>12.785776365237018</v>
      </c>
    </row>
    <row r="689" spans="1:49" s="5" customFormat="1" x14ac:dyDescent="0.2">
      <c r="A689" s="5" t="s">
        <v>480</v>
      </c>
      <c r="B689" s="5" t="s">
        <v>481</v>
      </c>
      <c r="C689" s="5" t="s">
        <v>737</v>
      </c>
      <c r="D689" s="5" t="s">
        <v>767</v>
      </c>
      <c r="E689" s="13" t="s">
        <v>739</v>
      </c>
      <c r="F689" s="5">
        <v>320</v>
      </c>
      <c r="G689" s="14">
        <v>2.2999999999999998</v>
      </c>
      <c r="H689" s="14">
        <v>2.2999999999999998</v>
      </c>
      <c r="I689" s="14">
        <v>1.3</v>
      </c>
      <c r="J689">
        <v>38.92</v>
      </c>
      <c r="K689">
        <v>40.22</v>
      </c>
      <c r="L689">
        <v>39.57</v>
      </c>
      <c r="M689">
        <v>0.14000000000000001</v>
      </c>
      <c r="N689" s="14">
        <v>358.25000000000045</v>
      </c>
      <c r="O689" s="14">
        <v>359.55000000000047</v>
      </c>
      <c r="P689" s="14">
        <v>358.90000000000043</v>
      </c>
      <c r="Q689" s="14">
        <v>358.25000000000045</v>
      </c>
      <c r="R689" s="14">
        <v>359.55000000000047</v>
      </c>
      <c r="S689" s="14">
        <v>358.90000000000043</v>
      </c>
      <c r="T689" s="3">
        <v>358.9</v>
      </c>
      <c r="U689" s="3">
        <v>0.65</v>
      </c>
      <c r="V689" s="3">
        <v>3920.43</v>
      </c>
      <c r="W689" s="3">
        <v>4597.71</v>
      </c>
      <c r="X689" s="3">
        <v>4230.04</v>
      </c>
      <c r="Y689" s="3">
        <v>4236.34</v>
      </c>
      <c r="Z689" s="3">
        <v>338.64</v>
      </c>
      <c r="AA689" s="4">
        <v>4.7399999999999998E-2</v>
      </c>
      <c r="AB689" s="4">
        <v>3.8748559999999999E-3</v>
      </c>
      <c r="AC689">
        <v>1.1476266666666668</v>
      </c>
      <c r="AD689" s="15">
        <v>7.4824000000000002</v>
      </c>
      <c r="AE689" s="15">
        <v>2.4291</v>
      </c>
      <c r="AF689" s="15">
        <f t="shared" si="115"/>
        <v>5.0533000000000001</v>
      </c>
      <c r="AG689" s="15">
        <v>1.2814733333333332</v>
      </c>
      <c r="AH689" s="15">
        <v>79.770810005304057</v>
      </c>
      <c r="AI689" s="2">
        <v>20.229189994695943</v>
      </c>
      <c r="AJ689" s="1">
        <f t="shared" si="116"/>
        <v>1.0114594997347972</v>
      </c>
      <c r="AK689" s="13">
        <v>9.8299999999999998E-2</v>
      </c>
      <c r="AL689" s="16">
        <v>51.40879881</v>
      </c>
      <c r="AM689" s="10">
        <v>2.5704399405</v>
      </c>
      <c r="AN689" s="16">
        <v>29.819488868909513</v>
      </c>
      <c r="AO689" s="11">
        <v>2.5720150636646051</v>
      </c>
      <c r="AP689" s="14">
        <v>5.3984449999999997</v>
      </c>
      <c r="AQ689" s="2">
        <f>AP689*((G689*0.01)+(H689*0.01)+(I689*0.01))</f>
        <v>0.31850825499999996</v>
      </c>
      <c r="AR689" s="15">
        <v>1.1734440812740212</v>
      </c>
      <c r="AS689" s="15">
        <v>0.23737823268243602</v>
      </c>
      <c r="AT689" s="15">
        <f t="shared" si="117"/>
        <v>1.6406300413032794E-2</v>
      </c>
      <c r="AU689" s="2">
        <f t="shared" si="118"/>
        <v>1.1251728229147467E-2</v>
      </c>
      <c r="AV689" s="2">
        <f t="shared" si="119"/>
        <v>1.4415106050974548E-3</v>
      </c>
      <c r="AW689" s="3">
        <f t="shared" si="120"/>
        <v>12.811459499734795</v>
      </c>
    </row>
    <row r="690" spans="1:49" s="5" customFormat="1" x14ac:dyDescent="0.2">
      <c r="A690" s="5" t="s">
        <v>480</v>
      </c>
      <c r="B690" s="5" t="s">
        <v>481</v>
      </c>
      <c r="C690" s="5" t="s">
        <v>737</v>
      </c>
      <c r="D690" s="5" t="s">
        <v>768</v>
      </c>
      <c r="E690" s="13" t="s">
        <v>739</v>
      </c>
      <c r="F690" s="5">
        <v>321</v>
      </c>
      <c r="G690" s="14">
        <v>2.25</v>
      </c>
      <c r="H690" s="14">
        <v>2.35</v>
      </c>
      <c r="I690" s="14">
        <v>1.1499999999999999</v>
      </c>
      <c r="J690">
        <v>40.36</v>
      </c>
      <c r="K690">
        <v>41.56</v>
      </c>
      <c r="L690">
        <v>40.96</v>
      </c>
      <c r="M690">
        <v>0.14000000000000001</v>
      </c>
      <c r="N690" s="14">
        <v>359.68571428571477</v>
      </c>
      <c r="O690" s="14">
        <v>360.83571428571474</v>
      </c>
      <c r="P690" s="14">
        <v>360.26071428571476</v>
      </c>
      <c r="Q690" s="14">
        <v>359.68571428571477</v>
      </c>
      <c r="R690" s="14">
        <v>360.83571428571474</v>
      </c>
      <c r="S690" s="14">
        <v>360.26071428571476</v>
      </c>
      <c r="T690" s="3">
        <v>360.26</v>
      </c>
      <c r="U690" s="3">
        <v>0.57499999999999996</v>
      </c>
      <c r="V690" s="3">
        <v>3933.62</v>
      </c>
      <c r="W690" s="3">
        <v>4643.34</v>
      </c>
      <c r="X690" s="3">
        <v>4256.84</v>
      </c>
      <c r="Y690" s="3">
        <v>4265.05</v>
      </c>
      <c r="Z690" s="3">
        <v>354.86</v>
      </c>
      <c r="AA690" s="4">
        <v>5.0999999999999997E-2</v>
      </c>
      <c r="AB690" s="4">
        <v>4.3246930000000001E-3</v>
      </c>
      <c r="AC690">
        <v>1.1476266666666668</v>
      </c>
      <c r="AD690" s="15">
        <v>7.8261000000000003</v>
      </c>
      <c r="AE690" s="15">
        <v>2.7749999999999999</v>
      </c>
      <c r="AF690" s="15">
        <f t="shared" si="115"/>
        <v>5.0510999999999999</v>
      </c>
      <c r="AG690" s="15">
        <v>1.6273733333333331</v>
      </c>
      <c r="AH690" s="15">
        <v>75.632554745545647</v>
      </c>
      <c r="AI690" s="2">
        <v>24.367445254454353</v>
      </c>
      <c r="AJ690" s="1">
        <f t="shared" si="116"/>
        <v>1.2183722627227178</v>
      </c>
      <c r="AK690" s="13">
        <v>5.5300000000000002E-2</v>
      </c>
      <c r="AL690" s="16">
        <v>45.890410959999997</v>
      </c>
      <c r="AM690" s="10">
        <v>2.2945205479999999</v>
      </c>
      <c r="AN690" s="16">
        <v>26.618567842227378</v>
      </c>
      <c r="AO690" s="11">
        <v>2.2962849442510875</v>
      </c>
      <c r="AP690" s="14">
        <v>4.7755474999999992</v>
      </c>
      <c r="AQ690" s="2">
        <f>AP690*((G690*0.01)+(H690*0.01)+(I690*0.01))</f>
        <v>0.27459398124999995</v>
      </c>
      <c r="AR690" s="15">
        <v>1.3984728103601387</v>
      </c>
      <c r="AS690" s="15">
        <v>0.3407720964629361</v>
      </c>
      <c r="AT690" s="15">
        <f t="shared" si="117"/>
        <v>2.3746268249021943E-2</v>
      </c>
      <c r="AU690" s="2">
        <f t="shared" si="118"/>
        <v>1.7379376919609741E-2</v>
      </c>
      <c r="AV690" s="2">
        <f t="shared" si="119"/>
        <v>2.2103738535776793E-3</v>
      </c>
      <c r="AW690" s="3">
        <f t="shared" si="120"/>
        <v>12.718372262722719</v>
      </c>
    </row>
    <row r="691" spans="1:49" s="5" customFormat="1" x14ac:dyDescent="0.2">
      <c r="A691" s="5" t="s">
        <v>480</v>
      </c>
      <c r="B691" s="5" t="s">
        <v>481</v>
      </c>
      <c r="C691" s="5" t="s">
        <v>769</v>
      </c>
      <c r="D691" s="5" t="s">
        <v>770</v>
      </c>
      <c r="E691" s="13" t="s">
        <v>771</v>
      </c>
      <c r="F691" s="5">
        <v>328</v>
      </c>
      <c r="G691" s="14">
        <v>2.25</v>
      </c>
      <c r="H691" s="14">
        <v>2.25</v>
      </c>
      <c r="I691" s="14">
        <v>1.1000000000000001</v>
      </c>
      <c r="J691">
        <v>0</v>
      </c>
      <c r="K691">
        <v>1.1000000000000001</v>
      </c>
      <c r="L691">
        <v>0.55000000000000004</v>
      </c>
      <c r="M691">
        <v>0.22</v>
      </c>
      <c r="N691" s="14">
        <v>360</v>
      </c>
      <c r="O691" s="14">
        <v>361.1</v>
      </c>
      <c r="P691" s="14">
        <v>360.55</v>
      </c>
      <c r="Q691" s="14">
        <v>360</v>
      </c>
      <c r="R691" s="14">
        <v>361.1</v>
      </c>
      <c r="S691" s="14">
        <v>360.55</v>
      </c>
      <c r="T691" s="3">
        <v>360.55</v>
      </c>
      <c r="U691" s="3">
        <v>0.55000000000000004</v>
      </c>
      <c r="V691" s="3">
        <v>3944.07</v>
      </c>
      <c r="W691" s="3">
        <v>4645.7</v>
      </c>
      <c r="X691" s="3">
        <v>4263.17</v>
      </c>
      <c r="Y691" s="3">
        <v>4270.72</v>
      </c>
      <c r="Z691" s="3">
        <v>350.815</v>
      </c>
      <c r="AA691" s="4">
        <v>5.11E-2</v>
      </c>
      <c r="AB691" s="4">
        <v>4.2755199999999997E-3</v>
      </c>
      <c r="AC691">
        <v>1.1476266666666668</v>
      </c>
      <c r="AD691" s="15">
        <v>6.3090999999999999</v>
      </c>
      <c r="AE691" s="15">
        <v>2.2887</v>
      </c>
      <c r="AF691" s="15">
        <f t="shared" si="115"/>
        <v>4.0204000000000004</v>
      </c>
      <c r="AG691" s="15">
        <v>1.1410733333333332</v>
      </c>
      <c r="AH691" s="15">
        <v>77.892488062194133</v>
      </c>
      <c r="AI691" s="2">
        <v>22.107511937805867</v>
      </c>
      <c r="AJ691" s="1">
        <f t="shared" si="116"/>
        <v>1.1053755968902934</v>
      </c>
      <c r="AK691" s="13">
        <v>3.3700000000000001E-2</v>
      </c>
      <c r="AL691" s="16">
        <v>40.248226950000003</v>
      </c>
      <c r="AM691" s="10">
        <v>2.0124113475000001</v>
      </c>
      <c r="AN691" s="16">
        <v>23.345839298143854</v>
      </c>
      <c r="AO691" s="11">
        <v>2.0144228532129906</v>
      </c>
      <c r="AP691" s="14">
        <v>4.3714687500000009</v>
      </c>
      <c r="AQ691" s="2">
        <f>AP691*((G691*0.01)+(H691*0.01)+(I691*0.01))</f>
        <v>0.24480225000000005</v>
      </c>
      <c r="AR691" s="15">
        <v>1.1807183417091411</v>
      </c>
      <c r="AS691" s="15">
        <v>0.26102744834521185</v>
      </c>
      <c r="AT691" s="15">
        <f t="shared" si="117"/>
        <v>1.7502870822525253E-2</v>
      </c>
      <c r="AU691" s="2">
        <f t="shared" si="118"/>
        <v>1.3338502610440325E-2</v>
      </c>
      <c r="AV691" s="2">
        <f t="shared" si="119"/>
        <v>1.6413528452156986E-3</v>
      </c>
      <c r="AW691" s="3">
        <f t="shared" si="120"/>
        <v>12.305375596890295</v>
      </c>
    </row>
    <row r="692" spans="1:49" s="5" customFormat="1" x14ac:dyDescent="0.2">
      <c r="A692" s="5" t="s">
        <v>480</v>
      </c>
      <c r="B692" s="5" t="s">
        <v>481</v>
      </c>
      <c r="C692" s="5" t="s">
        <v>769</v>
      </c>
      <c r="D692" s="5" t="s">
        <v>772</v>
      </c>
      <c r="E692" s="13" t="s">
        <v>771</v>
      </c>
      <c r="F692" s="5">
        <v>329</v>
      </c>
      <c r="G692" s="14">
        <v>2.4</v>
      </c>
      <c r="H692" s="14">
        <v>2.4</v>
      </c>
      <c r="I692" s="14">
        <v>1.2</v>
      </c>
      <c r="J692">
        <v>1.32</v>
      </c>
      <c r="K692">
        <v>2.52</v>
      </c>
      <c r="L692">
        <v>1.92</v>
      </c>
      <c r="M692">
        <v>0.22</v>
      </c>
      <c r="N692" s="14">
        <v>361.31764705882352</v>
      </c>
      <c r="O692" s="14">
        <v>362.51764705882351</v>
      </c>
      <c r="P692" s="14">
        <v>361.91764705882349</v>
      </c>
      <c r="Q692" s="14">
        <v>361.31764705882352</v>
      </c>
      <c r="R692" s="14">
        <v>362.51764705882351</v>
      </c>
      <c r="S692" s="14">
        <v>361.91764705882349</v>
      </c>
      <c r="T692" s="3">
        <v>361.92</v>
      </c>
      <c r="U692" s="3">
        <v>0.6</v>
      </c>
      <c r="V692" s="3">
        <v>3980.73</v>
      </c>
      <c r="W692" s="3">
        <v>4659.75</v>
      </c>
      <c r="X692" s="3">
        <v>4290.3599999999997</v>
      </c>
      <c r="Y692" s="3">
        <v>4297.4799999999996</v>
      </c>
      <c r="Z692" s="3">
        <v>339.51</v>
      </c>
      <c r="AA692" s="4">
        <v>5.11E-2</v>
      </c>
      <c r="AB692" s="4">
        <v>4.1217229999999999E-3</v>
      </c>
      <c r="AC692">
        <v>1.1476266666666668</v>
      </c>
      <c r="AD692" s="15">
        <v>8.7018000000000004</v>
      </c>
      <c r="AE692" s="15">
        <v>3.6692999999999998</v>
      </c>
      <c r="AF692" s="15">
        <f t="shared" si="115"/>
        <v>5.0325000000000006</v>
      </c>
      <c r="AG692" s="15">
        <v>2.5216733333333332</v>
      </c>
      <c r="AH692" s="15">
        <v>66.618804969615027</v>
      </c>
      <c r="AI692" s="2">
        <v>33.381195030384973</v>
      </c>
      <c r="AJ692" s="1">
        <f t="shared" si="116"/>
        <v>1.6690597515192487</v>
      </c>
      <c r="AK692" s="13">
        <v>0.1011</v>
      </c>
      <c r="AL692" s="16">
        <v>26.739130429999999</v>
      </c>
      <c r="AM692" s="10">
        <v>1.3369565215000001</v>
      </c>
      <c r="AN692" s="16">
        <v>15.509936444315546</v>
      </c>
      <c r="AO692" s="11">
        <v>1.3399823656979148</v>
      </c>
      <c r="AP692" s="14">
        <v>5.4259199999999987</v>
      </c>
      <c r="AQ692" s="2">
        <f>AP692*((G692*0.01)+(H692*0.01)+(I692*0.01))</f>
        <v>0.32555519999999993</v>
      </c>
      <c r="AR692" s="15">
        <v>1.3922382440827243</v>
      </c>
      <c r="AS692" s="15">
        <v>0.4647457635448613</v>
      </c>
      <c r="AT692" s="15">
        <f t="shared" si="117"/>
        <v>3.5641630298909779E-2</v>
      </c>
      <c r="AU692" s="2">
        <f t="shared" si="118"/>
        <v>2.3748508517142414E-2</v>
      </c>
      <c r="AV692" s="2">
        <f t="shared" si="119"/>
        <v>3.2461978193028345E-3</v>
      </c>
      <c r="AW692" s="3">
        <f t="shared" si="120"/>
        <v>13.669059751519249</v>
      </c>
    </row>
    <row r="693" spans="1:49" s="5" customFormat="1" x14ac:dyDescent="0.2">
      <c r="A693" s="5" t="s">
        <v>480</v>
      </c>
      <c r="B693" s="5" t="s">
        <v>481</v>
      </c>
      <c r="C693" s="5" t="s">
        <v>769</v>
      </c>
      <c r="D693" s="5" t="s">
        <v>773</v>
      </c>
      <c r="E693" s="13" t="s">
        <v>771</v>
      </c>
      <c r="F693" s="5">
        <v>330</v>
      </c>
      <c r="G693" s="14">
        <v>2.4</v>
      </c>
      <c r="H693" s="14">
        <v>2.5</v>
      </c>
      <c r="I693" s="14">
        <v>1.2</v>
      </c>
      <c r="J693">
        <v>2.74</v>
      </c>
      <c r="K693">
        <v>3.94</v>
      </c>
      <c r="L693">
        <v>3.34</v>
      </c>
      <c r="M693">
        <v>0.22</v>
      </c>
      <c r="N693" s="14">
        <v>362.73529411764702</v>
      </c>
      <c r="O693" s="14">
        <v>363.935294117647</v>
      </c>
      <c r="P693" s="14">
        <v>363.33529411764698</v>
      </c>
      <c r="Q693" s="14">
        <v>362.73529411764702</v>
      </c>
      <c r="R693" s="14">
        <v>363.935294117647</v>
      </c>
      <c r="S693" s="14">
        <v>363.33529411764698</v>
      </c>
      <c r="T693" s="3">
        <v>363.34</v>
      </c>
      <c r="U693" s="3">
        <v>0.6</v>
      </c>
      <c r="V693" s="3">
        <v>4007.44</v>
      </c>
      <c r="W693" s="3">
        <v>4680.04</v>
      </c>
      <c r="X693" s="3">
        <v>4321.63</v>
      </c>
      <c r="Y693" s="3">
        <v>4325.2299999999996</v>
      </c>
      <c r="Z693" s="3">
        <v>336.3</v>
      </c>
      <c r="AA693" s="4">
        <v>5.1499999999999997E-2</v>
      </c>
      <c r="AB693" s="4">
        <v>4.0893279999999997E-3</v>
      </c>
      <c r="AC693">
        <v>1.1476266666666668</v>
      </c>
      <c r="AD693" s="15">
        <v>8.6864000000000008</v>
      </c>
      <c r="AE693" s="15">
        <v>3.6215999999999999</v>
      </c>
      <c r="AF693" s="15">
        <f t="shared" si="115"/>
        <v>5.0648000000000009</v>
      </c>
      <c r="AG693" s="15">
        <v>2.4739733333333334</v>
      </c>
      <c r="AH693" s="15">
        <v>67.18334370932142</v>
      </c>
      <c r="AI693" s="2">
        <v>32.81665629067858</v>
      </c>
      <c r="AJ693" s="1">
        <f t="shared" si="116"/>
        <v>1.640832814533929</v>
      </c>
      <c r="AK693" s="13">
        <v>0.1946</v>
      </c>
      <c r="AL693" s="16">
        <v>17.33220051</v>
      </c>
      <c r="AM693" s="10">
        <v>0.86661002549999999</v>
      </c>
      <c r="AN693" s="16">
        <v>10.05348057424594</v>
      </c>
      <c r="AO693" s="11">
        <v>0.87127087423895366</v>
      </c>
      <c r="AP693" s="14">
        <v>5.6543550000000007</v>
      </c>
      <c r="AQ693" s="2">
        <f>AP693*((G693*0.01)+(H693*0.01)+(I693*0.01))</f>
        <v>0.34491565500000004</v>
      </c>
      <c r="AR693" s="15">
        <v>1.3332684865618329</v>
      </c>
      <c r="AS693" s="15">
        <v>0.43753413666692897</v>
      </c>
      <c r="AT693" s="15">
        <f t="shared" si="117"/>
        <v>3.3868786025901369E-2</v>
      </c>
      <c r="AU693" s="2">
        <f t="shared" si="118"/>
        <v>2.253300803834684E-2</v>
      </c>
      <c r="AV693" s="2">
        <f t="shared" si="119"/>
        <v>3.1187559706730775E-3</v>
      </c>
      <c r="AW693" s="3">
        <f t="shared" si="120"/>
        <v>13.840832814533929</v>
      </c>
    </row>
    <row r="694" spans="1:49" s="5" customFormat="1" x14ac:dyDescent="0.2">
      <c r="A694" s="5" t="s">
        <v>480</v>
      </c>
      <c r="B694" s="5" t="s">
        <v>481</v>
      </c>
      <c r="C694" s="5" t="s">
        <v>769</v>
      </c>
      <c r="D694" s="5" t="s">
        <v>774</v>
      </c>
      <c r="E694" s="13" t="s">
        <v>771</v>
      </c>
      <c r="F694" s="5">
        <v>331</v>
      </c>
      <c r="G694" s="14">
        <v>2.4</v>
      </c>
      <c r="H694" s="14">
        <v>2.4</v>
      </c>
      <c r="I694" s="14">
        <v>1.2</v>
      </c>
      <c r="J694">
        <v>4.16</v>
      </c>
      <c r="K694">
        <v>5.36</v>
      </c>
      <c r="L694">
        <v>4.76</v>
      </c>
      <c r="M694">
        <v>0.22</v>
      </c>
      <c r="N694" s="14">
        <v>364.15294117647051</v>
      </c>
      <c r="O694" s="14">
        <v>365.35294117647049</v>
      </c>
      <c r="P694" s="14">
        <v>364.75294117647047</v>
      </c>
      <c r="Q694" s="14">
        <v>364.15294117647051</v>
      </c>
      <c r="R694" s="14">
        <v>365.35294117647049</v>
      </c>
      <c r="S694" s="14">
        <v>364.75294117647047</v>
      </c>
      <c r="T694" s="3">
        <v>364.75</v>
      </c>
      <c r="U694" s="3">
        <v>0.6</v>
      </c>
      <c r="V694" s="3">
        <v>4024.11</v>
      </c>
      <c r="W694" s="3">
        <v>4700.6899999999996</v>
      </c>
      <c r="X694" s="3">
        <v>4351.6400000000003</v>
      </c>
      <c r="Y694" s="3">
        <v>4352.78</v>
      </c>
      <c r="Z694" s="3">
        <v>338.29</v>
      </c>
      <c r="AA694" s="4">
        <v>5.0900000000000001E-2</v>
      </c>
      <c r="AB694" s="4">
        <v>4.0395819999999999E-3</v>
      </c>
      <c r="AC694">
        <v>1.1476266666666668</v>
      </c>
      <c r="AD694" s="15">
        <v>7.9505999999999997</v>
      </c>
      <c r="AE694" s="15">
        <v>3.1659999999999999</v>
      </c>
      <c r="AF694" s="15">
        <f t="shared" si="115"/>
        <v>4.7845999999999993</v>
      </c>
      <c r="AG694" s="15">
        <v>2.0183733333333329</v>
      </c>
      <c r="AH694" s="15">
        <v>70.331012126070362</v>
      </c>
      <c r="AI694" s="2">
        <v>29.668987873929638</v>
      </c>
      <c r="AJ694" s="1">
        <f t="shared" si="116"/>
        <v>1.4834493936964819</v>
      </c>
      <c r="AK694" s="13">
        <v>0.13239999999999999</v>
      </c>
      <c r="AL694" s="16">
        <v>30.315789469999999</v>
      </c>
      <c r="AM694" s="10">
        <v>1.5157894734999999</v>
      </c>
      <c r="AN694" s="16">
        <v>17.584564657772621</v>
      </c>
      <c r="AO694" s="11">
        <v>1.5184589977913159</v>
      </c>
      <c r="AP694" s="14">
        <v>5.4259199999999987</v>
      </c>
      <c r="AQ694" s="2">
        <f>AP694*((G694*0.01)+(H694*0.01)+(I694*0.01))</f>
        <v>0.32555519999999993</v>
      </c>
      <c r="AR694" s="15">
        <v>1.2537916764960293</v>
      </c>
      <c r="AS694" s="15">
        <v>0.3719873004639459</v>
      </c>
      <c r="AT694" s="15">
        <f t="shared" si="117"/>
        <v>2.7837481381197075E-2</v>
      </c>
      <c r="AU694" s="2">
        <f t="shared" si="118"/>
        <v>1.8934153593614847E-2</v>
      </c>
      <c r="AV694" s="2">
        <f t="shared" si="119"/>
        <v>2.552977017919822E-3</v>
      </c>
      <c r="AW694" s="3">
        <f t="shared" si="120"/>
        <v>13.483449393696484</v>
      </c>
    </row>
    <row r="695" spans="1:49" s="5" customFormat="1" x14ac:dyDescent="0.2">
      <c r="A695" s="5" t="s">
        <v>480</v>
      </c>
      <c r="B695" s="5" t="s">
        <v>481</v>
      </c>
      <c r="C695" s="5" t="s">
        <v>769</v>
      </c>
      <c r="D695" s="5" t="s">
        <v>775</v>
      </c>
      <c r="E695" s="13" t="s">
        <v>771</v>
      </c>
      <c r="F695" s="5">
        <v>332</v>
      </c>
      <c r="G695" s="14">
        <v>2.2999999999999998</v>
      </c>
      <c r="H695" s="14">
        <v>2.5</v>
      </c>
      <c r="I695" s="14">
        <v>1.1499999999999999</v>
      </c>
      <c r="J695">
        <v>5.58</v>
      </c>
      <c r="K695">
        <v>6.78</v>
      </c>
      <c r="L695">
        <v>6.18</v>
      </c>
      <c r="M695">
        <v>0.22</v>
      </c>
      <c r="N695" s="14">
        <v>365.570588235294</v>
      </c>
      <c r="O695" s="14">
        <v>366.72058823529397</v>
      </c>
      <c r="P695" s="14">
        <v>366.14558823529399</v>
      </c>
      <c r="Q695" s="14">
        <v>365.570588235294</v>
      </c>
      <c r="R695" s="14">
        <v>366.72058823529397</v>
      </c>
      <c r="S695" s="14">
        <v>366.14558823529399</v>
      </c>
      <c r="T695" s="3">
        <v>366.15</v>
      </c>
      <c r="U695" s="3">
        <v>0.57499999999999996</v>
      </c>
      <c r="V695" s="3">
        <v>4044.3</v>
      </c>
      <c r="W695" s="3">
        <v>4723.3599999999997</v>
      </c>
      <c r="X695" s="3">
        <v>4380.62</v>
      </c>
      <c r="Y695" s="3">
        <v>4380.13</v>
      </c>
      <c r="Z695" s="3">
        <v>339.53</v>
      </c>
      <c r="AA695" s="4">
        <v>5.1299999999999998E-2</v>
      </c>
      <c r="AB695" s="4">
        <v>4.0571299999999999E-3</v>
      </c>
      <c r="AC695">
        <v>1.1476266666666668</v>
      </c>
      <c r="AD695" s="15">
        <v>7.5369000000000002</v>
      </c>
      <c r="AE695" s="15">
        <v>2.6936</v>
      </c>
      <c r="AF695" s="15">
        <f t="shared" si="115"/>
        <v>4.8433000000000002</v>
      </c>
      <c r="AG695" s="15">
        <v>1.5459733333333332</v>
      </c>
      <c r="AH695" s="15">
        <v>75.803612513055739</v>
      </c>
      <c r="AI695" s="2">
        <v>24.196387486944261</v>
      </c>
      <c r="AJ695" s="1">
        <f t="shared" si="116"/>
        <v>1.2098193743472132</v>
      </c>
      <c r="AK695" s="13">
        <v>6.8699999999999997E-2</v>
      </c>
      <c r="AL695" s="16">
        <v>43.826655760000001</v>
      </c>
      <c r="AM695" s="10">
        <v>2.191332788</v>
      </c>
      <c r="AN695" s="16">
        <v>25.421494060324829</v>
      </c>
      <c r="AO695" s="11">
        <v>2.1931801995649725</v>
      </c>
      <c r="AP695" s="14">
        <v>5.1998399999999991</v>
      </c>
      <c r="AQ695" s="2">
        <f>AP695*((G695*0.01)+(H695*0.01)+(I695*0.01))</f>
        <v>0.30939047999999991</v>
      </c>
      <c r="AR695" s="15">
        <v>1.2287442177708034</v>
      </c>
      <c r="AS695" s="15">
        <v>0.29731171215524582</v>
      </c>
      <c r="AT695" s="15">
        <f t="shared" si="117"/>
        <v>2.1286981569094705E-2</v>
      </c>
      <c r="AU695" s="2">
        <f t="shared" si="118"/>
        <v>1.5252090833564109E-2</v>
      </c>
      <c r="AV695" s="2">
        <f t="shared" si="119"/>
        <v>1.9995215590916226E-3</v>
      </c>
      <c r="AW695" s="3">
        <f t="shared" si="120"/>
        <v>13.109819374347213</v>
      </c>
    </row>
    <row r="696" spans="1:49" s="5" customFormat="1" x14ac:dyDescent="0.2">
      <c r="A696" s="5" t="s">
        <v>480</v>
      </c>
      <c r="B696" s="5" t="s">
        <v>481</v>
      </c>
      <c r="C696" s="5" t="s">
        <v>769</v>
      </c>
      <c r="D696" s="5" t="s">
        <v>776</v>
      </c>
      <c r="E696" s="13" t="s">
        <v>771</v>
      </c>
      <c r="F696" s="5">
        <v>333</v>
      </c>
      <c r="G696" s="14">
        <v>2.35</v>
      </c>
      <c r="H696" s="14">
        <v>2.25</v>
      </c>
      <c r="I696" s="14">
        <v>1.2</v>
      </c>
      <c r="J696">
        <v>7</v>
      </c>
      <c r="K696">
        <v>8.1999999999999993</v>
      </c>
      <c r="L696">
        <v>7.6</v>
      </c>
      <c r="M696">
        <v>0.22</v>
      </c>
      <c r="N696" s="14">
        <v>366.93823529411748</v>
      </c>
      <c r="O696" s="14">
        <v>368.13823529411746</v>
      </c>
      <c r="P696" s="14">
        <v>367.5382352941175</v>
      </c>
      <c r="Q696" s="14">
        <v>366.93823529411748</v>
      </c>
      <c r="R696" s="14">
        <v>368.13823529411746</v>
      </c>
      <c r="S696" s="14">
        <v>367.5382352941175</v>
      </c>
      <c r="T696" s="3">
        <v>367.54</v>
      </c>
      <c r="U696" s="3">
        <v>0.6</v>
      </c>
      <c r="V696" s="3">
        <v>4059.2</v>
      </c>
      <c r="W696" s="3">
        <v>4758.2299999999996</v>
      </c>
      <c r="X696" s="3">
        <v>4408.16</v>
      </c>
      <c r="Y696" s="3">
        <v>4407.29</v>
      </c>
      <c r="Z696" s="3">
        <v>349.51499999999999</v>
      </c>
      <c r="AA696" s="4">
        <v>5.11E-2</v>
      </c>
      <c r="AB696" s="4">
        <v>4.135845E-3</v>
      </c>
      <c r="AC696">
        <v>1.1476266666666668</v>
      </c>
      <c r="AD696" s="15">
        <v>8.1684999999999999</v>
      </c>
      <c r="AE696" s="15">
        <v>3.3856999999999999</v>
      </c>
      <c r="AF696" s="15">
        <f t="shared" si="115"/>
        <v>4.7827999999999999</v>
      </c>
      <c r="AG696" s="15">
        <v>2.2380733333333334</v>
      </c>
      <c r="AH696" s="15">
        <v>68.122579242278505</v>
      </c>
      <c r="AI696" s="2">
        <v>31.877420757721495</v>
      </c>
      <c r="AJ696" s="1">
        <f t="shared" si="116"/>
        <v>1.5938710378860748</v>
      </c>
      <c r="AK696" s="13">
        <v>0.191</v>
      </c>
      <c r="AL696" s="16">
        <v>21.624948710000002</v>
      </c>
      <c r="AM696" s="10">
        <v>1.0812474355000001</v>
      </c>
      <c r="AN696" s="16">
        <v>12.543473729698377</v>
      </c>
      <c r="AO696" s="11">
        <v>1.0849866435930569</v>
      </c>
      <c r="AP696" s="14">
        <v>4.9831799999999991</v>
      </c>
      <c r="AQ696" s="2">
        <f>AP696*((G696*0.01)+(H696*0.01)+(I696*0.01))</f>
        <v>0.28902443999999994</v>
      </c>
      <c r="AR696" s="15">
        <v>1.4089142542178559</v>
      </c>
      <c r="AS696" s="15">
        <v>0.44912552493253982</v>
      </c>
      <c r="AT696" s="15">
        <f t="shared" si="117"/>
        <v>3.3207762111740861E-2</v>
      </c>
      <c r="AU696" s="2">
        <f t="shared" si="118"/>
        <v>2.2950314324052784E-2</v>
      </c>
      <c r="AV696" s="2">
        <f t="shared" si="119"/>
        <v>3.0280348747050191E-3</v>
      </c>
      <c r="AW696" s="3">
        <f t="shared" si="120"/>
        <v>13.193871037886073</v>
      </c>
    </row>
    <row r="697" spans="1:49" s="5" customFormat="1" x14ac:dyDescent="0.2">
      <c r="A697" s="5" t="s">
        <v>480</v>
      </c>
      <c r="B697" s="5" t="s">
        <v>481</v>
      </c>
      <c r="C697" s="5" t="s">
        <v>769</v>
      </c>
      <c r="D697" s="5" t="s">
        <v>777</v>
      </c>
      <c r="E697" s="13" t="s">
        <v>771</v>
      </c>
      <c r="F697" s="5">
        <v>334</v>
      </c>
      <c r="G697" s="14">
        <v>2.1</v>
      </c>
      <c r="H697" s="14">
        <v>2.35</v>
      </c>
      <c r="I697" s="14">
        <v>1.1000000000000001</v>
      </c>
      <c r="J697">
        <v>8.42</v>
      </c>
      <c r="K697">
        <v>9.52</v>
      </c>
      <c r="L697">
        <v>8.9700000000000006</v>
      </c>
      <c r="M697">
        <v>0.22</v>
      </c>
      <c r="N697" s="14">
        <v>368.35588235294097</v>
      </c>
      <c r="O697" s="14">
        <v>369.45588235294099</v>
      </c>
      <c r="P697" s="14">
        <v>368.90588235294098</v>
      </c>
      <c r="Q697" s="14">
        <v>368.35588235294097</v>
      </c>
      <c r="R697" s="14">
        <v>369.45588235294099</v>
      </c>
      <c r="S697" s="14">
        <v>368.90588235294098</v>
      </c>
      <c r="T697" s="3">
        <v>368.91</v>
      </c>
      <c r="U697" s="3">
        <v>0.55000000000000004</v>
      </c>
      <c r="V697" s="3">
        <v>4074.73</v>
      </c>
      <c r="W697" s="3">
        <v>4794.03</v>
      </c>
      <c r="X697" s="3">
        <v>4432.96</v>
      </c>
      <c r="Y697" s="3">
        <v>4434.05</v>
      </c>
      <c r="Z697" s="3">
        <v>359.65</v>
      </c>
      <c r="AA697" s="4">
        <v>5.16E-2</v>
      </c>
      <c r="AB697" s="4">
        <v>4.262254E-3</v>
      </c>
      <c r="AC697">
        <v>1.1476266666666668</v>
      </c>
      <c r="AD697" s="15">
        <v>7.4490999999999996</v>
      </c>
      <c r="AE697" s="15">
        <v>3.5600999999999998</v>
      </c>
      <c r="AF697" s="15">
        <f t="shared" si="115"/>
        <v>3.8889999999999998</v>
      </c>
      <c r="AG697" s="15">
        <v>2.4124733333333328</v>
      </c>
      <c r="AH697" s="15">
        <v>61.715725740329518</v>
      </c>
      <c r="AI697" s="2">
        <v>38.284274259670482</v>
      </c>
      <c r="AJ697" s="1">
        <f t="shared" si="116"/>
        <v>1.9142137129835242</v>
      </c>
      <c r="AK697" s="13">
        <v>9.0999999999999998E-2</v>
      </c>
      <c r="AL697" s="16">
        <v>22.55319149</v>
      </c>
      <c r="AM697" s="10">
        <v>1.1276595745</v>
      </c>
      <c r="AN697" s="16">
        <v>13.081897616009281</v>
      </c>
      <c r="AO697" s="11">
        <v>1.1312453827360007</v>
      </c>
      <c r="AP697" s="14">
        <v>4.2748646875000009</v>
      </c>
      <c r="AQ697" s="2">
        <f>AP697*((G697*0.01)+(H697*0.01)+(I697*0.01))</f>
        <v>0.23725499015625007</v>
      </c>
      <c r="AR697" s="15">
        <v>1.4740755074094569</v>
      </c>
      <c r="AS697" s="15">
        <v>0.5643391100512658</v>
      </c>
      <c r="AT697" s="15">
        <f t="shared" si="117"/>
        <v>4.2123477240175768E-2</v>
      </c>
      <c r="AU697" s="2">
        <f t="shared" si="118"/>
        <v>2.9119898078645314E-2</v>
      </c>
      <c r="AV697" s="2">
        <f t="shared" si="119"/>
        <v>3.7897257689578842E-3</v>
      </c>
      <c r="AW697" s="3">
        <f t="shared" si="120"/>
        <v>13.014213712983524</v>
      </c>
    </row>
    <row r="698" spans="1:49" s="5" customFormat="1" x14ac:dyDescent="0.2">
      <c r="A698" s="5" t="s">
        <v>480</v>
      </c>
      <c r="B698" s="5" t="s">
        <v>481</v>
      </c>
      <c r="C698" s="5" t="s">
        <v>769</v>
      </c>
      <c r="D698" s="5" t="s">
        <v>778</v>
      </c>
      <c r="E698" s="13" t="s">
        <v>771</v>
      </c>
      <c r="F698" s="5">
        <v>335</v>
      </c>
      <c r="G698" s="14">
        <v>2.15</v>
      </c>
      <c r="H698" s="14">
        <v>2.4</v>
      </c>
      <c r="I698" s="14">
        <v>1.1000000000000001</v>
      </c>
      <c r="J698">
        <v>9.74</v>
      </c>
      <c r="K698">
        <v>10.84</v>
      </c>
      <c r="L698">
        <v>10.29</v>
      </c>
      <c r="M698">
        <v>0.22</v>
      </c>
      <c r="N698" s="14">
        <v>369.67352941176449</v>
      </c>
      <c r="O698" s="14">
        <v>370.77352941176451</v>
      </c>
      <c r="P698" s="14">
        <v>370.2235294117645</v>
      </c>
      <c r="Q698" s="14">
        <v>369.67352941176449</v>
      </c>
      <c r="R698" s="14">
        <v>370.77352941176451</v>
      </c>
      <c r="S698" s="14">
        <v>370.2235294117645</v>
      </c>
      <c r="T698" s="3">
        <v>370.22</v>
      </c>
      <c r="U698" s="3">
        <v>0.55000000000000004</v>
      </c>
      <c r="V698" s="3">
        <v>4092.48</v>
      </c>
      <c r="W698" s="3">
        <v>4836.8500000000004</v>
      </c>
      <c r="X698" s="3">
        <v>4458.1499999999996</v>
      </c>
      <c r="Y698" s="3">
        <v>4459.6099999999997</v>
      </c>
      <c r="Z698" s="3">
        <v>372.185</v>
      </c>
      <c r="AA698" s="4">
        <v>5.16E-2</v>
      </c>
      <c r="AB698" s="4">
        <v>4.3830309999999999E-3</v>
      </c>
      <c r="AC698">
        <v>1.1476266666666668</v>
      </c>
      <c r="AD698" s="15">
        <v>8.41</v>
      </c>
      <c r="AE698" s="15">
        <v>3.7103000000000002</v>
      </c>
      <c r="AF698" s="15">
        <f t="shared" si="115"/>
        <v>4.6997</v>
      </c>
      <c r="AG698" s="15">
        <v>2.5626733333333336</v>
      </c>
      <c r="AH698" s="15">
        <v>64.713004747759229</v>
      </c>
      <c r="AI698" s="2">
        <v>35.286995252240771</v>
      </c>
      <c r="AJ698" s="1">
        <f t="shared" si="116"/>
        <v>1.7643497626120386</v>
      </c>
      <c r="AK698" s="13">
        <v>0.14729999999999999</v>
      </c>
      <c r="AL698" s="16">
        <v>20.50728548</v>
      </c>
      <c r="AM698" s="10">
        <v>1.025364274</v>
      </c>
      <c r="AN698" s="16">
        <v>11.895177192575407</v>
      </c>
      <c r="AO698" s="11">
        <v>1.0293065113927664</v>
      </c>
      <c r="AP698" s="14">
        <v>4.4691521875000007</v>
      </c>
      <c r="AQ698" s="2">
        <f>AP698*((G698*0.01)+(H698*0.01)+(I698*0.01))</f>
        <v>0.25250709859375003</v>
      </c>
      <c r="AR698" s="15">
        <v>1.6250002301657651</v>
      </c>
      <c r="AS698" s="15">
        <v>0.57341375406749517</v>
      </c>
      <c r="AT698" s="15">
        <f t="shared" si="117"/>
        <v>4.2514901313488104E-2</v>
      </c>
      <c r="AU698" s="2">
        <f t="shared" si="118"/>
        <v>2.9588149709882751E-2</v>
      </c>
      <c r="AV698" s="2">
        <f t="shared" si="119"/>
        <v>3.8654993663843613E-3</v>
      </c>
      <c r="AW698" s="3">
        <f t="shared" si="120"/>
        <v>13.064349762612038</v>
      </c>
    </row>
    <row r="699" spans="1:49" s="5" customFormat="1" x14ac:dyDescent="0.2">
      <c r="A699" s="5" t="s">
        <v>480</v>
      </c>
      <c r="B699" s="5" t="s">
        <v>481</v>
      </c>
      <c r="C699" s="5" t="s">
        <v>769</v>
      </c>
      <c r="D699" s="5" t="s">
        <v>779</v>
      </c>
      <c r="E699" s="13" t="s">
        <v>771</v>
      </c>
      <c r="F699" s="5">
        <v>336</v>
      </c>
      <c r="G699" s="14">
        <v>2.2000000000000002</v>
      </c>
      <c r="H699" s="14">
        <v>2.2000000000000002</v>
      </c>
      <c r="I699" s="14">
        <v>1.2</v>
      </c>
      <c r="J699">
        <v>11.06</v>
      </c>
      <c r="K699">
        <v>12.26</v>
      </c>
      <c r="L699">
        <v>11.66</v>
      </c>
      <c r="M699">
        <v>0.22</v>
      </c>
      <c r="N699" s="14">
        <v>370.99117647058802</v>
      </c>
      <c r="O699" s="14">
        <v>372.191176470588</v>
      </c>
      <c r="P699" s="14">
        <v>371.59117647058804</v>
      </c>
      <c r="Q699" s="14">
        <v>370.99117647058802</v>
      </c>
      <c r="R699" s="14">
        <v>372.191176470588</v>
      </c>
      <c r="S699" s="14">
        <v>371.59117647058804</v>
      </c>
      <c r="T699" s="3">
        <v>371.59</v>
      </c>
      <c r="U699" s="3">
        <v>0.6</v>
      </c>
      <c r="V699" s="3">
        <v>4123.68</v>
      </c>
      <c r="W699" s="3">
        <v>4852.51</v>
      </c>
      <c r="X699" s="3">
        <v>4484.41</v>
      </c>
      <c r="Y699" s="3">
        <v>4486.12</v>
      </c>
      <c r="Z699" s="3">
        <v>364.41500000000002</v>
      </c>
      <c r="AA699" s="4">
        <v>5.1799999999999999E-2</v>
      </c>
      <c r="AB699" s="4">
        <v>4.291441E-3</v>
      </c>
      <c r="AC699">
        <v>1.1476266666666668</v>
      </c>
      <c r="AD699" s="15">
        <v>7.3525</v>
      </c>
      <c r="AE699" s="15">
        <v>3.2012</v>
      </c>
      <c r="AF699" s="15">
        <f t="shared" si="115"/>
        <v>4.1513</v>
      </c>
      <c r="AG699" s="15">
        <v>2.0535733333333335</v>
      </c>
      <c r="AH699" s="15">
        <v>66.903863737213015</v>
      </c>
      <c r="AI699" s="2">
        <v>33.096136262786985</v>
      </c>
      <c r="AJ699" s="1">
        <f t="shared" si="116"/>
        <v>1.6548068131393494</v>
      </c>
      <c r="AK699" s="13">
        <v>0.27700000000000002</v>
      </c>
      <c r="AL699" s="16">
        <v>22.256525400000001</v>
      </c>
      <c r="AM699" s="10">
        <v>1.11282627</v>
      </c>
      <c r="AN699" s="16">
        <v>12.909817517401393</v>
      </c>
      <c r="AO699" s="11">
        <v>1.1164597203670685</v>
      </c>
      <c r="AP699" s="14">
        <v>4.5592800000000011</v>
      </c>
      <c r="AQ699" s="2">
        <f>AP699*((G699*0.01)+(H699*0.01)+(I699*0.01))</f>
        <v>0.2553196800000001</v>
      </c>
      <c r="AR699" s="15">
        <v>1.3609327203710524</v>
      </c>
      <c r="AS699" s="15">
        <v>0.4504161475788574</v>
      </c>
      <c r="AT699" s="15">
        <f t="shared" si="117"/>
        <v>3.2676821362030734E-2</v>
      </c>
      <c r="AU699" s="2">
        <f t="shared" si="118"/>
        <v>2.3331556444584813E-2</v>
      </c>
      <c r="AV699" s="2">
        <f t="shared" si="119"/>
        <v>2.9992265074499421E-3</v>
      </c>
      <c r="AW699" s="3">
        <f t="shared" si="120"/>
        <v>12.854806813139351</v>
      </c>
    </row>
    <row r="700" spans="1:49" s="5" customFormat="1" x14ac:dyDescent="0.2">
      <c r="A700" s="5" t="s">
        <v>480</v>
      </c>
      <c r="B700" s="5" t="s">
        <v>481</v>
      </c>
      <c r="C700" s="5" t="s">
        <v>769</v>
      </c>
      <c r="D700" s="5" t="s">
        <v>780</v>
      </c>
      <c r="E700" s="13" t="s">
        <v>771</v>
      </c>
      <c r="F700" s="5">
        <v>337</v>
      </c>
      <c r="G700" s="14">
        <v>2.15</v>
      </c>
      <c r="H700" s="14">
        <v>2.15</v>
      </c>
      <c r="I700" s="14">
        <v>1.25</v>
      </c>
      <c r="J700">
        <v>12.48</v>
      </c>
      <c r="K700">
        <v>13.78</v>
      </c>
      <c r="L700">
        <v>13.13</v>
      </c>
      <c r="M700">
        <v>0.22</v>
      </c>
      <c r="N700" s="14">
        <v>372.40882352941151</v>
      </c>
      <c r="O700" s="14">
        <v>373.65882352941151</v>
      </c>
      <c r="P700" s="14">
        <v>373.03382352941151</v>
      </c>
      <c r="Q700" s="14">
        <v>372.40882352941151</v>
      </c>
      <c r="R700" s="14">
        <v>373.65882352941151</v>
      </c>
      <c r="S700" s="14">
        <v>373.03382352941151</v>
      </c>
      <c r="T700" s="3">
        <v>373.03</v>
      </c>
      <c r="U700" s="3">
        <v>0.625</v>
      </c>
      <c r="V700" s="3">
        <v>4153.8</v>
      </c>
      <c r="W700" s="3">
        <v>4867.9799999999996</v>
      </c>
      <c r="X700" s="3">
        <v>4513.68</v>
      </c>
      <c r="Y700" s="3">
        <v>4513.99</v>
      </c>
      <c r="Z700" s="3">
        <v>357.09</v>
      </c>
      <c r="AA700" s="4">
        <v>5.16E-2</v>
      </c>
      <c r="AB700" s="4">
        <v>4.1683960000000004E-3</v>
      </c>
      <c r="AC700">
        <v>1.1476266666666668</v>
      </c>
      <c r="AD700" s="15">
        <v>7.7388000000000003</v>
      </c>
      <c r="AE700" s="15">
        <v>3.5335000000000001</v>
      </c>
      <c r="AF700" s="15">
        <f t="shared" si="115"/>
        <v>4.2053000000000003</v>
      </c>
      <c r="AG700" s="15">
        <v>2.3858733333333335</v>
      </c>
      <c r="AH700" s="15">
        <v>63.801993777536822</v>
      </c>
      <c r="AI700" s="2">
        <v>36.198006222463178</v>
      </c>
      <c r="AJ700" s="1">
        <f t="shared" si="116"/>
        <v>1.8099003111231591</v>
      </c>
      <c r="AK700" s="13">
        <v>0.20860000000000001</v>
      </c>
      <c r="AL700" s="16">
        <v>23.449541279999998</v>
      </c>
      <c r="AM700" s="10">
        <v>1.172477064</v>
      </c>
      <c r="AN700" s="16">
        <v>13.601822088167053</v>
      </c>
      <c r="AO700" s="11">
        <v>1.1759262160552677</v>
      </c>
      <c r="AP700" s="14">
        <v>4.5358281250000001</v>
      </c>
      <c r="AQ700" s="2">
        <f>AP700*((G700*0.01)+(H700*0.01)+(I700*0.01))</f>
        <v>0.25173846093749996</v>
      </c>
      <c r="AR700" s="15">
        <v>1.4531356020756041</v>
      </c>
      <c r="AS700" s="15">
        <v>0.52600611566015487</v>
      </c>
      <c r="AT700" s="15">
        <f t="shared" si="117"/>
        <v>3.8713525742998585E-2</v>
      </c>
      <c r="AU700" s="2">
        <f t="shared" si="118"/>
        <v>2.7141915568063991E-2</v>
      </c>
      <c r="AV700" s="2">
        <f t="shared" si="119"/>
        <v>3.5039942423662775E-3</v>
      </c>
      <c r="AW700" s="3">
        <f t="shared" si="120"/>
        <v>12.909900311123156</v>
      </c>
    </row>
    <row r="701" spans="1:49" s="5" customFormat="1" x14ac:dyDescent="0.2">
      <c r="A701" s="5" t="s">
        <v>480</v>
      </c>
      <c r="B701" s="5" t="s">
        <v>481</v>
      </c>
      <c r="C701" s="5" t="s">
        <v>769</v>
      </c>
      <c r="D701" s="5" t="s">
        <v>781</v>
      </c>
      <c r="E701" s="13" t="s">
        <v>771</v>
      </c>
      <c r="F701" s="5">
        <v>338</v>
      </c>
      <c r="G701" s="14">
        <v>2.1</v>
      </c>
      <c r="H701" s="14">
        <v>2.4500000000000002</v>
      </c>
      <c r="I701" s="14">
        <v>1.1499999999999999</v>
      </c>
      <c r="J701">
        <v>14</v>
      </c>
      <c r="K701">
        <v>15.2</v>
      </c>
      <c r="L701">
        <v>14.6</v>
      </c>
      <c r="M701">
        <v>0.22</v>
      </c>
      <c r="N701" s="14">
        <v>373.87647058823501</v>
      </c>
      <c r="O701" s="14">
        <v>375.02647058823499</v>
      </c>
      <c r="P701" s="14">
        <v>374.451470588235</v>
      </c>
      <c r="Q701" s="14">
        <v>373.87647058823501</v>
      </c>
      <c r="R701" s="14">
        <v>375.02647058823499</v>
      </c>
      <c r="S701" s="14">
        <v>374.451470588235</v>
      </c>
      <c r="T701" s="3">
        <v>374.45</v>
      </c>
      <c r="U701" s="3">
        <v>0.57499999999999996</v>
      </c>
      <c r="V701" s="3">
        <v>4179.07</v>
      </c>
      <c r="W701" s="3">
        <v>4886.8999999999996</v>
      </c>
      <c r="X701" s="3">
        <v>4542.33</v>
      </c>
      <c r="Y701" s="3">
        <v>4541.47</v>
      </c>
      <c r="Z701" s="3">
        <v>353.91500000000002</v>
      </c>
      <c r="AA701" s="4">
        <v>5.1799999999999999E-2</v>
      </c>
      <c r="AB701" s="4">
        <v>4.1162969999999997E-3</v>
      </c>
      <c r="AC701">
        <v>1.1476266666666668</v>
      </c>
      <c r="AD701" s="15">
        <v>8.2090999999999994</v>
      </c>
      <c r="AE701" s="15">
        <v>3.73</v>
      </c>
      <c r="AF701" s="15">
        <f t="shared" si="115"/>
        <v>4.479099999999999</v>
      </c>
      <c r="AG701" s="15">
        <v>2.582373333333333</v>
      </c>
      <c r="AH701" s="15">
        <v>63.430105709762174</v>
      </c>
      <c r="AI701" s="2">
        <v>36.569894290237826</v>
      </c>
      <c r="AJ701" s="1">
        <f t="shared" si="116"/>
        <v>1.8284947145118915</v>
      </c>
      <c r="AK701" s="13">
        <v>0.1168</v>
      </c>
      <c r="AL701" s="16">
        <v>24.303305250000001</v>
      </c>
      <c r="AM701" s="10">
        <v>1.2151652625000002</v>
      </c>
      <c r="AN701" s="16">
        <v>14.097044808584688</v>
      </c>
      <c r="AO701" s="11">
        <v>1.2184935843847085</v>
      </c>
      <c r="AP701" s="14">
        <v>4.6722954687500007</v>
      </c>
      <c r="AQ701" s="2">
        <f>AP701*((G701*0.01)+(H701*0.01)+(I701*0.01))</f>
        <v>0.26632084171875003</v>
      </c>
      <c r="AR701" s="15">
        <v>1.5113499093888683</v>
      </c>
      <c r="AS701" s="15">
        <v>0.55269906421911419</v>
      </c>
      <c r="AT701" s="15">
        <f t="shared" si="117"/>
        <v>4.1609919836892703E-2</v>
      </c>
      <c r="AU701" s="2">
        <f t="shared" si="118"/>
        <v>2.8629811526550114E-2</v>
      </c>
      <c r="AV701" s="2">
        <f t="shared" si="119"/>
        <v>3.7872931045643985E-3</v>
      </c>
      <c r="AW701" s="3">
        <f t="shared" si="120"/>
        <v>13.228494714511893</v>
      </c>
    </row>
    <row r="702" spans="1:49" s="5" customFormat="1" x14ac:dyDescent="0.2">
      <c r="A702" s="5" t="s">
        <v>480</v>
      </c>
      <c r="B702" s="5" t="s">
        <v>481</v>
      </c>
      <c r="C702" s="5" t="s">
        <v>769</v>
      </c>
      <c r="D702" s="5" t="s">
        <v>782</v>
      </c>
      <c r="E702" s="13" t="s">
        <v>771</v>
      </c>
      <c r="F702" s="5">
        <v>339</v>
      </c>
      <c r="G702" s="14">
        <v>2.2000000000000002</v>
      </c>
      <c r="H702" s="14">
        <v>2.2000000000000002</v>
      </c>
      <c r="I702" s="14">
        <v>1.2</v>
      </c>
      <c r="J702">
        <v>15.42</v>
      </c>
      <c r="K702">
        <v>16.62</v>
      </c>
      <c r="L702">
        <v>16.02</v>
      </c>
      <c r="M702">
        <v>0.22</v>
      </c>
      <c r="N702" s="14">
        <v>375.24411764705849</v>
      </c>
      <c r="O702" s="14">
        <v>376.44411764705848</v>
      </c>
      <c r="P702" s="14">
        <v>375.84411764705851</v>
      </c>
      <c r="Q702" s="14">
        <v>375.24411764705849</v>
      </c>
      <c r="R702" s="14">
        <v>376.44411764705848</v>
      </c>
      <c r="S702" s="14">
        <v>375.84411764705851</v>
      </c>
      <c r="T702" s="3">
        <v>375.84</v>
      </c>
      <c r="U702" s="3">
        <v>0.6</v>
      </c>
      <c r="V702" s="3">
        <v>4201.93</v>
      </c>
      <c r="W702" s="3">
        <v>4905.37</v>
      </c>
      <c r="X702" s="3">
        <v>4571.59</v>
      </c>
      <c r="Y702" s="3">
        <v>4568.38</v>
      </c>
      <c r="Z702" s="3">
        <v>351.72</v>
      </c>
      <c r="AA702" s="4">
        <v>5.1400000000000001E-2</v>
      </c>
      <c r="AB702" s="4">
        <v>4.0393470000000004E-3</v>
      </c>
      <c r="AC702">
        <v>1.1476266666666668</v>
      </c>
      <c r="AD702" s="15">
        <v>7.4241000000000001</v>
      </c>
      <c r="AE702" s="15">
        <v>3.2054999999999998</v>
      </c>
      <c r="AF702" s="15">
        <f t="shared" si="115"/>
        <v>4.2186000000000003</v>
      </c>
      <c r="AG702" s="15">
        <v>2.0578733333333332</v>
      </c>
      <c r="AH702" s="15">
        <v>67.212904061835161</v>
      </c>
      <c r="AI702" s="2">
        <v>32.787095938164839</v>
      </c>
      <c r="AJ702" s="1">
        <f t="shared" si="116"/>
        <v>1.639354796908242</v>
      </c>
      <c r="AK702" s="13">
        <v>0.15379999999999999</v>
      </c>
      <c r="AL702" s="16">
        <v>29.026303649999999</v>
      </c>
      <c r="AM702" s="10">
        <v>1.4513151825000001</v>
      </c>
      <c r="AN702" s="16">
        <v>16.836603045243621</v>
      </c>
      <c r="AO702" s="11">
        <v>1.4541030771424042</v>
      </c>
      <c r="AP702" s="14">
        <v>4.5592800000000011</v>
      </c>
      <c r="AQ702" s="2">
        <f>AP702*((G702*0.01)+(H702*0.01)+(I702*0.01))</f>
        <v>0.2553196800000001</v>
      </c>
      <c r="AR702" s="15">
        <v>1.3766369543729124</v>
      </c>
      <c r="AS702" s="15">
        <v>0.45135927895047745</v>
      </c>
      <c r="AT702" s="15">
        <f t="shared" si="117"/>
        <v>3.2675499611991843E-2</v>
      </c>
      <c r="AU702" s="2">
        <f t="shared" si="118"/>
        <v>2.319986693805454E-2</v>
      </c>
      <c r="AV702" s="2">
        <f t="shared" si="119"/>
        <v>2.978713228587435E-3</v>
      </c>
      <c r="AW702" s="3">
        <f t="shared" si="120"/>
        <v>12.839354796908243</v>
      </c>
    </row>
    <row r="703" spans="1:49" s="5" customFormat="1" x14ac:dyDescent="0.2">
      <c r="A703" s="5" t="s">
        <v>480</v>
      </c>
      <c r="B703" s="5" t="s">
        <v>481</v>
      </c>
      <c r="C703" s="5" t="s">
        <v>769</v>
      </c>
      <c r="D703" s="5" t="s">
        <v>783</v>
      </c>
      <c r="E703" s="13" t="s">
        <v>771</v>
      </c>
      <c r="F703" s="5">
        <v>340</v>
      </c>
      <c r="G703" s="14">
        <v>2.15</v>
      </c>
      <c r="H703" s="14">
        <v>2.2000000000000002</v>
      </c>
      <c r="I703" s="14">
        <v>1.25</v>
      </c>
      <c r="J703">
        <v>16.84</v>
      </c>
      <c r="K703">
        <v>18.14</v>
      </c>
      <c r="L703">
        <v>17.489999999999998</v>
      </c>
      <c r="M703">
        <v>0.22</v>
      </c>
      <c r="N703" s="14">
        <v>376.66176470588198</v>
      </c>
      <c r="O703" s="14">
        <v>377.91176470588198</v>
      </c>
      <c r="P703" s="14">
        <v>377.28676470588198</v>
      </c>
      <c r="Q703" s="14">
        <v>376.66176470588198</v>
      </c>
      <c r="R703" s="14">
        <v>377.91176470588198</v>
      </c>
      <c r="S703" s="14">
        <v>377.28676470588198</v>
      </c>
      <c r="T703" s="3">
        <v>377.29</v>
      </c>
      <c r="U703" s="3">
        <v>0.625</v>
      </c>
      <c r="V703" s="3">
        <v>4222.96</v>
      </c>
      <c r="W703" s="3">
        <v>4929.93</v>
      </c>
      <c r="X703" s="3">
        <v>4602.01</v>
      </c>
      <c r="Y703" s="3">
        <v>4596.4399999999996</v>
      </c>
      <c r="Z703" s="3">
        <v>353.48500000000001</v>
      </c>
      <c r="AA703" s="4">
        <v>5.1799999999999999E-2</v>
      </c>
      <c r="AB703" s="4">
        <v>4.069441E-3</v>
      </c>
      <c r="AC703">
        <v>1.1476266666666668</v>
      </c>
      <c r="AD703" s="15">
        <v>7.7969999999999997</v>
      </c>
      <c r="AE703" s="15">
        <v>2.9104000000000001</v>
      </c>
      <c r="AF703" s="15">
        <f t="shared" si="115"/>
        <v>4.8865999999999996</v>
      </c>
      <c r="AG703" s="15">
        <v>1.7627733333333333</v>
      </c>
      <c r="AH703" s="15">
        <v>73.489632105682134</v>
      </c>
      <c r="AI703" s="2">
        <v>26.510367894317866</v>
      </c>
      <c r="AJ703" s="1">
        <f t="shared" si="116"/>
        <v>1.3255183947158935</v>
      </c>
      <c r="AK703" s="13">
        <v>0.14879999999999999</v>
      </c>
      <c r="AL703" s="16">
        <v>30.46728972</v>
      </c>
      <c r="AM703" s="10">
        <v>1.5233644860000002</v>
      </c>
      <c r="AN703" s="16">
        <v>17.672441832946635</v>
      </c>
      <c r="AO703" s="11">
        <v>1.5260207591006241</v>
      </c>
      <c r="AP703" s="14">
        <v>4.6419257812499986</v>
      </c>
      <c r="AQ703" s="2">
        <f>AP703*((G703*0.01)+(H703*0.01)+(I703*0.01))</f>
        <v>0.25994784374999991</v>
      </c>
      <c r="AR703" s="15">
        <v>1.4324600708162896</v>
      </c>
      <c r="AS703" s="15">
        <v>0.3797504347126045</v>
      </c>
      <c r="AT703" s="15">
        <f t="shared" si="117"/>
        <v>2.6299686210034992E-2</v>
      </c>
      <c r="AU703" s="2">
        <f t="shared" si="118"/>
        <v>1.9671072518112911E-2</v>
      </c>
      <c r="AV703" s="2">
        <f t="shared" si="119"/>
        <v>2.4639038066941355E-3</v>
      </c>
      <c r="AW703" s="3">
        <f t="shared" si="120"/>
        <v>12.525518394715892</v>
      </c>
    </row>
    <row r="704" spans="1:49" s="5" customFormat="1" x14ac:dyDescent="0.2">
      <c r="A704" s="5" t="s">
        <v>480</v>
      </c>
      <c r="B704" s="5" t="s">
        <v>481</v>
      </c>
      <c r="C704" s="5" t="s">
        <v>769</v>
      </c>
      <c r="D704" s="5" t="s">
        <v>784</v>
      </c>
      <c r="E704" s="13" t="s">
        <v>771</v>
      </c>
      <c r="F704" s="5">
        <v>341</v>
      </c>
      <c r="G704" s="14">
        <v>2.2000000000000002</v>
      </c>
      <c r="H704" s="14">
        <v>2</v>
      </c>
      <c r="I704" s="14">
        <v>1.3</v>
      </c>
      <c r="J704">
        <v>18.36</v>
      </c>
      <c r="K704">
        <v>19.66</v>
      </c>
      <c r="L704">
        <v>19.010000000000002</v>
      </c>
      <c r="M704">
        <v>0.22</v>
      </c>
      <c r="N704" s="14">
        <v>378.12941176470548</v>
      </c>
      <c r="O704" s="14">
        <v>379.42941176470549</v>
      </c>
      <c r="P704" s="14">
        <v>378.77941176470551</v>
      </c>
      <c r="Q704" s="14">
        <v>378.12941176470548</v>
      </c>
      <c r="R704" s="14">
        <v>379.42941176470549</v>
      </c>
      <c r="S704" s="14">
        <v>378.77941176470551</v>
      </c>
      <c r="T704" s="3">
        <v>378.78</v>
      </c>
      <c r="U704" s="3">
        <v>0.65</v>
      </c>
      <c r="V704" s="3">
        <v>4241.78</v>
      </c>
      <c r="W704" s="3">
        <v>4959.82</v>
      </c>
      <c r="X704" s="3">
        <v>4635.49</v>
      </c>
      <c r="Y704" s="3">
        <v>4625.28</v>
      </c>
      <c r="Z704" s="3">
        <v>359.02</v>
      </c>
      <c r="AA704" s="4">
        <v>5.2400000000000002E-2</v>
      </c>
      <c r="AB704" s="4">
        <v>4.1572739999999999E-3</v>
      </c>
      <c r="AC704">
        <v>1.1476266666666668</v>
      </c>
      <c r="AD704" s="15">
        <v>7.5048000000000004</v>
      </c>
      <c r="AE704" s="15">
        <v>3.6320999999999999</v>
      </c>
      <c r="AF704" s="15">
        <f t="shared" si="115"/>
        <v>3.8727000000000005</v>
      </c>
      <c r="AG704" s="15">
        <v>2.4844733333333329</v>
      </c>
      <c r="AH704" s="15">
        <v>60.918584360344653</v>
      </c>
      <c r="AI704" s="2">
        <v>39.081415639655347</v>
      </c>
      <c r="AJ704" s="1">
        <f t="shared" si="116"/>
        <v>1.9540707819827674</v>
      </c>
      <c r="AK704" s="13">
        <v>0.1933</v>
      </c>
      <c r="AL704" s="16">
        <v>28.986039680000001</v>
      </c>
      <c r="AM704" s="10">
        <v>1.4493019840000001</v>
      </c>
      <c r="AN704" s="16">
        <v>16.813248074245941</v>
      </c>
      <c r="AO704" s="11">
        <v>1.4520937438148878</v>
      </c>
      <c r="AP704" s="14">
        <v>4.5004050000000007</v>
      </c>
      <c r="AQ704" s="2">
        <f>AP704*((G704*0.01)+(H704*0.01)+(I704*0.01))</f>
        <v>0.24752227500000007</v>
      </c>
      <c r="AR704" s="15">
        <v>1.4125780531604006</v>
      </c>
      <c r="AS704" s="15">
        <v>0.55205550019016791</v>
      </c>
      <c r="AT704" s="15">
        <f t="shared" si="117"/>
        <v>4.1150607740004133E-2</v>
      </c>
      <c r="AU704" s="2">
        <f t="shared" si="118"/>
        <v>2.8927708209964799E-2</v>
      </c>
      <c r="AV704" s="2">
        <f t="shared" si="119"/>
        <v>3.7473157971242804E-3</v>
      </c>
      <c r="AW704" s="3">
        <f t="shared" si="120"/>
        <v>12.954070781982768</v>
      </c>
    </row>
    <row r="705" spans="1:49" s="5" customFormat="1" x14ac:dyDescent="0.2">
      <c r="A705" s="5" t="s">
        <v>480</v>
      </c>
      <c r="B705" s="5" t="s">
        <v>481</v>
      </c>
      <c r="C705" s="5" t="s">
        <v>769</v>
      </c>
      <c r="D705" s="5" t="s">
        <v>785</v>
      </c>
      <c r="E705" s="13" t="s">
        <v>771</v>
      </c>
      <c r="F705" s="5">
        <v>342</v>
      </c>
      <c r="G705" s="14">
        <v>2.15</v>
      </c>
      <c r="H705" s="14">
        <v>2.1</v>
      </c>
      <c r="I705" s="14">
        <v>1.25</v>
      </c>
      <c r="J705">
        <v>19.88</v>
      </c>
      <c r="K705">
        <v>21.18</v>
      </c>
      <c r="L705">
        <v>20.53</v>
      </c>
      <c r="M705">
        <v>0.22</v>
      </c>
      <c r="N705" s="14">
        <v>379.64705882352899</v>
      </c>
      <c r="O705" s="14">
        <v>380.89705882352899</v>
      </c>
      <c r="P705" s="14">
        <v>380.27205882352899</v>
      </c>
      <c r="Q705" s="14">
        <v>379.64705882352899</v>
      </c>
      <c r="R705" s="14">
        <v>380.89705882352899</v>
      </c>
      <c r="S705" s="14">
        <v>380.27205882352899</v>
      </c>
      <c r="T705" s="3">
        <v>380.27</v>
      </c>
      <c r="U705" s="3">
        <v>0.625</v>
      </c>
      <c r="V705" s="3">
        <v>4267.13</v>
      </c>
      <c r="W705" s="3">
        <v>4991.66</v>
      </c>
      <c r="X705" s="3">
        <v>4665.3900000000003</v>
      </c>
      <c r="Y705" s="3">
        <v>4653.75</v>
      </c>
      <c r="Z705" s="3">
        <v>362.26499999999999</v>
      </c>
      <c r="AA705" s="4">
        <v>5.57E-2</v>
      </c>
      <c r="AB705" s="4">
        <v>4.427439E-3</v>
      </c>
      <c r="AC705">
        <v>1.1476266666666668</v>
      </c>
      <c r="AD705" s="15">
        <v>7.7896999999999998</v>
      </c>
      <c r="AE705" s="15">
        <v>3.7273000000000001</v>
      </c>
      <c r="AF705" s="15">
        <f t="shared" si="115"/>
        <v>4.0624000000000002</v>
      </c>
      <c r="AG705" s="15">
        <v>2.579673333333333</v>
      </c>
      <c r="AH705" s="15">
        <v>61.161625235493744</v>
      </c>
      <c r="AI705" s="2">
        <v>38.838374764506256</v>
      </c>
      <c r="AJ705" s="1">
        <f t="shared" si="116"/>
        <v>1.9419187382253129</v>
      </c>
      <c r="AK705" s="13">
        <v>0.43209999999999998</v>
      </c>
      <c r="AL705" s="16">
        <v>16.759776540000001</v>
      </c>
      <c r="AM705" s="10">
        <v>0.8379888270000001</v>
      </c>
      <c r="AN705" s="16">
        <v>9.7214481090487244</v>
      </c>
      <c r="AO705" s="11">
        <v>0.84280796992958962</v>
      </c>
      <c r="AP705" s="14">
        <v>4.4309570312500002</v>
      </c>
      <c r="AQ705" s="2">
        <f>AP705*((G705*0.01)+(H705*0.01)+(I705*0.01))</f>
        <v>0.24370263671874998</v>
      </c>
      <c r="AR705" s="15">
        <v>1.4990155143661061</v>
      </c>
      <c r="AS705" s="15">
        <v>0.58219326324759946</v>
      </c>
      <c r="AT705" s="15">
        <f t="shared" si="117"/>
        <v>4.3326349550308521E-2</v>
      </c>
      <c r="AU705" s="2">
        <f t="shared" si="118"/>
        <v>3.2428164762891287E-2</v>
      </c>
      <c r="AV705" s="2">
        <f t="shared" si="119"/>
        <v>4.1968267319112051E-3</v>
      </c>
      <c r="AW705" s="3">
        <f t="shared" si="120"/>
        <v>12.941918738225311</v>
      </c>
    </row>
    <row r="706" spans="1:49" s="5" customFormat="1" x14ac:dyDescent="0.2">
      <c r="A706" s="5" t="s">
        <v>480</v>
      </c>
      <c r="B706" s="5" t="s">
        <v>481</v>
      </c>
      <c r="C706" s="5" t="s">
        <v>769</v>
      </c>
      <c r="D706" s="5" t="s">
        <v>786</v>
      </c>
      <c r="E706" s="13" t="s">
        <v>771</v>
      </c>
      <c r="F706" s="5">
        <v>343</v>
      </c>
      <c r="G706" s="14">
        <v>2.1</v>
      </c>
      <c r="H706" s="14">
        <v>2.1</v>
      </c>
      <c r="I706" s="14">
        <v>1.2</v>
      </c>
      <c r="J706">
        <v>21.4</v>
      </c>
      <c r="K706">
        <v>22.6</v>
      </c>
      <c r="L706">
        <v>22</v>
      </c>
      <c r="M706">
        <v>0.22</v>
      </c>
      <c r="N706" s="14">
        <v>381.1147058823525</v>
      </c>
      <c r="O706" s="14">
        <v>382.31470588235248</v>
      </c>
      <c r="P706" s="14">
        <v>381.71470588235252</v>
      </c>
      <c r="Q706" s="14">
        <v>381.1147058823525</v>
      </c>
      <c r="R706" s="14">
        <v>382.31470588235248</v>
      </c>
      <c r="S706" s="14">
        <v>381.71470588235252</v>
      </c>
      <c r="T706" s="3">
        <v>381.71</v>
      </c>
      <c r="U706" s="3">
        <v>0.6</v>
      </c>
      <c r="V706" s="3">
        <v>4321.74</v>
      </c>
      <c r="W706" s="3">
        <v>5000.38</v>
      </c>
      <c r="X706" s="3">
        <v>4687.5</v>
      </c>
      <c r="Y706" s="3">
        <v>4679.66</v>
      </c>
      <c r="Z706" s="3">
        <v>339.32</v>
      </c>
      <c r="AA706" s="4">
        <v>5.5500000000000001E-2</v>
      </c>
      <c r="AB706" s="4">
        <v>4.1115190000000001E-3</v>
      </c>
      <c r="AC706">
        <v>1.1476266666666668</v>
      </c>
      <c r="AD706" s="15">
        <v>6.5850999999999997</v>
      </c>
      <c r="AE706" s="15">
        <v>2.9201999999999999</v>
      </c>
      <c r="AF706" s="15">
        <f t="shared" si="115"/>
        <v>3.6648999999999998</v>
      </c>
      <c r="AG706" s="15">
        <v>1.7725733333333331</v>
      </c>
      <c r="AH706" s="15">
        <v>67.400790318052145</v>
      </c>
      <c r="AI706" s="2">
        <v>32.599209681947855</v>
      </c>
      <c r="AJ706" s="1">
        <f t="shared" si="116"/>
        <v>1.6299604840973929</v>
      </c>
      <c r="AK706" s="13">
        <v>0.1323</v>
      </c>
      <c r="AL706" s="16">
        <v>27.147577089999999</v>
      </c>
      <c r="AM706" s="10">
        <v>1.3573788545000001</v>
      </c>
      <c r="AN706" s="16">
        <v>15.746854460556843</v>
      </c>
      <c r="AO706" s="11">
        <v>1.3603592741050918</v>
      </c>
      <c r="AP706" s="14">
        <v>4.1542200000000005</v>
      </c>
      <c r="AQ706" s="2">
        <f>AP706*((G706*0.01)+(H706*0.01)+(I706*0.01))</f>
        <v>0.22432788000000006</v>
      </c>
      <c r="AR706" s="15">
        <v>1.3089035567045877</v>
      </c>
      <c r="AS706" s="15">
        <v>0.42669221498460191</v>
      </c>
      <c r="AT706" s="15">
        <f t="shared" si="117"/>
        <v>2.9996294102137409E-2</v>
      </c>
      <c r="AU706" s="2">
        <f t="shared" si="118"/>
        <v>2.3681417931645406E-2</v>
      </c>
      <c r="AV706" s="2">
        <f t="shared" si="119"/>
        <v>2.9435908909774783E-3</v>
      </c>
      <c r="AW706" s="3">
        <f t="shared" si="120"/>
        <v>12.429960484097395</v>
      </c>
    </row>
    <row r="707" spans="1:49" s="5" customFormat="1" x14ac:dyDescent="0.2">
      <c r="A707" s="5" t="s">
        <v>480</v>
      </c>
      <c r="B707" s="5" t="s">
        <v>481</v>
      </c>
      <c r="C707" s="5" t="s">
        <v>769</v>
      </c>
      <c r="D707" s="5" t="s">
        <v>787</v>
      </c>
      <c r="E707" s="13" t="s">
        <v>771</v>
      </c>
      <c r="F707" s="5">
        <v>344</v>
      </c>
      <c r="G707" s="14">
        <v>1.95</v>
      </c>
      <c r="H707" s="14">
        <v>2.1</v>
      </c>
      <c r="I707" s="14">
        <v>1.1000000000000001</v>
      </c>
      <c r="J707">
        <v>22.82</v>
      </c>
      <c r="K707">
        <v>23.92</v>
      </c>
      <c r="L707">
        <v>23.37</v>
      </c>
      <c r="M707">
        <v>0.22</v>
      </c>
      <c r="N707" s="14">
        <v>382.53235294117599</v>
      </c>
      <c r="O707" s="14">
        <v>383.63235294117601</v>
      </c>
      <c r="P707" s="14">
        <v>383.082352941176</v>
      </c>
      <c r="Q707" s="14">
        <v>382.53235294117599</v>
      </c>
      <c r="R707" s="14">
        <v>383.63235294117601</v>
      </c>
      <c r="S707" s="14">
        <v>383.082352941176</v>
      </c>
      <c r="T707" s="3">
        <v>383.08</v>
      </c>
      <c r="U707" s="3">
        <v>0.55000000000000004</v>
      </c>
      <c r="V707" s="3">
        <v>4370.33</v>
      </c>
      <c r="W707" s="3">
        <v>5017.3999999999996</v>
      </c>
      <c r="X707" s="3">
        <v>4710.84</v>
      </c>
      <c r="Y707" s="3">
        <v>4704.3100000000004</v>
      </c>
      <c r="Z707" s="3">
        <v>323.53500000000003</v>
      </c>
      <c r="AA707" s="4">
        <v>5.5500000000000001E-2</v>
      </c>
      <c r="AB707" s="4">
        <v>3.8966489999999999E-3</v>
      </c>
      <c r="AC707">
        <v>1.1476266666666668</v>
      </c>
      <c r="AD707" s="15">
        <v>5.5350000000000001</v>
      </c>
      <c r="AE707" s="15">
        <v>1.9509000000000001</v>
      </c>
      <c r="AF707" s="15">
        <f t="shared" si="115"/>
        <v>3.5841000000000003</v>
      </c>
      <c r="AG707" s="15">
        <v>0.80327333333333328</v>
      </c>
      <c r="AH707" s="15">
        <v>81.691247306664877</v>
      </c>
      <c r="AI707" s="2">
        <v>18.308752693335123</v>
      </c>
      <c r="AJ707" s="1">
        <f t="shared" si="116"/>
        <v>0.91543763466675621</v>
      </c>
      <c r="AK707" s="13">
        <v>3.5999999999999997E-2</v>
      </c>
      <c r="AL707" s="16">
        <v>63.562753039999997</v>
      </c>
      <c r="AM707" s="10">
        <v>3.1781376520000002</v>
      </c>
      <c r="AN707" s="16">
        <v>36.869346310904874</v>
      </c>
      <c r="AO707" s="11">
        <v>3.1794117278295486</v>
      </c>
      <c r="AP707" s="14">
        <v>3.5408896875000004</v>
      </c>
      <c r="AQ707" s="2">
        <f>AP707*((G707*0.01)+(H707*0.01)+(I707*0.01))</f>
        <v>0.18235581890625005</v>
      </c>
      <c r="AR707" s="15">
        <v>1.2390595925147225</v>
      </c>
      <c r="AS707" s="15">
        <v>0.22685635651656635</v>
      </c>
      <c r="AT707" s="15">
        <f t="shared" si="117"/>
        <v>1.3759830824789609E-2</v>
      </c>
      <c r="AU707" s="2">
        <f t="shared" si="118"/>
        <v>1.2590527786669433E-2</v>
      </c>
      <c r="AV707" s="2">
        <f t="shared" si="119"/>
        <v>1.4120827917892993E-3</v>
      </c>
      <c r="AW707" s="3">
        <f t="shared" si="120"/>
        <v>11.215437634666758</v>
      </c>
    </row>
    <row r="708" spans="1:49" s="5" customFormat="1" x14ac:dyDescent="0.2">
      <c r="A708" s="5" t="s">
        <v>480</v>
      </c>
      <c r="B708" s="5" t="s">
        <v>481</v>
      </c>
      <c r="C708" s="5" t="s">
        <v>769</v>
      </c>
      <c r="D708" s="5" t="s">
        <v>788</v>
      </c>
      <c r="E708" s="13" t="s">
        <v>771</v>
      </c>
      <c r="F708" s="5">
        <v>345</v>
      </c>
      <c r="G708" s="14">
        <v>2.2000000000000002</v>
      </c>
      <c r="H708" s="14">
        <v>2.2000000000000002</v>
      </c>
      <c r="I708" s="14">
        <v>1.2</v>
      </c>
      <c r="J708">
        <v>24.14</v>
      </c>
      <c r="K708">
        <v>25.34</v>
      </c>
      <c r="L708">
        <v>24.74</v>
      </c>
      <c r="M708">
        <v>0.22</v>
      </c>
      <c r="N708" s="14">
        <v>383.84999999999951</v>
      </c>
      <c r="O708" s="14">
        <v>385.0499999999995</v>
      </c>
      <c r="P708" s="14">
        <v>384.44999999999948</v>
      </c>
      <c r="Q708" s="14">
        <v>383.84999999999951</v>
      </c>
      <c r="R708" s="14">
        <v>385.0499999999995</v>
      </c>
      <c r="S708" s="14">
        <v>384.44999999999948</v>
      </c>
      <c r="T708" s="3">
        <v>384.45</v>
      </c>
      <c r="U708" s="3">
        <v>0.6</v>
      </c>
      <c r="V708" s="3">
        <v>4404.45</v>
      </c>
      <c r="W708" s="3">
        <v>5031.49</v>
      </c>
      <c r="X708" s="3">
        <v>4732.75</v>
      </c>
      <c r="Y708" s="3">
        <v>4728.96</v>
      </c>
      <c r="Z708" s="3">
        <v>313.52</v>
      </c>
      <c r="AA708" s="4">
        <v>5.5500000000000001E-2</v>
      </c>
      <c r="AB708" s="4">
        <v>3.7661489999999999E-3</v>
      </c>
      <c r="AC708">
        <v>1.1476266666666668</v>
      </c>
      <c r="AD708" s="15">
        <v>6.6718999999999999</v>
      </c>
      <c r="AE708" s="15">
        <v>2.0032000000000001</v>
      </c>
      <c r="AF708" s="15">
        <f t="shared" si="115"/>
        <v>4.6686999999999994</v>
      </c>
      <c r="AG708" s="15">
        <v>0.8555733333333333</v>
      </c>
      <c r="AH708" s="15">
        <v>84.512472832022553</v>
      </c>
      <c r="AI708" s="2">
        <v>15.487527167977447</v>
      </c>
      <c r="AJ708" s="1">
        <f t="shared" si="116"/>
        <v>0.77437635839887242</v>
      </c>
      <c r="AK708" s="13">
        <v>2.4299999999999999E-2</v>
      </c>
      <c r="AL708" s="16">
        <v>74.870734229999997</v>
      </c>
      <c r="AM708" s="10">
        <v>3.7435367115</v>
      </c>
      <c r="AN708" s="16">
        <v>43.428500133410672</v>
      </c>
      <c r="AO708" s="11">
        <v>3.744618419859123</v>
      </c>
      <c r="AP708" s="14">
        <v>4.5592800000000011</v>
      </c>
      <c r="AQ708" s="2">
        <f>AP708*((G708*0.01)+(H708*0.01)+(I708*0.01))</f>
        <v>0.2553196800000001</v>
      </c>
      <c r="AR708" s="15">
        <v>1.2116547642025346</v>
      </c>
      <c r="AS708" s="15">
        <v>0.18765536078796061</v>
      </c>
      <c r="AT708" s="15">
        <f t="shared" si="117"/>
        <v>1.1961858953335869E-2</v>
      </c>
      <c r="AU708" s="2">
        <f t="shared" si="118"/>
        <v>1.0414872523731813E-2</v>
      </c>
      <c r="AV708" s="2">
        <f t="shared" si="119"/>
        <v>1.2471160332391223E-3</v>
      </c>
      <c r="AW708" s="3">
        <f t="shared" si="120"/>
        <v>11.974376358398873</v>
      </c>
    </row>
    <row r="709" spans="1:49" s="5" customFormat="1" x14ac:dyDescent="0.2">
      <c r="A709" s="5" t="s">
        <v>480</v>
      </c>
      <c r="B709" s="5" t="s">
        <v>481</v>
      </c>
      <c r="C709" s="5" t="s">
        <v>769</v>
      </c>
      <c r="D709" s="5" t="s">
        <v>789</v>
      </c>
      <c r="E709" s="13" t="s">
        <v>771</v>
      </c>
      <c r="F709" s="5">
        <v>346</v>
      </c>
      <c r="G709" s="14">
        <v>2.2000000000000002</v>
      </c>
      <c r="H709" s="14">
        <v>2.1</v>
      </c>
      <c r="I709" s="14">
        <v>1.2</v>
      </c>
      <c r="J709">
        <v>25.56</v>
      </c>
      <c r="K709">
        <v>26.76</v>
      </c>
      <c r="L709">
        <v>26.16</v>
      </c>
      <c r="M709">
        <v>0.22</v>
      </c>
      <c r="N709" s="14">
        <v>385.267647058823</v>
      </c>
      <c r="O709" s="14">
        <v>386.46764705882299</v>
      </c>
      <c r="P709" s="14">
        <v>385.86764705882297</v>
      </c>
      <c r="Q709" s="14">
        <v>385.267647058823</v>
      </c>
      <c r="R709" s="14">
        <v>386.46764705882299</v>
      </c>
      <c r="S709" s="14">
        <v>385.86764705882297</v>
      </c>
      <c r="T709" s="3">
        <v>385.87</v>
      </c>
      <c r="U709" s="3">
        <v>0.6</v>
      </c>
      <c r="V709" s="3">
        <v>4432.4399999999996</v>
      </c>
      <c r="W709" s="3">
        <v>5044.0200000000004</v>
      </c>
      <c r="X709" s="3">
        <v>4757.59</v>
      </c>
      <c r="Y709" s="3">
        <v>4754.51</v>
      </c>
      <c r="Z709" s="3">
        <v>305.79000000000002</v>
      </c>
      <c r="AA709" s="4">
        <v>5.5500000000000001E-2</v>
      </c>
      <c r="AB709" s="4">
        <v>3.6558239999999998E-3</v>
      </c>
      <c r="AC709">
        <v>1.1476266666666668</v>
      </c>
      <c r="AD709" s="15">
        <v>6.3879999999999999</v>
      </c>
      <c r="AE709" s="15">
        <v>1.9453</v>
      </c>
      <c r="AF709" s="15">
        <f t="shared" si="115"/>
        <v>4.4427000000000003</v>
      </c>
      <c r="AG709" s="15">
        <v>0.79767333333333323</v>
      </c>
      <c r="AH709" s="15">
        <v>84.778310960033394</v>
      </c>
      <c r="AI709" s="2">
        <v>15.221689039966606</v>
      </c>
      <c r="AJ709" s="1">
        <f t="shared" si="116"/>
        <v>0.7610844519983303</v>
      </c>
      <c r="AK709" s="13">
        <v>2.52E-2</v>
      </c>
      <c r="AL709" s="16">
        <v>72.903225809999995</v>
      </c>
      <c r="AM709" s="10">
        <v>3.6451612904999999</v>
      </c>
      <c r="AN709" s="16">
        <v>42.287253950116003</v>
      </c>
      <c r="AO709" s="11">
        <v>3.6462721831700424</v>
      </c>
      <c r="AP709" s="14">
        <v>4.3543950000000011</v>
      </c>
      <c r="AQ709" s="2">
        <f>AP709*((G709*0.01)+(H709*0.01)+(I709*0.01))</f>
        <v>0.2394917250000001</v>
      </c>
      <c r="AR709" s="15">
        <v>1.2034676076316759</v>
      </c>
      <c r="AS709" s="15">
        <v>0.18318809693041926</v>
      </c>
      <c r="AT709" s="15">
        <f t="shared" si="117"/>
        <v>1.1469561454822112E-2</v>
      </c>
      <c r="AU709" s="2">
        <f t="shared" si="118"/>
        <v>1.0166939379638269E-2</v>
      </c>
      <c r="AV709" s="2">
        <f t="shared" si="119"/>
        <v>1.195742326622732E-3</v>
      </c>
      <c r="AW709" s="3">
        <f t="shared" si="120"/>
        <v>11.761084451998331</v>
      </c>
    </row>
    <row r="710" spans="1:49" s="5" customFormat="1" x14ac:dyDescent="0.2">
      <c r="A710" s="5" t="s">
        <v>480</v>
      </c>
      <c r="B710" s="5" t="s">
        <v>481</v>
      </c>
      <c r="C710" s="5" t="s">
        <v>769</v>
      </c>
      <c r="D710" s="5" t="s">
        <v>790</v>
      </c>
      <c r="E710" s="13" t="s">
        <v>771</v>
      </c>
      <c r="F710" s="5">
        <v>347</v>
      </c>
      <c r="G710" s="14">
        <v>2.1</v>
      </c>
      <c r="H710" s="14">
        <v>2.1</v>
      </c>
      <c r="I710" s="14">
        <v>1.2</v>
      </c>
      <c r="J710">
        <v>26.98</v>
      </c>
      <c r="K710">
        <v>28.18</v>
      </c>
      <c r="L710">
        <v>27.58</v>
      </c>
      <c r="M710">
        <v>0.22</v>
      </c>
      <c r="N710" s="14">
        <v>386.68529411764649</v>
      </c>
      <c r="O710" s="14">
        <v>387.88529411764648</v>
      </c>
      <c r="P710" s="14">
        <v>387.28529411764646</v>
      </c>
      <c r="Q710" s="14">
        <v>386.68529411764649</v>
      </c>
      <c r="R710" s="14">
        <v>387.88529411764648</v>
      </c>
      <c r="S710" s="14">
        <v>387.28529411764646</v>
      </c>
      <c r="T710" s="3">
        <v>387.29</v>
      </c>
      <c r="U710" s="3">
        <v>0.6</v>
      </c>
      <c r="V710" s="3">
        <v>4459.71</v>
      </c>
      <c r="W710" s="3">
        <v>5058.7700000000004</v>
      </c>
      <c r="X710" s="3">
        <v>4784.08</v>
      </c>
      <c r="Y710" s="3">
        <v>4780.0600000000004</v>
      </c>
      <c r="Z710" s="3">
        <v>299.52999999999997</v>
      </c>
      <c r="AA710" s="4">
        <v>5.5899999999999998E-2</v>
      </c>
      <c r="AB710" s="4">
        <v>3.5894299999999998E-3</v>
      </c>
      <c r="AC710">
        <v>1.1476266666666668</v>
      </c>
      <c r="AD710" s="15">
        <v>6.2782</v>
      </c>
      <c r="AE710" s="15">
        <v>2.0009000000000001</v>
      </c>
      <c r="AF710" s="15">
        <f t="shared" si="115"/>
        <v>4.2773000000000003</v>
      </c>
      <c r="AG710" s="15">
        <v>0.85327333333333333</v>
      </c>
      <c r="AH710" s="15">
        <v>83.368850264947653</v>
      </c>
      <c r="AI710" s="2">
        <v>16.631149735052347</v>
      </c>
      <c r="AJ710" s="1">
        <f t="shared" si="116"/>
        <v>0.83155748675261743</v>
      </c>
      <c r="AK710" s="13">
        <v>2.64E-2</v>
      </c>
      <c r="AL710" s="16">
        <v>69.897377419999998</v>
      </c>
      <c r="AM710" s="10">
        <v>3.494868871</v>
      </c>
      <c r="AN710" s="16">
        <v>40.54372240139211</v>
      </c>
      <c r="AO710" s="11">
        <v>3.4960275206990028</v>
      </c>
      <c r="AP710" s="14">
        <v>4.1542200000000005</v>
      </c>
      <c r="AQ710" s="2">
        <f>AP710*((G710*0.01)+(H710*0.01)+(I710*0.01))</f>
        <v>0.22432788000000006</v>
      </c>
      <c r="AR710" s="15">
        <v>1.2350268722728535</v>
      </c>
      <c r="AS710" s="15">
        <v>0.205399168395832</v>
      </c>
      <c r="AT710" s="15">
        <f t="shared" si="117"/>
        <v>1.2799567255898087E-2</v>
      </c>
      <c r="AU710" s="2">
        <f t="shared" si="118"/>
        <v>1.1481813513327008E-2</v>
      </c>
      <c r="AV710" s="2">
        <f t="shared" si="119"/>
        <v>1.3355137393243615E-3</v>
      </c>
      <c r="AW710" s="3">
        <f t="shared" si="120"/>
        <v>11.631557486752618</v>
      </c>
    </row>
    <row r="711" spans="1:49" s="5" customFormat="1" x14ac:dyDescent="0.2">
      <c r="A711" s="5" t="s">
        <v>480</v>
      </c>
      <c r="B711" s="5" t="s">
        <v>481</v>
      </c>
      <c r="C711" s="5" t="s">
        <v>769</v>
      </c>
      <c r="D711" s="5" t="s">
        <v>791</v>
      </c>
      <c r="E711" s="13" t="s">
        <v>771</v>
      </c>
      <c r="F711" s="5">
        <v>348</v>
      </c>
      <c r="G711" s="14">
        <v>2.15</v>
      </c>
      <c r="H711" s="14">
        <v>2.2999999999999998</v>
      </c>
      <c r="I711" s="14">
        <v>1.3</v>
      </c>
      <c r="J711">
        <v>28.4</v>
      </c>
      <c r="K711">
        <v>29.7</v>
      </c>
      <c r="L711">
        <v>29.05</v>
      </c>
      <c r="M711">
        <v>0.22</v>
      </c>
      <c r="N711" s="14">
        <v>388.10294117646998</v>
      </c>
      <c r="O711" s="14">
        <v>389.40294117646999</v>
      </c>
      <c r="P711" s="14">
        <v>388.75294117647002</v>
      </c>
      <c r="Q711" s="14">
        <v>388.10294117646998</v>
      </c>
      <c r="R711" s="14">
        <v>389.40294117646999</v>
      </c>
      <c r="S711" s="14">
        <v>388.75294117647002</v>
      </c>
      <c r="T711" s="3">
        <v>388.75</v>
      </c>
      <c r="U711" s="3">
        <v>0.65</v>
      </c>
      <c r="V711" s="3">
        <v>4478.79</v>
      </c>
      <c r="W711" s="3">
        <v>5081.6499999999996</v>
      </c>
      <c r="X711" s="3">
        <v>4812.16</v>
      </c>
      <c r="Y711" s="3">
        <v>4806.33</v>
      </c>
      <c r="Z711" s="3">
        <v>301.43</v>
      </c>
      <c r="AA711" s="4">
        <v>5.5399999999999998E-2</v>
      </c>
      <c r="AB711" s="4">
        <v>3.5670530000000002E-3</v>
      </c>
      <c r="AC711">
        <v>1.1476266666666668</v>
      </c>
      <c r="AD711" s="15">
        <v>7.0716999999999999</v>
      </c>
      <c r="AE711" s="15">
        <v>2.2587999999999999</v>
      </c>
      <c r="AF711" s="15">
        <f t="shared" si="115"/>
        <v>4.8129</v>
      </c>
      <c r="AG711" s="15">
        <v>1.1111733333333331</v>
      </c>
      <c r="AH711" s="15">
        <v>81.243086119798207</v>
      </c>
      <c r="AI711" s="2">
        <v>18.756913880201793</v>
      </c>
      <c r="AJ711" s="1">
        <f t="shared" si="116"/>
        <v>0.93784569401008966</v>
      </c>
      <c r="AK711" s="13">
        <v>6.3100000000000003E-2</v>
      </c>
      <c r="AL711" s="16">
        <v>46.434634969999998</v>
      </c>
      <c r="AM711" s="10">
        <v>2.3217317485</v>
      </c>
      <c r="AN711" s="16">
        <v>26.934243022041763</v>
      </c>
      <c r="AO711" s="11">
        <v>2.3234754812549383</v>
      </c>
      <c r="AP711" s="14">
        <v>5.052112812499999</v>
      </c>
      <c r="AQ711" s="2">
        <f>AP711*((G711*0.01)+(H711*0.01)+(I711*0.01))</f>
        <v>0.29049648671874995</v>
      </c>
      <c r="AR711" s="15">
        <v>1.1725932403322268</v>
      </c>
      <c r="AS711" s="15">
        <v>0.21994230425418343</v>
      </c>
      <c r="AT711" s="15">
        <f t="shared" si="117"/>
        <v>1.4709401924369979E-2</v>
      </c>
      <c r="AU711" s="2">
        <f t="shared" si="118"/>
        <v>1.2184803655681762E-2</v>
      </c>
      <c r="AV711" s="2">
        <f t="shared" si="119"/>
        <v>1.5155270768117983E-3</v>
      </c>
      <c r="AW711" s="3">
        <f t="shared" si="120"/>
        <v>12.437845694010093</v>
      </c>
    </row>
    <row r="712" spans="1:49" s="5" customFormat="1" x14ac:dyDescent="0.2">
      <c r="A712" s="5" t="s">
        <v>480</v>
      </c>
      <c r="B712" s="5" t="s">
        <v>481</v>
      </c>
      <c r="C712" s="5" t="s">
        <v>769</v>
      </c>
      <c r="D712" s="5" t="s">
        <v>792</v>
      </c>
      <c r="E712" s="13" t="s">
        <v>771</v>
      </c>
      <c r="F712" s="5">
        <v>349</v>
      </c>
      <c r="G712" s="14">
        <v>2.2000000000000002</v>
      </c>
      <c r="H712" s="14">
        <v>2.15</v>
      </c>
      <c r="I712" s="14">
        <v>1.25</v>
      </c>
      <c r="J712">
        <v>29.92</v>
      </c>
      <c r="K712">
        <v>31.22</v>
      </c>
      <c r="L712">
        <v>30.57</v>
      </c>
      <c r="M712">
        <v>0.22</v>
      </c>
      <c r="N712" s="14">
        <v>389.6205882352935</v>
      </c>
      <c r="O712" s="14">
        <v>390.8705882352935</v>
      </c>
      <c r="P712" s="14">
        <v>390.2455882352935</v>
      </c>
      <c r="Q712" s="14">
        <v>389.6205882352935</v>
      </c>
      <c r="R712" s="14">
        <v>390.8705882352935</v>
      </c>
      <c r="S712" s="14">
        <v>390.2455882352935</v>
      </c>
      <c r="T712" s="3">
        <v>390.25</v>
      </c>
      <c r="U712" s="3">
        <v>0.625</v>
      </c>
      <c r="V712" s="3">
        <v>4505.18</v>
      </c>
      <c r="W712" s="3">
        <v>5109.97</v>
      </c>
      <c r="X712" s="3">
        <v>4839.63</v>
      </c>
      <c r="Y712" s="3">
        <v>4833.26</v>
      </c>
      <c r="Z712" s="3">
        <v>302.39499999999998</v>
      </c>
      <c r="AA712" s="4">
        <v>5.6599999999999998E-2</v>
      </c>
      <c r="AB712" s="4">
        <v>3.6318499999999998E-3</v>
      </c>
      <c r="AC712">
        <v>1.1476266666666668</v>
      </c>
      <c r="AD712" s="15">
        <v>7.1592000000000002</v>
      </c>
      <c r="AE712" s="15">
        <v>2.5091000000000001</v>
      </c>
      <c r="AF712" s="15">
        <f t="shared" si="115"/>
        <v>4.6501000000000001</v>
      </c>
      <c r="AG712" s="15">
        <v>1.3614733333333333</v>
      </c>
      <c r="AH712" s="15">
        <v>77.352462361489387</v>
      </c>
      <c r="AI712" s="2">
        <v>22.647537638510613</v>
      </c>
      <c r="AJ712" s="1">
        <f t="shared" si="116"/>
        <v>1.1323768819255307</v>
      </c>
      <c r="AK712" s="13">
        <v>0.06</v>
      </c>
      <c r="AL712" s="16">
        <v>58.84773663</v>
      </c>
      <c r="AM712" s="10">
        <v>2.9423868315000004</v>
      </c>
      <c r="AN712" s="16">
        <v>34.134417998839908</v>
      </c>
      <c r="AO712" s="11">
        <v>2.9437629432725405</v>
      </c>
      <c r="AP712" s="14">
        <v>4.6419257812499986</v>
      </c>
      <c r="AQ712" s="2">
        <f>AP712*((G712*0.01)+(H712*0.01)+(I712*0.01))</f>
        <v>0.25994784374999991</v>
      </c>
      <c r="AR712" s="15">
        <v>1.2950602005778968</v>
      </c>
      <c r="AS712" s="15">
        <v>0.29329924636725013</v>
      </c>
      <c r="AT712" s="15">
        <f t="shared" si="117"/>
        <v>1.9746010657290557E-2</v>
      </c>
      <c r="AU712" s="2">
        <f t="shared" si="118"/>
        <v>1.6600737344386357E-2</v>
      </c>
      <c r="AV712" s="2">
        <f t="shared" si="119"/>
        <v>2.0472654944882814E-3</v>
      </c>
      <c r="AW712" s="3">
        <f t="shared" si="120"/>
        <v>12.332376881925532</v>
      </c>
    </row>
    <row r="713" spans="1:49" s="5" customFormat="1" x14ac:dyDescent="0.2">
      <c r="A713" s="5" t="s">
        <v>480</v>
      </c>
      <c r="B713" s="5" t="s">
        <v>481</v>
      </c>
      <c r="C713" s="5" t="s">
        <v>769</v>
      </c>
      <c r="D713" s="5" t="s">
        <v>793</v>
      </c>
      <c r="E713" s="13" t="s">
        <v>771</v>
      </c>
      <c r="F713" s="5">
        <v>350</v>
      </c>
      <c r="G713" s="14">
        <v>1.95</v>
      </c>
      <c r="H713" s="14">
        <v>2.15</v>
      </c>
      <c r="I713" s="14">
        <v>1.25</v>
      </c>
      <c r="J713">
        <v>31.44</v>
      </c>
      <c r="K713">
        <v>32.74</v>
      </c>
      <c r="L713">
        <v>32.090000000000003</v>
      </c>
      <c r="M713">
        <v>0.22</v>
      </c>
      <c r="N713" s="14">
        <v>391.088235294117</v>
      </c>
      <c r="O713" s="14">
        <v>392.338235294117</v>
      </c>
      <c r="P713" s="14">
        <v>391.713235294117</v>
      </c>
      <c r="Q713" s="14">
        <v>391.088235294117</v>
      </c>
      <c r="R713" s="14">
        <v>392.338235294117</v>
      </c>
      <c r="S713" s="14">
        <v>391.713235294117</v>
      </c>
      <c r="T713" s="3">
        <v>391.71</v>
      </c>
      <c r="U713" s="3">
        <v>0.625</v>
      </c>
      <c r="V713" s="3">
        <v>4562.67</v>
      </c>
      <c r="W713" s="3">
        <v>5122.28</v>
      </c>
      <c r="X713" s="3">
        <v>4862.3599999999997</v>
      </c>
      <c r="Y713" s="3">
        <v>4859.1899999999996</v>
      </c>
      <c r="Z713" s="3">
        <v>279.80500000000001</v>
      </c>
      <c r="AA713" s="4">
        <v>5.6000000000000001E-2</v>
      </c>
      <c r="AB713" s="4">
        <v>3.3139799999999998E-3</v>
      </c>
      <c r="AC713">
        <v>1.1476266666666668</v>
      </c>
      <c r="AD713" s="15">
        <v>6.6802000000000001</v>
      </c>
      <c r="AE713" s="15">
        <v>2.2744</v>
      </c>
      <c r="AF713" s="15">
        <f t="shared" si="115"/>
        <v>4.4058000000000002</v>
      </c>
      <c r="AG713" s="15">
        <v>1.1267733333333332</v>
      </c>
      <c r="AH713" s="15">
        <v>79.6338292247369</v>
      </c>
      <c r="AI713" s="2">
        <v>20.3661707752631</v>
      </c>
      <c r="AJ713" s="1">
        <f t="shared" si="116"/>
        <v>1.018308538763155</v>
      </c>
      <c r="AK713" s="13">
        <v>4.4999999999999998E-2</v>
      </c>
      <c r="AL713" s="16">
        <v>63.621665319999998</v>
      </c>
      <c r="AM713" s="10">
        <v>3.1810832659999999</v>
      </c>
      <c r="AN713" s="16">
        <v>36.903518167053363</v>
      </c>
      <c r="AO713" s="11">
        <v>3.1823561625351156</v>
      </c>
      <c r="AP713" s="14">
        <v>4.1237031249999987</v>
      </c>
      <c r="AQ713" s="2">
        <f>AP713*((G713*0.01)+(H713*0.01)+(I713*0.01))</f>
        <v>0.22061811718749991</v>
      </c>
      <c r="AR713" s="15">
        <v>1.3416517061550921</v>
      </c>
      <c r="AS713" s="15">
        <v>0.27324307768477724</v>
      </c>
      <c r="AT713" s="15">
        <f t="shared" si="117"/>
        <v>1.7400962247778907E-2</v>
      </c>
      <c r="AU713" s="2">
        <f t="shared" si="118"/>
        <v>1.5301612350347526E-2</v>
      </c>
      <c r="AV713" s="2">
        <f t="shared" si="119"/>
        <v>1.7930901466192114E-3</v>
      </c>
      <c r="AW713" s="3">
        <f t="shared" si="120"/>
        <v>11.718308538763154</v>
      </c>
    </row>
    <row r="714" spans="1:49" s="5" customFormat="1" x14ac:dyDescent="0.2">
      <c r="A714" s="5" t="s">
        <v>480</v>
      </c>
      <c r="B714" s="5" t="s">
        <v>481</v>
      </c>
      <c r="C714" s="5" t="s">
        <v>769</v>
      </c>
      <c r="D714" s="5" t="s">
        <v>794</v>
      </c>
      <c r="E714" s="13" t="s">
        <v>771</v>
      </c>
      <c r="F714" s="5">
        <v>351</v>
      </c>
      <c r="G714" s="14">
        <v>2</v>
      </c>
      <c r="H714" s="14">
        <v>2.2000000000000002</v>
      </c>
      <c r="I714" s="14">
        <v>1.2</v>
      </c>
      <c r="J714">
        <v>32.96</v>
      </c>
      <c r="K714">
        <v>34.159999999999997</v>
      </c>
      <c r="L714">
        <v>33.56</v>
      </c>
      <c r="M714">
        <v>0.22</v>
      </c>
      <c r="N714" s="14">
        <v>392.5558823529405</v>
      </c>
      <c r="O714" s="14">
        <v>393.75588235294049</v>
      </c>
      <c r="P714" s="14">
        <v>393.15588235294047</v>
      </c>
      <c r="Q714" s="14">
        <v>392.5558823529405</v>
      </c>
      <c r="R714" s="14">
        <v>393.75588235294049</v>
      </c>
      <c r="S714" s="14">
        <v>393.15588235294047</v>
      </c>
      <c r="T714" s="3">
        <v>393.16</v>
      </c>
      <c r="U714" s="3">
        <v>0.6</v>
      </c>
      <c r="V714" s="3">
        <v>4623.6499999999996</v>
      </c>
      <c r="W714" s="3">
        <v>5133.7299999999996</v>
      </c>
      <c r="X714" s="3">
        <v>4886.9399999999996</v>
      </c>
      <c r="Y714" s="3">
        <v>4884.93</v>
      </c>
      <c r="Z714" s="3">
        <v>255.04</v>
      </c>
      <c r="AA714" s="4">
        <v>5.6599999999999998E-2</v>
      </c>
      <c r="AB714" s="4">
        <v>3.041438E-3</v>
      </c>
      <c r="AC714">
        <v>1.1476266666666668</v>
      </c>
      <c r="AD714" s="15">
        <v>6.9272</v>
      </c>
      <c r="AE714" s="15">
        <v>2.3212000000000002</v>
      </c>
      <c r="AF714" s="15">
        <f t="shared" si="115"/>
        <v>4.6059999999999999</v>
      </c>
      <c r="AG714" s="15">
        <v>1.1735733333333334</v>
      </c>
      <c r="AH714" s="15">
        <v>79.694464181900386</v>
      </c>
      <c r="AI714" s="2">
        <v>20.305535818099614</v>
      </c>
      <c r="AJ714" s="1">
        <f t="shared" si="116"/>
        <v>1.0152767909049807</v>
      </c>
      <c r="AK714" s="13">
        <v>8.9700000000000002E-2</v>
      </c>
      <c r="AL714" s="16">
        <v>46.891651869999997</v>
      </c>
      <c r="AM714" s="10">
        <v>2.3445825934999998</v>
      </c>
      <c r="AN714" s="16">
        <v>27.199334031322504</v>
      </c>
      <c r="AO714" s="11">
        <v>2.3463093440003142</v>
      </c>
      <c r="AP714" s="14">
        <v>4.1542200000000005</v>
      </c>
      <c r="AQ714" s="2">
        <f>AP714*((G714*0.01)+(H714*0.01)+(I714*0.01))</f>
        <v>0.22432788000000006</v>
      </c>
      <c r="AR714" s="15">
        <v>1.3912535526123635</v>
      </c>
      <c r="AS714" s="15">
        <v>0.2825014884462867</v>
      </c>
      <c r="AT714" s="15">
        <f t="shared" si="117"/>
        <v>1.8123252422255747E-2</v>
      </c>
      <c r="AU714" s="2">
        <f t="shared" si="118"/>
        <v>1.5989584246059826E-2</v>
      </c>
      <c r="AV714" s="2">
        <f t="shared" si="119"/>
        <v>1.8892136363869059E-3</v>
      </c>
      <c r="AW714" s="3">
        <f t="shared" si="120"/>
        <v>11.815276790904981</v>
      </c>
    </row>
    <row r="715" spans="1:49" s="5" customFormat="1" x14ac:dyDescent="0.2">
      <c r="A715" s="5" t="s">
        <v>480</v>
      </c>
      <c r="B715" s="5" t="s">
        <v>481</v>
      </c>
      <c r="C715" s="5" t="s">
        <v>769</v>
      </c>
      <c r="D715" s="5" t="s">
        <v>795</v>
      </c>
      <c r="E715" s="13" t="s">
        <v>771</v>
      </c>
      <c r="F715" s="5">
        <v>352</v>
      </c>
      <c r="G715" s="14">
        <v>2</v>
      </c>
      <c r="H715" s="14">
        <v>2.25</v>
      </c>
      <c r="I715" s="14">
        <v>1.2</v>
      </c>
      <c r="J715">
        <v>34.380000000000003</v>
      </c>
      <c r="K715">
        <v>35.58</v>
      </c>
      <c r="L715">
        <v>34.979999999999997</v>
      </c>
      <c r="M715">
        <v>0.22</v>
      </c>
      <c r="N715" s="14">
        <v>393.97352941176399</v>
      </c>
      <c r="O715" s="14">
        <v>395.17352941176398</v>
      </c>
      <c r="P715" s="14">
        <v>394.57352941176396</v>
      </c>
      <c r="Q715" s="14">
        <v>393.97352941176399</v>
      </c>
      <c r="R715" s="14">
        <v>395.17352941176398</v>
      </c>
      <c r="S715" s="14">
        <v>394.57352941176396</v>
      </c>
      <c r="T715" s="3">
        <v>394.57</v>
      </c>
      <c r="U715" s="3">
        <v>0.6</v>
      </c>
      <c r="V715" s="3">
        <v>4673.95</v>
      </c>
      <c r="W715" s="3">
        <v>5148.1499999999996</v>
      </c>
      <c r="X715" s="3">
        <v>4912.17</v>
      </c>
      <c r="Y715" s="3">
        <v>4909.97</v>
      </c>
      <c r="Z715" s="3">
        <v>237.1</v>
      </c>
      <c r="AA715" s="4">
        <v>5.62E-2</v>
      </c>
      <c r="AB715" s="4">
        <v>2.79933E-3</v>
      </c>
      <c r="AC715">
        <v>1.1476266666666668</v>
      </c>
      <c r="AD715" s="15">
        <v>6.4029999999999996</v>
      </c>
      <c r="AE715" s="15">
        <v>2.1274999999999999</v>
      </c>
      <c r="AF715" s="15">
        <f t="shared" si="115"/>
        <v>4.2754999999999992</v>
      </c>
      <c r="AG715" s="15">
        <v>0.97987333333333315</v>
      </c>
      <c r="AH715" s="15">
        <v>81.354829216065852</v>
      </c>
      <c r="AI715" s="2">
        <v>18.645170783934148</v>
      </c>
      <c r="AJ715" s="1">
        <f t="shared" si="116"/>
        <v>0.93225853919670743</v>
      </c>
      <c r="AK715" s="13">
        <v>2.5999999999999999E-2</v>
      </c>
      <c r="AL715" s="16">
        <v>58.46645367</v>
      </c>
      <c r="AM715" s="10">
        <v>2.9233226835000004</v>
      </c>
      <c r="AN715" s="16">
        <v>33.913256189095129</v>
      </c>
      <c r="AO715" s="11">
        <v>2.9247077652076015</v>
      </c>
      <c r="AP715" s="14">
        <v>4.25371875</v>
      </c>
      <c r="AQ715" s="2">
        <f>AP715*((G715*0.01)+(H715*0.01)+(I715*0.01))</f>
        <v>0.23182767187499997</v>
      </c>
      <c r="AR715" s="15">
        <v>1.2354773886574737</v>
      </c>
      <c r="AS715" s="15">
        <v>0.23035686911207592</v>
      </c>
      <c r="AT715" s="15">
        <f t="shared" si="117"/>
        <v>1.4701970949531648E-2</v>
      </c>
      <c r="AU715" s="2">
        <f t="shared" si="118"/>
        <v>1.2946056044098667E-2</v>
      </c>
      <c r="AV715" s="2">
        <f t="shared" si="119"/>
        <v>1.5318108217670559E-3</v>
      </c>
      <c r="AW715" s="3">
        <f t="shared" si="120"/>
        <v>11.832258539196706</v>
      </c>
    </row>
    <row r="716" spans="1:49" s="5" customFormat="1" x14ac:dyDescent="0.2">
      <c r="A716" s="5" t="s">
        <v>480</v>
      </c>
      <c r="B716" s="5" t="s">
        <v>481</v>
      </c>
      <c r="C716" s="5" t="s">
        <v>769</v>
      </c>
      <c r="D716" s="5" t="s">
        <v>796</v>
      </c>
      <c r="E716" s="13" t="s">
        <v>771</v>
      </c>
      <c r="F716" s="5">
        <v>353</v>
      </c>
      <c r="G716" s="14">
        <v>2.1</v>
      </c>
      <c r="H716" s="14">
        <v>1.9</v>
      </c>
      <c r="I716" s="14">
        <v>1.2</v>
      </c>
      <c r="J716">
        <v>35.799999999999997</v>
      </c>
      <c r="K716">
        <v>37</v>
      </c>
      <c r="L716">
        <v>36.4</v>
      </c>
      <c r="M716">
        <v>0.22</v>
      </c>
      <c r="N716" s="14">
        <v>395.39117647058748</v>
      </c>
      <c r="O716" s="14">
        <v>396.59117647058747</v>
      </c>
      <c r="P716" s="14">
        <v>395.99117647058745</v>
      </c>
      <c r="Q716" s="14">
        <v>395.39117647058748</v>
      </c>
      <c r="R716" s="14">
        <v>396.59117647058747</v>
      </c>
      <c r="S716" s="14">
        <v>395.99117647058745</v>
      </c>
      <c r="T716" s="3">
        <v>395.99</v>
      </c>
      <c r="U716" s="3">
        <v>0.6</v>
      </c>
      <c r="V716" s="3">
        <v>4720.88</v>
      </c>
      <c r="W716" s="3">
        <v>5163.87</v>
      </c>
      <c r="X716" s="3">
        <v>4936.05</v>
      </c>
      <c r="Y716" s="3">
        <v>4935.18</v>
      </c>
      <c r="Z716" s="3">
        <v>221.495</v>
      </c>
      <c r="AA716" s="4">
        <v>5.62E-2</v>
      </c>
      <c r="AB716" s="4">
        <v>2.6074570000000001E-3</v>
      </c>
      <c r="AC716">
        <v>1.1476266666666668</v>
      </c>
      <c r="AD716" s="15">
        <v>6.6203000000000003</v>
      </c>
      <c r="AE716" s="15">
        <v>2.9323999999999999</v>
      </c>
      <c r="AF716" s="15">
        <f t="shared" si="115"/>
        <v>3.6879000000000004</v>
      </c>
      <c r="AG716" s="15">
        <v>1.7847733333333331</v>
      </c>
      <c r="AH716" s="15">
        <v>67.387541250406585</v>
      </c>
      <c r="AI716" s="2">
        <v>32.612458749593415</v>
      </c>
      <c r="AJ716" s="1">
        <f t="shared" si="116"/>
        <v>1.6306229374796708</v>
      </c>
      <c r="AK716" s="13">
        <v>5.9900000000000002E-2</v>
      </c>
      <c r="AL716" s="16">
        <v>48.847139200000001</v>
      </c>
      <c r="AM716" s="10">
        <v>2.4423569600000001</v>
      </c>
      <c r="AN716" s="16">
        <v>28.333607424593968</v>
      </c>
      <c r="AO716" s="11">
        <v>2.4440146317197944</v>
      </c>
      <c r="AP716" s="14">
        <v>3.7679999999999998</v>
      </c>
      <c r="AQ716" s="2">
        <f>AP716*((G716*0.01)+(H716*0.01)+(I716*0.01))</f>
        <v>0.195936</v>
      </c>
      <c r="AR716" s="15">
        <v>1.4524079971691439</v>
      </c>
      <c r="AS716" s="15">
        <v>0.47366595895258312</v>
      </c>
      <c r="AT716" s="15">
        <f t="shared" si="117"/>
        <v>3.2354335639248187E-2</v>
      </c>
      <c r="AU716" s="2">
        <f t="shared" si="118"/>
        <v>2.6620026893135171E-2</v>
      </c>
      <c r="AV716" s="2">
        <f t="shared" si="119"/>
        <v>3.2025550613687774E-3</v>
      </c>
      <c r="AW716" s="3">
        <f t="shared" si="120"/>
        <v>12.030622937479672</v>
      </c>
    </row>
    <row r="717" spans="1:49" s="5" customFormat="1" x14ac:dyDescent="0.2">
      <c r="A717" s="5" t="s">
        <v>480</v>
      </c>
      <c r="B717" s="5" t="s">
        <v>481</v>
      </c>
      <c r="C717" s="5" t="s">
        <v>769</v>
      </c>
      <c r="D717" s="5" t="s">
        <v>797</v>
      </c>
      <c r="E717" s="13" t="s">
        <v>771</v>
      </c>
      <c r="F717" s="5">
        <v>354</v>
      </c>
      <c r="G717" s="14">
        <v>2</v>
      </c>
      <c r="H717" s="14">
        <v>2.15</v>
      </c>
      <c r="I717" s="14">
        <v>1.2</v>
      </c>
      <c r="J717">
        <v>37.22</v>
      </c>
      <c r="K717">
        <v>38.42</v>
      </c>
      <c r="L717">
        <v>37.82</v>
      </c>
      <c r="M717">
        <v>0.22</v>
      </c>
      <c r="N717" s="14">
        <v>396.80882352941097</v>
      </c>
      <c r="O717" s="14">
        <v>398.00882352941096</v>
      </c>
      <c r="P717" s="14">
        <v>397.40882352941094</v>
      </c>
      <c r="Q717" s="14">
        <v>396.80882352941097</v>
      </c>
      <c r="R717" s="14">
        <v>398.00882352941096</v>
      </c>
      <c r="S717" s="14">
        <v>397.40882352941094</v>
      </c>
      <c r="T717" s="3">
        <v>397.41</v>
      </c>
      <c r="U717" s="3">
        <v>0.6</v>
      </c>
      <c r="V717" s="3">
        <v>4758.87</v>
      </c>
      <c r="W717" s="3">
        <v>5182.45</v>
      </c>
      <c r="X717" s="3">
        <v>4960.9399999999996</v>
      </c>
      <c r="Y717" s="3">
        <v>4960.3900000000003</v>
      </c>
      <c r="Z717" s="3">
        <v>211.79</v>
      </c>
      <c r="AA717" s="4">
        <v>5.6399999999999999E-2</v>
      </c>
      <c r="AB717" s="4">
        <v>2.4932190000000001E-3</v>
      </c>
      <c r="AC717">
        <v>1.1476266666666668</v>
      </c>
      <c r="AD717" s="15">
        <v>6.7990000000000004</v>
      </c>
      <c r="AE717" s="15">
        <v>2.8035999999999999</v>
      </c>
      <c r="AF717" s="15">
        <f t="shared" si="115"/>
        <v>3.9954000000000005</v>
      </c>
      <c r="AG717" s="15">
        <v>1.6559733333333331</v>
      </c>
      <c r="AH717" s="15">
        <v>70.697859871228957</v>
      </c>
      <c r="AI717" s="2">
        <v>29.302140128771043</v>
      </c>
      <c r="AJ717" s="1">
        <f t="shared" si="116"/>
        <v>1.4651070064385523</v>
      </c>
      <c r="AK717" s="13">
        <v>0.1361</v>
      </c>
      <c r="AL717" s="16">
        <v>32.423038730000002</v>
      </c>
      <c r="AM717" s="10">
        <v>1.6211519365000002</v>
      </c>
      <c r="AN717" s="16">
        <v>18.806867012761021</v>
      </c>
      <c r="AO717" s="11">
        <v>1.6236482381407928</v>
      </c>
      <c r="AP717" s="14">
        <v>4.0558987500000008</v>
      </c>
      <c r="AQ717" s="2">
        <f>AP717*((G717*0.01)+(H717*0.01)+(I717*0.01))</f>
        <v>0.216990583125</v>
      </c>
      <c r="AR717" s="15">
        <v>1.3933714033993903</v>
      </c>
      <c r="AS717" s="15">
        <v>0.40828764113831312</v>
      </c>
      <c r="AT717" s="15">
        <f t="shared" si="117"/>
        <v>2.782523963763987E-2</v>
      </c>
      <c r="AU717" s="2">
        <f t="shared" si="118"/>
        <v>2.3027422960200859E-2</v>
      </c>
      <c r="AV717" s="2">
        <f t="shared" si="119"/>
        <v>2.8013106439336343E-3</v>
      </c>
      <c r="AW717" s="3">
        <f t="shared" si="120"/>
        <v>12.165107006438552</v>
      </c>
    </row>
    <row r="718" spans="1:49" s="5" customFormat="1" x14ac:dyDescent="0.2">
      <c r="A718" s="5" t="s">
        <v>480</v>
      </c>
      <c r="B718" s="5" t="s">
        <v>481</v>
      </c>
      <c r="C718" s="5" t="s">
        <v>769</v>
      </c>
      <c r="D718" s="5" t="s">
        <v>798</v>
      </c>
      <c r="E718" s="13" t="s">
        <v>771</v>
      </c>
      <c r="F718" s="5">
        <v>355</v>
      </c>
      <c r="G718" s="14">
        <v>1.95</v>
      </c>
      <c r="H718" s="14">
        <v>2</v>
      </c>
      <c r="I718" s="14">
        <v>1.25</v>
      </c>
      <c r="J718">
        <v>38.64</v>
      </c>
      <c r="K718">
        <v>39.94</v>
      </c>
      <c r="L718">
        <v>39.29</v>
      </c>
      <c r="M718">
        <v>0.22</v>
      </c>
      <c r="N718" s="14">
        <v>398.22647058823446</v>
      </c>
      <c r="O718" s="14">
        <v>399.47647058823446</v>
      </c>
      <c r="P718" s="14">
        <v>398.85147058823446</v>
      </c>
      <c r="Q718" s="14">
        <v>398.22647058823446</v>
      </c>
      <c r="R718" s="14">
        <v>399.47647058823446</v>
      </c>
      <c r="S718" s="14">
        <v>398.85147058823446</v>
      </c>
      <c r="T718" s="3">
        <v>398.85</v>
      </c>
      <c r="U718" s="3">
        <v>0.625</v>
      </c>
      <c r="V718" s="3">
        <v>4788.67</v>
      </c>
      <c r="W718" s="3">
        <v>5199.76</v>
      </c>
      <c r="X718" s="3">
        <v>4986.32</v>
      </c>
      <c r="Y718" s="3">
        <v>4985.96</v>
      </c>
      <c r="Z718" s="3">
        <v>205.54499999999999</v>
      </c>
      <c r="AA718" s="4">
        <v>5.8500000000000003E-2</v>
      </c>
      <c r="AB718" s="4">
        <v>2.503318E-3</v>
      </c>
      <c r="AC718">
        <v>1.1476266666666668</v>
      </c>
      <c r="AD718" s="15">
        <v>6.8941999999999997</v>
      </c>
      <c r="AE718" s="15">
        <v>2.7894999999999999</v>
      </c>
      <c r="AF718" s="15">
        <f t="shared" si="115"/>
        <v>4.1046999999999993</v>
      </c>
      <c r="AG718" s="15">
        <v>1.6418733333333331</v>
      </c>
      <c r="AH718" s="15">
        <v>71.428654293689235</v>
      </c>
      <c r="AI718" s="2">
        <v>28.571345706310765</v>
      </c>
      <c r="AJ718" s="1">
        <f t="shared" si="116"/>
        <v>1.4285672853155384</v>
      </c>
      <c r="AK718" s="13">
        <v>0.14330000000000001</v>
      </c>
      <c r="AL718" s="16">
        <v>31.631679389999999</v>
      </c>
      <c r="AM718" s="10">
        <v>1.5815839695</v>
      </c>
      <c r="AN718" s="16">
        <v>18.347841873549882</v>
      </c>
      <c r="AO718" s="11">
        <v>1.5841426238124448</v>
      </c>
      <c r="AP718" s="14">
        <v>3.8274882812500004</v>
      </c>
      <c r="AQ718" s="2">
        <f>AP718*((G718*0.01)+(H718*0.01)+(I718*0.01))</f>
        <v>0.19902939062500002</v>
      </c>
      <c r="AR718" s="15">
        <v>1.5013954089642798</v>
      </c>
      <c r="AS718" s="15">
        <v>0.42896887271386286</v>
      </c>
      <c r="AT718" s="15">
        <f t="shared" si="117"/>
        <v>2.8434490360897968E-2</v>
      </c>
      <c r="AU718" s="2">
        <f t="shared" si="118"/>
        <v>2.509467905376098E-2</v>
      </c>
      <c r="AV718" s="2">
        <f t="shared" si="119"/>
        <v>2.9683409969081024E-3</v>
      </c>
      <c r="AW718" s="3">
        <f t="shared" si="120"/>
        <v>11.82856728531554</v>
      </c>
    </row>
    <row r="719" spans="1:49" s="5" customFormat="1" x14ac:dyDescent="0.2">
      <c r="A719" s="5" t="s">
        <v>480</v>
      </c>
      <c r="B719" s="5" t="s">
        <v>481</v>
      </c>
      <c r="C719" s="5" t="s">
        <v>769</v>
      </c>
      <c r="D719" s="5" t="s">
        <v>799</v>
      </c>
      <c r="E719" s="13" t="s">
        <v>771</v>
      </c>
      <c r="F719" s="5">
        <v>356</v>
      </c>
      <c r="G719" s="14">
        <v>1.9</v>
      </c>
      <c r="H719" s="14">
        <v>2</v>
      </c>
      <c r="I719" s="14">
        <v>0.95</v>
      </c>
      <c r="J719">
        <v>40.159999999999997</v>
      </c>
      <c r="K719">
        <v>41.16</v>
      </c>
      <c r="L719">
        <v>40.659999999999997</v>
      </c>
      <c r="M719">
        <v>0.22</v>
      </c>
      <c r="N719" s="14">
        <v>399.69411764705796</v>
      </c>
      <c r="O719" s="14">
        <v>400.64411764705795</v>
      </c>
      <c r="P719" s="14">
        <v>400.16911764705799</v>
      </c>
      <c r="Q719" s="14">
        <v>399.69411764705796</v>
      </c>
      <c r="R719" s="14">
        <v>400.64411764705795</v>
      </c>
      <c r="S719" s="14">
        <v>400.16911764705799</v>
      </c>
      <c r="T719" s="3">
        <v>400.17</v>
      </c>
      <c r="U719" s="3">
        <v>0.47499999999999998</v>
      </c>
      <c r="V719" s="3">
        <v>4813.91</v>
      </c>
      <c r="W719" s="3">
        <v>5220.07</v>
      </c>
      <c r="X719" s="3">
        <v>5009.03</v>
      </c>
      <c r="Y719" s="3">
        <v>5008.5</v>
      </c>
      <c r="Z719" s="3">
        <v>203.08</v>
      </c>
      <c r="AA719" s="4">
        <v>8.0399999999999999E-2</v>
      </c>
      <c r="AB719" s="4">
        <v>3.3554190000000001E-3</v>
      </c>
      <c r="AC719">
        <v>1.1476266666666668</v>
      </c>
      <c r="AD719" s="15">
        <v>5.7462</v>
      </c>
      <c r="AE719" s="15">
        <v>2.2765</v>
      </c>
      <c r="AF719" s="15">
        <f t="shared" si="115"/>
        <v>3.4697</v>
      </c>
      <c r="AG719" s="15">
        <v>1.1288733333333332</v>
      </c>
      <c r="AH719" s="15">
        <v>75.4516618197528</v>
      </c>
      <c r="AI719" s="2">
        <v>24.5483381802472</v>
      </c>
      <c r="AJ719" s="1">
        <f t="shared" si="116"/>
        <v>1.2274169090123601</v>
      </c>
      <c r="AK719" s="13">
        <v>0.10639999999999999</v>
      </c>
      <c r="AL719" s="16">
        <v>43.9705108</v>
      </c>
      <c r="AM719" s="10">
        <v>2.1985255399999999</v>
      </c>
      <c r="AN719" s="16">
        <v>25.504936658932714</v>
      </c>
      <c r="AO719" s="11">
        <v>2.2003669125926</v>
      </c>
      <c r="AP719" s="14">
        <v>2.8357143749999998</v>
      </c>
      <c r="AQ719" s="2">
        <f>AP719*((G719*0.01)+(H719*0.01)+(I719*0.01))</f>
        <v>0.13753214718749998</v>
      </c>
      <c r="AR719" s="15">
        <v>1.6216630891583832</v>
      </c>
      <c r="AS719" s="15">
        <v>0.39809133927084361</v>
      </c>
      <c r="AT719" s="15">
        <f t="shared" si="117"/>
        <v>2.4193670366160009E-2</v>
      </c>
      <c r="AU719" s="2">
        <f t="shared" si="118"/>
        <v>3.2006543677375827E-2</v>
      </c>
      <c r="AV719" s="2">
        <f t="shared" si="119"/>
        <v>3.4974884657919918E-3</v>
      </c>
      <c r="AW719" s="3">
        <f t="shared" si="120"/>
        <v>10.927416909012358</v>
      </c>
    </row>
    <row r="720" spans="1:49" s="5" customFormat="1" x14ac:dyDescent="0.2">
      <c r="A720" s="5" t="s">
        <v>480</v>
      </c>
      <c r="B720" s="5" t="s">
        <v>481</v>
      </c>
      <c r="C720" s="5" t="s">
        <v>769</v>
      </c>
      <c r="D720" s="5" t="s">
        <v>800</v>
      </c>
      <c r="E720" s="13" t="s">
        <v>771</v>
      </c>
      <c r="F720" s="5">
        <v>357</v>
      </c>
      <c r="G720" s="14">
        <v>2</v>
      </c>
      <c r="H720" s="14">
        <v>2</v>
      </c>
      <c r="I720" s="14">
        <v>1.2</v>
      </c>
      <c r="J720">
        <v>41.38</v>
      </c>
      <c r="K720">
        <v>42.58</v>
      </c>
      <c r="L720">
        <v>41.98</v>
      </c>
      <c r="M720">
        <v>0.22</v>
      </c>
      <c r="N720" s="14">
        <v>400.86176470588146</v>
      </c>
      <c r="O720" s="14">
        <v>402.06176470588144</v>
      </c>
      <c r="P720" s="14">
        <v>401.46176470588148</v>
      </c>
      <c r="Q720" s="14">
        <v>400.86176470588146</v>
      </c>
      <c r="R720" s="14">
        <v>402.06176470588144</v>
      </c>
      <c r="S720" s="14">
        <v>401.46176470588148</v>
      </c>
      <c r="T720" s="3">
        <v>401.46</v>
      </c>
      <c r="U720" s="3">
        <v>0.6</v>
      </c>
      <c r="V720" s="3">
        <v>4843.5</v>
      </c>
      <c r="W720" s="3">
        <v>5233.01</v>
      </c>
      <c r="X720" s="3">
        <v>5026.95</v>
      </c>
      <c r="Y720" s="3">
        <v>5024.58</v>
      </c>
      <c r="Z720" s="3">
        <v>194.755</v>
      </c>
      <c r="AA720" s="4">
        <v>8.0100000000000005E-2</v>
      </c>
      <c r="AB720" s="4">
        <v>3.2244249999999999E-3</v>
      </c>
      <c r="AC720">
        <v>1.1476266666666668</v>
      </c>
      <c r="AD720" s="15">
        <v>6.4497999999999998</v>
      </c>
      <c r="AE720" s="15">
        <v>2.3452999999999999</v>
      </c>
      <c r="AF720" s="15">
        <f t="shared" si="115"/>
        <v>4.1044999999999998</v>
      </c>
      <c r="AG720" s="15">
        <v>1.1976733333333331</v>
      </c>
      <c r="AH720" s="15">
        <v>77.411652580199814</v>
      </c>
      <c r="AI720" s="2">
        <v>22.588347419800186</v>
      </c>
      <c r="AJ720" s="1">
        <f t="shared" si="116"/>
        <v>1.1294173709900093</v>
      </c>
      <c r="AK720" s="13">
        <v>5.11E-2</v>
      </c>
      <c r="AL720" s="16">
        <v>50.09765625</v>
      </c>
      <c r="AM720" s="10">
        <v>2.5048828125</v>
      </c>
      <c r="AN720" s="16">
        <v>29.058965342227378</v>
      </c>
      <c r="AO720" s="11">
        <v>2.5064991331253057</v>
      </c>
      <c r="AP720" s="14">
        <v>3.7679999999999998</v>
      </c>
      <c r="AQ720" s="2">
        <f>AP720*((G720*0.01)+(H720*0.01)+(I720*0.01))</f>
        <v>0.195936</v>
      </c>
      <c r="AR720" s="15">
        <v>1.4071585279547063</v>
      </c>
      <c r="AS720" s="15">
        <v>0.31785385704175512</v>
      </c>
      <c r="AT720" s="15">
        <f t="shared" si="117"/>
        <v>2.01182972419626E-2</v>
      </c>
      <c r="AU720" s="2">
        <f t="shared" si="118"/>
        <v>2.5460093949044586E-2</v>
      </c>
      <c r="AV720" s="2">
        <f t="shared" si="119"/>
        <v>2.935400494431523E-3</v>
      </c>
      <c r="AW720" s="3">
        <f t="shared" si="120"/>
        <v>11.529417370990009</v>
      </c>
    </row>
    <row r="721" spans="1:49" s="5" customFormat="1" x14ac:dyDescent="0.2">
      <c r="A721" s="5" t="s">
        <v>480</v>
      </c>
      <c r="B721" s="5" t="s">
        <v>481</v>
      </c>
      <c r="C721" s="5" t="s">
        <v>769</v>
      </c>
      <c r="D721" s="5" t="s">
        <v>801</v>
      </c>
      <c r="E721" s="13" t="s">
        <v>771</v>
      </c>
      <c r="F721" s="5">
        <v>358</v>
      </c>
      <c r="G721" s="14">
        <v>2.1</v>
      </c>
      <c r="H721" s="14">
        <v>2.1</v>
      </c>
      <c r="I721" s="14">
        <v>1.3</v>
      </c>
      <c r="J721">
        <v>42.8</v>
      </c>
      <c r="K721">
        <v>44.1</v>
      </c>
      <c r="L721">
        <v>43.45</v>
      </c>
      <c r="M721">
        <v>0.22</v>
      </c>
      <c r="N721" s="14">
        <v>402.27941176470495</v>
      </c>
      <c r="O721" s="14">
        <v>403.57941176470496</v>
      </c>
      <c r="P721" s="14">
        <v>402.92941176470492</v>
      </c>
      <c r="Q721" s="14">
        <v>402.27941176470495</v>
      </c>
      <c r="R721" s="14">
        <v>403.57941176470496</v>
      </c>
      <c r="S721" s="14">
        <v>402.92941176470492</v>
      </c>
      <c r="T721" s="3">
        <v>402.93</v>
      </c>
      <c r="U721" s="3">
        <v>0.65</v>
      </c>
      <c r="V721" s="3">
        <v>4870.07</v>
      </c>
      <c r="W721" s="3">
        <v>5250.81</v>
      </c>
      <c r="X721" s="3">
        <v>5045.78</v>
      </c>
      <c r="Y721" s="3">
        <v>5042.91</v>
      </c>
      <c r="Z721" s="3">
        <v>190.37</v>
      </c>
      <c r="AA721" s="4">
        <v>0.08</v>
      </c>
      <c r="AB721" s="4">
        <v>3.1490569999999998E-3</v>
      </c>
      <c r="AC721">
        <v>1.1476266666666668</v>
      </c>
      <c r="AD721" s="15">
        <v>6.9489000000000001</v>
      </c>
      <c r="AE721" s="15">
        <v>2.3993000000000002</v>
      </c>
      <c r="AF721" s="15">
        <f t="shared" si="115"/>
        <v>4.5495999999999999</v>
      </c>
      <c r="AG721" s="15">
        <v>1.2516733333333334</v>
      </c>
      <c r="AH721" s="15">
        <v>78.424162051779433</v>
      </c>
      <c r="AI721" s="2">
        <v>21.575837948220567</v>
      </c>
      <c r="AJ721" s="1">
        <f t="shared" si="116"/>
        <v>1.0787918974110284</v>
      </c>
      <c r="AK721" s="13">
        <v>8.4699999999999998E-2</v>
      </c>
      <c r="AL721" s="16">
        <v>49.40262843</v>
      </c>
      <c r="AM721" s="10">
        <v>2.4701314215000001</v>
      </c>
      <c r="AN721" s="16">
        <v>28.655816954756382</v>
      </c>
      <c r="AO721" s="11">
        <v>2.4717704665849558</v>
      </c>
      <c r="AP721" s="14">
        <v>4.5004050000000007</v>
      </c>
      <c r="AQ721" s="2">
        <f>AP721*((G721*0.01)+(H721*0.01)+(I721*0.01))</f>
        <v>0.24752227500000007</v>
      </c>
      <c r="AR721" s="15">
        <v>1.2890558368265372</v>
      </c>
      <c r="AS721" s="15">
        <v>0.2781245984157722</v>
      </c>
      <c r="AT721" s="15">
        <f t="shared" si="117"/>
        <v>1.8297238545283784E-2</v>
      </c>
      <c r="AU721" s="2">
        <f t="shared" si="118"/>
        <v>2.2249967873261774E-2</v>
      </c>
      <c r="AV721" s="2">
        <f t="shared" si="119"/>
        <v>2.6875273166521007E-3</v>
      </c>
      <c r="AW721" s="3">
        <f t="shared" si="120"/>
        <v>12.078791897411032</v>
      </c>
    </row>
    <row r="722" spans="1:49" s="5" customFormat="1" x14ac:dyDescent="0.2">
      <c r="A722" s="5" t="s">
        <v>480</v>
      </c>
      <c r="B722" s="5" t="s">
        <v>481</v>
      </c>
      <c r="C722" s="5" t="s">
        <v>769</v>
      </c>
      <c r="D722" s="5" t="s">
        <v>802</v>
      </c>
      <c r="E722" s="13" t="s">
        <v>771</v>
      </c>
      <c r="F722" s="5">
        <v>359</v>
      </c>
      <c r="G722" s="14">
        <v>2.1</v>
      </c>
      <c r="H722" s="14">
        <v>1.95</v>
      </c>
      <c r="I722" s="14">
        <v>1.3</v>
      </c>
      <c r="J722">
        <v>44.32</v>
      </c>
      <c r="K722">
        <v>45.62</v>
      </c>
      <c r="L722">
        <v>44.97</v>
      </c>
      <c r="M722">
        <v>0.22</v>
      </c>
      <c r="N722" s="14">
        <v>403.79705882352846</v>
      </c>
      <c r="O722" s="14">
        <v>405.09705882352847</v>
      </c>
      <c r="P722" s="14">
        <v>404.44705882352844</v>
      </c>
      <c r="Q722" s="14">
        <v>403.79705882352846</v>
      </c>
      <c r="R722" s="14">
        <v>405.09705882352847</v>
      </c>
      <c r="S722" s="14">
        <v>404.44705882352844</v>
      </c>
      <c r="T722" s="3">
        <v>404.45</v>
      </c>
      <c r="U722" s="3">
        <v>0.65</v>
      </c>
      <c r="V722" s="3">
        <v>4884.2299999999996</v>
      </c>
      <c r="W722" s="3">
        <v>5269.51</v>
      </c>
      <c r="X722" s="3">
        <v>5063</v>
      </c>
      <c r="Y722" s="3">
        <v>5061.87</v>
      </c>
      <c r="Z722" s="3">
        <v>192.64</v>
      </c>
      <c r="AA722" s="4">
        <v>8.0600000000000005E-2</v>
      </c>
      <c r="AB722" s="4">
        <v>3.1969350000000001E-3</v>
      </c>
      <c r="AC722">
        <v>1.1476266666666668</v>
      </c>
      <c r="AD722" s="15">
        <v>7.4922000000000004</v>
      </c>
      <c r="AE722" s="15">
        <v>2.4613</v>
      </c>
      <c r="AF722" s="15">
        <f t="shared" si="115"/>
        <v>5.0309000000000008</v>
      </c>
      <c r="AG722" s="15">
        <v>1.3136733333333332</v>
      </c>
      <c r="AH722" s="15">
        <v>79.294536223081991</v>
      </c>
      <c r="AI722" s="2">
        <v>20.705463776918009</v>
      </c>
      <c r="AJ722" s="1">
        <f t="shared" si="116"/>
        <v>1.0352731888459006</v>
      </c>
      <c r="AK722" s="13">
        <v>3.8800000000000001E-2</v>
      </c>
      <c r="AL722" s="16">
        <v>52.625152630000002</v>
      </c>
      <c r="AM722" s="10">
        <v>2.6312576315000005</v>
      </c>
      <c r="AN722" s="16">
        <v>30.52503052784223</v>
      </c>
      <c r="AO722" s="11">
        <v>2.6327963695141698</v>
      </c>
      <c r="AP722" s="14">
        <v>4.1846878125</v>
      </c>
      <c r="AQ722" s="2">
        <f>AP722*((G722*0.01)+(H722*0.01)+(I722*0.01))</f>
        <v>0.22388079796875002</v>
      </c>
      <c r="AR722" s="15">
        <v>1.5161401800109393</v>
      </c>
      <c r="AS722" s="15">
        <v>0.31392385577946463</v>
      </c>
      <c r="AT722" s="15">
        <f t="shared" si="117"/>
        <v>2.0044895796477429E-2</v>
      </c>
      <c r="AU722" s="2">
        <f t="shared" si="118"/>
        <v>2.5302262775824851E-2</v>
      </c>
      <c r="AV722" s="2">
        <f t="shared" si="119"/>
        <v>2.9692896597027104E-3</v>
      </c>
      <c r="AW722" s="3">
        <f t="shared" si="120"/>
        <v>11.7352731888459</v>
      </c>
    </row>
    <row r="723" spans="1:49" s="5" customFormat="1" x14ac:dyDescent="0.2">
      <c r="A723" s="5" t="s">
        <v>480</v>
      </c>
      <c r="B723" s="5" t="s">
        <v>481</v>
      </c>
      <c r="C723" s="5" t="s">
        <v>769</v>
      </c>
      <c r="D723" s="5" t="s">
        <v>803</v>
      </c>
      <c r="E723" s="13" t="s">
        <v>771</v>
      </c>
      <c r="F723" s="5">
        <v>360</v>
      </c>
      <c r="G723" s="14">
        <v>2.15</v>
      </c>
      <c r="H723" s="14">
        <v>2.2000000000000002</v>
      </c>
      <c r="I723" s="14">
        <v>1.2</v>
      </c>
      <c r="J723">
        <v>45.84</v>
      </c>
      <c r="K723">
        <v>47.04</v>
      </c>
      <c r="L723">
        <v>46.44</v>
      </c>
      <c r="M723">
        <v>0.22</v>
      </c>
      <c r="N723" s="14">
        <v>405.31470588235197</v>
      </c>
      <c r="O723" s="14">
        <v>406.51470588235196</v>
      </c>
      <c r="P723" s="14">
        <v>405.914705882352</v>
      </c>
      <c r="Q723" s="14">
        <v>405.31470588235197</v>
      </c>
      <c r="R723" s="14">
        <v>406.51470588235196</v>
      </c>
      <c r="S723" s="14">
        <v>405.914705882352</v>
      </c>
      <c r="T723" s="3">
        <v>405.91</v>
      </c>
      <c r="U723" s="3">
        <v>0.6</v>
      </c>
      <c r="V723" s="3">
        <v>4892.3999999999996</v>
      </c>
      <c r="W723" s="3">
        <v>5289.48</v>
      </c>
      <c r="X723" s="3">
        <v>5079.91</v>
      </c>
      <c r="Y723" s="3">
        <v>5080.07</v>
      </c>
      <c r="Z723" s="3">
        <v>198.54</v>
      </c>
      <c r="AA723" s="4">
        <v>7.9799999999999996E-2</v>
      </c>
      <c r="AB723" s="4">
        <v>3.2367120000000001E-3</v>
      </c>
      <c r="AC723">
        <v>1.1476266666666668</v>
      </c>
      <c r="AD723" s="15">
        <v>7.2461000000000002</v>
      </c>
      <c r="AE723" s="15">
        <v>2.2138</v>
      </c>
      <c r="AF723" s="15">
        <f t="shared" si="115"/>
        <v>5.0323000000000002</v>
      </c>
      <c r="AG723" s="15">
        <v>1.0661733333333332</v>
      </c>
      <c r="AH723" s="15">
        <v>82.517373200505915</v>
      </c>
      <c r="AI723" s="2">
        <v>17.482626799494085</v>
      </c>
      <c r="AJ723" s="1">
        <f t="shared" si="116"/>
        <v>0.87413133997470427</v>
      </c>
      <c r="AK723" s="13">
        <v>4.9500000000000002E-2</v>
      </c>
      <c r="AL723" s="16">
        <v>60.048426149999997</v>
      </c>
      <c r="AM723" s="10">
        <v>3.0024213075000001</v>
      </c>
      <c r="AN723" s="16">
        <v>34.830873636890949</v>
      </c>
      <c r="AO723" s="11">
        <v>3.0037699159106728</v>
      </c>
      <c r="AP723" s="14">
        <v>4.4562487499999994</v>
      </c>
      <c r="AQ723" s="2">
        <f>AP723*((G723*0.01)+(H723*0.01)+(I723*0.01))</f>
        <v>0.24732180562499995</v>
      </c>
      <c r="AR723" s="15">
        <v>1.3685217490009585</v>
      </c>
      <c r="AS723" s="15">
        <v>0.23925355004774662</v>
      </c>
      <c r="AT723" s="15">
        <f t="shared" si="117"/>
        <v>1.5369962290619352E-2</v>
      </c>
      <c r="AU723" s="2">
        <f t="shared" si="118"/>
        <v>1.909243329381018E-2</v>
      </c>
      <c r="AV723" s="2">
        <f t="shared" si="119"/>
        <v>2.2861530385978892E-3</v>
      </c>
      <c r="AW723" s="3">
        <f t="shared" si="120"/>
        <v>11.974131339974702</v>
      </c>
    </row>
    <row r="724" spans="1:49" s="5" customFormat="1" x14ac:dyDescent="0.2">
      <c r="A724" s="5" t="s">
        <v>480</v>
      </c>
      <c r="B724" s="5" t="s">
        <v>481</v>
      </c>
      <c r="C724" s="5" t="s">
        <v>769</v>
      </c>
      <c r="D724" s="5" t="s">
        <v>804</v>
      </c>
      <c r="E724" s="13" t="s">
        <v>771</v>
      </c>
      <c r="F724" s="5">
        <v>361</v>
      </c>
      <c r="G724" s="14">
        <v>2</v>
      </c>
      <c r="H724" s="14">
        <v>2</v>
      </c>
      <c r="I724" s="14">
        <v>1.25</v>
      </c>
      <c r="J724">
        <v>47.26</v>
      </c>
      <c r="K724">
        <v>48.56</v>
      </c>
      <c r="L724">
        <v>47.91</v>
      </c>
      <c r="M724">
        <v>0.22</v>
      </c>
      <c r="N724" s="14">
        <v>406.73235294117546</v>
      </c>
      <c r="O724" s="14">
        <v>407.98235294117546</v>
      </c>
      <c r="P724" s="14">
        <v>407.35735294117546</v>
      </c>
      <c r="Q724" s="14">
        <v>406.73235294117546</v>
      </c>
      <c r="R724" s="14">
        <v>407.98235294117546</v>
      </c>
      <c r="S724" s="14">
        <v>407.35735294117546</v>
      </c>
      <c r="T724" s="3">
        <v>407.36</v>
      </c>
      <c r="U724" s="3">
        <v>0.625</v>
      </c>
      <c r="V724" s="3">
        <v>4901.2</v>
      </c>
      <c r="W724" s="3">
        <v>5315.65</v>
      </c>
      <c r="X724" s="3">
        <v>5098.59</v>
      </c>
      <c r="Y724" s="3">
        <v>5098.1499999999996</v>
      </c>
      <c r="Z724" s="3">
        <v>207.22499999999999</v>
      </c>
      <c r="AA724" s="4">
        <v>8.0299999999999996E-2</v>
      </c>
      <c r="AB724" s="4">
        <v>3.3871639999999998E-3</v>
      </c>
      <c r="AC724">
        <v>1.1476266666666668</v>
      </c>
      <c r="AD724" s="15">
        <v>6.8198999999999996</v>
      </c>
      <c r="AE724" s="15">
        <v>2.4380000000000002</v>
      </c>
      <c r="AF724" s="15">
        <f t="shared" si="115"/>
        <v>4.3818999999999999</v>
      </c>
      <c r="AG724" s="15">
        <v>1.2903733333333334</v>
      </c>
      <c r="AH724" s="15">
        <v>77.251213799052948</v>
      </c>
      <c r="AI724" s="2">
        <v>22.748786200947052</v>
      </c>
      <c r="AJ724" s="1">
        <f t="shared" si="116"/>
        <v>1.1374393100473525</v>
      </c>
      <c r="AK724" s="13">
        <v>7.3800000000000004E-2</v>
      </c>
      <c r="AL724" s="16">
        <v>48.463687149999998</v>
      </c>
      <c r="AM724" s="10">
        <v>2.4231843575000003</v>
      </c>
      <c r="AN724" s="16">
        <v>28.111187441995359</v>
      </c>
      <c r="AO724" s="11">
        <v>2.4248551359684747</v>
      </c>
      <c r="AP724" s="14">
        <v>3.9250000000000003</v>
      </c>
      <c r="AQ724" s="2">
        <f>AP724*((G724*0.01)+(H724*0.01)+(I724*0.01))</f>
        <v>0.20606250000000004</v>
      </c>
      <c r="AR724" s="15">
        <v>1.4451651804670911</v>
      </c>
      <c r="AS724" s="15">
        <v>0.3287575371549894</v>
      </c>
      <c r="AT724" s="15">
        <f t="shared" si="117"/>
        <v>2.0999188162981325E-2</v>
      </c>
      <c r="AU724" s="2">
        <f t="shared" si="118"/>
        <v>2.6399230233545647E-2</v>
      </c>
      <c r="AV724" s="2">
        <f t="shared" si="119"/>
        <v>3.0721943967485471E-3</v>
      </c>
      <c r="AW724" s="3">
        <f t="shared" si="120"/>
        <v>11.637439310047354</v>
      </c>
    </row>
    <row r="725" spans="1:49" s="5" customFormat="1" x14ac:dyDescent="0.2">
      <c r="A725" s="5" t="s">
        <v>480</v>
      </c>
      <c r="B725" s="5" t="s">
        <v>481</v>
      </c>
      <c r="C725" s="5" t="s">
        <v>769</v>
      </c>
      <c r="D725" s="5" t="s">
        <v>805</v>
      </c>
      <c r="E725" s="13" t="s">
        <v>771</v>
      </c>
      <c r="F725" s="5">
        <v>362</v>
      </c>
      <c r="G725" s="14">
        <v>2</v>
      </c>
      <c r="H725" s="14">
        <v>2</v>
      </c>
      <c r="I725" s="14">
        <v>1.2</v>
      </c>
      <c r="J725">
        <v>48.78</v>
      </c>
      <c r="K725">
        <v>49.98</v>
      </c>
      <c r="L725">
        <v>49.38</v>
      </c>
      <c r="M725">
        <v>0.22</v>
      </c>
      <c r="N725" s="14">
        <v>408.19999999999897</v>
      </c>
      <c r="O725" s="14">
        <v>409.39999999999895</v>
      </c>
      <c r="P725" s="14">
        <v>408.79999999999893</v>
      </c>
      <c r="Q725" s="14">
        <v>408.19999999999897</v>
      </c>
      <c r="R725" s="14">
        <v>409.39999999999895</v>
      </c>
      <c r="S725" s="14">
        <v>408.79999999999893</v>
      </c>
      <c r="T725" s="3">
        <v>408.8</v>
      </c>
      <c r="U725" s="3">
        <v>0.6</v>
      </c>
      <c r="V725" s="3">
        <v>4906.1099999999997</v>
      </c>
      <c r="W725" s="3">
        <v>5344.35</v>
      </c>
      <c r="X725" s="3">
        <v>5115.16</v>
      </c>
      <c r="Y725" s="3">
        <v>5116.1099999999997</v>
      </c>
      <c r="Z725" s="3">
        <v>219.12</v>
      </c>
      <c r="AA725" s="4">
        <v>0.08</v>
      </c>
      <c r="AB725" s="4">
        <v>3.5437699999999999E-3</v>
      </c>
      <c r="AC725">
        <v>1.1476266666666668</v>
      </c>
      <c r="AD725" s="15">
        <v>6.024</v>
      </c>
      <c r="AE725" s="15">
        <v>2.0819999999999999</v>
      </c>
      <c r="AF725" s="15">
        <f t="shared" si="115"/>
        <v>3.9420000000000002</v>
      </c>
      <c r="AG725" s="15">
        <v>0.93437333333333306</v>
      </c>
      <c r="AH725" s="15">
        <v>80.838765421296699</v>
      </c>
      <c r="AI725" s="2">
        <v>19.161234578703301</v>
      </c>
      <c r="AJ725" s="1">
        <f t="shared" si="116"/>
        <v>0.95806172893516506</v>
      </c>
      <c r="AK725" s="13">
        <v>5.4199999999999998E-2</v>
      </c>
      <c r="AL725" s="16">
        <v>48.819641169999997</v>
      </c>
      <c r="AM725" s="10">
        <v>2.4409820584999999</v>
      </c>
      <c r="AN725" s="16">
        <v>28.317657291183295</v>
      </c>
      <c r="AO725" s="11">
        <v>2.4426406632820346</v>
      </c>
      <c r="AP725" s="14">
        <v>3.7679999999999998</v>
      </c>
      <c r="AQ725" s="2">
        <f>AP725*((G725*0.01)+(H725*0.01)+(I725*0.01))</f>
        <v>0.195936</v>
      </c>
      <c r="AR725" s="15">
        <v>1.2941542816702054</v>
      </c>
      <c r="AS725" s="15">
        <v>0.24797593772116058</v>
      </c>
      <c r="AT725" s="15">
        <f t="shared" si="117"/>
        <v>1.5270511317774892E-2</v>
      </c>
      <c r="AU725" s="2">
        <f t="shared" si="118"/>
        <v>1.9838075017692847E-2</v>
      </c>
      <c r="AV725" s="2">
        <f t="shared" si="119"/>
        <v>2.2532208063420194E-3</v>
      </c>
      <c r="AW725" s="3">
        <f t="shared" si="120"/>
        <v>11.358061728935166</v>
      </c>
    </row>
    <row r="726" spans="1:49" s="5" customFormat="1" x14ac:dyDescent="0.2">
      <c r="A726" s="5" t="s">
        <v>480</v>
      </c>
      <c r="B726" s="5" t="s">
        <v>481</v>
      </c>
      <c r="C726" s="5" t="s">
        <v>769</v>
      </c>
      <c r="D726" s="5" t="s">
        <v>806</v>
      </c>
      <c r="E726" s="13" t="s">
        <v>771</v>
      </c>
      <c r="F726" s="5">
        <v>363</v>
      </c>
      <c r="G726" s="14">
        <v>1.9</v>
      </c>
      <c r="H726" s="14">
        <v>1.2</v>
      </c>
      <c r="I726" s="14">
        <v>0.7</v>
      </c>
      <c r="J726">
        <v>50.2</v>
      </c>
      <c r="K726">
        <v>50.9</v>
      </c>
      <c r="L726">
        <v>50.55</v>
      </c>
      <c r="M726">
        <v>0.22</v>
      </c>
      <c r="N726" s="14">
        <v>409.61764705882246</v>
      </c>
      <c r="O726" s="14">
        <v>410.31764705882244</v>
      </c>
      <c r="P726" s="14">
        <v>409.96764705882242</v>
      </c>
      <c r="Q726" s="14">
        <v>409.61764705882246</v>
      </c>
      <c r="R726" s="14">
        <v>410.31764705882244</v>
      </c>
      <c r="S726" s="14">
        <v>409.96764705882242</v>
      </c>
      <c r="T726" s="3">
        <v>409.97</v>
      </c>
      <c r="U726" s="3">
        <v>0.35</v>
      </c>
      <c r="V726" s="3">
        <v>4910.3</v>
      </c>
      <c r="W726" s="3">
        <v>5372.78</v>
      </c>
      <c r="X726" s="3">
        <v>5128.5600000000004</v>
      </c>
      <c r="Y726" s="3">
        <v>5130.7</v>
      </c>
      <c r="Z726" s="3">
        <v>231.24</v>
      </c>
      <c r="AA726" s="4">
        <v>7.9899999999999999E-2</v>
      </c>
      <c r="AB726" s="4">
        <v>3.6692949999999999E-3</v>
      </c>
      <c r="AC726">
        <v>1.1476266666666668</v>
      </c>
      <c r="AD726" s="15">
        <v>4.1040999999999999</v>
      </c>
      <c r="AE726" s="15">
        <v>1.8107</v>
      </c>
      <c r="AF726" s="15">
        <f t="shared" si="115"/>
        <v>2.2934000000000001</v>
      </c>
      <c r="AG726" s="15">
        <v>0.66307333333333318</v>
      </c>
      <c r="AH726" s="15">
        <v>77.57215240680901</v>
      </c>
      <c r="AI726" s="2">
        <v>22.42784759319099</v>
      </c>
      <c r="AJ726" s="1">
        <f t="shared" si="116"/>
        <v>1.1213923796595495</v>
      </c>
      <c r="AK726" s="13">
        <v>1.55E-2</v>
      </c>
      <c r="AL726" s="16">
        <v>53.030303029999999</v>
      </c>
      <c r="AM726" s="10">
        <v>2.6515151514999999</v>
      </c>
      <c r="AN726" s="16">
        <v>30.760036560324824</v>
      </c>
      <c r="AO726" s="11">
        <v>2.6530421403803723</v>
      </c>
      <c r="AP726" s="14">
        <v>1.3201737499999997</v>
      </c>
      <c r="AQ726" s="2">
        <f>AP726*((G726*0.01)+(H726*0.01)+(I726*0.01))</f>
        <v>5.016660249999999E-2</v>
      </c>
      <c r="AR726" s="15">
        <v>2.2394577481436317</v>
      </c>
      <c r="AS726" s="15">
        <v>0.50226217066756051</v>
      </c>
      <c r="AT726" s="15">
        <f t="shared" si="117"/>
        <v>2.471829219314596E-2</v>
      </c>
      <c r="AU726" s="2">
        <f t="shared" si="118"/>
        <v>4.0130747436338085E-2</v>
      </c>
      <c r="AV726" s="2">
        <f t="shared" si="119"/>
        <v>3.4999599488132094E-3</v>
      </c>
      <c r="AW726" s="3">
        <f t="shared" si="120"/>
        <v>8.7213923796595481</v>
      </c>
    </row>
  </sheetData>
  <conditionalFormatting sqref="AK2:AO421">
    <cfRule type="expression" dxfId="1" priority="1" stopIfTrue="1">
      <formula>AND(#REF!&lt;0,#REF!&gt;100)</formula>
    </cfRule>
  </conditionalFormatting>
  <conditionalFormatting sqref="AK2:AO421">
    <cfRule type="expression" dxfId="0" priority="2" stopIfTrue="1">
      <formula>AND(#REF!&lt;0,#REF!&gt;100)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ACE_Subsample_Composite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Roberts - BAS</dc:creator>
  <cp:lastModifiedBy>Stephen Roberts - BAS</cp:lastModifiedBy>
  <dcterms:created xsi:type="dcterms:W3CDTF">2025-05-02T13:07:32Z</dcterms:created>
  <dcterms:modified xsi:type="dcterms:W3CDTF">2025-05-02T14:32:03Z</dcterms:modified>
</cp:coreProperties>
</file>