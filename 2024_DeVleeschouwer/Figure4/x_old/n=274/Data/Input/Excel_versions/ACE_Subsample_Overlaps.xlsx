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ro/Library/CloudStorage/Dropbox/BAS/Data/R/Papers_R/2024_DeVleeschouwer/Figure4/Data/Input/Excel_versions/"/>
    </mc:Choice>
  </mc:AlternateContent>
  <xr:revisionPtr revIDLastSave="0" documentId="8_{2152EEE7-D2C5-5441-BFC7-D73EEFA80EF9}" xr6:coauthVersionLast="47" xr6:coauthVersionMax="47" xr10:uidLastSave="{00000000-0000-0000-0000-000000000000}"/>
  <bookViews>
    <workbookView xWindow="-48780" yWindow="100" windowWidth="44080" windowHeight="19360" xr2:uid="{0FC6BD0A-3CE9-B044-8F78-6A48342D3736}"/>
  </bookViews>
  <sheets>
    <sheet name="BI10_OVERLAPS_LOI_graphs" sheetId="1" r:id="rId1"/>
  </sheets>
  <externalReferences>
    <externalReference r:id="rId2"/>
  </externalReferences>
  <definedNames>
    <definedName name="_xlnm.Print_Area" localSheetId="0">BI10_OVERLAPS_LOI_graphs!#REF!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305" i="1" l="1"/>
  <c r="AK1305" i="1"/>
  <c r="AM1305" i="1" s="1"/>
  <c r="AJ1305" i="1"/>
  <c r="AH1305" i="1"/>
  <c r="Z1305" i="1"/>
  <c r="AA1305" i="1" s="1"/>
  <c r="AB1305" i="1" s="1"/>
  <c r="Y1305" i="1"/>
  <c r="J1305" i="1"/>
  <c r="AO1304" i="1"/>
  <c r="AM1304" i="1"/>
  <c r="AK1304" i="1"/>
  <c r="AL1304" i="1" s="1"/>
  <c r="AN1304" i="1" s="1"/>
  <c r="AJ1304" i="1"/>
  <c r="AH1304" i="1"/>
  <c r="AE1304" i="1"/>
  <c r="AD1304" i="1"/>
  <c r="AC1304" i="1"/>
  <c r="AA1304" i="1"/>
  <c r="AB1304" i="1" s="1"/>
  <c r="Z1304" i="1"/>
  <c r="Y1304" i="1"/>
  <c r="J1304" i="1"/>
  <c r="AO1303" i="1"/>
  <c r="AK1303" i="1"/>
  <c r="AM1303" i="1" s="1"/>
  <c r="AJ1303" i="1"/>
  <c r="AH1303" i="1"/>
  <c r="AD1303" i="1"/>
  <c r="AC1303" i="1"/>
  <c r="AA1303" i="1"/>
  <c r="AB1303" i="1" s="1"/>
  <c r="Z1303" i="1"/>
  <c r="Y1303" i="1"/>
  <c r="J1303" i="1"/>
  <c r="AO1302" i="1"/>
  <c r="AK1302" i="1"/>
  <c r="AM1302" i="1" s="1"/>
  <c r="AJ1302" i="1"/>
  <c r="AH1302" i="1"/>
  <c r="AD1302" i="1"/>
  <c r="AC1302" i="1"/>
  <c r="AB1302" i="1"/>
  <c r="AA1302" i="1"/>
  <c r="Z1302" i="1"/>
  <c r="Y1302" i="1"/>
  <c r="J1302" i="1"/>
  <c r="AO1301" i="1"/>
  <c r="AK1301" i="1"/>
  <c r="AM1301" i="1" s="1"/>
  <c r="AJ1301" i="1"/>
  <c r="AH1301" i="1"/>
  <c r="AD1301" i="1"/>
  <c r="AC1301" i="1"/>
  <c r="AA1301" i="1"/>
  <c r="AB1301" i="1" s="1"/>
  <c r="Z1301" i="1"/>
  <c r="Y1301" i="1"/>
  <c r="J1301" i="1"/>
  <c r="AO1300" i="1"/>
  <c r="AK1300" i="1"/>
  <c r="AM1300" i="1" s="1"/>
  <c r="AJ1300" i="1"/>
  <c r="AH1300" i="1"/>
  <c r="AE1300" i="1"/>
  <c r="AD1300" i="1"/>
  <c r="Z1300" i="1"/>
  <c r="Y1300" i="1"/>
  <c r="AA1300" i="1" s="1"/>
  <c r="AB1300" i="1" s="1"/>
  <c r="J1300" i="1"/>
  <c r="AO1299" i="1"/>
  <c r="AM1299" i="1"/>
  <c r="AK1299" i="1"/>
  <c r="AL1299" i="1" s="1"/>
  <c r="AN1299" i="1" s="1"/>
  <c r="AJ1299" i="1"/>
  <c r="AH1299" i="1"/>
  <c r="AD1299" i="1"/>
  <c r="Z1299" i="1"/>
  <c r="Y1299" i="1"/>
  <c r="J1299" i="1"/>
  <c r="AO1298" i="1"/>
  <c r="AK1298" i="1"/>
  <c r="AJ1298" i="1"/>
  <c r="AH1298" i="1"/>
  <c r="AD1298" i="1"/>
  <c r="Z1298" i="1"/>
  <c r="Y1298" i="1"/>
  <c r="AA1298" i="1" s="1"/>
  <c r="AB1298" i="1" s="1"/>
  <c r="J1298" i="1"/>
  <c r="AO1297" i="1"/>
  <c r="AK1297" i="1"/>
  <c r="AM1297" i="1" s="1"/>
  <c r="AJ1297" i="1"/>
  <c r="AH1297" i="1"/>
  <c r="Z1297" i="1"/>
  <c r="AD1297" i="1" s="1"/>
  <c r="Y1297" i="1"/>
  <c r="J1297" i="1"/>
  <c r="AE1297" i="1" s="1"/>
  <c r="AO1296" i="1"/>
  <c r="AK1296" i="1"/>
  <c r="AJ1296" i="1"/>
  <c r="AH1296" i="1"/>
  <c r="Z1296" i="1"/>
  <c r="AD1296" i="1" s="1"/>
  <c r="Y1296" i="1"/>
  <c r="J1296" i="1"/>
  <c r="AC1296" i="1" s="1"/>
  <c r="AO1295" i="1"/>
  <c r="AK1295" i="1"/>
  <c r="AM1295" i="1" s="1"/>
  <c r="AJ1295" i="1"/>
  <c r="AH1295" i="1"/>
  <c r="Z1295" i="1"/>
  <c r="AD1295" i="1" s="1"/>
  <c r="Y1295" i="1"/>
  <c r="J1295" i="1"/>
  <c r="AO1294" i="1"/>
  <c r="AK1294" i="1"/>
  <c r="AM1294" i="1" s="1"/>
  <c r="AJ1294" i="1"/>
  <c r="AH1294" i="1"/>
  <c r="AA1294" i="1"/>
  <c r="AB1294" i="1" s="1"/>
  <c r="Z1294" i="1"/>
  <c r="AD1294" i="1" s="1"/>
  <c r="Y1294" i="1"/>
  <c r="AC1294" i="1" s="1"/>
  <c r="J1294" i="1"/>
  <c r="AE1294" i="1" s="1"/>
  <c r="AO1293" i="1"/>
  <c r="AN1293" i="1"/>
  <c r="AM1293" i="1"/>
  <c r="AL1293" i="1"/>
  <c r="AK1293" i="1"/>
  <c r="AJ1293" i="1"/>
  <c r="AH1293" i="1"/>
  <c r="AD1293" i="1"/>
  <c r="AA1293" i="1"/>
  <c r="AB1293" i="1" s="1"/>
  <c r="Z1293" i="1"/>
  <c r="Y1293" i="1"/>
  <c r="J1293" i="1"/>
  <c r="AO1292" i="1"/>
  <c r="AK1292" i="1"/>
  <c r="AJ1292" i="1"/>
  <c r="AH1292" i="1"/>
  <c r="AD1292" i="1"/>
  <c r="Z1292" i="1"/>
  <c r="Y1292" i="1"/>
  <c r="J1292" i="1"/>
  <c r="AO1291" i="1"/>
  <c r="AM1291" i="1"/>
  <c r="AK1291" i="1"/>
  <c r="AL1291" i="1" s="1"/>
  <c r="AN1291" i="1" s="1"/>
  <c r="AJ1291" i="1"/>
  <c r="AH1291" i="1"/>
  <c r="Z1291" i="1"/>
  <c r="Y1291" i="1"/>
  <c r="J1291" i="1"/>
  <c r="AE1291" i="1" s="1"/>
  <c r="AO1290" i="1"/>
  <c r="AK1290" i="1"/>
  <c r="AJ1290" i="1"/>
  <c r="AH1290" i="1"/>
  <c r="Z1290" i="1"/>
  <c r="Y1290" i="1"/>
  <c r="J1290" i="1"/>
  <c r="AO1289" i="1"/>
  <c r="AK1289" i="1"/>
  <c r="AM1289" i="1" s="1"/>
  <c r="AJ1289" i="1"/>
  <c r="AH1289" i="1"/>
  <c r="AB1289" i="1"/>
  <c r="AA1289" i="1"/>
  <c r="Z1289" i="1"/>
  <c r="Y1289" i="1"/>
  <c r="J1289" i="1"/>
  <c r="AO1288" i="1"/>
  <c r="AN1288" i="1"/>
  <c r="AM1288" i="1"/>
  <c r="AL1288" i="1"/>
  <c r="AK1288" i="1"/>
  <c r="AJ1288" i="1"/>
  <c r="AH1288" i="1"/>
  <c r="Z1288" i="1"/>
  <c r="AD1288" i="1" s="1"/>
  <c r="Y1288" i="1"/>
  <c r="AC1288" i="1" s="1"/>
  <c r="J1288" i="1"/>
  <c r="AE1288" i="1" s="1"/>
  <c r="AO1287" i="1"/>
  <c r="AM1287" i="1"/>
  <c r="AK1287" i="1"/>
  <c r="AL1287" i="1" s="1"/>
  <c r="AN1287" i="1" s="1"/>
  <c r="AJ1287" i="1"/>
  <c r="AH1287" i="1"/>
  <c r="Z1287" i="1"/>
  <c r="AD1287" i="1" s="1"/>
  <c r="Y1287" i="1"/>
  <c r="J1287" i="1"/>
  <c r="AO1286" i="1"/>
  <c r="AM1286" i="1"/>
  <c r="AL1286" i="1"/>
  <c r="AN1286" i="1" s="1"/>
  <c r="AK1286" i="1"/>
  <c r="AJ1286" i="1"/>
  <c r="AH1286" i="1"/>
  <c r="AB1286" i="1"/>
  <c r="Z1286" i="1"/>
  <c r="Y1286" i="1"/>
  <c r="AA1286" i="1" s="1"/>
  <c r="J1286" i="1"/>
  <c r="AE1286" i="1" s="1"/>
  <c r="AO1285" i="1"/>
  <c r="AK1285" i="1"/>
  <c r="AM1285" i="1" s="1"/>
  <c r="AJ1285" i="1"/>
  <c r="AH1285" i="1"/>
  <c r="AC1285" i="1"/>
  <c r="Z1285" i="1"/>
  <c r="AA1285" i="1" s="1"/>
  <c r="AB1285" i="1" s="1"/>
  <c r="Y1285" i="1"/>
  <c r="J1285" i="1"/>
  <c r="AD1285" i="1" s="1"/>
  <c r="AO1284" i="1"/>
  <c r="AK1284" i="1"/>
  <c r="AJ1284" i="1"/>
  <c r="AH1284" i="1"/>
  <c r="Z1284" i="1"/>
  <c r="AD1284" i="1" s="1"/>
  <c r="Y1284" i="1"/>
  <c r="AC1284" i="1" s="1"/>
  <c r="J1284" i="1"/>
  <c r="AO1283" i="1"/>
  <c r="AM1283" i="1" s="1"/>
  <c r="AL1283" i="1"/>
  <c r="AN1283" i="1" s="1"/>
  <c r="AK1283" i="1"/>
  <c r="AJ1283" i="1"/>
  <c r="AH1283" i="1"/>
  <c r="AD1283" i="1"/>
  <c r="Z1283" i="1"/>
  <c r="Y1283" i="1"/>
  <c r="AA1283" i="1" s="1"/>
  <c r="AB1283" i="1" s="1"/>
  <c r="J1283" i="1"/>
  <c r="AC1283" i="1" s="1"/>
  <c r="AO1282" i="1"/>
  <c r="AK1282" i="1"/>
  <c r="AJ1282" i="1"/>
  <c r="AH1282" i="1"/>
  <c r="Z1282" i="1"/>
  <c r="AD1282" i="1" s="1"/>
  <c r="Y1282" i="1"/>
  <c r="AC1282" i="1" s="1"/>
  <c r="J1282" i="1"/>
  <c r="AE1282" i="1" s="1"/>
  <c r="AO1281" i="1"/>
  <c r="AM1281" i="1"/>
  <c r="AL1281" i="1"/>
  <c r="AN1281" i="1" s="1"/>
  <c r="AK1281" i="1"/>
  <c r="AJ1281" i="1"/>
  <c r="AH1281" i="1"/>
  <c r="Z1281" i="1"/>
  <c r="Y1281" i="1"/>
  <c r="J1281" i="1"/>
  <c r="AE1281" i="1" s="1"/>
  <c r="AO1280" i="1"/>
  <c r="AN1280" i="1"/>
  <c r="AK1280" i="1"/>
  <c r="AL1280" i="1" s="1"/>
  <c r="AJ1280" i="1"/>
  <c r="AH1280" i="1"/>
  <c r="AD1280" i="1"/>
  <c r="Z1280" i="1"/>
  <c r="Y1280" i="1"/>
  <c r="J1280" i="1"/>
  <c r="AO1279" i="1"/>
  <c r="AK1279" i="1"/>
  <c r="AL1279" i="1" s="1"/>
  <c r="AN1279" i="1" s="1"/>
  <c r="AJ1279" i="1"/>
  <c r="AH1279" i="1"/>
  <c r="AE1279" i="1"/>
  <c r="AD1279" i="1"/>
  <c r="AC1279" i="1"/>
  <c r="Z1279" i="1"/>
  <c r="Y1279" i="1"/>
  <c r="AA1279" i="1" s="1"/>
  <c r="AB1279" i="1" s="1"/>
  <c r="J1279" i="1"/>
  <c r="AO1278" i="1"/>
  <c r="AK1278" i="1"/>
  <c r="AM1278" i="1" s="1"/>
  <c r="AJ1278" i="1"/>
  <c r="AH1278" i="1"/>
  <c r="AB1278" i="1"/>
  <c r="AA1278" i="1"/>
  <c r="Z1278" i="1"/>
  <c r="Y1278" i="1"/>
  <c r="J1278" i="1"/>
  <c r="AD1278" i="1" s="1"/>
  <c r="AO1277" i="1"/>
  <c r="AK1277" i="1"/>
  <c r="AJ1277" i="1"/>
  <c r="AH1277" i="1"/>
  <c r="Z1277" i="1"/>
  <c r="AD1277" i="1" s="1"/>
  <c r="Y1277" i="1"/>
  <c r="AC1277" i="1" s="1"/>
  <c r="J1277" i="1"/>
  <c r="AO1276" i="1"/>
  <c r="AK1276" i="1"/>
  <c r="AJ1276" i="1"/>
  <c r="AH1276" i="1"/>
  <c r="AC1276" i="1"/>
  <c r="Z1276" i="1"/>
  <c r="Y1276" i="1"/>
  <c r="J1276" i="1"/>
  <c r="AO1275" i="1"/>
  <c r="AK1275" i="1"/>
  <c r="AJ1275" i="1"/>
  <c r="AH1275" i="1"/>
  <c r="Z1275" i="1"/>
  <c r="AD1275" i="1" s="1"/>
  <c r="Y1275" i="1"/>
  <c r="AC1275" i="1" s="1"/>
  <c r="J1275" i="1"/>
  <c r="AE1275" i="1" s="1"/>
  <c r="AO1274" i="1"/>
  <c r="AM1274" i="1"/>
  <c r="AL1274" i="1"/>
  <c r="AN1274" i="1" s="1"/>
  <c r="AK1274" i="1"/>
  <c r="AJ1274" i="1"/>
  <c r="AH1274" i="1"/>
  <c r="Z1274" i="1"/>
  <c r="Y1274" i="1"/>
  <c r="AC1274" i="1" s="1"/>
  <c r="J1274" i="1"/>
  <c r="AO1273" i="1"/>
  <c r="AN1273" i="1"/>
  <c r="AM1273" i="1"/>
  <c r="AL1273" i="1"/>
  <c r="AK1273" i="1"/>
  <c r="AJ1273" i="1"/>
  <c r="AH1273" i="1"/>
  <c r="AE1273" i="1"/>
  <c r="AD1273" i="1"/>
  <c r="Z1273" i="1"/>
  <c r="Y1273" i="1"/>
  <c r="AC1273" i="1" s="1"/>
  <c r="J1273" i="1"/>
  <c r="AO1272" i="1"/>
  <c r="AK1272" i="1"/>
  <c r="AJ1272" i="1"/>
  <c r="AH1272" i="1"/>
  <c r="AD1272" i="1"/>
  <c r="Z1272" i="1"/>
  <c r="Y1272" i="1"/>
  <c r="AC1272" i="1" s="1"/>
  <c r="J1272" i="1"/>
  <c r="AO1271" i="1"/>
  <c r="AM1271" i="1"/>
  <c r="AL1271" i="1"/>
  <c r="AN1271" i="1" s="1"/>
  <c r="AK1271" i="1"/>
  <c r="AJ1271" i="1"/>
  <c r="AH1271" i="1"/>
  <c r="Z1271" i="1"/>
  <c r="Y1271" i="1"/>
  <c r="AA1271" i="1" s="1"/>
  <c r="AB1271" i="1" s="1"/>
  <c r="J1271" i="1"/>
  <c r="AD1271" i="1" s="1"/>
  <c r="AS1270" i="1"/>
  <c r="AS1271" i="1" s="1"/>
  <c r="AS1273" i="1" s="1"/>
  <c r="AO1270" i="1"/>
  <c r="AK1270" i="1"/>
  <c r="AM1270" i="1" s="1"/>
  <c r="AJ1270" i="1"/>
  <c r="AH1270" i="1"/>
  <c r="Z1270" i="1"/>
  <c r="AD1270" i="1" s="1"/>
  <c r="Y1270" i="1"/>
  <c r="J1270" i="1"/>
  <c r="AO1269" i="1"/>
  <c r="AK1269" i="1"/>
  <c r="AJ1269" i="1"/>
  <c r="AH1269" i="1"/>
  <c r="Z1269" i="1"/>
  <c r="AD1269" i="1" s="1"/>
  <c r="Y1269" i="1"/>
  <c r="R1269" i="1"/>
  <c r="O1269" i="1"/>
  <c r="J1269" i="1"/>
  <c r="AO1268" i="1"/>
  <c r="AK1268" i="1"/>
  <c r="AM1268" i="1" s="1"/>
  <c r="AJ1268" i="1"/>
  <c r="AH1268" i="1"/>
  <c r="AD1268" i="1"/>
  <c r="AC1268" i="1"/>
  <c r="Z1268" i="1"/>
  <c r="Y1268" i="1"/>
  <c r="AA1268" i="1" s="1"/>
  <c r="AB1268" i="1" s="1"/>
  <c r="U1268" i="1"/>
  <c r="T1268" i="1"/>
  <c r="S1268" i="1"/>
  <c r="P1268" i="1"/>
  <c r="Q1268" i="1" s="1"/>
  <c r="M1268" i="1"/>
  <c r="L1269" i="1" s="1"/>
  <c r="J1268" i="1"/>
  <c r="AO1267" i="1"/>
  <c r="AK1267" i="1"/>
  <c r="AJ1267" i="1"/>
  <c r="AH1267" i="1"/>
  <c r="AD1267" i="1"/>
  <c r="Z1267" i="1"/>
  <c r="AA1267" i="1" s="1"/>
  <c r="AB1267" i="1" s="1"/>
  <c r="Y1267" i="1"/>
  <c r="U1267" i="1"/>
  <c r="J1267" i="1"/>
  <c r="AC1267" i="1" s="1"/>
  <c r="AO1266" i="1"/>
  <c r="AN1266" i="1"/>
  <c r="AK1266" i="1"/>
  <c r="AL1266" i="1" s="1"/>
  <c r="AJ1266" i="1"/>
  <c r="AH1266" i="1"/>
  <c r="Z1266" i="1"/>
  <c r="AD1266" i="1" s="1"/>
  <c r="Y1266" i="1"/>
  <c r="AC1266" i="1" s="1"/>
  <c r="U1266" i="1"/>
  <c r="J1266" i="1"/>
  <c r="AO1265" i="1"/>
  <c r="AK1265" i="1"/>
  <c r="AM1265" i="1" s="1"/>
  <c r="AJ1265" i="1"/>
  <c r="AH1265" i="1"/>
  <c r="AE1265" i="1"/>
  <c r="AD1265" i="1"/>
  <c r="Z1265" i="1"/>
  <c r="Y1265" i="1"/>
  <c r="U1265" i="1"/>
  <c r="J1265" i="1"/>
  <c r="AO1264" i="1"/>
  <c r="AK1264" i="1"/>
  <c r="AJ1264" i="1"/>
  <c r="AH1264" i="1"/>
  <c r="AE1264" i="1"/>
  <c r="AC1264" i="1"/>
  <c r="AA1264" i="1"/>
  <c r="AB1264" i="1" s="1"/>
  <c r="Z1264" i="1"/>
  <c r="AD1264" i="1" s="1"/>
  <c r="Y1264" i="1"/>
  <c r="U1264" i="1"/>
  <c r="J1264" i="1"/>
  <c r="AO1263" i="1"/>
  <c r="AM1263" i="1"/>
  <c r="AL1263" i="1"/>
  <c r="AN1263" i="1" s="1"/>
  <c r="AK1263" i="1"/>
  <c r="AJ1263" i="1"/>
  <c r="AH1263" i="1"/>
  <c r="AD1263" i="1"/>
  <c r="AC1263" i="1"/>
  <c r="Z1263" i="1"/>
  <c r="Y1263" i="1"/>
  <c r="U1263" i="1"/>
  <c r="J1263" i="1"/>
  <c r="AO1262" i="1"/>
  <c r="AK1262" i="1"/>
  <c r="AM1262" i="1" s="1"/>
  <c r="AJ1262" i="1"/>
  <c r="AH1262" i="1"/>
  <c r="AE1262" i="1"/>
  <c r="Z1262" i="1"/>
  <c r="AA1262" i="1" s="1"/>
  <c r="AB1262" i="1" s="1"/>
  <c r="Y1262" i="1"/>
  <c r="U1262" i="1"/>
  <c r="J1262" i="1"/>
  <c r="AC1262" i="1" s="1"/>
  <c r="AO1261" i="1"/>
  <c r="AK1261" i="1"/>
  <c r="AL1261" i="1" s="1"/>
  <c r="AN1261" i="1" s="1"/>
  <c r="AJ1261" i="1"/>
  <c r="AH1261" i="1"/>
  <c r="AC1261" i="1"/>
  <c r="Z1261" i="1"/>
  <c r="AD1261" i="1" s="1"/>
  <c r="Y1261" i="1"/>
  <c r="U1261" i="1"/>
  <c r="J1261" i="1"/>
  <c r="AO1260" i="1"/>
  <c r="AM1260" i="1"/>
  <c r="AL1260" i="1"/>
  <c r="AN1260" i="1" s="1"/>
  <c r="AK1260" i="1"/>
  <c r="AJ1260" i="1"/>
  <c r="AH1260" i="1"/>
  <c r="Z1260" i="1"/>
  <c r="AD1260" i="1" s="1"/>
  <c r="Y1260" i="1"/>
  <c r="AC1260" i="1" s="1"/>
  <c r="U1260" i="1"/>
  <c r="J1260" i="1"/>
  <c r="AO1259" i="1"/>
  <c r="AK1259" i="1"/>
  <c r="AJ1259" i="1"/>
  <c r="AH1259" i="1"/>
  <c r="AE1259" i="1"/>
  <c r="Z1259" i="1"/>
  <c r="AD1259" i="1" s="1"/>
  <c r="Y1259" i="1"/>
  <c r="U1259" i="1"/>
  <c r="J1259" i="1"/>
  <c r="AO1258" i="1"/>
  <c r="AK1258" i="1"/>
  <c r="AM1258" i="1" s="1"/>
  <c r="AJ1258" i="1"/>
  <c r="AH1258" i="1"/>
  <c r="AD1258" i="1"/>
  <c r="AA1258" i="1"/>
  <c r="AB1258" i="1" s="1"/>
  <c r="Z1258" i="1"/>
  <c r="Y1258" i="1"/>
  <c r="U1258" i="1"/>
  <c r="J1258" i="1"/>
  <c r="AC1258" i="1" s="1"/>
  <c r="AO1257" i="1"/>
  <c r="AK1257" i="1"/>
  <c r="AJ1257" i="1"/>
  <c r="AH1257" i="1"/>
  <c r="AC1257" i="1"/>
  <c r="Z1257" i="1"/>
  <c r="Y1257" i="1"/>
  <c r="U1257" i="1"/>
  <c r="J1257" i="1"/>
  <c r="AE1257" i="1" s="1"/>
  <c r="AO1256" i="1"/>
  <c r="AM1256" i="1"/>
  <c r="AL1256" i="1"/>
  <c r="AN1256" i="1" s="1"/>
  <c r="AK1256" i="1"/>
  <c r="AJ1256" i="1"/>
  <c r="AH1256" i="1"/>
  <c r="Z1256" i="1"/>
  <c r="AD1256" i="1" s="1"/>
  <c r="Y1256" i="1"/>
  <c r="AC1256" i="1" s="1"/>
  <c r="U1256" i="1"/>
  <c r="J1256" i="1"/>
  <c r="AE1256" i="1" s="1"/>
  <c r="AO1255" i="1"/>
  <c r="AK1255" i="1"/>
  <c r="AJ1255" i="1"/>
  <c r="AH1255" i="1"/>
  <c r="Z1255" i="1"/>
  <c r="AD1255" i="1" s="1"/>
  <c r="Y1255" i="1"/>
  <c r="U1255" i="1"/>
  <c r="J1255" i="1"/>
  <c r="AO1254" i="1"/>
  <c r="AL1254" i="1"/>
  <c r="AN1254" i="1" s="1"/>
  <c r="AK1254" i="1"/>
  <c r="AM1254" i="1" s="1"/>
  <c r="AJ1254" i="1"/>
  <c r="AH1254" i="1"/>
  <c r="AD1254" i="1"/>
  <c r="AC1254" i="1"/>
  <c r="AA1254" i="1"/>
  <c r="AB1254" i="1" s="1"/>
  <c r="Z1254" i="1"/>
  <c r="Y1254" i="1"/>
  <c r="U1254" i="1"/>
  <c r="J1254" i="1"/>
  <c r="AO1253" i="1"/>
  <c r="AM1253" i="1"/>
  <c r="AL1253" i="1"/>
  <c r="AN1253" i="1" s="1"/>
  <c r="AK1253" i="1"/>
  <c r="AJ1253" i="1"/>
  <c r="AH1253" i="1"/>
  <c r="AE1253" i="1"/>
  <c r="AD1253" i="1"/>
  <c r="Z1253" i="1"/>
  <c r="Y1253" i="1"/>
  <c r="AC1253" i="1" s="1"/>
  <c r="U1253" i="1"/>
  <c r="J1253" i="1"/>
  <c r="AO1252" i="1"/>
  <c r="AL1252" i="1"/>
  <c r="AN1252" i="1" s="1"/>
  <c r="AK1252" i="1"/>
  <c r="AM1252" i="1" s="1"/>
  <c r="AJ1252" i="1"/>
  <c r="AH1252" i="1"/>
  <c r="Z1252" i="1"/>
  <c r="AD1252" i="1" s="1"/>
  <c r="Y1252" i="1"/>
  <c r="U1252" i="1"/>
  <c r="J1252" i="1"/>
  <c r="AO1251" i="1"/>
  <c r="AK1251" i="1"/>
  <c r="AM1251" i="1" s="1"/>
  <c r="AJ1251" i="1"/>
  <c r="AH1251" i="1"/>
  <c r="AC1251" i="1"/>
  <c r="AA1251" i="1"/>
  <c r="AB1251" i="1" s="1"/>
  <c r="Z1251" i="1"/>
  <c r="Y1251" i="1"/>
  <c r="U1251" i="1"/>
  <c r="J1251" i="1"/>
  <c r="AD1251" i="1" s="1"/>
  <c r="AO1250" i="1"/>
  <c r="AM1250" i="1"/>
  <c r="AK1250" i="1"/>
  <c r="AL1250" i="1" s="1"/>
  <c r="AN1250" i="1" s="1"/>
  <c r="AJ1250" i="1"/>
  <c r="AH1250" i="1"/>
  <c r="Z1250" i="1"/>
  <c r="Y1250" i="1"/>
  <c r="AC1250" i="1" s="1"/>
  <c r="U1250" i="1"/>
  <c r="J1250" i="1"/>
  <c r="AO1249" i="1"/>
  <c r="AK1249" i="1"/>
  <c r="AM1249" i="1" s="1"/>
  <c r="AJ1249" i="1"/>
  <c r="AH1249" i="1"/>
  <c r="Z1249" i="1"/>
  <c r="Y1249" i="1"/>
  <c r="AC1249" i="1" s="1"/>
  <c r="U1249" i="1"/>
  <c r="J1249" i="1"/>
  <c r="AD1249" i="1" s="1"/>
  <c r="AO1248" i="1"/>
  <c r="AK1248" i="1"/>
  <c r="AM1248" i="1" s="1"/>
  <c r="AJ1248" i="1"/>
  <c r="AH1248" i="1"/>
  <c r="AA1248" i="1"/>
  <c r="AB1248" i="1" s="1"/>
  <c r="Z1248" i="1"/>
  <c r="Y1248" i="1"/>
  <c r="U1248" i="1"/>
  <c r="J1248" i="1"/>
  <c r="AD1248" i="1" s="1"/>
  <c r="AO1247" i="1"/>
  <c r="AM1247" i="1"/>
  <c r="AK1247" i="1"/>
  <c r="AL1247" i="1" s="1"/>
  <c r="AN1247" i="1" s="1"/>
  <c r="AJ1247" i="1"/>
  <c r="AH1247" i="1"/>
  <c r="Z1247" i="1"/>
  <c r="AD1247" i="1" s="1"/>
  <c r="Y1247" i="1"/>
  <c r="AC1247" i="1" s="1"/>
  <c r="U1247" i="1"/>
  <c r="J1247" i="1"/>
  <c r="AE1247" i="1" s="1"/>
  <c r="AO1246" i="1"/>
  <c r="AK1246" i="1"/>
  <c r="AJ1246" i="1"/>
  <c r="AH1246" i="1"/>
  <c r="Z1246" i="1"/>
  <c r="AD1246" i="1" s="1"/>
  <c r="Y1246" i="1"/>
  <c r="AC1246" i="1" s="1"/>
  <c r="U1246" i="1"/>
  <c r="J1246" i="1"/>
  <c r="AO1245" i="1"/>
  <c r="AK1245" i="1"/>
  <c r="AM1245" i="1" s="1"/>
  <c r="AJ1245" i="1"/>
  <c r="AH1245" i="1"/>
  <c r="Z1245" i="1"/>
  <c r="Y1245" i="1"/>
  <c r="U1245" i="1"/>
  <c r="J1245" i="1"/>
  <c r="AC1245" i="1" s="1"/>
  <c r="AO1244" i="1"/>
  <c r="AM1244" i="1" s="1"/>
  <c r="AL1244" i="1"/>
  <c r="AN1244" i="1" s="1"/>
  <c r="AK1244" i="1"/>
  <c r="AJ1244" i="1"/>
  <c r="AH1244" i="1"/>
  <c r="AC1244" i="1"/>
  <c r="AA1244" i="1"/>
  <c r="AB1244" i="1" s="1"/>
  <c r="Z1244" i="1"/>
  <c r="AD1244" i="1" s="1"/>
  <c r="Y1244" i="1"/>
  <c r="U1244" i="1"/>
  <c r="J1244" i="1"/>
  <c r="AE1244" i="1" s="1"/>
  <c r="AO1243" i="1"/>
  <c r="AK1243" i="1"/>
  <c r="AJ1243" i="1"/>
  <c r="AH1243" i="1"/>
  <c r="Z1243" i="1"/>
  <c r="AD1243" i="1" s="1"/>
  <c r="Y1243" i="1"/>
  <c r="AC1243" i="1" s="1"/>
  <c r="U1243" i="1"/>
  <c r="J1243" i="1"/>
  <c r="AO1242" i="1"/>
  <c r="AL1242" i="1"/>
  <c r="AN1242" i="1" s="1"/>
  <c r="AK1242" i="1"/>
  <c r="AM1242" i="1" s="1"/>
  <c r="AJ1242" i="1"/>
  <c r="AH1242" i="1"/>
  <c r="AC1242" i="1"/>
  <c r="AA1242" i="1"/>
  <c r="AB1242" i="1" s="1"/>
  <c r="Z1242" i="1"/>
  <c r="Y1242" i="1"/>
  <c r="U1242" i="1"/>
  <c r="J1242" i="1"/>
  <c r="AD1242" i="1" s="1"/>
  <c r="AO1241" i="1"/>
  <c r="AM1241" i="1"/>
  <c r="AK1241" i="1"/>
  <c r="AL1241" i="1" s="1"/>
  <c r="AN1241" i="1" s="1"/>
  <c r="AJ1241" i="1"/>
  <c r="AH1241" i="1"/>
  <c r="Z1241" i="1"/>
  <c r="AD1241" i="1" s="1"/>
  <c r="Y1241" i="1"/>
  <c r="AC1241" i="1" s="1"/>
  <c r="U1241" i="1"/>
  <c r="J1241" i="1"/>
  <c r="AO1240" i="1"/>
  <c r="AM1240" i="1"/>
  <c r="AK1240" i="1"/>
  <c r="AL1240" i="1" s="1"/>
  <c r="AN1240" i="1" s="1"/>
  <c r="AJ1240" i="1"/>
  <c r="AH1240" i="1"/>
  <c r="AC1240" i="1"/>
  <c r="AA1240" i="1"/>
  <c r="AB1240" i="1" s="1"/>
  <c r="Z1240" i="1"/>
  <c r="Y1240" i="1"/>
  <c r="U1240" i="1"/>
  <c r="J1240" i="1"/>
  <c r="AO1239" i="1"/>
  <c r="AK1239" i="1"/>
  <c r="AJ1239" i="1"/>
  <c r="AH1239" i="1"/>
  <c r="AB1239" i="1"/>
  <c r="Z1239" i="1"/>
  <c r="Y1239" i="1"/>
  <c r="AA1239" i="1" s="1"/>
  <c r="U1239" i="1"/>
  <c r="J1239" i="1"/>
  <c r="AD1239" i="1" s="1"/>
  <c r="AO1238" i="1"/>
  <c r="AL1238" i="1"/>
  <c r="AN1238" i="1" s="1"/>
  <c r="AK1238" i="1"/>
  <c r="AM1238" i="1" s="1"/>
  <c r="AJ1238" i="1"/>
  <c r="AH1238" i="1"/>
  <c r="AD1238" i="1"/>
  <c r="AA1238" i="1"/>
  <c r="AB1238" i="1" s="1"/>
  <c r="Z1238" i="1"/>
  <c r="Y1238" i="1"/>
  <c r="U1238" i="1"/>
  <c r="J1238" i="1"/>
  <c r="AE1238" i="1" s="1"/>
  <c r="AO1237" i="1"/>
  <c r="AM1237" i="1" s="1"/>
  <c r="AN1237" i="1"/>
  <c r="AK1237" i="1"/>
  <c r="AL1237" i="1" s="1"/>
  <c r="AJ1237" i="1"/>
  <c r="AH1237" i="1"/>
  <c r="Z1237" i="1"/>
  <c r="AD1237" i="1" s="1"/>
  <c r="Y1237" i="1"/>
  <c r="AC1237" i="1" s="1"/>
  <c r="U1237" i="1"/>
  <c r="J1237" i="1"/>
  <c r="AO1236" i="1"/>
  <c r="AL1236" i="1"/>
  <c r="AN1236" i="1" s="1"/>
  <c r="AK1236" i="1"/>
  <c r="AM1236" i="1" s="1"/>
  <c r="AJ1236" i="1"/>
  <c r="AH1236" i="1"/>
  <c r="AA1236" i="1"/>
  <c r="AB1236" i="1" s="1"/>
  <c r="Z1236" i="1"/>
  <c r="Y1236" i="1"/>
  <c r="U1236" i="1"/>
  <c r="J1236" i="1"/>
  <c r="AD1236" i="1" s="1"/>
  <c r="AO1235" i="1"/>
  <c r="AL1235" i="1"/>
  <c r="AN1235" i="1" s="1"/>
  <c r="AK1235" i="1"/>
  <c r="AM1235" i="1" s="1"/>
  <c r="AJ1235" i="1"/>
  <c r="AH1235" i="1"/>
  <c r="AA1235" i="1"/>
  <c r="AB1235" i="1" s="1"/>
  <c r="Z1235" i="1"/>
  <c r="AD1235" i="1" s="1"/>
  <c r="Y1235" i="1"/>
  <c r="AC1235" i="1" s="1"/>
  <c r="U1235" i="1"/>
  <c r="J1235" i="1"/>
  <c r="AO1234" i="1"/>
  <c r="AK1234" i="1"/>
  <c r="AM1234" i="1" s="1"/>
  <c r="AJ1234" i="1"/>
  <c r="AH1234" i="1"/>
  <c r="AC1234" i="1"/>
  <c r="AB1234" i="1"/>
  <c r="Z1234" i="1"/>
  <c r="Y1234" i="1"/>
  <c r="AA1234" i="1" s="1"/>
  <c r="U1234" i="1"/>
  <c r="J1234" i="1"/>
  <c r="AD1234" i="1" s="1"/>
  <c r="AS1233" i="1"/>
  <c r="AS1234" i="1" s="1"/>
  <c r="AS1236" i="1" s="1"/>
  <c r="AO1233" i="1"/>
  <c r="AL1233" i="1"/>
  <c r="AN1233" i="1" s="1"/>
  <c r="AK1233" i="1"/>
  <c r="AM1233" i="1" s="1"/>
  <c r="AJ1233" i="1"/>
  <c r="AH1233" i="1"/>
  <c r="AE1233" i="1"/>
  <c r="AD1233" i="1"/>
  <c r="Z1233" i="1"/>
  <c r="Y1233" i="1"/>
  <c r="AA1233" i="1" s="1"/>
  <c r="AB1233" i="1" s="1"/>
  <c r="U1233" i="1"/>
  <c r="J1233" i="1"/>
  <c r="AC1233" i="1" s="1"/>
  <c r="AO1232" i="1"/>
  <c r="AK1232" i="1"/>
  <c r="AM1232" i="1" s="1"/>
  <c r="AJ1232" i="1"/>
  <c r="AH1232" i="1"/>
  <c r="AC1232" i="1"/>
  <c r="Z1232" i="1"/>
  <c r="AD1232" i="1" s="1"/>
  <c r="Y1232" i="1"/>
  <c r="U1232" i="1"/>
  <c r="L1232" i="1"/>
  <c r="M1232" i="1" s="1"/>
  <c r="N1232" i="1" s="1"/>
  <c r="J1232" i="1"/>
  <c r="AO1231" i="1"/>
  <c r="AM1231" i="1" s="1"/>
  <c r="AL1231" i="1"/>
  <c r="AN1231" i="1" s="1"/>
  <c r="AK1231" i="1"/>
  <c r="AJ1231" i="1"/>
  <c r="AH1231" i="1"/>
  <c r="AD1231" i="1"/>
  <c r="Z1231" i="1"/>
  <c r="Y1231" i="1"/>
  <c r="U1231" i="1"/>
  <c r="Q1231" i="1"/>
  <c r="P1231" i="1"/>
  <c r="O1232" i="1" s="1"/>
  <c r="N1231" i="1"/>
  <c r="M1231" i="1"/>
  <c r="J1231" i="1"/>
  <c r="AO1230" i="1"/>
  <c r="AN1230" i="1"/>
  <c r="AL1230" i="1"/>
  <c r="AK1230" i="1"/>
  <c r="AM1230" i="1" s="1"/>
  <c r="AJ1230" i="1"/>
  <c r="AH1230" i="1"/>
  <c r="AD1230" i="1"/>
  <c r="AC1230" i="1"/>
  <c r="AB1230" i="1"/>
  <c r="Z1230" i="1"/>
  <c r="Y1230" i="1"/>
  <c r="AA1230" i="1" s="1"/>
  <c r="U1230" i="1"/>
  <c r="J1230" i="1"/>
  <c r="AO1229" i="1"/>
  <c r="AM1229" i="1" s="1"/>
  <c r="AK1229" i="1"/>
  <c r="AL1229" i="1" s="1"/>
  <c r="AN1229" i="1" s="1"/>
  <c r="AJ1229" i="1"/>
  <c r="AH1229" i="1"/>
  <c r="AA1229" i="1"/>
  <c r="AB1229" i="1" s="1"/>
  <c r="Z1229" i="1"/>
  <c r="AD1229" i="1" s="1"/>
  <c r="Y1229" i="1"/>
  <c r="AC1229" i="1" s="1"/>
  <c r="U1229" i="1"/>
  <c r="J1229" i="1"/>
  <c r="AO1228" i="1"/>
  <c r="AM1228" i="1"/>
  <c r="AL1228" i="1"/>
  <c r="AN1228" i="1" s="1"/>
  <c r="AK1228" i="1"/>
  <c r="AJ1228" i="1"/>
  <c r="AH1228" i="1"/>
  <c r="AC1228" i="1"/>
  <c r="Z1228" i="1"/>
  <c r="AD1228" i="1" s="1"/>
  <c r="Y1228" i="1"/>
  <c r="AA1228" i="1" s="1"/>
  <c r="AB1228" i="1" s="1"/>
  <c r="U1228" i="1"/>
  <c r="J1228" i="1"/>
  <c r="AO1227" i="1"/>
  <c r="AN1227" i="1"/>
  <c r="AL1227" i="1"/>
  <c r="AK1227" i="1"/>
  <c r="AM1227" i="1" s="1"/>
  <c r="AJ1227" i="1"/>
  <c r="AH1227" i="1"/>
  <c r="AB1227" i="1"/>
  <c r="AA1227" i="1"/>
  <c r="Z1227" i="1"/>
  <c r="Y1227" i="1"/>
  <c r="U1227" i="1"/>
  <c r="J1227" i="1"/>
  <c r="AC1227" i="1" s="1"/>
  <c r="AO1226" i="1"/>
  <c r="AM1226" i="1" s="1"/>
  <c r="AK1226" i="1"/>
  <c r="AL1226" i="1" s="1"/>
  <c r="AN1226" i="1" s="1"/>
  <c r="AJ1226" i="1"/>
  <c r="AH1226" i="1"/>
  <c r="Z1226" i="1"/>
  <c r="AD1226" i="1" s="1"/>
  <c r="Y1226" i="1"/>
  <c r="U1226" i="1"/>
  <c r="J1226" i="1"/>
  <c r="AO1225" i="1"/>
  <c r="AK1225" i="1"/>
  <c r="AJ1225" i="1"/>
  <c r="AH1225" i="1"/>
  <c r="Z1225" i="1"/>
  <c r="AA1225" i="1" s="1"/>
  <c r="AB1225" i="1" s="1"/>
  <c r="Y1225" i="1"/>
  <c r="AC1225" i="1" s="1"/>
  <c r="U1225" i="1"/>
  <c r="J1225" i="1"/>
  <c r="AO1224" i="1"/>
  <c r="AN1224" i="1"/>
  <c r="AM1224" i="1"/>
  <c r="AL1224" i="1"/>
  <c r="AK1224" i="1"/>
  <c r="AJ1224" i="1"/>
  <c r="AH1224" i="1"/>
  <c r="Z1224" i="1"/>
  <c r="Y1224" i="1"/>
  <c r="AA1224" i="1" s="1"/>
  <c r="AB1224" i="1" s="1"/>
  <c r="U1224" i="1"/>
  <c r="J1224" i="1"/>
  <c r="AE1224" i="1" s="1"/>
  <c r="AO1223" i="1"/>
  <c r="AK1223" i="1"/>
  <c r="AJ1223" i="1"/>
  <c r="AH1223" i="1"/>
  <c r="Z1223" i="1"/>
  <c r="AD1223" i="1" s="1"/>
  <c r="Y1223" i="1"/>
  <c r="AC1223" i="1" s="1"/>
  <c r="U1223" i="1"/>
  <c r="J1223" i="1"/>
  <c r="AO1222" i="1"/>
  <c r="AM1222" i="1"/>
  <c r="AK1222" i="1"/>
  <c r="AL1222" i="1" s="1"/>
  <c r="AN1222" i="1" s="1"/>
  <c r="AJ1222" i="1"/>
  <c r="AH1222" i="1"/>
  <c r="AC1222" i="1"/>
  <c r="AA1222" i="1"/>
  <c r="AB1222" i="1" s="1"/>
  <c r="Z1222" i="1"/>
  <c r="AD1222" i="1" s="1"/>
  <c r="Y1222" i="1"/>
  <c r="U1222" i="1"/>
  <c r="J1222" i="1"/>
  <c r="AO1221" i="1"/>
  <c r="AK1221" i="1"/>
  <c r="AM1221" i="1" s="1"/>
  <c r="AJ1221" i="1"/>
  <c r="AH1221" i="1"/>
  <c r="AD1221" i="1"/>
  <c r="AC1221" i="1"/>
  <c r="Z1221" i="1"/>
  <c r="AA1221" i="1" s="1"/>
  <c r="AB1221" i="1" s="1"/>
  <c r="Y1221" i="1"/>
  <c r="U1221" i="1"/>
  <c r="J1221" i="1"/>
  <c r="AO1220" i="1"/>
  <c r="AK1220" i="1"/>
  <c r="AL1220" i="1" s="1"/>
  <c r="AN1220" i="1" s="1"/>
  <c r="AJ1220" i="1"/>
  <c r="AH1220" i="1"/>
  <c r="AA1220" i="1"/>
  <c r="AB1220" i="1" s="1"/>
  <c r="Z1220" i="1"/>
  <c r="AD1220" i="1" s="1"/>
  <c r="Y1220" i="1"/>
  <c r="AC1220" i="1" s="1"/>
  <c r="U1220" i="1"/>
  <c r="J1220" i="1"/>
  <c r="AO1219" i="1"/>
  <c r="AM1219" i="1"/>
  <c r="AL1219" i="1"/>
  <c r="AN1219" i="1" s="1"/>
  <c r="AK1219" i="1"/>
  <c r="AJ1219" i="1"/>
  <c r="AH1219" i="1"/>
  <c r="AE1219" i="1"/>
  <c r="Z1219" i="1"/>
  <c r="AD1219" i="1" s="1"/>
  <c r="Y1219" i="1"/>
  <c r="U1219" i="1"/>
  <c r="J1219" i="1"/>
  <c r="AO1218" i="1"/>
  <c r="AL1218" i="1"/>
  <c r="AN1218" i="1" s="1"/>
  <c r="AK1218" i="1"/>
  <c r="AM1218" i="1" s="1"/>
  <c r="AJ1218" i="1"/>
  <c r="AH1218" i="1"/>
  <c r="AA1218" i="1"/>
  <c r="AB1218" i="1" s="1"/>
  <c r="Z1218" i="1"/>
  <c r="AD1218" i="1" s="1"/>
  <c r="Y1218" i="1"/>
  <c r="AC1218" i="1" s="1"/>
  <c r="U1218" i="1"/>
  <c r="J1218" i="1"/>
  <c r="AO1217" i="1"/>
  <c r="AM1217" i="1" s="1"/>
  <c r="AN1217" i="1"/>
  <c r="AL1217" i="1"/>
  <c r="AK1217" i="1"/>
  <c r="AJ1217" i="1"/>
  <c r="AH1217" i="1"/>
  <c r="Z1217" i="1"/>
  <c r="Y1217" i="1"/>
  <c r="AA1217" i="1" s="1"/>
  <c r="AB1217" i="1" s="1"/>
  <c r="U1217" i="1"/>
  <c r="J1217" i="1"/>
  <c r="AC1217" i="1" s="1"/>
  <c r="AO1216" i="1"/>
  <c r="AK1216" i="1"/>
  <c r="AM1216" i="1" s="1"/>
  <c r="AJ1216" i="1"/>
  <c r="AH1216" i="1"/>
  <c r="Z1216" i="1"/>
  <c r="Y1216" i="1"/>
  <c r="U1216" i="1"/>
  <c r="J1216" i="1"/>
  <c r="AC1216" i="1" s="1"/>
  <c r="AO1215" i="1"/>
  <c r="AM1215" i="1" s="1"/>
  <c r="AN1215" i="1"/>
  <c r="AL1215" i="1"/>
  <c r="AK1215" i="1"/>
  <c r="AJ1215" i="1"/>
  <c r="AH1215" i="1"/>
  <c r="Z1215" i="1"/>
  <c r="AD1215" i="1" s="1"/>
  <c r="Y1215" i="1"/>
  <c r="U1215" i="1"/>
  <c r="J1215" i="1"/>
  <c r="AO1214" i="1"/>
  <c r="AM1214" i="1"/>
  <c r="AL1214" i="1"/>
  <c r="AN1214" i="1" s="1"/>
  <c r="AK1214" i="1"/>
  <c r="AJ1214" i="1"/>
  <c r="AH1214" i="1"/>
  <c r="AB1214" i="1"/>
  <c r="AA1214" i="1"/>
  <c r="Z1214" i="1"/>
  <c r="AD1214" i="1" s="1"/>
  <c r="Y1214" i="1"/>
  <c r="U1214" i="1"/>
  <c r="J1214" i="1"/>
  <c r="AE1214" i="1" s="1"/>
  <c r="AO1213" i="1"/>
  <c r="AK1213" i="1"/>
  <c r="AJ1213" i="1"/>
  <c r="AH1213" i="1"/>
  <c r="AD1213" i="1"/>
  <c r="Z1213" i="1"/>
  <c r="Y1213" i="1"/>
  <c r="U1213" i="1"/>
  <c r="J1213" i="1"/>
  <c r="AO1212" i="1"/>
  <c r="AM1212" i="1"/>
  <c r="AL1212" i="1"/>
  <c r="AN1212" i="1" s="1"/>
  <c r="AK1212" i="1"/>
  <c r="AJ1212" i="1"/>
  <c r="AH1212" i="1"/>
  <c r="AA1212" i="1"/>
  <c r="AB1212" i="1" s="1"/>
  <c r="Z1212" i="1"/>
  <c r="Y1212" i="1"/>
  <c r="U1212" i="1"/>
  <c r="J1212" i="1"/>
  <c r="AO1211" i="1"/>
  <c r="AK1211" i="1"/>
  <c r="AJ1211" i="1"/>
  <c r="AH1211" i="1"/>
  <c r="Z1211" i="1"/>
  <c r="AD1211" i="1" s="1"/>
  <c r="Y1211" i="1"/>
  <c r="AC1211" i="1" s="1"/>
  <c r="U1211" i="1"/>
  <c r="J1211" i="1"/>
  <c r="AO1210" i="1"/>
  <c r="AM1210" i="1" s="1"/>
  <c r="AK1210" i="1"/>
  <c r="AL1210" i="1" s="1"/>
  <c r="AN1210" i="1" s="1"/>
  <c r="AJ1210" i="1"/>
  <c r="AH1210" i="1"/>
  <c r="Z1210" i="1"/>
  <c r="Y1210" i="1"/>
  <c r="AA1210" i="1" s="1"/>
  <c r="AB1210" i="1" s="1"/>
  <c r="U1210" i="1"/>
  <c r="J1210" i="1"/>
  <c r="AD1210" i="1" s="1"/>
  <c r="AO1209" i="1"/>
  <c r="AK1209" i="1"/>
  <c r="AM1209" i="1" s="1"/>
  <c r="AJ1209" i="1"/>
  <c r="AH1209" i="1"/>
  <c r="Z1209" i="1"/>
  <c r="AA1209" i="1" s="1"/>
  <c r="AB1209" i="1" s="1"/>
  <c r="Y1209" i="1"/>
  <c r="AC1209" i="1" s="1"/>
  <c r="U1209" i="1"/>
  <c r="J1209" i="1"/>
  <c r="AO1208" i="1"/>
  <c r="AN1208" i="1"/>
  <c r="AM1208" i="1"/>
  <c r="AL1208" i="1"/>
  <c r="AK1208" i="1"/>
  <c r="AJ1208" i="1"/>
  <c r="AH1208" i="1"/>
  <c r="Z1208" i="1"/>
  <c r="Y1208" i="1"/>
  <c r="AA1208" i="1" s="1"/>
  <c r="AB1208" i="1" s="1"/>
  <c r="U1208" i="1"/>
  <c r="J1208" i="1"/>
  <c r="AO1207" i="1"/>
  <c r="AK1207" i="1"/>
  <c r="AJ1207" i="1"/>
  <c r="AH1207" i="1"/>
  <c r="Z1207" i="1"/>
  <c r="Y1207" i="1"/>
  <c r="AC1207" i="1" s="1"/>
  <c r="U1207" i="1"/>
  <c r="J1207" i="1"/>
  <c r="AO1206" i="1"/>
  <c r="AM1206" i="1" s="1"/>
  <c r="AN1206" i="1"/>
  <c r="AL1206" i="1"/>
  <c r="AK1206" i="1"/>
  <c r="AJ1206" i="1"/>
  <c r="AH1206" i="1"/>
  <c r="AE1206" i="1"/>
  <c r="Z1206" i="1"/>
  <c r="AD1206" i="1" s="1"/>
  <c r="Y1206" i="1"/>
  <c r="U1206" i="1"/>
  <c r="J1206" i="1"/>
  <c r="AO1205" i="1"/>
  <c r="AK1205" i="1"/>
  <c r="AM1205" i="1" s="1"/>
  <c r="AJ1205" i="1"/>
  <c r="AH1205" i="1"/>
  <c r="AB1205" i="1"/>
  <c r="AA1205" i="1"/>
  <c r="Z1205" i="1"/>
  <c r="Y1205" i="1"/>
  <c r="U1205" i="1"/>
  <c r="J1205" i="1"/>
  <c r="AC1205" i="1" s="1"/>
  <c r="AO1204" i="1"/>
  <c r="AK1204" i="1"/>
  <c r="AJ1204" i="1"/>
  <c r="AH1204" i="1"/>
  <c r="Z1204" i="1"/>
  <c r="AD1204" i="1" s="1"/>
  <c r="Y1204" i="1"/>
  <c r="AA1204" i="1" s="1"/>
  <c r="AB1204" i="1" s="1"/>
  <c r="U1204" i="1"/>
  <c r="J1204" i="1"/>
  <c r="AO1203" i="1"/>
  <c r="AM1203" i="1"/>
  <c r="AK1203" i="1"/>
  <c r="AL1203" i="1" s="1"/>
  <c r="AN1203" i="1" s="1"/>
  <c r="AJ1203" i="1"/>
  <c r="AH1203" i="1"/>
  <c r="Z1203" i="1"/>
  <c r="Y1203" i="1"/>
  <c r="U1203" i="1"/>
  <c r="J1203" i="1"/>
  <c r="AC1203" i="1" s="1"/>
  <c r="AO1202" i="1"/>
  <c r="AN1202" i="1"/>
  <c r="AM1202" i="1"/>
  <c r="AK1202" i="1"/>
  <c r="AL1202" i="1" s="1"/>
  <c r="AJ1202" i="1"/>
  <c r="AH1202" i="1"/>
  <c r="Z1202" i="1"/>
  <c r="AD1202" i="1" s="1"/>
  <c r="Y1202" i="1"/>
  <c r="AC1202" i="1" s="1"/>
  <c r="U1202" i="1"/>
  <c r="J1202" i="1"/>
  <c r="AO1201" i="1"/>
  <c r="AK1201" i="1"/>
  <c r="AM1201" i="1" s="1"/>
  <c r="AJ1201" i="1"/>
  <c r="AH1201" i="1"/>
  <c r="AD1201" i="1"/>
  <c r="AC1201" i="1"/>
  <c r="AA1201" i="1"/>
  <c r="AB1201" i="1" s="1"/>
  <c r="Z1201" i="1"/>
  <c r="Y1201" i="1"/>
  <c r="U1201" i="1"/>
  <c r="J1201" i="1"/>
  <c r="AE1201" i="1" s="1"/>
  <c r="AO1200" i="1"/>
  <c r="AM1200" i="1" s="1"/>
  <c r="AN1200" i="1"/>
  <c r="AL1200" i="1"/>
  <c r="AK1200" i="1"/>
  <c r="AJ1200" i="1"/>
  <c r="AH1200" i="1"/>
  <c r="Z1200" i="1"/>
  <c r="AD1200" i="1" s="1"/>
  <c r="Y1200" i="1"/>
  <c r="AC1200" i="1" s="1"/>
  <c r="U1200" i="1"/>
  <c r="J1200" i="1"/>
  <c r="AO1199" i="1"/>
  <c r="AK1199" i="1"/>
  <c r="AM1199" i="1" s="1"/>
  <c r="AJ1199" i="1"/>
  <c r="AH1199" i="1"/>
  <c r="AC1199" i="1"/>
  <c r="AB1199" i="1"/>
  <c r="Z1199" i="1"/>
  <c r="Y1199" i="1"/>
  <c r="AA1199" i="1" s="1"/>
  <c r="U1199" i="1"/>
  <c r="J1199" i="1"/>
  <c r="AD1199" i="1" s="1"/>
  <c r="AO1198" i="1"/>
  <c r="AL1198" i="1"/>
  <c r="AN1198" i="1" s="1"/>
  <c r="AK1198" i="1"/>
  <c r="AJ1198" i="1"/>
  <c r="AH1198" i="1"/>
  <c r="Z1198" i="1"/>
  <c r="AD1198" i="1" s="1"/>
  <c r="Y1198" i="1"/>
  <c r="U1198" i="1"/>
  <c r="J1198" i="1"/>
  <c r="AO1197" i="1"/>
  <c r="AM1197" i="1"/>
  <c r="AK1197" i="1"/>
  <c r="AL1197" i="1" s="1"/>
  <c r="AN1197" i="1" s="1"/>
  <c r="AJ1197" i="1"/>
  <c r="AH1197" i="1"/>
  <c r="Z1197" i="1"/>
  <c r="Y1197" i="1"/>
  <c r="AC1197" i="1" s="1"/>
  <c r="U1197" i="1"/>
  <c r="J1197" i="1"/>
  <c r="AD1197" i="1" s="1"/>
  <c r="AS1196" i="1"/>
  <c r="AS1197" i="1" s="1"/>
  <c r="AS1199" i="1" s="1"/>
  <c r="AO1196" i="1"/>
  <c r="AK1196" i="1"/>
  <c r="AM1196" i="1" s="1"/>
  <c r="AJ1196" i="1"/>
  <c r="AH1196" i="1"/>
  <c r="AD1196" i="1"/>
  <c r="AC1196" i="1"/>
  <c r="AA1196" i="1"/>
  <c r="AB1196" i="1" s="1"/>
  <c r="Z1196" i="1"/>
  <c r="Y1196" i="1"/>
  <c r="U1196" i="1"/>
  <c r="J1196" i="1"/>
  <c r="AO1195" i="1"/>
  <c r="AM1195" i="1" s="1"/>
  <c r="AN1195" i="1"/>
  <c r="AL1195" i="1"/>
  <c r="AK1195" i="1"/>
  <c r="AJ1195" i="1"/>
  <c r="AH1195" i="1"/>
  <c r="Z1195" i="1"/>
  <c r="AD1195" i="1" s="1"/>
  <c r="Y1195" i="1"/>
  <c r="AC1195" i="1" s="1"/>
  <c r="U1195" i="1"/>
  <c r="P1195" i="1"/>
  <c r="O1196" i="1" s="1"/>
  <c r="O1195" i="1"/>
  <c r="J1195" i="1"/>
  <c r="AO1194" i="1"/>
  <c r="AK1194" i="1"/>
  <c r="AM1194" i="1" s="1"/>
  <c r="AJ1194" i="1"/>
  <c r="AH1194" i="1"/>
  <c r="AB1194" i="1"/>
  <c r="AA1194" i="1"/>
  <c r="Z1194" i="1"/>
  <c r="Y1194" i="1"/>
  <c r="U1194" i="1"/>
  <c r="Q1194" i="1"/>
  <c r="P1194" i="1"/>
  <c r="M1194" i="1"/>
  <c r="J1194" i="1"/>
  <c r="AO1193" i="1"/>
  <c r="AM1193" i="1" s="1"/>
  <c r="AN1193" i="1"/>
  <c r="AL1193" i="1"/>
  <c r="AK1193" i="1"/>
  <c r="AJ1193" i="1"/>
  <c r="AH1193" i="1"/>
  <c r="Z1193" i="1"/>
  <c r="AD1193" i="1" s="1"/>
  <c r="Y1193" i="1"/>
  <c r="AC1193" i="1" s="1"/>
  <c r="U1193" i="1"/>
  <c r="J1193" i="1"/>
  <c r="AO1192" i="1"/>
  <c r="AK1192" i="1"/>
  <c r="AM1192" i="1" s="1"/>
  <c r="AJ1192" i="1"/>
  <c r="AH1192" i="1"/>
  <c r="Z1192" i="1"/>
  <c r="AD1192" i="1" s="1"/>
  <c r="Y1192" i="1"/>
  <c r="AC1192" i="1" s="1"/>
  <c r="U1192" i="1"/>
  <c r="J1192" i="1"/>
  <c r="AO1191" i="1"/>
  <c r="AK1191" i="1"/>
  <c r="AM1191" i="1" s="1"/>
  <c r="AJ1191" i="1"/>
  <c r="AH1191" i="1"/>
  <c r="AC1191" i="1"/>
  <c r="Z1191" i="1"/>
  <c r="AD1191" i="1" s="1"/>
  <c r="Y1191" i="1"/>
  <c r="U1191" i="1"/>
  <c r="J1191" i="1"/>
  <c r="AE1191" i="1" s="1"/>
  <c r="AO1190" i="1"/>
  <c r="AM1190" i="1"/>
  <c r="AL1190" i="1"/>
  <c r="AN1190" i="1" s="1"/>
  <c r="AK1190" i="1"/>
  <c r="AJ1190" i="1"/>
  <c r="AH1190" i="1"/>
  <c r="Z1190" i="1"/>
  <c r="AD1190" i="1" s="1"/>
  <c r="Y1190" i="1"/>
  <c r="U1190" i="1"/>
  <c r="J1190" i="1"/>
  <c r="AC1190" i="1" s="1"/>
  <c r="AO1189" i="1"/>
  <c r="AN1189" i="1"/>
  <c r="AM1189" i="1"/>
  <c r="AK1189" i="1"/>
  <c r="AL1189" i="1" s="1"/>
  <c r="AJ1189" i="1"/>
  <c r="AH1189" i="1"/>
  <c r="AB1189" i="1"/>
  <c r="AA1189" i="1"/>
  <c r="Z1189" i="1"/>
  <c r="Y1189" i="1"/>
  <c r="U1189" i="1"/>
  <c r="J1189" i="1"/>
  <c r="AC1189" i="1" s="1"/>
  <c r="AO1188" i="1"/>
  <c r="AM1188" i="1" s="1"/>
  <c r="AN1188" i="1"/>
  <c r="AL1188" i="1"/>
  <c r="AK1188" i="1"/>
  <c r="AJ1188" i="1"/>
  <c r="AH1188" i="1"/>
  <c r="Z1188" i="1"/>
  <c r="AD1188" i="1" s="1"/>
  <c r="Y1188" i="1"/>
  <c r="U1188" i="1"/>
  <c r="J1188" i="1"/>
  <c r="AE1188" i="1" s="1"/>
  <c r="AO1187" i="1"/>
  <c r="AK1187" i="1"/>
  <c r="AJ1187" i="1"/>
  <c r="AH1187" i="1"/>
  <c r="AD1187" i="1"/>
  <c r="AA1187" i="1"/>
  <c r="AB1187" i="1" s="1"/>
  <c r="Z1187" i="1"/>
  <c r="Y1187" i="1"/>
  <c r="AC1187" i="1" s="1"/>
  <c r="U1187" i="1"/>
  <c r="J1187" i="1"/>
  <c r="AO1186" i="1"/>
  <c r="AK1186" i="1"/>
  <c r="AM1186" i="1" s="1"/>
  <c r="AJ1186" i="1"/>
  <c r="AH1186" i="1"/>
  <c r="AA1186" i="1"/>
  <c r="AB1186" i="1" s="1"/>
  <c r="Z1186" i="1"/>
  <c r="Y1186" i="1"/>
  <c r="U1186" i="1"/>
  <c r="J1186" i="1"/>
  <c r="AD1186" i="1" s="1"/>
  <c r="AO1185" i="1"/>
  <c r="AK1185" i="1"/>
  <c r="AJ1185" i="1"/>
  <c r="AH1185" i="1"/>
  <c r="Z1185" i="1"/>
  <c r="AD1185" i="1" s="1"/>
  <c r="Y1185" i="1"/>
  <c r="AC1185" i="1" s="1"/>
  <c r="U1185" i="1"/>
  <c r="J1185" i="1"/>
  <c r="AE1185" i="1" s="1"/>
  <c r="AO1184" i="1"/>
  <c r="AN1184" i="1"/>
  <c r="AM1184" i="1"/>
  <c r="AL1184" i="1"/>
  <c r="AK1184" i="1"/>
  <c r="AJ1184" i="1"/>
  <c r="AH1184" i="1"/>
  <c r="Z1184" i="1"/>
  <c r="Y1184" i="1"/>
  <c r="AA1184" i="1" s="1"/>
  <c r="AB1184" i="1" s="1"/>
  <c r="U1184" i="1"/>
  <c r="J1184" i="1"/>
  <c r="AD1184" i="1" s="1"/>
  <c r="AO1183" i="1"/>
  <c r="AM1183" i="1" s="1"/>
  <c r="AN1183" i="1"/>
  <c r="AK1183" i="1"/>
  <c r="AL1183" i="1" s="1"/>
  <c r="AJ1183" i="1"/>
  <c r="AH1183" i="1"/>
  <c r="Z1183" i="1"/>
  <c r="AD1183" i="1" s="1"/>
  <c r="Y1183" i="1"/>
  <c r="U1183" i="1"/>
  <c r="J1183" i="1"/>
  <c r="AO1182" i="1"/>
  <c r="AK1182" i="1"/>
  <c r="AJ1182" i="1"/>
  <c r="AH1182" i="1"/>
  <c r="AD1182" i="1"/>
  <c r="Z1182" i="1"/>
  <c r="Y1182" i="1"/>
  <c r="AA1182" i="1" s="1"/>
  <c r="AB1182" i="1" s="1"/>
  <c r="U1182" i="1"/>
  <c r="J1182" i="1"/>
  <c r="AC1182" i="1" s="1"/>
  <c r="AO1181" i="1"/>
  <c r="AK1181" i="1"/>
  <c r="AJ1181" i="1"/>
  <c r="AH1181" i="1"/>
  <c r="AA1181" i="1"/>
  <c r="AB1181" i="1" s="1"/>
  <c r="Z1181" i="1"/>
  <c r="AD1181" i="1" s="1"/>
  <c r="Y1181" i="1"/>
  <c r="AC1181" i="1" s="1"/>
  <c r="U1181" i="1"/>
  <c r="J1181" i="1"/>
  <c r="AO1180" i="1"/>
  <c r="AM1180" i="1"/>
  <c r="AL1180" i="1"/>
  <c r="AN1180" i="1" s="1"/>
  <c r="AK1180" i="1"/>
  <c r="AJ1180" i="1"/>
  <c r="AH1180" i="1"/>
  <c r="Z1180" i="1"/>
  <c r="AD1180" i="1" s="1"/>
  <c r="Y1180" i="1"/>
  <c r="AC1180" i="1" s="1"/>
  <c r="U1180" i="1"/>
  <c r="J1180" i="1"/>
  <c r="AO1179" i="1"/>
  <c r="AK1179" i="1"/>
  <c r="AM1179" i="1" s="1"/>
  <c r="AJ1179" i="1"/>
  <c r="AH1179" i="1"/>
  <c r="AC1179" i="1"/>
  <c r="Z1179" i="1"/>
  <c r="AD1179" i="1" s="1"/>
  <c r="Y1179" i="1"/>
  <c r="U1179" i="1"/>
  <c r="J1179" i="1"/>
  <c r="AE1179" i="1" s="1"/>
  <c r="AO1178" i="1"/>
  <c r="AK1178" i="1"/>
  <c r="AM1178" i="1" s="1"/>
  <c r="AJ1178" i="1"/>
  <c r="AH1178" i="1"/>
  <c r="AE1178" i="1"/>
  <c r="Z1178" i="1"/>
  <c r="AD1178" i="1" s="1"/>
  <c r="Y1178" i="1"/>
  <c r="AC1178" i="1" s="1"/>
  <c r="U1178" i="1"/>
  <c r="J1178" i="1"/>
  <c r="AO1177" i="1"/>
  <c r="AK1177" i="1"/>
  <c r="AM1177" i="1" s="1"/>
  <c r="AJ1177" i="1"/>
  <c r="AH1177" i="1"/>
  <c r="AB1177" i="1"/>
  <c r="AA1177" i="1"/>
  <c r="Z1177" i="1"/>
  <c r="Y1177" i="1"/>
  <c r="U1177" i="1"/>
  <c r="J1177" i="1"/>
  <c r="AD1177" i="1" s="1"/>
  <c r="AO1176" i="1"/>
  <c r="AK1176" i="1"/>
  <c r="AJ1176" i="1"/>
  <c r="AH1176" i="1"/>
  <c r="Z1176" i="1"/>
  <c r="AD1176" i="1" s="1"/>
  <c r="Y1176" i="1"/>
  <c r="AC1176" i="1" s="1"/>
  <c r="U1176" i="1"/>
  <c r="J1176" i="1"/>
  <c r="AO1175" i="1"/>
  <c r="AK1175" i="1"/>
  <c r="AM1175" i="1" s="1"/>
  <c r="AJ1175" i="1"/>
  <c r="AH1175" i="1"/>
  <c r="Z1175" i="1"/>
  <c r="AD1175" i="1" s="1"/>
  <c r="Y1175" i="1"/>
  <c r="AC1175" i="1" s="1"/>
  <c r="U1175" i="1"/>
  <c r="J1175" i="1"/>
  <c r="AE1175" i="1" s="1"/>
  <c r="AO1174" i="1"/>
  <c r="AK1174" i="1"/>
  <c r="AM1174" i="1" s="1"/>
  <c r="AJ1174" i="1"/>
  <c r="AH1174" i="1"/>
  <c r="Z1174" i="1"/>
  <c r="AD1174" i="1" s="1"/>
  <c r="Y1174" i="1"/>
  <c r="AC1174" i="1" s="1"/>
  <c r="U1174" i="1"/>
  <c r="J1174" i="1"/>
  <c r="AO1173" i="1"/>
  <c r="AM1173" i="1"/>
  <c r="AL1173" i="1"/>
  <c r="AN1173" i="1" s="1"/>
  <c r="AK1173" i="1"/>
  <c r="AJ1173" i="1"/>
  <c r="AH1173" i="1"/>
  <c r="Z1173" i="1"/>
  <c r="Y1173" i="1"/>
  <c r="AA1173" i="1" s="1"/>
  <c r="AB1173" i="1" s="1"/>
  <c r="U1173" i="1"/>
  <c r="J1173" i="1"/>
  <c r="AD1173" i="1" s="1"/>
  <c r="AO1172" i="1"/>
  <c r="AK1172" i="1"/>
  <c r="AM1172" i="1" s="1"/>
  <c r="AJ1172" i="1"/>
  <c r="AH1172" i="1"/>
  <c r="AA1172" i="1"/>
  <c r="AB1172" i="1" s="1"/>
  <c r="Z1172" i="1"/>
  <c r="Y1172" i="1"/>
  <c r="U1172" i="1"/>
  <c r="J1172" i="1"/>
  <c r="AD1172" i="1" s="1"/>
  <c r="AO1171" i="1"/>
  <c r="AM1171" i="1" s="1"/>
  <c r="AN1171" i="1"/>
  <c r="AL1171" i="1"/>
  <c r="AK1171" i="1"/>
  <c r="AJ1171" i="1"/>
  <c r="AH1171" i="1"/>
  <c r="Z1171" i="1"/>
  <c r="AD1171" i="1" s="1"/>
  <c r="Y1171" i="1"/>
  <c r="U1171" i="1"/>
  <c r="J1171" i="1"/>
  <c r="AO1170" i="1"/>
  <c r="AK1170" i="1"/>
  <c r="AJ1170" i="1"/>
  <c r="AH1170" i="1"/>
  <c r="Z1170" i="1"/>
  <c r="Y1170" i="1"/>
  <c r="AA1170" i="1" s="1"/>
  <c r="AB1170" i="1" s="1"/>
  <c r="U1170" i="1"/>
  <c r="J1170" i="1"/>
  <c r="AE1170" i="1" s="1"/>
  <c r="AO1169" i="1"/>
  <c r="AM1169" i="1" s="1"/>
  <c r="AK1169" i="1"/>
  <c r="AL1169" i="1" s="1"/>
  <c r="AN1169" i="1" s="1"/>
  <c r="AJ1169" i="1"/>
  <c r="AH1169" i="1"/>
  <c r="Z1169" i="1"/>
  <c r="AD1169" i="1" s="1"/>
  <c r="Y1169" i="1"/>
  <c r="U1169" i="1"/>
  <c r="J1169" i="1"/>
  <c r="AO1168" i="1"/>
  <c r="AK1168" i="1"/>
  <c r="AJ1168" i="1"/>
  <c r="AH1168" i="1"/>
  <c r="AE1168" i="1"/>
  <c r="AD1168" i="1"/>
  <c r="AA1168" i="1"/>
  <c r="AB1168" i="1" s="1"/>
  <c r="Z1168" i="1"/>
  <c r="Y1168" i="1"/>
  <c r="U1168" i="1"/>
  <c r="J1168" i="1"/>
  <c r="AC1168" i="1" s="1"/>
  <c r="AO1167" i="1"/>
  <c r="AK1167" i="1"/>
  <c r="AJ1167" i="1"/>
  <c r="AH1167" i="1"/>
  <c r="AC1167" i="1"/>
  <c r="Z1167" i="1"/>
  <c r="AD1167" i="1" s="1"/>
  <c r="Y1167" i="1"/>
  <c r="U1167" i="1"/>
  <c r="J1167" i="1"/>
  <c r="AO1166" i="1"/>
  <c r="AK1166" i="1"/>
  <c r="AM1166" i="1" s="1"/>
  <c r="AJ1166" i="1"/>
  <c r="AH1166" i="1"/>
  <c r="Z1166" i="1"/>
  <c r="AD1166" i="1" s="1"/>
  <c r="Y1166" i="1"/>
  <c r="AC1166" i="1" s="1"/>
  <c r="U1166" i="1"/>
  <c r="J1166" i="1"/>
  <c r="AO1165" i="1"/>
  <c r="AK1165" i="1"/>
  <c r="AM1165" i="1" s="1"/>
  <c r="AJ1165" i="1"/>
  <c r="AH1165" i="1"/>
  <c r="AE1165" i="1"/>
  <c r="AA1165" i="1"/>
  <c r="AB1165" i="1" s="1"/>
  <c r="Z1165" i="1"/>
  <c r="AD1165" i="1" s="1"/>
  <c r="Y1165" i="1"/>
  <c r="AC1165" i="1" s="1"/>
  <c r="U1165" i="1"/>
  <c r="J1165" i="1"/>
  <c r="AO1164" i="1"/>
  <c r="AM1164" i="1" s="1"/>
  <c r="AN1164" i="1"/>
  <c r="AL1164" i="1"/>
  <c r="AK1164" i="1"/>
  <c r="AJ1164" i="1"/>
  <c r="AH1164" i="1"/>
  <c r="Z1164" i="1"/>
  <c r="Y1164" i="1"/>
  <c r="U1164" i="1"/>
  <c r="J1164" i="1"/>
  <c r="AD1164" i="1" s="1"/>
  <c r="AO1163" i="1"/>
  <c r="AK1163" i="1"/>
  <c r="AM1163" i="1" s="1"/>
  <c r="AJ1163" i="1"/>
  <c r="AH1163" i="1"/>
  <c r="Z1163" i="1"/>
  <c r="Y1163" i="1"/>
  <c r="AA1163" i="1" s="1"/>
  <c r="AB1163" i="1" s="1"/>
  <c r="U1163" i="1"/>
  <c r="J1163" i="1"/>
  <c r="AD1163" i="1" s="1"/>
  <c r="AO1162" i="1"/>
  <c r="AM1162" i="1" s="1"/>
  <c r="AN1162" i="1"/>
  <c r="AL1162" i="1"/>
  <c r="AK1162" i="1"/>
  <c r="AJ1162" i="1"/>
  <c r="AH1162" i="1"/>
  <c r="Z1162" i="1"/>
  <c r="AD1162" i="1" s="1"/>
  <c r="Y1162" i="1"/>
  <c r="AC1162" i="1" s="1"/>
  <c r="U1162" i="1"/>
  <c r="J1162" i="1"/>
  <c r="AO1161" i="1"/>
  <c r="AM1161" i="1"/>
  <c r="AL1161" i="1"/>
  <c r="AN1161" i="1" s="1"/>
  <c r="AK1161" i="1"/>
  <c r="AJ1161" i="1"/>
  <c r="AH1161" i="1"/>
  <c r="Z1161" i="1"/>
  <c r="AD1161" i="1" s="1"/>
  <c r="Y1161" i="1"/>
  <c r="U1161" i="1"/>
  <c r="J1161" i="1"/>
  <c r="AE1161" i="1" s="1"/>
  <c r="AO1160" i="1"/>
  <c r="AK1160" i="1"/>
  <c r="AM1160" i="1" s="1"/>
  <c r="AJ1160" i="1"/>
  <c r="AH1160" i="1"/>
  <c r="AD1160" i="1"/>
  <c r="Z1160" i="1"/>
  <c r="Y1160" i="1"/>
  <c r="AC1160" i="1" s="1"/>
  <c r="U1160" i="1"/>
  <c r="J1160" i="1"/>
  <c r="AO1159" i="1"/>
  <c r="AM1159" i="1"/>
  <c r="AK1159" i="1"/>
  <c r="AL1159" i="1" s="1"/>
  <c r="AN1159" i="1" s="1"/>
  <c r="AJ1159" i="1"/>
  <c r="AH1159" i="1"/>
  <c r="AD1159" i="1"/>
  <c r="AC1159" i="1"/>
  <c r="Z1159" i="1"/>
  <c r="Y1159" i="1"/>
  <c r="U1159" i="1"/>
  <c r="J1159" i="1"/>
  <c r="AS1158" i="1"/>
  <c r="AS1159" i="1" s="1"/>
  <c r="AS1161" i="1" s="1"/>
  <c r="AO1158" i="1"/>
  <c r="AK1158" i="1"/>
  <c r="AM1158" i="1" s="1"/>
  <c r="AJ1158" i="1"/>
  <c r="AH1158" i="1"/>
  <c r="AA1158" i="1"/>
  <c r="AB1158" i="1" s="1"/>
  <c r="Z1158" i="1"/>
  <c r="AD1158" i="1" s="1"/>
  <c r="Y1158" i="1"/>
  <c r="U1158" i="1"/>
  <c r="J1158" i="1"/>
  <c r="AC1158" i="1" s="1"/>
  <c r="AO1157" i="1"/>
  <c r="AK1157" i="1"/>
  <c r="AL1157" i="1" s="1"/>
  <c r="AN1157" i="1" s="1"/>
  <c r="AJ1157" i="1"/>
  <c r="AH1157" i="1"/>
  <c r="Z1157" i="1"/>
  <c r="AD1157" i="1" s="1"/>
  <c r="Y1157" i="1"/>
  <c r="AC1157" i="1" s="1"/>
  <c r="U1157" i="1"/>
  <c r="Q1157" i="1"/>
  <c r="O1157" i="1"/>
  <c r="P1157" i="1" s="1"/>
  <c r="O1158" i="1" s="1"/>
  <c r="J1157" i="1"/>
  <c r="AO1156" i="1"/>
  <c r="AL1156" i="1"/>
  <c r="AN1156" i="1" s="1"/>
  <c r="AK1156" i="1"/>
  <c r="AM1156" i="1" s="1"/>
  <c r="AJ1156" i="1"/>
  <c r="AH1156" i="1"/>
  <c r="AD1156" i="1"/>
  <c r="AC1156" i="1"/>
  <c r="Z1156" i="1"/>
  <c r="Y1156" i="1"/>
  <c r="AA1156" i="1" s="1"/>
  <c r="AB1156" i="1" s="1"/>
  <c r="U1156" i="1"/>
  <c r="P1156" i="1"/>
  <c r="Q1156" i="1" s="1"/>
  <c r="M1156" i="1"/>
  <c r="J1156" i="1"/>
  <c r="AO1155" i="1"/>
  <c r="AM1155" i="1" s="1"/>
  <c r="AK1155" i="1"/>
  <c r="AL1155" i="1" s="1"/>
  <c r="AN1155" i="1" s="1"/>
  <c r="AJ1155" i="1"/>
  <c r="AH1155" i="1"/>
  <c r="Z1155" i="1"/>
  <c r="AD1155" i="1" s="1"/>
  <c r="Y1155" i="1"/>
  <c r="U1155" i="1"/>
  <c r="J1155" i="1"/>
  <c r="AE1155" i="1" s="1"/>
  <c r="AO1154" i="1"/>
  <c r="AK1154" i="1"/>
  <c r="AM1154" i="1" s="1"/>
  <c r="AJ1154" i="1"/>
  <c r="AH1154" i="1"/>
  <c r="Z1154" i="1"/>
  <c r="AD1154" i="1" s="1"/>
  <c r="Y1154" i="1"/>
  <c r="AC1154" i="1" s="1"/>
  <c r="U1154" i="1"/>
  <c r="J1154" i="1"/>
  <c r="AO1153" i="1"/>
  <c r="AM1153" i="1"/>
  <c r="AL1153" i="1"/>
  <c r="AN1153" i="1" s="1"/>
  <c r="AK1153" i="1"/>
  <c r="AJ1153" i="1"/>
  <c r="AH1153" i="1"/>
  <c r="Z1153" i="1"/>
  <c r="Y1153" i="1"/>
  <c r="AA1153" i="1" s="1"/>
  <c r="AB1153" i="1" s="1"/>
  <c r="U1153" i="1"/>
  <c r="J1153" i="1"/>
  <c r="AD1153" i="1" s="1"/>
  <c r="AO1152" i="1"/>
  <c r="AK1152" i="1"/>
  <c r="AM1152" i="1" s="1"/>
  <c r="AJ1152" i="1"/>
  <c r="AH1152" i="1"/>
  <c r="Z1152" i="1"/>
  <c r="AD1152" i="1" s="1"/>
  <c r="Y1152" i="1"/>
  <c r="AC1152" i="1" s="1"/>
  <c r="U1152" i="1"/>
  <c r="J1152" i="1"/>
  <c r="AO1151" i="1"/>
  <c r="AK1151" i="1"/>
  <c r="AM1151" i="1" s="1"/>
  <c r="AJ1151" i="1"/>
  <c r="AH1151" i="1"/>
  <c r="AA1151" i="1"/>
  <c r="AB1151" i="1" s="1"/>
  <c r="Z1151" i="1"/>
  <c r="AD1151" i="1" s="1"/>
  <c r="Y1151" i="1"/>
  <c r="AC1151" i="1" s="1"/>
  <c r="U1151" i="1"/>
  <c r="J1151" i="1"/>
  <c r="AE1151" i="1" s="1"/>
  <c r="AO1150" i="1"/>
  <c r="AN1150" i="1"/>
  <c r="AL1150" i="1"/>
  <c r="AK1150" i="1"/>
  <c r="AM1150" i="1" s="1"/>
  <c r="AJ1150" i="1"/>
  <c r="AH1150" i="1"/>
  <c r="AE1150" i="1"/>
  <c r="AD1150" i="1"/>
  <c r="AC1150" i="1"/>
  <c r="Z1150" i="1"/>
  <c r="Y1150" i="1"/>
  <c r="AA1150" i="1" s="1"/>
  <c r="AB1150" i="1" s="1"/>
  <c r="U1150" i="1"/>
  <c r="J1150" i="1"/>
  <c r="AO1149" i="1"/>
  <c r="AK1149" i="1"/>
  <c r="AM1149" i="1" s="1"/>
  <c r="AJ1149" i="1"/>
  <c r="AH1149" i="1"/>
  <c r="AC1149" i="1"/>
  <c r="AA1149" i="1"/>
  <c r="AB1149" i="1" s="1"/>
  <c r="Z1149" i="1"/>
  <c r="AD1149" i="1" s="1"/>
  <c r="Y1149" i="1"/>
  <c r="U1149" i="1"/>
  <c r="J1149" i="1"/>
  <c r="AO1148" i="1"/>
  <c r="AK1148" i="1"/>
  <c r="AM1148" i="1" s="1"/>
  <c r="AJ1148" i="1"/>
  <c r="AH1148" i="1"/>
  <c r="Z1148" i="1"/>
  <c r="AD1148" i="1" s="1"/>
  <c r="Y1148" i="1"/>
  <c r="AA1148" i="1" s="1"/>
  <c r="AB1148" i="1" s="1"/>
  <c r="U1148" i="1"/>
  <c r="J1148" i="1"/>
  <c r="AO1147" i="1"/>
  <c r="AK1147" i="1"/>
  <c r="AJ1147" i="1"/>
  <c r="AH1147" i="1"/>
  <c r="AD1147" i="1"/>
  <c r="Z1147" i="1"/>
  <c r="Y1147" i="1"/>
  <c r="AC1147" i="1" s="1"/>
  <c r="U1147" i="1"/>
  <c r="J1147" i="1"/>
  <c r="AO1146" i="1"/>
  <c r="AK1146" i="1"/>
  <c r="AJ1146" i="1"/>
  <c r="AH1146" i="1"/>
  <c r="Z1146" i="1"/>
  <c r="Y1146" i="1"/>
  <c r="AC1146" i="1" s="1"/>
  <c r="U1146" i="1"/>
  <c r="J1146" i="1"/>
  <c r="AD1146" i="1" s="1"/>
  <c r="AO1145" i="1"/>
  <c r="AK1145" i="1"/>
  <c r="AJ1145" i="1"/>
  <c r="AH1145" i="1"/>
  <c r="Z1145" i="1"/>
  <c r="AD1145" i="1" s="1"/>
  <c r="Y1145" i="1"/>
  <c r="U1145" i="1"/>
  <c r="J1145" i="1"/>
  <c r="AE1145" i="1" s="1"/>
  <c r="AO1144" i="1"/>
  <c r="AM1144" i="1"/>
  <c r="AL1144" i="1"/>
  <c r="AN1144" i="1" s="1"/>
  <c r="AK1144" i="1"/>
  <c r="AJ1144" i="1"/>
  <c r="AH1144" i="1"/>
  <c r="Z1144" i="1"/>
  <c r="AD1144" i="1" s="1"/>
  <c r="Y1144" i="1"/>
  <c r="AC1144" i="1" s="1"/>
  <c r="U1144" i="1"/>
  <c r="J1144" i="1"/>
  <c r="AE1144" i="1" s="1"/>
  <c r="AO1143" i="1"/>
  <c r="AL1143" i="1"/>
  <c r="AN1143" i="1" s="1"/>
  <c r="AK1143" i="1"/>
  <c r="AM1143" i="1" s="1"/>
  <c r="AJ1143" i="1"/>
  <c r="AH1143" i="1"/>
  <c r="AD1143" i="1"/>
  <c r="Z1143" i="1"/>
  <c r="Y1143" i="1"/>
  <c r="AA1143" i="1" s="1"/>
  <c r="AB1143" i="1" s="1"/>
  <c r="U1143" i="1"/>
  <c r="J1143" i="1"/>
  <c r="AE1143" i="1" s="1"/>
  <c r="AO1142" i="1"/>
  <c r="AK1142" i="1"/>
  <c r="AJ1142" i="1"/>
  <c r="AH1142" i="1"/>
  <c r="Z1142" i="1"/>
  <c r="AD1142" i="1" s="1"/>
  <c r="Y1142" i="1"/>
  <c r="AC1142" i="1" s="1"/>
  <c r="U1142" i="1"/>
  <c r="J1142" i="1"/>
  <c r="AO1141" i="1"/>
  <c r="AK1141" i="1"/>
  <c r="AM1141" i="1" s="1"/>
  <c r="AJ1141" i="1"/>
  <c r="AH1141" i="1"/>
  <c r="Z1141" i="1"/>
  <c r="Y1141" i="1"/>
  <c r="AC1141" i="1" s="1"/>
  <c r="U1141" i="1"/>
  <c r="J1141" i="1"/>
  <c r="AD1141" i="1" s="1"/>
  <c r="AO1140" i="1"/>
  <c r="AK1140" i="1"/>
  <c r="AM1140" i="1" s="1"/>
  <c r="AJ1140" i="1"/>
  <c r="AH1140" i="1"/>
  <c r="AD1140" i="1"/>
  <c r="Z1140" i="1"/>
  <c r="Y1140" i="1"/>
  <c r="AA1140" i="1" s="1"/>
  <c r="AB1140" i="1" s="1"/>
  <c r="U1140" i="1"/>
  <c r="J1140" i="1"/>
  <c r="AO1139" i="1"/>
  <c r="AK1139" i="1"/>
  <c r="AJ1139" i="1"/>
  <c r="AH1139" i="1"/>
  <c r="AD1139" i="1"/>
  <c r="Z1139" i="1"/>
  <c r="Y1139" i="1"/>
  <c r="AC1139" i="1" s="1"/>
  <c r="U1139" i="1"/>
  <c r="J1139" i="1"/>
  <c r="AO1138" i="1"/>
  <c r="AK1138" i="1"/>
  <c r="AM1138" i="1" s="1"/>
  <c r="AJ1138" i="1"/>
  <c r="AH1138" i="1"/>
  <c r="Z1138" i="1"/>
  <c r="AD1138" i="1" s="1"/>
  <c r="Y1138" i="1"/>
  <c r="AC1138" i="1" s="1"/>
  <c r="U1138" i="1"/>
  <c r="J1138" i="1"/>
  <c r="AE1138" i="1" s="1"/>
  <c r="AO1137" i="1"/>
  <c r="AK1137" i="1"/>
  <c r="AM1137" i="1" s="1"/>
  <c r="AJ1137" i="1"/>
  <c r="AH1137" i="1"/>
  <c r="AC1137" i="1"/>
  <c r="Z1137" i="1"/>
  <c r="Y1137" i="1"/>
  <c r="AA1137" i="1" s="1"/>
  <c r="AB1137" i="1" s="1"/>
  <c r="U1137" i="1"/>
  <c r="J1137" i="1"/>
  <c r="AD1137" i="1" s="1"/>
  <c r="AS1136" i="1"/>
  <c r="AO1136" i="1"/>
  <c r="AK1136" i="1"/>
  <c r="AM1136" i="1" s="1"/>
  <c r="AJ1136" i="1"/>
  <c r="AH1136" i="1"/>
  <c r="AC1136" i="1"/>
  <c r="AB1136" i="1"/>
  <c r="Z1136" i="1"/>
  <c r="Y1136" i="1"/>
  <c r="AA1136" i="1" s="1"/>
  <c r="U1136" i="1"/>
  <c r="J1136" i="1"/>
  <c r="AE1136" i="1" s="1"/>
  <c r="AS1135" i="1"/>
  <c r="AO1135" i="1"/>
  <c r="AL1135" i="1"/>
  <c r="AN1135" i="1" s="1"/>
  <c r="AK1135" i="1"/>
  <c r="AM1135" i="1" s="1"/>
  <c r="AJ1135" i="1"/>
  <c r="AH1135" i="1"/>
  <c r="AC1135" i="1"/>
  <c r="Z1135" i="1"/>
  <c r="AD1135" i="1" s="1"/>
  <c r="Y1135" i="1"/>
  <c r="U1135" i="1"/>
  <c r="J1135" i="1"/>
  <c r="AO1134" i="1"/>
  <c r="AM1134" i="1"/>
  <c r="AK1134" i="1"/>
  <c r="AL1134" i="1" s="1"/>
  <c r="AN1134" i="1" s="1"/>
  <c r="AJ1134" i="1"/>
  <c r="AH1134" i="1"/>
  <c r="AD1134" i="1"/>
  <c r="AC1134" i="1"/>
  <c r="AA1134" i="1"/>
  <c r="AB1134" i="1" s="1"/>
  <c r="Z1134" i="1"/>
  <c r="Y1134" i="1"/>
  <c r="U1134" i="1"/>
  <c r="J1134" i="1"/>
  <c r="AS1133" i="1"/>
  <c r="AO1133" i="1"/>
  <c r="AM1133" i="1" s="1"/>
  <c r="AL1133" i="1"/>
  <c r="AN1133" i="1" s="1"/>
  <c r="AK1133" i="1"/>
  <c r="AJ1133" i="1"/>
  <c r="AH1133" i="1"/>
  <c r="Z1133" i="1"/>
  <c r="AD1133" i="1" s="1"/>
  <c r="Y1133" i="1"/>
  <c r="AC1133" i="1" s="1"/>
  <c r="U1133" i="1"/>
  <c r="J1133" i="1"/>
  <c r="AO1132" i="1"/>
  <c r="AK1132" i="1"/>
  <c r="AM1132" i="1" s="1"/>
  <c r="AJ1132" i="1"/>
  <c r="AH1132" i="1"/>
  <c r="AE1132" i="1"/>
  <c r="Z1132" i="1"/>
  <c r="AD1132" i="1" s="1"/>
  <c r="Y1132" i="1"/>
  <c r="AC1132" i="1" s="1"/>
  <c r="U1132" i="1"/>
  <c r="J1132" i="1"/>
  <c r="AO1131" i="1"/>
  <c r="AK1131" i="1"/>
  <c r="AM1131" i="1" s="1"/>
  <c r="AJ1131" i="1"/>
  <c r="AH1131" i="1"/>
  <c r="AC1131" i="1"/>
  <c r="Z1131" i="1"/>
  <c r="Y1131" i="1"/>
  <c r="AA1131" i="1" s="1"/>
  <c r="AB1131" i="1" s="1"/>
  <c r="U1131" i="1"/>
  <c r="J1131" i="1"/>
  <c r="AD1131" i="1" s="1"/>
  <c r="AO1130" i="1"/>
  <c r="AK1130" i="1"/>
  <c r="AJ1130" i="1"/>
  <c r="AH1130" i="1"/>
  <c r="AC1130" i="1"/>
  <c r="Z1130" i="1"/>
  <c r="AD1130" i="1" s="1"/>
  <c r="Y1130" i="1"/>
  <c r="U1130" i="1"/>
  <c r="J1130" i="1"/>
  <c r="AO1129" i="1"/>
  <c r="AN1129" i="1"/>
  <c r="AM1129" i="1"/>
  <c r="AK1129" i="1"/>
  <c r="AL1129" i="1" s="1"/>
  <c r="AJ1129" i="1"/>
  <c r="AH1129" i="1"/>
  <c r="Z1129" i="1"/>
  <c r="AD1129" i="1" s="1"/>
  <c r="Y1129" i="1"/>
  <c r="AC1129" i="1" s="1"/>
  <c r="U1129" i="1"/>
  <c r="J1129" i="1"/>
  <c r="AE1129" i="1" s="1"/>
  <c r="AO1128" i="1"/>
  <c r="AK1128" i="1"/>
  <c r="AM1128" i="1" s="1"/>
  <c r="AJ1128" i="1"/>
  <c r="AH1128" i="1"/>
  <c r="AD1128" i="1"/>
  <c r="Z1128" i="1"/>
  <c r="Y1128" i="1"/>
  <c r="AC1128" i="1" s="1"/>
  <c r="U1128" i="1"/>
  <c r="J1128" i="1"/>
  <c r="AS1127" i="1"/>
  <c r="AS1129" i="1" s="1"/>
  <c r="AO1127" i="1"/>
  <c r="AL1127" i="1"/>
  <c r="AN1127" i="1" s="1"/>
  <c r="AK1127" i="1"/>
  <c r="AM1127" i="1" s="1"/>
  <c r="AJ1127" i="1"/>
  <c r="AH1127" i="1"/>
  <c r="Z1127" i="1"/>
  <c r="AD1127" i="1" s="1"/>
  <c r="Y1127" i="1"/>
  <c r="AC1127" i="1" s="1"/>
  <c r="U1127" i="1"/>
  <c r="J1127" i="1"/>
  <c r="AS1126" i="1"/>
  <c r="AO1126" i="1"/>
  <c r="AK1126" i="1"/>
  <c r="AM1126" i="1" s="1"/>
  <c r="AJ1126" i="1"/>
  <c r="AH1126" i="1"/>
  <c r="AE1126" i="1"/>
  <c r="Z1126" i="1"/>
  <c r="AD1126" i="1" s="1"/>
  <c r="Y1126" i="1"/>
  <c r="AC1126" i="1" s="1"/>
  <c r="U1126" i="1"/>
  <c r="J1126" i="1"/>
  <c r="AO1125" i="1"/>
  <c r="AK1125" i="1"/>
  <c r="AM1125" i="1" s="1"/>
  <c r="AJ1125" i="1"/>
  <c r="AH1125" i="1"/>
  <c r="AA1125" i="1"/>
  <c r="AB1125" i="1" s="1"/>
  <c r="Z1125" i="1"/>
  <c r="Y1125" i="1"/>
  <c r="U1125" i="1"/>
  <c r="O1125" i="1"/>
  <c r="M1125" i="1"/>
  <c r="L1126" i="1" s="1"/>
  <c r="L1125" i="1"/>
  <c r="J1125" i="1"/>
  <c r="AD1125" i="1" s="1"/>
  <c r="AO1124" i="1"/>
  <c r="AK1124" i="1"/>
  <c r="AJ1124" i="1"/>
  <c r="AH1124" i="1"/>
  <c r="AE1124" i="1"/>
  <c r="Z1124" i="1"/>
  <c r="AD1124" i="1" s="1"/>
  <c r="Y1124" i="1"/>
  <c r="AC1124" i="1" s="1"/>
  <c r="U1124" i="1"/>
  <c r="P1124" i="1"/>
  <c r="Q1124" i="1" s="1"/>
  <c r="M1124" i="1"/>
  <c r="N1124" i="1" s="1"/>
  <c r="J1124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895" i="1"/>
  <c r="AI1120" i="1"/>
  <c r="AH1120" i="1"/>
  <c r="Z1120" i="1"/>
  <c r="Y1120" i="1"/>
  <c r="U1120" i="1"/>
  <c r="J1120" i="1"/>
  <c r="D1120" i="1"/>
  <c r="AI1119" i="1"/>
  <c r="AH1119" i="1"/>
  <c r="Z1119" i="1"/>
  <c r="Y1119" i="1"/>
  <c r="U1119" i="1"/>
  <c r="J1119" i="1"/>
  <c r="D1119" i="1"/>
  <c r="AI1118" i="1"/>
  <c r="AH1118" i="1"/>
  <c r="Z1118" i="1"/>
  <c r="Y1118" i="1"/>
  <c r="U1118" i="1"/>
  <c r="J1118" i="1"/>
  <c r="D1118" i="1"/>
  <c r="AI1117" i="1"/>
  <c r="AK1117" i="1" s="1"/>
  <c r="AH1117" i="1"/>
  <c r="Z1117" i="1"/>
  <c r="Y1117" i="1"/>
  <c r="U1117" i="1"/>
  <c r="J1117" i="1"/>
  <c r="D1117" i="1"/>
  <c r="AI1116" i="1"/>
  <c r="AH1116" i="1"/>
  <c r="Z1116" i="1"/>
  <c r="Y1116" i="1"/>
  <c r="U1116" i="1"/>
  <c r="J1116" i="1"/>
  <c r="D1116" i="1"/>
  <c r="AI1115" i="1"/>
  <c r="AK1115" i="1" s="1"/>
  <c r="AH1115" i="1"/>
  <c r="Z1115" i="1"/>
  <c r="Y1115" i="1"/>
  <c r="U1115" i="1"/>
  <c r="J1115" i="1"/>
  <c r="AC1115" i="1" s="1"/>
  <c r="D1115" i="1"/>
  <c r="AI1114" i="1"/>
  <c r="AH1114" i="1"/>
  <c r="Z1114" i="1"/>
  <c r="Y1114" i="1"/>
  <c r="U1114" i="1"/>
  <c r="J1114" i="1"/>
  <c r="D1114" i="1"/>
  <c r="AI1113" i="1"/>
  <c r="AK1113" i="1" s="1"/>
  <c r="AH1113" i="1"/>
  <c r="Z1113" i="1"/>
  <c r="Y1113" i="1"/>
  <c r="U1113" i="1"/>
  <c r="J1113" i="1"/>
  <c r="D1113" i="1"/>
  <c r="AI1112" i="1"/>
  <c r="AH1112" i="1"/>
  <c r="Z1112" i="1"/>
  <c r="Y1112" i="1"/>
  <c r="U1112" i="1"/>
  <c r="J1112" i="1"/>
  <c r="D1112" i="1"/>
  <c r="AI1111" i="1"/>
  <c r="AH1111" i="1"/>
  <c r="Z1111" i="1"/>
  <c r="Y1111" i="1"/>
  <c r="U1111" i="1"/>
  <c r="J1111" i="1"/>
  <c r="D1111" i="1"/>
  <c r="AI1110" i="1"/>
  <c r="AH1110" i="1"/>
  <c r="Z1110" i="1"/>
  <c r="Y1110" i="1"/>
  <c r="U1110" i="1"/>
  <c r="J1110" i="1"/>
  <c r="D1110" i="1"/>
  <c r="AI1109" i="1"/>
  <c r="AH1109" i="1"/>
  <c r="Z1109" i="1"/>
  <c r="Y1109" i="1"/>
  <c r="U1109" i="1"/>
  <c r="J1109" i="1"/>
  <c r="D1109" i="1"/>
  <c r="AI1108" i="1"/>
  <c r="AH1108" i="1"/>
  <c r="Z1108" i="1"/>
  <c r="Y1108" i="1"/>
  <c r="U1108" i="1"/>
  <c r="J1108" i="1"/>
  <c r="AC1108" i="1" s="1"/>
  <c r="D1108" i="1"/>
  <c r="AI1107" i="1"/>
  <c r="AH1107" i="1"/>
  <c r="Z1107" i="1"/>
  <c r="Y1107" i="1"/>
  <c r="U1107" i="1"/>
  <c r="J1107" i="1"/>
  <c r="D1107" i="1"/>
  <c r="AI1106" i="1"/>
  <c r="AH1106" i="1"/>
  <c r="Z1106" i="1"/>
  <c r="Y1106" i="1"/>
  <c r="U1106" i="1"/>
  <c r="J1106" i="1"/>
  <c r="D1106" i="1"/>
  <c r="AI1105" i="1"/>
  <c r="AK1105" i="1" s="1"/>
  <c r="AH1105" i="1"/>
  <c r="Z1105" i="1"/>
  <c r="Y1105" i="1"/>
  <c r="U1105" i="1"/>
  <c r="J1105" i="1"/>
  <c r="D1105" i="1"/>
  <c r="AI1104" i="1"/>
  <c r="AH1104" i="1"/>
  <c r="Z1104" i="1"/>
  <c r="Y1104" i="1"/>
  <c r="U1104" i="1"/>
  <c r="J1104" i="1"/>
  <c r="D1104" i="1"/>
  <c r="AI1103" i="1"/>
  <c r="AK1103" i="1" s="1"/>
  <c r="AH1103" i="1"/>
  <c r="Z1103" i="1"/>
  <c r="Y1103" i="1"/>
  <c r="U1103" i="1"/>
  <c r="J1103" i="1"/>
  <c r="AC1103" i="1" s="1"/>
  <c r="D1103" i="1"/>
  <c r="AI1102" i="1"/>
  <c r="AH1102" i="1"/>
  <c r="Z1102" i="1"/>
  <c r="Y1102" i="1"/>
  <c r="U1102" i="1"/>
  <c r="J1102" i="1"/>
  <c r="D1102" i="1"/>
  <c r="AI1101" i="1"/>
  <c r="AK1101" i="1" s="1"/>
  <c r="AH1101" i="1"/>
  <c r="Z1101" i="1"/>
  <c r="Y1101" i="1"/>
  <c r="U1101" i="1"/>
  <c r="J1101" i="1"/>
  <c r="D1101" i="1"/>
  <c r="AI1100" i="1"/>
  <c r="AH1100" i="1"/>
  <c r="Z1100" i="1"/>
  <c r="Y1100" i="1"/>
  <c r="U1100" i="1"/>
  <c r="J1100" i="1"/>
  <c r="D1100" i="1"/>
  <c r="AI1099" i="1"/>
  <c r="AH1099" i="1"/>
  <c r="Z1099" i="1"/>
  <c r="Y1099" i="1"/>
  <c r="U1099" i="1"/>
  <c r="J1099" i="1"/>
  <c r="D1099" i="1"/>
  <c r="AI1098" i="1"/>
  <c r="AH1098" i="1"/>
  <c r="Z1098" i="1"/>
  <c r="Y1098" i="1"/>
  <c r="U1098" i="1"/>
  <c r="J1098" i="1"/>
  <c r="D1098" i="1"/>
  <c r="AI1097" i="1"/>
  <c r="AH1097" i="1"/>
  <c r="Z1097" i="1"/>
  <c r="Y1097" i="1"/>
  <c r="U1097" i="1"/>
  <c r="J1097" i="1"/>
  <c r="AC1097" i="1" s="1"/>
  <c r="D1097" i="1"/>
  <c r="AI1096" i="1"/>
  <c r="AH1096" i="1"/>
  <c r="Z1096" i="1"/>
  <c r="Y1096" i="1"/>
  <c r="U1096" i="1"/>
  <c r="J1096" i="1"/>
  <c r="D1096" i="1"/>
  <c r="AI1095" i="1"/>
  <c r="AH1095" i="1"/>
  <c r="Z1095" i="1"/>
  <c r="Y1095" i="1"/>
  <c r="AA1095" i="1" s="1"/>
  <c r="AB1095" i="1" s="1"/>
  <c r="U1095" i="1"/>
  <c r="J1095" i="1"/>
  <c r="D1095" i="1"/>
  <c r="AI1094" i="1"/>
  <c r="AH1094" i="1"/>
  <c r="Z1094" i="1"/>
  <c r="Y1094" i="1"/>
  <c r="U1094" i="1"/>
  <c r="J1094" i="1"/>
  <c r="D1094" i="1"/>
  <c r="AI1093" i="1"/>
  <c r="AH1093" i="1"/>
  <c r="Z1093" i="1"/>
  <c r="Y1093" i="1"/>
  <c r="U1093" i="1"/>
  <c r="J1093" i="1"/>
  <c r="D1093" i="1"/>
  <c r="AI1092" i="1"/>
  <c r="AH1092" i="1"/>
  <c r="Z1092" i="1"/>
  <c r="Y1092" i="1"/>
  <c r="U1092" i="1"/>
  <c r="J1092" i="1"/>
  <c r="D1092" i="1"/>
  <c r="AO1091" i="1"/>
  <c r="AO1092" i="1" s="1"/>
  <c r="AO1094" i="1" s="1"/>
  <c r="AI1091" i="1"/>
  <c r="AH1091" i="1"/>
  <c r="Z1091" i="1"/>
  <c r="Y1091" i="1"/>
  <c r="U1091" i="1"/>
  <c r="J1091" i="1"/>
  <c r="D1091" i="1"/>
  <c r="AI1090" i="1"/>
  <c r="AK1090" i="1" s="1"/>
  <c r="AH1090" i="1"/>
  <c r="Z1090" i="1"/>
  <c r="Y1090" i="1"/>
  <c r="AA1090" i="1" s="1"/>
  <c r="AB1090" i="1" s="1"/>
  <c r="U1090" i="1"/>
  <c r="J1090" i="1"/>
  <c r="D1090" i="1"/>
  <c r="AI1089" i="1"/>
  <c r="AJ1089" i="1" s="1"/>
  <c r="AL1089" i="1" s="1"/>
  <c r="AH1089" i="1"/>
  <c r="Z1089" i="1"/>
  <c r="Y1089" i="1"/>
  <c r="U1089" i="1"/>
  <c r="R1089" i="1"/>
  <c r="P1089" i="1"/>
  <c r="S1089" i="1" s="1"/>
  <c r="M1089" i="1"/>
  <c r="L1090" i="1" s="1"/>
  <c r="M1090" i="1" s="1"/>
  <c r="L1091" i="1" s="1"/>
  <c r="M1091" i="1" s="1"/>
  <c r="L1092" i="1" s="1"/>
  <c r="J1089" i="1"/>
  <c r="D1089" i="1"/>
  <c r="AI1088" i="1"/>
  <c r="AK1088" i="1" s="1"/>
  <c r="AH1088" i="1"/>
  <c r="Z1088" i="1"/>
  <c r="Y1088" i="1"/>
  <c r="U1088" i="1"/>
  <c r="J1088" i="1"/>
  <c r="D1088" i="1"/>
  <c r="AI1087" i="1"/>
  <c r="AH1087" i="1"/>
  <c r="Z1087" i="1"/>
  <c r="Y1087" i="1"/>
  <c r="U1087" i="1"/>
  <c r="J1087" i="1"/>
  <c r="D1087" i="1"/>
  <c r="AI1086" i="1"/>
  <c r="AH1086" i="1"/>
  <c r="Z1086" i="1"/>
  <c r="Y1086" i="1"/>
  <c r="U1086" i="1"/>
  <c r="J1086" i="1"/>
  <c r="D1086" i="1"/>
  <c r="AI1085" i="1"/>
  <c r="AJ1085" i="1" s="1"/>
  <c r="AL1085" i="1" s="1"/>
  <c r="AH1085" i="1"/>
  <c r="Z1085" i="1"/>
  <c r="Y1085" i="1"/>
  <c r="U1085" i="1"/>
  <c r="J1085" i="1"/>
  <c r="D1085" i="1"/>
  <c r="AI1084" i="1"/>
  <c r="AH1084" i="1"/>
  <c r="Z1084" i="1"/>
  <c r="Y1084" i="1"/>
  <c r="U1084" i="1"/>
  <c r="J1084" i="1"/>
  <c r="D1084" i="1"/>
  <c r="AI1083" i="1"/>
  <c r="AJ1083" i="1" s="1"/>
  <c r="AL1083" i="1" s="1"/>
  <c r="AH1083" i="1"/>
  <c r="Z1083" i="1"/>
  <c r="Y1083" i="1"/>
  <c r="U1083" i="1"/>
  <c r="J1083" i="1"/>
  <c r="D1083" i="1"/>
  <c r="AI1082" i="1"/>
  <c r="AH1082" i="1"/>
  <c r="Z1082" i="1"/>
  <c r="Y1082" i="1"/>
  <c r="U1082" i="1"/>
  <c r="J1082" i="1"/>
  <c r="D1082" i="1"/>
  <c r="AI1081" i="1"/>
  <c r="AK1081" i="1" s="1"/>
  <c r="AH1081" i="1"/>
  <c r="Z1081" i="1"/>
  <c r="Y1081" i="1"/>
  <c r="U1081" i="1"/>
  <c r="J1081" i="1"/>
  <c r="D1081" i="1"/>
  <c r="AI1080" i="1"/>
  <c r="AH1080" i="1"/>
  <c r="Z1080" i="1"/>
  <c r="Y1080" i="1"/>
  <c r="U1080" i="1"/>
  <c r="J1080" i="1"/>
  <c r="D1080" i="1"/>
  <c r="AI1079" i="1"/>
  <c r="AH1079" i="1"/>
  <c r="Z1079" i="1"/>
  <c r="Y1079" i="1"/>
  <c r="U1079" i="1"/>
  <c r="J1079" i="1"/>
  <c r="D1079" i="1"/>
  <c r="AI1078" i="1"/>
  <c r="AJ1078" i="1" s="1"/>
  <c r="AL1078" i="1" s="1"/>
  <c r="AH1078" i="1"/>
  <c r="Z1078" i="1"/>
  <c r="Y1078" i="1"/>
  <c r="U1078" i="1"/>
  <c r="J1078" i="1"/>
  <c r="D1078" i="1"/>
  <c r="AI1077" i="1"/>
  <c r="AH1077" i="1"/>
  <c r="Z1077" i="1"/>
  <c r="Y1077" i="1"/>
  <c r="U1077" i="1"/>
  <c r="J1077" i="1"/>
  <c r="D1077" i="1"/>
  <c r="AI1076" i="1"/>
  <c r="AK1076" i="1" s="1"/>
  <c r="AH1076" i="1"/>
  <c r="Z1076" i="1"/>
  <c r="Y1076" i="1"/>
  <c r="AA1076" i="1" s="1"/>
  <c r="AB1076" i="1" s="1"/>
  <c r="U1076" i="1"/>
  <c r="J1076" i="1"/>
  <c r="D1076" i="1"/>
  <c r="AI1075" i="1"/>
  <c r="AH1075" i="1"/>
  <c r="Z1075" i="1"/>
  <c r="Y1075" i="1"/>
  <c r="U1075" i="1"/>
  <c r="J1075" i="1"/>
  <c r="D1075" i="1"/>
  <c r="AI1074" i="1"/>
  <c r="AH1074" i="1"/>
  <c r="Z1074" i="1"/>
  <c r="Y1074" i="1"/>
  <c r="U1074" i="1"/>
  <c r="J1074" i="1"/>
  <c r="AC1074" i="1" s="1"/>
  <c r="D1074" i="1"/>
  <c r="AI1073" i="1"/>
  <c r="AH1073" i="1"/>
  <c r="Z1073" i="1"/>
  <c r="Y1073" i="1"/>
  <c r="U1073" i="1"/>
  <c r="J1073" i="1"/>
  <c r="D1073" i="1"/>
  <c r="AI1072" i="1"/>
  <c r="AH1072" i="1"/>
  <c r="Z1072" i="1"/>
  <c r="Y1072" i="1"/>
  <c r="U1072" i="1"/>
  <c r="J1072" i="1"/>
  <c r="D1072" i="1"/>
  <c r="AI1071" i="1"/>
  <c r="AK1071" i="1" s="1"/>
  <c r="AH1071" i="1"/>
  <c r="Z1071" i="1"/>
  <c r="Y1071" i="1"/>
  <c r="U1071" i="1"/>
  <c r="J1071" i="1"/>
  <c r="D1071" i="1"/>
  <c r="AI1070" i="1"/>
  <c r="AH1070" i="1"/>
  <c r="Z1070" i="1"/>
  <c r="Y1070" i="1"/>
  <c r="U1070" i="1"/>
  <c r="J1070" i="1"/>
  <c r="D1070" i="1"/>
  <c r="AI1069" i="1"/>
  <c r="AK1069" i="1" s="1"/>
  <c r="AH1069" i="1"/>
  <c r="Z1069" i="1"/>
  <c r="Y1069" i="1"/>
  <c r="U1069" i="1"/>
  <c r="J1069" i="1"/>
  <c r="D1069" i="1"/>
  <c r="AI1068" i="1"/>
  <c r="AH1068" i="1"/>
  <c r="Z1068" i="1"/>
  <c r="Y1068" i="1"/>
  <c r="U1068" i="1"/>
  <c r="J1068" i="1"/>
  <c r="D1068" i="1"/>
  <c r="AI1067" i="1"/>
  <c r="AH1067" i="1"/>
  <c r="Z1067" i="1"/>
  <c r="Y1067" i="1"/>
  <c r="U1067" i="1"/>
  <c r="J1067" i="1"/>
  <c r="AD1067" i="1" s="1"/>
  <c r="D1067" i="1"/>
  <c r="AI1066" i="1"/>
  <c r="AK1066" i="1" s="1"/>
  <c r="AH1066" i="1"/>
  <c r="Z1066" i="1"/>
  <c r="Y1066" i="1"/>
  <c r="U1066" i="1"/>
  <c r="J1066" i="1"/>
  <c r="D1066" i="1"/>
  <c r="AI1065" i="1"/>
  <c r="AK1065" i="1" s="1"/>
  <c r="AH1065" i="1"/>
  <c r="Z1065" i="1"/>
  <c r="Y1065" i="1"/>
  <c r="AA1065" i="1" s="1"/>
  <c r="AB1065" i="1" s="1"/>
  <c r="U1065" i="1"/>
  <c r="J1065" i="1"/>
  <c r="D1065" i="1"/>
  <c r="AI1064" i="1"/>
  <c r="AK1064" i="1" s="1"/>
  <c r="AH1064" i="1"/>
  <c r="Z1064" i="1"/>
  <c r="Y1064" i="1"/>
  <c r="U1064" i="1"/>
  <c r="J1064" i="1"/>
  <c r="D1064" i="1"/>
  <c r="AI1063" i="1"/>
  <c r="AJ1063" i="1" s="1"/>
  <c r="AL1063" i="1" s="1"/>
  <c r="AH1063" i="1"/>
  <c r="Z1063" i="1"/>
  <c r="Y1063" i="1"/>
  <c r="U1063" i="1"/>
  <c r="J1063" i="1"/>
  <c r="D1063" i="1"/>
  <c r="AI1062" i="1"/>
  <c r="AH1062" i="1"/>
  <c r="Z1062" i="1"/>
  <c r="Y1062" i="1"/>
  <c r="U1062" i="1"/>
  <c r="J1062" i="1"/>
  <c r="D1062" i="1"/>
  <c r="AI1061" i="1"/>
  <c r="AH1061" i="1"/>
  <c r="Z1061" i="1"/>
  <c r="Y1061" i="1"/>
  <c r="U1061" i="1"/>
  <c r="J1061" i="1"/>
  <c r="D1061" i="1"/>
  <c r="AI1060" i="1"/>
  <c r="AJ1060" i="1" s="1"/>
  <c r="AL1060" i="1" s="1"/>
  <c r="AH1060" i="1"/>
  <c r="Z1060" i="1"/>
  <c r="Y1060" i="1"/>
  <c r="U1060" i="1"/>
  <c r="J1060" i="1"/>
  <c r="D1060" i="1"/>
  <c r="AO1059" i="1"/>
  <c r="AO1060" i="1" s="1"/>
  <c r="AO1062" i="1" s="1"/>
  <c r="AI1059" i="1"/>
  <c r="AK1059" i="1" s="1"/>
  <c r="AH1059" i="1"/>
  <c r="Z1059" i="1"/>
  <c r="Y1059" i="1"/>
  <c r="U1059" i="1"/>
  <c r="J1059" i="1"/>
  <c r="D1059" i="1"/>
  <c r="AI1058" i="1"/>
  <c r="AH1058" i="1"/>
  <c r="Z1058" i="1"/>
  <c r="Y1058" i="1"/>
  <c r="U1058" i="1"/>
  <c r="J1058" i="1"/>
  <c r="D1058" i="1"/>
  <c r="AI1057" i="1"/>
  <c r="AH1057" i="1"/>
  <c r="Z1057" i="1"/>
  <c r="Y1057" i="1"/>
  <c r="U1057" i="1"/>
  <c r="P1057" i="1"/>
  <c r="Q1057" i="1" s="1"/>
  <c r="M1057" i="1"/>
  <c r="L1058" i="1" s="1"/>
  <c r="J1057" i="1"/>
  <c r="D1057" i="1"/>
  <c r="AI1056" i="1"/>
  <c r="AK1056" i="1" s="1"/>
  <c r="AH1056" i="1"/>
  <c r="Z1056" i="1"/>
  <c r="Y1056" i="1"/>
  <c r="U1056" i="1"/>
  <c r="J1056" i="1"/>
  <c r="D1056" i="1"/>
  <c r="AI1055" i="1"/>
  <c r="AK1055" i="1" s="1"/>
  <c r="AH1055" i="1"/>
  <c r="Z1055" i="1"/>
  <c r="Y1055" i="1"/>
  <c r="U1055" i="1"/>
  <c r="J1055" i="1"/>
  <c r="D1055" i="1"/>
  <c r="AI1054" i="1"/>
  <c r="AK1054" i="1" s="1"/>
  <c r="AH1054" i="1"/>
  <c r="Z1054" i="1"/>
  <c r="Y1054" i="1"/>
  <c r="U1054" i="1"/>
  <c r="J1054" i="1"/>
  <c r="D1054" i="1"/>
  <c r="AI1053" i="1"/>
  <c r="AK1053" i="1" s="1"/>
  <c r="AH1053" i="1"/>
  <c r="Z1053" i="1"/>
  <c r="Y1053" i="1"/>
  <c r="U1053" i="1"/>
  <c r="J1053" i="1"/>
  <c r="D1053" i="1"/>
  <c r="AI1052" i="1"/>
  <c r="AH1052" i="1"/>
  <c r="Z1052" i="1"/>
  <c r="Y1052" i="1"/>
  <c r="U1052" i="1"/>
  <c r="J1052" i="1"/>
  <c r="D1052" i="1"/>
  <c r="AI1051" i="1"/>
  <c r="AJ1051" i="1" s="1"/>
  <c r="AL1051" i="1" s="1"/>
  <c r="AH1051" i="1"/>
  <c r="Z1051" i="1"/>
  <c r="Y1051" i="1"/>
  <c r="U1051" i="1"/>
  <c r="J1051" i="1"/>
  <c r="D1051" i="1"/>
  <c r="AI1050" i="1"/>
  <c r="AH1050" i="1"/>
  <c r="Z1050" i="1"/>
  <c r="Y1050" i="1"/>
  <c r="AA1050" i="1" s="1"/>
  <c r="AB1050" i="1" s="1"/>
  <c r="U1050" i="1"/>
  <c r="J1050" i="1"/>
  <c r="D1050" i="1"/>
  <c r="AI1049" i="1"/>
  <c r="AJ1049" i="1" s="1"/>
  <c r="AL1049" i="1" s="1"/>
  <c r="AH1049" i="1"/>
  <c r="Z1049" i="1"/>
  <c r="Y1049" i="1"/>
  <c r="U1049" i="1"/>
  <c r="J1049" i="1"/>
  <c r="D1049" i="1"/>
  <c r="AI1048" i="1"/>
  <c r="AH1048" i="1"/>
  <c r="Z1048" i="1"/>
  <c r="Y1048" i="1"/>
  <c r="U1048" i="1"/>
  <c r="J1048" i="1"/>
  <c r="D1048" i="1"/>
  <c r="AI1047" i="1"/>
  <c r="AH1047" i="1"/>
  <c r="Z1047" i="1"/>
  <c r="Y1047" i="1"/>
  <c r="U1047" i="1"/>
  <c r="J1047" i="1"/>
  <c r="D1047" i="1"/>
  <c r="AI1046" i="1"/>
  <c r="AK1046" i="1" s="1"/>
  <c r="AH1046" i="1"/>
  <c r="Z1046" i="1"/>
  <c r="AD1046" i="1" s="1"/>
  <c r="Y1046" i="1"/>
  <c r="U1046" i="1"/>
  <c r="J1046" i="1"/>
  <c r="D1046" i="1"/>
  <c r="AI1045" i="1"/>
  <c r="AH1045" i="1"/>
  <c r="Z1045" i="1"/>
  <c r="Y1045" i="1"/>
  <c r="U1045" i="1"/>
  <c r="J1045" i="1"/>
  <c r="D1045" i="1"/>
  <c r="AI1044" i="1"/>
  <c r="AJ1044" i="1" s="1"/>
  <c r="AL1044" i="1" s="1"/>
  <c r="AH1044" i="1"/>
  <c r="Z1044" i="1"/>
  <c r="Y1044" i="1"/>
  <c r="U1044" i="1"/>
  <c r="J1044" i="1"/>
  <c r="D1044" i="1"/>
  <c r="AI1043" i="1"/>
  <c r="AK1043" i="1" s="1"/>
  <c r="AH1043" i="1"/>
  <c r="Z1043" i="1"/>
  <c r="Y1043" i="1"/>
  <c r="U1043" i="1"/>
  <c r="J1043" i="1"/>
  <c r="D1043" i="1"/>
  <c r="AI1042" i="1"/>
  <c r="AK1042" i="1" s="1"/>
  <c r="AH1042" i="1"/>
  <c r="Z1042" i="1"/>
  <c r="Y1042" i="1"/>
  <c r="U1042" i="1"/>
  <c r="J1042" i="1"/>
  <c r="D1042" i="1"/>
  <c r="AI1041" i="1"/>
  <c r="AK1041" i="1" s="1"/>
  <c r="AH1041" i="1"/>
  <c r="Z1041" i="1"/>
  <c r="Y1041" i="1"/>
  <c r="U1041" i="1"/>
  <c r="J1041" i="1"/>
  <c r="D1041" i="1"/>
  <c r="AI1040" i="1"/>
  <c r="AK1040" i="1" s="1"/>
  <c r="AH1040" i="1"/>
  <c r="Z1040" i="1"/>
  <c r="Y1040" i="1"/>
  <c r="U1040" i="1"/>
  <c r="J1040" i="1"/>
  <c r="D1040" i="1"/>
  <c r="AI1039" i="1"/>
  <c r="AH1039" i="1"/>
  <c r="Z1039" i="1"/>
  <c r="Y1039" i="1"/>
  <c r="U1039" i="1"/>
  <c r="J1039" i="1"/>
  <c r="D1039" i="1"/>
  <c r="AI1038" i="1"/>
  <c r="AH1038" i="1"/>
  <c r="Z1038" i="1"/>
  <c r="Y1038" i="1"/>
  <c r="U1038" i="1"/>
  <c r="J1038" i="1"/>
  <c r="D1038" i="1"/>
  <c r="AI1037" i="1"/>
  <c r="AH1037" i="1"/>
  <c r="Z1037" i="1"/>
  <c r="Y1037" i="1"/>
  <c r="U1037" i="1"/>
  <c r="J1037" i="1"/>
  <c r="D1037" i="1"/>
  <c r="AI1036" i="1"/>
  <c r="AH1036" i="1"/>
  <c r="Z1036" i="1"/>
  <c r="Y1036" i="1"/>
  <c r="U1036" i="1"/>
  <c r="J1036" i="1"/>
  <c r="D1036" i="1"/>
  <c r="AI1035" i="1"/>
  <c r="AH1035" i="1"/>
  <c r="Z1035" i="1"/>
  <c r="Y1035" i="1"/>
  <c r="U1035" i="1"/>
  <c r="J1035" i="1"/>
  <c r="D1035" i="1"/>
  <c r="AI1034" i="1"/>
  <c r="AK1034" i="1" s="1"/>
  <c r="AH1034" i="1"/>
  <c r="Z1034" i="1"/>
  <c r="Y1034" i="1"/>
  <c r="U1034" i="1"/>
  <c r="J1034" i="1"/>
  <c r="D1034" i="1"/>
  <c r="AI1033" i="1"/>
  <c r="AH1033" i="1"/>
  <c r="Z1033" i="1"/>
  <c r="Y1033" i="1"/>
  <c r="U1033" i="1"/>
  <c r="J1033" i="1"/>
  <c r="D1033" i="1"/>
  <c r="AI1032" i="1"/>
  <c r="AK1032" i="1" s="1"/>
  <c r="AH1032" i="1"/>
  <c r="Z1032" i="1"/>
  <c r="Y1032" i="1"/>
  <c r="U1032" i="1"/>
  <c r="J1032" i="1"/>
  <c r="D1032" i="1"/>
  <c r="AI1031" i="1"/>
  <c r="AK1031" i="1" s="1"/>
  <c r="AH1031" i="1"/>
  <c r="Z1031" i="1"/>
  <c r="Y1031" i="1"/>
  <c r="U1031" i="1"/>
  <c r="J1031" i="1"/>
  <c r="D1031" i="1"/>
  <c r="AI1030" i="1"/>
  <c r="AK1030" i="1" s="1"/>
  <c r="AH1030" i="1"/>
  <c r="Z1030" i="1"/>
  <c r="Y1030" i="1"/>
  <c r="AA1030" i="1" s="1"/>
  <c r="AB1030" i="1" s="1"/>
  <c r="U1030" i="1"/>
  <c r="J1030" i="1"/>
  <c r="D1030" i="1"/>
  <c r="AI1029" i="1"/>
  <c r="AK1029" i="1" s="1"/>
  <c r="AH1029" i="1"/>
  <c r="Z1029" i="1"/>
  <c r="Y1029" i="1"/>
  <c r="U1029" i="1"/>
  <c r="J1029" i="1"/>
  <c r="D1029" i="1"/>
  <c r="AI1028" i="1"/>
  <c r="AK1028" i="1" s="1"/>
  <c r="AH1028" i="1"/>
  <c r="Z1028" i="1"/>
  <c r="Y1028" i="1"/>
  <c r="U1028" i="1"/>
  <c r="J1028" i="1"/>
  <c r="D1028" i="1"/>
  <c r="AO1027" i="1"/>
  <c r="AO1028" i="1" s="1"/>
  <c r="AO1030" i="1" s="1"/>
  <c r="AI1027" i="1"/>
  <c r="AH1027" i="1"/>
  <c r="Z1027" i="1"/>
  <c r="Y1027" i="1"/>
  <c r="U1027" i="1"/>
  <c r="J1027" i="1"/>
  <c r="D1027" i="1"/>
  <c r="AI1026" i="1"/>
  <c r="AH1026" i="1"/>
  <c r="Z1026" i="1"/>
  <c r="Y1026" i="1"/>
  <c r="U1026" i="1"/>
  <c r="J1026" i="1"/>
  <c r="D1026" i="1"/>
  <c r="AI1025" i="1"/>
  <c r="AH1025" i="1"/>
  <c r="Z1025" i="1"/>
  <c r="Y1025" i="1"/>
  <c r="U1025" i="1"/>
  <c r="P1025" i="1"/>
  <c r="Q1025" i="1" s="1"/>
  <c r="M1025" i="1"/>
  <c r="J1025" i="1"/>
  <c r="D1025" i="1"/>
  <c r="AI1024" i="1"/>
  <c r="AH1024" i="1"/>
  <c r="Z1024" i="1"/>
  <c r="Y1024" i="1"/>
  <c r="U1024" i="1"/>
  <c r="J1024" i="1"/>
  <c r="D1024" i="1"/>
  <c r="AI1023" i="1"/>
  <c r="AJ1023" i="1" s="1"/>
  <c r="AL1023" i="1" s="1"/>
  <c r="AH1023" i="1"/>
  <c r="Z1023" i="1"/>
  <c r="Y1023" i="1"/>
  <c r="U1023" i="1"/>
  <c r="J1023" i="1"/>
  <c r="D1023" i="1"/>
  <c r="AI1022" i="1"/>
  <c r="AK1022" i="1" s="1"/>
  <c r="AH1022" i="1"/>
  <c r="Z1022" i="1"/>
  <c r="Y1022" i="1"/>
  <c r="AA1022" i="1" s="1"/>
  <c r="AB1022" i="1" s="1"/>
  <c r="U1022" i="1"/>
  <c r="J1022" i="1"/>
  <c r="AC1022" i="1" s="1"/>
  <c r="D1022" i="1"/>
  <c r="AI1021" i="1"/>
  <c r="AK1021" i="1" s="1"/>
  <c r="AH1021" i="1"/>
  <c r="Z1021" i="1"/>
  <c r="Y1021" i="1"/>
  <c r="U1021" i="1"/>
  <c r="J1021" i="1"/>
  <c r="D1021" i="1"/>
  <c r="AI1020" i="1"/>
  <c r="AH1020" i="1"/>
  <c r="Z1020" i="1"/>
  <c r="Y1020" i="1"/>
  <c r="U1020" i="1"/>
  <c r="J1020" i="1"/>
  <c r="D1020" i="1"/>
  <c r="AI1019" i="1"/>
  <c r="AK1019" i="1" s="1"/>
  <c r="AH1019" i="1"/>
  <c r="Z1019" i="1"/>
  <c r="Y1019" i="1"/>
  <c r="U1019" i="1"/>
  <c r="J1019" i="1"/>
  <c r="D1019" i="1"/>
  <c r="AI1018" i="1"/>
  <c r="AH1018" i="1"/>
  <c r="Z1018" i="1"/>
  <c r="Y1018" i="1"/>
  <c r="U1018" i="1"/>
  <c r="J1018" i="1"/>
  <c r="D1018" i="1"/>
  <c r="AI1017" i="1"/>
  <c r="AK1017" i="1" s="1"/>
  <c r="AH1017" i="1"/>
  <c r="Z1017" i="1"/>
  <c r="Y1017" i="1"/>
  <c r="U1017" i="1"/>
  <c r="J1017" i="1"/>
  <c r="D1017" i="1"/>
  <c r="AI1016" i="1"/>
  <c r="AH1016" i="1"/>
  <c r="Z1016" i="1"/>
  <c r="Y1016" i="1"/>
  <c r="U1016" i="1"/>
  <c r="J1016" i="1"/>
  <c r="D1016" i="1"/>
  <c r="AI1015" i="1"/>
  <c r="AH1015" i="1"/>
  <c r="Z1015" i="1"/>
  <c r="Y1015" i="1"/>
  <c r="U1015" i="1"/>
  <c r="J1015" i="1"/>
  <c r="D1015" i="1"/>
  <c r="AI1014" i="1"/>
  <c r="AH1014" i="1"/>
  <c r="Z1014" i="1"/>
  <c r="Y1014" i="1"/>
  <c r="U1014" i="1"/>
  <c r="J1014" i="1"/>
  <c r="D1014" i="1"/>
  <c r="AI1013" i="1"/>
  <c r="AH1013" i="1"/>
  <c r="Z1013" i="1"/>
  <c r="Y1013" i="1"/>
  <c r="U1013" i="1"/>
  <c r="J1013" i="1"/>
  <c r="D1013" i="1"/>
  <c r="AI1012" i="1"/>
  <c r="AH1012" i="1"/>
  <c r="Z1012" i="1"/>
  <c r="Y1012" i="1"/>
  <c r="U1012" i="1"/>
  <c r="J1012" i="1"/>
  <c r="D1012" i="1"/>
  <c r="AI1011" i="1"/>
  <c r="AH1011" i="1"/>
  <c r="Z1011" i="1"/>
  <c r="Y1011" i="1"/>
  <c r="U1011" i="1"/>
  <c r="J1011" i="1"/>
  <c r="D1011" i="1"/>
  <c r="AI1010" i="1"/>
  <c r="AH1010" i="1"/>
  <c r="Z1010" i="1"/>
  <c r="Y1010" i="1"/>
  <c r="U1010" i="1"/>
  <c r="J1010" i="1"/>
  <c r="D1010" i="1"/>
  <c r="AI1009" i="1"/>
  <c r="AK1009" i="1" s="1"/>
  <c r="AH1009" i="1"/>
  <c r="Z1009" i="1"/>
  <c r="Y1009" i="1"/>
  <c r="U1009" i="1"/>
  <c r="J1009" i="1"/>
  <c r="D1009" i="1"/>
  <c r="AI1008" i="1"/>
  <c r="AH1008" i="1"/>
  <c r="Z1008" i="1"/>
  <c r="Y1008" i="1"/>
  <c r="U1008" i="1"/>
  <c r="J1008" i="1"/>
  <c r="D1008" i="1"/>
  <c r="AI1007" i="1"/>
  <c r="AK1007" i="1" s="1"/>
  <c r="AH1007" i="1"/>
  <c r="Z1007" i="1"/>
  <c r="Y1007" i="1"/>
  <c r="U1007" i="1"/>
  <c r="J1007" i="1"/>
  <c r="D1007" i="1"/>
  <c r="AI1006" i="1"/>
  <c r="AJ1006" i="1" s="1"/>
  <c r="AL1006" i="1" s="1"/>
  <c r="AH1006" i="1"/>
  <c r="Z1006" i="1"/>
  <c r="Y1006" i="1"/>
  <c r="U1006" i="1"/>
  <c r="J1006" i="1"/>
  <c r="D1006" i="1"/>
  <c r="AI1005" i="1"/>
  <c r="AK1005" i="1" s="1"/>
  <c r="AH1005" i="1"/>
  <c r="Z1005" i="1"/>
  <c r="Y1005" i="1"/>
  <c r="U1005" i="1"/>
  <c r="J1005" i="1"/>
  <c r="D1005" i="1"/>
  <c r="AI1004" i="1"/>
  <c r="AK1004" i="1" s="1"/>
  <c r="AH1004" i="1"/>
  <c r="Z1004" i="1"/>
  <c r="Y1004" i="1"/>
  <c r="AA1004" i="1" s="1"/>
  <c r="AB1004" i="1" s="1"/>
  <c r="U1004" i="1"/>
  <c r="J1004" i="1"/>
  <c r="AD1004" i="1" s="1"/>
  <c r="D1004" i="1"/>
  <c r="AI1003" i="1"/>
  <c r="AH1003" i="1"/>
  <c r="Z1003" i="1"/>
  <c r="Y1003" i="1"/>
  <c r="U1003" i="1"/>
  <c r="J1003" i="1"/>
  <c r="D1003" i="1"/>
  <c r="AI1002" i="1"/>
  <c r="AJ1002" i="1" s="1"/>
  <c r="AL1002" i="1" s="1"/>
  <c r="AH1002" i="1"/>
  <c r="Z1002" i="1"/>
  <c r="Y1002" i="1"/>
  <c r="U1002" i="1"/>
  <c r="J1002" i="1"/>
  <c r="D1002" i="1"/>
  <c r="AI1001" i="1"/>
  <c r="AJ1001" i="1" s="1"/>
  <c r="AL1001" i="1" s="1"/>
  <c r="AH1001" i="1"/>
  <c r="Z1001" i="1"/>
  <c r="Y1001" i="1"/>
  <c r="U1001" i="1"/>
  <c r="J1001" i="1"/>
  <c r="D1001" i="1"/>
  <c r="AI1000" i="1"/>
  <c r="AK1000" i="1" s="1"/>
  <c r="AH1000" i="1"/>
  <c r="Z1000" i="1"/>
  <c r="Y1000" i="1"/>
  <c r="U1000" i="1"/>
  <c r="J1000" i="1"/>
  <c r="D1000" i="1"/>
  <c r="AI999" i="1"/>
  <c r="AH999" i="1"/>
  <c r="Z999" i="1"/>
  <c r="Y999" i="1"/>
  <c r="U999" i="1"/>
  <c r="J999" i="1"/>
  <c r="D999" i="1"/>
  <c r="AI998" i="1"/>
  <c r="AJ998" i="1" s="1"/>
  <c r="AL998" i="1" s="1"/>
  <c r="AH998" i="1"/>
  <c r="Z998" i="1"/>
  <c r="Y998" i="1"/>
  <c r="U998" i="1"/>
  <c r="J998" i="1"/>
  <c r="D998" i="1"/>
  <c r="AI997" i="1"/>
  <c r="AH997" i="1"/>
  <c r="Z997" i="1"/>
  <c r="Y997" i="1"/>
  <c r="U997" i="1"/>
  <c r="J997" i="1"/>
  <c r="D997" i="1"/>
  <c r="AI996" i="1"/>
  <c r="AH996" i="1"/>
  <c r="Z996" i="1"/>
  <c r="Y996" i="1"/>
  <c r="U996" i="1"/>
  <c r="J996" i="1"/>
  <c r="D996" i="1"/>
  <c r="AI995" i="1"/>
  <c r="AH995" i="1"/>
  <c r="Z995" i="1"/>
  <c r="Y995" i="1"/>
  <c r="U995" i="1"/>
  <c r="J995" i="1"/>
  <c r="D995" i="1"/>
  <c r="AO994" i="1"/>
  <c r="AO995" i="1" s="1"/>
  <c r="AO997" i="1" s="1"/>
  <c r="AI994" i="1"/>
  <c r="AH994" i="1"/>
  <c r="Z994" i="1"/>
  <c r="Y994" i="1"/>
  <c r="U994" i="1"/>
  <c r="J994" i="1"/>
  <c r="D994" i="1"/>
  <c r="AI993" i="1"/>
  <c r="AJ993" i="1" s="1"/>
  <c r="AL993" i="1" s="1"/>
  <c r="AH993" i="1"/>
  <c r="Z993" i="1"/>
  <c r="Y993" i="1"/>
  <c r="U993" i="1"/>
  <c r="J993" i="1"/>
  <c r="D993" i="1"/>
  <c r="AI992" i="1"/>
  <c r="AK992" i="1" s="1"/>
  <c r="AH992" i="1"/>
  <c r="Z992" i="1"/>
  <c r="Y992" i="1"/>
  <c r="U992" i="1"/>
  <c r="P992" i="1"/>
  <c r="O993" i="1" s="1"/>
  <c r="M992" i="1"/>
  <c r="J992" i="1"/>
  <c r="D992" i="1"/>
  <c r="AI991" i="1"/>
  <c r="AH991" i="1"/>
  <c r="Z991" i="1"/>
  <c r="Y991" i="1"/>
  <c r="U991" i="1"/>
  <c r="J991" i="1"/>
  <c r="D991" i="1"/>
  <c r="AI990" i="1"/>
  <c r="AH990" i="1"/>
  <c r="Z990" i="1"/>
  <c r="Y990" i="1"/>
  <c r="U990" i="1"/>
  <c r="J990" i="1"/>
  <c r="D990" i="1"/>
  <c r="AI989" i="1"/>
  <c r="AJ989" i="1" s="1"/>
  <c r="AL989" i="1" s="1"/>
  <c r="AH989" i="1"/>
  <c r="Z989" i="1"/>
  <c r="Y989" i="1"/>
  <c r="U989" i="1"/>
  <c r="J989" i="1"/>
  <c r="D989" i="1"/>
  <c r="AI988" i="1"/>
  <c r="AJ988" i="1" s="1"/>
  <c r="AL988" i="1" s="1"/>
  <c r="AH988" i="1"/>
  <c r="Z988" i="1"/>
  <c r="Y988" i="1"/>
  <c r="U988" i="1"/>
  <c r="J988" i="1"/>
  <c r="D988" i="1"/>
  <c r="AI987" i="1"/>
  <c r="AH987" i="1"/>
  <c r="Z987" i="1"/>
  <c r="Y987" i="1"/>
  <c r="U987" i="1"/>
  <c r="J987" i="1"/>
  <c r="D987" i="1"/>
  <c r="AI986" i="1"/>
  <c r="AH986" i="1"/>
  <c r="Z986" i="1"/>
  <c r="Y986" i="1"/>
  <c r="U986" i="1"/>
  <c r="J986" i="1"/>
  <c r="D986" i="1"/>
  <c r="AI985" i="1"/>
  <c r="AK985" i="1" s="1"/>
  <c r="AH985" i="1"/>
  <c r="Z985" i="1"/>
  <c r="Y985" i="1"/>
  <c r="U985" i="1"/>
  <c r="J985" i="1"/>
  <c r="D985" i="1"/>
  <c r="AI984" i="1"/>
  <c r="AJ984" i="1" s="1"/>
  <c r="AL984" i="1" s="1"/>
  <c r="AH984" i="1"/>
  <c r="Z984" i="1"/>
  <c r="Y984" i="1"/>
  <c r="U984" i="1"/>
  <c r="J984" i="1"/>
  <c r="D984" i="1"/>
  <c r="AI983" i="1"/>
  <c r="AH983" i="1"/>
  <c r="Z983" i="1"/>
  <c r="Y983" i="1"/>
  <c r="U983" i="1"/>
  <c r="J983" i="1"/>
  <c r="D983" i="1"/>
  <c r="AI982" i="1"/>
  <c r="AK982" i="1" s="1"/>
  <c r="AH982" i="1"/>
  <c r="Z982" i="1"/>
  <c r="Y982" i="1"/>
  <c r="AA982" i="1" s="1"/>
  <c r="AB982" i="1" s="1"/>
  <c r="U982" i="1"/>
  <c r="J982" i="1"/>
  <c r="D982" i="1"/>
  <c r="AI981" i="1"/>
  <c r="AK981" i="1" s="1"/>
  <c r="AH981" i="1"/>
  <c r="Z981" i="1"/>
  <c r="Y981" i="1"/>
  <c r="U981" i="1"/>
  <c r="J981" i="1"/>
  <c r="D981" i="1"/>
  <c r="AI980" i="1"/>
  <c r="AK980" i="1" s="1"/>
  <c r="AH980" i="1"/>
  <c r="Z980" i="1"/>
  <c r="Y980" i="1"/>
  <c r="U980" i="1"/>
  <c r="J980" i="1"/>
  <c r="D980" i="1"/>
  <c r="AI979" i="1"/>
  <c r="AH979" i="1"/>
  <c r="Z979" i="1"/>
  <c r="Y979" i="1"/>
  <c r="U979" i="1"/>
  <c r="J979" i="1"/>
  <c r="D979" i="1"/>
  <c r="AI978" i="1"/>
  <c r="AK978" i="1" s="1"/>
  <c r="AH978" i="1"/>
  <c r="Z978" i="1"/>
  <c r="Y978" i="1"/>
  <c r="U978" i="1"/>
  <c r="J978" i="1"/>
  <c r="D978" i="1"/>
  <c r="AI977" i="1"/>
  <c r="AH977" i="1"/>
  <c r="Z977" i="1"/>
  <c r="Y977" i="1"/>
  <c r="U977" i="1"/>
  <c r="J977" i="1"/>
  <c r="D977" i="1"/>
  <c r="AI976" i="1"/>
  <c r="AJ976" i="1" s="1"/>
  <c r="AL976" i="1" s="1"/>
  <c r="AH976" i="1"/>
  <c r="Z976" i="1"/>
  <c r="Y976" i="1"/>
  <c r="U976" i="1"/>
  <c r="J976" i="1"/>
  <c r="D976" i="1"/>
  <c r="AI975" i="1"/>
  <c r="AJ975" i="1" s="1"/>
  <c r="AL975" i="1" s="1"/>
  <c r="AH975" i="1"/>
  <c r="Z975" i="1"/>
  <c r="Y975" i="1"/>
  <c r="U975" i="1"/>
  <c r="J975" i="1"/>
  <c r="D975" i="1"/>
  <c r="AI974" i="1"/>
  <c r="AJ974" i="1" s="1"/>
  <c r="AL974" i="1" s="1"/>
  <c r="AH974" i="1"/>
  <c r="Z974" i="1"/>
  <c r="Y974" i="1"/>
  <c r="U974" i="1"/>
  <c r="J974" i="1"/>
  <c r="D974" i="1"/>
  <c r="AI973" i="1"/>
  <c r="AK973" i="1" s="1"/>
  <c r="AH973" i="1"/>
  <c r="Z973" i="1"/>
  <c r="Y973" i="1"/>
  <c r="U973" i="1"/>
  <c r="J973" i="1"/>
  <c r="D973" i="1"/>
  <c r="AI972" i="1"/>
  <c r="AJ972" i="1" s="1"/>
  <c r="AL972" i="1" s="1"/>
  <c r="AH972" i="1"/>
  <c r="Z972" i="1"/>
  <c r="Y972" i="1"/>
  <c r="U972" i="1"/>
  <c r="J972" i="1"/>
  <c r="D972" i="1"/>
  <c r="AI971" i="1"/>
  <c r="AH971" i="1"/>
  <c r="Z971" i="1"/>
  <c r="Y971" i="1"/>
  <c r="U971" i="1"/>
  <c r="J971" i="1"/>
  <c r="D971" i="1"/>
  <c r="AI970" i="1"/>
  <c r="AK970" i="1" s="1"/>
  <c r="AH970" i="1"/>
  <c r="Z970" i="1"/>
  <c r="Y970" i="1"/>
  <c r="U970" i="1"/>
  <c r="J970" i="1"/>
  <c r="D970" i="1"/>
  <c r="AI969" i="1"/>
  <c r="AK969" i="1" s="1"/>
  <c r="AH969" i="1"/>
  <c r="Z969" i="1"/>
  <c r="Y969" i="1"/>
  <c r="U969" i="1"/>
  <c r="J969" i="1"/>
  <c r="D969" i="1"/>
  <c r="AI968" i="1"/>
  <c r="AK968" i="1" s="1"/>
  <c r="AH968" i="1"/>
  <c r="Z968" i="1"/>
  <c r="Y968" i="1"/>
  <c r="U968" i="1"/>
  <c r="J968" i="1"/>
  <c r="D968" i="1"/>
  <c r="AI967" i="1"/>
  <c r="AH967" i="1"/>
  <c r="Z967" i="1"/>
  <c r="Y967" i="1"/>
  <c r="AA967" i="1" s="1"/>
  <c r="AB967" i="1" s="1"/>
  <c r="U967" i="1"/>
  <c r="J967" i="1"/>
  <c r="D967" i="1"/>
  <c r="AI966" i="1"/>
  <c r="AH966" i="1"/>
  <c r="Z966" i="1"/>
  <c r="Y966" i="1"/>
  <c r="U966" i="1"/>
  <c r="J966" i="1"/>
  <c r="D966" i="1"/>
  <c r="AI965" i="1"/>
  <c r="AH965" i="1"/>
  <c r="Z965" i="1"/>
  <c r="Y965" i="1"/>
  <c r="U965" i="1"/>
  <c r="J965" i="1"/>
  <c r="D965" i="1"/>
  <c r="AI964" i="1"/>
  <c r="AH964" i="1"/>
  <c r="Z964" i="1"/>
  <c r="Y964" i="1"/>
  <c r="U964" i="1"/>
  <c r="J964" i="1"/>
  <c r="D964" i="1"/>
  <c r="AI963" i="1"/>
  <c r="AK963" i="1" s="1"/>
  <c r="AH963" i="1"/>
  <c r="Z963" i="1"/>
  <c r="Y963" i="1"/>
  <c r="U963" i="1"/>
  <c r="J963" i="1"/>
  <c r="D963" i="1"/>
  <c r="AI962" i="1"/>
  <c r="AH962" i="1"/>
  <c r="Z962" i="1"/>
  <c r="Y962" i="1"/>
  <c r="U962" i="1"/>
  <c r="J962" i="1"/>
  <c r="AC962" i="1" s="1"/>
  <c r="D962" i="1"/>
  <c r="AO961" i="1"/>
  <c r="AO962" i="1" s="1"/>
  <c r="AO964" i="1" s="1"/>
  <c r="AI961" i="1"/>
  <c r="AJ961" i="1" s="1"/>
  <c r="AL961" i="1" s="1"/>
  <c r="AH961" i="1"/>
  <c r="Z961" i="1"/>
  <c r="Y961" i="1"/>
  <c r="U961" i="1"/>
  <c r="J961" i="1"/>
  <c r="D961" i="1"/>
  <c r="AI960" i="1"/>
  <c r="AJ960" i="1" s="1"/>
  <c r="AL960" i="1" s="1"/>
  <c r="AH960" i="1"/>
  <c r="Z960" i="1"/>
  <c r="Y960" i="1"/>
  <c r="AA960" i="1" s="1"/>
  <c r="AB960" i="1" s="1"/>
  <c r="U960" i="1"/>
  <c r="J960" i="1"/>
  <c r="D960" i="1"/>
  <c r="AI959" i="1"/>
  <c r="AJ959" i="1" s="1"/>
  <c r="AL959" i="1" s="1"/>
  <c r="AH959" i="1"/>
  <c r="Z959" i="1"/>
  <c r="Y959" i="1"/>
  <c r="U959" i="1"/>
  <c r="P959" i="1"/>
  <c r="O960" i="1" s="1"/>
  <c r="P960" i="1" s="1"/>
  <c r="O961" i="1" s="1"/>
  <c r="M959" i="1"/>
  <c r="N959" i="1" s="1"/>
  <c r="J959" i="1"/>
  <c r="D959" i="1"/>
  <c r="AI958" i="1"/>
  <c r="AH958" i="1"/>
  <c r="Z958" i="1"/>
  <c r="Y958" i="1"/>
  <c r="U958" i="1"/>
  <c r="J958" i="1"/>
  <c r="D958" i="1"/>
  <c r="AI957" i="1"/>
  <c r="AK957" i="1" s="1"/>
  <c r="AH957" i="1"/>
  <c r="Z957" i="1"/>
  <c r="Y957" i="1"/>
  <c r="U957" i="1"/>
  <c r="J957" i="1"/>
  <c r="D957" i="1"/>
  <c r="AI956" i="1"/>
  <c r="AJ956" i="1" s="1"/>
  <c r="AL956" i="1" s="1"/>
  <c r="AH956" i="1"/>
  <c r="Z956" i="1"/>
  <c r="Y956" i="1"/>
  <c r="U956" i="1"/>
  <c r="J956" i="1"/>
  <c r="D956" i="1"/>
  <c r="AI955" i="1"/>
  <c r="AH955" i="1"/>
  <c r="Z955" i="1"/>
  <c r="Y955" i="1"/>
  <c r="U955" i="1"/>
  <c r="J955" i="1"/>
  <c r="D955" i="1"/>
  <c r="AI954" i="1"/>
  <c r="AH954" i="1"/>
  <c r="Z954" i="1"/>
  <c r="Y954" i="1"/>
  <c r="U954" i="1"/>
  <c r="J954" i="1"/>
  <c r="D954" i="1"/>
  <c r="AI953" i="1"/>
  <c r="AJ953" i="1" s="1"/>
  <c r="AL953" i="1" s="1"/>
  <c r="AH953" i="1"/>
  <c r="Z953" i="1"/>
  <c r="Y953" i="1"/>
  <c r="U953" i="1"/>
  <c r="J953" i="1"/>
  <c r="D953" i="1"/>
  <c r="AI952" i="1"/>
  <c r="AH952" i="1"/>
  <c r="Z952" i="1"/>
  <c r="Y952" i="1"/>
  <c r="U952" i="1"/>
  <c r="J952" i="1"/>
  <c r="D952" i="1"/>
  <c r="AI951" i="1"/>
  <c r="AH951" i="1"/>
  <c r="Z951" i="1"/>
  <c r="Y951" i="1"/>
  <c r="U951" i="1"/>
  <c r="J951" i="1"/>
  <c r="D951" i="1"/>
  <c r="AI950" i="1"/>
  <c r="AK950" i="1" s="1"/>
  <c r="AH950" i="1"/>
  <c r="Z950" i="1"/>
  <c r="Y950" i="1"/>
  <c r="U950" i="1"/>
  <c r="J950" i="1"/>
  <c r="D950" i="1"/>
  <c r="AI949" i="1"/>
  <c r="AH949" i="1"/>
  <c r="Z949" i="1"/>
  <c r="Y949" i="1"/>
  <c r="U949" i="1"/>
  <c r="J949" i="1"/>
  <c r="AD949" i="1" s="1"/>
  <c r="D949" i="1"/>
  <c r="AI948" i="1"/>
  <c r="AK948" i="1" s="1"/>
  <c r="AH948" i="1"/>
  <c r="Z948" i="1"/>
  <c r="Y948" i="1"/>
  <c r="U948" i="1"/>
  <c r="J948" i="1"/>
  <c r="D948" i="1"/>
  <c r="AI947" i="1"/>
  <c r="AK947" i="1" s="1"/>
  <c r="AH947" i="1"/>
  <c r="Z947" i="1"/>
  <c r="Y947" i="1"/>
  <c r="U947" i="1"/>
  <c r="J947" i="1"/>
  <c r="D947" i="1"/>
  <c r="AI946" i="1"/>
  <c r="AJ946" i="1" s="1"/>
  <c r="AL946" i="1" s="1"/>
  <c r="AH946" i="1"/>
  <c r="Z946" i="1"/>
  <c r="Y946" i="1"/>
  <c r="U946" i="1"/>
  <c r="J946" i="1"/>
  <c r="D946" i="1"/>
  <c r="AI945" i="1"/>
  <c r="AK945" i="1" s="1"/>
  <c r="AH945" i="1"/>
  <c r="Z945" i="1"/>
  <c r="Y945" i="1"/>
  <c r="U945" i="1"/>
  <c r="J945" i="1"/>
  <c r="D945" i="1"/>
  <c r="AI944" i="1"/>
  <c r="AK944" i="1" s="1"/>
  <c r="AH944" i="1"/>
  <c r="Z944" i="1"/>
  <c r="Y944" i="1"/>
  <c r="U944" i="1"/>
  <c r="J944" i="1"/>
  <c r="D944" i="1"/>
  <c r="AI943" i="1"/>
  <c r="AH943" i="1"/>
  <c r="Z943" i="1"/>
  <c r="Y943" i="1"/>
  <c r="U943" i="1"/>
  <c r="J943" i="1"/>
  <c r="D943" i="1"/>
  <c r="AI942" i="1"/>
  <c r="AH942" i="1"/>
  <c r="Z942" i="1"/>
  <c r="Y942" i="1"/>
  <c r="U942" i="1"/>
  <c r="J942" i="1"/>
  <c r="D942" i="1"/>
  <c r="AI941" i="1"/>
  <c r="AJ941" i="1" s="1"/>
  <c r="AL941" i="1" s="1"/>
  <c r="AH941" i="1"/>
  <c r="Z941" i="1"/>
  <c r="Y941" i="1"/>
  <c r="U941" i="1"/>
  <c r="J941" i="1"/>
  <c r="D941" i="1"/>
  <c r="AI940" i="1"/>
  <c r="AJ940" i="1" s="1"/>
  <c r="AL940" i="1" s="1"/>
  <c r="AH940" i="1"/>
  <c r="Z940" i="1"/>
  <c r="Y940" i="1"/>
  <c r="U940" i="1"/>
  <c r="J940" i="1"/>
  <c r="D940" i="1"/>
  <c r="AI939" i="1"/>
  <c r="AH939" i="1"/>
  <c r="Z939" i="1"/>
  <c r="Y939" i="1"/>
  <c r="U939" i="1"/>
  <c r="J939" i="1"/>
  <c r="D939" i="1"/>
  <c r="AI938" i="1"/>
  <c r="AJ938" i="1" s="1"/>
  <c r="AL938" i="1" s="1"/>
  <c r="AH938" i="1"/>
  <c r="Z938" i="1"/>
  <c r="Y938" i="1"/>
  <c r="U938" i="1"/>
  <c r="J938" i="1"/>
  <c r="D938" i="1"/>
  <c r="AI937" i="1"/>
  <c r="AH937" i="1"/>
  <c r="Z937" i="1"/>
  <c r="Y937" i="1"/>
  <c r="U937" i="1"/>
  <c r="J937" i="1"/>
  <c r="AD937" i="1" s="1"/>
  <c r="D937" i="1"/>
  <c r="AI936" i="1"/>
  <c r="AJ936" i="1" s="1"/>
  <c r="AL936" i="1" s="1"/>
  <c r="AH936" i="1"/>
  <c r="Z936" i="1"/>
  <c r="Y936" i="1"/>
  <c r="U936" i="1"/>
  <c r="J936" i="1"/>
  <c r="D936" i="1"/>
  <c r="AI935" i="1"/>
  <c r="AH935" i="1"/>
  <c r="Z935" i="1"/>
  <c r="Y935" i="1"/>
  <c r="U935" i="1"/>
  <c r="J935" i="1"/>
  <c r="D935" i="1"/>
  <c r="AI934" i="1"/>
  <c r="AK934" i="1" s="1"/>
  <c r="AH934" i="1"/>
  <c r="Z934" i="1"/>
  <c r="Y934" i="1"/>
  <c r="U934" i="1"/>
  <c r="J934" i="1"/>
  <c r="D934" i="1"/>
  <c r="AI933" i="1"/>
  <c r="AK933" i="1" s="1"/>
  <c r="AH933" i="1"/>
  <c r="Z933" i="1"/>
  <c r="Y933" i="1"/>
  <c r="U933" i="1"/>
  <c r="J933" i="1"/>
  <c r="D933" i="1"/>
  <c r="AI932" i="1"/>
  <c r="AH932" i="1"/>
  <c r="Z932" i="1"/>
  <c r="Y932" i="1"/>
  <c r="U932" i="1"/>
  <c r="J932" i="1"/>
  <c r="D932" i="1"/>
  <c r="AI931" i="1"/>
  <c r="AH931" i="1"/>
  <c r="Z931" i="1"/>
  <c r="Y931" i="1"/>
  <c r="U931" i="1"/>
  <c r="J931" i="1"/>
  <c r="D931" i="1"/>
  <c r="AI930" i="1"/>
  <c r="AH930" i="1"/>
  <c r="Z930" i="1"/>
  <c r="Y930" i="1"/>
  <c r="U930" i="1"/>
  <c r="J930" i="1"/>
  <c r="D930" i="1"/>
  <c r="AI929" i="1"/>
  <c r="AK929" i="1" s="1"/>
  <c r="AH929" i="1"/>
  <c r="Z929" i="1"/>
  <c r="Y929" i="1"/>
  <c r="U929" i="1"/>
  <c r="J929" i="1"/>
  <c r="D929" i="1"/>
  <c r="AO928" i="1"/>
  <c r="AO929" i="1" s="1"/>
  <c r="AO931" i="1" s="1"/>
  <c r="AI928" i="1"/>
  <c r="AH928" i="1"/>
  <c r="Z928" i="1"/>
  <c r="Y928" i="1"/>
  <c r="U928" i="1"/>
  <c r="J928" i="1"/>
  <c r="D928" i="1"/>
  <c r="AI927" i="1"/>
  <c r="AH927" i="1"/>
  <c r="Z927" i="1"/>
  <c r="Y927" i="1"/>
  <c r="U927" i="1"/>
  <c r="J927" i="1"/>
  <c r="D927" i="1"/>
  <c r="AI926" i="1"/>
  <c r="AH926" i="1"/>
  <c r="Z926" i="1"/>
  <c r="Y926" i="1"/>
  <c r="U926" i="1"/>
  <c r="P926" i="1"/>
  <c r="O927" i="1" s="1"/>
  <c r="M926" i="1"/>
  <c r="N926" i="1" s="1"/>
  <c r="J926" i="1"/>
  <c r="D926" i="1"/>
  <c r="AI925" i="1"/>
  <c r="AH925" i="1"/>
  <c r="Z925" i="1"/>
  <c r="Y925" i="1"/>
  <c r="U925" i="1"/>
  <c r="J925" i="1"/>
  <c r="D925" i="1"/>
  <c r="AI924" i="1"/>
  <c r="AH924" i="1"/>
  <c r="Z924" i="1"/>
  <c r="Y924" i="1"/>
  <c r="U924" i="1"/>
  <c r="J924" i="1"/>
  <c r="D924" i="1"/>
  <c r="AI923" i="1"/>
  <c r="AK923" i="1" s="1"/>
  <c r="AH923" i="1"/>
  <c r="Z923" i="1"/>
  <c r="Y923" i="1"/>
  <c r="U923" i="1"/>
  <c r="J923" i="1"/>
  <c r="D923" i="1"/>
  <c r="AI922" i="1"/>
  <c r="AH922" i="1"/>
  <c r="Z922" i="1"/>
  <c r="Y922" i="1"/>
  <c r="U922" i="1"/>
  <c r="J922" i="1"/>
  <c r="D922" i="1"/>
  <c r="AI921" i="1"/>
  <c r="AH921" i="1"/>
  <c r="Z921" i="1"/>
  <c r="Y921" i="1"/>
  <c r="U921" i="1"/>
  <c r="J921" i="1"/>
  <c r="D921" i="1"/>
  <c r="AI920" i="1"/>
  <c r="AJ920" i="1" s="1"/>
  <c r="AL920" i="1" s="1"/>
  <c r="AH920" i="1"/>
  <c r="Z920" i="1"/>
  <c r="Y920" i="1"/>
  <c r="U920" i="1"/>
  <c r="J920" i="1"/>
  <c r="D920" i="1"/>
  <c r="AI919" i="1"/>
  <c r="AH919" i="1"/>
  <c r="Z919" i="1"/>
  <c r="Y919" i="1"/>
  <c r="U919" i="1"/>
  <c r="J919" i="1"/>
  <c r="D919" i="1"/>
  <c r="AI918" i="1"/>
  <c r="AH918" i="1"/>
  <c r="Z918" i="1"/>
  <c r="Y918" i="1"/>
  <c r="AA918" i="1" s="1"/>
  <c r="AB918" i="1" s="1"/>
  <c r="U918" i="1"/>
  <c r="J918" i="1"/>
  <c r="D918" i="1"/>
  <c r="AI917" i="1"/>
  <c r="AH917" i="1"/>
  <c r="Z917" i="1"/>
  <c r="Y917" i="1"/>
  <c r="U917" i="1"/>
  <c r="J917" i="1"/>
  <c r="D917" i="1"/>
  <c r="AI916" i="1"/>
  <c r="AJ916" i="1" s="1"/>
  <c r="AL916" i="1" s="1"/>
  <c r="AH916" i="1"/>
  <c r="Z916" i="1"/>
  <c r="Y916" i="1"/>
  <c r="U916" i="1"/>
  <c r="J916" i="1"/>
  <c r="D916" i="1"/>
  <c r="AI915" i="1"/>
  <c r="AH915" i="1"/>
  <c r="Z915" i="1"/>
  <c r="Y915" i="1"/>
  <c r="U915" i="1"/>
  <c r="J915" i="1"/>
  <c r="D915" i="1"/>
  <c r="AI914" i="1"/>
  <c r="AH914" i="1"/>
  <c r="Z914" i="1"/>
  <c r="Y914" i="1"/>
  <c r="U914" i="1"/>
  <c r="J914" i="1"/>
  <c r="D914" i="1"/>
  <c r="AI913" i="1"/>
  <c r="AH913" i="1"/>
  <c r="Z913" i="1"/>
  <c r="Y913" i="1"/>
  <c r="U913" i="1"/>
  <c r="J913" i="1"/>
  <c r="D913" i="1"/>
  <c r="AI912" i="1"/>
  <c r="AH912" i="1"/>
  <c r="Z912" i="1"/>
  <c r="Y912" i="1"/>
  <c r="U912" i="1"/>
  <c r="J912" i="1"/>
  <c r="D912" i="1"/>
  <c r="AI911" i="1"/>
  <c r="AJ911" i="1" s="1"/>
  <c r="AL911" i="1" s="1"/>
  <c r="AH911" i="1"/>
  <c r="Z911" i="1"/>
  <c r="Y911" i="1"/>
  <c r="U911" i="1"/>
  <c r="J911" i="1"/>
  <c r="D911" i="1"/>
  <c r="AI910" i="1"/>
  <c r="AH910" i="1"/>
  <c r="Z910" i="1"/>
  <c r="Y910" i="1"/>
  <c r="U910" i="1"/>
  <c r="J910" i="1"/>
  <c r="D910" i="1"/>
  <c r="AI909" i="1"/>
  <c r="AK909" i="1" s="1"/>
  <c r="AH909" i="1"/>
  <c r="Z909" i="1"/>
  <c r="Y909" i="1"/>
  <c r="U909" i="1"/>
  <c r="J909" i="1"/>
  <c r="D909" i="1"/>
  <c r="AI908" i="1"/>
  <c r="AK908" i="1" s="1"/>
  <c r="AH908" i="1"/>
  <c r="Z908" i="1"/>
  <c r="Y908" i="1"/>
  <c r="AA908" i="1" s="1"/>
  <c r="AB908" i="1" s="1"/>
  <c r="U908" i="1"/>
  <c r="J908" i="1"/>
  <c r="AD908" i="1" s="1"/>
  <c r="D908" i="1"/>
  <c r="AO907" i="1"/>
  <c r="AI907" i="1"/>
  <c r="AH907" i="1"/>
  <c r="Z907" i="1"/>
  <c r="Y907" i="1"/>
  <c r="U907" i="1"/>
  <c r="J907" i="1"/>
  <c r="D907" i="1"/>
  <c r="AO906" i="1"/>
  <c r="AI906" i="1"/>
  <c r="AH906" i="1"/>
  <c r="Z906" i="1"/>
  <c r="Y906" i="1"/>
  <c r="U906" i="1"/>
  <c r="J906" i="1"/>
  <c r="D906" i="1"/>
  <c r="AI905" i="1"/>
  <c r="AH905" i="1"/>
  <c r="Z905" i="1"/>
  <c r="Y905" i="1"/>
  <c r="U905" i="1"/>
  <c r="J905" i="1"/>
  <c r="D905" i="1"/>
  <c r="AO904" i="1"/>
  <c r="AI904" i="1"/>
  <c r="AH904" i="1"/>
  <c r="Z904" i="1"/>
  <c r="Y904" i="1"/>
  <c r="U904" i="1"/>
  <c r="J904" i="1"/>
  <c r="D904" i="1"/>
  <c r="AI903" i="1"/>
  <c r="AH903" i="1"/>
  <c r="Z903" i="1"/>
  <c r="Y903" i="1"/>
  <c r="U903" i="1"/>
  <c r="J903" i="1"/>
  <c r="D903" i="1"/>
  <c r="AI902" i="1"/>
  <c r="AH902" i="1"/>
  <c r="Z902" i="1"/>
  <c r="Y902" i="1"/>
  <c r="U902" i="1"/>
  <c r="J902" i="1"/>
  <c r="D902" i="1"/>
  <c r="AI901" i="1"/>
  <c r="AK901" i="1" s="1"/>
  <c r="AH901" i="1"/>
  <c r="Z901" i="1"/>
  <c r="Y901" i="1"/>
  <c r="U901" i="1"/>
  <c r="J901" i="1"/>
  <c r="D901" i="1"/>
  <c r="AI900" i="1"/>
  <c r="AH900" i="1"/>
  <c r="Z900" i="1"/>
  <c r="Y900" i="1"/>
  <c r="U900" i="1"/>
  <c r="J900" i="1"/>
  <c r="D900" i="1"/>
  <c r="AI899" i="1"/>
  <c r="AK899" i="1" s="1"/>
  <c r="AH899" i="1"/>
  <c r="Z899" i="1"/>
  <c r="Y899" i="1"/>
  <c r="U899" i="1"/>
  <c r="J899" i="1"/>
  <c r="D899" i="1"/>
  <c r="AI898" i="1"/>
  <c r="AK898" i="1" s="1"/>
  <c r="AH898" i="1"/>
  <c r="Z898" i="1"/>
  <c r="Y898" i="1"/>
  <c r="U898" i="1"/>
  <c r="J898" i="1"/>
  <c r="D898" i="1"/>
  <c r="AO897" i="1"/>
  <c r="AO898" i="1" s="1"/>
  <c r="AO900" i="1" s="1"/>
  <c r="AI897" i="1"/>
  <c r="AK897" i="1" s="1"/>
  <c r="AH897" i="1"/>
  <c r="Z897" i="1"/>
  <c r="Y897" i="1"/>
  <c r="U897" i="1"/>
  <c r="J897" i="1"/>
  <c r="D897" i="1"/>
  <c r="AI896" i="1"/>
  <c r="AK896" i="1" s="1"/>
  <c r="AH896" i="1"/>
  <c r="Z896" i="1"/>
  <c r="Y896" i="1"/>
  <c r="U896" i="1"/>
  <c r="J896" i="1"/>
  <c r="D896" i="1"/>
  <c r="AI895" i="1"/>
  <c r="AH895" i="1"/>
  <c r="Z895" i="1"/>
  <c r="Y895" i="1"/>
  <c r="U895" i="1"/>
  <c r="P895" i="1"/>
  <c r="Q895" i="1" s="1"/>
  <c r="M895" i="1"/>
  <c r="N895" i="1" s="1"/>
  <c r="J895" i="1"/>
  <c r="D895" i="1"/>
  <c r="Y532" i="1"/>
  <c r="Z532" i="1"/>
  <c r="Y533" i="1"/>
  <c r="Z533" i="1"/>
  <c r="Y534" i="1"/>
  <c r="Z534" i="1"/>
  <c r="Y535" i="1"/>
  <c r="Z535" i="1"/>
  <c r="Y536" i="1"/>
  <c r="Z536" i="1"/>
  <c r="Y537" i="1"/>
  <c r="Z537" i="1"/>
  <c r="Y538" i="1"/>
  <c r="Z538" i="1"/>
  <c r="Y539" i="1"/>
  <c r="Z539" i="1"/>
  <c r="Y540" i="1"/>
  <c r="Z540" i="1"/>
  <c r="Y541" i="1"/>
  <c r="Z541" i="1"/>
  <c r="Y542" i="1"/>
  <c r="Z542" i="1"/>
  <c r="Y543" i="1"/>
  <c r="Z543" i="1"/>
  <c r="Y544" i="1"/>
  <c r="Z544" i="1"/>
  <c r="Y545" i="1"/>
  <c r="Z545" i="1"/>
  <c r="Y546" i="1"/>
  <c r="Z546" i="1"/>
  <c r="Y547" i="1"/>
  <c r="Z547" i="1"/>
  <c r="Y548" i="1"/>
  <c r="Z548" i="1"/>
  <c r="Y549" i="1"/>
  <c r="Z549" i="1"/>
  <c r="Y550" i="1"/>
  <c r="Z550" i="1"/>
  <c r="Y551" i="1"/>
  <c r="Z551" i="1"/>
  <c r="Y552" i="1"/>
  <c r="Z552" i="1"/>
  <c r="Y553" i="1"/>
  <c r="Z553" i="1"/>
  <c r="Y554" i="1"/>
  <c r="Z554" i="1"/>
  <c r="Y555" i="1"/>
  <c r="Z555" i="1"/>
  <c r="Y556" i="1"/>
  <c r="Z556" i="1"/>
  <c r="Y557" i="1"/>
  <c r="Z557" i="1"/>
  <c r="Y558" i="1"/>
  <c r="Z558" i="1"/>
  <c r="Y559" i="1"/>
  <c r="AA559" i="1" s="1"/>
  <c r="AB559" i="1" s="1"/>
  <c r="Z559" i="1"/>
  <c r="Y560" i="1"/>
  <c r="Z560" i="1"/>
  <c r="Y561" i="1"/>
  <c r="Z561" i="1"/>
  <c r="Y562" i="1"/>
  <c r="Z562" i="1"/>
  <c r="AA562" i="1" s="1"/>
  <c r="AB562" i="1" s="1"/>
  <c r="Y563" i="1"/>
  <c r="Z563" i="1"/>
  <c r="Y564" i="1"/>
  <c r="Z564" i="1"/>
  <c r="Y565" i="1"/>
  <c r="Z565" i="1"/>
  <c r="Y566" i="1"/>
  <c r="Z566" i="1"/>
  <c r="Y567" i="1"/>
  <c r="Z567" i="1"/>
  <c r="Y568" i="1"/>
  <c r="Z568" i="1"/>
  <c r="AA568" i="1" s="1"/>
  <c r="AB568" i="1" s="1"/>
  <c r="Y569" i="1"/>
  <c r="Z569" i="1"/>
  <c r="Y570" i="1"/>
  <c r="Z570" i="1"/>
  <c r="Y571" i="1"/>
  <c r="Z571" i="1"/>
  <c r="Y572" i="1"/>
  <c r="Z572" i="1"/>
  <c r="Y573" i="1"/>
  <c r="Z573" i="1"/>
  <c r="Y574" i="1"/>
  <c r="Z574" i="1"/>
  <c r="Y575" i="1"/>
  <c r="Z575" i="1"/>
  <c r="Y576" i="1"/>
  <c r="Z576" i="1"/>
  <c r="Y577" i="1"/>
  <c r="Z577" i="1"/>
  <c r="Y578" i="1"/>
  <c r="Z578" i="1"/>
  <c r="Y579" i="1"/>
  <c r="Z579" i="1"/>
  <c r="Y580" i="1"/>
  <c r="Z580" i="1"/>
  <c r="Y581" i="1"/>
  <c r="Z581" i="1"/>
  <c r="Y582" i="1"/>
  <c r="Z582" i="1"/>
  <c r="Y583" i="1"/>
  <c r="Z583" i="1"/>
  <c r="Y584" i="1"/>
  <c r="Z584" i="1"/>
  <c r="Y585" i="1"/>
  <c r="Z585" i="1"/>
  <c r="Y586" i="1"/>
  <c r="Z586" i="1"/>
  <c r="Y587" i="1"/>
  <c r="Z587" i="1"/>
  <c r="Y588" i="1"/>
  <c r="Z588" i="1"/>
  <c r="Y589" i="1"/>
  <c r="Z589" i="1"/>
  <c r="Y590" i="1"/>
  <c r="Z590" i="1"/>
  <c r="Y591" i="1"/>
  <c r="Z591" i="1"/>
  <c r="Y592" i="1"/>
  <c r="Z592" i="1"/>
  <c r="AA592" i="1"/>
  <c r="AB592" i="1" s="1"/>
  <c r="Y593" i="1"/>
  <c r="Z593" i="1"/>
  <c r="Y594" i="1"/>
  <c r="Z594" i="1"/>
  <c r="Y595" i="1"/>
  <c r="Z595" i="1"/>
  <c r="Y596" i="1"/>
  <c r="Z596" i="1"/>
  <c r="Y597" i="1"/>
  <c r="Z597" i="1"/>
  <c r="Y598" i="1"/>
  <c r="Z598" i="1"/>
  <c r="Y599" i="1"/>
  <c r="Z599" i="1"/>
  <c r="Y600" i="1"/>
  <c r="Z600" i="1"/>
  <c r="Y601" i="1"/>
  <c r="Z601" i="1"/>
  <c r="Y602" i="1"/>
  <c r="Z602" i="1"/>
  <c r="Y603" i="1"/>
  <c r="Z603" i="1"/>
  <c r="Y604" i="1"/>
  <c r="Z604" i="1"/>
  <c r="AA604" i="1" s="1"/>
  <c r="AB604" i="1" s="1"/>
  <c r="Y605" i="1"/>
  <c r="Z605" i="1"/>
  <c r="Y606" i="1"/>
  <c r="Z606" i="1"/>
  <c r="Y607" i="1"/>
  <c r="Z607" i="1"/>
  <c r="Y608" i="1"/>
  <c r="Z608" i="1"/>
  <c r="Y609" i="1"/>
  <c r="Z609" i="1"/>
  <c r="Y610" i="1"/>
  <c r="Z610" i="1"/>
  <c r="Y611" i="1"/>
  <c r="Z611" i="1"/>
  <c r="Y612" i="1"/>
  <c r="Z612" i="1"/>
  <c r="Y613" i="1"/>
  <c r="Z613" i="1"/>
  <c r="AA613" i="1" s="1"/>
  <c r="AB613" i="1" s="1"/>
  <c r="Y614" i="1"/>
  <c r="Z614" i="1"/>
  <c r="Y615" i="1"/>
  <c r="Z615" i="1"/>
  <c r="Y616" i="1"/>
  <c r="Z616" i="1"/>
  <c r="Y617" i="1"/>
  <c r="Z617" i="1"/>
  <c r="Y618" i="1"/>
  <c r="Z618" i="1"/>
  <c r="Y619" i="1"/>
  <c r="Z619" i="1"/>
  <c r="Y620" i="1"/>
  <c r="Z620" i="1"/>
  <c r="Y621" i="1"/>
  <c r="Z621" i="1"/>
  <c r="Y622" i="1"/>
  <c r="Z622" i="1"/>
  <c r="Y623" i="1"/>
  <c r="Z623" i="1"/>
  <c r="Y624" i="1"/>
  <c r="Z624" i="1"/>
  <c r="Y625" i="1"/>
  <c r="Z625" i="1"/>
  <c r="Y626" i="1"/>
  <c r="Z626" i="1"/>
  <c r="Y627" i="1"/>
  <c r="Z627" i="1"/>
  <c r="Y628" i="1"/>
  <c r="Z628" i="1"/>
  <c r="Y629" i="1"/>
  <c r="Z629" i="1"/>
  <c r="Y630" i="1"/>
  <c r="Z630" i="1"/>
  <c r="Y631" i="1"/>
  <c r="Z631" i="1"/>
  <c r="Y632" i="1"/>
  <c r="Z632" i="1"/>
  <c r="Y633" i="1"/>
  <c r="Z633" i="1"/>
  <c r="Y634" i="1"/>
  <c r="Z634" i="1"/>
  <c r="Y635" i="1"/>
  <c r="Z635" i="1"/>
  <c r="Y636" i="1"/>
  <c r="Z636" i="1"/>
  <c r="Y637" i="1"/>
  <c r="Z637" i="1"/>
  <c r="Y638" i="1"/>
  <c r="AA638" i="1" s="1"/>
  <c r="AB638" i="1" s="1"/>
  <c r="Z638" i="1"/>
  <c r="Y639" i="1"/>
  <c r="Z639" i="1"/>
  <c r="Y640" i="1"/>
  <c r="Z640" i="1"/>
  <c r="Y641" i="1"/>
  <c r="Z641" i="1"/>
  <c r="Y642" i="1"/>
  <c r="Z642" i="1"/>
  <c r="Y643" i="1"/>
  <c r="Z643" i="1"/>
  <c r="Y644" i="1"/>
  <c r="Z644" i="1"/>
  <c r="Y645" i="1"/>
  <c r="Z645" i="1"/>
  <c r="Y646" i="1"/>
  <c r="Z646" i="1"/>
  <c r="Y647" i="1"/>
  <c r="Z647" i="1"/>
  <c r="Y648" i="1"/>
  <c r="Z648" i="1"/>
  <c r="Y649" i="1"/>
  <c r="Z649" i="1"/>
  <c r="Y650" i="1"/>
  <c r="Z650" i="1"/>
  <c r="Y651" i="1"/>
  <c r="Z651" i="1"/>
  <c r="Y652" i="1"/>
  <c r="Z652" i="1"/>
  <c r="Y653" i="1"/>
  <c r="Z653" i="1"/>
  <c r="Y654" i="1"/>
  <c r="Z654" i="1"/>
  <c r="Y655" i="1"/>
  <c r="Z655" i="1"/>
  <c r="Y656" i="1"/>
  <c r="Z656" i="1"/>
  <c r="Y657" i="1"/>
  <c r="Z657" i="1"/>
  <c r="Y658" i="1"/>
  <c r="Z658" i="1"/>
  <c r="Y659" i="1"/>
  <c r="Z659" i="1"/>
  <c r="Y660" i="1"/>
  <c r="Z660" i="1"/>
  <c r="Y661" i="1"/>
  <c r="Z661" i="1"/>
  <c r="Y662" i="1"/>
  <c r="Z662" i="1"/>
  <c r="Y663" i="1"/>
  <c r="Z663" i="1"/>
  <c r="Y664" i="1"/>
  <c r="Z664" i="1"/>
  <c r="Y665" i="1"/>
  <c r="Z665" i="1"/>
  <c r="Y666" i="1"/>
  <c r="Z666" i="1"/>
  <c r="Y667" i="1"/>
  <c r="Z667" i="1"/>
  <c r="Y668" i="1"/>
  <c r="Z668" i="1"/>
  <c r="Y669" i="1"/>
  <c r="Z669" i="1"/>
  <c r="Y670" i="1"/>
  <c r="Z670" i="1"/>
  <c r="Y671" i="1"/>
  <c r="Z671" i="1"/>
  <c r="Y672" i="1"/>
  <c r="Z672" i="1"/>
  <c r="AA672" i="1" s="1"/>
  <c r="AB672" i="1" s="1"/>
  <c r="Y673" i="1"/>
  <c r="Z673" i="1"/>
  <c r="Y674" i="1"/>
  <c r="Z674" i="1"/>
  <c r="Y675" i="1"/>
  <c r="Z675" i="1"/>
  <c r="Y676" i="1"/>
  <c r="Z676" i="1"/>
  <c r="Y677" i="1"/>
  <c r="Z677" i="1"/>
  <c r="Y678" i="1"/>
  <c r="Z678" i="1"/>
  <c r="Y679" i="1"/>
  <c r="Z679" i="1"/>
  <c r="Y680" i="1"/>
  <c r="Z680" i="1"/>
  <c r="Y681" i="1"/>
  <c r="Z681" i="1"/>
  <c r="Y682" i="1"/>
  <c r="Z682" i="1"/>
  <c r="Y683" i="1"/>
  <c r="Z683" i="1"/>
  <c r="Y684" i="1"/>
  <c r="Z684" i="1"/>
  <c r="AA684" i="1" s="1"/>
  <c r="AB684" i="1" s="1"/>
  <c r="Y685" i="1"/>
  <c r="Z685" i="1"/>
  <c r="Y686" i="1"/>
  <c r="Z686" i="1"/>
  <c r="AA686" i="1" s="1"/>
  <c r="AB686" i="1" s="1"/>
  <c r="Y687" i="1"/>
  <c r="Z687" i="1"/>
  <c r="Y688" i="1"/>
  <c r="Z688" i="1"/>
  <c r="Y689" i="1"/>
  <c r="Z689" i="1"/>
  <c r="Y690" i="1"/>
  <c r="Z690" i="1"/>
  <c r="Y691" i="1"/>
  <c r="Z691" i="1"/>
  <c r="Y692" i="1"/>
  <c r="Z692" i="1"/>
  <c r="AA692" i="1" s="1"/>
  <c r="AB692" i="1" s="1"/>
  <c r="Y693" i="1"/>
  <c r="Z693" i="1"/>
  <c r="Y694" i="1"/>
  <c r="Z694" i="1"/>
  <c r="Y695" i="1"/>
  <c r="Z695" i="1"/>
  <c r="Y696" i="1"/>
  <c r="Z696" i="1"/>
  <c r="Y697" i="1"/>
  <c r="Z697" i="1"/>
  <c r="Y698" i="1"/>
  <c r="Z698" i="1"/>
  <c r="Y699" i="1"/>
  <c r="Z699" i="1"/>
  <c r="Y700" i="1"/>
  <c r="Z700" i="1"/>
  <c r="Y701" i="1"/>
  <c r="Z701" i="1"/>
  <c r="Y702" i="1"/>
  <c r="Z702" i="1"/>
  <c r="Y703" i="1"/>
  <c r="Z703" i="1"/>
  <c r="Y704" i="1"/>
  <c r="Z704" i="1"/>
  <c r="Y705" i="1"/>
  <c r="Z705" i="1"/>
  <c r="Y706" i="1"/>
  <c r="Z706" i="1"/>
  <c r="Y707" i="1"/>
  <c r="Z707" i="1"/>
  <c r="Y708" i="1"/>
  <c r="Z708" i="1"/>
  <c r="Y709" i="1"/>
  <c r="Z709" i="1"/>
  <c r="AA709" i="1" s="1"/>
  <c r="AB709" i="1" s="1"/>
  <c r="Y710" i="1"/>
  <c r="Z710" i="1"/>
  <c r="Y711" i="1"/>
  <c r="Z711" i="1"/>
  <c r="Y712" i="1"/>
  <c r="Z712" i="1"/>
  <c r="Y713" i="1"/>
  <c r="Z713" i="1"/>
  <c r="Y714" i="1"/>
  <c r="Z714" i="1"/>
  <c r="Y715" i="1"/>
  <c r="Z715" i="1"/>
  <c r="Y716" i="1"/>
  <c r="Z716" i="1"/>
  <c r="Y717" i="1"/>
  <c r="Z717" i="1"/>
  <c r="Y718" i="1"/>
  <c r="Z718" i="1"/>
  <c r="Y719" i="1"/>
  <c r="Z719" i="1"/>
  <c r="Y720" i="1"/>
  <c r="Z720" i="1"/>
  <c r="Y721" i="1"/>
  <c r="Z721" i="1"/>
  <c r="Y722" i="1"/>
  <c r="Z722" i="1"/>
  <c r="Y723" i="1"/>
  <c r="Z723" i="1"/>
  <c r="Y724" i="1"/>
  <c r="Z724" i="1"/>
  <c r="Y725" i="1"/>
  <c r="Z725" i="1"/>
  <c r="Y726" i="1"/>
  <c r="Z726" i="1"/>
  <c r="Y727" i="1"/>
  <c r="Z727" i="1"/>
  <c r="AA727" i="1" s="1"/>
  <c r="AB727" i="1" s="1"/>
  <c r="Y728" i="1"/>
  <c r="Z728" i="1"/>
  <c r="Y729" i="1"/>
  <c r="Z729" i="1"/>
  <c r="Y730" i="1"/>
  <c r="Z730" i="1"/>
  <c r="Y731" i="1"/>
  <c r="Z731" i="1"/>
  <c r="Y732" i="1"/>
  <c r="Z732" i="1"/>
  <c r="Y733" i="1"/>
  <c r="Z733" i="1"/>
  <c r="Y734" i="1"/>
  <c r="Z734" i="1"/>
  <c r="Y735" i="1"/>
  <c r="Z735" i="1"/>
  <c r="Y736" i="1"/>
  <c r="Z736" i="1"/>
  <c r="Y737" i="1"/>
  <c r="Z737" i="1"/>
  <c r="Y738" i="1"/>
  <c r="Z738" i="1"/>
  <c r="Y739" i="1"/>
  <c r="Z739" i="1"/>
  <c r="Y740" i="1"/>
  <c r="Z740" i="1"/>
  <c r="Y741" i="1"/>
  <c r="Z741" i="1"/>
  <c r="Y742" i="1"/>
  <c r="Z742" i="1"/>
  <c r="Y743" i="1"/>
  <c r="Z743" i="1"/>
  <c r="Y744" i="1"/>
  <c r="Z744" i="1"/>
  <c r="Y745" i="1"/>
  <c r="Z745" i="1"/>
  <c r="Y746" i="1"/>
  <c r="Z746" i="1"/>
  <c r="Y747" i="1"/>
  <c r="Z747" i="1"/>
  <c r="Y748" i="1"/>
  <c r="Z748" i="1"/>
  <c r="Y749" i="1"/>
  <c r="Z749" i="1"/>
  <c r="Y750" i="1"/>
  <c r="Z750" i="1"/>
  <c r="Y751" i="1"/>
  <c r="Z751" i="1"/>
  <c r="Y752" i="1"/>
  <c r="Z752" i="1"/>
  <c r="Y753" i="1"/>
  <c r="Z753" i="1"/>
  <c r="Y754" i="1"/>
  <c r="Z754" i="1"/>
  <c r="Y755" i="1"/>
  <c r="Z755" i="1"/>
  <c r="Y756" i="1"/>
  <c r="Z756" i="1"/>
  <c r="Y757" i="1"/>
  <c r="Z757" i="1"/>
  <c r="Y758" i="1"/>
  <c r="Z758" i="1"/>
  <c r="Y759" i="1"/>
  <c r="Z759" i="1"/>
  <c r="AA759" i="1" s="1"/>
  <c r="AB759" i="1" s="1"/>
  <c r="Y760" i="1"/>
  <c r="Z760" i="1"/>
  <c r="AA760" i="1" s="1"/>
  <c r="AB760" i="1" s="1"/>
  <c r="Y761" i="1"/>
  <c r="Z761" i="1"/>
  <c r="Y762" i="1"/>
  <c r="Z762" i="1"/>
  <c r="Y763" i="1"/>
  <c r="Z763" i="1"/>
  <c r="Y764" i="1"/>
  <c r="Z764" i="1"/>
  <c r="Y765" i="1"/>
  <c r="Z765" i="1"/>
  <c r="Y766" i="1"/>
  <c r="Z766" i="1"/>
  <c r="Y767" i="1"/>
  <c r="Z767" i="1"/>
  <c r="Y768" i="1"/>
  <c r="Z768" i="1"/>
  <c r="Y769" i="1"/>
  <c r="Z769" i="1"/>
  <c r="Y770" i="1"/>
  <c r="Z770" i="1"/>
  <c r="Y771" i="1"/>
  <c r="Z771" i="1"/>
  <c r="Y772" i="1"/>
  <c r="Z772" i="1"/>
  <c r="Y773" i="1"/>
  <c r="Z773" i="1"/>
  <c r="Y774" i="1"/>
  <c r="Z774" i="1"/>
  <c r="Y775" i="1"/>
  <c r="Z775" i="1"/>
  <c r="Y776" i="1"/>
  <c r="Z776" i="1"/>
  <c r="Y777" i="1"/>
  <c r="Z777" i="1"/>
  <c r="Y778" i="1"/>
  <c r="Z778" i="1"/>
  <c r="Y779" i="1"/>
  <c r="Z779" i="1"/>
  <c r="Y780" i="1"/>
  <c r="Z780" i="1"/>
  <c r="Y781" i="1"/>
  <c r="Z781" i="1"/>
  <c r="Y782" i="1"/>
  <c r="Z782" i="1"/>
  <c r="Y783" i="1"/>
  <c r="Z783" i="1"/>
  <c r="Y784" i="1"/>
  <c r="Z784" i="1"/>
  <c r="Y785" i="1"/>
  <c r="Z785" i="1"/>
  <c r="Y786" i="1"/>
  <c r="Z786" i="1"/>
  <c r="AA786" i="1" s="1"/>
  <c r="AB786" i="1" s="1"/>
  <c r="Y787" i="1"/>
  <c r="Z787" i="1"/>
  <c r="Y788" i="1"/>
  <c r="Z788" i="1"/>
  <c r="Y789" i="1"/>
  <c r="Z789" i="1"/>
  <c r="Y790" i="1"/>
  <c r="AA790" i="1" s="1"/>
  <c r="AB790" i="1" s="1"/>
  <c r="Z790" i="1"/>
  <c r="Y791" i="1"/>
  <c r="Z791" i="1"/>
  <c r="Y792" i="1"/>
  <c r="Z792" i="1"/>
  <c r="Y793" i="1"/>
  <c r="Z793" i="1"/>
  <c r="Y794" i="1"/>
  <c r="Z794" i="1"/>
  <c r="AA794" i="1" s="1"/>
  <c r="AB794" i="1" s="1"/>
  <c r="Y795" i="1"/>
  <c r="Z795" i="1"/>
  <c r="Y796" i="1"/>
  <c r="Z796" i="1"/>
  <c r="Y797" i="1"/>
  <c r="Z797" i="1"/>
  <c r="Y798" i="1"/>
  <c r="Z798" i="1"/>
  <c r="Y799" i="1"/>
  <c r="Z799" i="1"/>
  <c r="Y800" i="1"/>
  <c r="Z800" i="1"/>
  <c r="Y801" i="1"/>
  <c r="Z801" i="1"/>
  <c r="Y802" i="1"/>
  <c r="Z802" i="1"/>
  <c r="AA802" i="1" s="1"/>
  <c r="AB802" i="1" s="1"/>
  <c r="Y803" i="1"/>
  <c r="Z803" i="1"/>
  <c r="Y804" i="1"/>
  <c r="Z804" i="1"/>
  <c r="Y805" i="1"/>
  <c r="Z805" i="1"/>
  <c r="Y806" i="1"/>
  <c r="Z806" i="1"/>
  <c r="Y807" i="1"/>
  <c r="Z807" i="1"/>
  <c r="Y808" i="1"/>
  <c r="Z808" i="1"/>
  <c r="AA808" i="1" s="1"/>
  <c r="AB808" i="1" s="1"/>
  <c r="Y809" i="1"/>
  <c r="Z809" i="1"/>
  <c r="Y810" i="1"/>
  <c r="Z810" i="1"/>
  <c r="Y811" i="1"/>
  <c r="Z811" i="1"/>
  <c r="Y812" i="1"/>
  <c r="Z812" i="1"/>
  <c r="Y813" i="1"/>
  <c r="Z813" i="1"/>
  <c r="Y814" i="1"/>
  <c r="Z814" i="1"/>
  <c r="Y815" i="1"/>
  <c r="Z815" i="1"/>
  <c r="Y816" i="1"/>
  <c r="Z816" i="1"/>
  <c r="AA816" i="1" s="1"/>
  <c r="AB816" i="1" s="1"/>
  <c r="Y817" i="1"/>
  <c r="Z817" i="1"/>
  <c r="Y818" i="1"/>
  <c r="Z818" i="1"/>
  <c r="Y819" i="1"/>
  <c r="Z819" i="1"/>
  <c r="Y820" i="1"/>
  <c r="Z820" i="1"/>
  <c r="AA820" i="1" s="1"/>
  <c r="AB820" i="1" s="1"/>
  <c r="Y821" i="1"/>
  <c r="Z821" i="1"/>
  <c r="Y822" i="1"/>
  <c r="Z822" i="1"/>
  <c r="Y823" i="1"/>
  <c r="Z823" i="1"/>
  <c r="Y824" i="1"/>
  <c r="Z824" i="1"/>
  <c r="AA824" i="1" s="1"/>
  <c r="AB824" i="1" s="1"/>
  <c r="Y825" i="1"/>
  <c r="Z825" i="1"/>
  <c r="AA825" i="1" s="1"/>
  <c r="AB825" i="1" s="1"/>
  <c r="Y826" i="1"/>
  <c r="Z826" i="1"/>
  <c r="Y827" i="1"/>
  <c r="Z827" i="1"/>
  <c r="Y828" i="1"/>
  <c r="Z828" i="1"/>
  <c r="Y829" i="1"/>
  <c r="Z829" i="1"/>
  <c r="Y830" i="1"/>
  <c r="Z830" i="1"/>
  <c r="Y831" i="1"/>
  <c r="Z831" i="1"/>
  <c r="Y832" i="1"/>
  <c r="Z832" i="1"/>
  <c r="Y833" i="1"/>
  <c r="Z833" i="1"/>
  <c r="Y834" i="1"/>
  <c r="Z834" i="1"/>
  <c r="Y835" i="1"/>
  <c r="Z835" i="1"/>
  <c r="Y836" i="1"/>
  <c r="Z836" i="1"/>
  <c r="Y837" i="1"/>
  <c r="Z837" i="1"/>
  <c r="Y838" i="1"/>
  <c r="Z838" i="1"/>
  <c r="Y839" i="1"/>
  <c r="Z839" i="1"/>
  <c r="Y840" i="1"/>
  <c r="Z840" i="1"/>
  <c r="Y841" i="1"/>
  <c r="Z841" i="1"/>
  <c r="Y842" i="1"/>
  <c r="Z842" i="1"/>
  <c r="Y843" i="1"/>
  <c r="Z843" i="1"/>
  <c r="Y844" i="1"/>
  <c r="Z844" i="1"/>
  <c r="Y845" i="1"/>
  <c r="Z845" i="1"/>
  <c r="Y846" i="1"/>
  <c r="Z846" i="1"/>
  <c r="Y847" i="1"/>
  <c r="Z847" i="1"/>
  <c r="Y848" i="1"/>
  <c r="Z848" i="1"/>
  <c r="AA848" i="1" s="1"/>
  <c r="AB848" i="1" s="1"/>
  <c r="Y849" i="1"/>
  <c r="Z849" i="1"/>
  <c r="Y850" i="1"/>
  <c r="Z850" i="1"/>
  <c r="Y851" i="1"/>
  <c r="Z851" i="1"/>
  <c r="Y852" i="1"/>
  <c r="Z852" i="1"/>
  <c r="Y853" i="1"/>
  <c r="Z853" i="1"/>
  <c r="Y854" i="1"/>
  <c r="Z854" i="1"/>
  <c r="AA854" i="1" s="1"/>
  <c r="AB854" i="1" s="1"/>
  <c r="Y855" i="1"/>
  <c r="Z855" i="1"/>
  <c r="Y856" i="1"/>
  <c r="Z856" i="1"/>
  <c r="Y857" i="1"/>
  <c r="Z857" i="1"/>
  <c r="Y858" i="1"/>
  <c r="Z858" i="1"/>
  <c r="Y859" i="1"/>
  <c r="Z859" i="1"/>
  <c r="Y860" i="1"/>
  <c r="Z860" i="1"/>
  <c r="Y861" i="1"/>
  <c r="Z861" i="1"/>
  <c r="Y862" i="1"/>
  <c r="Z862" i="1"/>
  <c r="Y863" i="1"/>
  <c r="Z863" i="1"/>
  <c r="Y864" i="1"/>
  <c r="Z864" i="1"/>
  <c r="Y865" i="1"/>
  <c r="Z865" i="1"/>
  <c r="AA865" i="1" s="1"/>
  <c r="AB865" i="1" s="1"/>
  <c r="Y866" i="1"/>
  <c r="Z866" i="1"/>
  <c r="Y867" i="1"/>
  <c r="Z867" i="1"/>
  <c r="Y868" i="1"/>
  <c r="Z868" i="1"/>
  <c r="Y869" i="1"/>
  <c r="Z869" i="1"/>
  <c r="Y870" i="1"/>
  <c r="Z870" i="1"/>
  <c r="Y871" i="1"/>
  <c r="Z871" i="1"/>
  <c r="Y872" i="1"/>
  <c r="Z872" i="1"/>
  <c r="Y873" i="1"/>
  <c r="Z873" i="1"/>
  <c r="Y874" i="1"/>
  <c r="Z874" i="1"/>
  <c r="Y875" i="1"/>
  <c r="Z875" i="1"/>
  <c r="Y876" i="1"/>
  <c r="Z876" i="1"/>
  <c r="Y877" i="1"/>
  <c r="Z877" i="1"/>
  <c r="Y878" i="1"/>
  <c r="Z878" i="1"/>
  <c r="Y879" i="1"/>
  <c r="Z879" i="1"/>
  <c r="Y880" i="1"/>
  <c r="Z880" i="1"/>
  <c r="Y881" i="1"/>
  <c r="Z881" i="1"/>
  <c r="Y882" i="1"/>
  <c r="Z882" i="1"/>
  <c r="Y883" i="1"/>
  <c r="Z883" i="1"/>
  <c r="Y884" i="1"/>
  <c r="Z884" i="1"/>
  <c r="Y885" i="1"/>
  <c r="Z885" i="1"/>
  <c r="Y886" i="1"/>
  <c r="Z886" i="1"/>
  <c r="Y887" i="1"/>
  <c r="Z887" i="1"/>
  <c r="Y888" i="1"/>
  <c r="Z888" i="1"/>
  <c r="Y889" i="1"/>
  <c r="Z889" i="1"/>
  <c r="Y890" i="1"/>
  <c r="Z890" i="1"/>
  <c r="Y891" i="1"/>
  <c r="Z891" i="1"/>
  <c r="Y892" i="1"/>
  <c r="Z892" i="1"/>
  <c r="Y893" i="1"/>
  <c r="Z893" i="1"/>
  <c r="Y894" i="1"/>
  <c r="Z894" i="1"/>
  <c r="AM894" i="1"/>
  <c r="AK894" i="1" s="1"/>
  <c r="AJ894" i="1"/>
  <c r="AL894" i="1" s="1"/>
  <c r="J894" i="1"/>
  <c r="C894" i="1"/>
  <c r="D894" i="1" s="1"/>
  <c r="AM893" i="1"/>
  <c r="AK893" i="1" s="1"/>
  <c r="AJ893" i="1"/>
  <c r="AL893" i="1" s="1"/>
  <c r="J893" i="1"/>
  <c r="C893" i="1"/>
  <c r="D893" i="1" s="1"/>
  <c r="AM892" i="1"/>
  <c r="AK892" i="1" s="1"/>
  <c r="AJ892" i="1"/>
  <c r="AL892" i="1" s="1"/>
  <c r="J892" i="1"/>
  <c r="C892" i="1"/>
  <c r="D892" i="1" s="1"/>
  <c r="AM891" i="1"/>
  <c r="AK891" i="1" s="1"/>
  <c r="AJ891" i="1"/>
  <c r="AL891" i="1" s="1"/>
  <c r="J891" i="1"/>
  <c r="C891" i="1"/>
  <c r="D891" i="1" s="1"/>
  <c r="AM890" i="1"/>
  <c r="AK890" i="1" s="1"/>
  <c r="AJ890" i="1"/>
  <c r="AL890" i="1" s="1"/>
  <c r="J890" i="1"/>
  <c r="AD890" i="1" s="1"/>
  <c r="C890" i="1"/>
  <c r="D890" i="1" s="1"/>
  <c r="AM889" i="1"/>
  <c r="AK889" i="1" s="1"/>
  <c r="AJ889" i="1"/>
  <c r="AL889" i="1" s="1"/>
  <c r="J889" i="1"/>
  <c r="C889" i="1"/>
  <c r="D889" i="1" s="1"/>
  <c r="AM888" i="1"/>
  <c r="AK888" i="1" s="1"/>
  <c r="AJ888" i="1"/>
  <c r="AL888" i="1" s="1"/>
  <c r="J888" i="1"/>
  <c r="C888" i="1"/>
  <c r="D888" i="1" s="1"/>
  <c r="AM887" i="1"/>
  <c r="AK887" i="1" s="1"/>
  <c r="AJ887" i="1"/>
  <c r="AL887" i="1" s="1"/>
  <c r="J887" i="1"/>
  <c r="C887" i="1"/>
  <c r="D887" i="1" s="1"/>
  <c r="AM886" i="1"/>
  <c r="AK886" i="1" s="1"/>
  <c r="AJ886" i="1"/>
  <c r="AL886" i="1" s="1"/>
  <c r="J886" i="1"/>
  <c r="C886" i="1"/>
  <c r="D886" i="1" s="1"/>
  <c r="AM885" i="1"/>
  <c r="AK885" i="1" s="1"/>
  <c r="AJ885" i="1"/>
  <c r="AL885" i="1" s="1"/>
  <c r="J885" i="1"/>
  <c r="AD885" i="1" s="1"/>
  <c r="C885" i="1"/>
  <c r="D885" i="1" s="1"/>
  <c r="AM884" i="1"/>
  <c r="AK884" i="1" s="1"/>
  <c r="AJ884" i="1"/>
  <c r="AL884" i="1" s="1"/>
  <c r="J884" i="1"/>
  <c r="AC884" i="1" s="1"/>
  <c r="C884" i="1"/>
  <c r="D884" i="1" s="1"/>
  <c r="AM883" i="1"/>
  <c r="AK883" i="1" s="1"/>
  <c r="AJ883" i="1"/>
  <c r="AL883" i="1" s="1"/>
  <c r="J883" i="1"/>
  <c r="C883" i="1"/>
  <c r="D883" i="1" s="1"/>
  <c r="AM882" i="1"/>
  <c r="AK882" i="1" s="1"/>
  <c r="AJ882" i="1"/>
  <c r="AL882" i="1" s="1"/>
  <c r="J882" i="1"/>
  <c r="C882" i="1"/>
  <c r="D882" i="1" s="1"/>
  <c r="AM881" i="1"/>
  <c r="AK881" i="1" s="1"/>
  <c r="AJ881" i="1"/>
  <c r="AL881" i="1" s="1"/>
  <c r="J881" i="1"/>
  <c r="C881" i="1"/>
  <c r="D881" i="1" s="1"/>
  <c r="AM880" i="1"/>
  <c r="AK880" i="1" s="1"/>
  <c r="AJ880" i="1"/>
  <c r="AL880" i="1" s="1"/>
  <c r="J880" i="1"/>
  <c r="C880" i="1"/>
  <c r="D880" i="1" s="1"/>
  <c r="AM879" i="1"/>
  <c r="AK879" i="1" s="1"/>
  <c r="AJ879" i="1"/>
  <c r="AL879" i="1" s="1"/>
  <c r="J879" i="1"/>
  <c r="C879" i="1"/>
  <c r="D879" i="1" s="1"/>
  <c r="AM878" i="1"/>
  <c r="AK878" i="1" s="1"/>
  <c r="AJ878" i="1"/>
  <c r="AL878" i="1" s="1"/>
  <c r="J878" i="1"/>
  <c r="C878" i="1"/>
  <c r="D878" i="1" s="1"/>
  <c r="AM877" i="1"/>
  <c r="AK877" i="1" s="1"/>
  <c r="AJ877" i="1"/>
  <c r="AL877" i="1" s="1"/>
  <c r="J877" i="1"/>
  <c r="C877" i="1"/>
  <c r="D877" i="1" s="1"/>
  <c r="AM876" i="1"/>
  <c r="AK876" i="1" s="1"/>
  <c r="AJ876" i="1"/>
  <c r="AL876" i="1" s="1"/>
  <c r="J876" i="1"/>
  <c r="C876" i="1"/>
  <c r="D876" i="1" s="1"/>
  <c r="AM875" i="1"/>
  <c r="AK875" i="1" s="1"/>
  <c r="AJ875" i="1"/>
  <c r="AL875" i="1" s="1"/>
  <c r="J875" i="1"/>
  <c r="C875" i="1"/>
  <c r="D875" i="1" s="1"/>
  <c r="AM874" i="1"/>
  <c r="AK874" i="1" s="1"/>
  <c r="AJ874" i="1"/>
  <c r="AL874" i="1" s="1"/>
  <c r="J874" i="1"/>
  <c r="C874" i="1"/>
  <c r="D874" i="1" s="1"/>
  <c r="AM873" i="1"/>
  <c r="AK873" i="1" s="1"/>
  <c r="AJ873" i="1"/>
  <c r="AL873" i="1" s="1"/>
  <c r="J873" i="1"/>
  <c r="C873" i="1"/>
  <c r="D873" i="1" s="1"/>
  <c r="AM872" i="1"/>
  <c r="AK872" i="1" s="1"/>
  <c r="AJ872" i="1"/>
  <c r="AL872" i="1" s="1"/>
  <c r="J872" i="1"/>
  <c r="C872" i="1"/>
  <c r="D872" i="1" s="1"/>
  <c r="AM871" i="1"/>
  <c r="AK871" i="1" s="1"/>
  <c r="AJ871" i="1"/>
  <c r="AL871" i="1" s="1"/>
  <c r="J871" i="1"/>
  <c r="C871" i="1"/>
  <c r="D871" i="1" s="1"/>
  <c r="AM870" i="1"/>
  <c r="AK870" i="1" s="1"/>
  <c r="AJ870" i="1"/>
  <c r="AL870" i="1" s="1"/>
  <c r="J870" i="1"/>
  <c r="C870" i="1"/>
  <c r="D870" i="1" s="1"/>
  <c r="AM869" i="1"/>
  <c r="AK869" i="1" s="1"/>
  <c r="AJ869" i="1"/>
  <c r="AL869" i="1" s="1"/>
  <c r="J869" i="1"/>
  <c r="C869" i="1"/>
  <c r="D869" i="1" s="1"/>
  <c r="AM868" i="1"/>
  <c r="AK868" i="1" s="1"/>
  <c r="AJ868" i="1"/>
  <c r="AL868" i="1" s="1"/>
  <c r="J868" i="1"/>
  <c r="C868" i="1"/>
  <c r="D868" i="1" s="1"/>
  <c r="AM867" i="1"/>
  <c r="AK867" i="1" s="1"/>
  <c r="AJ867" i="1"/>
  <c r="AL867" i="1" s="1"/>
  <c r="J867" i="1"/>
  <c r="C867" i="1"/>
  <c r="D867" i="1" s="1"/>
  <c r="AM866" i="1"/>
  <c r="AK866" i="1" s="1"/>
  <c r="AJ866" i="1"/>
  <c r="AL866" i="1" s="1"/>
  <c r="J866" i="1"/>
  <c r="AD866" i="1" s="1"/>
  <c r="C866" i="1"/>
  <c r="D866" i="1" s="1"/>
  <c r="AM865" i="1"/>
  <c r="AK865" i="1" s="1"/>
  <c r="AJ865" i="1"/>
  <c r="AL865" i="1" s="1"/>
  <c r="J865" i="1"/>
  <c r="C865" i="1"/>
  <c r="D865" i="1" s="1"/>
  <c r="AM864" i="1"/>
  <c r="AK864" i="1" s="1"/>
  <c r="AJ864" i="1"/>
  <c r="AL864" i="1" s="1"/>
  <c r="J864" i="1"/>
  <c r="C864" i="1"/>
  <c r="D864" i="1" s="1"/>
  <c r="AM863" i="1"/>
  <c r="AK863" i="1" s="1"/>
  <c r="AJ863" i="1"/>
  <c r="AL863" i="1" s="1"/>
  <c r="J863" i="1"/>
  <c r="C863" i="1"/>
  <c r="D863" i="1" s="1"/>
  <c r="AM862" i="1"/>
  <c r="AK862" i="1" s="1"/>
  <c r="AJ862" i="1"/>
  <c r="AL862" i="1" s="1"/>
  <c r="J862" i="1"/>
  <c r="C862" i="1"/>
  <c r="D862" i="1" s="1"/>
  <c r="AO861" i="1"/>
  <c r="AO862" i="1" s="1"/>
  <c r="AO864" i="1" s="1"/>
  <c r="AM861" i="1"/>
  <c r="AK861" i="1" s="1"/>
  <c r="AJ861" i="1"/>
  <c r="AL861" i="1" s="1"/>
  <c r="J861" i="1"/>
  <c r="AD861" i="1" s="1"/>
  <c r="C861" i="1"/>
  <c r="D861" i="1" s="1"/>
  <c r="AM860" i="1"/>
  <c r="AK860" i="1" s="1"/>
  <c r="AJ860" i="1"/>
  <c r="AL860" i="1" s="1"/>
  <c r="J860" i="1"/>
  <c r="C860" i="1"/>
  <c r="D860" i="1" s="1"/>
  <c r="AM859" i="1"/>
  <c r="AK859" i="1" s="1"/>
  <c r="AJ859" i="1"/>
  <c r="AL859" i="1" s="1"/>
  <c r="R859" i="1"/>
  <c r="P859" i="1"/>
  <c r="O860" i="1" s="1"/>
  <c r="M859" i="1"/>
  <c r="N859" i="1" s="1"/>
  <c r="J859" i="1"/>
  <c r="C859" i="1"/>
  <c r="D859" i="1" s="1"/>
  <c r="AM858" i="1"/>
  <c r="AK858" i="1" s="1"/>
  <c r="AJ858" i="1"/>
  <c r="AL858" i="1" s="1"/>
  <c r="J858" i="1"/>
  <c r="C858" i="1"/>
  <c r="D858" i="1" s="1"/>
  <c r="AM857" i="1"/>
  <c r="AK857" i="1" s="1"/>
  <c r="AJ857" i="1"/>
  <c r="AL857" i="1" s="1"/>
  <c r="J857" i="1"/>
  <c r="C857" i="1"/>
  <c r="D857" i="1" s="1"/>
  <c r="AM856" i="1"/>
  <c r="AK856" i="1" s="1"/>
  <c r="AJ856" i="1"/>
  <c r="AL856" i="1" s="1"/>
  <c r="J856" i="1"/>
  <c r="C856" i="1"/>
  <c r="D856" i="1" s="1"/>
  <c r="AM855" i="1"/>
  <c r="AK855" i="1" s="1"/>
  <c r="AJ855" i="1"/>
  <c r="AL855" i="1" s="1"/>
  <c r="J855" i="1"/>
  <c r="C855" i="1"/>
  <c r="D855" i="1" s="1"/>
  <c r="AM854" i="1"/>
  <c r="AK854" i="1" s="1"/>
  <c r="AJ854" i="1"/>
  <c r="AL854" i="1" s="1"/>
  <c r="J854" i="1"/>
  <c r="C854" i="1"/>
  <c r="D854" i="1" s="1"/>
  <c r="AM853" i="1"/>
  <c r="AK853" i="1" s="1"/>
  <c r="AJ853" i="1"/>
  <c r="AL853" i="1" s="1"/>
  <c r="J853" i="1"/>
  <c r="C853" i="1"/>
  <c r="D853" i="1" s="1"/>
  <c r="AM852" i="1"/>
  <c r="AK852" i="1" s="1"/>
  <c r="AJ852" i="1"/>
  <c r="AL852" i="1" s="1"/>
  <c r="J852" i="1"/>
  <c r="C852" i="1"/>
  <c r="D852" i="1" s="1"/>
  <c r="AM851" i="1"/>
  <c r="AK851" i="1" s="1"/>
  <c r="AJ851" i="1"/>
  <c r="AL851" i="1" s="1"/>
  <c r="J851" i="1"/>
  <c r="C851" i="1"/>
  <c r="D851" i="1" s="1"/>
  <c r="AM850" i="1"/>
  <c r="AK850" i="1" s="1"/>
  <c r="AJ850" i="1"/>
  <c r="AL850" i="1" s="1"/>
  <c r="J850" i="1"/>
  <c r="C850" i="1"/>
  <c r="D850" i="1" s="1"/>
  <c r="AM849" i="1"/>
  <c r="AK849" i="1" s="1"/>
  <c r="AJ849" i="1"/>
  <c r="AL849" i="1" s="1"/>
  <c r="J849" i="1"/>
  <c r="C849" i="1"/>
  <c r="D849" i="1" s="1"/>
  <c r="AM848" i="1"/>
  <c r="AK848" i="1" s="1"/>
  <c r="AJ848" i="1"/>
  <c r="AL848" i="1" s="1"/>
  <c r="J848" i="1"/>
  <c r="C848" i="1"/>
  <c r="D848" i="1" s="1"/>
  <c r="AM847" i="1"/>
  <c r="AK847" i="1" s="1"/>
  <c r="AJ847" i="1"/>
  <c r="AL847" i="1" s="1"/>
  <c r="J847" i="1"/>
  <c r="C847" i="1"/>
  <c r="D847" i="1" s="1"/>
  <c r="AM846" i="1"/>
  <c r="AK846" i="1" s="1"/>
  <c r="AJ846" i="1"/>
  <c r="AL846" i="1" s="1"/>
  <c r="J846" i="1"/>
  <c r="C846" i="1"/>
  <c r="D846" i="1" s="1"/>
  <c r="AM845" i="1"/>
  <c r="AK845" i="1" s="1"/>
  <c r="AJ845" i="1"/>
  <c r="AL845" i="1" s="1"/>
  <c r="J845" i="1"/>
  <c r="AD845" i="1" s="1"/>
  <c r="C845" i="1"/>
  <c r="D845" i="1" s="1"/>
  <c r="AM844" i="1"/>
  <c r="AK844" i="1" s="1"/>
  <c r="AJ844" i="1"/>
  <c r="AL844" i="1" s="1"/>
  <c r="J844" i="1"/>
  <c r="C844" i="1"/>
  <c r="D844" i="1" s="1"/>
  <c r="AM843" i="1"/>
  <c r="AK843" i="1" s="1"/>
  <c r="AJ843" i="1"/>
  <c r="AL843" i="1" s="1"/>
  <c r="J843" i="1"/>
  <c r="C843" i="1"/>
  <c r="D843" i="1" s="1"/>
  <c r="AM842" i="1"/>
  <c r="AK842" i="1" s="1"/>
  <c r="AJ842" i="1"/>
  <c r="AL842" i="1" s="1"/>
  <c r="J842" i="1"/>
  <c r="AD842" i="1" s="1"/>
  <c r="C842" i="1"/>
  <c r="D842" i="1" s="1"/>
  <c r="AM841" i="1"/>
  <c r="AK841" i="1" s="1"/>
  <c r="AJ841" i="1"/>
  <c r="AL841" i="1" s="1"/>
  <c r="J841" i="1"/>
  <c r="C841" i="1"/>
  <c r="D841" i="1" s="1"/>
  <c r="AM840" i="1"/>
  <c r="AK840" i="1" s="1"/>
  <c r="AJ840" i="1"/>
  <c r="AL840" i="1" s="1"/>
  <c r="J840" i="1"/>
  <c r="C840" i="1"/>
  <c r="D840" i="1" s="1"/>
  <c r="AM839" i="1"/>
  <c r="AK839" i="1" s="1"/>
  <c r="AJ839" i="1"/>
  <c r="AL839" i="1" s="1"/>
  <c r="J839" i="1"/>
  <c r="C839" i="1"/>
  <c r="D839" i="1" s="1"/>
  <c r="AM838" i="1"/>
  <c r="AK838" i="1" s="1"/>
  <c r="AJ838" i="1"/>
  <c r="AL838" i="1" s="1"/>
  <c r="J838" i="1"/>
  <c r="AD838" i="1" s="1"/>
  <c r="C838" i="1"/>
  <c r="D838" i="1" s="1"/>
  <c r="AM837" i="1"/>
  <c r="AK837" i="1" s="1"/>
  <c r="AJ837" i="1"/>
  <c r="AL837" i="1" s="1"/>
  <c r="J837" i="1"/>
  <c r="AC837" i="1" s="1"/>
  <c r="C837" i="1"/>
  <c r="D837" i="1" s="1"/>
  <c r="AM836" i="1"/>
  <c r="AK836" i="1" s="1"/>
  <c r="AJ836" i="1"/>
  <c r="AL836" i="1" s="1"/>
  <c r="J836" i="1"/>
  <c r="C836" i="1"/>
  <c r="D836" i="1" s="1"/>
  <c r="AM835" i="1"/>
  <c r="AK835" i="1" s="1"/>
  <c r="AJ835" i="1"/>
  <c r="AL835" i="1" s="1"/>
  <c r="J835" i="1"/>
  <c r="C835" i="1"/>
  <c r="D835" i="1" s="1"/>
  <c r="AM834" i="1"/>
  <c r="AK834" i="1" s="1"/>
  <c r="AJ834" i="1"/>
  <c r="AL834" i="1" s="1"/>
  <c r="J834" i="1"/>
  <c r="C834" i="1"/>
  <c r="D834" i="1" s="1"/>
  <c r="AM833" i="1"/>
  <c r="AK833" i="1" s="1"/>
  <c r="AJ833" i="1"/>
  <c r="AL833" i="1" s="1"/>
  <c r="J833" i="1"/>
  <c r="C833" i="1"/>
  <c r="D833" i="1" s="1"/>
  <c r="AM832" i="1"/>
  <c r="AK832" i="1" s="1"/>
  <c r="AJ832" i="1"/>
  <c r="AL832" i="1" s="1"/>
  <c r="J832" i="1"/>
  <c r="C832" i="1"/>
  <c r="D832" i="1" s="1"/>
  <c r="AM831" i="1"/>
  <c r="AK831" i="1" s="1"/>
  <c r="AJ831" i="1"/>
  <c r="AL831" i="1" s="1"/>
  <c r="J831" i="1"/>
  <c r="C831" i="1"/>
  <c r="D831" i="1" s="1"/>
  <c r="AM830" i="1"/>
  <c r="AK830" i="1" s="1"/>
  <c r="AJ830" i="1"/>
  <c r="AL830" i="1" s="1"/>
  <c r="J830" i="1"/>
  <c r="C830" i="1"/>
  <c r="D830" i="1" s="1"/>
  <c r="AM829" i="1"/>
  <c r="AK829" i="1" s="1"/>
  <c r="AJ829" i="1"/>
  <c r="AL829" i="1" s="1"/>
  <c r="J829" i="1"/>
  <c r="C829" i="1"/>
  <c r="D829" i="1" s="1"/>
  <c r="AM828" i="1"/>
  <c r="AK828" i="1" s="1"/>
  <c r="AJ828" i="1"/>
  <c r="AL828" i="1" s="1"/>
  <c r="J828" i="1"/>
  <c r="C828" i="1"/>
  <c r="D828" i="1" s="1"/>
  <c r="AM827" i="1"/>
  <c r="AK827" i="1" s="1"/>
  <c r="AJ827" i="1"/>
  <c r="AL827" i="1" s="1"/>
  <c r="J827" i="1"/>
  <c r="C827" i="1"/>
  <c r="D827" i="1" s="1"/>
  <c r="AM826" i="1"/>
  <c r="AK826" i="1" s="1"/>
  <c r="AJ826" i="1"/>
  <c r="AL826" i="1" s="1"/>
  <c r="J826" i="1"/>
  <c r="C826" i="1"/>
  <c r="D826" i="1" s="1"/>
  <c r="AO825" i="1"/>
  <c r="AO826" i="1" s="1"/>
  <c r="AO828" i="1" s="1"/>
  <c r="AM825" i="1"/>
  <c r="AK825" i="1" s="1"/>
  <c r="AJ825" i="1"/>
  <c r="AL825" i="1" s="1"/>
  <c r="J825" i="1"/>
  <c r="C825" i="1"/>
  <c r="D825" i="1" s="1"/>
  <c r="AM824" i="1"/>
  <c r="AK824" i="1" s="1"/>
  <c r="AJ824" i="1"/>
  <c r="AL824" i="1" s="1"/>
  <c r="J824" i="1"/>
  <c r="C824" i="1"/>
  <c r="D824" i="1" s="1"/>
  <c r="AM823" i="1"/>
  <c r="AK823" i="1" s="1"/>
  <c r="AJ823" i="1"/>
  <c r="AL823" i="1" s="1"/>
  <c r="R823" i="1"/>
  <c r="P823" i="1"/>
  <c r="M823" i="1"/>
  <c r="N823" i="1" s="1"/>
  <c r="J823" i="1"/>
  <c r="C823" i="1"/>
  <c r="D823" i="1" s="1"/>
  <c r="AM822" i="1"/>
  <c r="AK822" i="1" s="1"/>
  <c r="AJ822" i="1"/>
  <c r="AL822" i="1" s="1"/>
  <c r="J822" i="1"/>
  <c r="C822" i="1"/>
  <c r="D822" i="1" s="1"/>
  <c r="AM821" i="1"/>
  <c r="AK821" i="1" s="1"/>
  <c r="AJ821" i="1"/>
  <c r="AL821" i="1" s="1"/>
  <c r="J821" i="1"/>
  <c r="C821" i="1"/>
  <c r="D821" i="1" s="1"/>
  <c r="AM820" i="1"/>
  <c r="AK820" i="1" s="1"/>
  <c r="AJ820" i="1"/>
  <c r="AL820" i="1" s="1"/>
  <c r="J820" i="1"/>
  <c r="C820" i="1"/>
  <c r="D820" i="1" s="1"/>
  <c r="AM819" i="1"/>
  <c r="AK819" i="1" s="1"/>
  <c r="AJ819" i="1"/>
  <c r="AL819" i="1" s="1"/>
  <c r="J819" i="1"/>
  <c r="C819" i="1"/>
  <c r="D819" i="1" s="1"/>
  <c r="AM818" i="1"/>
  <c r="AK818" i="1" s="1"/>
  <c r="AJ818" i="1"/>
  <c r="AL818" i="1" s="1"/>
  <c r="J818" i="1"/>
  <c r="C818" i="1"/>
  <c r="D818" i="1" s="1"/>
  <c r="AM817" i="1"/>
  <c r="AK817" i="1" s="1"/>
  <c r="AJ817" i="1"/>
  <c r="AL817" i="1" s="1"/>
  <c r="J817" i="1"/>
  <c r="C817" i="1"/>
  <c r="D817" i="1" s="1"/>
  <c r="AM816" i="1"/>
  <c r="AK816" i="1" s="1"/>
  <c r="AJ816" i="1"/>
  <c r="AL816" i="1" s="1"/>
  <c r="J816" i="1"/>
  <c r="C816" i="1"/>
  <c r="D816" i="1" s="1"/>
  <c r="AM815" i="1"/>
  <c r="AK815" i="1" s="1"/>
  <c r="AJ815" i="1"/>
  <c r="AL815" i="1" s="1"/>
  <c r="J815" i="1"/>
  <c r="AD815" i="1" s="1"/>
  <c r="C815" i="1"/>
  <c r="D815" i="1" s="1"/>
  <c r="AM814" i="1"/>
  <c r="AK814" i="1" s="1"/>
  <c r="AJ814" i="1"/>
  <c r="AL814" i="1" s="1"/>
  <c r="J814" i="1"/>
  <c r="C814" i="1"/>
  <c r="D814" i="1" s="1"/>
  <c r="AM813" i="1"/>
  <c r="AK813" i="1" s="1"/>
  <c r="AJ813" i="1"/>
  <c r="AL813" i="1" s="1"/>
  <c r="J813" i="1"/>
  <c r="AD813" i="1" s="1"/>
  <c r="C813" i="1"/>
  <c r="D813" i="1" s="1"/>
  <c r="AM812" i="1"/>
  <c r="AK812" i="1" s="1"/>
  <c r="AJ812" i="1"/>
  <c r="AL812" i="1" s="1"/>
  <c r="J812" i="1"/>
  <c r="C812" i="1"/>
  <c r="D812" i="1" s="1"/>
  <c r="AM811" i="1"/>
  <c r="AK811" i="1" s="1"/>
  <c r="AJ811" i="1"/>
  <c r="AL811" i="1" s="1"/>
  <c r="J811" i="1"/>
  <c r="C811" i="1"/>
  <c r="D811" i="1" s="1"/>
  <c r="AM810" i="1"/>
  <c r="AK810" i="1" s="1"/>
  <c r="AJ810" i="1"/>
  <c r="AL810" i="1" s="1"/>
  <c r="J810" i="1"/>
  <c r="C810" i="1"/>
  <c r="D810" i="1" s="1"/>
  <c r="AM809" i="1"/>
  <c r="AK809" i="1" s="1"/>
  <c r="AJ809" i="1"/>
  <c r="AL809" i="1" s="1"/>
  <c r="J809" i="1"/>
  <c r="C809" i="1"/>
  <c r="D809" i="1" s="1"/>
  <c r="AM808" i="1"/>
  <c r="AK808" i="1" s="1"/>
  <c r="AJ808" i="1"/>
  <c r="AL808" i="1" s="1"/>
  <c r="J808" i="1"/>
  <c r="C808" i="1"/>
  <c r="D808" i="1" s="1"/>
  <c r="AM807" i="1"/>
  <c r="AK807" i="1" s="1"/>
  <c r="AJ807" i="1"/>
  <c r="AL807" i="1" s="1"/>
  <c r="J807" i="1"/>
  <c r="C807" i="1"/>
  <c r="D807" i="1" s="1"/>
  <c r="AM806" i="1"/>
  <c r="AK806" i="1" s="1"/>
  <c r="AJ806" i="1"/>
  <c r="AL806" i="1" s="1"/>
  <c r="J806" i="1"/>
  <c r="AC806" i="1" s="1"/>
  <c r="C806" i="1"/>
  <c r="D806" i="1" s="1"/>
  <c r="AM805" i="1"/>
  <c r="AK805" i="1" s="1"/>
  <c r="AJ805" i="1"/>
  <c r="AL805" i="1" s="1"/>
  <c r="J805" i="1"/>
  <c r="C805" i="1"/>
  <c r="D805" i="1" s="1"/>
  <c r="AM804" i="1"/>
  <c r="AK804" i="1" s="1"/>
  <c r="AJ804" i="1"/>
  <c r="AL804" i="1" s="1"/>
  <c r="J804" i="1"/>
  <c r="AD804" i="1" s="1"/>
  <c r="C804" i="1"/>
  <c r="D804" i="1" s="1"/>
  <c r="AM803" i="1"/>
  <c r="AK803" i="1" s="1"/>
  <c r="AJ803" i="1"/>
  <c r="AL803" i="1" s="1"/>
  <c r="J803" i="1"/>
  <c r="C803" i="1"/>
  <c r="D803" i="1" s="1"/>
  <c r="AM802" i="1"/>
  <c r="AK802" i="1" s="1"/>
  <c r="AJ802" i="1"/>
  <c r="AL802" i="1" s="1"/>
  <c r="J802" i="1"/>
  <c r="C802" i="1"/>
  <c r="D802" i="1" s="1"/>
  <c r="AM801" i="1"/>
  <c r="AK801" i="1" s="1"/>
  <c r="AJ801" i="1"/>
  <c r="AL801" i="1" s="1"/>
  <c r="J801" i="1"/>
  <c r="C801" i="1"/>
  <c r="D801" i="1" s="1"/>
  <c r="AM800" i="1"/>
  <c r="AK800" i="1" s="1"/>
  <c r="AJ800" i="1"/>
  <c r="AL800" i="1" s="1"/>
  <c r="J800" i="1"/>
  <c r="C800" i="1"/>
  <c r="D800" i="1" s="1"/>
  <c r="AM799" i="1"/>
  <c r="AK799" i="1" s="1"/>
  <c r="AJ799" i="1"/>
  <c r="AL799" i="1" s="1"/>
  <c r="J799" i="1"/>
  <c r="C799" i="1"/>
  <c r="D799" i="1" s="1"/>
  <c r="AM798" i="1"/>
  <c r="AK798" i="1" s="1"/>
  <c r="AJ798" i="1"/>
  <c r="AL798" i="1" s="1"/>
  <c r="J798" i="1"/>
  <c r="C798" i="1"/>
  <c r="D798" i="1" s="1"/>
  <c r="AM797" i="1"/>
  <c r="AK797" i="1" s="1"/>
  <c r="AJ797" i="1"/>
  <c r="AL797" i="1" s="1"/>
  <c r="J797" i="1"/>
  <c r="C797" i="1"/>
  <c r="D797" i="1" s="1"/>
  <c r="AM796" i="1"/>
  <c r="AK796" i="1" s="1"/>
  <c r="AJ796" i="1"/>
  <c r="AL796" i="1" s="1"/>
  <c r="J796" i="1"/>
  <c r="C796" i="1"/>
  <c r="D796" i="1" s="1"/>
  <c r="AM795" i="1"/>
  <c r="AK795" i="1" s="1"/>
  <c r="AJ795" i="1"/>
  <c r="AL795" i="1" s="1"/>
  <c r="J795" i="1"/>
  <c r="C795" i="1"/>
  <c r="D795" i="1" s="1"/>
  <c r="AM794" i="1"/>
  <c r="AK794" i="1" s="1"/>
  <c r="AJ794" i="1"/>
  <c r="AL794" i="1" s="1"/>
  <c r="J794" i="1"/>
  <c r="C794" i="1"/>
  <c r="D794" i="1" s="1"/>
  <c r="AM793" i="1"/>
  <c r="AK793" i="1" s="1"/>
  <c r="AJ793" i="1"/>
  <c r="AL793" i="1" s="1"/>
  <c r="J793" i="1"/>
  <c r="C793" i="1"/>
  <c r="D793" i="1" s="1"/>
  <c r="AM792" i="1"/>
  <c r="AK792" i="1" s="1"/>
  <c r="AJ792" i="1"/>
  <c r="AL792" i="1" s="1"/>
  <c r="J792" i="1"/>
  <c r="C792" i="1"/>
  <c r="D792" i="1" s="1"/>
  <c r="AM791" i="1"/>
  <c r="AK791" i="1" s="1"/>
  <c r="AJ791" i="1"/>
  <c r="AL791" i="1" s="1"/>
  <c r="J791" i="1"/>
  <c r="C791" i="1"/>
  <c r="D791" i="1" s="1"/>
  <c r="AM790" i="1"/>
  <c r="AK790" i="1" s="1"/>
  <c r="AJ790" i="1"/>
  <c r="AL790" i="1" s="1"/>
  <c r="J790" i="1"/>
  <c r="C790" i="1"/>
  <c r="D790" i="1" s="1"/>
  <c r="AO789" i="1"/>
  <c r="AO790" i="1" s="1"/>
  <c r="AO792" i="1" s="1"/>
  <c r="AM789" i="1"/>
  <c r="AK789" i="1" s="1"/>
  <c r="AJ789" i="1"/>
  <c r="AL789" i="1" s="1"/>
  <c r="J789" i="1"/>
  <c r="C789" i="1"/>
  <c r="D789" i="1" s="1"/>
  <c r="AM788" i="1"/>
  <c r="AK788" i="1" s="1"/>
  <c r="AJ788" i="1"/>
  <c r="AL788" i="1" s="1"/>
  <c r="J788" i="1"/>
  <c r="C788" i="1"/>
  <c r="D788" i="1" s="1"/>
  <c r="AM787" i="1"/>
  <c r="AK787" i="1" s="1"/>
  <c r="AJ787" i="1"/>
  <c r="AL787" i="1" s="1"/>
  <c r="R787" i="1"/>
  <c r="P787" i="1"/>
  <c r="M787" i="1"/>
  <c r="N787" i="1" s="1"/>
  <c r="J787" i="1"/>
  <c r="C787" i="1"/>
  <c r="D787" i="1" s="1"/>
  <c r="AM786" i="1"/>
  <c r="AK786" i="1" s="1"/>
  <c r="AJ786" i="1"/>
  <c r="AL786" i="1" s="1"/>
  <c r="J786" i="1"/>
  <c r="C786" i="1"/>
  <c r="D786" i="1" s="1"/>
  <c r="AM785" i="1"/>
  <c r="AK785" i="1" s="1"/>
  <c r="AJ785" i="1"/>
  <c r="AL785" i="1" s="1"/>
  <c r="J785" i="1"/>
  <c r="C785" i="1"/>
  <c r="D785" i="1" s="1"/>
  <c r="AM784" i="1"/>
  <c r="AK784" i="1" s="1"/>
  <c r="AJ784" i="1"/>
  <c r="AL784" i="1" s="1"/>
  <c r="J784" i="1"/>
  <c r="C784" i="1"/>
  <c r="D784" i="1" s="1"/>
  <c r="AM783" i="1"/>
  <c r="AK783" i="1" s="1"/>
  <c r="AJ783" i="1"/>
  <c r="AL783" i="1" s="1"/>
  <c r="J783" i="1"/>
  <c r="C783" i="1"/>
  <c r="D783" i="1" s="1"/>
  <c r="AM782" i="1"/>
  <c r="AK782" i="1" s="1"/>
  <c r="AJ782" i="1"/>
  <c r="AL782" i="1" s="1"/>
  <c r="J782" i="1"/>
  <c r="C782" i="1"/>
  <c r="D782" i="1" s="1"/>
  <c r="AM781" i="1"/>
  <c r="AK781" i="1" s="1"/>
  <c r="AJ781" i="1"/>
  <c r="AL781" i="1" s="1"/>
  <c r="J781" i="1"/>
  <c r="C781" i="1"/>
  <c r="D781" i="1" s="1"/>
  <c r="AM780" i="1"/>
  <c r="AK780" i="1" s="1"/>
  <c r="AJ780" i="1"/>
  <c r="AL780" i="1" s="1"/>
  <c r="J780" i="1"/>
  <c r="C780" i="1"/>
  <c r="D780" i="1" s="1"/>
  <c r="AM779" i="1"/>
  <c r="AK779" i="1" s="1"/>
  <c r="AJ779" i="1"/>
  <c r="AL779" i="1" s="1"/>
  <c r="J779" i="1"/>
  <c r="C779" i="1"/>
  <c r="D779" i="1" s="1"/>
  <c r="AM778" i="1"/>
  <c r="AK778" i="1" s="1"/>
  <c r="AJ778" i="1"/>
  <c r="AL778" i="1" s="1"/>
  <c r="J778" i="1"/>
  <c r="C778" i="1"/>
  <c r="D778" i="1" s="1"/>
  <c r="AM777" i="1"/>
  <c r="AK777" i="1" s="1"/>
  <c r="AJ777" i="1"/>
  <c r="AL777" i="1" s="1"/>
  <c r="J777" i="1"/>
  <c r="C777" i="1"/>
  <c r="D777" i="1" s="1"/>
  <c r="AM776" i="1"/>
  <c r="AK776" i="1" s="1"/>
  <c r="AJ776" i="1"/>
  <c r="AL776" i="1" s="1"/>
  <c r="J776" i="1"/>
  <c r="C776" i="1"/>
  <c r="D776" i="1" s="1"/>
  <c r="AM775" i="1"/>
  <c r="AK775" i="1" s="1"/>
  <c r="AJ775" i="1"/>
  <c r="AL775" i="1" s="1"/>
  <c r="J775" i="1"/>
  <c r="AD775" i="1" s="1"/>
  <c r="C775" i="1"/>
  <c r="D775" i="1" s="1"/>
  <c r="AM774" i="1"/>
  <c r="AK774" i="1" s="1"/>
  <c r="AJ774" i="1"/>
  <c r="AL774" i="1" s="1"/>
  <c r="J774" i="1"/>
  <c r="C774" i="1"/>
  <c r="D774" i="1" s="1"/>
  <c r="AM773" i="1"/>
  <c r="AK773" i="1" s="1"/>
  <c r="AJ773" i="1"/>
  <c r="AL773" i="1" s="1"/>
  <c r="J773" i="1"/>
  <c r="C773" i="1"/>
  <c r="D773" i="1" s="1"/>
  <c r="AM772" i="1"/>
  <c r="AK772" i="1" s="1"/>
  <c r="AJ772" i="1"/>
  <c r="AL772" i="1" s="1"/>
  <c r="J772" i="1"/>
  <c r="C772" i="1"/>
  <c r="D772" i="1" s="1"/>
  <c r="AM771" i="1"/>
  <c r="AK771" i="1" s="1"/>
  <c r="AJ771" i="1"/>
  <c r="AL771" i="1" s="1"/>
  <c r="J771" i="1"/>
  <c r="C771" i="1"/>
  <c r="D771" i="1" s="1"/>
  <c r="AM770" i="1"/>
  <c r="AK770" i="1" s="1"/>
  <c r="AJ770" i="1"/>
  <c r="AL770" i="1" s="1"/>
  <c r="J770" i="1"/>
  <c r="C770" i="1"/>
  <c r="D770" i="1" s="1"/>
  <c r="AM769" i="1"/>
  <c r="AK769" i="1" s="1"/>
  <c r="AJ769" i="1"/>
  <c r="AL769" i="1" s="1"/>
  <c r="J769" i="1"/>
  <c r="C769" i="1"/>
  <c r="D769" i="1" s="1"/>
  <c r="AM768" i="1"/>
  <c r="AK768" i="1" s="1"/>
  <c r="AJ768" i="1"/>
  <c r="AL768" i="1" s="1"/>
  <c r="J768" i="1"/>
  <c r="AD768" i="1" s="1"/>
  <c r="C768" i="1"/>
  <c r="D768" i="1" s="1"/>
  <c r="AM767" i="1"/>
  <c r="AK767" i="1" s="1"/>
  <c r="AJ767" i="1"/>
  <c r="AL767" i="1" s="1"/>
  <c r="J767" i="1"/>
  <c r="C767" i="1"/>
  <c r="D767" i="1" s="1"/>
  <c r="AM766" i="1"/>
  <c r="AK766" i="1" s="1"/>
  <c r="AJ766" i="1"/>
  <c r="AL766" i="1" s="1"/>
  <c r="J766" i="1"/>
  <c r="C766" i="1"/>
  <c r="D766" i="1" s="1"/>
  <c r="AM765" i="1"/>
  <c r="AK765" i="1" s="1"/>
  <c r="AJ765" i="1"/>
  <c r="AL765" i="1" s="1"/>
  <c r="J765" i="1"/>
  <c r="C765" i="1"/>
  <c r="D765" i="1" s="1"/>
  <c r="AM764" i="1"/>
  <c r="AK764" i="1" s="1"/>
  <c r="AJ764" i="1"/>
  <c r="AL764" i="1" s="1"/>
  <c r="J764" i="1"/>
  <c r="C764" i="1"/>
  <c r="D764" i="1" s="1"/>
  <c r="AM763" i="1"/>
  <c r="AK763" i="1" s="1"/>
  <c r="AJ763" i="1"/>
  <c r="AL763" i="1" s="1"/>
  <c r="J763" i="1"/>
  <c r="C763" i="1"/>
  <c r="D763" i="1" s="1"/>
  <c r="AM762" i="1"/>
  <c r="AK762" i="1" s="1"/>
  <c r="AJ762" i="1"/>
  <c r="AL762" i="1" s="1"/>
  <c r="J762" i="1"/>
  <c r="C762" i="1"/>
  <c r="D762" i="1" s="1"/>
  <c r="AM761" i="1"/>
  <c r="AK761" i="1" s="1"/>
  <c r="AJ761" i="1"/>
  <c r="AL761" i="1" s="1"/>
  <c r="J761" i="1"/>
  <c r="C761" i="1"/>
  <c r="D761" i="1" s="1"/>
  <c r="AM760" i="1"/>
  <c r="AK760" i="1" s="1"/>
  <c r="AJ760" i="1"/>
  <c r="AL760" i="1" s="1"/>
  <c r="J760" i="1"/>
  <c r="C760" i="1"/>
  <c r="D760" i="1" s="1"/>
  <c r="AM759" i="1"/>
  <c r="AK759" i="1" s="1"/>
  <c r="AJ759" i="1"/>
  <c r="AL759" i="1" s="1"/>
  <c r="J759" i="1"/>
  <c r="AC759" i="1" s="1"/>
  <c r="C759" i="1"/>
  <c r="D759" i="1" s="1"/>
  <c r="AM758" i="1"/>
  <c r="AK758" i="1" s="1"/>
  <c r="AJ758" i="1"/>
  <c r="AL758" i="1" s="1"/>
  <c r="J758" i="1"/>
  <c r="C758" i="1"/>
  <c r="D758" i="1" s="1"/>
  <c r="AM757" i="1"/>
  <c r="AK757" i="1" s="1"/>
  <c r="AJ757" i="1"/>
  <c r="AL757" i="1" s="1"/>
  <c r="J757" i="1"/>
  <c r="C757" i="1"/>
  <c r="D757" i="1" s="1"/>
  <c r="AM756" i="1"/>
  <c r="AK756" i="1" s="1"/>
  <c r="AJ756" i="1"/>
  <c r="AL756" i="1" s="1"/>
  <c r="J756" i="1"/>
  <c r="C756" i="1"/>
  <c r="D756" i="1" s="1"/>
  <c r="AM755" i="1"/>
  <c r="AK755" i="1" s="1"/>
  <c r="AJ755" i="1"/>
  <c r="AL755" i="1" s="1"/>
  <c r="J755" i="1"/>
  <c r="C755" i="1"/>
  <c r="D755" i="1" s="1"/>
  <c r="AM754" i="1"/>
  <c r="AK754" i="1" s="1"/>
  <c r="AJ754" i="1"/>
  <c r="AL754" i="1" s="1"/>
  <c r="J754" i="1"/>
  <c r="AD754" i="1" s="1"/>
  <c r="C754" i="1"/>
  <c r="D754" i="1" s="1"/>
  <c r="AM753" i="1"/>
  <c r="AK753" i="1" s="1"/>
  <c r="AJ753" i="1"/>
  <c r="AL753" i="1" s="1"/>
  <c r="J753" i="1"/>
  <c r="C753" i="1"/>
  <c r="D753" i="1" s="1"/>
  <c r="AO752" i="1"/>
  <c r="AO753" i="1" s="1"/>
  <c r="AO755" i="1" s="1"/>
  <c r="AM752" i="1"/>
  <c r="AK752" i="1" s="1"/>
  <c r="AJ752" i="1"/>
  <c r="AL752" i="1" s="1"/>
  <c r="J752" i="1"/>
  <c r="C752" i="1"/>
  <c r="D752" i="1" s="1"/>
  <c r="AM751" i="1"/>
  <c r="AK751" i="1" s="1"/>
  <c r="AJ751" i="1"/>
  <c r="AL751" i="1" s="1"/>
  <c r="J751" i="1"/>
  <c r="C751" i="1"/>
  <c r="D751" i="1" s="1"/>
  <c r="AM750" i="1"/>
  <c r="AK750" i="1" s="1"/>
  <c r="AJ750" i="1"/>
  <c r="AL750" i="1" s="1"/>
  <c r="R750" i="1"/>
  <c r="P750" i="1"/>
  <c r="Q750" i="1" s="1"/>
  <c r="M750" i="1"/>
  <c r="N750" i="1" s="1"/>
  <c r="J750" i="1"/>
  <c r="C750" i="1"/>
  <c r="D750" i="1" s="1"/>
  <c r="AM749" i="1"/>
  <c r="AK749" i="1" s="1"/>
  <c r="AJ749" i="1"/>
  <c r="AL749" i="1" s="1"/>
  <c r="J749" i="1"/>
  <c r="C749" i="1"/>
  <c r="D749" i="1" s="1"/>
  <c r="AM748" i="1"/>
  <c r="AK748" i="1" s="1"/>
  <c r="AJ748" i="1"/>
  <c r="AL748" i="1" s="1"/>
  <c r="J748" i="1"/>
  <c r="C748" i="1"/>
  <c r="D748" i="1" s="1"/>
  <c r="AM747" i="1"/>
  <c r="AK747" i="1" s="1"/>
  <c r="AJ747" i="1"/>
  <c r="AL747" i="1" s="1"/>
  <c r="J747" i="1"/>
  <c r="C747" i="1"/>
  <c r="D747" i="1" s="1"/>
  <c r="AM746" i="1"/>
  <c r="AK746" i="1" s="1"/>
  <c r="AJ746" i="1"/>
  <c r="AL746" i="1" s="1"/>
  <c r="J746" i="1"/>
  <c r="C746" i="1"/>
  <c r="D746" i="1" s="1"/>
  <c r="AM745" i="1"/>
  <c r="AK745" i="1" s="1"/>
  <c r="AJ745" i="1"/>
  <c r="AL745" i="1" s="1"/>
  <c r="J745" i="1"/>
  <c r="C745" i="1"/>
  <c r="D745" i="1" s="1"/>
  <c r="AM744" i="1"/>
  <c r="AK744" i="1" s="1"/>
  <c r="AJ744" i="1"/>
  <c r="AL744" i="1" s="1"/>
  <c r="J744" i="1"/>
  <c r="C744" i="1"/>
  <c r="D744" i="1" s="1"/>
  <c r="AM743" i="1"/>
  <c r="AK743" i="1" s="1"/>
  <c r="AJ743" i="1"/>
  <c r="AL743" i="1" s="1"/>
  <c r="J743" i="1"/>
  <c r="C743" i="1"/>
  <c r="D743" i="1" s="1"/>
  <c r="AM742" i="1"/>
  <c r="AK742" i="1" s="1"/>
  <c r="AJ742" i="1"/>
  <c r="AL742" i="1" s="1"/>
  <c r="J742" i="1"/>
  <c r="C742" i="1"/>
  <c r="D742" i="1" s="1"/>
  <c r="AM741" i="1"/>
  <c r="AK741" i="1" s="1"/>
  <c r="AJ741" i="1"/>
  <c r="AL741" i="1" s="1"/>
  <c r="J741" i="1"/>
  <c r="C741" i="1"/>
  <c r="D741" i="1" s="1"/>
  <c r="AM740" i="1"/>
  <c r="AK740" i="1" s="1"/>
  <c r="AJ740" i="1"/>
  <c r="AL740" i="1" s="1"/>
  <c r="J740" i="1"/>
  <c r="C740" i="1"/>
  <c r="D740" i="1" s="1"/>
  <c r="AM739" i="1"/>
  <c r="AK739" i="1" s="1"/>
  <c r="AJ739" i="1"/>
  <c r="AL739" i="1" s="1"/>
  <c r="J739" i="1"/>
  <c r="C739" i="1"/>
  <c r="D739" i="1" s="1"/>
  <c r="AM738" i="1"/>
  <c r="AK738" i="1" s="1"/>
  <c r="AJ738" i="1"/>
  <c r="AL738" i="1" s="1"/>
  <c r="J738" i="1"/>
  <c r="C738" i="1"/>
  <c r="D738" i="1" s="1"/>
  <c r="AM737" i="1"/>
  <c r="AK737" i="1" s="1"/>
  <c r="AJ737" i="1"/>
  <c r="AL737" i="1" s="1"/>
  <c r="J737" i="1"/>
  <c r="C737" i="1"/>
  <c r="D737" i="1" s="1"/>
  <c r="AM736" i="1"/>
  <c r="AK736" i="1" s="1"/>
  <c r="AJ736" i="1"/>
  <c r="AL736" i="1" s="1"/>
  <c r="J736" i="1"/>
  <c r="C736" i="1"/>
  <c r="D736" i="1" s="1"/>
  <c r="AM735" i="1"/>
  <c r="AK735" i="1" s="1"/>
  <c r="AJ735" i="1"/>
  <c r="AL735" i="1" s="1"/>
  <c r="J735" i="1"/>
  <c r="C735" i="1"/>
  <c r="D735" i="1" s="1"/>
  <c r="AM734" i="1"/>
  <c r="AK734" i="1" s="1"/>
  <c r="AJ734" i="1"/>
  <c r="AL734" i="1" s="1"/>
  <c r="J734" i="1"/>
  <c r="C734" i="1"/>
  <c r="D734" i="1" s="1"/>
  <c r="AM733" i="1"/>
  <c r="AK733" i="1" s="1"/>
  <c r="AJ733" i="1"/>
  <c r="AL733" i="1" s="1"/>
  <c r="J733" i="1"/>
  <c r="C733" i="1"/>
  <c r="D733" i="1" s="1"/>
  <c r="AM732" i="1"/>
  <c r="AK732" i="1" s="1"/>
  <c r="AJ732" i="1"/>
  <c r="AL732" i="1" s="1"/>
  <c r="J732" i="1"/>
  <c r="C732" i="1"/>
  <c r="D732" i="1" s="1"/>
  <c r="AM731" i="1"/>
  <c r="AK731" i="1" s="1"/>
  <c r="AJ731" i="1"/>
  <c r="AL731" i="1" s="1"/>
  <c r="J731" i="1"/>
  <c r="C731" i="1"/>
  <c r="D731" i="1" s="1"/>
  <c r="AM730" i="1"/>
  <c r="AK730" i="1" s="1"/>
  <c r="AJ730" i="1"/>
  <c r="AL730" i="1" s="1"/>
  <c r="J730" i="1"/>
  <c r="C730" i="1"/>
  <c r="D730" i="1" s="1"/>
  <c r="AM729" i="1"/>
  <c r="AK729" i="1" s="1"/>
  <c r="AJ729" i="1"/>
  <c r="AL729" i="1" s="1"/>
  <c r="J729" i="1"/>
  <c r="C729" i="1"/>
  <c r="D729" i="1" s="1"/>
  <c r="AM728" i="1"/>
  <c r="AK728" i="1" s="1"/>
  <c r="AJ728" i="1"/>
  <c r="AL728" i="1" s="1"/>
  <c r="J728" i="1"/>
  <c r="C728" i="1"/>
  <c r="D728" i="1" s="1"/>
  <c r="AM727" i="1"/>
  <c r="AK727" i="1" s="1"/>
  <c r="AJ727" i="1"/>
  <c r="AL727" i="1" s="1"/>
  <c r="J727" i="1"/>
  <c r="C727" i="1"/>
  <c r="D727" i="1" s="1"/>
  <c r="AM726" i="1"/>
  <c r="AK726" i="1" s="1"/>
  <c r="AJ726" i="1"/>
  <c r="AL726" i="1" s="1"/>
  <c r="J726" i="1"/>
  <c r="C726" i="1"/>
  <c r="D726" i="1" s="1"/>
  <c r="AM725" i="1"/>
  <c r="AK725" i="1" s="1"/>
  <c r="AJ725" i="1"/>
  <c r="AL725" i="1" s="1"/>
  <c r="J725" i="1"/>
  <c r="C725" i="1"/>
  <c r="D725" i="1" s="1"/>
  <c r="AM724" i="1"/>
  <c r="AK724" i="1" s="1"/>
  <c r="AJ724" i="1"/>
  <c r="AL724" i="1" s="1"/>
  <c r="J724" i="1"/>
  <c r="C724" i="1"/>
  <c r="D724" i="1" s="1"/>
  <c r="AM723" i="1"/>
  <c r="AK723" i="1" s="1"/>
  <c r="AJ723" i="1"/>
  <c r="AL723" i="1" s="1"/>
  <c r="J723" i="1"/>
  <c r="C723" i="1"/>
  <c r="D723" i="1" s="1"/>
  <c r="AM722" i="1"/>
  <c r="AK722" i="1" s="1"/>
  <c r="AJ722" i="1"/>
  <c r="AL722" i="1" s="1"/>
  <c r="J722" i="1"/>
  <c r="C722" i="1"/>
  <c r="D722" i="1" s="1"/>
  <c r="AM721" i="1"/>
  <c r="AK721" i="1" s="1"/>
  <c r="AJ721" i="1"/>
  <c r="AL721" i="1" s="1"/>
  <c r="J721" i="1"/>
  <c r="C721" i="1"/>
  <c r="D721" i="1" s="1"/>
  <c r="AM720" i="1"/>
  <c r="AK720" i="1" s="1"/>
  <c r="AJ720" i="1"/>
  <c r="AL720" i="1" s="1"/>
  <c r="J720" i="1"/>
  <c r="C720" i="1"/>
  <c r="D720" i="1" s="1"/>
  <c r="AM719" i="1"/>
  <c r="AK719" i="1" s="1"/>
  <c r="AJ719" i="1"/>
  <c r="AL719" i="1" s="1"/>
  <c r="J719" i="1"/>
  <c r="C719" i="1"/>
  <c r="D719" i="1" s="1"/>
  <c r="AM718" i="1"/>
  <c r="AK718" i="1" s="1"/>
  <c r="AJ718" i="1"/>
  <c r="AL718" i="1" s="1"/>
  <c r="J718" i="1"/>
  <c r="C718" i="1"/>
  <c r="D718" i="1" s="1"/>
  <c r="AM717" i="1"/>
  <c r="AK717" i="1" s="1"/>
  <c r="AJ717" i="1"/>
  <c r="AL717" i="1" s="1"/>
  <c r="J717" i="1"/>
  <c r="C717" i="1"/>
  <c r="D717" i="1" s="1"/>
  <c r="AO716" i="1"/>
  <c r="AO717" i="1" s="1"/>
  <c r="AO719" i="1" s="1"/>
  <c r="AM716" i="1"/>
  <c r="AK716" i="1" s="1"/>
  <c r="AJ716" i="1"/>
  <c r="AL716" i="1" s="1"/>
  <c r="J716" i="1"/>
  <c r="C716" i="1"/>
  <c r="D716" i="1" s="1"/>
  <c r="AM715" i="1"/>
  <c r="AK715" i="1" s="1"/>
  <c r="AJ715" i="1"/>
  <c r="AL715" i="1" s="1"/>
  <c r="J715" i="1"/>
  <c r="C715" i="1"/>
  <c r="D715" i="1" s="1"/>
  <c r="AM714" i="1"/>
  <c r="AK714" i="1" s="1"/>
  <c r="AJ714" i="1"/>
  <c r="AL714" i="1" s="1"/>
  <c r="R714" i="1"/>
  <c r="P714" i="1"/>
  <c r="M714" i="1"/>
  <c r="L715" i="1" s="1"/>
  <c r="J714" i="1"/>
  <c r="C714" i="1"/>
  <c r="D714" i="1" s="1"/>
  <c r="AM713" i="1"/>
  <c r="AK713" i="1" s="1"/>
  <c r="AJ713" i="1"/>
  <c r="AL713" i="1" s="1"/>
  <c r="J713" i="1"/>
  <c r="C713" i="1"/>
  <c r="D713" i="1" s="1"/>
  <c r="AM712" i="1"/>
  <c r="AK712" i="1" s="1"/>
  <c r="AJ712" i="1"/>
  <c r="AL712" i="1" s="1"/>
  <c r="J712" i="1"/>
  <c r="C712" i="1"/>
  <c r="D712" i="1" s="1"/>
  <c r="AM711" i="1"/>
  <c r="AK711" i="1" s="1"/>
  <c r="AJ711" i="1"/>
  <c r="AL711" i="1" s="1"/>
  <c r="J711" i="1"/>
  <c r="AD711" i="1" s="1"/>
  <c r="C711" i="1"/>
  <c r="D711" i="1" s="1"/>
  <c r="AM710" i="1"/>
  <c r="AK710" i="1" s="1"/>
  <c r="AJ710" i="1"/>
  <c r="AL710" i="1" s="1"/>
  <c r="J710" i="1"/>
  <c r="C710" i="1"/>
  <c r="D710" i="1" s="1"/>
  <c r="AM709" i="1"/>
  <c r="AK709" i="1" s="1"/>
  <c r="AJ709" i="1"/>
  <c r="AL709" i="1" s="1"/>
  <c r="J709" i="1"/>
  <c r="C709" i="1"/>
  <c r="D709" i="1" s="1"/>
  <c r="AM708" i="1"/>
  <c r="AK708" i="1" s="1"/>
  <c r="AJ708" i="1"/>
  <c r="AL708" i="1" s="1"/>
  <c r="J708" i="1"/>
  <c r="C708" i="1"/>
  <c r="D708" i="1" s="1"/>
  <c r="AM707" i="1"/>
  <c r="AK707" i="1" s="1"/>
  <c r="AJ707" i="1"/>
  <c r="AL707" i="1" s="1"/>
  <c r="J707" i="1"/>
  <c r="C707" i="1"/>
  <c r="D707" i="1" s="1"/>
  <c r="AM706" i="1"/>
  <c r="AK706" i="1" s="1"/>
  <c r="AJ706" i="1"/>
  <c r="AL706" i="1" s="1"/>
  <c r="J706" i="1"/>
  <c r="C706" i="1"/>
  <c r="D706" i="1" s="1"/>
  <c r="AM705" i="1"/>
  <c r="AK705" i="1" s="1"/>
  <c r="AJ705" i="1"/>
  <c r="AL705" i="1" s="1"/>
  <c r="J705" i="1"/>
  <c r="C705" i="1"/>
  <c r="D705" i="1" s="1"/>
  <c r="AM704" i="1"/>
  <c r="AK704" i="1" s="1"/>
  <c r="AJ704" i="1"/>
  <c r="AL704" i="1" s="1"/>
  <c r="J704" i="1"/>
  <c r="C704" i="1"/>
  <c r="D704" i="1" s="1"/>
  <c r="AM703" i="1"/>
  <c r="AK703" i="1" s="1"/>
  <c r="AJ703" i="1"/>
  <c r="AL703" i="1" s="1"/>
  <c r="J703" i="1"/>
  <c r="C703" i="1"/>
  <c r="D703" i="1" s="1"/>
  <c r="AM702" i="1"/>
  <c r="AK702" i="1" s="1"/>
  <c r="AJ702" i="1"/>
  <c r="AL702" i="1" s="1"/>
  <c r="J702" i="1"/>
  <c r="C702" i="1"/>
  <c r="D702" i="1" s="1"/>
  <c r="AM701" i="1"/>
  <c r="AK701" i="1" s="1"/>
  <c r="AJ701" i="1"/>
  <c r="AL701" i="1" s="1"/>
  <c r="J701" i="1"/>
  <c r="C701" i="1"/>
  <c r="D701" i="1" s="1"/>
  <c r="AM700" i="1"/>
  <c r="AK700" i="1" s="1"/>
  <c r="AJ700" i="1"/>
  <c r="AL700" i="1" s="1"/>
  <c r="J700" i="1"/>
  <c r="C700" i="1"/>
  <c r="D700" i="1" s="1"/>
  <c r="AM699" i="1"/>
  <c r="AK699" i="1" s="1"/>
  <c r="AJ699" i="1"/>
  <c r="AL699" i="1" s="1"/>
  <c r="J699" i="1"/>
  <c r="C699" i="1"/>
  <c r="D699" i="1" s="1"/>
  <c r="AM698" i="1"/>
  <c r="AK698" i="1" s="1"/>
  <c r="AJ698" i="1"/>
  <c r="AL698" i="1" s="1"/>
  <c r="J698" i="1"/>
  <c r="C698" i="1"/>
  <c r="D698" i="1" s="1"/>
  <c r="AM697" i="1"/>
  <c r="AK697" i="1" s="1"/>
  <c r="AJ697" i="1"/>
  <c r="AL697" i="1" s="1"/>
  <c r="J697" i="1"/>
  <c r="C697" i="1"/>
  <c r="D697" i="1" s="1"/>
  <c r="AM696" i="1"/>
  <c r="AK696" i="1" s="1"/>
  <c r="AJ696" i="1"/>
  <c r="AL696" i="1" s="1"/>
  <c r="J696" i="1"/>
  <c r="C696" i="1"/>
  <c r="D696" i="1" s="1"/>
  <c r="AM695" i="1"/>
  <c r="AK695" i="1" s="1"/>
  <c r="AJ695" i="1"/>
  <c r="AL695" i="1" s="1"/>
  <c r="J695" i="1"/>
  <c r="C695" i="1"/>
  <c r="D695" i="1" s="1"/>
  <c r="AM694" i="1"/>
  <c r="AK694" i="1" s="1"/>
  <c r="AJ694" i="1"/>
  <c r="AL694" i="1" s="1"/>
  <c r="J694" i="1"/>
  <c r="C694" i="1"/>
  <c r="D694" i="1" s="1"/>
  <c r="AM693" i="1"/>
  <c r="AK693" i="1" s="1"/>
  <c r="AJ693" i="1"/>
  <c r="AL693" i="1" s="1"/>
  <c r="J693" i="1"/>
  <c r="C693" i="1"/>
  <c r="D693" i="1" s="1"/>
  <c r="AM692" i="1"/>
  <c r="AK692" i="1" s="1"/>
  <c r="AJ692" i="1"/>
  <c r="AL692" i="1" s="1"/>
  <c r="J692" i="1"/>
  <c r="C692" i="1"/>
  <c r="D692" i="1" s="1"/>
  <c r="AM691" i="1"/>
  <c r="AK691" i="1" s="1"/>
  <c r="AJ691" i="1"/>
  <c r="AL691" i="1" s="1"/>
  <c r="J691" i="1"/>
  <c r="C691" i="1"/>
  <c r="D691" i="1" s="1"/>
  <c r="AM690" i="1"/>
  <c r="AK690" i="1" s="1"/>
  <c r="AJ690" i="1"/>
  <c r="AL690" i="1" s="1"/>
  <c r="J690" i="1"/>
  <c r="C690" i="1"/>
  <c r="D690" i="1" s="1"/>
  <c r="AM689" i="1"/>
  <c r="AK689" i="1" s="1"/>
  <c r="AJ689" i="1"/>
  <c r="AL689" i="1" s="1"/>
  <c r="J689" i="1"/>
  <c r="AD689" i="1" s="1"/>
  <c r="C689" i="1"/>
  <c r="D689" i="1" s="1"/>
  <c r="AM688" i="1"/>
  <c r="AK688" i="1" s="1"/>
  <c r="AJ688" i="1"/>
  <c r="AL688" i="1" s="1"/>
  <c r="J688" i="1"/>
  <c r="C688" i="1"/>
  <c r="D688" i="1" s="1"/>
  <c r="AM687" i="1"/>
  <c r="AK687" i="1" s="1"/>
  <c r="AJ687" i="1"/>
  <c r="AL687" i="1" s="1"/>
  <c r="J687" i="1"/>
  <c r="C687" i="1"/>
  <c r="D687" i="1" s="1"/>
  <c r="AM686" i="1"/>
  <c r="AK686" i="1" s="1"/>
  <c r="AJ686" i="1"/>
  <c r="AL686" i="1" s="1"/>
  <c r="J686" i="1"/>
  <c r="C686" i="1"/>
  <c r="D686" i="1" s="1"/>
  <c r="AO685" i="1"/>
  <c r="AO686" i="1" s="1"/>
  <c r="AO688" i="1" s="1"/>
  <c r="AM685" i="1"/>
  <c r="AK685" i="1" s="1"/>
  <c r="AJ685" i="1"/>
  <c r="AL685" i="1" s="1"/>
  <c r="J685" i="1"/>
  <c r="C685" i="1"/>
  <c r="D685" i="1" s="1"/>
  <c r="AM684" i="1"/>
  <c r="AK684" i="1" s="1"/>
  <c r="AJ684" i="1"/>
  <c r="AL684" i="1" s="1"/>
  <c r="J684" i="1"/>
  <c r="C684" i="1"/>
  <c r="D684" i="1" s="1"/>
  <c r="AM683" i="1"/>
  <c r="AK683" i="1" s="1"/>
  <c r="AJ683" i="1"/>
  <c r="AL683" i="1" s="1"/>
  <c r="R683" i="1"/>
  <c r="P683" i="1"/>
  <c r="O684" i="1" s="1"/>
  <c r="P684" i="1" s="1"/>
  <c r="O685" i="1" s="1"/>
  <c r="M683" i="1"/>
  <c r="N683" i="1" s="1"/>
  <c r="J683" i="1"/>
  <c r="C683" i="1"/>
  <c r="D683" i="1" s="1"/>
  <c r="AM682" i="1"/>
  <c r="AK682" i="1" s="1"/>
  <c r="AJ682" i="1"/>
  <c r="AL682" i="1" s="1"/>
  <c r="J682" i="1"/>
  <c r="C682" i="1"/>
  <c r="D682" i="1" s="1"/>
  <c r="AM681" i="1"/>
  <c r="AK681" i="1" s="1"/>
  <c r="AJ681" i="1"/>
  <c r="AL681" i="1" s="1"/>
  <c r="J681" i="1"/>
  <c r="C681" i="1"/>
  <c r="D681" i="1" s="1"/>
  <c r="AM680" i="1"/>
  <c r="AK680" i="1" s="1"/>
  <c r="AJ680" i="1"/>
  <c r="AL680" i="1" s="1"/>
  <c r="J680" i="1"/>
  <c r="C680" i="1"/>
  <c r="D680" i="1" s="1"/>
  <c r="AM679" i="1"/>
  <c r="AK679" i="1" s="1"/>
  <c r="AJ679" i="1"/>
  <c r="AL679" i="1" s="1"/>
  <c r="J679" i="1"/>
  <c r="C679" i="1"/>
  <c r="D679" i="1" s="1"/>
  <c r="AM678" i="1"/>
  <c r="AK678" i="1" s="1"/>
  <c r="AJ678" i="1"/>
  <c r="AL678" i="1" s="1"/>
  <c r="J678" i="1"/>
  <c r="C678" i="1"/>
  <c r="D678" i="1" s="1"/>
  <c r="AM677" i="1"/>
  <c r="AK677" i="1" s="1"/>
  <c r="AJ677" i="1"/>
  <c r="AL677" i="1" s="1"/>
  <c r="J677" i="1"/>
  <c r="C677" i="1"/>
  <c r="D677" i="1" s="1"/>
  <c r="AM676" i="1"/>
  <c r="AK676" i="1" s="1"/>
  <c r="AJ676" i="1"/>
  <c r="AL676" i="1" s="1"/>
  <c r="J676" i="1"/>
  <c r="C676" i="1"/>
  <c r="D676" i="1" s="1"/>
  <c r="AM675" i="1"/>
  <c r="AK675" i="1" s="1"/>
  <c r="AJ675" i="1"/>
  <c r="AL675" i="1" s="1"/>
  <c r="J675" i="1"/>
  <c r="C675" i="1"/>
  <c r="D675" i="1" s="1"/>
  <c r="AM674" i="1"/>
  <c r="AK674" i="1" s="1"/>
  <c r="AJ674" i="1"/>
  <c r="AL674" i="1" s="1"/>
  <c r="J674" i="1"/>
  <c r="C674" i="1"/>
  <c r="D674" i="1" s="1"/>
  <c r="AM673" i="1"/>
  <c r="AK673" i="1" s="1"/>
  <c r="AJ673" i="1"/>
  <c r="AL673" i="1" s="1"/>
  <c r="J673" i="1"/>
  <c r="C673" i="1"/>
  <c r="D673" i="1" s="1"/>
  <c r="AM672" i="1"/>
  <c r="AK672" i="1" s="1"/>
  <c r="AJ672" i="1"/>
  <c r="AL672" i="1" s="1"/>
  <c r="J672" i="1"/>
  <c r="C672" i="1"/>
  <c r="D672" i="1" s="1"/>
  <c r="AM671" i="1"/>
  <c r="AK671" i="1" s="1"/>
  <c r="AJ671" i="1"/>
  <c r="AL671" i="1" s="1"/>
  <c r="J671" i="1"/>
  <c r="C671" i="1"/>
  <c r="D671" i="1" s="1"/>
  <c r="AM670" i="1"/>
  <c r="AK670" i="1" s="1"/>
  <c r="AJ670" i="1"/>
  <c r="AL670" i="1" s="1"/>
  <c r="J670" i="1"/>
  <c r="C670" i="1"/>
  <c r="D670" i="1" s="1"/>
  <c r="AM669" i="1"/>
  <c r="AK669" i="1" s="1"/>
  <c r="AJ669" i="1"/>
  <c r="AL669" i="1" s="1"/>
  <c r="J669" i="1"/>
  <c r="C669" i="1"/>
  <c r="D669" i="1" s="1"/>
  <c r="AM668" i="1"/>
  <c r="AK668" i="1" s="1"/>
  <c r="AJ668" i="1"/>
  <c r="AL668" i="1" s="1"/>
  <c r="J668" i="1"/>
  <c r="C668" i="1"/>
  <c r="D668" i="1" s="1"/>
  <c r="AM667" i="1"/>
  <c r="AK667" i="1" s="1"/>
  <c r="AJ667" i="1"/>
  <c r="AL667" i="1" s="1"/>
  <c r="J667" i="1"/>
  <c r="C667" i="1"/>
  <c r="D667" i="1" s="1"/>
  <c r="AM666" i="1"/>
  <c r="AK666" i="1" s="1"/>
  <c r="AJ666" i="1"/>
  <c r="AL666" i="1" s="1"/>
  <c r="J666" i="1"/>
  <c r="C666" i="1"/>
  <c r="D666" i="1" s="1"/>
  <c r="AM665" i="1"/>
  <c r="AK665" i="1" s="1"/>
  <c r="AJ665" i="1"/>
  <c r="AL665" i="1" s="1"/>
  <c r="J665" i="1"/>
  <c r="C665" i="1"/>
  <c r="D665" i="1" s="1"/>
  <c r="AM664" i="1"/>
  <c r="AK664" i="1" s="1"/>
  <c r="AJ664" i="1"/>
  <c r="AL664" i="1" s="1"/>
  <c r="J664" i="1"/>
  <c r="C664" i="1"/>
  <c r="D664" i="1" s="1"/>
  <c r="AM663" i="1"/>
  <c r="AK663" i="1" s="1"/>
  <c r="AJ663" i="1"/>
  <c r="AL663" i="1" s="1"/>
  <c r="J663" i="1"/>
  <c r="C663" i="1"/>
  <c r="D663" i="1" s="1"/>
  <c r="AM662" i="1"/>
  <c r="AK662" i="1" s="1"/>
  <c r="AJ662" i="1"/>
  <c r="AL662" i="1" s="1"/>
  <c r="J662" i="1"/>
  <c r="C662" i="1"/>
  <c r="D662" i="1" s="1"/>
  <c r="AM661" i="1"/>
  <c r="AK661" i="1" s="1"/>
  <c r="AJ661" i="1"/>
  <c r="AL661" i="1" s="1"/>
  <c r="J661" i="1"/>
  <c r="C661" i="1"/>
  <c r="D661" i="1" s="1"/>
  <c r="AM660" i="1"/>
  <c r="AK660" i="1" s="1"/>
  <c r="AJ660" i="1"/>
  <c r="AL660" i="1" s="1"/>
  <c r="J660" i="1"/>
  <c r="C660" i="1"/>
  <c r="D660" i="1" s="1"/>
  <c r="AM659" i="1"/>
  <c r="AK659" i="1" s="1"/>
  <c r="AJ659" i="1"/>
  <c r="AL659" i="1" s="1"/>
  <c r="J659" i="1"/>
  <c r="C659" i="1"/>
  <c r="D659" i="1" s="1"/>
  <c r="AM658" i="1"/>
  <c r="AK658" i="1" s="1"/>
  <c r="AJ658" i="1"/>
  <c r="AL658" i="1" s="1"/>
  <c r="J658" i="1"/>
  <c r="C658" i="1"/>
  <c r="D658" i="1" s="1"/>
  <c r="AM657" i="1"/>
  <c r="AK657" i="1" s="1"/>
  <c r="AJ657" i="1"/>
  <c r="AL657" i="1" s="1"/>
  <c r="J657" i="1"/>
  <c r="C657" i="1"/>
  <c r="D657" i="1" s="1"/>
  <c r="AM656" i="1"/>
  <c r="AK656" i="1" s="1"/>
  <c r="AJ656" i="1"/>
  <c r="AL656" i="1" s="1"/>
  <c r="J656" i="1"/>
  <c r="C656" i="1"/>
  <c r="D656" i="1" s="1"/>
  <c r="AM655" i="1"/>
  <c r="AK655" i="1" s="1"/>
  <c r="AJ655" i="1"/>
  <c r="AL655" i="1" s="1"/>
  <c r="J655" i="1"/>
  <c r="C655" i="1"/>
  <c r="D655" i="1" s="1"/>
  <c r="AM654" i="1"/>
  <c r="AK654" i="1" s="1"/>
  <c r="AJ654" i="1"/>
  <c r="AL654" i="1" s="1"/>
  <c r="J654" i="1"/>
  <c r="C654" i="1"/>
  <c r="D654" i="1" s="1"/>
  <c r="AM653" i="1"/>
  <c r="AK653" i="1" s="1"/>
  <c r="AJ653" i="1"/>
  <c r="AL653" i="1" s="1"/>
  <c r="J653" i="1"/>
  <c r="C653" i="1"/>
  <c r="D653" i="1" s="1"/>
  <c r="AM652" i="1"/>
  <c r="AK652" i="1" s="1"/>
  <c r="AJ652" i="1"/>
  <c r="AL652" i="1" s="1"/>
  <c r="J652" i="1"/>
  <c r="C652" i="1"/>
  <c r="D652" i="1" s="1"/>
  <c r="AM651" i="1"/>
  <c r="AK651" i="1" s="1"/>
  <c r="AJ651" i="1"/>
  <c r="AL651" i="1" s="1"/>
  <c r="J651" i="1"/>
  <c r="C651" i="1"/>
  <c r="D651" i="1" s="1"/>
  <c r="AM650" i="1"/>
  <c r="AK650" i="1" s="1"/>
  <c r="AJ650" i="1"/>
  <c r="AL650" i="1" s="1"/>
  <c r="J650" i="1"/>
  <c r="C650" i="1"/>
  <c r="D650" i="1" s="1"/>
  <c r="AM649" i="1"/>
  <c r="AK649" i="1" s="1"/>
  <c r="AJ649" i="1"/>
  <c r="AL649" i="1" s="1"/>
  <c r="J649" i="1"/>
  <c r="C649" i="1"/>
  <c r="D649" i="1" s="1"/>
  <c r="AM648" i="1"/>
  <c r="AK648" i="1" s="1"/>
  <c r="AJ648" i="1"/>
  <c r="AL648" i="1" s="1"/>
  <c r="J648" i="1"/>
  <c r="C648" i="1"/>
  <c r="D648" i="1" s="1"/>
  <c r="AM647" i="1"/>
  <c r="AK647" i="1" s="1"/>
  <c r="AJ647" i="1"/>
  <c r="AL647" i="1" s="1"/>
  <c r="J647" i="1"/>
  <c r="C647" i="1"/>
  <c r="D647" i="1" s="1"/>
  <c r="AM646" i="1"/>
  <c r="AK646" i="1" s="1"/>
  <c r="AJ646" i="1"/>
  <c r="AL646" i="1" s="1"/>
  <c r="J646" i="1"/>
  <c r="C646" i="1"/>
  <c r="D646" i="1" s="1"/>
  <c r="AO645" i="1"/>
  <c r="AO646" i="1" s="1"/>
  <c r="AO648" i="1" s="1"/>
  <c r="AM645" i="1"/>
  <c r="AK645" i="1" s="1"/>
  <c r="AJ645" i="1"/>
  <c r="AL645" i="1" s="1"/>
  <c r="J645" i="1"/>
  <c r="C645" i="1"/>
  <c r="D645" i="1" s="1"/>
  <c r="AM644" i="1"/>
  <c r="AK644" i="1" s="1"/>
  <c r="AJ644" i="1"/>
  <c r="AL644" i="1" s="1"/>
  <c r="J644" i="1"/>
  <c r="C644" i="1"/>
  <c r="D644" i="1" s="1"/>
  <c r="AM643" i="1"/>
  <c r="AK643" i="1" s="1"/>
  <c r="AJ643" i="1"/>
  <c r="AL643" i="1" s="1"/>
  <c r="R643" i="1"/>
  <c r="P643" i="1"/>
  <c r="O644" i="1" s="1"/>
  <c r="R644" i="1" s="1"/>
  <c r="M643" i="1"/>
  <c r="J643" i="1"/>
  <c r="C643" i="1"/>
  <c r="D643" i="1" s="1"/>
  <c r="AM642" i="1"/>
  <c r="AK642" i="1" s="1"/>
  <c r="AJ642" i="1"/>
  <c r="AL642" i="1" s="1"/>
  <c r="J642" i="1"/>
  <c r="C642" i="1"/>
  <c r="D642" i="1" s="1"/>
  <c r="AM641" i="1"/>
  <c r="AK641" i="1" s="1"/>
  <c r="AJ641" i="1"/>
  <c r="AL641" i="1" s="1"/>
  <c r="J641" i="1"/>
  <c r="AD641" i="1" s="1"/>
  <c r="C641" i="1"/>
  <c r="D641" i="1" s="1"/>
  <c r="AM640" i="1"/>
  <c r="AK640" i="1" s="1"/>
  <c r="AJ640" i="1"/>
  <c r="AL640" i="1" s="1"/>
  <c r="J640" i="1"/>
  <c r="C640" i="1"/>
  <c r="D640" i="1" s="1"/>
  <c r="AM639" i="1"/>
  <c r="AK639" i="1" s="1"/>
  <c r="AJ639" i="1"/>
  <c r="AL639" i="1" s="1"/>
  <c r="J639" i="1"/>
  <c r="C639" i="1"/>
  <c r="D639" i="1" s="1"/>
  <c r="AM638" i="1"/>
  <c r="AK638" i="1" s="1"/>
  <c r="AJ638" i="1"/>
  <c r="AL638" i="1" s="1"/>
  <c r="J638" i="1"/>
  <c r="C638" i="1"/>
  <c r="D638" i="1" s="1"/>
  <c r="AM637" i="1"/>
  <c r="AK637" i="1" s="1"/>
  <c r="AJ637" i="1"/>
  <c r="AL637" i="1" s="1"/>
  <c r="J637" i="1"/>
  <c r="C637" i="1"/>
  <c r="D637" i="1" s="1"/>
  <c r="AM636" i="1"/>
  <c r="AK636" i="1" s="1"/>
  <c r="AJ636" i="1"/>
  <c r="AL636" i="1" s="1"/>
  <c r="J636" i="1"/>
  <c r="C636" i="1"/>
  <c r="D636" i="1" s="1"/>
  <c r="AM635" i="1"/>
  <c r="AK635" i="1" s="1"/>
  <c r="AJ635" i="1"/>
  <c r="AL635" i="1" s="1"/>
  <c r="J635" i="1"/>
  <c r="C635" i="1"/>
  <c r="D635" i="1" s="1"/>
  <c r="AM634" i="1"/>
  <c r="AK634" i="1" s="1"/>
  <c r="AJ634" i="1"/>
  <c r="AL634" i="1" s="1"/>
  <c r="J634" i="1"/>
  <c r="C634" i="1"/>
  <c r="D634" i="1" s="1"/>
  <c r="AM633" i="1"/>
  <c r="AK633" i="1" s="1"/>
  <c r="AJ633" i="1"/>
  <c r="AL633" i="1" s="1"/>
  <c r="J633" i="1"/>
  <c r="C633" i="1"/>
  <c r="D633" i="1" s="1"/>
  <c r="AM632" i="1"/>
  <c r="AK632" i="1" s="1"/>
  <c r="AJ632" i="1"/>
  <c r="AL632" i="1" s="1"/>
  <c r="J632" i="1"/>
  <c r="C632" i="1"/>
  <c r="D632" i="1" s="1"/>
  <c r="AM631" i="1"/>
  <c r="AK631" i="1" s="1"/>
  <c r="AJ631" i="1"/>
  <c r="AL631" i="1" s="1"/>
  <c r="J631" i="1"/>
  <c r="C631" i="1"/>
  <c r="D631" i="1" s="1"/>
  <c r="AM630" i="1"/>
  <c r="AK630" i="1" s="1"/>
  <c r="AJ630" i="1"/>
  <c r="AL630" i="1" s="1"/>
  <c r="J630" i="1"/>
  <c r="C630" i="1"/>
  <c r="D630" i="1" s="1"/>
  <c r="AM629" i="1"/>
  <c r="AK629" i="1" s="1"/>
  <c r="AJ629" i="1"/>
  <c r="AL629" i="1" s="1"/>
  <c r="J629" i="1"/>
  <c r="C629" i="1"/>
  <c r="D629" i="1" s="1"/>
  <c r="AM628" i="1"/>
  <c r="AK628" i="1" s="1"/>
  <c r="AJ628" i="1"/>
  <c r="AL628" i="1" s="1"/>
  <c r="J628" i="1"/>
  <c r="C628" i="1"/>
  <c r="D628" i="1" s="1"/>
  <c r="AM627" i="1"/>
  <c r="AK627" i="1" s="1"/>
  <c r="AJ627" i="1"/>
  <c r="AL627" i="1" s="1"/>
  <c r="J627" i="1"/>
  <c r="C627" i="1"/>
  <c r="D627" i="1" s="1"/>
  <c r="AM626" i="1"/>
  <c r="AK626" i="1" s="1"/>
  <c r="AJ626" i="1"/>
  <c r="AL626" i="1" s="1"/>
  <c r="J626" i="1"/>
  <c r="C626" i="1"/>
  <c r="D626" i="1" s="1"/>
  <c r="AM625" i="1"/>
  <c r="AK625" i="1" s="1"/>
  <c r="AJ625" i="1"/>
  <c r="AL625" i="1" s="1"/>
  <c r="J625" i="1"/>
  <c r="C625" i="1"/>
  <c r="D625" i="1" s="1"/>
  <c r="AM624" i="1"/>
  <c r="AK624" i="1" s="1"/>
  <c r="AJ624" i="1"/>
  <c r="AL624" i="1" s="1"/>
  <c r="J624" i="1"/>
  <c r="C624" i="1"/>
  <c r="D624" i="1" s="1"/>
  <c r="AM623" i="1"/>
  <c r="AK623" i="1" s="1"/>
  <c r="AJ623" i="1"/>
  <c r="AL623" i="1" s="1"/>
  <c r="J623" i="1"/>
  <c r="C623" i="1"/>
  <c r="D623" i="1" s="1"/>
  <c r="AM622" i="1"/>
  <c r="AK622" i="1" s="1"/>
  <c r="AJ622" i="1"/>
  <c r="AL622" i="1" s="1"/>
  <c r="J622" i="1"/>
  <c r="C622" i="1"/>
  <c r="D622" i="1" s="1"/>
  <c r="AM621" i="1"/>
  <c r="AK621" i="1" s="1"/>
  <c r="AJ621" i="1"/>
  <c r="AL621" i="1" s="1"/>
  <c r="J621" i="1"/>
  <c r="C621" i="1"/>
  <c r="D621" i="1" s="1"/>
  <c r="AM620" i="1"/>
  <c r="AK620" i="1" s="1"/>
  <c r="AJ620" i="1"/>
  <c r="AL620" i="1" s="1"/>
  <c r="J620" i="1"/>
  <c r="AC620" i="1" s="1"/>
  <c r="C620" i="1"/>
  <c r="D620" i="1" s="1"/>
  <c r="AM619" i="1"/>
  <c r="AK619" i="1" s="1"/>
  <c r="AJ619" i="1"/>
  <c r="AL619" i="1" s="1"/>
  <c r="J619" i="1"/>
  <c r="C619" i="1"/>
  <c r="D619" i="1" s="1"/>
  <c r="AM618" i="1"/>
  <c r="AK618" i="1" s="1"/>
  <c r="AJ618" i="1"/>
  <c r="AL618" i="1" s="1"/>
  <c r="J618" i="1"/>
  <c r="C618" i="1"/>
  <c r="D618" i="1" s="1"/>
  <c r="AM617" i="1"/>
  <c r="AK617" i="1" s="1"/>
  <c r="AJ617" i="1"/>
  <c r="AL617" i="1" s="1"/>
  <c r="J617" i="1"/>
  <c r="C617" i="1"/>
  <c r="D617" i="1" s="1"/>
  <c r="AM616" i="1"/>
  <c r="AK616" i="1" s="1"/>
  <c r="AJ616" i="1"/>
  <c r="AL616" i="1" s="1"/>
  <c r="J616" i="1"/>
  <c r="C616" i="1"/>
  <c r="D616" i="1" s="1"/>
  <c r="AM615" i="1"/>
  <c r="AK615" i="1" s="1"/>
  <c r="AJ615" i="1"/>
  <c r="AL615" i="1" s="1"/>
  <c r="J615" i="1"/>
  <c r="C615" i="1"/>
  <c r="D615" i="1" s="1"/>
  <c r="AM614" i="1"/>
  <c r="AK614" i="1" s="1"/>
  <c r="AJ614" i="1"/>
  <c r="AL614" i="1" s="1"/>
  <c r="J614" i="1"/>
  <c r="C614" i="1"/>
  <c r="D614" i="1" s="1"/>
  <c r="AM613" i="1"/>
  <c r="AK613" i="1" s="1"/>
  <c r="AJ613" i="1"/>
  <c r="AL613" i="1" s="1"/>
  <c r="J613" i="1"/>
  <c r="AC613" i="1" s="1"/>
  <c r="C613" i="1"/>
  <c r="D613" i="1" s="1"/>
  <c r="AM612" i="1"/>
  <c r="AK612" i="1" s="1"/>
  <c r="AJ612" i="1"/>
  <c r="AL612" i="1" s="1"/>
  <c r="J612" i="1"/>
  <c r="C612" i="1"/>
  <c r="D612" i="1" s="1"/>
  <c r="AM611" i="1"/>
  <c r="AK611" i="1" s="1"/>
  <c r="AJ611" i="1"/>
  <c r="AL611" i="1" s="1"/>
  <c r="J611" i="1"/>
  <c r="C611" i="1"/>
  <c r="D611" i="1" s="1"/>
  <c r="AM610" i="1"/>
  <c r="AK610" i="1" s="1"/>
  <c r="AJ610" i="1"/>
  <c r="AL610" i="1" s="1"/>
  <c r="J610" i="1"/>
  <c r="C610" i="1"/>
  <c r="D610" i="1" s="1"/>
  <c r="AM609" i="1"/>
  <c r="AK609" i="1" s="1"/>
  <c r="AJ609" i="1"/>
  <c r="AL609" i="1" s="1"/>
  <c r="J609" i="1"/>
  <c r="C609" i="1"/>
  <c r="D609" i="1" s="1"/>
  <c r="AO608" i="1"/>
  <c r="AO609" i="1" s="1"/>
  <c r="AO611" i="1" s="1"/>
  <c r="AM608" i="1"/>
  <c r="AK608" i="1" s="1"/>
  <c r="AJ608" i="1"/>
  <c r="AL608" i="1" s="1"/>
  <c r="J608" i="1"/>
  <c r="C608" i="1"/>
  <c r="D608" i="1" s="1"/>
  <c r="AM607" i="1"/>
  <c r="AK607" i="1" s="1"/>
  <c r="AJ607" i="1"/>
  <c r="AL607" i="1" s="1"/>
  <c r="J607" i="1"/>
  <c r="C607" i="1"/>
  <c r="D607" i="1" s="1"/>
  <c r="AM606" i="1"/>
  <c r="AK606" i="1" s="1"/>
  <c r="AJ606" i="1"/>
  <c r="AL606" i="1" s="1"/>
  <c r="R606" i="1"/>
  <c r="P606" i="1"/>
  <c r="O607" i="1" s="1"/>
  <c r="R607" i="1" s="1"/>
  <c r="M606" i="1"/>
  <c r="N606" i="1" s="1"/>
  <c r="J606" i="1"/>
  <c r="C606" i="1"/>
  <c r="D606" i="1" s="1"/>
  <c r="AM605" i="1"/>
  <c r="AK605" i="1" s="1"/>
  <c r="AJ605" i="1"/>
  <c r="AL605" i="1" s="1"/>
  <c r="J605" i="1"/>
  <c r="C605" i="1"/>
  <c r="D605" i="1" s="1"/>
  <c r="AM604" i="1"/>
  <c r="AK604" i="1" s="1"/>
  <c r="AJ604" i="1"/>
  <c r="AL604" i="1" s="1"/>
  <c r="J604" i="1"/>
  <c r="C604" i="1"/>
  <c r="D604" i="1" s="1"/>
  <c r="AM603" i="1"/>
  <c r="AK603" i="1" s="1"/>
  <c r="AJ603" i="1"/>
  <c r="AL603" i="1" s="1"/>
  <c r="J603" i="1"/>
  <c r="C603" i="1"/>
  <c r="D603" i="1" s="1"/>
  <c r="AM602" i="1"/>
  <c r="AK602" i="1" s="1"/>
  <c r="AJ602" i="1"/>
  <c r="AL602" i="1" s="1"/>
  <c r="J602" i="1"/>
  <c r="C602" i="1"/>
  <c r="D602" i="1" s="1"/>
  <c r="AM601" i="1"/>
  <c r="AK601" i="1" s="1"/>
  <c r="AJ601" i="1"/>
  <c r="AL601" i="1" s="1"/>
  <c r="J601" i="1"/>
  <c r="C601" i="1"/>
  <c r="D601" i="1" s="1"/>
  <c r="AM600" i="1"/>
  <c r="AK600" i="1" s="1"/>
  <c r="AJ600" i="1"/>
  <c r="AL600" i="1" s="1"/>
  <c r="J600" i="1"/>
  <c r="C600" i="1"/>
  <c r="D600" i="1" s="1"/>
  <c r="AM599" i="1"/>
  <c r="AK599" i="1" s="1"/>
  <c r="AJ599" i="1"/>
  <c r="AL599" i="1" s="1"/>
  <c r="J599" i="1"/>
  <c r="C599" i="1"/>
  <c r="D599" i="1" s="1"/>
  <c r="AM598" i="1"/>
  <c r="AK598" i="1" s="1"/>
  <c r="AJ598" i="1"/>
  <c r="AL598" i="1" s="1"/>
  <c r="J598" i="1"/>
  <c r="C598" i="1"/>
  <c r="D598" i="1" s="1"/>
  <c r="AM597" i="1"/>
  <c r="AK597" i="1" s="1"/>
  <c r="AJ597" i="1"/>
  <c r="AL597" i="1" s="1"/>
  <c r="J597" i="1"/>
  <c r="C597" i="1"/>
  <c r="D597" i="1" s="1"/>
  <c r="AM596" i="1"/>
  <c r="AK596" i="1" s="1"/>
  <c r="AJ596" i="1"/>
  <c r="AL596" i="1" s="1"/>
  <c r="J596" i="1"/>
  <c r="C596" i="1"/>
  <c r="D596" i="1" s="1"/>
  <c r="AM595" i="1"/>
  <c r="AK595" i="1" s="1"/>
  <c r="AJ595" i="1"/>
  <c r="AL595" i="1" s="1"/>
  <c r="J595" i="1"/>
  <c r="C595" i="1"/>
  <c r="D595" i="1" s="1"/>
  <c r="AM594" i="1"/>
  <c r="AK594" i="1" s="1"/>
  <c r="AJ594" i="1"/>
  <c r="AL594" i="1" s="1"/>
  <c r="J594" i="1"/>
  <c r="C594" i="1"/>
  <c r="D594" i="1" s="1"/>
  <c r="AM593" i="1"/>
  <c r="AK593" i="1" s="1"/>
  <c r="AJ593" i="1"/>
  <c r="AL593" i="1" s="1"/>
  <c r="J593" i="1"/>
  <c r="C593" i="1"/>
  <c r="D593" i="1" s="1"/>
  <c r="AM592" i="1"/>
  <c r="AK592" i="1" s="1"/>
  <c r="AJ592" i="1"/>
  <c r="AL592" i="1" s="1"/>
  <c r="J592" i="1"/>
  <c r="C592" i="1"/>
  <c r="D592" i="1" s="1"/>
  <c r="AM591" i="1"/>
  <c r="AK591" i="1" s="1"/>
  <c r="AJ591" i="1"/>
  <c r="AL591" i="1" s="1"/>
  <c r="J591" i="1"/>
  <c r="C591" i="1"/>
  <c r="D591" i="1" s="1"/>
  <c r="AM590" i="1"/>
  <c r="AK590" i="1" s="1"/>
  <c r="AJ590" i="1"/>
  <c r="AL590" i="1" s="1"/>
  <c r="J590" i="1"/>
  <c r="C590" i="1"/>
  <c r="D590" i="1" s="1"/>
  <c r="AM589" i="1"/>
  <c r="AK589" i="1" s="1"/>
  <c r="AJ589" i="1"/>
  <c r="AL589" i="1" s="1"/>
  <c r="J589" i="1"/>
  <c r="C589" i="1"/>
  <c r="D589" i="1" s="1"/>
  <c r="AM588" i="1"/>
  <c r="AK588" i="1" s="1"/>
  <c r="AJ588" i="1"/>
  <c r="AL588" i="1" s="1"/>
  <c r="J588" i="1"/>
  <c r="C588" i="1"/>
  <c r="D588" i="1" s="1"/>
  <c r="AM587" i="1"/>
  <c r="AK587" i="1" s="1"/>
  <c r="AJ587" i="1"/>
  <c r="AL587" i="1" s="1"/>
  <c r="J587" i="1"/>
  <c r="C587" i="1"/>
  <c r="D587" i="1" s="1"/>
  <c r="AM586" i="1"/>
  <c r="AK586" i="1" s="1"/>
  <c r="AJ586" i="1"/>
  <c r="AL586" i="1" s="1"/>
  <c r="J586" i="1"/>
  <c r="C586" i="1"/>
  <c r="D586" i="1" s="1"/>
  <c r="AM585" i="1"/>
  <c r="AK585" i="1" s="1"/>
  <c r="AJ585" i="1"/>
  <c r="AL585" i="1" s="1"/>
  <c r="J585" i="1"/>
  <c r="C585" i="1"/>
  <c r="D585" i="1" s="1"/>
  <c r="AM584" i="1"/>
  <c r="AK584" i="1" s="1"/>
  <c r="AJ584" i="1"/>
  <c r="AL584" i="1" s="1"/>
  <c r="J584" i="1"/>
  <c r="C584" i="1"/>
  <c r="D584" i="1" s="1"/>
  <c r="AM583" i="1"/>
  <c r="AK583" i="1" s="1"/>
  <c r="AJ583" i="1"/>
  <c r="AL583" i="1" s="1"/>
  <c r="J583" i="1"/>
  <c r="C583" i="1"/>
  <c r="D583" i="1" s="1"/>
  <c r="AM582" i="1"/>
  <c r="AK582" i="1" s="1"/>
  <c r="AJ582" i="1"/>
  <c r="AL582" i="1" s="1"/>
  <c r="J582" i="1"/>
  <c r="C582" i="1"/>
  <c r="D582" i="1" s="1"/>
  <c r="AM581" i="1"/>
  <c r="AK581" i="1" s="1"/>
  <c r="AJ581" i="1"/>
  <c r="AL581" i="1" s="1"/>
  <c r="J581" i="1"/>
  <c r="C581" i="1"/>
  <c r="D581" i="1" s="1"/>
  <c r="AM580" i="1"/>
  <c r="AK580" i="1" s="1"/>
  <c r="AJ580" i="1"/>
  <c r="AL580" i="1" s="1"/>
  <c r="J580" i="1"/>
  <c r="C580" i="1"/>
  <c r="D580" i="1" s="1"/>
  <c r="AM579" i="1"/>
  <c r="AK579" i="1" s="1"/>
  <c r="AJ579" i="1"/>
  <c r="AL579" i="1" s="1"/>
  <c r="J579" i="1"/>
  <c r="C579" i="1"/>
  <c r="D579" i="1" s="1"/>
  <c r="AM578" i="1"/>
  <c r="AK578" i="1" s="1"/>
  <c r="AJ578" i="1"/>
  <c r="AL578" i="1" s="1"/>
  <c r="J578" i="1"/>
  <c r="C578" i="1"/>
  <c r="D578" i="1" s="1"/>
  <c r="AM577" i="1"/>
  <c r="AK577" i="1" s="1"/>
  <c r="AJ577" i="1"/>
  <c r="AL577" i="1" s="1"/>
  <c r="J577" i="1"/>
  <c r="C577" i="1"/>
  <c r="D577" i="1" s="1"/>
  <c r="AM576" i="1"/>
  <c r="AK576" i="1" s="1"/>
  <c r="AJ576" i="1"/>
  <c r="AL576" i="1" s="1"/>
  <c r="J576" i="1"/>
  <c r="C576" i="1"/>
  <c r="D576" i="1" s="1"/>
  <c r="AM575" i="1"/>
  <c r="AK575" i="1" s="1"/>
  <c r="AJ575" i="1"/>
  <c r="AL575" i="1" s="1"/>
  <c r="J575" i="1"/>
  <c r="C575" i="1"/>
  <c r="D575" i="1" s="1"/>
  <c r="AM574" i="1"/>
  <c r="AK574" i="1" s="1"/>
  <c r="AJ574" i="1"/>
  <c r="AL574" i="1" s="1"/>
  <c r="J574" i="1"/>
  <c r="C574" i="1"/>
  <c r="D574" i="1" s="1"/>
  <c r="AM573" i="1"/>
  <c r="AK573" i="1" s="1"/>
  <c r="AJ573" i="1"/>
  <c r="AL573" i="1" s="1"/>
  <c r="J573" i="1"/>
  <c r="C573" i="1"/>
  <c r="D573" i="1" s="1"/>
  <c r="AM572" i="1"/>
  <c r="AK572" i="1" s="1"/>
  <c r="AJ572" i="1"/>
  <c r="AL572" i="1" s="1"/>
  <c r="J572" i="1"/>
  <c r="C572" i="1"/>
  <c r="D572" i="1" s="1"/>
  <c r="AO571" i="1"/>
  <c r="AO572" i="1" s="1"/>
  <c r="AO574" i="1" s="1"/>
  <c r="AM571" i="1"/>
  <c r="AK571" i="1" s="1"/>
  <c r="AJ571" i="1"/>
  <c r="AL571" i="1" s="1"/>
  <c r="J571" i="1"/>
  <c r="C571" i="1"/>
  <c r="D571" i="1" s="1"/>
  <c r="AM570" i="1"/>
  <c r="AK570" i="1" s="1"/>
  <c r="AJ570" i="1"/>
  <c r="AL570" i="1" s="1"/>
  <c r="J570" i="1"/>
  <c r="C570" i="1"/>
  <c r="D570" i="1" s="1"/>
  <c r="AM569" i="1"/>
  <c r="AK569" i="1" s="1"/>
  <c r="AJ569" i="1"/>
  <c r="AL569" i="1" s="1"/>
  <c r="R569" i="1"/>
  <c r="P569" i="1"/>
  <c r="O570" i="1" s="1"/>
  <c r="M569" i="1"/>
  <c r="L570" i="1" s="1"/>
  <c r="J569" i="1"/>
  <c r="C569" i="1"/>
  <c r="D569" i="1" s="1"/>
  <c r="AM568" i="1"/>
  <c r="AK568" i="1" s="1"/>
  <c r="AJ568" i="1"/>
  <c r="AL568" i="1" s="1"/>
  <c r="J568" i="1"/>
  <c r="C568" i="1"/>
  <c r="D568" i="1" s="1"/>
  <c r="AM567" i="1"/>
  <c r="AK567" i="1" s="1"/>
  <c r="AJ567" i="1"/>
  <c r="AL567" i="1" s="1"/>
  <c r="J567" i="1"/>
  <c r="C567" i="1"/>
  <c r="D567" i="1" s="1"/>
  <c r="AM566" i="1"/>
  <c r="AK566" i="1" s="1"/>
  <c r="AJ566" i="1"/>
  <c r="AL566" i="1" s="1"/>
  <c r="J566" i="1"/>
  <c r="C566" i="1"/>
  <c r="D566" i="1" s="1"/>
  <c r="AM565" i="1"/>
  <c r="AK565" i="1" s="1"/>
  <c r="AJ565" i="1"/>
  <c r="AL565" i="1" s="1"/>
  <c r="J565" i="1"/>
  <c r="C565" i="1"/>
  <c r="D565" i="1" s="1"/>
  <c r="AM564" i="1"/>
  <c r="AK564" i="1" s="1"/>
  <c r="AJ564" i="1"/>
  <c r="AL564" i="1" s="1"/>
  <c r="J564" i="1"/>
  <c r="C564" i="1"/>
  <c r="D564" i="1" s="1"/>
  <c r="AM563" i="1"/>
  <c r="AK563" i="1" s="1"/>
  <c r="AJ563" i="1"/>
  <c r="AL563" i="1" s="1"/>
  <c r="J563" i="1"/>
  <c r="C563" i="1"/>
  <c r="D563" i="1" s="1"/>
  <c r="AM562" i="1"/>
  <c r="AK562" i="1" s="1"/>
  <c r="AJ562" i="1"/>
  <c r="AL562" i="1" s="1"/>
  <c r="J562" i="1"/>
  <c r="C562" i="1"/>
  <c r="D562" i="1" s="1"/>
  <c r="AM561" i="1"/>
  <c r="AK561" i="1" s="1"/>
  <c r="AJ561" i="1"/>
  <c r="AL561" i="1" s="1"/>
  <c r="J561" i="1"/>
  <c r="C561" i="1"/>
  <c r="D561" i="1" s="1"/>
  <c r="AM560" i="1"/>
  <c r="AK560" i="1" s="1"/>
  <c r="AJ560" i="1"/>
  <c r="AL560" i="1" s="1"/>
  <c r="J560" i="1"/>
  <c r="C560" i="1"/>
  <c r="D560" i="1" s="1"/>
  <c r="AM559" i="1"/>
  <c r="AK559" i="1" s="1"/>
  <c r="AJ559" i="1"/>
  <c r="AL559" i="1" s="1"/>
  <c r="J559" i="1"/>
  <c r="C559" i="1"/>
  <c r="D559" i="1" s="1"/>
  <c r="AM558" i="1"/>
  <c r="AK558" i="1" s="1"/>
  <c r="AJ558" i="1"/>
  <c r="AL558" i="1" s="1"/>
  <c r="J558" i="1"/>
  <c r="C558" i="1"/>
  <c r="D558" i="1" s="1"/>
  <c r="AM557" i="1"/>
  <c r="AK557" i="1" s="1"/>
  <c r="AJ557" i="1"/>
  <c r="AL557" i="1" s="1"/>
  <c r="J557" i="1"/>
  <c r="C557" i="1"/>
  <c r="D557" i="1" s="1"/>
  <c r="AM556" i="1"/>
  <c r="AK556" i="1" s="1"/>
  <c r="AJ556" i="1"/>
  <c r="AL556" i="1" s="1"/>
  <c r="J556" i="1"/>
  <c r="C556" i="1"/>
  <c r="D556" i="1" s="1"/>
  <c r="AM555" i="1"/>
  <c r="AK555" i="1" s="1"/>
  <c r="AJ555" i="1"/>
  <c r="AL555" i="1" s="1"/>
  <c r="J555" i="1"/>
  <c r="C555" i="1"/>
  <c r="D555" i="1" s="1"/>
  <c r="AM554" i="1"/>
  <c r="AK554" i="1" s="1"/>
  <c r="AJ554" i="1"/>
  <c r="AL554" i="1" s="1"/>
  <c r="J554" i="1"/>
  <c r="C554" i="1"/>
  <c r="D554" i="1" s="1"/>
  <c r="AM553" i="1"/>
  <c r="AK553" i="1" s="1"/>
  <c r="AJ553" i="1"/>
  <c r="AL553" i="1" s="1"/>
  <c r="J553" i="1"/>
  <c r="C553" i="1"/>
  <c r="D553" i="1" s="1"/>
  <c r="AM552" i="1"/>
  <c r="AK552" i="1" s="1"/>
  <c r="AJ552" i="1"/>
  <c r="AL552" i="1" s="1"/>
  <c r="J552" i="1"/>
  <c r="C552" i="1"/>
  <c r="D552" i="1" s="1"/>
  <c r="AM551" i="1"/>
  <c r="AK551" i="1" s="1"/>
  <c r="AJ551" i="1"/>
  <c r="AL551" i="1" s="1"/>
  <c r="J551" i="1"/>
  <c r="C551" i="1"/>
  <c r="D551" i="1" s="1"/>
  <c r="AM550" i="1"/>
  <c r="AK550" i="1" s="1"/>
  <c r="AJ550" i="1"/>
  <c r="AL550" i="1" s="1"/>
  <c r="J550" i="1"/>
  <c r="C550" i="1"/>
  <c r="D550" i="1" s="1"/>
  <c r="AM549" i="1"/>
  <c r="AK549" i="1" s="1"/>
  <c r="AJ549" i="1"/>
  <c r="AL549" i="1" s="1"/>
  <c r="J549" i="1"/>
  <c r="C549" i="1"/>
  <c r="D549" i="1" s="1"/>
  <c r="AM548" i="1"/>
  <c r="AK548" i="1" s="1"/>
  <c r="AJ548" i="1"/>
  <c r="AL548" i="1" s="1"/>
  <c r="J548" i="1"/>
  <c r="C548" i="1"/>
  <c r="D548" i="1" s="1"/>
  <c r="AM547" i="1"/>
  <c r="AK547" i="1" s="1"/>
  <c r="AJ547" i="1"/>
  <c r="AL547" i="1" s="1"/>
  <c r="J547" i="1"/>
  <c r="C547" i="1"/>
  <c r="D547" i="1" s="1"/>
  <c r="AM546" i="1"/>
  <c r="AK546" i="1" s="1"/>
  <c r="AJ546" i="1"/>
  <c r="AL546" i="1" s="1"/>
  <c r="J546" i="1"/>
  <c r="C546" i="1"/>
  <c r="D546" i="1" s="1"/>
  <c r="AM545" i="1"/>
  <c r="AK545" i="1" s="1"/>
  <c r="AJ545" i="1"/>
  <c r="AL545" i="1" s="1"/>
  <c r="J545" i="1"/>
  <c r="C545" i="1"/>
  <c r="D545" i="1" s="1"/>
  <c r="AO544" i="1"/>
  <c r="AM544" i="1"/>
  <c r="AK544" i="1" s="1"/>
  <c r="AJ544" i="1"/>
  <c r="AL544" i="1" s="1"/>
  <c r="J544" i="1"/>
  <c r="C544" i="1"/>
  <c r="D544" i="1" s="1"/>
  <c r="AO543" i="1"/>
  <c r="AM543" i="1"/>
  <c r="AK543" i="1" s="1"/>
  <c r="AJ543" i="1"/>
  <c r="AL543" i="1" s="1"/>
  <c r="J543" i="1"/>
  <c r="C543" i="1"/>
  <c r="D543" i="1" s="1"/>
  <c r="AM542" i="1"/>
  <c r="AK542" i="1" s="1"/>
  <c r="AJ542" i="1"/>
  <c r="AL542" i="1" s="1"/>
  <c r="J542" i="1"/>
  <c r="C542" i="1"/>
  <c r="D542" i="1" s="1"/>
  <c r="AO541" i="1"/>
  <c r="AM541" i="1"/>
  <c r="AK541" i="1" s="1"/>
  <c r="AJ541" i="1"/>
  <c r="AL541" i="1" s="1"/>
  <c r="J541" i="1"/>
  <c r="C541" i="1"/>
  <c r="D541" i="1" s="1"/>
  <c r="AM540" i="1"/>
  <c r="AK540" i="1" s="1"/>
  <c r="AJ540" i="1"/>
  <c r="AL540" i="1" s="1"/>
  <c r="J540" i="1"/>
  <c r="C540" i="1"/>
  <c r="D540" i="1" s="1"/>
  <c r="AM539" i="1"/>
  <c r="AK539" i="1" s="1"/>
  <c r="AJ539" i="1"/>
  <c r="AL539" i="1" s="1"/>
  <c r="J539" i="1"/>
  <c r="C539" i="1"/>
  <c r="D539" i="1" s="1"/>
  <c r="AM538" i="1"/>
  <c r="AK538" i="1" s="1"/>
  <c r="AJ538" i="1"/>
  <c r="AL538" i="1" s="1"/>
  <c r="J538" i="1"/>
  <c r="C538" i="1"/>
  <c r="D538" i="1" s="1"/>
  <c r="AM537" i="1"/>
  <c r="AK537" i="1" s="1"/>
  <c r="AJ537" i="1"/>
  <c r="AL537" i="1" s="1"/>
  <c r="J537" i="1"/>
  <c r="C537" i="1"/>
  <c r="D537" i="1" s="1"/>
  <c r="AM536" i="1"/>
  <c r="AK536" i="1" s="1"/>
  <c r="AJ536" i="1"/>
  <c r="AL536" i="1" s="1"/>
  <c r="J536" i="1"/>
  <c r="C536" i="1"/>
  <c r="D536" i="1" s="1"/>
  <c r="AM535" i="1"/>
  <c r="AK535" i="1" s="1"/>
  <c r="AJ535" i="1"/>
  <c r="AL535" i="1" s="1"/>
  <c r="J535" i="1"/>
  <c r="C535" i="1"/>
  <c r="D535" i="1" s="1"/>
  <c r="AO534" i="1"/>
  <c r="AO535" i="1" s="1"/>
  <c r="AO537" i="1" s="1"/>
  <c r="AM534" i="1"/>
  <c r="AK534" i="1" s="1"/>
  <c r="AJ534" i="1"/>
  <c r="AL534" i="1" s="1"/>
  <c r="J534" i="1"/>
  <c r="C534" i="1"/>
  <c r="D534" i="1" s="1"/>
  <c r="AM533" i="1"/>
  <c r="AK533" i="1" s="1"/>
  <c r="AJ533" i="1"/>
  <c r="AL533" i="1" s="1"/>
  <c r="J533" i="1"/>
  <c r="C533" i="1"/>
  <c r="D533" i="1" s="1"/>
  <c r="AM532" i="1"/>
  <c r="AK532" i="1" s="1"/>
  <c r="AJ532" i="1"/>
  <c r="AL532" i="1" s="1"/>
  <c r="R532" i="1"/>
  <c r="P532" i="1"/>
  <c r="Q532" i="1" s="1"/>
  <c r="M532" i="1"/>
  <c r="N532" i="1" s="1"/>
  <c r="J532" i="1"/>
  <c r="C532" i="1"/>
  <c r="D532" i="1" s="1"/>
  <c r="AO4" i="1"/>
  <c r="AO5" i="1" s="1"/>
  <c r="AO7" i="1" s="1"/>
  <c r="AO11" i="1"/>
  <c r="AO13" i="1"/>
  <c r="AO14" i="1"/>
  <c r="AO45" i="1"/>
  <c r="AO46" i="1" s="1"/>
  <c r="AO48" i="1" s="1"/>
  <c r="AO87" i="1"/>
  <c r="AO88" i="1" s="1"/>
  <c r="AO90" i="1" s="1"/>
  <c r="AO130" i="1"/>
  <c r="AO131" i="1" s="1"/>
  <c r="AO133" i="1" s="1"/>
  <c r="AO172" i="1"/>
  <c r="AO173" i="1" s="1"/>
  <c r="AO175" i="1" s="1"/>
  <c r="AO213" i="1"/>
  <c r="AO214" i="1" s="1"/>
  <c r="AO216" i="1" s="1"/>
  <c r="AO254" i="1"/>
  <c r="AO255" i="1" s="1"/>
  <c r="AO257" i="1" s="1"/>
  <c r="AO295" i="1"/>
  <c r="AO296" i="1" s="1"/>
  <c r="AO298" i="1" s="1"/>
  <c r="AO335" i="1"/>
  <c r="AO336" i="1" s="1"/>
  <c r="AO338" i="1" s="1"/>
  <c r="AN357" i="1"/>
  <c r="AO376" i="1"/>
  <c r="AO377" i="1" s="1"/>
  <c r="AO379" i="1" s="1"/>
  <c r="AO417" i="1"/>
  <c r="AO418" i="1" s="1"/>
  <c r="AO420" i="1" s="1"/>
  <c r="AO497" i="1"/>
  <c r="AO498" i="1" s="1"/>
  <c r="AO500" i="1" s="1"/>
  <c r="AM531" i="1"/>
  <c r="AH531" i="1"/>
  <c r="Z531" i="1"/>
  <c r="Y531" i="1"/>
  <c r="J531" i="1"/>
  <c r="AC531" i="1" s="1"/>
  <c r="C531" i="1"/>
  <c r="D531" i="1" s="1"/>
  <c r="AM530" i="1"/>
  <c r="AH530" i="1"/>
  <c r="Z530" i="1"/>
  <c r="Y530" i="1"/>
  <c r="J530" i="1"/>
  <c r="AC530" i="1" s="1"/>
  <c r="C530" i="1"/>
  <c r="D530" i="1" s="1"/>
  <c r="AM529" i="1"/>
  <c r="AH529" i="1"/>
  <c r="Z529" i="1"/>
  <c r="Y529" i="1"/>
  <c r="J529" i="1"/>
  <c r="C529" i="1"/>
  <c r="D529" i="1" s="1"/>
  <c r="AM528" i="1"/>
  <c r="AH528" i="1"/>
  <c r="Z528" i="1"/>
  <c r="Y528" i="1"/>
  <c r="J528" i="1"/>
  <c r="C528" i="1"/>
  <c r="D528" i="1" s="1"/>
  <c r="AM527" i="1"/>
  <c r="AH527" i="1"/>
  <c r="Z527" i="1"/>
  <c r="Y527" i="1"/>
  <c r="J527" i="1"/>
  <c r="C527" i="1"/>
  <c r="D527" i="1" s="1"/>
  <c r="AM526" i="1"/>
  <c r="AH526" i="1"/>
  <c r="Z526" i="1"/>
  <c r="Y526" i="1"/>
  <c r="J526" i="1"/>
  <c r="AC526" i="1" s="1"/>
  <c r="C526" i="1"/>
  <c r="D526" i="1" s="1"/>
  <c r="AM525" i="1"/>
  <c r="AH525" i="1"/>
  <c r="Z525" i="1"/>
  <c r="Y525" i="1"/>
  <c r="J525" i="1"/>
  <c r="AC525" i="1" s="1"/>
  <c r="C525" i="1"/>
  <c r="D525" i="1" s="1"/>
  <c r="AM524" i="1"/>
  <c r="AH524" i="1"/>
  <c r="Z524" i="1"/>
  <c r="Y524" i="1"/>
  <c r="J524" i="1"/>
  <c r="AC524" i="1" s="1"/>
  <c r="C524" i="1"/>
  <c r="D524" i="1" s="1"/>
  <c r="AM523" i="1"/>
  <c r="AH523" i="1"/>
  <c r="Z523" i="1"/>
  <c r="Y523" i="1"/>
  <c r="J523" i="1"/>
  <c r="C523" i="1"/>
  <c r="D523" i="1" s="1"/>
  <c r="AM522" i="1"/>
  <c r="AH522" i="1"/>
  <c r="Z522" i="1"/>
  <c r="Y522" i="1"/>
  <c r="J522" i="1"/>
  <c r="C522" i="1"/>
  <c r="D522" i="1" s="1"/>
  <c r="AM521" i="1"/>
  <c r="AH521" i="1"/>
  <c r="Z521" i="1"/>
  <c r="Y521" i="1"/>
  <c r="J521" i="1"/>
  <c r="C521" i="1"/>
  <c r="D521" i="1" s="1"/>
  <c r="AM520" i="1"/>
  <c r="AH520" i="1"/>
  <c r="Z520" i="1"/>
  <c r="Y520" i="1"/>
  <c r="J520" i="1"/>
  <c r="AC520" i="1" s="1"/>
  <c r="C520" i="1"/>
  <c r="D520" i="1" s="1"/>
  <c r="AM519" i="1"/>
  <c r="AH519" i="1"/>
  <c r="Z519" i="1"/>
  <c r="Y519" i="1"/>
  <c r="J519" i="1"/>
  <c r="AC519" i="1" s="1"/>
  <c r="C519" i="1"/>
  <c r="D519" i="1" s="1"/>
  <c r="AM518" i="1"/>
  <c r="AH518" i="1"/>
  <c r="Z518" i="1"/>
  <c r="Y518" i="1"/>
  <c r="J518" i="1"/>
  <c r="AC518" i="1" s="1"/>
  <c r="C518" i="1"/>
  <c r="D518" i="1" s="1"/>
  <c r="AM517" i="1"/>
  <c r="AH517" i="1"/>
  <c r="Z517" i="1"/>
  <c r="Y517" i="1"/>
  <c r="J517" i="1"/>
  <c r="C517" i="1"/>
  <c r="D517" i="1" s="1"/>
  <c r="AM516" i="1"/>
  <c r="AH516" i="1"/>
  <c r="Z516" i="1"/>
  <c r="Y516" i="1"/>
  <c r="J516" i="1"/>
  <c r="C516" i="1"/>
  <c r="D516" i="1" s="1"/>
  <c r="AM515" i="1"/>
  <c r="AH515" i="1"/>
  <c r="Z515" i="1"/>
  <c r="Y515" i="1"/>
  <c r="J515" i="1"/>
  <c r="C515" i="1"/>
  <c r="D515" i="1" s="1"/>
  <c r="AM514" i="1"/>
  <c r="AH514" i="1"/>
  <c r="Z514" i="1"/>
  <c r="Y514" i="1"/>
  <c r="J514" i="1"/>
  <c r="AC514" i="1" s="1"/>
  <c r="C514" i="1"/>
  <c r="D514" i="1" s="1"/>
  <c r="AM513" i="1"/>
  <c r="AH513" i="1"/>
  <c r="Z513" i="1"/>
  <c r="Y513" i="1"/>
  <c r="J513" i="1"/>
  <c r="AC513" i="1" s="1"/>
  <c r="C513" i="1"/>
  <c r="D513" i="1" s="1"/>
  <c r="AM512" i="1"/>
  <c r="AH512" i="1"/>
  <c r="Z512" i="1"/>
  <c r="Y512" i="1"/>
  <c r="J512" i="1"/>
  <c r="AC512" i="1" s="1"/>
  <c r="C512" i="1"/>
  <c r="D512" i="1" s="1"/>
  <c r="AM511" i="1"/>
  <c r="AH511" i="1"/>
  <c r="Z511" i="1"/>
  <c r="Y511" i="1"/>
  <c r="J511" i="1"/>
  <c r="C511" i="1"/>
  <c r="D511" i="1" s="1"/>
  <c r="AM510" i="1"/>
  <c r="AH510" i="1"/>
  <c r="Z510" i="1"/>
  <c r="Y510" i="1"/>
  <c r="J510" i="1"/>
  <c r="C510" i="1"/>
  <c r="D510" i="1" s="1"/>
  <c r="AM509" i="1"/>
  <c r="AH509" i="1"/>
  <c r="Z509" i="1"/>
  <c r="Y509" i="1"/>
  <c r="J509" i="1"/>
  <c r="C509" i="1"/>
  <c r="D509" i="1" s="1"/>
  <c r="AM508" i="1"/>
  <c r="AH508" i="1"/>
  <c r="Z508" i="1"/>
  <c r="Y508" i="1"/>
  <c r="J508" i="1"/>
  <c r="AC508" i="1" s="1"/>
  <c r="C508" i="1"/>
  <c r="D508" i="1" s="1"/>
  <c r="AM507" i="1"/>
  <c r="AH507" i="1"/>
  <c r="Z507" i="1"/>
  <c r="Y507" i="1"/>
  <c r="J507" i="1"/>
  <c r="AC507" i="1" s="1"/>
  <c r="C507" i="1"/>
  <c r="D507" i="1" s="1"/>
  <c r="AM506" i="1"/>
  <c r="AH506" i="1"/>
  <c r="Z506" i="1"/>
  <c r="Y506" i="1"/>
  <c r="J506" i="1"/>
  <c r="AC506" i="1" s="1"/>
  <c r="C506" i="1"/>
  <c r="D506" i="1" s="1"/>
  <c r="AM505" i="1"/>
  <c r="AH505" i="1"/>
  <c r="Z505" i="1"/>
  <c r="Y505" i="1"/>
  <c r="J505" i="1"/>
  <c r="C505" i="1"/>
  <c r="D505" i="1" s="1"/>
  <c r="AM504" i="1"/>
  <c r="AH504" i="1"/>
  <c r="Z504" i="1"/>
  <c r="Y504" i="1"/>
  <c r="J504" i="1"/>
  <c r="C504" i="1"/>
  <c r="D504" i="1" s="1"/>
  <c r="AM503" i="1"/>
  <c r="AH503" i="1"/>
  <c r="Z503" i="1"/>
  <c r="Y503" i="1"/>
  <c r="J503" i="1"/>
  <c r="C503" i="1"/>
  <c r="D503" i="1" s="1"/>
  <c r="AM502" i="1"/>
  <c r="AH502" i="1"/>
  <c r="Z502" i="1"/>
  <c r="Y502" i="1"/>
  <c r="J502" i="1"/>
  <c r="AC502" i="1" s="1"/>
  <c r="C502" i="1"/>
  <c r="D502" i="1" s="1"/>
  <c r="AM501" i="1"/>
  <c r="AH501" i="1"/>
  <c r="Z501" i="1"/>
  <c r="Y501" i="1"/>
  <c r="J501" i="1"/>
  <c r="AC501" i="1" s="1"/>
  <c r="C501" i="1"/>
  <c r="D501" i="1" s="1"/>
  <c r="AM500" i="1"/>
  <c r="AH500" i="1"/>
  <c r="Z500" i="1"/>
  <c r="Y500" i="1"/>
  <c r="J500" i="1"/>
  <c r="AC500" i="1" s="1"/>
  <c r="C500" i="1"/>
  <c r="D500" i="1" s="1"/>
  <c r="AM499" i="1"/>
  <c r="AH499" i="1"/>
  <c r="Z499" i="1"/>
  <c r="Y499" i="1"/>
  <c r="J499" i="1"/>
  <c r="C499" i="1"/>
  <c r="D499" i="1" s="1"/>
  <c r="AM498" i="1"/>
  <c r="AH498" i="1"/>
  <c r="Z498" i="1"/>
  <c r="Y498" i="1"/>
  <c r="J498" i="1"/>
  <c r="C498" i="1"/>
  <c r="D498" i="1" s="1"/>
  <c r="AM497" i="1"/>
  <c r="AH497" i="1"/>
  <c r="Z497" i="1"/>
  <c r="Y497" i="1"/>
  <c r="J497" i="1"/>
  <c r="C497" i="1"/>
  <c r="D497" i="1" s="1"/>
  <c r="AM496" i="1"/>
  <c r="AH496" i="1"/>
  <c r="Z496" i="1"/>
  <c r="Y496" i="1"/>
  <c r="J496" i="1"/>
  <c r="AC496" i="1" s="1"/>
  <c r="C496" i="1"/>
  <c r="D496" i="1" s="1"/>
  <c r="AM495" i="1"/>
  <c r="AH495" i="1"/>
  <c r="Z495" i="1"/>
  <c r="Y495" i="1"/>
  <c r="R495" i="1"/>
  <c r="S495" i="1" s="1"/>
  <c r="T495" i="1" s="1"/>
  <c r="P495" i="1"/>
  <c r="M495" i="1" s="1"/>
  <c r="L495" i="1"/>
  <c r="J495" i="1"/>
  <c r="C495" i="1"/>
  <c r="D495" i="1" s="1"/>
  <c r="AM494" i="1"/>
  <c r="AH494" i="1"/>
  <c r="Z494" i="1"/>
  <c r="Y494" i="1"/>
  <c r="J494" i="1"/>
  <c r="AC494" i="1" s="1"/>
  <c r="C494" i="1"/>
  <c r="D494" i="1" s="1"/>
  <c r="AM493" i="1"/>
  <c r="AH493" i="1"/>
  <c r="Z493" i="1"/>
  <c r="Y493" i="1"/>
  <c r="J493" i="1"/>
  <c r="C493" i="1"/>
  <c r="D493" i="1" s="1"/>
  <c r="AM492" i="1"/>
  <c r="AH492" i="1"/>
  <c r="Z492" i="1"/>
  <c r="Y492" i="1"/>
  <c r="J492" i="1"/>
  <c r="C492" i="1"/>
  <c r="D492" i="1" s="1"/>
  <c r="AM491" i="1"/>
  <c r="AH491" i="1"/>
  <c r="Z491" i="1"/>
  <c r="Y491" i="1"/>
  <c r="I491" i="1"/>
  <c r="AO458" i="1" s="1"/>
  <c r="AO459" i="1" s="1"/>
  <c r="AO461" i="1" s="1"/>
  <c r="H491" i="1"/>
  <c r="G491" i="1"/>
  <c r="C491" i="1"/>
  <c r="D491" i="1" s="1"/>
  <c r="AM490" i="1"/>
  <c r="AH490" i="1"/>
  <c r="Z490" i="1"/>
  <c r="Y490" i="1"/>
  <c r="J490" i="1"/>
  <c r="AC490" i="1" s="1"/>
  <c r="C490" i="1"/>
  <c r="D490" i="1" s="1"/>
  <c r="AM489" i="1"/>
  <c r="AH489" i="1"/>
  <c r="Z489" i="1"/>
  <c r="Y489" i="1"/>
  <c r="J489" i="1"/>
  <c r="AC489" i="1" s="1"/>
  <c r="C489" i="1"/>
  <c r="D489" i="1" s="1"/>
  <c r="AM488" i="1"/>
  <c r="AH488" i="1"/>
  <c r="Z488" i="1"/>
  <c r="Y488" i="1"/>
  <c r="J488" i="1"/>
  <c r="AC488" i="1" s="1"/>
  <c r="C488" i="1"/>
  <c r="D488" i="1" s="1"/>
  <c r="AM487" i="1"/>
  <c r="AH487" i="1"/>
  <c r="Z487" i="1"/>
  <c r="Y487" i="1"/>
  <c r="J487" i="1"/>
  <c r="C487" i="1"/>
  <c r="D487" i="1" s="1"/>
  <c r="AM486" i="1"/>
  <c r="AH486" i="1"/>
  <c r="Z486" i="1"/>
  <c r="Y486" i="1"/>
  <c r="J486" i="1"/>
  <c r="C486" i="1"/>
  <c r="D486" i="1" s="1"/>
  <c r="AM485" i="1"/>
  <c r="AH485" i="1"/>
  <c r="Z485" i="1"/>
  <c r="Y485" i="1"/>
  <c r="J485" i="1"/>
  <c r="C485" i="1"/>
  <c r="D485" i="1" s="1"/>
  <c r="AM484" i="1"/>
  <c r="AH484" i="1"/>
  <c r="Z484" i="1"/>
  <c r="Y484" i="1"/>
  <c r="J484" i="1"/>
  <c r="AC484" i="1" s="1"/>
  <c r="C484" i="1"/>
  <c r="D484" i="1" s="1"/>
  <c r="AM483" i="1"/>
  <c r="AH483" i="1"/>
  <c r="Z483" i="1"/>
  <c r="Y483" i="1"/>
  <c r="J483" i="1"/>
  <c r="AC483" i="1" s="1"/>
  <c r="C483" i="1"/>
  <c r="D483" i="1" s="1"/>
  <c r="AM482" i="1"/>
  <c r="AH482" i="1"/>
  <c r="Z482" i="1"/>
  <c r="Y482" i="1"/>
  <c r="J482" i="1"/>
  <c r="AC482" i="1" s="1"/>
  <c r="C482" i="1"/>
  <c r="D482" i="1" s="1"/>
  <c r="AM481" i="1"/>
  <c r="AH481" i="1"/>
  <c r="Z481" i="1"/>
  <c r="Y481" i="1"/>
  <c r="J481" i="1"/>
  <c r="C481" i="1"/>
  <c r="D481" i="1" s="1"/>
  <c r="AM480" i="1"/>
  <c r="AH480" i="1"/>
  <c r="Z480" i="1"/>
  <c r="Y480" i="1"/>
  <c r="J480" i="1"/>
  <c r="C480" i="1"/>
  <c r="D480" i="1" s="1"/>
  <c r="AM479" i="1"/>
  <c r="AH479" i="1"/>
  <c r="Z479" i="1"/>
  <c r="Y479" i="1"/>
  <c r="J479" i="1"/>
  <c r="C479" i="1"/>
  <c r="D479" i="1" s="1"/>
  <c r="AM478" i="1"/>
  <c r="AH478" i="1"/>
  <c r="Z478" i="1"/>
  <c r="Y478" i="1"/>
  <c r="J478" i="1"/>
  <c r="AC478" i="1" s="1"/>
  <c r="C478" i="1"/>
  <c r="D478" i="1" s="1"/>
  <c r="AM477" i="1"/>
  <c r="AH477" i="1"/>
  <c r="Z477" i="1"/>
  <c r="Y477" i="1"/>
  <c r="J477" i="1"/>
  <c r="AC477" i="1" s="1"/>
  <c r="C477" i="1"/>
  <c r="D477" i="1" s="1"/>
  <c r="AM476" i="1"/>
  <c r="AH476" i="1"/>
  <c r="Z476" i="1"/>
  <c r="Y476" i="1"/>
  <c r="J476" i="1"/>
  <c r="AC476" i="1" s="1"/>
  <c r="C476" i="1"/>
  <c r="D476" i="1" s="1"/>
  <c r="AM475" i="1"/>
  <c r="AH475" i="1"/>
  <c r="Z475" i="1"/>
  <c r="Y475" i="1"/>
  <c r="J475" i="1"/>
  <c r="C475" i="1"/>
  <c r="D475" i="1" s="1"/>
  <c r="AM474" i="1"/>
  <c r="AH474" i="1"/>
  <c r="Z474" i="1"/>
  <c r="Y474" i="1"/>
  <c r="J474" i="1"/>
  <c r="C474" i="1"/>
  <c r="D474" i="1" s="1"/>
  <c r="AM473" i="1"/>
  <c r="AH473" i="1"/>
  <c r="Z473" i="1"/>
  <c r="Y473" i="1"/>
  <c r="J473" i="1"/>
  <c r="C473" i="1"/>
  <c r="D473" i="1" s="1"/>
  <c r="AM472" i="1"/>
  <c r="AH472" i="1"/>
  <c r="Z472" i="1"/>
  <c r="Y472" i="1"/>
  <c r="J472" i="1"/>
  <c r="AC472" i="1" s="1"/>
  <c r="C472" i="1"/>
  <c r="D472" i="1" s="1"/>
  <c r="AM471" i="1"/>
  <c r="AH471" i="1"/>
  <c r="Z471" i="1"/>
  <c r="Y471" i="1"/>
  <c r="J471" i="1"/>
  <c r="AC471" i="1" s="1"/>
  <c r="C471" i="1"/>
  <c r="D471" i="1" s="1"/>
  <c r="AM470" i="1"/>
  <c r="AH470" i="1"/>
  <c r="Z470" i="1"/>
  <c r="Y470" i="1"/>
  <c r="J470" i="1"/>
  <c r="AC470" i="1" s="1"/>
  <c r="C470" i="1"/>
  <c r="D470" i="1" s="1"/>
  <c r="AM469" i="1"/>
  <c r="AH469" i="1"/>
  <c r="Z469" i="1"/>
  <c r="Y469" i="1"/>
  <c r="J469" i="1"/>
  <c r="C469" i="1"/>
  <c r="D469" i="1" s="1"/>
  <c r="AM468" i="1"/>
  <c r="AH468" i="1"/>
  <c r="Z468" i="1"/>
  <c r="Y468" i="1"/>
  <c r="J468" i="1"/>
  <c r="C468" i="1"/>
  <c r="D468" i="1" s="1"/>
  <c r="AM467" i="1"/>
  <c r="AH467" i="1"/>
  <c r="Z467" i="1"/>
  <c r="Y467" i="1"/>
  <c r="J467" i="1"/>
  <c r="C467" i="1"/>
  <c r="D467" i="1" s="1"/>
  <c r="AM466" i="1"/>
  <c r="AH466" i="1"/>
  <c r="Z466" i="1"/>
  <c r="Y466" i="1"/>
  <c r="J466" i="1"/>
  <c r="AC466" i="1" s="1"/>
  <c r="C466" i="1"/>
  <c r="D466" i="1" s="1"/>
  <c r="AM465" i="1"/>
  <c r="AH465" i="1"/>
  <c r="Z465" i="1"/>
  <c r="Y465" i="1"/>
  <c r="J465" i="1"/>
  <c r="AC465" i="1" s="1"/>
  <c r="C465" i="1"/>
  <c r="D465" i="1" s="1"/>
  <c r="AM464" i="1"/>
  <c r="AH464" i="1"/>
  <c r="Z464" i="1"/>
  <c r="Y464" i="1"/>
  <c r="J464" i="1"/>
  <c r="AC464" i="1" s="1"/>
  <c r="C464" i="1"/>
  <c r="D464" i="1" s="1"/>
  <c r="AM463" i="1"/>
  <c r="AH463" i="1"/>
  <c r="Z463" i="1"/>
  <c r="Y463" i="1"/>
  <c r="J463" i="1"/>
  <c r="C463" i="1"/>
  <c r="D463" i="1" s="1"/>
  <c r="AM462" i="1"/>
  <c r="AH462" i="1"/>
  <c r="Z462" i="1"/>
  <c r="Y462" i="1"/>
  <c r="J462" i="1"/>
  <c r="C462" i="1"/>
  <c r="D462" i="1" s="1"/>
  <c r="AM461" i="1"/>
  <c r="AH461" i="1"/>
  <c r="Z461" i="1"/>
  <c r="Y461" i="1"/>
  <c r="J461" i="1"/>
  <c r="C461" i="1"/>
  <c r="D461" i="1" s="1"/>
  <c r="AM460" i="1"/>
  <c r="AH460" i="1"/>
  <c r="Z460" i="1"/>
  <c r="Y460" i="1"/>
  <c r="J460" i="1"/>
  <c r="AC460" i="1" s="1"/>
  <c r="C460" i="1"/>
  <c r="D460" i="1" s="1"/>
  <c r="AM459" i="1"/>
  <c r="AH459" i="1"/>
  <c r="Z459" i="1"/>
  <c r="Y459" i="1"/>
  <c r="J459" i="1"/>
  <c r="AC459" i="1" s="1"/>
  <c r="C459" i="1"/>
  <c r="D459" i="1" s="1"/>
  <c r="AM458" i="1"/>
  <c r="AH458" i="1"/>
  <c r="Z458" i="1"/>
  <c r="Y458" i="1"/>
  <c r="J458" i="1"/>
  <c r="AC458" i="1" s="1"/>
  <c r="C458" i="1"/>
  <c r="D458" i="1" s="1"/>
  <c r="AM457" i="1"/>
  <c r="AH457" i="1"/>
  <c r="Z457" i="1"/>
  <c r="Y457" i="1"/>
  <c r="J457" i="1"/>
  <c r="C457" i="1"/>
  <c r="D457" i="1" s="1"/>
  <c r="AM456" i="1"/>
  <c r="AH456" i="1"/>
  <c r="Z456" i="1"/>
  <c r="Y456" i="1"/>
  <c r="R456" i="1"/>
  <c r="S456" i="1" s="1"/>
  <c r="P456" i="1"/>
  <c r="M456" i="1" s="1"/>
  <c r="L456" i="1"/>
  <c r="J456" i="1"/>
  <c r="C456" i="1"/>
  <c r="D456" i="1" s="1"/>
  <c r="AM455" i="1"/>
  <c r="AH455" i="1"/>
  <c r="Z455" i="1"/>
  <c r="Y455" i="1"/>
  <c r="J455" i="1"/>
  <c r="C455" i="1"/>
  <c r="D455" i="1" s="1"/>
  <c r="AM454" i="1"/>
  <c r="AH454" i="1"/>
  <c r="Z454" i="1"/>
  <c r="Y454" i="1"/>
  <c r="J454" i="1"/>
  <c r="C454" i="1"/>
  <c r="D454" i="1" s="1"/>
  <c r="AM453" i="1"/>
  <c r="AH453" i="1"/>
  <c r="Z453" i="1"/>
  <c r="Y453" i="1"/>
  <c r="J453" i="1"/>
  <c r="AC453" i="1" s="1"/>
  <c r="C453" i="1"/>
  <c r="D453" i="1" s="1"/>
  <c r="AM452" i="1"/>
  <c r="AH452" i="1"/>
  <c r="Z452" i="1"/>
  <c r="Y452" i="1"/>
  <c r="J452" i="1"/>
  <c r="C452" i="1"/>
  <c r="D452" i="1" s="1"/>
  <c r="AM451" i="1"/>
  <c r="AH451" i="1"/>
  <c r="Z451" i="1"/>
  <c r="Y451" i="1"/>
  <c r="J451" i="1"/>
  <c r="C451" i="1"/>
  <c r="D451" i="1" s="1"/>
  <c r="AM450" i="1"/>
  <c r="AH450" i="1"/>
  <c r="Z450" i="1"/>
  <c r="Y450" i="1"/>
  <c r="J450" i="1"/>
  <c r="C450" i="1"/>
  <c r="D450" i="1" s="1"/>
  <c r="AM449" i="1"/>
  <c r="AH449" i="1"/>
  <c r="Z449" i="1"/>
  <c r="Y449" i="1"/>
  <c r="J449" i="1"/>
  <c r="C449" i="1"/>
  <c r="D449" i="1" s="1"/>
  <c r="AM448" i="1"/>
  <c r="AH448" i="1"/>
  <c r="Z448" i="1"/>
  <c r="Y448" i="1"/>
  <c r="J448" i="1"/>
  <c r="C448" i="1"/>
  <c r="D448" i="1" s="1"/>
  <c r="AM447" i="1"/>
  <c r="AH447" i="1"/>
  <c r="Z447" i="1"/>
  <c r="Y447" i="1"/>
  <c r="J447" i="1"/>
  <c r="AC447" i="1" s="1"/>
  <c r="C447" i="1"/>
  <c r="D447" i="1" s="1"/>
  <c r="AM446" i="1"/>
  <c r="AH446" i="1"/>
  <c r="Z446" i="1"/>
  <c r="Y446" i="1"/>
  <c r="J446" i="1"/>
  <c r="C446" i="1"/>
  <c r="D446" i="1" s="1"/>
  <c r="AM445" i="1"/>
  <c r="AH445" i="1"/>
  <c r="Z445" i="1"/>
  <c r="Y445" i="1"/>
  <c r="J445" i="1"/>
  <c r="C445" i="1"/>
  <c r="D445" i="1" s="1"/>
  <c r="AM444" i="1"/>
  <c r="AH444" i="1"/>
  <c r="Z444" i="1"/>
  <c r="Y444" i="1"/>
  <c r="J444" i="1"/>
  <c r="C444" i="1"/>
  <c r="D444" i="1" s="1"/>
  <c r="AM443" i="1"/>
  <c r="AH443" i="1"/>
  <c r="Z443" i="1"/>
  <c r="Y443" i="1"/>
  <c r="J443" i="1"/>
  <c r="C443" i="1"/>
  <c r="D443" i="1" s="1"/>
  <c r="AM442" i="1"/>
  <c r="AH442" i="1"/>
  <c r="Z442" i="1"/>
  <c r="Y442" i="1"/>
  <c r="J442" i="1"/>
  <c r="C442" i="1"/>
  <c r="D442" i="1" s="1"/>
  <c r="AM441" i="1"/>
  <c r="AH441" i="1"/>
  <c r="Z441" i="1"/>
  <c r="Y441" i="1"/>
  <c r="J441" i="1"/>
  <c r="AC441" i="1" s="1"/>
  <c r="C441" i="1"/>
  <c r="D441" i="1" s="1"/>
  <c r="AM440" i="1"/>
  <c r="AH440" i="1"/>
  <c r="Z440" i="1"/>
  <c r="Y440" i="1"/>
  <c r="J440" i="1"/>
  <c r="C440" i="1"/>
  <c r="D440" i="1" s="1"/>
  <c r="AM439" i="1"/>
  <c r="AH439" i="1"/>
  <c r="Z439" i="1"/>
  <c r="Y439" i="1"/>
  <c r="J439" i="1"/>
  <c r="C439" i="1"/>
  <c r="D439" i="1" s="1"/>
  <c r="AM438" i="1"/>
  <c r="AH438" i="1"/>
  <c r="Z438" i="1"/>
  <c r="Y438" i="1"/>
  <c r="J438" i="1"/>
  <c r="C438" i="1"/>
  <c r="D438" i="1" s="1"/>
  <c r="AM437" i="1"/>
  <c r="AH437" i="1"/>
  <c r="Z437" i="1"/>
  <c r="Y437" i="1"/>
  <c r="J437" i="1"/>
  <c r="C437" i="1"/>
  <c r="D437" i="1" s="1"/>
  <c r="AM436" i="1"/>
  <c r="AH436" i="1"/>
  <c r="Z436" i="1"/>
  <c r="Y436" i="1"/>
  <c r="J436" i="1"/>
  <c r="C436" i="1"/>
  <c r="D436" i="1" s="1"/>
  <c r="AM435" i="1"/>
  <c r="AH435" i="1"/>
  <c r="Z435" i="1"/>
  <c r="Y435" i="1"/>
  <c r="J435" i="1"/>
  <c r="AC435" i="1" s="1"/>
  <c r="C435" i="1"/>
  <c r="D435" i="1" s="1"/>
  <c r="AM434" i="1"/>
  <c r="AH434" i="1"/>
  <c r="Z434" i="1"/>
  <c r="Y434" i="1"/>
  <c r="J434" i="1"/>
  <c r="C434" i="1"/>
  <c r="D434" i="1" s="1"/>
  <c r="AM433" i="1"/>
  <c r="AH433" i="1"/>
  <c r="Z433" i="1"/>
  <c r="Y433" i="1"/>
  <c r="J433" i="1"/>
  <c r="C433" i="1"/>
  <c r="D433" i="1" s="1"/>
  <c r="AM432" i="1"/>
  <c r="AH432" i="1"/>
  <c r="Z432" i="1"/>
  <c r="Y432" i="1"/>
  <c r="J432" i="1"/>
  <c r="C432" i="1"/>
  <c r="D432" i="1" s="1"/>
  <c r="AM431" i="1"/>
  <c r="AH431" i="1"/>
  <c r="Z431" i="1"/>
  <c r="Y431" i="1"/>
  <c r="J431" i="1"/>
  <c r="C431" i="1"/>
  <c r="D431" i="1" s="1"/>
  <c r="AM430" i="1"/>
  <c r="AH430" i="1"/>
  <c r="Z430" i="1"/>
  <c r="Y430" i="1"/>
  <c r="J430" i="1"/>
  <c r="C430" i="1"/>
  <c r="D430" i="1" s="1"/>
  <c r="AM429" i="1"/>
  <c r="AH429" i="1"/>
  <c r="Z429" i="1"/>
  <c r="Y429" i="1"/>
  <c r="J429" i="1"/>
  <c r="AC429" i="1" s="1"/>
  <c r="C429" i="1"/>
  <c r="D429" i="1" s="1"/>
  <c r="AM428" i="1"/>
  <c r="AH428" i="1"/>
  <c r="Z428" i="1"/>
  <c r="Y428" i="1"/>
  <c r="J428" i="1"/>
  <c r="C428" i="1"/>
  <c r="D428" i="1" s="1"/>
  <c r="AM427" i="1"/>
  <c r="AH427" i="1"/>
  <c r="Z427" i="1"/>
  <c r="Y427" i="1"/>
  <c r="J427" i="1"/>
  <c r="C427" i="1"/>
  <c r="D427" i="1" s="1"/>
  <c r="AM426" i="1"/>
  <c r="AH426" i="1"/>
  <c r="Z426" i="1"/>
  <c r="Y426" i="1"/>
  <c r="J426" i="1"/>
  <c r="C426" i="1"/>
  <c r="D426" i="1" s="1"/>
  <c r="AM425" i="1"/>
  <c r="AH425" i="1"/>
  <c r="Z425" i="1"/>
  <c r="Y425" i="1"/>
  <c r="J425" i="1"/>
  <c r="C425" i="1"/>
  <c r="D425" i="1" s="1"/>
  <c r="AM424" i="1"/>
  <c r="AH424" i="1"/>
  <c r="Z424" i="1"/>
  <c r="Y424" i="1"/>
  <c r="J424" i="1"/>
  <c r="C424" i="1"/>
  <c r="D424" i="1" s="1"/>
  <c r="AM423" i="1"/>
  <c r="AH423" i="1"/>
  <c r="Z423" i="1"/>
  <c r="Y423" i="1"/>
  <c r="J423" i="1"/>
  <c r="AC423" i="1" s="1"/>
  <c r="C423" i="1"/>
  <c r="D423" i="1" s="1"/>
  <c r="AM422" i="1"/>
  <c r="AH422" i="1"/>
  <c r="Z422" i="1"/>
  <c r="Y422" i="1"/>
  <c r="J422" i="1"/>
  <c r="C422" i="1"/>
  <c r="D422" i="1" s="1"/>
  <c r="AM421" i="1"/>
  <c r="AH421" i="1"/>
  <c r="Z421" i="1"/>
  <c r="Y421" i="1"/>
  <c r="J421" i="1"/>
  <c r="C421" i="1"/>
  <c r="D421" i="1" s="1"/>
  <c r="AM420" i="1"/>
  <c r="AH420" i="1"/>
  <c r="Z420" i="1"/>
  <c r="Y420" i="1"/>
  <c r="J420" i="1"/>
  <c r="C420" i="1"/>
  <c r="D420" i="1" s="1"/>
  <c r="AM419" i="1"/>
  <c r="AH419" i="1"/>
  <c r="Z419" i="1"/>
  <c r="Y419" i="1"/>
  <c r="J419" i="1"/>
  <c r="C419" i="1"/>
  <c r="D419" i="1" s="1"/>
  <c r="AM418" i="1"/>
  <c r="AH418" i="1"/>
  <c r="Z418" i="1"/>
  <c r="Y418" i="1"/>
  <c r="J418" i="1"/>
  <c r="C418" i="1"/>
  <c r="D418" i="1" s="1"/>
  <c r="AM417" i="1"/>
  <c r="AH417" i="1"/>
  <c r="Z417" i="1"/>
  <c r="Y417" i="1"/>
  <c r="J417" i="1"/>
  <c r="AC417" i="1" s="1"/>
  <c r="C417" i="1"/>
  <c r="D417" i="1" s="1"/>
  <c r="AM416" i="1"/>
  <c r="AH416" i="1"/>
  <c r="Z416" i="1"/>
  <c r="Y416" i="1"/>
  <c r="J416" i="1"/>
  <c r="C416" i="1"/>
  <c r="D416" i="1" s="1"/>
  <c r="AM415" i="1"/>
  <c r="AH415" i="1"/>
  <c r="Z415" i="1"/>
  <c r="Y415" i="1"/>
  <c r="R415" i="1"/>
  <c r="P415" i="1"/>
  <c r="L415" i="1"/>
  <c r="J415" i="1"/>
  <c r="C415" i="1"/>
  <c r="D415" i="1" s="1"/>
  <c r="AM414" i="1"/>
  <c r="AH414" i="1"/>
  <c r="Z414" i="1"/>
  <c r="Y414" i="1"/>
  <c r="J414" i="1"/>
  <c r="C414" i="1"/>
  <c r="D414" i="1" s="1"/>
  <c r="AM413" i="1"/>
  <c r="AH413" i="1"/>
  <c r="Z413" i="1"/>
  <c r="Y413" i="1"/>
  <c r="J413" i="1"/>
  <c r="C413" i="1"/>
  <c r="D413" i="1" s="1"/>
  <c r="AM412" i="1"/>
  <c r="AH412" i="1"/>
  <c r="Z412" i="1"/>
  <c r="Y412" i="1"/>
  <c r="J412" i="1"/>
  <c r="AC412" i="1" s="1"/>
  <c r="C412" i="1"/>
  <c r="D412" i="1" s="1"/>
  <c r="AM411" i="1"/>
  <c r="AH411" i="1"/>
  <c r="Z411" i="1"/>
  <c r="Y411" i="1"/>
  <c r="J411" i="1"/>
  <c r="AC411" i="1" s="1"/>
  <c r="C411" i="1"/>
  <c r="D411" i="1" s="1"/>
  <c r="AM410" i="1"/>
  <c r="AH410" i="1"/>
  <c r="Z410" i="1"/>
  <c r="Y410" i="1"/>
  <c r="J410" i="1"/>
  <c r="AC410" i="1" s="1"/>
  <c r="C410" i="1"/>
  <c r="D410" i="1" s="1"/>
  <c r="AM409" i="1"/>
  <c r="AH409" i="1"/>
  <c r="Z409" i="1"/>
  <c r="Y409" i="1"/>
  <c r="J409" i="1"/>
  <c r="C409" i="1"/>
  <c r="D409" i="1" s="1"/>
  <c r="AM408" i="1"/>
  <c r="AH408" i="1"/>
  <c r="Z408" i="1"/>
  <c r="Y408" i="1"/>
  <c r="J408" i="1"/>
  <c r="C408" i="1"/>
  <c r="D408" i="1" s="1"/>
  <c r="AM407" i="1"/>
  <c r="AH407" i="1"/>
  <c r="Z407" i="1"/>
  <c r="Y407" i="1"/>
  <c r="J407" i="1"/>
  <c r="C407" i="1"/>
  <c r="D407" i="1" s="1"/>
  <c r="AM406" i="1"/>
  <c r="AH406" i="1"/>
  <c r="Z406" i="1"/>
  <c r="Y406" i="1"/>
  <c r="J406" i="1"/>
  <c r="AC406" i="1" s="1"/>
  <c r="C406" i="1"/>
  <c r="D406" i="1" s="1"/>
  <c r="AM405" i="1"/>
  <c r="AH405" i="1"/>
  <c r="Z405" i="1"/>
  <c r="Y405" i="1"/>
  <c r="J405" i="1"/>
  <c r="AC405" i="1" s="1"/>
  <c r="C405" i="1"/>
  <c r="D405" i="1" s="1"/>
  <c r="AM404" i="1"/>
  <c r="AH404" i="1"/>
  <c r="Z404" i="1"/>
  <c r="Y404" i="1"/>
  <c r="J404" i="1"/>
  <c r="AD404" i="1" s="1"/>
  <c r="C404" i="1"/>
  <c r="D404" i="1" s="1"/>
  <c r="AM403" i="1"/>
  <c r="AH403" i="1"/>
  <c r="Z403" i="1"/>
  <c r="Y403" i="1"/>
  <c r="J403" i="1"/>
  <c r="C403" i="1"/>
  <c r="D403" i="1" s="1"/>
  <c r="AM402" i="1"/>
  <c r="AH402" i="1"/>
  <c r="Z402" i="1"/>
  <c r="Y402" i="1"/>
  <c r="J402" i="1"/>
  <c r="C402" i="1"/>
  <c r="D402" i="1" s="1"/>
  <c r="AM401" i="1"/>
  <c r="AH401" i="1"/>
  <c r="Z401" i="1"/>
  <c r="Y401" i="1"/>
  <c r="J401" i="1"/>
  <c r="C401" i="1"/>
  <c r="D401" i="1" s="1"/>
  <c r="AM400" i="1"/>
  <c r="AH400" i="1"/>
  <c r="Z400" i="1"/>
  <c r="Y400" i="1"/>
  <c r="J400" i="1"/>
  <c r="AD400" i="1" s="1"/>
  <c r="C400" i="1"/>
  <c r="D400" i="1" s="1"/>
  <c r="AM399" i="1"/>
  <c r="AH399" i="1"/>
  <c r="Z399" i="1"/>
  <c r="Y399" i="1"/>
  <c r="J399" i="1"/>
  <c r="AD399" i="1" s="1"/>
  <c r="C399" i="1"/>
  <c r="D399" i="1" s="1"/>
  <c r="AM398" i="1"/>
  <c r="AH398" i="1"/>
  <c r="Z398" i="1"/>
  <c r="Y398" i="1"/>
  <c r="J398" i="1"/>
  <c r="AD398" i="1" s="1"/>
  <c r="C398" i="1"/>
  <c r="D398" i="1" s="1"/>
  <c r="AM397" i="1"/>
  <c r="AH397" i="1"/>
  <c r="Z397" i="1"/>
  <c r="Y397" i="1"/>
  <c r="J397" i="1"/>
  <c r="AC397" i="1" s="1"/>
  <c r="C397" i="1"/>
  <c r="D397" i="1" s="1"/>
  <c r="AM396" i="1"/>
  <c r="AH396" i="1"/>
  <c r="Z396" i="1"/>
  <c r="Y396" i="1"/>
  <c r="J396" i="1"/>
  <c r="C396" i="1"/>
  <c r="D396" i="1" s="1"/>
  <c r="AM395" i="1"/>
  <c r="AH395" i="1"/>
  <c r="Z395" i="1"/>
  <c r="Y395" i="1"/>
  <c r="J395" i="1"/>
  <c r="C395" i="1"/>
  <c r="D395" i="1" s="1"/>
  <c r="AM394" i="1"/>
  <c r="AH394" i="1"/>
  <c r="Z394" i="1"/>
  <c r="Y394" i="1"/>
  <c r="J394" i="1"/>
  <c r="C394" i="1"/>
  <c r="D394" i="1" s="1"/>
  <c r="AM393" i="1"/>
  <c r="AH393" i="1"/>
  <c r="Z393" i="1"/>
  <c r="Y393" i="1"/>
  <c r="J393" i="1"/>
  <c r="AC393" i="1" s="1"/>
  <c r="C393" i="1"/>
  <c r="D393" i="1" s="1"/>
  <c r="AM392" i="1"/>
  <c r="AH392" i="1"/>
  <c r="Z392" i="1"/>
  <c r="Y392" i="1"/>
  <c r="J392" i="1"/>
  <c r="C392" i="1"/>
  <c r="D392" i="1" s="1"/>
  <c r="AM391" i="1"/>
  <c r="AH391" i="1"/>
  <c r="Z391" i="1"/>
  <c r="Y391" i="1"/>
  <c r="J391" i="1"/>
  <c r="AC391" i="1" s="1"/>
  <c r="C391" i="1"/>
  <c r="D391" i="1" s="1"/>
  <c r="AM390" i="1"/>
  <c r="AH390" i="1"/>
  <c r="Z390" i="1"/>
  <c r="Y390" i="1"/>
  <c r="J390" i="1"/>
  <c r="AC390" i="1" s="1"/>
  <c r="C390" i="1"/>
  <c r="D390" i="1" s="1"/>
  <c r="AM389" i="1"/>
  <c r="AH389" i="1"/>
  <c r="Z389" i="1"/>
  <c r="Y389" i="1"/>
  <c r="J389" i="1"/>
  <c r="C389" i="1"/>
  <c r="D389" i="1" s="1"/>
  <c r="AM388" i="1"/>
  <c r="AH388" i="1"/>
  <c r="Z388" i="1"/>
  <c r="Y388" i="1"/>
  <c r="J388" i="1"/>
  <c r="C388" i="1"/>
  <c r="D388" i="1" s="1"/>
  <c r="AM387" i="1"/>
  <c r="AH387" i="1"/>
  <c r="Z387" i="1"/>
  <c r="Y387" i="1"/>
  <c r="J387" i="1"/>
  <c r="C387" i="1"/>
  <c r="D387" i="1" s="1"/>
  <c r="AM386" i="1"/>
  <c r="AH386" i="1"/>
  <c r="Z386" i="1"/>
  <c r="Y386" i="1"/>
  <c r="J386" i="1"/>
  <c r="C386" i="1"/>
  <c r="D386" i="1" s="1"/>
  <c r="AM385" i="1"/>
  <c r="AH385" i="1"/>
  <c r="Z385" i="1"/>
  <c r="Y385" i="1"/>
  <c r="J385" i="1"/>
  <c r="AC385" i="1" s="1"/>
  <c r="C385" i="1"/>
  <c r="D385" i="1" s="1"/>
  <c r="AM384" i="1"/>
  <c r="AH384" i="1"/>
  <c r="Z384" i="1"/>
  <c r="Y384" i="1"/>
  <c r="J384" i="1"/>
  <c r="AC384" i="1" s="1"/>
  <c r="C384" i="1"/>
  <c r="D384" i="1" s="1"/>
  <c r="AM383" i="1"/>
  <c r="AH383" i="1"/>
  <c r="Z383" i="1"/>
  <c r="Y383" i="1"/>
  <c r="J383" i="1"/>
  <c r="AC383" i="1" s="1"/>
  <c r="C383" i="1"/>
  <c r="D383" i="1" s="1"/>
  <c r="AM382" i="1"/>
  <c r="AH382" i="1"/>
  <c r="Z382" i="1"/>
  <c r="Y382" i="1"/>
  <c r="J382" i="1"/>
  <c r="C382" i="1"/>
  <c r="D382" i="1" s="1"/>
  <c r="AM381" i="1"/>
  <c r="AH381" i="1"/>
  <c r="Z381" i="1"/>
  <c r="Y381" i="1"/>
  <c r="J381" i="1"/>
  <c r="C381" i="1"/>
  <c r="D381" i="1" s="1"/>
  <c r="AM380" i="1"/>
  <c r="AH380" i="1"/>
  <c r="Z380" i="1"/>
  <c r="Y380" i="1"/>
  <c r="J380" i="1"/>
  <c r="C380" i="1"/>
  <c r="D380" i="1" s="1"/>
  <c r="AM379" i="1"/>
  <c r="AH379" i="1"/>
  <c r="Z379" i="1"/>
  <c r="Y379" i="1"/>
  <c r="J379" i="1"/>
  <c r="C379" i="1"/>
  <c r="D379" i="1" s="1"/>
  <c r="AM378" i="1"/>
  <c r="AH378" i="1"/>
  <c r="Z378" i="1"/>
  <c r="Y378" i="1"/>
  <c r="J378" i="1"/>
  <c r="AC378" i="1" s="1"/>
  <c r="C378" i="1"/>
  <c r="D378" i="1" s="1"/>
  <c r="AM377" i="1"/>
  <c r="AH377" i="1"/>
  <c r="Z377" i="1"/>
  <c r="Y377" i="1"/>
  <c r="J377" i="1"/>
  <c r="AC377" i="1" s="1"/>
  <c r="C377" i="1"/>
  <c r="D377" i="1" s="1"/>
  <c r="AM376" i="1"/>
  <c r="AH376" i="1"/>
  <c r="Z376" i="1"/>
  <c r="Y376" i="1"/>
  <c r="J376" i="1"/>
  <c r="AC376" i="1" s="1"/>
  <c r="C376" i="1"/>
  <c r="D376" i="1" s="1"/>
  <c r="AM375" i="1"/>
  <c r="AH375" i="1"/>
  <c r="Z375" i="1"/>
  <c r="Y375" i="1"/>
  <c r="J375" i="1"/>
  <c r="C375" i="1"/>
  <c r="D375" i="1" s="1"/>
  <c r="AM374" i="1"/>
  <c r="AH374" i="1"/>
  <c r="Z374" i="1"/>
  <c r="Y374" i="1"/>
  <c r="R374" i="1"/>
  <c r="P374" i="1"/>
  <c r="Q374" i="1" s="1"/>
  <c r="N374" i="1" s="1"/>
  <c r="L374" i="1"/>
  <c r="J374" i="1"/>
  <c r="C374" i="1"/>
  <c r="D374" i="1" s="1"/>
  <c r="AM373" i="1"/>
  <c r="AH373" i="1"/>
  <c r="Z373" i="1"/>
  <c r="Y373" i="1"/>
  <c r="J373" i="1"/>
  <c r="C373" i="1"/>
  <c r="D373" i="1" s="1"/>
  <c r="AM372" i="1"/>
  <c r="AH372" i="1"/>
  <c r="Z372" i="1"/>
  <c r="Y372" i="1"/>
  <c r="J372" i="1"/>
  <c r="C372" i="1"/>
  <c r="D372" i="1" s="1"/>
  <c r="AM371" i="1"/>
  <c r="AH371" i="1"/>
  <c r="Z371" i="1"/>
  <c r="Y371" i="1"/>
  <c r="J371" i="1"/>
  <c r="C371" i="1"/>
  <c r="D371" i="1" s="1"/>
  <c r="AM370" i="1"/>
  <c r="AH370" i="1"/>
  <c r="Z370" i="1"/>
  <c r="Y370" i="1"/>
  <c r="J370" i="1"/>
  <c r="AC370" i="1" s="1"/>
  <c r="C370" i="1"/>
  <c r="D370" i="1" s="1"/>
  <c r="AM369" i="1"/>
  <c r="AH369" i="1"/>
  <c r="Z369" i="1"/>
  <c r="Y369" i="1"/>
  <c r="J369" i="1"/>
  <c r="C369" i="1"/>
  <c r="D369" i="1" s="1"/>
  <c r="AM368" i="1"/>
  <c r="AH368" i="1"/>
  <c r="Z368" i="1"/>
  <c r="Y368" i="1"/>
  <c r="J368" i="1"/>
  <c r="C368" i="1"/>
  <c r="D368" i="1" s="1"/>
  <c r="AM367" i="1"/>
  <c r="AH367" i="1"/>
  <c r="Z367" i="1"/>
  <c r="Y367" i="1"/>
  <c r="J367" i="1"/>
  <c r="C367" i="1"/>
  <c r="D367" i="1" s="1"/>
  <c r="AM366" i="1"/>
  <c r="AH366" i="1"/>
  <c r="Z366" i="1"/>
  <c r="Y366" i="1"/>
  <c r="J366" i="1"/>
  <c r="C366" i="1"/>
  <c r="D366" i="1" s="1"/>
  <c r="AM365" i="1"/>
  <c r="AH365" i="1"/>
  <c r="Z365" i="1"/>
  <c r="Y365" i="1"/>
  <c r="J365" i="1"/>
  <c r="C365" i="1"/>
  <c r="D365" i="1" s="1"/>
  <c r="AM364" i="1"/>
  <c r="AH364" i="1"/>
  <c r="Z364" i="1"/>
  <c r="Y364" i="1"/>
  <c r="J364" i="1"/>
  <c r="AC364" i="1" s="1"/>
  <c r="C364" i="1"/>
  <c r="D364" i="1" s="1"/>
  <c r="AM363" i="1"/>
  <c r="AH363" i="1"/>
  <c r="Z363" i="1"/>
  <c r="Y363" i="1"/>
  <c r="J363" i="1"/>
  <c r="C363" i="1"/>
  <c r="D363" i="1" s="1"/>
  <c r="AM362" i="1"/>
  <c r="AH362" i="1"/>
  <c r="Z362" i="1"/>
  <c r="Y362" i="1"/>
  <c r="J362" i="1"/>
  <c r="AD362" i="1" s="1"/>
  <c r="C362" i="1"/>
  <c r="D362" i="1" s="1"/>
  <c r="AM361" i="1"/>
  <c r="AH361" i="1"/>
  <c r="Z361" i="1"/>
  <c r="Y361" i="1"/>
  <c r="J361" i="1"/>
  <c r="C361" i="1"/>
  <c r="D361" i="1" s="1"/>
  <c r="AM360" i="1"/>
  <c r="AH360" i="1"/>
  <c r="Z360" i="1"/>
  <c r="Y360" i="1"/>
  <c r="J360" i="1"/>
  <c r="C360" i="1"/>
  <c r="D360" i="1" s="1"/>
  <c r="AM359" i="1"/>
  <c r="AH359" i="1"/>
  <c r="Z359" i="1"/>
  <c r="Y359" i="1"/>
  <c r="J359" i="1"/>
  <c r="C359" i="1"/>
  <c r="D359" i="1" s="1"/>
  <c r="AM358" i="1"/>
  <c r="AH358" i="1"/>
  <c r="Z358" i="1"/>
  <c r="Y358" i="1"/>
  <c r="J358" i="1"/>
  <c r="C358" i="1"/>
  <c r="D358" i="1" s="1"/>
  <c r="AM357" i="1"/>
  <c r="AH357" i="1"/>
  <c r="Z357" i="1"/>
  <c r="Y357" i="1"/>
  <c r="J357" i="1"/>
  <c r="C357" i="1"/>
  <c r="D357" i="1" s="1"/>
  <c r="AM356" i="1"/>
  <c r="AH356" i="1"/>
  <c r="Z356" i="1"/>
  <c r="Y356" i="1"/>
  <c r="J356" i="1"/>
  <c r="C356" i="1"/>
  <c r="D356" i="1" s="1"/>
  <c r="AM355" i="1"/>
  <c r="AH355" i="1"/>
  <c r="Z355" i="1"/>
  <c r="Y355" i="1"/>
  <c r="J355" i="1"/>
  <c r="C355" i="1"/>
  <c r="D355" i="1" s="1"/>
  <c r="AM354" i="1"/>
  <c r="AH354" i="1"/>
  <c r="Z354" i="1"/>
  <c r="Y354" i="1"/>
  <c r="J354" i="1"/>
  <c r="AC354" i="1" s="1"/>
  <c r="C354" i="1"/>
  <c r="D354" i="1" s="1"/>
  <c r="AM353" i="1"/>
  <c r="AH353" i="1"/>
  <c r="Z353" i="1"/>
  <c r="Y353" i="1"/>
  <c r="J353" i="1"/>
  <c r="C353" i="1"/>
  <c r="D353" i="1" s="1"/>
  <c r="AM352" i="1"/>
  <c r="AH352" i="1"/>
  <c r="Z352" i="1"/>
  <c r="Y352" i="1"/>
  <c r="J352" i="1"/>
  <c r="C352" i="1"/>
  <c r="D352" i="1" s="1"/>
  <c r="AM351" i="1"/>
  <c r="AH351" i="1"/>
  <c r="Z351" i="1"/>
  <c r="Y351" i="1"/>
  <c r="J351" i="1"/>
  <c r="C351" i="1"/>
  <c r="D351" i="1" s="1"/>
  <c r="AM350" i="1"/>
  <c r="AH350" i="1"/>
  <c r="Z350" i="1"/>
  <c r="Y350" i="1"/>
  <c r="J350" i="1"/>
  <c r="C350" i="1"/>
  <c r="D350" i="1" s="1"/>
  <c r="AM349" i="1"/>
  <c r="AH349" i="1"/>
  <c r="Z349" i="1"/>
  <c r="Y349" i="1"/>
  <c r="J349" i="1"/>
  <c r="C349" i="1"/>
  <c r="D349" i="1" s="1"/>
  <c r="AM348" i="1"/>
  <c r="AH348" i="1"/>
  <c r="Z348" i="1"/>
  <c r="Y348" i="1"/>
  <c r="J348" i="1"/>
  <c r="AC348" i="1" s="1"/>
  <c r="C348" i="1"/>
  <c r="D348" i="1" s="1"/>
  <c r="AM347" i="1"/>
  <c r="AH347" i="1"/>
  <c r="Z347" i="1"/>
  <c r="Y347" i="1"/>
  <c r="J347" i="1"/>
  <c r="C347" i="1"/>
  <c r="D347" i="1" s="1"/>
  <c r="AM346" i="1"/>
  <c r="AH346" i="1"/>
  <c r="Z346" i="1"/>
  <c r="Y346" i="1"/>
  <c r="J346" i="1"/>
  <c r="C346" i="1"/>
  <c r="D346" i="1" s="1"/>
  <c r="AM345" i="1"/>
  <c r="AH345" i="1"/>
  <c r="Z345" i="1"/>
  <c r="Y345" i="1"/>
  <c r="J345" i="1"/>
  <c r="C345" i="1"/>
  <c r="D345" i="1" s="1"/>
  <c r="AM344" i="1"/>
  <c r="AH344" i="1"/>
  <c r="Z344" i="1"/>
  <c r="Y344" i="1"/>
  <c r="J344" i="1"/>
  <c r="C344" i="1"/>
  <c r="D344" i="1" s="1"/>
  <c r="AM343" i="1"/>
  <c r="AH343" i="1"/>
  <c r="Z343" i="1"/>
  <c r="Y343" i="1"/>
  <c r="J343" i="1"/>
  <c r="C343" i="1"/>
  <c r="D343" i="1" s="1"/>
  <c r="AM342" i="1"/>
  <c r="AH342" i="1"/>
  <c r="Z342" i="1"/>
  <c r="Y342" i="1"/>
  <c r="J342" i="1"/>
  <c r="AC342" i="1" s="1"/>
  <c r="C342" i="1"/>
  <c r="D342" i="1" s="1"/>
  <c r="AM341" i="1"/>
  <c r="AH341" i="1"/>
  <c r="Z341" i="1"/>
  <c r="Y341" i="1"/>
  <c r="J341" i="1"/>
  <c r="C341" i="1"/>
  <c r="D341" i="1" s="1"/>
  <c r="AM340" i="1"/>
  <c r="AH340" i="1"/>
  <c r="Z340" i="1"/>
  <c r="Y340" i="1"/>
  <c r="J340" i="1"/>
  <c r="AC340" i="1" s="1"/>
  <c r="C340" i="1"/>
  <c r="D340" i="1" s="1"/>
  <c r="AM339" i="1"/>
  <c r="AH339" i="1"/>
  <c r="Z339" i="1"/>
  <c r="Y339" i="1"/>
  <c r="J339" i="1"/>
  <c r="C339" i="1"/>
  <c r="D339" i="1" s="1"/>
  <c r="AM338" i="1"/>
  <c r="AH338" i="1"/>
  <c r="Z338" i="1"/>
  <c r="Y338" i="1"/>
  <c r="J338" i="1"/>
  <c r="C338" i="1"/>
  <c r="D338" i="1" s="1"/>
  <c r="AM337" i="1"/>
  <c r="AH337" i="1"/>
  <c r="Z337" i="1"/>
  <c r="Y337" i="1"/>
  <c r="J337" i="1"/>
  <c r="C337" i="1"/>
  <c r="D337" i="1" s="1"/>
  <c r="AM336" i="1"/>
  <c r="AH336" i="1"/>
  <c r="Z336" i="1"/>
  <c r="Y336" i="1"/>
  <c r="J336" i="1"/>
  <c r="C336" i="1"/>
  <c r="D336" i="1" s="1"/>
  <c r="AM335" i="1"/>
  <c r="AH335" i="1"/>
  <c r="Z335" i="1"/>
  <c r="Y335" i="1"/>
  <c r="J335" i="1"/>
  <c r="C335" i="1"/>
  <c r="D335" i="1" s="1"/>
  <c r="AM334" i="1"/>
  <c r="AH334" i="1"/>
  <c r="Z334" i="1"/>
  <c r="Y334" i="1"/>
  <c r="J334" i="1"/>
  <c r="AC334" i="1" s="1"/>
  <c r="C334" i="1"/>
  <c r="D334" i="1" s="1"/>
  <c r="AM333" i="1"/>
  <c r="AH333" i="1"/>
  <c r="Z333" i="1"/>
  <c r="Y333" i="1"/>
  <c r="R333" i="1"/>
  <c r="S333" i="1" s="1"/>
  <c r="P333" i="1"/>
  <c r="M333" i="1" s="1"/>
  <c r="L333" i="1"/>
  <c r="J333" i="1"/>
  <c r="AC333" i="1" s="1"/>
  <c r="C333" i="1"/>
  <c r="D333" i="1" s="1"/>
  <c r="AM332" i="1"/>
  <c r="AH332" i="1"/>
  <c r="Z332" i="1"/>
  <c r="Y332" i="1"/>
  <c r="J332" i="1"/>
  <c r="C332" i="1"/>
  <c r="D332" i="1" s="1"/>
  <c r="AM331" i="1"/>
  <c r="AH331" i="1"/>
  <c r="Z331" i="1"/>
  <c r="Y331" i="1"/>
  <c r="J331" i="1"/>
  <c r="C331" i="1"/>
  <c r="D331" i="1" s="1"/>
  <c r="AM330" i="1"/>
  <c r="AH330" i="1"/>
  <c r="Z330" i="1"/>
  <c r="Y330" i="1"/>
  <c r="J330" i="1"/>
  <c r="C330" i="1"/>
  <c r="D330" i="1" s="1"/>
  <c r="AM329" i="1"/>
  <c r="AH329" i="1"/>
  <c r="Z329" i="1"/>
  <c r="Y329" i="1"/>
  <c r="J329" i="1"/>
  <c r="C329" i="1"/>
  <c r="D329" i="1" s="1"/>
  <c r="AM328" i="1"/>
  <c r="AH328" i="1"/>
  <c r="Z328" i="1"/>
  <c r="Y328" i="1"/>
  <c r="J328" i="1"/>
  <c r="AC328" i="1" s="1"/>
  <c r="C328" i="1"/>
  <c r="D328" i="1" s="1"/>
  <c r="AM327" i="1"/>
  <c r="AH327" i="1"/>
  <c r="Z327" i="1"/>
  <c r="Y327" i="1"/>
  <c r="J327" i="1"/>
  <c r="AC327" i="1" s="1"/>
  <c r="C327" i="1"/>
  <c r="D327" i="1" s="1"/>
  <c r="AM326" i="1"/>
  <c r="AH326" i="1"/>
  <c r="Z326" i="1"/>
  <c r="Y326" i="1"/>
  <c r="J326" i="1"/>
  <c r="C326" i="1"/>
  <c r="D326" i="1" s="1"/>
  <c r="AM325" i="1"/>
  <c r="AH325" i="1"/>
  <c r="Z325" i="1"/>
  <c r="Y325" i="1"/>
  <c r="J325" i="1"/>
  <c r="AD325" i="1" s="1"/>
  <c r="C325" i="1"/>
  <c r="D325" i="1" s="1"/>
  <c r="AM324" i="1"/>
  <c r="AH324" i="1"/>
  <c r="Z324" i="1"/>
  <c r="Y324" i="1"/>
  <c r="J324" i="1"/>
  <c r="C324" i="1"/>
  <c r="D324" i="1" s="1"/>
  <c r="AM323" i="1"/>
  <c r="AH323" i="1"/>
  <c r="Z323" i="1"/>
  <c r="Y323" i="1"/>
  <c r="J323" i="1"/>
  <c r="C323" i="1"/>
  <c r="D323" i="1" s="1"/>
  <c r="AM322" i="1"/>
  <c r="AH322" i="1"/>
  <c r="Z322" i="1"/>
  <c r="Y322" i="1"/>
  <c r="J322" i="1"/>
  <c r="C322" i="1"/>
  <c r="D322" i="1" s="1"/>
  <c r="AM321" i="1"/>
  <c r="AH321" i="1"/>
  <c r="Z321" i="1"/>
  <c r="Y321" i="1"/>
  <c r="J321" i="1"/>
  <c r="C321" i="1"/>
  <c r="D321" i="1" s="1"/>
  <c r="AM320" i="1"/>
  <c r="AH320" i="1"/>
  <c r="Z320" i="1"/>
  <c r="Y320" i="1"/>
  <c r="J320" i="1"/>
  <c r="C320" i="1"/>
  <c r="D320" i="1" s="1"/>
  <c r="AM319" i="1"/>
  <c r="AH319" i="1"/>
  <c r="Z319" i="1"/>
  <c r="Y319" i="1"/>
  <c r="J319" i="1"/>
  <c r="C319" i="1"/>
  <c r="D319" i="1" s="1"/>
  <c r="AM318" i="1"/>
  <c r="AH318" i="1"/>
  <c r="Z318" i="1"/>
  <c r="Y318" i="1"/>
  <c r="J318" i="1"/>
  <c r="AD318" i="1" s="1"/>
  <c r="C318" i="1"/>
  <c r="D318" i="1" s="1"/>
  <c r="AM317" i="1"/>
  <c r="AH317" i="1"/>
  <c r="Z317" i="1"/>
  <c r="Y317" i="1"/>
  <c r="J317" i="1"/>
  <c r="AD317" i="1" s="1"/>
  <c r="C317" i="1"/>
  <c r="D317" i="1" s="1"/>
  <c r="AM316" i="1"/>
  <c r="AH316" i="1"/>
  <c r="Z316" i="1"/>
  <c r="Y316" i="1"/>
  <c r="J316" i="1"/>
  <c r="AC316" i="1" s="1"/>
  <c r="C316" i="1"/>
  <c r="D316" i="1" s="1"/>
  <c r="AM315" i="1"/>
  <c r="AH315" i="1"/>
  <c r="Z315" i="1"/>
  <c r="Y315" i="1"/>
  <c r="J315" i="1"/>
  <c r="C315" i="1"/>
  <c r="D315" i="1" s="1"/>
  <c r="AM314" i="1"/>
  <c r="AH314" i="1"/>
  <c r="Z314" i="1"/>
  <c r="Y314" i="1"/>
  <c r="J314" i="1"/>
  <c r="C314" i="1"/>
  <c r="D314" i="1" s="1"/>
  <c r="AM313" i="1"/>
  <c r="AH313" i="1"/>
  <c r="Z313" i="1"/>
  <c r="Y313" i="1"/>
  <c r="J313" i="1"/>
  <c r="C313" i="1"/>
  <c r="D313" i="1" s="1"/>
  <c r="AM312" i="1"/>
  <c r="AH312" i="1"/>
  <c r="Z312" i="1"/>
  <c r="Y312" i="1"/>
  <c r="J312" i="1"/>
  <c r="C312" i="1"/>
  <c r="D312" i="1" s="1"/>
  <c r="AM311" i="1"/>
  <c r="AH311" i="1"/>
  <c r="Z311" i="1"/>
  <c r="Y311" i="1"/>
  <c r="J311" i="1"/>
  <c r="C311" i="1"/>
  <c r="D311" i="1" s="1"/>
  <c r="AM310" i="1"/>
  <c r="AH310" i="1"/>
  <c r="Z310" i="1"/>
  <c r="Y310" i="1"/>
  <c r="J310" i="1"/>
  <c r="C310" i="1"/>
  <c r="D310" i="1" s="1"/>
  <c r="AM309" i="1"/>
  <c r="AH309" i="1"/>
  <c r="Z309" i="1"/>
  <c r="Y309" i="1"/>
  <c r="J309" i="1"/>
  <c r="C309" i="1"/>
  <c r="D309" i="1" s="1"/>
  <c r="AM308" i="1"/>
  <c r="AH308" i="1"/>
  <c r="Z308" i="1"/>
  <c r="Y308" i="1"/>
  <c r="J308" i="1"/>
  <c r="C308" i="1"/>
  <c r="D308" i="1" s="1"/>
  <c r="AM307" i="1"/>
  <c r="AH307" i="1"/>
  <c r="Z307" i="1"/>
  <c r="Y307" i="1"/>
  <c r="J307" i="1"/>
  <c r="C307" i="1"/>
  <c r="D307" i="1" s="1"/>
  <c r="AM306" i="1"/>
  <c r="AH306" i="1"/>
  <c r="Z306" i="1"/>
  <c r="Y306" i="1"/>
  <c r="J306" i="1"/>
  <c r="AD306" i="1" s="1"/>
  <c r="C306" i="1"/>
  <c r="D306" i="1" s="1"/>
  <c r="AM305" i="1"/>
  <c r="AH305" i="1"/>
  <c r="Z305" i="1"/>
  <c r="Y305" i="1"/>
  <c r="J305" i="1"/>
  <c r="AD305" i="1" s="1"/>
  <c r="C305" i="1"/>
  <c r="D305" i="1" s="1"/>
  <c r="AM304" i="1"/>
  <c r="AH304" i="1"/>
  <c r="Z304" i="1"/>
  <c r="Y304" i="1"/>
  <c r="J304" i="1"/>
  <c r="AC304" i="1" s="1"/>
  <c r="C304" i="1"/>
  <c r="D304" i="1" s="1"/>
  <c r="AM303" i="1"/>
  <c r="AH303" i="1"/>
  <c r="Z303" i="1"/>
  <c r="Y303" i="1"/>
  <c r="J303" i="1"/>
  <c r="C303" i="1"/>
  <c r="D303" i="1" s="1"/>
  <c r="AM302" i="1"/>
  <c r="AH302" i="1"/>
  <c r="Z302" i="1"/>
  <c r="Y302" i="1"/>
  <c r="J302" i="1"/>
  <c r="C302" i="1"/>
  <c r="D302" i="1" s="1"/>
  <c r="AM301" i="1"/>
  <c r="AH301" i="1"/>
  <c r="Z301" i="1"/>
  <c r="Y301" i="1"/>
  <c r="J301" i="1"/>
  <c r="C301" i="1"/>
  <c r="D301" i="1" s="1"/>
  <c r="AM300" i="1"/>
  <c r="AH300" i="1"/>
  <c r="Z300" i="1"/>
  <c r="Y300" i="1"/>
  <c r="J300" i="1"/>
  <c r="C300" i="1"/>
  <c r="D300" i="1" s="1"/>
  <c r="AM299" i="1"/>
  <c r="AH299" i="1"/>
  <c r="Z299" i="1"/>
  <c r="Y299" i="1"/>
  <c r="J299" i="1"/>
  <c r="C299" i="1"/>
  <c r="D299" i="1" s="1"/>
  <c r="AM298" i="1"/>
  <c r="AH298" i="1"/>
  <c r="Z298" i="1"/>
  <c r="Y298" i="1"/>
  <c r="J298" i="1"/>
  <c r="C298" i="1"/>
  <c r="D298" i="1" s="1"/>
  <c r="AM297" i="1"/>
  <c r="AH297" i="1"/>
  <c r="Z297" i="1"/>
  <c r="Y297" i="1"/>
  <c r="J297" i="1"/>
  <c r="C297" i="1"/>
  <c r="D297" i="1" s="1"/>
  <c r="AM296" i="1"/>
  <c r="AH296" i="1"/>
  <c r="Z296" i="1"/>
  <c r="Y296" i="1"/>
  <c r="J296" i="1"/>
  <c r="C296" i="1"/>
  <c r="D296" i="1" s="1"/>
  <c r="AM295" i="1"/>
  <c r="AH295" i="1"/>
  <c r="Z295" i="1"/>
  <c r="Y295" i="1"/>
  <c r="J295" i="1"/>
  <c r="C295" i="1"/>
  <c r="D295" i="1" s="1"/>
  <c r="AM294" i="1"/>
  <c r="AH294" i="1"/>
  <c r="Z294" i="1"/>
  <c r="Y294" i="1"/>
  <c r="J294" i="1"/>
  <c r="AD294" i="1" s="1"/>
  <c r="C294" i="1"/>
  <c r="D294" i="1" s="1"/>
  <c r="AM293" i="1"/>
  <c r="AH293" i="1"/>
  <c r="Z293" i="1"/>
  <c r="Y293" i="1"/>
  <c r="R293" i="1"/>
  <c r="P293" i="1"/>
  <c r="M293" i="1" s="1"/>
  <c r="L293" i="1"/>
  <c r="J293" i="1"/>
  <c r="AD293" i="1" s="1"/>
  <c r="C293" i="1"/>
  <c r="D293" i="1" s="1"/>
  <c r="AM292" i="1"/>
  <c r="AH292" i="1"/>
  <c r="Z292" i="1"/>
  <c r="Y292" i="1"/>
  <c r="J292" i="1"/>
  <c r="C292" i="1"/>
  <c r="D292" i="1" s="1"/>
  <c r="AM291" i="1"/>
  <c r="AH291" i="1"/>
  <c r="Z291" i="1"/>
  <c r="Y291" i="1"/>
  <c r="J291" i="1"/>
  <c r="C291" i="1"/>
  <c r="D291" i="1" s="1"/>
  <c r="AM290" i="1"/>
  <c r="AH290" i="1"/>
  <c r="Z290" i="1"/>
  <c r="Y290" i="1"/>
  <c r="J290" i="1"/>
  <c r="C290" i="1"/>
  <c r="D290" i="1" s="1"/>
  <c r="AM289" i="1"/>
  <c r="AH289" i="1"/>
  <c r="Z289" i="1"/>
  <c r="Y289" i="1"/>
  <c r="J289" i="1"/>
  <c r="C289" i="1"/>
  <c r="D289" i="1" s="1"/>
  <c r="AM288" i="1"/>
  <c r="AH288" i="1"/>
  <c r="Z288" i="1"/>
  <c r="Y288" i="1"/>
  <c r="J288" i="1"/>
  <c r="C288" i="1"/>
  <c r="D288" i="1" s="1"/>
  <c r="AM287" i="1"/>
  <c r="AH287" i="1"/>
  <c r="Z287" i="1"/>
  <c r="Y287" i="1"/>
  <c r="J287" i="1"/>
  <c r="C287" i="1"/>
  <c r="D287" i="1" s="1"/>
  <c r="AM286" i="1"/>
  <c r="AH286" i="1"/>
  <c r="Z286" i="1"/>
  <c r="Y286" i="1"/>
  <c r="J286" i="1"/>
  <c r="C286" i="1"/>
  <c r="D286" i="1" s="1"/>
  <c r="AM285" i="1"/>
  <c r="AH285" i="1"/>
  <c r="Z285" i="1"/>
  <c r="Y285" i="1"/>
  <c r="J285" i="1"/>
  <c r="C285" i="1"/>
  <c r="D285" i="1" s="1"/>
  <c r="AM284" i="1"/>
  <c r="AH284" i="1"/>
  <c r="Z284" i="1"/>
  <c r="Y284" i="1"/>
  <c r="J284" i="1"/>
  <c r="C284" i="1"/>
  <c r="D284" i="1" s="1"/>
  <c r="AM283" i="1"/>
  <c r="AH283" i="1"/>
  <c r="Z283" i="1"/>
  <c r="Y283" i="1"/>
  <c r="J283" i="1"/>
  <c r="C283" i="1"/>
  <c r="D283" i="1" s="1"/>
  <c r="AM282" i="1"/>
  <c r="AH282" i="1"/>
  <c r="Z282" i="1"/>
  <c r="Y282" i="1"/>
  <c r="J282" i="1"/>
  <c r="C282" i="1"/>
  <c r="D282" i="1" s="1"/>
  <c r="AM281" i="1"/>
  <c r="AH281" i="1"/>
  <c r="Z281" i="1"/>
  <c r="Y281" i="1"/>
  <c r="J281" i="1"/>
  <c r="AD281" i="1" s="1"/>
  <c r="C281" i="1"/>
  <c r="D281" i="1" s="1"/>
  <c r="AM280" i="1"/>
  <c r="AH280" i="1"/>
  <c r="Z280" i="1"/>
  <c r="Y280" i="1"/>
  <c r="J280" i="1"/>
  <c r="C280" i="1"/>
  <c r="D280" i="1" s="1"/>
  <c r="AM279" i="1"/>
  <c r="AH279" i="1"/>
  <c r="Z279" i="1"/>
  <c r="Y279" i="1"/>
  <c r="J279" i="1"/>
  <c r="C279" i="1"/>
  <c r="D279" i="1" s="1"/>
  <c r="AM278" i="1"/>
  <c r="AH278" i="1"/>
  <c r="Z278" i="1"/>
  <c r="Y278" i="1"/>
  <c r="J278" i="1"/>
  <c r="C278" i="1"/>
  <c r="D278" i="1" s="1"/>
  <c r="AM277" i="1"/>
  <c r="AH277" i="1"/>
  <c r="Z277" i="1"/>
  <c r="Y277" i="1"/>
  <c r="J277" i="1"/>
  <c r="C277" i="1"/>
  <c r="D277" i="1" s="1"/>
  <c r="AM276" i="1"/>
  <c r="AH276" i="1"/>
  <c r="Z276" i="1"/>
  <c r="Y276" i="1"/>
  <c r="J276" i="1"/>
  <c r="C276" i="1"/>
  <c r="D276" i="1" s="1"/>
  <c r="AM275" i="1"/>
  <c r="AH275" i="1"/>
  <c r="Z275" i="1"/>
  <c r="Y275" i="1"/>
  <c r="J275" i="1"/>
  <c r="C275" i="1"/>
  <c r="D275" i="1" s="1"/>
  <c r="AM274" i="1"/>
  <c r="AH274" i="1"/>
  <c r="Z274" i="1"/>
  <c r="Y274" i="1"/>
  <c r="J274" i="1"/>
  <c r="C274" i="1"/>
  <c r="D274" i="1" s="1"/>
  <c r="AM273" i="1"/>
  <c r="AH273" i="1"/>
  <c r="Z273" i="1"/>
  <c r="Y273" i="1"/>
  <c r="J273" i="1"/>
  <c r="C273" i="1"/>
  <c r="D273" i="1" s="1"/>
  <c r="AM272" i="1"/>
  <c r="AH272" i="1"/>
  <c r="Z272" i="1"/>
  <c r="Y272" i="1"/>
  <c r="J272" i="1"/>
  <c r="C272" i="1"/>
  <c r="D272" i="1" s="1"/>
  <c r="AM271" i="1"/>
  <c r="AH271" i="1"/>
  <c r="Z271" i="1"/>
  <c r="Y271" i="1"/>
  <c r="J271" i="1"/>
  <c r="C271" i="1"/>
  <c r="D271" i="1" s="1"/>
  <c r="AM270" i="1"/>
  <c r="AH270" i="1"/>
  <c r="Z270" i="1"/>
  <c r="Y270" i="1"/>
  <c r="J270" i="1"/>
  <c r="C270" i="1"/>
  <c r="D270" i="1" s="1"/>
  <c r="AM269" i="1"/>
  <c r="AH269" i="1"/>
  <c r="Z269" i="1"/>
  <c r="Y269" i="1"/>
  <c r="J269" i="1"/>
  <c r="AD269" i="1" s="1"/>
  <c r="C269" i="1"/>
  <c r="D269" i="1" s="1"/>
  <c r="AM268" i="1"/>
  <c r="AH268" i="1"/>
  <c r="Z268" i="1"/>
  <c r="Y268" i="1"/>
  <c r="J268" i="1"/>
  <c r="C268" i="1"/>
  <c r="D268" i="1" s="1"/>
  <c r="AM267" i="1"/>
  <c r="AH267" i="1"/>
  <c r="Z267" i="1"/>
  <c r="Y267" i="1"/>
  <c r="J267" i="1"/>
  <c r="C267" i="1"/>
  <c r="D267" i="1" s="1"/>
  <c r="AM266" i="1"/>
  <c r="AH266" i="1"/>
  <c r="Z266" i="1"/>
  <c r="Y266" i="1"/>
  <c r="J266" i="1"/>
  <c r="C266" i="1"/>
  <c r="D266" i="1" s="1"/>
  <c r="AM265" i="1"/>
  <c r="AH265" i="1"/>
  <c r="Z265" i="1"/>
  <c r="Y265" i="1"/>
  <c r="J265" i="1"/>
  <c r="C265" i="1"/>
  <c r="D265" i="1" s="1"/>
  <c r="AM264" i="1"/>
  <c r="AH264" i="1"/>
  <c r="Z264" i="1"/>
  <c r="Y264" i="1"/>
  <c r="J264" i="1"/>
  <c r="C264" i="1"/>
  <c r="D264" i="1" s="1"/>
  <c r="AM263" i="1"/>
  <c r="AH263" i="1"/>
  <c r="Z263" i="1"/>
  <c r="Y263" i="1"/>
  <c r="J263" i="1"/>
  <c r="C263" i="1"/>
  <c r="D263" i="1" s="1"/>
  <c r="AM262" i="1"/>
  <c r="AH262" i="1"/>
  <c r="Z262" i="1"/>
  <c r="Y262" i="1"/>
  <c r="J262" i="1"/>
  <c r="C262" i="1"/>
  <c r="D262" i="1" s="1"/>
  <c r="AM261" i="1"/>
  <c r="AH261" i="1"/>
  <c r="Z261" i="1"/>
  <c r="Y261" i="1"/>
  <c r="J261" i="1"/>
  <c r="C261" i="1"/>
  <c r="D261" i="1" s="1"/>
  <c r="AM260" i="1"/>
  <c r="AH260" i="1"/>
  <c r="Z260" i="1"/>
  <c r="Y260" i="1"/>
  <c r="J260" i="1"/>
  <c r="C260" i="1"/>
  <c r="D260" i="1" s="1"/>
  <c r="AM259" i="1"/>
  <c r="AH259" i="1"/>
  <c r="Z259" i="1"/>
  <c r="Y259" i="1"/>
  <c r="J259" i="1"/>
  <c r="C259" i="1"/>
  <c r="D259" i="1" s="1"/>
  <c r="AM258" i="1"/>
  <c r="AH258" i="1"/>
  <c r="Z258" i="1"/>
  <c r="Y258" i="1"/>
  <c r="J258" i="1"/>
  <c r="C258" i="1"/>
  <c r="D258" i="1" s="1"/>
  <c r="AM257" i="1"/>
  <c r="AH257" i="1"/>
  <c r="Z257" i="1"/>
  <c r="Y257" i="1"/>
  <c r="J257" i="1"/>
  <c r="AD257" i="1" s="1"/>
  <c r="C257" i="1"/>
  <c r="D257" i="1" s="1"/>
  <c r="AM256" i="1"/>
  <c r="AH256" i="1"/>
  <c r="Z256" i="1"/>
  <c r="Y256" i="1"/>
  <c r="J256" i="1"/>
  <c r="C256" i="1"/>
  <c r="D256" i="1" s="1"/>
  <c r="AM255" i="1"/>
  <c r="AH255" i="1"/>
  <c r="Z255" i="1"/>
  <c r="Y255" i="1"/>
  <c r="J255" i="1"/>
  <c r="C255" i="1"/>
  <c r="D255" i="1" s="1"/>
  <c r="AM254" i="1"/>
  <c r="AH254" i="1"/>
  <c r="Z254" i="1"/>
  <c r="Y254" i="1"/>
  <c r="J254" i="1"/>
  <c r="C254" i="1"/>
  <c r="D254" i="1" s="1"/>
  <c r="AM253" i="1"/>
  <c r="AH253" i="1"/>
  <c r="Z253" i="1"/>
  <c r="Y253" i="1"/>
  <c r="J253" i="1"/>
  <c r="C253" i="1"/>
  <c r="D253" i="1" s="1"/>
  <c r="AM252" i="1"/>
  <c r="AH252" i="1"/>
  <c r="Z252" i="1"/>
  <c r="Y252" i="1"/>
  <c r="R252" i="1"/>
  <c r="P252" i="1"/>
  <c r="Q252" i="1" s="1"/>
  <c r="N252" i="1" s="1"/>
  <c r="L252" i="1"/>
  <c r="J252" i="1"/>
  <c r="C252" i="1"/>
  <c r="D252" i="1" s="1"/>
  <c r="AM251" i="1"/>
  <c r="AH251" i="1"/>
  <c r="Z251" i="1"/>
  <c r="Y251" i="1"/>
  <c r="J251" i="1"/>
  <c r="C251" i="1"/>
  <c r="D251" i="1" s="1"/>
  <c r="AM250" i="1"/>
  <c r="AH250" i="1"/>
  <c r="Z250" i="1"/>
  <c r="Y250" i="1"/>
  <c r="J250" i="1"/>
  <c r="C250" i="1"/>
  <c r="D250" i="1" s="1"/>
  <c r="AM249" i="1"/>
  <c r="AH249" i="1"/>
  <c r="Z249" i="1"/>
  <c r="Y249" i="1"/>
  <c r="J249" i="1"/>
  <c r="C249" i="1"/>
  <c r="D249" i="1" s="1"/>
  <c r="AM248" i="1"/>
  <c r="AH248" i="1"/>
  <c r="Z248" i="1"/>
  <c r="Y248" i="1"/>
  <c r="J248" i="1"/>
  <c r="C248" i="1"/>
  <c r="D248" i="1" s="1"/>
  <c r="AM247" i="1"/>
  <c r="AH247" i="1"/>
  <c r="Z247" i="1"/>
  <c r="Y247" i="1"/>
  <c r="J247" i="1"/>
  <c r="C247" i="1"/>
  <c r="D247" i="1" s="1"/>
  <c r="AM246" i="1"/>
  <c r="AH246" i="1"/>
  <c r="Z246" i="1"/>
  <c r="Y246" i="1"/>
  <c r="J246" i="1"/>
  <c r="AD246" i="1" s="1"/>
  <c r="C246" i="1"/>
  <c r="D246" i="1" s="1"/>
  <c r="AM245" i="1"/>
  <c r="AH245" i="1"/>
  <c r="Z245" i="1"/>
  <c r="Y245" i="1"/>
  <c r="J245" i="1"/>
  <c r="AD245" i="1" s="1"/>
  <c r="C245" i="1"/>
  <c r="D245" i="1" s="1"/>
  <c r="AM244" i="1"/>
  <c r="AH244" i="1"/>
  <c r="Z244" i="1"/>
  <c r="Y244" i="1"/>
  <c r="J244" i="1"/>
  <c r="AC244" i="1" s="1"/>
  <c r="C244" i="1"/>
  <c r="D244" i="1" s="1"/>
  <c r="AM243" i="1"/>
  <c r="AH243" i="1"/>
  <c r="Z243" i="1"/>
  <c r="Y243" i="1"/>
  <c r="J243" i="1"/>
  <c r="C243" i="1"/>
  <c r="D243" i="1" s="1"/>
  <c r="AM242" i="1"/>
  <c r="AH242" i="1"/>
  <c r="Z242" i="1"/>
  <c r="Y242" i="1"/>
  <c r="J242" i="1"/>
  <c r="C242" i="1"/>
  <c r="D242" i="1" s="1"/>
  <c r="AM241" i="1"/>
  <c r="AH241" i="1"/>
  <c r="Z241" i="1"/>
  <c r="Y241" i="1"/>
  <c r="J241" i="1"/>
  <c r="C241" i="1"/>
  <c r="D241" i="1" s="1"/>
  <c r="AM240" i="1"/>
  <c r="AH240" i="1"/>
  <c r="Z240" i="1"/>
  <c r="Y240" i="1"/>
  <c r="J240" i="1"/>
  <c r="C240" i="1"/>
  <c r="D240" i="1" s="1"/>
  <c r="AM239" i="1"/>
  <c r="AH239" i="1"/>
  <c r="Z239" i="1"/>
  <c r="Y239" i="1"/>
  <c r="J239" i="1"/>
  <c r="C239" i="1"/>
  <c r="D239" i="1" s="1"/>
  <c r="AM238" i="1"/>
  <c r="AH238" i="1"/>
  <c r="Z238" i="1"/>
  <c r="Y238" i="1"/>
  <c r="J238" i="1"/>
  <c r="C238" i="1"/>
  <c r="D238" i="1" s="1"/>
  <c r="AM237" i="1"/>
  <c r="AH237" i="1"/>
  <c r="Z237" i="1"/>
  <c r="Y237" i="1"/>
  <c r="J237" i="1"/>
  <c r="C237" i="1"/>
  <c r="D237" i="1" s="1"/>
  <c r="AM236" i="1"/>
  <c r="AH236" i="1"/>
  <c r="Z236" i="1"/>
  <c r="Y236" i="1"/>
  <c r="J236" i="1"/>
  <c r="C236" i="1"/>
  <c r="D236" i="1" s="1"/>
  <c r="AM235" i="1"/>
  <c r="AH235" i="1"/>
  <c r="Z235" i="1"/>
  <c r="Y235" i="1"/>
  <c r="J235" i="1"/>
  <c r="C235" i="1"/>
  <c r="D235" i="1" s="1"/>
  <c r="AM234" i="1"/>
  <c r="AH234" i="1"/>
  <c r="Z234" i="1"/>
  <c r="Y234" i="1"/>
  <c r="J234" i="1"/>
  <c r="AD234" i="1" s="1"/>
  <c r="C234" i="1"/>
  <c r="D234" i="1" s="1"/>
  <c r="AM233" i="1"/>
  <c r="AH233" i="1"/>
  <c r="Z233" i="1"/>
  <c r="Y233" i="1"/>
  <c r="J233" i="1"/>
  <c r="AD233" i="1" s="1"/>
  <c r="C233" i="1"/>
  <c r="D233" i="1" s="1"/>
  <c r="AM232" i="1"/>
  <c r="AH232" i="1"/>
  <c r="Z232" i="1"/>
  <c r="Y232" i="1"/>
  <c r="J232" i="1"/>
  <c r="AC232" i="1" s="1"/>
  <c r="C232" i="1"/>
  <c r="D232" i="1" s="1"/>
  <c r="AM231" i="1"/>
  <c r="AH231" i="1"/>
  <c r="Z231" i="1"/>
  <c r="Y231" i="1"/>
  <c r="J231" i="1"/>
  <c r="C231" i="1"/>
  <c r="D231" i="1" s="1"/>
  <c r="AM230" i="1"/>
  <c r="AH230" i="1"/>
  <c r="Z230" i="1"/>
  <c r="Y230" i="1"/>
  <c r="J230" i="1"/>
  <c r="C230" i="1"/>
  <c r="D230" i="1" s="1"/>
  <c r="AM229" i="1"/>
  <c r="AH229" i="1"/>
  <c r="Z229" i="1"/>
  <c r="Y229" i="1"/>
  <c r="J229" i="1"/>
  <c r="C229" i="1"/>
  <c r="D229" i="1" s="1"/>
  <c r="AM228" i="1"/>
  <c r="AH228" i="1"/>
  <c r="Z228" i="1"/>
  <c r="Y228" i="1"/>
  <c r="J228" i="1"/>
  <c r="C228" i="1"/>
  <c r="D228" i="1" s="1"/>
  <c r="AM227" i="1"/>
  <c r="AH227" i="1"/>
  <c r="Z227" i="1"/>
  <c r="Y227" i="1"/>
  <c r="J227" i="1"/>
  <c r="C227" i="1"/>
  <c r="D227" i="1" s="1"/>
  <c r="AM226" i="1"/>
  <c r="AH226" i="1"/>
  <c r="Z226" i="1"/>
  <c r="Y226" i="1"/>
  <c r="J226" i="1"/>
  <c r="C226" i="1"/>
  <c r="D226" i="1" s="1"/>
  <c r="AM225" i="1"/>
  <c r="AH225" i="1"/>
  <c r="Z225" i="1"/>
  <c r="Y225" i="1"/>
  <c r="J225" i="1"/>
  <c r="C225" i="1"/>
  <c r="D225" i="1" s="1"/>
  <c r="AM224" i="1"/>
  <c r="AH224" i="1"/>
  <c r="Z224" i="1"/>
  <c r="Y224" i="1"/>
  <c r="J224" i="1"/>
  <c r="C224" i="1"/>
  <c r="D224" i="1" s="1"/>
  <c r="AM223" i="1"/>
  <c r="AH223" i="1"/>
  <c r="Z223" i="1"/>
  <c r="Y223" i="1"/>
  <c r="J223" i="1"/>
  <c r="C223" i="1"/>
  <c r="D223" i="1" s="1"/>
  <c r="AM222" i="1"/>
  <c r="AH222" i="1"/>
  <c r="Z222" i="1"/>
  <c r="Y222" i="1"/>
  <c r="J222" i="1"/>
  <c r="AD222" i="1" s="1"/>
  <c r="C222" i="1"/>
  <c r="D222" i="1" s="1"/>
  <c r="AM221" i="1"/>
  <c r="AH221" i="1"/>
  <c r="Z221" i="1"/>
  <c r="Y221" i="1"/>
  <c r="J221" i="1"/>
  <c r="AD221" i="1" s="1"/>
  <c r="C221" i="1"/>
  <c r="D221" i="1" s="1"/>
  <c r="AM220" i="1"/>
  <c r="AH220" i="1"/>
  <c r="Z220" i="1"/>
  <c r="Y220" i="1"/>
  <c r="J220" i="1"/>
  <c r="AD220" i="1" s="1"/>
  <c r="C220" i="1"/>
  <c r="D220" i="1" s="1"/>
  <c r="AM219" i="1"/>
  <c r="AH219" i="1"/>
  <c r="Z219" i="1"/>
  <c r="Y219" i="1"/>
  <c r="J219" i="1"/>
  <c r="C219" i="1"/>
  <c r="D219" i="1" s="1"/>
  <c r="AM218" i="1"/>
  <c r="AH218" i="1"/>
  <c r="Z218" i="1"/>
  <c r="Y218" i="1"/>
  <c r="J218" i="1"/>
  <c r="C218" i="1"/>
  <c r="D218" i="1" s="1"/>
  <c r="AM217" i="1"/>
  <c r="AH217" i="1"/>
  <c r="Z217" i="1"/>
  <c r="Y217" i="1"/>
  <c r="J217" i="1"/>
  <c r="C217" i="1"/>
  <c r="D217" i="1" s="1"/>
  <c r="AM216" i="1"/>
  <c r="AH216" i="1"/>
  <c r="Z216" i="1"/>
  <c r="Y216" i="1"/>
  <c r="J216" i="1"/>
  <c r="C216" i="1"/>
  <c r="D216" i="1" s="1"/>
  <c r="AM215" i="1"/>
  <c r="AH215" i="1"/>
  <c r="Z215" i="1"/>
  <c r="Y215" i="1"/>
  <c r="J215" i="1"/>
  <c r="C215" i="1"/>
  <c r="D215" i="1" s="1"/>
  <c r="AM214" i="1"/>
  <c r="AH214" i="1"/>
  <c r="Z214" i="1"/>
  <c r="Y214" i="1"/>
  <c r="J214" i="1"/>
  <c r="C214" i="1"/>
  <c r="D214" i="1" s="1"/>
  <c r="AM213" i="1"/>
  <c r="AH213" i="1"/>
  <c r="Z213" i="1"/>
  <c r="Y213" i="1"/>
  <c r="J213" i="1"/>
  <c r="C213" i="1"/>
  <c r="D213" i="1" s="1"/>
  <c r="AM212" i="1"/>
  <c r="AH212" i="1"/>
  <c r="Z212" i="1"/>
  <c r="Y212" i="1"/>
  <c r="J212" i="1"/>
  <c r="C212" i="1"/>
  <c r="D212" i="1" s="1"/>
  <c r="AM211" i="1"/>
  <c r="AH211" i="1"/>
  <c r="Z211" i="1"/>
  <c r="Y211" i="1"/>
  <c r="R211" i="1"/>
  <c r="P211" i="1"/>
  <c r="L211" i="1"/>
  <c r="J211" i="1"/>
  <c r="C211" i="1"/>
  <c r="D211" i="1" s="1"/>
  <c r="AM210" i="1"/>
  <c r="AH210" i="1"/>
  <c r="Z210" i="1"/>
  <c r="Y210" i="1"/>
  <c r="J210" i="1"/>
  <c r="AD210" i="1" s="1"/>
  <c r="C210" i="1"/>
  <c r="D210" i="1" s="1"/>
  <c r="AM209" i="1"/>
  <c r="AH209" i="1"/>
  <c r="Z209" i="1"/>
  <c r="Y209" i="1"/>
  <c r="J209" i="1"/>
  <c r="C209" i="1"/>
  <c r="D209" i="1" s="1"/>
  <c r="AM208" i="1"/>
  <c r="AH208" i="1"/>
  <c r="Z208" i="1"/>
  <c r="Y208" i="1"/>
  <c r="J208" i="1"/>
  <c r="AC208" i="1" s="1"/>
  <c r="C208" i="1"/>
  <c r="D208" i="1" s="1"/>
  <c r="AM207" i="1"/>
  <c r="AH207" i="1"/>
  <c r="Z207" i="1"/>
  <c r="Y207" i="1"/>
  <c r="J207" i="1"/>
  <c r="C207" i="1"/>
  <c r="D207" i="1" s="1"/>
  <c r="AM206" i="1"/>
  <c r="AH206" i="1"/>
  <c r="Z206" i="1"/>
  <c r="Y206" i="1"/>
  <c r="J206" i="1"/>
  <c r="C206" i="1"/>
  <c r="D206" i="1" s="1"/>
  <c r="AM205" i="1"/>
  <c r="AH205" i="1"/>
  <c r="Z205" i="1"/>
  <c r="Y205" i="1"/>
  <c r="J205" i="1"/>
  <c r="C205" i="1"/>
  <c r="D205" i="1" s="1"/>
  <c r="AM204" i="1"/>
  <c r="AH204" i="1"/>
  <c r="Z204" i="1"/>
  <c r="Y204" i="1"/>
  <c r="J204" i="1"/>
  <c r="C204" i="1"/>
  <c r="D204" i="1" s="1"/>
  <c r="AM203" i="1"/>
  <c r="AH203" i="1"/>
  <c r="Z203" i="1"/>
  <c r="Y203" i="1"/>
  <c r="J203" i="1"/>
  <c r="C203" i="1"/>
  <c r="D203" i="1" s="1"/>
  <c r="AM202" i="1"/>
  <c r="AH202" i="1"/>
  <c r="Z202" i="1"/>
  <c r="Y202" i="1"/>
  <c r="J202" i="1"/>
  <c r="C202" i="1"/>
  <c r="D202" i="1" s="1"/>
  <c r="AM201" i="1"/>
  <c r="AH201" i="1"/>
  <c r="Z201" i="1"/>
  <c r="Y201" i="1"/>
  <c r="J201" i="1"/>
  <c r="C201" i="1"/>
  <c r="D201" i="1" s="1"/>
  <c r="AM200" i="1"/>
  <c r="AH200" i="1"/>
  <c r="Z200" i="1"/>
  <c r="Y200" i="1"/>
  <c r="J200" i="1"/>
  <c r="C200" i="1"/>
  <c r="D200" i="1" s="1"/>
  <c r="AM199" i="1"/>
  <c r="AH199" i="1"/>
  <c r="Z199" i="1"/>
  <c r="Y199" i="1"/>
  <c r="J199" i="1"/>
  <c r="C199" i="1"/>
  <c r="D199" i="1" s="1"/>
  <c r="AM198" i="1"/>
  <c r="AH198" i="1"/>
  <c r="Z198" i="1"/>
  <c r="Y198" i="1"/>
  <c r="J198" i="1"/>
  <c r="AD198" i="1" s="1"/>
  <c r="C198" i="1"/>
  <c r="D198" i="1" s="1"/>
  <c r="AM197" i="1"/>
  <c r="AH197" i="1"/>
  <c r="Z197" i="1"/>
  <c r="Y197" i="1"/>
  <c r="J197" i="1"/>
  <c r="C197" i="1"/>
  <c r="D197" i="1" s="1"/>
  <c r="AM196" i="1"/>
  <c r="AH196" i="1"/>
  <c r="Z196" i="1"/>
  <c r="Y196" i="1"/>
  <c r="J196" i="1"/>
  <c r="AC196" i="1" s="1"/>
  <c r="C196" i="1"/>
  <c r="D196" i="1" s="1"/>
  <c r="AM195" i="1"/>
  <c r="AH195" i="1"/>
  <c r="Z195" i="1"/>
  <c r="Y195" i="1"/>
  <c r="J195" i="1"/>
  <c r="C195" i="1"/>
  <c r="D195" i="1" s="1"/>
  <c r="AM194" i="1"/>
  <c r="AH194" i="1"/>
  <c r="Z194" i="1"/>
  <c r="Y194" i="1"/>
  <c r="J194" i="1"/>
  <c r="C194" i="1"/>
  <c r="D194" i="1" s="1"/>
  <c r="AM193" i="1"/>
  <c r="AH193" i="1"/>
  <c r="Z193" i="1"/>
  <c r="Y193" i="1"/>
  <c r="J193" i="1"/>
  <c r="C193" i="1"/>
  <c r="D193" i="1" s="1"/>
  <c r="AM192" i="1"/>
  <c r="AH192" i="1"/>
  <c r="Z192" i="1"/>
  <c r="Y192" i="1"/>
  <c r="J192" i="1"/>
  <c r="C192" i="1"/>
  <c r="D192" i="1" s="1"/>
  <c r="AM191" i="1"/>
  <c r="AH191" i="1"/>
  <c r="Z191" i="1"/>
  <c r="Y191" i="1"/>
  <c r="J191" i="1"/>
  <c r="C191" i="1"/>
  <c r="D191" i="1" s="1"/>
  <c r="AM190" i="1"/>
  <c r="AH190" i="1"/>
  <c r="Z190" i="1"/>
  <c r="Y190" i="1"/>
  <c r="J190" i="1"/>
  <c r="C190" i="1"/>
  <c r="D190" i="1" s="1"/>
  <c r="AM189" i="1"/>
  <c r="AH189" i="1"/>
  <c r="Z189" i="1"/>
  <c r="Y189" i="1"/>
  <c r="J189" i="1"/>
  <c r="C189" i="1"/>
  <c r="D189" i="1" s="1"/>
  <c r="AM188" i="1"/>
  <c r="AH188" i="1"/>
  <c r="Z188" i="1"/>
  <c r="Y188" i="1"/>
  <c r="J188" i="1"/>
  <c r="C188" i="1"/>
  <c r="D188" i="1" s="1"/>
  <c r="AM187" i="1"/>
  <c r="AH187" i="1"/>
  <c r="Z187" i="1"/>
  <c r="Y187" i="1"/>
  <c r="J187" i="1"/>
  <c r="C187" i="1"/>
  <c r="D187" i="1" s="1"/>
  <c r="AM186" i="1"/>
  <c r="AH186" i="1"/>
  <c r="Z186" i="1"/>
  <c r="Y186" i="1"/>
  <c r="J186" i="1"/>
  <c r="AD186" i="1" s="1"/>
  <c r="C186" i="1"/>
  <c r="D186" i="1" s="1"/>
  <c r="AM185" i="1"/>
  <c r="AH185" i="1"/>
  <c r="Z185" i="1"/>
  <c r="Y185" i="1"/>
  <c r="J185" i="1"/>
  <c r="C185" i="1"/>
  <c r="D185" i="1" s="1"/>
  <c r="AM184" i="1"/>
  <c r="AH184" i="1"/>
  <c r="Z184" i="1"/>
  <c r="Y184" i="1"/>
  <c r="J184" i="1"/>
  <c r="AD184" i="1" s="1"/>
  <c r="C184" i="1"/>
  <c r="D184" i="1" s="1"/>
  <c r="AM183" i="1"/>
  <c r="AH183" i="1"/>
  <c r="Z183" i="1"/>
  <c r="Y183" i="1"/>
  <c r="J183" i="1"/>
  <c r="C183" i="1"/>
  <c r="D183" i="1" s="1"/>
  <c r="AM182" i="1"/>
  <c r="AH182" i="1"/>
  <c r="Z182" i="1"/>
  <c r="Y182" i="1"/>
  <c r="J182" i="1"/>
  <c r="C182" i="1"/>
  <c r="D182" i="1" s="1"/>
  <c r="AM181" i="1"/>
  <c r="AH181" i="1"/>
  <c r="Z181" i="1"/>
  <c r="Y181" i="1"/>
  <c r="J181" i="1"/>
  <c r="C181" i="1"/>
  <c r="D181" i="1" s="1"/>
  <c r="AM180" i="1"/>
  <c r="AH180" i="1"/>
  <c r="Z180" i="1"/>
  <c r="Y180" i="1"/>
  <c r="J180" i="1"/>
  <c r="C180" i="1"/>
  <c r="D180" i="1" s="1"/>
  <c r="AM179" i="1"/>
  <c r="AH179" i="1"/>
  <c r="Z179" i="1"/>
  <c r="Y179" i="1"/>
  <c r="J179" i="1"/>
  <c r="C179" i="1"/>
  <c r="D179" i="1" s="1"/>
  <c r="AM178" i="1"/>
  <c r="AH178" i="1"/>
  <c r="Z178" i="1"/>
  <c r="Y178" i="1"/>
  <c r="J178" i="1"/>
  <c r="C178" i="1"/>
  <c r="D178" i="1" s="1"/>
  <c r="AM177" i="1"/>
  <c r="AH177" i="1"/>
  <c r="Z177" i="1"/>
  <c r="Y177" i="1"/>
  <c r="J177" i="1"/>
  <c r="C177" i="1"/>
  <c r="D177" i="1" s="1"/>
  <c r="AM176" i="1"/>
  <c r="AH176" i="1"/>
  <c r="Z176" i="1"/>
  <c r="Y176" i="1"/>
  <c r="J176" i="1"/>
  <c r="C176" i="1"/>
  <c r="D176" i="1" s="1"/>
  <c r="AM175" i="1"/>
  <c r="AH175" i="1"/>
  <c r="Z175" i="1"/>
  <c r="Y175" i="1"/>
  <c r="J175" i="1"/>
  <c r="C175" i="1"/>
  <c r="D175" i="1" s="1"/>
  <c r="AM174" i="1"/>
  <c r="AH174" i="1"/>
  <c r="Z174" i="1"/>
  <c r="Y174" i="1"/>
  <c r="J174" i="1"/>
  <c r="C174" i="1"/>
  <c r="D174" i="1" s="1"/>
  <c r="AM173" i="1"/>
  <c r="AH173" i="1"/>
  <c r="Z173" i="1"/>
  <c r="Y173" i="1"/>
  <c r="J173" i="1"/>
  <c r="C173" i="1"/>
  <c r="D173" i="1" s="1"/>
  <c r="AM172" i="1"/>
  <c r="AH172" i="1"/>
  <c r="Z172" i="1"/>
  <c r="Y172" i="1"/>
  <c r="J172" i="1"/>
  <c r="AC172" i="1" s="1"/>
  <c r="C172" i="1"/>
  <c r="D172" i="1" s="1"/>
  <c r="AM171" i="1"/>
  <c r="AH171" i="1"/>
  <c r="Z171" i="1"/>
  <c r="Y171" i="1"/>
  <c r="J171" i="1"/>
  <c r="C171" i="1"/>
  <c r="D171" i="1" s="1"/>
  <c r="AM170" i="1"/>
  <c r="AH170" i="1"/>
  <c r="Z170" i="1"/>
  <c r="Y170" i="1"/>
  <c r="R170" i="1"/>
  <c r="P170" i="1"/>
  <c r="M170" i="1" s="1"/>
  <c r="L170" i="1"/>
  <c r="J170" i="1"/>
  <c r="C170" i="1"/>
  <c r="D170" i="1" s="1"/>
  <c r="AM169" i="1"/>
  <c r="AH169" i="1"/>
  <c r="Z169" i="1"/>
  <c r="Y169" i="1"/>
  <c r="J169" i="1"/>
  <c r="C169" i="1"/>
  <c r="D169" i="1" s="1"/>
  <c r="AM168" i="1"/>
  <c r="AH168" i="1"/>
  <c r="Z168" i="1"/>
  <c r="Y168" i="1"/>
  <c r="J168" i="1"/>
  <c r="C168" i="1"/>
  <c r="D168" i="1" s="1"/>
  <c r="AM167" i="1"/>
  <c r="AH167" i="1"/>
  <c r="Z167" i="1"/>
  <c r="Y167" i="1"/>
  <c r="J167" i="1"/>
  <c r="C167" i="1"/>
  <c r="D167" i="1" s="1"/>
  <c r="AM166" i="1"/>
  <c r="AH166" i="1"/>
  <c r="Z166" i="1"/>
  <c r="Y166" i="1"/>
  <c r="J166" i="1"/>
  <c r="C166" i="1"/>
  <c r="D166" i="1" s="1"/>
  <c r="AM165" i="1"/>
  <c r="AH165" i="1"/>
  <c r="Z165" i="1"/>
  <c r="Y165" i="1"/>
  <c r="J165" i="1"/>
  <c r="C165" i="1"/>
  <c r="D165" i="1" s="1"/>
  <c r="AM164" i="1"/>
  <c r="AH164" i="1"/>
  <c r="Z164" i="1"/>
  <c r="Y164" i="1"/>
  <c r="J164" i="1"/>
  <c r="C164" i="1"/>
  <c r="D164" i="1" s="1"/>
  <c r="AM163" i="1"/>
  <c r="AH163" i="1"/>
  <c r="Z163" i="1"/>
  <c r="Y163" i="1"/>
  <c r="J163" i="1"/>
  <c r="C163" i="1"/>
  <c r="D163" i="1" s="1"/>
  <c r="AM162" i="1"/>
  <c r="AH162" i="1"/>
  <c r="Z162" i="1"/>
  <c r="Y162" i="1"/>
  <c r="J162" i="1"/>
  <c r="C162" i="1"/>
  <c r="D162" i="1" s="1"/>
  <c r="AM161" i="1"/>
  <c r="AH161" i="1"/>
  <c r="Z161" i="1"/>
  <c r="Y161" i="1"/>
  <c r="J161" i="1"/>
  <c r="C161" i="1"/>
  <c r="D161" i="1" s="1"/>
  <c r="AM160" i="1"/>
  <c r="AH160" i="1"/>
  <c r="Z160" i="1"/>
  <c r="Y160" i="1"/>
  <c r="J160" i="1"/>
  <c r="C160" i="1"/>
  <c r="D160" i="1" s="1"/>
  <c r="AM159" i="1"/>
  <c r="AH159" i="1"/>
  <c r="Z159" i="1"/>
  <c r="Y159" i="1"/>
  <c r="J159" i="1"/>
  <c r="C159" i="1"/>
  <c r="D159" i="1" s="1"/>
  <c r="AM158" i="1"/>
  <c r="AH158" i="1"/>
  <c r="Z158" i="1"/>
  <c r="Y158" i="1"/>
  <c r="J158" i="1"/>
  <c r="C158" i="1"/>
  <c r="D158" i="1" s="1"/>
  <c r="AM157" i="1"/>
  <c r="AH157" i="1"/>
  <c r="Z157" i="1"/>
  <c r="Y157" i="1"/>
  <c r="J157" i="1"/>
  <c r="C157" i="1"/>
  <c r="D157" i="1" s="1"/>
  <c r="AM156" i="1"/>
  <c r="AH156" i="1"/>
  <c r="Z156" i="1"/>
  <c r="Y156" i="1"/>
  <c r="J156" i="1"/>
  <c r="C156" i="1"/>
  <c r="D156" i="1" s="1"/>
  <c r="AM155" i="1"/>
  <c r="AH155" i="1"/>
  <c r="Z155" i="1"/>
  <c r="Y155" i="1"/>
  <c r="J155" i="1"/>
  <c r="C155" i="1"/>
  <c r="D155" i="1" s="1"/>
  <c r="AM154" i="1"/>
  <c r="AH154" i="1"/>
  <c r="Z154" i="1"/>
  <c r="Y154" i="1"/>
  <c r="J154" i="1"/>
  <c r="C154" i="1"/>
  <c r="D154" i="1" s="1"/>
  <c r="AM153" i="1"/>
  <c r="AH153" i="1"/>
  <c r="Z153" i="1"/>
  <c r="Y153" i="1"/>
  <c r="J153" i="1"/>
  <c r="C153" i="1"/>
  <c r="D153" i="1" s="1"/>
  <c r="AM152" i="1"/>
  <c r="AH152" i="1"/>
  <c r="Z152" i="1"/>
  <c r="Y152" i="1"/>
  <c r="J152" i="1"/>
  <c r="C152" i="1"/>
  <c r="D152" i="1" s="1"/>
  <c r="AM151" i="1"/>
  <c r="AH151" i="1"/>
  <c r="Z151" i="1"/>
  <c r="Y151" i="1"/>
  <c r="J151" i="1"/>
  <c r="C151" i="1"/>
  <c r="D151" i="1" s="1"/>
  <c r="AM150" i="1"/>
  <c r="AH150" i="1"/>
  <c r="Z150" i="1"/>
  <c r="Y150" i="1"/>
  <c r="J150" i="1"/>
  <c r="C150" i="1"/>
  <c r="D150" i="1" s="1"/>
  <c r="AM149" i="1"/>
  <c r="AH149" i="1"/>
  <c r="Z149" i="1"/>
  <c r="Y149" i="1"/>
  <c r="J149" i="1"/>
  <c r="C149" i="1"/>
  <c r="D149" i="1" s="1"/>
  <c r="AM148" i="1"/>
  <c r="AH148" i="1"/>
  <c r="Z148" i="1"/>
  <c r="Y148" i="1"/>
  <c r="J148" i="1"/>
  <c r="C148" i="1"/>
  <c r="D148" i="1" s="1"/>
  <c r="AM147" i="1"/>
  <c r="AH147" i="1"/>
  <c r="Z147" i="1"/>
  <c r="Y147" i="1"/>
  <c r="J147" i="1"/>
  <c r="C147" i="1"/>
  <c r="D147" i="1" s="1"/>
  <c r="AM146" i="1"/>
  <c r="AH146" i="1"/>
  <c r="Z146" i="1"/>
  <c r="Y146" i="1"/>
  <c r="J146" i="1"/>
  <c r="C146" i="1"/>
  <c r="D146" i="1" s="1"/>
  <c r="AM145" i="1"/>
  <c r="AH145" i="1"/>
  <c r="Z145" i="1"/>
  <c r="Y145" i="1"/>
  <c r="J145" i="1"/>
  <c r="C145" i="1"/>
  <c r="D145" i="1" s="1"/>
  <c r="AM144" i="1"/>
  <c r="AH144" i="1"/>
  <c r="Z144" i="1"/>
  <c r="Y144" i="1"/>
  <c r="J144" i="1"/>
  <c r="C144" i="1"/>
  <c r="D144" i="1" s="1"/>
  <c r="AM143" i="1"/>
  <c r="AH143" i="1"/>
  <c r="Z143" i="1"/>
  <c r="Y143" i="1"/>
  <c r="J143" i="1"/>
  <c r="C143" i="1"/>
  <c r="D143" i="1" s="1"/>
  <c r="AM142" i="1"/>
  <c r="AH142" i="1"/>
  <c r="Z142" i="1"/>
  <c r="Y142" i="1"/>
  <c r="J142" i="1"/>
  <c r="C142" i="1"/>
  <c r="D142" i="1" s="1"/>
  <c r="AM141" i="1"/>
  <c r="AH141" i="1"/>
  <c r="Z141" i="1"/>
  <c r="Y141" i="1"/>
  <c r="J141" i="1"/>
  <c r="C141" i="1"/>
  <c r="D141" i="1" s="1"/>
  <c r="AM140" i="1"/>
  <c r="AH140" i="1"/>
  <c r="Z140" i="1"/>
  <c r="Y140" i="1"/>
  <c r="J140" i="1"/>
  <c r="C140" i="1"/>
  <c r="D140" i="1" s="1"/>
  <c r="AM139" i="1"/>
  <c r="AH139" i="1"/>
  <c r="Z139" i="1"/>
  <c r="Y139" i="1"/>
  <c r="J139" i="1"/>
  <c r="C139" i="1"/>
  <c r="D139" i="1" s="1"/>
  <c r="AM138" i="1"/>
  <c r="AH138" i="1"/>
  <c r="Z138" i="1"/>
  <c r="Y138" i="1"/>
  <c r="J138" i="1"/>
  <c r="C138" i="1"/>
  <c r="D138" i="1" s="1"/>
  <c r="AM137" i="1"/>
  <c r="AH137" i="1"/>
  <c r="Z137" i="1"/>
  <c r="Y137" i="1"/>
  <c r="J137" i="1"/>
  <c r="C137" i="1"/>
  <c r="D137" i="1" s="1"/>
  <c r="AM136" i="1"/>
  <c r="AH136" i="1"/>
  <c r="Z136" i="1"/>
  <c r="Y136" i="1"/>
  <c r="J136" i="1"/>
  <c r="C136" i="1"/>
  <c r="D136" i="1" s="1"/>
  <c r="AM135" i="1"/>
  <c r="AH135" i="1"/>
  <c r="Z135" i="1"/>
  <c r="Y135" i="1"/>
  <c r="J135" i="1"/>
  <c r="C135" i="1"/>
  <c r="D135" i="1" s="1"/>
  <c r="AM134" i="1"/>
  <c r="AH134" i="1"/>
  <c r="Z134" i="1"/>
  <c r="Y134" i="1"/>
  <c r="J134" i="1"/>
  <c r="C134" i="1"/>
  <c r="D134" i="1" s="1"/>
  <c r="AM133" i="1"/>
  <c r="AH133" i="1"/>
  <c r="Z133" i="1"/>
  <c r="Y133" i="1"/>
  <c r="J133" i="1"/>
  <c r="C133" i="1"/>
  <c r="D133" i="1" s="1"/>
  <c r="AM132" i="1"/>
  <c r="AH132" i="1"/>
  <c r="Z132" i="1"/>
  <c r="Y132" i="1"/>
  <c r="J132" i="1"/>
  <c r="C132" i="1"/>
  <c r="D132" i="1" s="1"/>
  <c r="AM131" i="1"/>
  <c r="AH131" i="1"/>
  <c r="Z131" i="1"/>
  <c r="Y131" i="1"/>
  <c r="J131" i="1"/>
  <c r="C131" i="1"/>
  <c r="D131" i="1" s="1"/>
  <c r="AM130" i="1"/>
  <c r="AH130" i="1"/>
  <c r="Z130" i="1"/>
  <c r="Y130" i="1"/>
  <c r="J130" i="1"/>
  <c r="C130" i="1"/>
  <c r="D130" i="1" s="1"/>
  <c r="AM129" i="1"/>
  <c r="AH129" i="1"/>
  <c r="Z129" i="1"/>
  <c r="Y129" i="1"/>
  <c r="J129" i="1"/>
  <c r="C129" i="1"/>
  <c r="D129" i="1" s="1"/>
  <c r="AM128" i="1"/>
  <c r="AH128" i="1"/>
  <c r="Z128" i="1"/>
  <c r="Y128" i="1"/>
  <c r="R128" i="1"/>
  <c r="P128" i="1"/>
  <c r="Q128" i="1" s="1"/>
  <c r="N128" i="1" s="1"/>
  <c r="L128" i="1"/>
  <c r="J128" i="1"/>
  <c r="C128" i="1"/>
  <c r="D128" i="1" s="1"/>
  <c r="AM127" i="1"/>
  <c r="AH127" i="1"/>
  <c r="Z127" i="1"/>
  <c r="Y127" i="1"/>
  <c r="J127" i="1"/>
  <c r="C127" i="1"/>
  <c r="D127" i="1" s="1"/>
  <c r="AM126" i="1"/>
  <c r="AH126" i="1"/>
  <c r="Z126" i="1"/>
  <c r="Y126" i="1"/>
  <c r="J126" i="1"/>
  <c r="C126" i="1"/>
  <c r="D126" i="1" s="1"/>
  <c r="AM125" i="1"/>
  <c r="AH125" i="1"/>
  <c r="Z125" i="1"/>
  <c r="Y125" i="1"/>
  <c r="J125" i="1"/>
  <c r="C125" i="1"/>
  <c r="D125" i="1" s="1"/>
  <c r="AM124" i="1"/>
  <c r="AH124" i="1"/>
  <c r="Z124" i="1"/>
  <c r="Y124" i="1"/>
  <c r="J124" i="1"/>
  <c r="C124" i="1"/>
  <c r="D124" i="1" s="1"/>
  <c r="AM123" i="1"/>
  <c r="AH123" i="1"/>
  <c r="Z123" i="1"/>
  <c r="Y123" i="1"/>
  <c r="J123" i="1"/>
  <c r="C123" i="1"/>
  <c r="D123" i="1" s="1"/>
  <c r="AM122" i="1"/>
  <c r="AH122" i="1"/>
  <c r="Z122" i="1"/>
  <c r="Y122" i="1"/>
  <c r="J122" i="1"/>
  <c r="C122" i="1"/>
  <c r="D122" i="1" s="1"/>
  <c r="AM121" i="1"/>
  <c r="AH121" i="1"/>
  <c r="Z121" i="1"/>
  <c r="Y121" i="1"/>
  <c r="J121" i="1"/>
  <c r="C121" i="1"/>
  <c r="D121" i="1" s="1"/>
  <c r="AM120" i="1"/>
  <c r="AH120" i="1"/>
  <c r="Z120" i="1"/>
  <c r="Y120" i="1"/>
  <c r="J120" i="1"/>
  <c r="C120" i="1"/>
  <c r="D120" i="1" s="1"/>
  <c r="AM119" i="1"/>
  <c r="AH119" i="1"/>
  <c r="Z119" i="1"/>
  <c r="Y119" i="1"/>
  <c r="J119" i="1"/>
  <c r="C119" i="1"/>
  <c r="D119" i="1" s="1"/>
  <c r="AM118" i="1"/>
  <c r="AH118" i="1"/>
  <c r="Z118" i="1"/>
  <c r="Y118" i="1"/>
  <c r="J118" i="1"/>
  <c r="C118" i="1"/>
  <c r="D118" i="1" s="1"/>
  <c r="AM117" i="1"/>
  <c r="AH117" i="1"/>
  <c r="Z117" i="1"/>
  <c r="Y117" i="1"/>
  <c r="J117" i="1"/>
  <c r="C117" i="1"/>
  <c r="D117" i="1" s="1"/>
  <c r="AM116" i="1"/>
  <c r="AH116" i="1"/>
  <c r="Z116" i="1"/>
  <c r="Y116" i="1"/>
  <c r="J116" i="1"/>
  <c r="C116" i="1"/>
  <c r="D116" i="1" s="1"/>
  <c r="AM115" i="1"/>
  <c r="AH115" i="1"/>
  <c r="Z115" i="1"/>
  <c r="Y115" i="1"/>
  <c r="J115" i="1"/>
  <c r="C115" i="1"/>
  <c r="D115" i="1" s="1"/>
  <c r="AM114" i="1"/>
  <c r="AH114" i="1"/>
  <c r="Z114" i="1"/>
  <c r="Y114" i="1"/>
  <c r="J114" i="1"/>
  <c r="C114" i="1"/>
  <c r="D114" i="1" s="1"/>
  <c r="AM113" i="1"/>
  <c r="AH113" i="1"/>
  <c r="Z113" i="1"/>
  <c r="Y113" i="1"/>
  <c r="J113" i="1"/>
  <c r="C113" i="1"/>
  <c r="D113" i="1" s="1"/>
  <c r="AM112" i="1"/>
  <c r="AH112" i="1"/>
  <c r="Z112" i="1"/>
  <c r="Y112" i="1"/>
  <c r="J112" i="1"/>
  <c r="C112" i="1"/>
  <c r="D112" i="1" s="1"/>
  <c r="AM111" i="1"/>
  <c r="AH111" i="1"/>
  <c r="Z111" i="1"/>
  <c r="Y111" i="1"/>
  <c r="J111" i="1"/>
  <c r="C111" i="1"/>
  <c r="D111" i="1" s="1"/>
  <c r="AM110" i="1"/>
  <c r="AH110" i="1"/>
  <c r="Z110" i="1"/>
  <c r="Y110" i="1"/>
  <c r="J110" i="1"/>
  <c r="C110" i="1"/>
  <c r="D110" i="1" s="1"/>
  <c r="AM109" i="1"/>
  <c r="AH109" i="1"/>
  <c r="Z109" i="1"/>
  <c r="Y109" i="1"/>
  <c r="J109" i="1"/>
  <c r="C109" i="1"/>
  <c r="D109" i="1" s="1"/>
  <c r="AM108" i="1"/>
  <c r="AH108" i="1"/>
  <c r="Z108" i="1"/>
  <c r="Y108" i="1"/>
  <c r="J108" i="1"/>
  <c r="C108" i="1"/>
  <c r="D108" i="1" s="1"/>
  <c r="AM107" i="1"/>
  <c r="AH107" i="1"/>
  <c r="Z107" i="1"/>
  <c r="Y107" i="1"/>
  <c r="J107" i="1"/>
  <c r="AC107" i="1" s="1"/>
  <c r="C107" i="1"/>
  <c r="D107" i="1" s="1"/>
  <c r="AM106" i="1"/>
  <c r="AH106" i="1"/>
  <c r="Z106" i="1"/>
  <c r="Y106" i="1"/>
  <c r="J106" i="1"/>
  <c r="C106" i="1"/>
  <c r="D106" i="1" s="1"/>
  <c r="AM105" i="1"/>
  <c r="AH105" i="1"/>
  <c r="Z105" i="1"/>
  <c r="Y105" i="1"/>
  <c r="J105" i="1"/>
  <c r="C105" i="1"/>
  <c r="D105" i="1" s="1"/>
  <c r="AM104" i="1"/>
  <c r="AH104" i="1"/>
  <c r="Z104" i="1"/>
  <c r="Y104" i="1"/>
  <c r="J104" i="1"/>
  <c r="C104" i="1"/>
  <c r="D104" i="1" s="1"/>
  <c r="AM103" i="1"/>
  <c r="AH103" i="1"/>
  <c r="Z103" i="1"/>
  <c r="Y103" i="1"/>
  <c r="J103" i="1"/>
  <c r="C103" i="1"/>
  <c r="D103" i="1" s="1"/>
  <c r="AM102" i="1"/>
  <c r="AH102" i="1"/>
  <c r="Z102" i="1"/>
  <c r="Y102" i="1"/>
  <c r="J102" i="1"/>
  <c r="C102" i="1"/>
  <c r="D102" i="1" s="1"/>
  <c r="AM101" i="1"/>
  <c r="AH101" i="1"/>
  <c r="Z101" i="1"/>
  <c r="Y101" i="1"/>
  <c r="J101" i="1"/>
  <c r="C101" i="1"/>
  <c r="D101" i="1" s="1"/>
  <c r="AM100" i="1"/>
  <c r="AH100" i="1"/>
  <c r="Z100" i="1"/>
  <c r="Y100" i="1"/>
  <c r="J100" i="1"/>
  <c r="C100" i="1"/>
  <c r="D100" i="1" s="1"/>
  <c r="AM99" i="1"/>
  <c r="AH99" i="1"/>
  <c r="Z99" i="1"/>
  <c r="Y99" i="1"/>
  <c r="J99" i="1"/>
  <c r="C99" i="1"/>
  <c r="D99" i="1" s="1"/>
  <c r="AM98" i="1"/>
  <c r="AH98" i="1"/>
  <c r="Z98" i="1"/>
  <c r="Y98" i="1"/>
  <c r="J98" i="1"/>
  <c r="C98" i="1"/>
  <c r="D98" i="1" s="1"/>
  <c r="AM97" i="1"/>
  <c r="AH97" i="1"/>
  <c r="Z97" i="1"/>
  <c r="Y97" i="1"/>
  <c r="J97" i="1"/>
  <c r="C97" i="1"/>
  <c r="D97" i="1" s="1"/>
  <c r="AM96" i="1"/>
  <c r="AH96" i="1"/>
  <c r="Z96" i="1"/>
  <c r="Y96" i="1"/>
  <c r="J96" i="1"/>
  <c r="C96" i="1"/>
  <c r="D96" i="1" s="1"/>
  <c r="AM95" i="1"/>
  <c r="AH95" i="1"/>
  <c r="Z95" i="1"/>
  <c r="Y95" i="1"/>
  <c r="J95" i="1"/>
  <c r="C95" i="1"/>
  <c r="D95" i="1" s="1"/>
  <c r="AM94" i="1"/>
  <c r="AH94" i="1"/>
  <c r="Z94" i="1"/>
  <c r="Y94" i="1"/>
  <c r="J94" i="1"/>
  <c r="C94" i="1"/>
  <c r="D94" i="1" s="1"/>
  <c r="AM93" i="1"/>
  <c r="AH93" i="1"/>
  <c r="Z93" i="1"/>
  <c r="Y93" i="1"/>
  <c r="J93" i="1"/>
  <c r="C93" i="1"/>
  <c r="D93" i="1" s="1"/>
  <c r="AM92" i="1"/>
  <c r="AH92" i="1"/>
  <c r="Z92" i="1"/>
  <c r="Y92" i="1"/>
  <c r="J92" i="1"/>
  <c r="C92" i="1"/>
  <c r="D92" i="1" s="1"/>
  <c r="AM91" i="1"/>
  <c r="AH91" i="1"/>
  <c r="Z91" i="1"/>
  <c r="Y91" i="1"/>
  <c r="J91" i="1"/>
  <c r="C91" i="1"/>
  <c r="D91" i="1" s="1"/>
  <c r="AM90" i="1"/>
  <c r="AH90" i="1"/>
  <c r="Z90" i="1"/>
  <c r="Y90" i="1"/>
  <c r="J90" i="1"/>
  <c r="C90" i="1"/>
  <c r="D90" i="1" s="1"/>
  <c r="AM89" i="1"/>
  <c r="AH89" i="1"/>
  <c r="Z89" i="1"/>
  <c r="Y89" i="1"/>
  <c r="J89" i="1"/>
  <c r="C89" i="1"/>
  <c r="D89" i="1" s="1"/>
  <c r="AM88" i="1"/>
  <c r="AH88" i="1"/>
  <c r="Z88" i="1"/>
  <c r="Y88" i="1"/>
  <c r="J88" i="1"/>
  <c r="C88" i="1"/>
  <c r="D88" i="1" s="1"/>
  <c r="AM87" i="1"/>
  <c r="AH87" i="1"/>
  <c r="Z87" i="1"/>
  <c r="Y87" i="1"/>
  <c r="J87" i="1"/>
  <c r="C87" i="1"/>
  <c r="D87" i="1" s="1"/>
  <c r="AM86" i="1"/>
  <c r="AH86" i="1"/>
  <c r="Z86" i="1"/>
  <c r="Y86" i="1"/>
  <c r="J86" i="1"/>
  <c r="C86" i="1"/>
  <c r="D86" i="1" s="1"/>
  <c r="AM85" i="1"/>
  <c r="AH85" i="1"/>
  <c r="Z85" i="1"/>
  <c r="Y85" i="1"/>
  <c r="S85" i="1"/>
  <c r="T85" i="1" s="1"/>
  <c r="P85" i="1"/>
  <c r="M85" i="1" s="1"/>
  <c r="L85" i="1"/>
  <c r="J85" i="1"/>
  <c r="C85" i="1"/>
  <c r="D85" i="1" s="1"/>
  <c r="AM84" i="1"/>
  <c r="AH84" i="1"/>
  <c r="Z84" i="1"/>
  <c r="Y84" i="1"/>
  <c r="J84" i="1"/>
  <c r="C84" i="1"/>
  <c r="D84" i="1" s="1"/>
  <c r="AM83" i="1"/>
  <c r="AH83" i="1"/>
  <c r="Z83" i="1"/>
  <c r="Y83" i="1"/>
  <c r="J83" i="1"/>
  <c r="C83" i="1"/>
  <c r="D83" i="1" s="1"/>
  <c r="AM82" i="1"/>
  <c r="AH82" i="1"/>
  <c r="Z82" i="1"/>
  <c r="Y82" i="1"/>
  <c r="J82" i="1"/>
  <c r="C82" i="1"/>
  <c r="D82" i="1" s="1"/>
  <c r="AM81" i="1"/>
  <c r="AH81" i="1"/>
  <c r="Z81" i="1"/>
  <c r="Y81" i="1"/>
  <c r="J81" i="1"/>
  <c r="C81" i="1"/>
  <c r="D81" i="1" s="1"/>
  <c r="AM80" i="1"/>
  <c r="AH80" i="1"/>
  <c r="Z80" i="1"/>
  <c r="Y80" i="1"/>
  <c r="J80" i="1"/>
  <c r="C80" i="1"/>
  <c r="D80" i="1" s="1"/>
  <c r="AM79" i="1"/>
  <c r="AH79" i="1"/>
  <c r="Z79" i="1"/>
  <c r="Y79" i="1"/>
  <c r="J79" i="1"/>
  <c r="C79" i="1"/>
  <c r="D79" i="1" s="1"/>
  <c r="AM78" i="1"/>
  <c r="AH78" i="1"/>
  <c r="Z78" i="1"/>
  <c r="Y78" i="1"/>
  <c r="J78" i="1"/>
  <c r="C78" i="1"/>
  <c r="D78" i="1" s="1"/>
  <c r="AM77" i="1"/>
  <c r="AH77" i="1"/>
  <c r="Z77" i="1"/>
  <c r="Y77" i="1"/>
  <c r="J77" i="1"/>
  <c r="C77" i="1"/>
  <c r="D77" i="1" s="1"/>
  <c r="AM76" i="1"/>
  <c r="AH76" i="1"/>
  <c r="Z76" i="1"/>
  <c r="Y76" i="1"/>
  <c r="J76" i="1"/>
  <c r="C76" i="1"/>
  <c r="D76" i="1" s="1"/>
  <c r="AM75" i="1"/>
  <c r="AH75" i="1"/>
  <c r="Z75" i="1"/>
  <c r="Y75" i="1"/>
  <c r="J75" i="1"/>
  <c r="C75" i="1"/>
  <c r="D75" i="1" s="1"/>
  <c r="AM74" i="1"/>
  <c r="AH74" i="1"/>
  <c r="Z74" i="1"/>
  <c r="Y74" i="1"/>
  <c r="J74" i="1"/>
  <c r="C74" i="1"/>
  <c r="D74" i="1" s="1"/>
  <c r="AM73" i="1"/>
  <c r="AH73" i="1"/>
  <c r="Z73" i="1"/>
  <c r="Y73" i="1"/>
  <c r="J73" i="1"/>
  <c r="C73" i="1"/>
  <c r="D73" i="1" s="1"/>
  <c r="AM72" i="1"/>
  <c r="AH72" i="1"/>
  <c r="Z72" i="1"/>
  <c r="Y72" i="1"/>
  <c r="J72" i="1"/>
  <c r="C72" i="1"/>
  <c r="D72" i="1" s="1"/>
  <c r="AM71" i="1"/>
  <c r="AH71" i="1"/>
  <c r="Z71" i="1"/>
  <c r="Y71" i="1"/>
  <c r="J71" i="1"/>
  <c r="C71" i="1"/>
  <c r="D71" i="1" s="1"/>
  <c r="AM70" i="1"/>
  <c r="AH70" i="1"/>
  <c r="Z70" i="1"/>
  <c r="Y70" i="1"/>
  <c r="J70" i="1"/>
  <c r="C70" i="1"/>
  <c r="D70" i="1" s="1"/>
  <c r="AM69" i="1"/>
  <c r="AH69" i="1"/>
  <c r="Z69" i="1"/>
  <c r="Y69" i="1"/>
  <c r="J69" i="1"/>
  <c r="C69" i="1"/>
  <c r="D69" i="1" s="1"/>
  <c r="AM68" i="1"/>
  <c r="AH68" i="1"/>
  <c r="Z68" i="1"/>
  <c r="Y68" i="1"/>
  <c r="J68" i="1"/>
  <c r="C68" i="1"/>
  <c r="D68" i="1" s="1"/>
  <c r="AM67" i="1"/>
  <c r="AH67" i="1"/>
  <c r="Z67" i="1"/>
  <c r="Y67" i="1"/>
  <c r="J67" i="1"/>
  <c r="C67" i="1"/>
  <c r="D67" i="1" s="1"/>
  <c r="AM66" i="1"/>
  <c r="AH66" i="1"/>
  <c r="Z66" i="1"/>
  <c r="Y66" i="1"/>
  <c r="J66" i="1"/>
  <c r="C66" i="1"/>
  <c r="D66" i="1" s="1"/>
  <c r="AM65" i="1"/>
  <c r="AH65" i="1"/>
  <c r="Z65" i="1"/>
  <c r="Y65" i="1"/>
  <c r="J65" i="1"/>
  <c r="C65" i="1"/>
  <c r="D65" i="1" s="1"/>
  <c r="AM64" i="1"/>
  <c r="AH64" i="1"/>
  <c r="Z64" i="1"/>
  <c r="Y64" i="1"/>
  <c r="J64" i="1"/>
  <c r="C64" i="1"/>
  <c r="D64" i="1" s="1"/>
  <c r="AM63" i="1"/>
  <c r="AH63" i="1"/>
  <c r="Z63" i="1"/>
  <c r="Y63" i="1"/>
  <c r="J63" i="1"/>
  <c r="C63" i="1"/>
  <c r="D63" i="1" s="1"/>
  <c r="AM62" i="1"/>
  <c r="AH62" i="1"/>
  <c r="Z62" i="1"/>
  <c r="Y62" i="1"/>
  <c r="J62" i="1"/>
  <c r="C62" i="1"/>
  <c r="D62" i="1" s="1"/>
  <c r="AM61" i="1"/>
  <c r="AH61" i="1"/>
  <c r="Z61" i="1"/>
  <c r="Y61" i="1"/>
  <c r="J61" i="1"/>
  <c r="C61" i="1"/>
  <c r="D61" i="1" s="1"/>
  <c r="AM60" i="1"/>
  <c r="AH60" i="1"/>
  <c r="Z60" i="1"/>
  <c r="Y60" i="1"/>
  <c r="J60" i="1"/>
  <c r="C60" i="1"/>
  <c r="D60" i="1" s="1"/>
  <c r="AM59" i="1"/>
  <c r="AH59" i="1"/>
  <c r="Z59" i="1"/>
  <c r="Y59" i="1"/>
  <c r="J59" i="1"/>
  <c r="C59" i="1"/>
  <c r="D59" i="1" s="1"/>
  <c r="AM58" i="1"/>
  <c r="AH58" i="1"/>
  <c r="Z58" i="1"/>
  <c r="Y58" i="1"/>
  <c r="J58" i="1"/>
  <c r="C58" i="1"/>
  <c r="D58" i="1" s="1"/>
  <c r="AM57" i="1"/>
  <c r="AH57" i="1"/>
  <c r="Z57" i="1"/>
  <c r="Y57" i="1"/>
  <c r="J57" i="1"/>
  <c r="C57" i="1"/>
  <c r="D57" i="1" s="1"/>
  <c r="AM56" i="1"/>
  <c r="AH56" i="1"/>
  <c r="Z56" i="1"/>
  <c r="Y56" i="1"/>
  <c r="J56" i="1"/>
  <c r="C56" i="1"/>
  <c r="D56" i="1" s="1"/>
  <c r="AM55" i="1"/>
  <c r="AH55" i="1"/>
  <c r="Z55" i="1"/>
  <c r="Y55" i="1"/>
  <c r="J55" i="1"/>
  <c r="C55" i="1"/>
  <c r="D55" i="1" s="1"/>
  <c r="AM54" i="1"/>
  <c r="AH54" i="1"/>
  <c r="Z54" i="1"/>
  <c r="Y54" i="1"/>
  <c r="J54" i="1"/>
  <c r="C54" i="1"/>
  <c r="D54" i="1" s="1"/>
  <c r="AM53" i="1"/>
  <c r="AH53" i="1"/>
  <c r="Z53" i="1"/>
  <c r="Y53" i="1"/>
  <c r="J53" i="1"/>
  <c r="C53" i="1"/>
  <c r="D53" i="1" s="1"/>
  <c r="AM52" i="1"/>
  <c r="AH52" i="1"/>
  <c r="Z52" i="1"/>
  <c r="Y52" i="1"/>
  <c r="J52" i="1"/>
  <c r="C52" i="1"/>
  <c r="D52" i="1" s="1"/>
  <c r="AM51" i="1"/>
  <c r="AH51" i="1"/>
  <c r="Z51" i="1"/>
  <c r="Y51" i="1"/>
  <c r="J51" i="1"/>
  <c r="C51" i="1"/>
  <c r="D51" i="1" s="1"/>
  <c r="AM50" i="1"/>
  <c r="AH50" i="1"/>
  <c r="Z50" i="1"/>
  <c r="Y50" i="1"/>
  <c r="J50" i="1"/>
  <c r="C50" i="1"/>
  <c r="D50" i="1" s="1"/>
  <c r="AM49" i="1"/>
  <c r="AH49" i="1"/>
  <c r="Z49" i="1"/>
  <c r="Y49" i="1"/>
  <c r="J49" i="1"/>
  <c r="C49" i="1"/>
  <c r="D49" i="1" s="1"/>
  <c r="AM48" i="1"/>
  <c r="AH48" i="1"/>
  <c r="Z48" i="1"/>
  <c r="Y48" i="1"/>
  <c r="J48" i="1"/>
  <c r="C48" i="1"/>
  <c r="D48" i="1" s="1"/>
  <c r="AM47" i="1"/>
  <c r="AH47" i="1"/>
  <c r="Z47" i="1"/>
  <c r="Y47" i="1"/>
  <c r="J47" i="1"/>
  <c r="C47" i="1"/>
  <c r="D47" i="1" s="1"/>
  <c r="AM46" i="1"/>
  <c r="AH46" i="1"/>
  <c r="Z46" i="1"/>
  <c r="Y46" i="1"/>
  <c r="J46" i="1"/>
  <c r="C46" i="1"/>
  <c r="D46" i="1" s="1"/>
  <c r="AM45" i="1"/>
  <c r="AH45" i="1"/>
  <c r="Z45" i="1"/>
  <c r="Y45" i="1"/>
  <c r="J45" i="1"/>
  <c r="C45" i="1"/>
  <c r="D45" i="1" s="1"/>
  <c r="AM44" i="1"/>
  <c r="AH44" i="1"/>
  <c r="Z44" i="1"/>
  <c r="Y44" i="1"/>
  <c r="J44" i="1"/>
  <c r="C44" i="1"/>
  <c r="D44" i="1" s="1"/>
  <c r="AM43" i="1"/>
  <c r="AH43" i="1"/>
  <c r="Z43" i="1"/>
  <c r="Y43" i="1"/>
  <c r="R43" i="1"/>
  <c r="S43" i="1" s="1"/>
  <c r="P43" i="1"/>
  <c r="O44" i="1" s="1"/>
  <c r="L43" i="1"/>
  <c r="J43" i="1"/>
  <c r="C43" i="1"/>
  <c r="D43" i="1" s="1"/>
  <c r="AM42" i="1"/>
  <c r="AH42" i="1"/>
  <c r="Z42" i="1"/>
  <c r="Y42" i="1"/>
  <c r="J42" i="1"/>
  <c r="C42" i="1"/>
  <c r="D42" i="1" s="1"/>
  <c r="AM41" i="1"/>
  <c r="AH41" i="1"/>
  <c r="Z41" i="1"/>
  <c r="Y41" i="1"/>
  <c r="J41" i="1"/>
  <c r="C41" i="1"/>
  <c r="D41" i="1" s="1"/>
  <c r="AM40" i="1"/>
  <c r="AH40" i="1"/>
  <c r="Z40" i="1"/>
  <c r="Y40" i="1"/>
  <c r="J40" i="1"/>
  <c r="C40" i="1"/>
  <c r="D40" i="1" s="1"/>
  <c r="AM39" i="1"/>
  <c r="AH39" i="1"/>
  <c r="Z39" i="1"/>
  <c r="Y39" i="1"/>
  <c r="J39" i="1"/>
  <c r="C39" i="1"/>
  <c r="D39" i="1" s="1"/>
  <c r="AM38" i="1"/>
  <c r="AH38" i="1"/>
  <c r="Z38" i="1"/>
  <c r="Y38" i="1"/>
  <c r="J38" i="1"/>
  <c r="AD38" i="1" s="1"/>
  <c r="C38" i="1"/>
  <c r="D38" i="1" s="1"/>
  <c r="AM37" i="1"/>
  <c r="AH37" i="1"/>
  <c r="Z37" i="1"/>
  <c r="Y37" i="1"/>
  <c r="J37" i="1"/>
  <c r="C37" i="1"/>
  <c r="D37" i="1" s="1"/>
  <c r="AM36" i="1"/>
  <c r="AH36" i="1"/>
  <c r="Z36" i="1"/>
  <c r="Y36" i="1"/>
  <c r="J36" i="1"/>
  <c r="C36" i="1"/>
  <c r="D36" i="1" s="1"/>
  <c r="AM35" i="1"/>
  <c r="AH35" i="1"/>
  <c r="Z35" i="1"/>
  <c r="Y35" i="1"/>
  <c r="J35" i="1"/>
  <c r="C35" i="1"/>
  <c r="D35" i="1" s="1"/>
  <c r="AM34" i="1"/>
  <c r="AH34" i="1"/>
  <c r="Z34" i="1"/>
  <c r="Y34" i="1"/>
  <c r="J34" i="1"/>
  <c r="C34" i="1"/>
  <c r="D34" i="1" s="1"/>
  <c r="AM33" i="1"/>
  <c r="AH33" i="1"/>
  <c r="Z33" i="1"/>
  <c r="Y33" i="1"/>
  <c r="J33" i="1"/>
  <c r="C33" i="1"/>
  <c r="D33" i="1" s="1"/>
  <c r="AM32" i="1"/>
  <c r="AH32" i="1"/>
  <c r="Z32" i="1"/>
  <c r="Y32" i="1"/>
  <c r="J32" i="1"/>
  <c r="C32" i="1"/>
  <c r="D32" i="1" s="1"/>
  <c r="AM31" i="1"/>
  <c r="AH31" i="1"/>
  <c r="Z31" i="1"/>
  <c r="Y31" i="1"/>
  <c r="J31" i="1"/>
  <c r="C31" i="1"/>
  <c r="D31" i="1" s="1"/>
  <c r="AM30" i="1"/>
  <c r="AH30" i="1"/>
  <c r="Z30" i="1"/>
  <c r="Y30" i="1"/>
  <c r="J30" i="1"/>
  <c r="C30" i="1"/>
  <c r="D30" i="1" s="1"/>
  <c r="AM29" i="1"/>
  <c r="AH29" i="1"/>
  <c r="Z29" i="1"/>
  <c r="Y29" i="1"/>
  <c r="J29" i="1"/>
  <c r="C29" i="1"/>
  <c r="D29" i="1" s="1"/>
  <c r="AM28" i="1"/>
  <c r="AH28" i="1"/>
  <c r="Z28" i="1"/>
  <c r="Y28" i="1"/>
  <c r="J28" i="1"/>
  <c r="C28" i="1"/>
  <c r="D28" i="1" s="1"/>
  <c r="AM27" i="1"/>
  <c r="AH27" i="1"/>
  <c r="Z27" i="1"/>
  <c r="Y27" i="1"/>
  <c r="J27" i="1"/>
  <c r="C27" i="1"/>
  <c r="D27" i="1" s="1"/>
  <c r="AM26" i="1"/>
  <c r="AH26" i="1"/>
  <c r="Z26" i="1"/>
  <c r="Y26" i="1"/>
  <c r="J26" i="1"/>
  <c r="C26" i="1"/>
  <c r="D26" i="1" s="1"/>
  <c r="AM25" i="1"/>
  <c r="AH25" i="1"/>
  <c r="Z25" i="1"/>
  <c r="Y25" i="1"/>
  <c r="J25" i="1"/>
  <c r="C25" i="1"/>
  <c r="D25" i="1" s="1"/>
  <c r="AM24" i="1"/>
  <c r="AH24" i="1"/>
  <c r="Z24" i="1"/>
  <c r="Y24" i="1"/>
  <c r="J24" i="1"/>
  <c r="C24" i="1"/>
  <c r="D24" i="1" s="1"/>
  <c r="AM23" i="1"/>
  <c r="AH23" i="1"/>
  <c r="Z23" i="1"/>
  <c r="Y23" i="1"/>
  <c r="J23" i="1"/>
  <c r="C23" i="1"/>
  <c r="D23" i="1" s="1"/>
  <c r="AM22" i="1"/>
  <c r="AH22" i="1"/>
  <c r="Z22" i="1"/>
  <c r="Y22" i="1"/>
  <c r="J22" i="1"/>
  <c r="C22" i="1"/>
  <c r="D22" i="1" s="1"/>
  <c r="AM21" i="1"/>
  <c r="AH21" i="1"/>
  <c r="Z21" i="1"/>
  <c r="Y21" i="1"/>
  <c r="J21" i="1"/>
  <c r="C21" i="1"/>
  <c r="D21" i="1" s="1"/>
  <c r="AM20" i="1"/>
  <c r="AH20" i="1"/>
  <c r="Z20" i="1"/>
  <c r="Y20" i="1"/>
  <c r="J20" i="1"/>
  <c r="C20" i="1"/>
  <c r="D20" i="1" s="1"/>
  <c r="AM19" i="1"/>
  <c r="AH19" i="1"/>
  <c r="Z19" i="1"/>
  <c r="Y19" i="1"/>
  <c r="J19" i="1"/>
  <c r="C19" i="1"/>
  <c r="D19" i="1" s="1"/>
  <c r="AM18" i="1"/>
  <c r="AH18" i="1"/>
  <c r="Z18" i="1"/>
  <c r="Y18" i="1"/>
  <c r="J18" i="1"/>
  <c r="C18" i="1"/>
  <c r="D18" i="1" s="1"/>
  <c r="AM17" i="1"/>
  <c r="AH17" i="1"/>
  <c r="Z17" i="1"/>
  <c r="Y17" i="1"/>
  <c r="J17" i="1"/>
  <c r="C17" i="1"/>
  <c r="D17" i="1" s="1"/>
  <c r="AM16" i="1"/>
  <c r="AH16" i="1"/>
  <c r="Z16" i="1"/>
  <c r="Y16" i="1"/>
  <c r="J16" i="1"/>
  <c r="AD16" i="1" s="1"/>
  <c r="C16" i="1"/>
  <c r="D16" i="1" s="1"/>
  <c r="AM15" i="1"/>
  <c r="AH15" i="1"/>
  <c r="Z15" i="1"/>
  <c r="Y15" i="1"/>
  <c r="J15" i="1"/>
  <c r="C15" i="1"/>
  <c r="D15" i="1" s="1"/>
  <c r="AM14" i="1"/>
  <c r="AH14" i="1"/>
  <c r="Z14" i="1"/>
  <c r="Y14" i="1"/>
  <c r="J14" i="1"/>
  <c r="AD14" i="1" s="1"/>
  <c r="C14" i="1"/>
  <c r="D14" i="1" s="1"/>
  <c r="AM13" i="1"/>
  <c r="AH13" i="1"/>
  <c r="Z13" i="1"/>
  <c r="Y13" i="1"/>
  <c r="J13" i="1"/>
  <c r="C13" i="1"/>
  <c r="D13" i="1" s="1"/>
  <c r="AM12" i="1"/>
  <c r="AH12" i="1"/>
  <c r="Z12" i="1"/>
  <c r="Y12" i="1"/>
  <c r="J12" i="1"/>
  <c r="C12" i="1"/>
  <c r="D12" i="1" s="1"/>
  <c r="AM11" i="1"/>
  <c r="AH11" i="1"/>
  <c r="Z11" i="1"/>
  <c r="Y11" i="1"/>
  <c r="J11" i="1"/>
  <c r="C11" i="1"/>
  <c r="D11" i="1" s="1"/>
  <c r="AM10" i="1"/>
  <c r="AH10" i="1"/>
  <c r="Z10" i="1"/>
  <c r="Y10" i="1"/>
  <c r="J10" i="1"/>
  <c r="C10" i="1"/>
  <c r="D10" i="1" s="1"/>
  <c r="AM9" i="1"/>
  <c r="AH9" i="1"/>
  <c r="Z9" i="1"/>
  <c r="Y9" i="1"/>
  <c r="J9" i="1"/>
  <c r="C9" i="1"/>
  <c r="D9" i="1" s="1"/>
  <c r="AM8" i="1"/>
  <c r="AH8" i="1"/>
  <c r="Z8" i="1"/>
  <c r="Y8" i="1"/>
  <c r="J8" i="1"/>
  <c r="C8" i="1"/>
  <c r="D8" i="1" s="1"/>
  <c r="AM7" i="1"/>
  <c r="AH7" i="1"/>
  <c r="Z7" i="1"/>
  <c r="Y7" i="1"/>
  <c r="J7" i="1"/>
  <c r="C7" i="1"/>
  <c r="D7" i="1" s="1"/>
  <c r="AM6" i="1"/>
  <c r="AH6" i="1"/>
  <c r="Z6" i="1"/>
  <c r="Y6" i="1"/>
  <c r="J6" i="1"/>
  <c r="C6" i="1"/>
  <c r="D6" i="1" s="1"/>
  <c r="AM5" i="1"/>
  <c r="AH5" i="1"/>
  <c r="Z5" i="1"/>
  <c r="Y5" i="1"/>
  <c r="J5" i="1"/>
  <c r="C5" i="1"/>
  <c r="D5" i="1" s="1"/>
  <c r="AM4" i="1"/>
  <c r="AH4" i="1"/>
  <c r="Z4" i="1"/>
  <c r="Y4" i="1"/>
  <c r="J4" i="1"/>
  <c r="C4" i="1"/>
  <c r="D4" i="1" s="1"/>
  <c r="AM3" i="1"/>
  <c r="AH3" i="1"/>
  <c r="Z3" i="1"/>
  <c r="Y3" i="1"/>
  <c r="J3" i="1"/>
  <c r="C3" i="1"/>
  <c r="D3" i="1" s="1"/>
  <c r="AM2" i="1"/>
  <c r="AH2" i="1"/>
  <c r="Z2" i="1"/>
  <c r="Y2" i="1"/>
  <c r="R2" i="1"/>
  <c r="P2" i="1"/>
  <c r="M2" i="1"/>
  <c r="N2" i="1" s="1"/>
  <c r="J2" i="1"/>
  <c r="C2" i="1"/>
  <c r="D2" i="1" s="1"/>
  <c r="M1126" i="1" l="1"/>
  <c r="L1127" i="1" s="1"/>
  <c r="N1126" i="1"/>
  <c r="AC1125" i="1"/>
  <c r="AA1155" i="1"/>
  <c r="AB1155" i="1" s="1"/>
  <c r="AC1155" i="1"/>
  <c r="AM1187" i="1"/>
  <c r="AL1187" i="1"/>
  <c r="AN1187" i="1" s="1"/>
  <c r="L1195" i="1"/>
  <c r="N1194" i="1"/>
  <c r="AL1126" i="1"/>
  <c r="AN1126" i="1" s="1"/>
  <c r="AA1130" i="1"/>
  <c r="AB1130" i="1" s="1"/>
  <c r="AL1131" i="1"/>
  <c r="AN1131" i="1" s="1"/>
  <c r="AM1142" i="1"/>
  <c r="AL1142" i="1"/>
  <c r="AN1142" i="1" s="1"/>
  <c r="AM1146" i="1"/>
  <c r="AL1146" i="1"/>
  <c r="AN1146" i="1" s="1"/>
  <c r="AL1151" i="1"/>
  <c r="AN1151" i="1" s="1"/>
  <c r="AL1175" i="1"/>
  <c r="AN1175" i="1" s="1"/>
  <c r="AC1206" i="1"/>
  <c r="AA1206" i="1"/>
  <c r="AB1206" i="1" s="1"/>
  <c r="AM1225" i="1"/>
  <c r="AL1225" i="1"/>
  <c r="AN1225" i="1" s="1"/>
  <c r="AA1124" i="1"/>
  <c r="AB1124" i="1" s="1"/>
  <c r="AA1132" i="1"/>
  <c r="AB1132" i="1" s="1"/>
  <c r="AC1140" i="1"/>
  <c r="AM1147" i="1"/>
  <c r="AL1147" i="1"/>
  <c r="AN1147" i="1" s="1"/>
  <c r="AM1168" i="1"/>
  <c r="AL1168" i="1"/>
  <c r="AN1168" i="1" s="1"/>
  <c r="P1196" i="1"/>
  <c r="O1197" i="1" s="1"/>
  <c r="AC1198" i="1"/>
  <c r="AA1198" i="1"/>
  <c r="AB1198" i="1" s="1"/>
  <c r="N1125" i="1"/>
  <c r="AA1127" i="1"/>
  <c r="AB1127" i="1" s="1"/>
  <c r="AM1139" i="1"/>
  <c r="AL1139" i="1"/>
  <c r="AN1139" i="1" s="1"/>
  <c r="AL1148" i="1"/>
  <c r="AN1148" i="1" s="1"/>
  <c r="AC1161" i="1"/>
  <c r="AA1161" i="1"/>
  <c r="AB1161" i="1" s="1"/>
  <c r="AL1178" i="1"/>
  <c r="AN1178" i="1" s="1"/>
  <c r="AM1182" i="1"/>
  <c r="AL1182" i="1"/>
  <c r="AN1182" i="1" s="1"/>
  <c r="Q1195" i="1"/>
  <c r="AL1128" i="1"/>
  <c r="AN1128" i="1" s="1"/>
  <c r="AA1129" i="1"/>
  <c r="AB1129" i="1" s="1"/>
  <c r="AA1138" i="1"/>
  <c r="AB1138" i="1" s="1"/>
  <c r="AC1145" i="1"/>
  <c r="AA1145" i="1"/>
  <c r="AB1145" i="1" s="1"/>
  <c r="AA1162" i="1"/>
  <c r="AB1162" i="1" s="1"/>
  <c r="AA1164" i="1"/>
  <c r="AB1164" i="1" s="1"/>
  <c r="AC1164" i="1"/>
  <c r="AC1171" i="1"/>
  <c r="AA1171" i="1"/>
  <c r="AB1171" i="1" s="1"/>
  <c r="AA1193" i="1"/>
  <c r="AB1193" i="1" s="1"/>
  <c r="P1125" i="1"/>
  <c r="O1126" i="1" s="1"/>
  <c r="AL1125" i="1"/>
  <c r="AN1125" i="1" s="1"/>
  <c r="AD1136" i="1"/>
  <c r="AL1137" i="1"/>
  <c r="AN1137" i="1" s="1"/>
  <c r="AA1141" i="1"/>
  <c r="AB1141" i="1" s="1"/>
  <c r="AC1188" i="1"/>
  <c r="AA1188" i="1"/>
  <c r="AB1188" i="1" s="1"/>
  <c r="AA1133" i="1"/>
  <c r="AB1133" i="1" s="1"/>
  <c r="AL1154" i="1"/>
  <c r="AN1154" i="1" s="1"/>
  <c r="AC1163" i="1"/>
  <c r="AA1167" i="1"/>
  <c r="AB1167" i="1" s="1"/>
  <c r="AA1126" i="1"/>
  <c r="AB1126" i="1" s="1"/>
  <c r="AM1130" i="1"/>
  <c r="AL1130" i="1"/>
  <c r="AN1130" i="1" s="1"/>
  <c r="AL1132" i="1"/>
  <c r="AN1132" i="1" s="1"/>
  <c r="AA1135" i="1"/>
  <c r="AB1135" i="1" s="1"/>
  <c r="AL1140" i="1"/>
  <c r="AN1140" i="1" s="1"/>
  <c r="AM1157" i="1"/>
  <c r="AC1172" i="1"/>
  <c r="AA1176" i="1"/>
  <c r="AB1176" i="1" s="1"/>
  <c r="AC1208" i="1"/>
  <c r="AE1208" i="1"/>
  <c r="AD1208" i="1"/>
  <c r="AE1212" i="1"/>
  <c r="AD1212" i="1"/>
  <c r="AC1212" i="1"/>
  <c r="AA1142" i="1"/>
  <c r="AB1142" i="1" s="1"/>
  <c r="AA1146" i="1"/>
  <c r="AB1146" i="1" s="1"/>
  <c r="AA1169" i="1"/>
  <c r="AB1169" i="1" s="1"/>
  <c r="AC1169" i="1"/>
  <c r="AC1170" i="1"/>
  <c r="AA1174" i="1"/>
  <c r="AB1174" i="1" s="1"/>
  <c r="AD1189" i="1"/>
  <c r="AA1213" i="1"/>
  <c r="AB1213" i="1" s="1"/>
  <c r="AC1213" i="1"/>
  <c r="AM1124" i="1"/>
  <c r="AL1124" i="1"/>
  <c r="AN1124" i="1" s="1"/>
  <c r="AA1128" i="1"/>
  <c r="AB1128" i="1" s="1"/>
  <c r="AA1139" i="1"/>
  <c r="AB1139" i="1" s="1"/>
  <c r="AA1152" i="1"/>
  <c r="AB1152" i="1" s="1"/>
  <c r="L1157" i="1"/>
  <c r="N1156" i="1"/>
  <c r="AC1177" i="1"/>
  <c r="AC1183" i="1"/>
  <c r="AA1183" i="1"/>
  <c r="AB1183" i="1" s="1"/>
  <c r="AC1184" i="1"/>
  <c r="AL1136" i="1"/>
  <c r="AN1136" i="1" s="1"/>
  <c r="AL1138" i="1"/>
  <c r="AN1138" i="1" s="1"/>
  <c r="AL1141" i="1"/>
  <c r="AN1141" i="1" s="1"/>
  <c r="AM1145" i="1"/>
  <c r="AC1153" i="1"/>
  <c r="AL1160" i="1"/>
  <c r="AN1160" i="1" s="1"/>
  <c r="AL1166" i="1"/>
  <c r="AN1166" i="1" s="1"/>
  <c r="AL1192" i="1"/>
  <c r="AN1192" i="1" s="1"/>
  <c r="AD1203" i="1"/>
  <c r="AA1203" i="1"/>
  <c r="AB1203" i="1" s="1"/>
  <c r="AC1143" i="1"/>
  <c r="AL1145" i="1"/>
  <c r="AN1145" i="1" s="1"/>
  <c r="AC1148" i="1"/>
  <c r="P1158" i="1"/>
  <c r="O1159" i="1" s="1"/>
  <c r="AM1170" i="1"/>
  <c r="AL1170" i="1"/>
  <c r="AN1170" i="1" s="1"/>
  <c r="AA1179" i="1"/>
  <c r="AB1179" i="1" s="1"/>
  <c r="AD1194" i="1"/>
  <c r="AC1194" i="1"/>
  <c r="AM1211" i="1"/>
  <c r="AD1217" i="1"/>
  <c r="P1232" i="1"/>
  <c r="O1233" i="1" s="1"/>
  <c r="AA1299" i="1"/>
  <c r="AB1299" i="1" s="1"/>
  <c r="AC1299" i="1"/>
  <c r="AM1207" i="1"/>
  <c r="AL1207" i="1"/>
  <c r="AN1207" i="1" s="1"/>
  <c r="AC1219" i="1"/>
  <c r="AA1219" i="1"/>
  <c r="AB1219" i="1" s="1"/>
  <c r="AL1243" i="1"/>
  <c r="AN1243" i="1" s="1"/>
  <c r="AM1243" i="1"/>
  <c r="AD1250" i="1"/>
  <c r="AA1250" i="1"/>
  <c r="AB1250" i="1" s="1"/>
  <c r="AM1269" i="1"/>
  <c r="AL1269" i="1"/>
  <c r="AN1269" i="1" s="1"/>
  <c r="AD1276" i="1"/>
  <c r="AA1276" i="1"/>
  <c r="AB1276" i="1" s="1"/>
  <c r="AM1185" i="1"/>
  <c r="AL1185" i="1"/>
  <c r="AN1185" i="1" s="1"/>
  <c r="AA1191" i="1"/>
  <c r="AB1191" i="1" s="1"/>
  <c r="AM1204" i="1"/>
  <c r="AL1204" i="1"/>
  <c r="AN1204" i="1" s="1"/>
  <c r="L1233" i="1"/>
  <c r="AD1257" i="1"/>
  <c r="AA1257" i="1"/>
  <c r="AB1257" i="1" s="1"/>
  <c r="AC1287" i="1"/>
  <c r="AA1287" i="1"/>
  <c r="AB1287" i="1" s="1"/>
  <c r="AC1231" i="1"/>
  <c r="AA1231" i="1"/>
  <c r="AB1231" i="1" s="1"/>
  <c r="AM1259" i="1"/>
  <c r="AM1272" i="1"/>
  <c r="AL1272" i="1"/>
  <c r="AN1272" i="1" s="1"/>
  <c r="AM1239" i="1"/>
  <c r="AL1239" i="1"/>
  <c r="AN1239" i="1" s="1"/>
  <c r="AC1270" i="1"/>
  <c r="AA1270" i="1"/>
  <c r="AB1270" i="1" s="1"/>
  <c r="AM1296" i="1"/>
  <c r="AL1296" i="1"/>
  <c r="AN1296" i="1" s="1"/>
  <c r="AC1186" i="1"/>
  <c r="AL1163" i="1"/>
  <c r="AN1163" i="1" s="1"/>
  <c r="AL1177" i="1"/>
  <c r="AN1177" i="1" s="1"/>
  <c r="AL1194" i="1"/>
  <c r="AN1194" i="1" s="1"/>
  <c r="AL1199" i="1"/>
  <c r="AN1199" i="1" s="1"/>
  <c r="AL1205" i="1"/>
  <c r="AN1205" i="1" s="1"/>
  <c r="AD1209" i="1"/>
  <c r="AA1232" i="1"/>
  <c r="AB1232" i="1" s="1"/>
  <c r="AL1234" i="1"/>
  <c r="AN1234" i="1" s="1"/>
  <c r="AD1245" i="1"/>
  <c r="AM1246" i="1"/>
  <c r="AA1144" i="1"/>
  <c r="AB1144" i="1" s="1"/>
  <c r="AA1157" i="1"/>
  <c r="AB1157" i="1" s="1"/>
  <c r="AL1165" i="1"/>
  <c r="AN1165" i="1" s="1"/>
  <c r="AA1166" i="1"/>
  <c r="AB1166" i="1" s="1"/>
  <c r="AA1185" i="1"/>
  <c r="AB1185" i="1" s="1"/>
  <c r="AD1207" i="1"/>
  <c r="AC1210" i="1"/>
  <c r="AC1215" i="1"/>
  <c r="AA1215" i="1"/>
  <c r="AB1215" i="1" s="1"/>
  <c r="AA1223" i="1"/>
  <c r="AB1223" i="1" s="1"/>
  <c r="AC1224" i="1"/>
  <c r="AA1154" i="1"/>
  <c r="AB1154" i="1" s="1"/>
  <c r="AM1167" i="1"/>
  <c r="AL1167" i="1"/>
  <c r="AN1167" i="1" s="1"/>
  <c r="AL1172" i="1"/>
  <c r="AN1172" i="1" s="1"/>
  <c r="AL1174" i="1"/>
  <c r="AN1174" i="1" s="1"/>
  <c r="AA1175" i="1"/>
  <c r="AB1175" i="1" s="1"/>
  <c r="AA1178" i="1"/>
  <c r="AB1178" i="1" s="1"/>
  <c r="AL1179" i="1"/>
  <c r="AN1179" i="1" s="1"/>
  <c r="AA1180" i="1"/>
  <c r="AB1180" i="1" s="1"/>
  <c r="AA1190" i="1"/>
  <c r="AB1190" i="1" s="1"/>
  <c r="AA1195" i="1"/>
  <c r="AB1195" i="1" s="1"/>
  <c r="AL1196" i="1"/>
  <c r="AN1196" i="1" s="1"/>
  <c r="AA1200" i="1"/>
  <c r="AB1200" i="1" s="1"/>
  <c r="AL1201" i="1"/>
  <c r="AN1201" i="1" s="1"/>
  <c r="AA1202" i="1"/>
  <c r="AB1202" i="1" s="1"/>
  <c r="AA1207" i="1"/>
  <c r="AB1207" i="1" s="1"/>
  <c r="AA1211" i="1"/>
  <c r="AB1211" i="1" s="1"/>
  <c r="AD1216" i="1"/>
  <c r="AD1224" i="1"/>
  <c r="AC1252" i="1"/>
  <c r="AA1252" i="1"/>
  <c r="AB1252" i="1" s="1"/>
  <c r="AD1274" i="1"/>
  <c r="AA1274" i="1"/>
  <c r="AB1274" i="1" s="1"/>
  <c r="AL1149" i="1"/>
  <c r="AN1149" i="1" s="1"/>
  <c r="AC1173" i="1"/>
  <c r="AA1197" i="1"/>
  <c r="AB1197" i="1" s="1"/>
  <c r="AM1213" i="1"/>
  <c r="AL1213" i="1"/>
  <c r="AN1213" i="1" s="1"/>
  <c r="AA1216" i="1"/>
  <c r="AB1216" i="1" s="1"/>
  <c r="AA1226" i="1"/>
  <c r="AB1226" i="1" s="1"/>
  <c r="AC1226" i="1"/>
  <c r="AM1264" i="1"/>
  <c r="AL1264" i="1"/>
  <c r="AN1264" i="1" s="1"/>
  <c r="AM1275" i="1"/>
  <c r="AL1275" i="1"/>
  <c r="AN1275" i="1" s="1"/>
  <c r="AM1298" i="1"/>
  <c r="AL1298" i="1"/>
  <c r="AN1298" i="1" s="1"/>
  <c r="AL1152" i="1"/>
  <c r="AN1152" i="1" s="1"/>
  <c r="AL1158" i="1"/>
  <c r="AN1158" i="1" s="1"/>
  <c r="AA1160" i="1"/>
  <c r="AB1160" i="1" s="1"/>
  <c r="AD1170" i="1"/>
  <c r="AM1176" i="1"/>
  <c r="AL1176" i="1"/>
  <c r="AN1176" i="1" s="1"/>
  <c r="AM1181" i="1"/>
  <c r="AL1186" i="1"/>
  <c r="AN1186" i="1" s="1"/>
  <c r="AL1191" i="1"/>
  <c r="AN1191" i="1" s="1"/>
  <c r="AC1204" i="1"/>
  <c r="AL1209" i="1"/>
  <c r="AN1209" i="1" s="1"/>
  <c r="AC1292" i="1"/>
  <c r="AA1292" i="1"/>
  <c r="AB1292" i="1" s="1"/>
  <c r="AA1147" i="1"/>
  <c r="AB1147" i="1" s="1"/>
  <c r="AA1159" i="1"/>
  <c r="AB1159" i="1" s="1"/>
  <c r="AL1181" i="1"/>
  <c r="AN1181" i="1" s="1"/>
  <c r="AA1192" i="1"/>
  <c r="AB1192" i="1" s="1"/>
  <c r="AM1198" i="1"/>
  <c r="AD1205" i="1"/>
  <c r="AM1223" i="1"/>
  <c r="AC1236" i="1"/>
  <c r="AM1255" i="1"/>
  <c r="AM1282" i="1"/>
  <c r="AM1290" i="1"/>
  <c r="AD1225" i="1"/>
  <c r="AM1277" i="1"/>
  <c r="AL1277" i="1"/>
  <c r="AN1277" i="1" s="1"/>
  <c r="AA1297" i="1"/>
  <c r="AB1297" i="1" s="1"/>
  <c r="AC1297" i="1"/>
  <c r="AC1238" i="1"/>
  <c r="AL1249" i="1"/>
  <c r="AN1249" i="1" s="1"/>
  <c r="AL1251" i="1"/>
  <c r="AN1251" i="1" s="1"/>
  <c r="AA1261" i="1"/>
  <c r="AB1261" i="1" s="1"/>
  <c r="AL1262" i="1"/>
  <c r="AN1262" i="1" s="1"/>
  <c r="P1269" i="1"/>
  <c r="O1270" i="1" s="1"/>
  <c r="AA1295" i="1"/>
  <c r="AB1295" i="1" s="1"/>
  <c r="AC1255" i="1"/>
  <c r="AA1255" i="1"/>
  <c r="AB1255" i="1" s="1"/>
  <c r="AC1259" i="1"/>
  <c r="AA1259" i="1"/>
  <c r="AB1259" i="1" s="1"/>
  <c r="AM1267" i="1"/>
  <c r="AL1267" i="1"/>
  <c r="AN1267" i="1" s="1"/>
  <c r="AA1273" i="1"/>
  <c r="AB1273" i="1" s="1"/>
  <c r="AA1282" i="1"/>
  <c r="AB1282" i="1" s="1"/>
  <c r="AA1237" i="1"/>
  <c r="AB1237" i="1" s="1"/>
  <c r="AL1245" i="1"/>
  <c r="AN1245" i="1" s="1"/>
  <c r="AA1253" i="1"/>
  <c r="AB1253" i="1" s="1"/>
  <c r="AL1258" i="1"/>
  <c r="AN1258" i="1" s="1"/>
  <c r="AA1266" i="1"/>
  <c r="AB1266" i="1" s="1"/>
  <c r="AC1278" i="1"/>
  <c r="AC1280" i="1"/>
  <c r="AA1280" i="1"/>
  <c r="AB1280" i="1" s="1"/>
  <c r="AA1284" i="1"/>
  <c r="AB1284" i="1" s="1"/>
  <c r="AL1289" i="1"/>
  <c r="AN1289" i="1" s="1"/>
  <c r="AL1294" i="1"/>
  <c r="AN1294" i="1" s="1"/>
  <c r="AC1295" i="1"/>
  <c r="AL1221" i="1"/>
  <c r="AN1221" i="1" s="1"/>
  <c r="AE1240" i="1"/>
  <c r="AD1240" i="1"/>
  <c r="AA1246" i="1"/>
  <c r="AB1246" i="1" s="1"/>
  <c r="AC1248" i="1"/>
  <c r="AL1265" i="1"/>
  <c r="AN1265" i="1" s="1"/>
  <c r="S1269" i="1"/>
  <c r="R1270" i="1" s="1"/>
  <c r="AM1279" i="1"/>
  <c r="AL1285" i="1"/>
  <c r="AN1285" i="1" s="1"/>
  <c r="AA1288" i="1"/>
  <c r="AB1288" i="1" s="1"/>
  <c r="M1269" i="1"/>
  <c r="L1270" i="1" s="1"/>
  <c r="AA1272" i="1"/>
  <c r="AB1272" i="1" s="1"/>
  <c r="AA1275" i="1"/>
  <c r="AB1275" i="1" s="1"/>
  <c r="AM1292" i="1"/>
  <c r="AL1292" i="1"/>
  <c r="AN1292" i="1" s="1"/>
  <c r="AL1297" i="1"/>
  <c r="AN1297" i="1" s="1"/>
  <c r="AA1241" i="1"/>
  <c r="AB1241" i="1" s="1"/>
  <c r="AA1247" i="1"/>
  <c r="AB1247" i="1" s="1"/>
  <c r="AA1256" i="1"/>
  <c r="AB1256" i="1" s="1"/>
  <c r="AA1260" i="1"/>
  <c r="AB1260" i="1" s="1"/>
  <c r="N1268" i="1"/>
  <c r="AL1270" i="1"/>
  <c r="AN1270" i="1" s="1"/>
  <c r="AA1277" i="1"/>
  <c r="AB1277" i="1" s="1"/>
  <c r="AC1286" i="1"/>
  <c r="AC1291" i="1"/>
  <c r="AC1214" i="1"/>
  <c r="AL1216" i="1"/>
  <c r="AN1216" i="1" s="1"/>
  <c r="AL1232" i="1"/>
  <c r="AN1232" i="1" s="1"/>
  <c r="AL1268" i="1"/>
  <c r="AN1268" i="1" s="1"/>
  <c r="AC1269" i="1"/>
  <c r="AA1269" i="1"/>
  <c r="AB1269" i="1" s="1"/>
  <c r="AC1281" i="1"/>
  <c r="AD1286" i="1"/>
  <c r="AD1291" i="1"/>
  <c r="AC1298" i="1"/>
  <c r="AL1211" i="1"/>
  <c r="AN1211" i="1" s="1"/>
  <c r="AM1220" i="1"/>
  <c r="AL1223" i="1"/>
  <c r="AN1223" i="1" s="1"/>
  <c r="AC1239" i="1"/>
  <c r="AA1243" i="1"/>
  <c r="AB1243" i="1" s="1"/>
  <c r="AL1246" i="1"/>
  <c r="AN1246" i="1" s="1"/>
  <c r="AL1255" i="1"/>
  <c r="AN1255" i="1" s="1"/>
  <c r="AL1259" i="1"/>
  <c r="AN1259" i="1" s="1"/>
  <c r="AM1261" i="1"/>
  <c r="AD1262" i="1"/>
  <c r="AL1278" i="1"/>
  <c r="AN1278" i="1" s="1"/>
  <c r="AD1281" i="1"/>
  <c r="AL1282" i="1"/>
  <c r="AN1282" i="1" s="1"/>
  <c r="AC1289" i="1"/>
  <c r="AL1290" i="1"/>
  <c r="AN1290" i="1" s="1"/>
  <c r="AA1291" i="1"/>
  <c r="AB1291" i="1" s="1"/>
  <c r="AC1300" i="1"/>
  <c r="AD1227" i="1"/>
  <c r="AL1248" i="1"/>
  <c r="AN1248" i="1" s="1"/>
  <c r="AA1249" i="1"/>
  <c r="AB1249" i="1" s="1"/>
  <c r="AA1263" i="1"/>
  <c r="AB1263" i="1" s="1"/>
  <c r="AC1265" i="1"/>
  <c r="AA1265" i="1"/>
  <c r="AB1265" i="1" s="1"/>
  <c r="AM1266" i="1"/>
  <c r="AC1271" i="1"/>
  <c r="AM1280" i="1"/>
  <c r="AA1281" i="1"/>
  <c r="AB1281" i="1" s="1"/>
  <c r="AM1284" i="1"/>
  <c r="AD1289" i="1"/>
  <c r="AD1305" i="1"/>
  <c r="AC1305" i="1"/>
  <c r="AC1290" i="1"/>
  <c r="AL1305" i="1"/>
  <c r="AN1305" i="1" s="1"/>
  <c r="AM1257" i="1"/>
  <c r="AM1276" i="1"/>
  <c r="AL1284" i="1"/>
  <c r="AN1284" i="1" s="1"/>
  <c r="AD1290" i="1"/>
  <c r="AC1293" i="1"/>
  <c r="AL1295" i="1"/>
  <c r="AN1295" i="1" s="1"/>
  <c r="AL1300" i="1"/>
  <c r="AN1300" i="1" s="1"/>
  <c r="AL1301" i="1"/>
  <c r="AN1301" i="1" s="1"/>
  <c r="AL1302" i="1"/>
  <c r="AN1302" i="1" s="1"/>
  <c r="AL1303" i="1"/>
  <c r="AN1303" i="1" s="1"/>
  <c r="AA1245" i="1"/>
  <c r="AB1245" i="1" s="1"/>
  <c r="AL1257" i="1"/>
  <c r="AN1257" i="1" s="1"/>
  <c r="AL1276" i="1"/>
  <c r="AN1276" i="1" s="1"/>
  <c r="AA1290" i="1"/>
  <c r="AB1290" i="1" s="1"/>
  <c r="AA1296" i="1"/>
  <c r="AB1296" i="1" s="1"/>
  <c r="AA815" i="1"/>
  <c r="AB815" i="1" s="1"/>
  <c r="AA773" i="1"/>
  <c r="AB773" i="1" s="1"/>
  <c r="AA1046" i="1"/>
  <c r="AB1046" i="1" s="1"/>
  <c r="AA826" i="1"/>
  <c r="AB826" i="1" s="1"/>
  <c r="AA873" i="1"/>
  <c r="AB873" i="1" s="1"/>
  <c r="AA544" i="1"/>
  <c r="AB544" i="1" s="1"/>
  <c r="AA538" i="1"/>
  <c r="AB538" i="1" s="1"/>
  <c r="AA632" i="1"/>
  <c r="AB632" i="1" s="1"/>
  <c r="AA840" i="1"/>
  <c r="AB840" i="1" s="1"/>
  <c r="AA565" i="1"/>
  <c r="AB565" i="1" s="1"/>
  <c r="AA886" i="1"/>
  <c r="AB886" i="1" s="1"/>
  <c r="AA557" i="1"/>
  <c r="AB557" i="1" s="1"/>
  <c r="AA539" i="1"/>
  <c r="AB539" i="1" s="1"/>
  <c r="AA533" i="1"/>
  <c r="AB533" i="1" s="1"/>
  <c r="AA929" i="1"/>
  <c r="AB929" i="1" s="1"/>
  <c r="AA856" i="1"/>
  <c r="AB856" i="1" s="1"/>
  <c r="AA843" i="1"/>
  <c r="AB843" i="1" s="1"/>
  <c r="AA687" i="1"/>
  <c r="AB687" i="1" s="1"/>
  <c r="AA675" i="1"/>
  <c r="AB675" i="1" s="1"/>
  <c r="AA663" i="1"/>
  <c r="AB663" i="1" s="1"/>
  <c r="AA651" i="1"/>
  <c r="AB651" i="1" s="1"/>
  <c r="AD938" i="1"/>
  <c r="AA698" i="1"/>
  <c r="AB698" i="1" s="1"/>
  <c r="AA572" i="1"/>
  <c r="AB572" i="1" s="1"/>
  <c r="AA560" i="1"/>
  <c r="AB560" i="1" s="1"/>
  <c r="AA554" i="1"/>
  <c r="AB554" i="1" s="1"/>
  <c r="AA548" i="1"/>
  <c r="AB548" i="1" s="1"/>
  <c r="AC1113" i="1"/>
  <c r="AA888" i="1"/>
  <c r="AB888" i="1" s="1"/>
  <c r="AA876" i="1"/>
  <c r="AB876" i="1" s="1"/>
  <c r="AA859" i="1"/>
  <c r="AB859" i="1" s="1"/>
  <c r="AA847" i="1"/>
  <c r="AB847" i="1" s="1"/>
  <c r="AA751" i="1"/>
  <c r="AB751" i="1" s="1"/>
  <c r="AA703" i="1"/>
  <c r="AB703" i="1" s="1"/>
  <c r="AA625" i="1"/>
  <c r="AB625" i="1" s="1"/>
  <c r="AA577" i="1"/>
  <c r="AB577" i="1" s="1"/>
  <c r="AK913" i="1"/>
  <c r="AA949" i="1"/>
  <c r="AB949" i="1" s="1"/>
  <c r="AA744" i="1"/>
  <c r="AB744" i="1" s="1"/>
  <c r="AA648" i="1"/>
  <c r="AB648" i="1" s="1"/>
  <c r="AK900" i="1"/>
  <c r="AK974" i="1"/>
  <c r="AA851" i="1"/>
  <c r="AB851" i="1" s="1"/>
  <c r="AA695" i="1"/>
  <c r="AB695" i="1" s="1"/>
  <c r="AA689" i="1"/>
  <c r="AB689" i="1" s="1"/>
  <c r="AA671" i="1"/>
  <c r="AB671" i="1" s="1"/>
  <c r="AA647" i="1"/>
  <c r="AB647" i="1" s="1"/>
  <c r="AK910" i="1"/>
  <c r="AK922" i="1"/>
  <c r="AK937" i="1"/>
  <c r="AK949" i="1"/>
  <c r="AC958" i="1"/>
  <c r="AA861" i="1"/>
  <c r="AB861" i="1" s="1"/>
  <c r="AA838" i="1"/>
  <c r="AB838" i="1" s="1"/>
  <c r="AA785" i="1"/>
  <c r="AB785" i="1" s="1"/>
  <c r="AA911" i="1"/>
  <c r="AB911" i="1" s="1"/>
  <c r="AA950" i="1"/>
  <c r="AB950" i="1" s="1"/>
  <c r="AA1024" i="1"/>
  <c r="AB1024" i="1" s="1"/>
  <c r="AA884" i="1"/>
  <c r="AB884" i="1" s="1"/>
  <c r="AA872" i="1"/>
  <c r="AB872" i="1" s="1"/>
  <c r="AA866" i="1"/>
  <c r="AB866" i="1" s="1"/>
  <c r="AA678" i="1"/>
  <c r="AB678" i="1" s="1"/>
  <c r="AA654" i="1"/>
  <c r="AB654" i="1" s="1"/>
  <c r="AA590" i="1"/>
  <c r="AB590" i="1" s="1"/>
  <c r="AA584" i="1"/>
  <c r="AB584" i="1" s="1"/>
  <c r="AA777" i="1"/>
  <c r="AB777" i="1" s="1"/>
  <c r="AA736" i="1"/>
  <c r="AB736" i="1" s="1"/>
  <c r="AA718" i="1"/>
  <c r="AB718" i="1" s="1"/>
  <c r="AA712" i="1"/>
  <c r="AB712" i="1" s="1"/>
  <c r="AA589" i="1"/>
  <c r="AB589" i="1" s="1"/>
  <c r="AK928" i="1"/>
  <c r="AA942" i="1"/>
  <c r="AB942" i="1" s="1"/>
  <c r="AK965" i="1"/>
  <c r="AA974" i="1"/>
  <c r="AB974" i="1" s="1"/>
  <c r="AK1061" i="1"/>
  <c r="AA1070" i="1"/>
  <c r="AB1070" i="1" s="1"/>
  <c r="AK1073" i="1"/>
  <c r="AC1033" i="1"/>
  <c r="AK1058" i="1"/>
  <c r="AA587" i="1"/>
  <c r="AB587" i="1" s="1"/>
  <c r="AK895" i="1"/>
  <c r="AA907" i="1"/>
  <c r="AB907" i="1" s="1"/>
  <c r="AC939" i="1"/>
  <c r="AK962" i="1"/>
  <c r="AK984" i="1"/>
  <c r="AD986" i="1"/>
  <c r="AJ1004" i="1"/>
  <c r="AL1004" i="1" s="1"/>
  <c r="AD1033" i="1"/>
  <c r="AA1040" i="1"/>
  <c r="AB1040" i="1" s="1"/>
  <c r="AA1045" i="1"/>
  <c r="AB1045" i="1" s="1"/>
  <c r="AA1067" i="1"/>
  <c r="AB1067" i="1" s="1"/>
  <c r="AK1070" i="1"/>
  <c r="AA787" i="1"/>
  <c r="AB787" i="1" s="1"/>
  <c r="AA781" i="1"/>
  <c r="AB781" i="1" s="1"/>
  <c r="AA704" i="1"/>
  <c r="AB704" i="1" s="1"/>
  <c r="AD955" i="1"/>
  <c r="AD1008" i="1"/>
  <c r="AD1020" i="1"/>
  <c r="AK912" i="1"/>
  <c r="AD923" i="1"/>
  <c r="AK924" i="1"/>
  <c r="AC950" i="1"/>
  <c r="AC970" i="1"/>
  <c r="AC995" i="1"/>
  <c r="AA839" i="1"/>
  <c r="AB839" i="1" s="1"/>
  <c r="AA827" i="1"/>
  <c r="AB827" i="1" s="1"/>
  <c r="AA679" i="1"/>
  <c r="AB679" i="1" s="1"/>
  <c r="AA631" i="1"/>
  <c r="AB631" i="1" s="1"/>
  <c r="AA614" i="1"/>
  <c r="AB614" i="1" s="1"/>
  <c r="AA608" i="1"/>
  <c r="AB608" i="1" s="1"/>
  <c r="AA532" i="1"/>
  <c r="AB532" i="1" s="1"/>
  <c r="AD909" i="1"/>
  <c r="AD945" i="1"/>
  <c r="AA955" i="1"/>
  <c r="AB955" i="1" s="1"/>
  <c r="AD982" i="1"/>
  <c r="AD1059" i="1"/>
  <c r="AK906" i="1"/>
  <c r="AK931" i="1"/>
  <c r="AK1027" i="1"/>
  <c r="AK1039" i="1"/>
  <c r="AK1098" i="1"/>
  <c r="AK1110" i="1"/>
  <c r="AK918" i="1"/>
  <c r="AK952" i="1"/>
  <c r="AK977" i="1"/>
  <c r="AK1014" i="1"/>
  <c r="AK967" i="1"/>
  <c r="AK1036" i="1"/>
  <c r="AK1095" i="1"/>
  <c r="AK930" i="1"/>
  <c r="AK942" i="1"/>
  <c r="AK954" i="1"/>
  <c r="AK979" i="1"/>
  <c r="AK999" i="1"/>
  <c r="AK1026" i="1"/>
  <c r="AK991" i="1"/>
  <c r="AK1011" i="1"/>
  <c r="AK1038" i="1"/>
  <c r="AK1050" i="1"/>
  <c r="AK1097" i="1"/>
  <c r="AK1109" i="1"/>
  <c r="AK902" i="1"/>
  <c r="AK917" i="1"/>
  <c r="AK927" i="1"/>
  <c r="AK964" i="1"/>
  <c r="AK986" i="1"/>
  <c r="AK1033" i="1"/>
  <c r="AK1045" i="1"/>
  <c r="AK1084" i="1"/>
  <c r="AK1104" i="1"/>
  <c r="AK1116" i="1"/>
  <c r="AK907" i="1"/>
  <c r="AK996" i="1"/>
  <c r="AK1013" i="1"/>
  <c r="AK1079" i="1"/>
  <c r="AK1099" i="1"/>
  <c r="AK1111" i="1"/>
  <c r="AK919" i="1"/>
  <c r="AK966" i="1"/>
  <c r="AK983" i="1"/>
  <c r="AK1003" i="1"/>
  <c r="AK1020" i="1"/>
  <c r="AK1035" i="1"/>
  <c r="AK1047" i="1"/>
  <c r="AK1057" i="1"/>
  <c r="AK1086" i="1"/>
  <c r="AK1094" i="1"/>
  <c r="AA622" i="1"/>
  <c r="AB622" i="1" s="1"/>
  <c r="AA610" i="1"/>
  <c r="AB610" i="1" s="1"/>
  <c r="AC768" i="1"/>
  <c r="AD936" i="1"/>
  <c r="AD978" i="1"/>
  <c r="AC1114" i="1"/>
  <c r="AD759" i="1"/>
  <c r="AA832" i="1"/>
  <c r="AB832" i="1" s="1"/>
  <c r="AA656" i="1"/>
  <c r="AB656" i="1" s="1"/>
  <c r="AA570" i="1"/>
  <c r="AB570" i="1" s="1"/>
  <c r="AA542" i="1"/>
  <c r="AB542" i="1" s="1"/>
  <c r="AA536" i="1"/>
  <c r="AB536" i="1" s="1"/>
  <c r="AA936" i="1"/>
  <c r="AB936" i="1" s="1"/>
  <c r="AA941" i="1"/>
  <c r="AB941" i="1" s="1"/>
  <c r="AA615" i="1"/>
  <c r="AB615" i="1" s="1"/>
  <c r="AA598" i="1"/>
  <c r="AB598" i="1" s="1"/>
  <c r="AA547" i="1"/>
  <c r="AB547" i="1" s="1"/>
  <c r="AA580" i="1"/>
  <c r="AB580" i="1" s="1"/>
  <c r="AA569" i="1"/>
  <c r="AB569" i="1" s="1"/>
  <c r="AA563" i="1"/>
  <c r="AB563" i="1" s="1"/>
  <c r="AA541" i="1"/>
  <c r="AB541" i="1" s="1"/>
  <c r="AC1047" i="1"/>
  <c r="AA889" i="1"/>
  <c r="AB889" i="1" s="1"/>
  <c r="AA883" i="1"/>
  <c r="AB883" i="1" s="1"/>
  <c r="AA761" i="1"/>
  <c r="AB761" i="1" s="1"/>
  <c r="AA738" i="1"/>
  <c r="AB738" i="1" s="1"/>
  <c r="AA732" i="1"/>
  <c r="AB732" i="1" s="1"/>
  <c r="AA720" i="1"/>
  <c r="AB720" i="1" s="1"/>
  <c r="AA574" i="1"/>
  <c r="AB574" i="1" s="1"/>
  <c r="AJ896" i="1"/>
  <c r="AL896" i="1" s="1"/>
  <c r="AD980" i="1"/>
  <c r="AD1047" i="1"/>
  <c r="AA784" i="1"/>
  <c r="AB784" i="1" s="1"/>
  <c r="AA719" i="1"/>
  <c r="AB719" i="1" s="1"/>
  <c r="AA551" i="1"/>
  <c r="AB551" i="1" s="1"/>
  <c r="AA928" i="1"/>
  <c r="AB928" i="1" s="1"/>
  <c r="AA1032" i="1"/>
  <c r="AB1032" i="1" s="1"/>
  <c r="AC1106" i="1"/>
  <c r="AA864" i="1"/>
  <c r="AB864" i="1" s="1"/>
  <c r="AA841" i="1"/>
  <c r="AB841" i="1" s="1"/>
  <c r="AA835" i="1"/>
  <c r="AB835" i="1" s="1"/>
  <c r="AA748" i="1"/>
  <c r="AB748" i="1" s="1"/>
  <c r="AA900" i="1"/>
  <c r="AB900" i="1" s="1"/>
  <c r="AC905" i="1"/>
  <c r="AK911" i="1"/>
  <c r="AD1002" i="1"/>
  <c r="AD1081" i="1"/>
  <c r="AC1091" i="1"/>
  <c r="AA887" i="1"/>
  <c r="AB887" i="1" s="1"/>
  <c r="AA869" i="1"/>
  <c r="AB869" i="1" s="1"/>
  <c r="AA858" i="1"/>
  <c r="AB858" i="1" s="1"/>
  <c r="AA765" i="1"/>
  <c r="AB765" i="1" s="1"/>
  <c r="AA641" i="1"/>
  <c r="AB641" i="1" s="1"/>
  <c r="AA635" i="1"/>
  <c r="AB635" i="1" s="1"/>
  <c r="AA624" i="1"/>
  <c r="AB624" i="1" s="1"/>
  <c r="AA618" i="1"/>
  <c r="AB618" i="1" s="1"/>
  <c r="AA606" i="1"/>
  <c r="AB606" i="1" s="1"/>
  <c r="AA595" i="1"/>
  <c r="AB595" i="1" s="1"/>
  <c r="AA566" i="1"/>
  <c r="AB566" i="1" s="1"/>
  <c r="AJ895" i="1"/>
  <c r="AL895" i="1" s="1"/>
  <c r="AD915" i="1"/>
  <c r="AD947" i="1"/>
  <c r="AD1001" i="1"/>
  <c r="AC1046" i="1"/>
  <c r="AD1091" i="1"/>
  <c r="AD902" i="1"/>
  <c r="AD954" i="1"/>
  <c r="AC1011" i="1"/>
  <c r="AC1066" i="1"/>
  <c r="AA764" i="1"/>
  <c r="AB764" i="1" s="1"/>
  <c r="AA758" i="1"/>
  <c r="AB758" i="1" s="1"/>
  <c r="AA746" i="1"/>
  <c r="AB746" i="1" s="1"/>
  <c r="AA735" i="1"/>
  <c r="AB735" i="1" s="1"/>
  <c r="AA711" i="1"/>
  <c r="AB711" i="1" s="1"/>
  <c r="AA705" i="1"/>
  <c r="AB705" i="1" s="1"/>
  <c r="AA700" i="1"/>
  <c r="AB700" i="1" s="1"/>
  <c r="AA676" i="1"/>
  <c r="AB676" i="1" s="1"/>
  <c r="AA658" i="1"/>
  <c r="AB658" i="1" s="1"/>
  <c r="AA646" i="1"/>
  <c r="AB646" i="1" s="1"/>
  <c r="AA640" i="1"/>
  <c r="AB640" i="1" s="1"/>
  <c r="AA634" i="1"/>
  <c r="AB634" i="1" s="1"/>
  <c r="AA628" i="1"/>
  <c r="AB628" i="1" s="1"/>
  <c r="AA611" i="1"/>
  <c r="AB611" i="1" s="1"/>
  <c r="AA594" i="1"/>
  <c r="AB594" i="1" s="1"/>
  <c r="AD946" i="1"/>
  <c r="AC983" i="1"/>
  <c r="AA1001" i="1"/>
  <c r="AB1001" i="1" s="1"/>
  <c r="AD1003" i="1"/>
  <c r="AA1011" i="1"/>
  <c r="AB1011" i="1" s="1"/>
  <c r="AD1025" i="1"/>
  <c r="AD1066" i="1"/>
  <c r="AC1119" i="1"/>
  <c r="AD1078" i="1"/>
  <c r="AA809" i="1"/>
  <c r="AB809" i="1" s="1"/>
  <c r="AA803" i="1"/>
  <c r="AB803" i="1" s="1"/>
  <c r="AA797" i="1"/>
  <c r="AB797" i="1" s="1"/>
  <c r="AA780" i="1"/>
  <c r="AB780" i="1" s="1"/>
  <c r="AA740" i="1"/>
  <c r="AB740" i="1" s="1"/>
  <c r="AA716" i="1"/>
  <c r="AB716" i="1" s="1"/>
  <c r="AA710" i="1"/>
  <c r="AB710" i="1" s="1"/>
  <c r="AA550" i="1"/>
  <c r="AB550" i="1" s="1"/>
  <c r="AD530" i="1"/>
  <c r="AJ929" i="1"/>
  <c r="AL929" i="1" s="1"/>
  <c r="AJ948" i="1"/>
  <c r="AL948" i="1" s="1"/>
  <c r="AJ968" i="1"/>
  <c r="AL968" i="1" s="1"/>
  <c r="AC1081" i="1"/>
  <c r="AA1097" i="1"/>
  <c r="AB1097" i="1" s="1"/>
  <c r="AA791" i="1"/>
  <c r="AB791" i="1" s="1"/>
  <c r="AA745" i="1"/>
  <c r="AB745" i="1" s="1"/>
  <c r="AD514" i="1"/>
  <c r="AC927" i="1"/>
  <c r="AC1118" i="1"/>
  <c r="AA894" i="1"/>
  <c r="AB894" i="1" s="1"/>
  <c r="AA871" i="1"/>
  <c r="AB871" i="1" s="1"/>
  <c r="AA837" i="1"/>
  <c r="AB837" i="1" s="1"/>
  <c r="AA814" i="1"/>
  <c r="AB814" i="1" s="1"/>
  <c r="AA796" i="1"/>
  <c r="AB796" i="1" s="1"/>
  <c r="AA779" i="1"/>
  <c r="AB779" i="1" s="1"/>
  <c r="AA756" i="1"/>
  <c r="AB756" i="1" s="1"/>
  <c r="AA721" i="1"/>
  <c r="AB721" i="1" s="1"/>
  <c r="AA639" i="1"/>
  <c r="AB639" i="1" s="1"/>
  <c r="AA627" i="1"/>
  <c r="AB627" i="1" s="1"/>
  <c r="AA616" i="1"/>
  <c r="AB616" i="1" s="1"/>
  <c r="AA599" i="1"/>
  <c r="AB599" i="1" s="1"/>
  <c r="AA545" i="1"/>
  <c r="AB545" i="1" s="1"/>
  <c r="AD512" i="1"/>
  <c r="AK1063" i="1"/>
  <c r="AA870" i="1"/>
  <c r="AB870" i="1" s="1"/>
  <c r="AA836" i="1"/>
  <c r="AB836" i="1" s="1"/>
  <c r="AA807" i="1"/>
  <c r="AB807" i="1" s="1"/>
  <c r="AA801" i="1"/>
  <c r="AB801" i="1" s="1"/>
  <c r="AA767" i="1"/>
  <c r="AB767" i="1" s="1"/>
  <c r="AA726" i="1"/>
  <c r="AB726" i="1" s="1"/>
  <c r="AA714" i="1"/>
  <c r="AB714" i="1" s="1"/>
  <c r="AA708" i="1"/>
  <c r="AB708" i="1" s="1"/>
  <c r="AA680" i="1"/>
  <c r="AB680" i="1" s="1"/>
  <c r="AA674" i="1"/>
  <c r="AB674" i="1" s="1"/>
  <c r="AA668" i="1"/>
  <c r="AB668" i="1" s="1"/>
  <c r="AA662" i="1"/>
  <c r="AB662" i="1" s="1"/>
  <c r="AA644" i="1"/>
  <c r="AB644" i="1" s="1"/>
  <c r="AA583" i="1"/>
  <c r="AB583" i="1" s="1"/>
  <c r="AA578" i="1"/>
  <c r="AB578" i="1" s="1"/>
  <c r="AA535" i="1"/>
  <c r="AB535" i="1" s="1"/>
  <c r="AD496" i="1"/>
  <c r="AD904" i="1"/>
  <c r="AK941" i="1"/>
  <c r="AC963" i="1"/>
  <c r="AD985" i="1"/>
  <c r="AD991" i="1"/>
  <c r="AC1007" i="1"/>
  <c r="AC1016" i="1"/>
  <c r="AC1032" i="1"/>
  <c r="AA1038" i="1"/>
  <c r="AB1038" i="1" s="1"/>
  <c r="AC1071" i="1"/>
  <c r="AC775" i="1"/>
  <c r="AD917" i="1"/>
  <c r="AD966" i="1"/>
  <c r="AD1010" i="1"/>
  <c r="AD1013" i="1"/>
  <c r="AD1038" i="1"/>
  <c r="AD1074" i="1"/>
  <c r="AC1080" i="1"/>
  <c r="AD1090" i="1"/>
  <c r="AC1093" i="1"/>
  <c r="AC1105" i="1"/>
  <c r="AA881" i="1"/>
  <c r="AB881" i="1" s="1"/>
  <c r="AA875" i="1"/>
  <c r="AB875" i="1" s="1"/>
  <c r="AA766" i="1"/>
  <c r="AB766" i="1" s="1"/>
  <c r="AA749" i="1"/>
  <c r="AB749" i="1" s="1"/>
  <c r="AA685" i="1"/>
  <c r="AB685" i="1" s="1"/>
  <c r="AA649" i="1"/>
  <c r="AB649" i="1" s="1"/>
  <c r="AA643" i="1"/>
  <c r="AB643" i="1" s="1"/>
  <c r="AA567" i="1"/>
  <c r="AB567" i="1" s="1"/>
  <c r="AA553" i="1"/>
  <c r="AB553" i="1" s="1"/>
  <c r="AA534" i="1"/>
  <c r="AB534" i="1" s="1"/>
  <c r="AD1083" i="1"/>
  <c r="AD1093" i="1"/>
  <c r="AD1099" i="1"/>
  <c r="AD1105" i="1"/>
  <c r="AC1117" i="1"/>
  <c r="AA852" i="1"/>
  <c r="AB852" i="1" s="1"/>
  <c r="AA846" i="1"/>
  <c r="AB846" i="1" s="1"/>
  <c r="AA829" i="1"/>
  <c r="AB829" i="1" s="1"/>
  <c r="AA812" i="1"/>
  <c r="AB812" i="1" s="1"/>
  <c r="AA725" i="1"/>
  <c r="AB725" i="1" s="1"/>
  <c r="AA713" i="1"/>
  <c r="AB713" i="1" s="1"/>
  <c r="AA696" i="1"/>
  <c r="AB696" i="1" s="1"/>
  <c r="AA690" i="1"/>
  <c r="AB690" i="1" s="1"/>
  <c r="AA637" i="1"/>
  <c r="AB637" i="1" s="1"/>
  <c r="AA903" i="1"/>
  <c r="AB903" i="1" s="1"/>
  <c r="AD939" i="1"/>
  <c r="AD959" i="1"/>
  <c r="AC987" i="1"/>
  <c r="AC990" i="1"/>
  <c r="AD997" i="1"/>
  <c r="AD1051" i="1"/>
  <c r="AA880" i="1"/>
  <c r="AB880" i="1" s="1"/>
  <c r="AA863" i="1"/>
  <c r="AB863" i="1" s="1"/>
  <c r="AA586" i="1"/>
  <c r="AB586" i="1" s="1"/>
  <c r="AA581" i="1"/>
  <c r="AB581" i="1" s="1"/>
  <c r="AC754" i="1"/>
  <c r="AD958" i="1"/>
  <c r="AD987" i="1"/>
  <c r="AC1009" i="1"/>
  <c r="AC1057" i="1"/>
  <c r="AC1073" i="1"/>
  <c r="AA868" i="1"/>
  <c r="AB868" i="1" s="1"/>
  <c r="AA857" i="1"/>
  <c r="AB857" i="1" s="1"/>
  <c r="AA845" i="1"/>
  <c r="AB845" i="1" s="1"/>
  <c r="AA834" i="1"/>
  <c r="AB834" i="1" s="1"/>
  <c r="AA828" i="1"/>
  <c r="AB828" i="1" s="1"/>
  <c r="AA788" i="1"/>
  <c r="AB788" i="1" s="1"/>
  <c r="AA782" i="1"/>
  <c r="AB782" i="1" s="1"/>
  <c r="AA776" i="1"/>
  <c r="AB776" i="1" s="1"/>
  <c r="AA742" i="1"/>
  <c r="AB742" i="1" s="1"/>
  <c r="AA730" i="1"/>
  <c r="AB730" i="1" s="1"/>
  <c r="AA706" i="1"/>
  <c r="AB706" i="1" s="1"/>
  <c r="AA636" i="1"/>
  <c r="AB636" i="1" s="1"/>
  <c r="AA619" i="1"/>
  <c r="AB619" i="1" s="1"/>
  <c r="AA607" i="1"/>
  <c r="AB607" i="1" s="1"/>
  <c r="AA602" i="1"/>
  <c r="AB602" i="1" s="1"/>
  <c r="AA591" i="1"/>
  <c r="AB591" i="1" s="1"/>
  <c r="AA571" i="1"/>
  <c r="AB571" i="1" s="1"/>
  <c r="AA913" i="1"/>
  <c r="AB913" i="1" s="1"/>
  <c r="AD925" i="1"/>
  <c r="AD957" i="1"/>
  <c r="AC1021" i="1"/>
  <c r="AD1057" i="1"/>
  <c r="AA1073" i="1"/>
  <c r="AB1073" i="1" s="1"/>
  <c r="AD1076" i="1"/>
  <c r="AC1079" i="1"/>
  <c r="AA885" i="1"/>
  <c r="AB885" i="1" s="1"/>
  <c r="AA862" i="1"/>
  <c r="AB862" i="1" s="1"/>
  <c r="AA844" i="1"/>
  <c r="AB844" i="1" s="1"/>
  <c r="AA822" i="1"/>
  <c r="AB822" i="1" s="1"/>
  <c r="AA810" i="1"/>
  <c r="AB810" i="1" s="1"/>
  <c r="AA798" i="1"/>
  <c r="AB798" i="1" s="1"/>
  <c r="AA775" i="1"/>
  <c r="AB775" i="1" s="1"/>
  <c r="AA770" i="1"/>
  <c r="AB770" i="1" s="1"/>
  <c r="AA723" i="1"/>
  <c r="AB723" i="1" s="1"/>
  <c r="AA694" i="1"/>
  <c r="AB694" i="1" s="1"/>
  <c r="AA653" i="1"/>
  <c r="AB653" i="1" s="1"/>
  <c r="AA601" i="1"/>
  <c r="AB601" i="1" s="1"/>
  <c r="AA585" i="1"/>
  <c r="AB585" i="1" s="1"/>
  <c r="AA575" i="1"/>
  <c r="AB575" i="1" s="1"/>
  <c r="AA556" i="1"/>
  <c r="AB556" i="1" s="1"/>
  <c r="AC912" i="1"/>
  <c r="AC915" i="1"/>
  <c r="AD935" i="1"/>
  <c r="AJ949" i="1"/>
  <c r="AL949" i="1" s="1"/>
  <c r="AD964" i="1"/>
  <c r="AC980" i="1"/>
  <c r="AC996" i="1"/>
  <c r="AC1002" i="1"/>
  <c r="AC1030" i="1"/>
  <c r="AD1079" i="1"/>
  <c r="AD1082" i="1"/>
  <c r="AK936" i="1"/>
  <c r="AA938" i="1"/>
  <c r="AB938" i="1" s="1"/>
  <c r="AK940" i="1"/>
  <c r="AJ967" i="1"/>
  <c r="AL967" i="1" s="1"/>
  <c r="AJ981" i="1"/>
  <c r="AL981" i="1" s="1"/>
  <c r="AJ985" i="1"/>
  <c r="AL985" i="1" s="1"/>
  <c r="N1057" i="1"/>
  <c r="AJ1097" i="1"/>
  <c r="AL1097" i="1" s="1"/>
  <c r="AA806" i="1"/>
  <c r="AB806" i="1" s="1"/>
  <c r="AC920" i="1"/>
  <c r="AJ996" i="1"/>
  <c r="AL996" i="1" s="1"/>
  <c r="AC1092" i="1"/>
  <c r="AA1118" i="1"/>
  <c r="AB1118" i="1" s="1"/>
  <c r="AK960" i="1"/>
  <c r="AD1092" i="1"/>
  <c r="AA1105" i="1"/>
  <c r="AB1105" i="1" s="1"/>
  <c r="AC1111" i="1"/>
  <c r="AA879" i="1"/>
  <c r="AB879" i="1" s="1"/>
  <c r="AA874" i="1"/>
  <c r="AB874" i="1" s="1"/>
  <c r="AA860" i="1"/>
  <c r="AB860" i="1" s="1"/>
  <c r="AA855" i="1"/>
  <c r="AB855" i="1" s="1"/>
  <c r="AA850" i="1"/>
  <c r="AB850" i="1" s="1"/>
  <c r="AA831" i="1"/>
  <c r="AB831" i="1" s="1"/>
  <c r="AA821" i="1"/>
  <c r="AB821" i="1" s="1"/>
  <c r="AA811" i="1"/>
  <c r="AB811" i="1" s="1"/>
  <c r="AA739" i="1"/>
  <c r="AB739" i="1" s="1"/>
  <c r="AA729" i="1"/>
  <c r="AB729" i="1" s="1"/>
  <c r="AA724" i="1"/>
  <c r="AB724" i="1" s="1"/>
  <c r="AA699" i="1"/>
  <c r="AB699" i="1" s="1"/>
  <c r="AA688" i="1"/>
  <c r="AB688" i="1" s="1"/>
  <c r="AA673" i="1"/>
  <c r="AB673" i="1" s="1"/>
  <c r="AA667" i="1"/>
  <c r="AB667" i="1" s="1"/>
  <c r="AA652" i="1"/>
  <c r="AB652" i="1" s="1"/>
  <c r="AA642" i="1"/>
  <c r="AB642" i="1" s="1"/>
  <c r="AA626" i="1"/>
  <c r="AB626" i="1" s="1"/>
  <c r="AA605" i="1"/>
  <c r="AB605" i="1" s="1"/>
  <c r="AA593" i="1"/>
  <c r="AB593" i="1" s="1"/>
  <c r="AD477" i="1"/>
  <c r="AD916" i="1"/>
  <c r="AA923" i="1"/>
  <c r="AB923" i="1" s="1"/>
  <c r="AD927" i="1"/>
  <c r="AK959" i="1"/>
  <c r="AC965" i="1"/>
  <c r="AD969" i="1"/>
  <c r="AJ973" i="1"/>
  <c r="AL973" i="1" s="1"/>
  <c r="AC979" i="1"/>
  <c r="AD998" i="1"/>
  <c r="AD1009" i="1"/>
  <c r="AD1041" i="1"/>
  <c r="AD1071" i="1"/>
  <c r="N1090" i="1"/>
  <c r="AA1092" i="1"/>
  <c r="AB1092" i="1" s="1"/>
  <c r="AD1111" i="1"/>
  <c r="AD1117" i="1"/>
  <c r="AD1118" i="1"/>
  <c r="AA893" i="1"/>
  <c r="AB893" i="1" s="1"/>
  <c r="AA878" i="1"/>
  <c r="AB878" i="1" s="1"/>
  <c r="AA849" i="1"/>
  <c r="AB849" i="1" s="1"/>
  <c r="AA805" i="1"/>
  <c r="AB805" i="1" s="1"/>
  <c r="AA752" i="1"/>
  <c r="AB752" i="1" s="1"/>
  <c r="AA734" i="1"/>
  <c r="AB734" i="1" s="1"/>
  <c r="AA693" i="1"/>
  <c r="AB693" i="1" s="1"/>
  <c r="AA683" i="1"/>
  <c r="AB683" i="1" s="1"/>
  <c r="AA657" i="1"/>
  <c r="AB657" i="1" s="1"/>
  <c r="AA597" i="1"/>
  <c r="AB597" i="1" s="1"/>
  <c r="AA555" i="1"/>
  <c r="AB555" i="1" s="1"/>
  <c r="O896" i="1"/>
  <c r="P896" i="1" s="1"/>
  <c r="O897" i="1" s="1"/>
  <c r="P897" i="1" s="1"/>
  <c r="O898" i="1" s="1"/>
  <c r="AJ917" i="1"/>
  <c r="AL917" i="1" s="1"/>
  <c r="Q926" i="1"/>
  <c r="AA927" i="1"/>
  <c r="AB927" i="1" s="1"/>
  <c r="AD950" i="1"/>
  <c r="AD965" i="1"/>
  <c r="AD979" i="1"/>
  <c r="AC986" i="1"/>
  <c r="AA1009" i="1"/>
  <c r="AB1009" i="1" s="1"/>
  <c r="AD1016" i="1"/>
  <c r="AD1034" i="1"/>
  <c r="AJ1042" i="1"/>
  <c r="AL1042" i="1" s="1"/>
  <c r="AD1049" i="1"/>
  <c r="AJ1054" i="1"/>
  <c r="AL1054" i="1" s="1"/>
  <c r="AD1061" i="1"/>
  <c r="AD1075" i="1"/>
  <c r="AD1095" i="1"/>
  <c r="AA1117" i="1"/>
  <c r="AB1117" i="1" s="1"/>
  <c r="AA630" i="1"/>
  <c r="AB630" i="1" s="1"/>
  <c r="AA621" i="1"/>
  <c r="AB621" i="1" s="1"/>
  <c r="AA617" i="1"/>
  <c r="AB617" i="1" s="1"/>
  <c r="AA609" i="1"/>
  <c r="AB609" i="1" s="1"/>
  <c r="AD459" i="1"/>
  <c r="AJ898" i="1"/>
  <c r="AL898" i="1" s="1"/>
  <c r="AC919" i="1"/>
  <c r="AD941" i="1"/>
  <c r="AJ947" i="1"/>
  <c r="AL947" i="1" s="1"/>
  <c r="AK1002" i="1"/>
  <c r="AC1008" i="1"/>
  <c r="AC1026" i="1"/>
  <c r="AD1056" i="1"/>
  <c r="AA1057" i="1"/>
  <c r="AB1057" i="1" s="1"/>
  <c r="AD1101" i="1"/>
  <c r="AA892" i="1"/>
  <c r="AB892" i="1" s="1"/>
  <c r="AA804" i="1"/>
  <c r="AB804" i="1" s="1"/>
  <c r="AA768" i="1"/>
  <c r="AB768" i="1" s="1"/>
  <c r="AA743" i="1"/>
  <c r="AB743" i="1" s="1"/>
  <c r="AA733" i="1"/>
  <c r="AB733" i="1" s="1"/>
  <c r="AA666" i="1"/>
  <c r="AB666" i="1" s="1"/>
  <c r="AA588" i="1"/>
  <c r="AB588" i="1" s="1"/>
  <c r="AA558" i="1"/>
  <c r="AB558" i="1" s="1"/>
  <c r="AJ901" i="1"/>
  <c r="AL901" i="1" s="1"/>
  <c r="AD919" i="1"/>
  <c r="AK920" i="1"/>
  <c r="AK938" i="1"/>
  <c r="AC961" i="1"/>
  <c r="AD1012" i="1"/>
  <c r="AJ1013" i="1"/>
  <c r="AL1013" i="1" s="1"/>
  <c r="AD1026" i="1"/>
  <c r="AD1040" i="1"/>
  <c r="AC1116" i="1"/>
  <c r="AA891" i="1"/>
  <c r="AB891" i="1" s="1"/>
  <c r="AA882" i="1"/>
  <c r="AB882" i="1" s="1"/>
  <c r="AA877" i="1"/>
  <c r="AB877" i="1" s="1"/>
  <c r="AA778" i="1"/>
  <c r="AB778" i="1" s="1"/>
  <c r="AA682" i="1"/>
  <c r="AB682" i="1" s="1"/>
  <c r="AA677" i="1"/>
  <c r="AB677" i="1" s="1"/>
  <c r="AA661" i="1"/>
  <c r="AB661" i="1" s="1"/>
  <c r="AA650" i="1"/>
  <c r="AB650" i="1" s="1"/>
  <c r="AA645" i="1"/>
  <c r="AB645" i="1" s="1"/>
  <c r="AA633" i="1"/>
  <c r="AB633" i="1" s="1"/>
  <c r="AA629" i="1"/>
  <c r="AB629" i="1" s="1"/>
  <c r="AA612" i="1"/>
  <c r="AB612" i="1" s="1"/>
  <c r="AA596" i="1"/>
  <c r="AB596" i="1" s="1"/>
  <c r="AD406" i="1"/>
  <c r="AD926" i="1"/>
  <c r="AC929" i="1"/>
  <c r="AD930" i="1"/>
  <c r="AJ931" i="1"/>
  <c r="AL931" i="1" s="1"/>
  <c r="AC933" i="1"/>
  <c r="AC948" i="1"/>
  <c r="AC952" i="1"/>
  <c r="AD961" i="1"/>
  <c r="AD971" i="1"/>
  <c r="AD975" i="1"/>
  <c r="AK976" i="1"/>
  <c r="AC984" i="1"/>
  <c r="AK998" i="1"/>
  <c r="AK1023" i="1"/>
  <c r="AC1036" i="1"/>
  <c r="AD1070" i="1"/>
  <c r="AA1081" i="1"/>
  <c r="AB1081" i="1" s="1"/>
  <c r="AC1094" i="1"/>
  <c r="AD1107" i="1"/>
  <c r="AD1116" i="1"/>
  <c r="AA853" i="1"/>
  <c r="AB853" i="1" s="1"/>
  <c r="AA762" i="1"/>
  <c r="AB762" i="1" s="1"/>
  <c r="AA747" i="1"/>
  <c r="AB747" i="1" s="1"/>
  <c r="AA722" i="1"/>
  <c r="AB722" i="1" s="1"/>
  <c r="AA707" i="1"/>
  <c r="AB707" i="1" s="1"/>
  <c r="AA697" i="1"/>
  <c r="AB697" i="1" s="1"/>
  <c r="AA691" i="1"/>
  <c r="AB691" i="1" s="1"/>
  <c r="AA681" i="1"/>
  <c r="AB681" i="1" s="1"/>
  <c r="AA665" i="1"/>
  <c r="AB665" i="1" s="1"/>
  <c r="AA660" i="1"/>
  <c r="AB660" i="1" s="1"/>
  <c r="AA655" i="1"/>
  <c r="AB655" i="1" s="1"/>
  <c r="AA620" i="1"/>
  <c r="AB620" i="1" s="1"/>
  <c r="AA561" i="1"/>
  <c r="AB561" i="1" s="1"/>
  <c r="AC404" i="1"/>
  <c r="AA895" i="1"/>
  <c r="AB895" i="1" s="1"/>
  <c r="AJ912" i="1"/>
  <c r="AL912" i="1" s="1"/>
  <c r="AD924" i="1"/>
  <c r="AD933" i="1"/>
  <c r="AD940" i="1"/>
  <c r="Q959" i="1"/>
  <c r="AA996" i="1"/>
  <c r="AB996" i="1" s="1"/>
  <c r="AD1000" i="1"/>
  <c r="AJ1005" i="1"/>
  <c r="AL1005" i="1" s="1"/>
  <c r="AD1015" i="1"/>
  <c r="AD1048" i="1"/>
  <c r="AK1049" i="1"/>
  <c r="AA1059" i="1"/>
  <c r="AB1059" i="1" s="1"/>
  <c r="AD1063" i="1"/>
  <c r="AC1085" i="1"/>
  <c r="AA1088" i="1"/>
  <c r="AB1088" i="1" s="1"/>
  <c r="AD1094" i="1"/>
  <c r="AA1103" i="1"/>
  <c r="AB1103" i="1" s="1"/>
  <c r="AC866" i="1"/>
  <c r="AD906" i="1"/>
  <c r="AD914" i="1"/>
  <c r="AD928" i="1"/>
  <c r="AD974" i="1"/>
  <c r="AD977" i="1"/>
  <c r="AD1007" i="1"/>
  <c r="AC1024" i="1"/>
  <c r="AC1038" i="1"/>
  <c r="AD1080" i="1"/>
  <c r="AD1089" i="1"/>
  <c r="AC1096" i="1"/>
  <c r="AA890" i="1"/>
  <c r="AB890" i="1" s="1"/>
  <c r="AA867" i="1"/>
  <c r="AB867" i="1" s="1"/>
  <c r="AA842" i="1"/>
  <c r="AB842" i="1" s="1"/>
  <c r="AA833" i="1"/>
  <c r="AB833" i="1" s="1"/>
  <c r="AA818" i="1"/>
  <c r="AB818" i="1" s="1"/>
  <c r="AA813" i="1"/>
  <c r="AB813" i="1" s="1"/>
  <c r="AA772" i="1"/>
  <c r="AB772" i="1" s="1"/>
  <c r="AA755" i="1"/>
  <c r="AB755" i="1" s="1"/>
  <c r="AA750" i="1"/>
  <c r="AB750" i="1" s="1"/>
  <c r="AA731" i="1"/>
  <c r="AB731" i="1" s="1"/>
  <c r="AA701" i="1"/>
  <c r="AB701" i="1" s="1"/>
  <c r="AA670" i="1"/>
  <c r="AB670" i="1" s="1"/>
  <c r="AA664" i="1"/>
  <c r="AB664" i="1" s="1"/>
  <c r="AA659" i="1"/>
  <c r="AB659" i="1" s="1"/>
  <c r="AA623" i="1"/>
  <c r="AB623" i="1" s="1"/>
  <c r="AA579" i="1"/>
  <c r="AB579" i="1" s="1"/>
  <c r="AA546" i="1"/>
  <c r="AB546" i="1" s="1"/>
  <c r="AC861" i="1"/>
  <c r="AD898" i="1"/>
  <c r="AC902" i="1"/>
  <c r="AD913" i="1"/>
  <c r="AC917" i="1"/>
  <c r="AA924" i="1"/>
  <c r="AB924" i="1" s="1"/>
  <c r="AJ942" i="1"/>
  <c r="AL942" i="1" s="1"/>
  <c r="AD992" i="1"/>
  <c r="AD1021" i="1"/>
  <c r="AA1039" i="1"/>
  <c r="AB1039" i="1" s="1"/>
  <c r="AJ1040" i="1"/>
  <c r="AL1040" i="1" s="1"/>
  <c r="AD1050" i="1"/>
  <c r="AC1059" i="1"/>
  <c r="AD1065" i="1"/>
  <c r="AC1069" i="1"/>
  <c r="AC1102" i="1"/>
  <c r="AA1109" i="1"/>
  <c r="AB1109" i="1" s="1"/>
  <c r="AC1112" i="1"/>
  <c r="AA1115" i="1"/>
  <c r="AB1115" i="1" s="1"/>
  <c r="AC137" i="1"/>
  <c r="AD137" i="1"/>
  <c r="AC145" i="1"/>
  <c r="AD145" i="1"/>
  <c r="AC147" i="1"/>
  <c r="AD147" i="1"/>
  <c r="AC151" i="1"/>
  <c r="AD151" i="1"/>
  <c r="AC153" i="1"/>
  <c r="AD153" i="1"/>
  <c r="AD155" i="1"/>
  <c r="AC155" i="1"/>
  <c r="AD157" i="1"/>
  <c r="AC157" i="1"/>
  <c r="AC159" i="1"/>
  <c r="AD159" i="1"/>
  <c r="AC161" i="1"/>
  <c r="AD161" i="1"/>
  <c r="AC163" i="1"/>
  <c r="AD163" i="1"/>
  <c r="AC165" i="1"/>
  <c r="AD165" i="1"/>
  <c r="AC167" i="1"/>
  <c r="AD167" i="1"/>
  <c r="AC169" i="1"/>
  <c r="AD169" i="1"/>
  <c r="AD46" i="1"/>
  <c r="AC46" i="1"/>
  <c r="AD50" i="1"/>
  <c r="AC50" i="1"/>
  <c r="AC54" i="1"/>
  <c r="AD54" i="1"/>
  <c r="AC58" i="1"/>
  <c r="AD58" i="1"/>
  <c r="AD62" i="1"/>
  <c r="AC62" i="1"/>
  <c r="AC66" i="1"/>
  <c r="AD66" i="1"/>
  <c r="AD70" i="1"/>
  <c r="AC70" i="1"/>
  <c r="AD74" i="1"/>
  <c r="AC74" i="1"/>
  <c r="AC76" i="1"/>
  <c r="AD76" i="1"/>
  <c r="AD80" i="1"/>
  <c r="AC80" i="1"/>
  <c r="AC82" i="1"/>
  <c r="AD82" i="1"/>
  <c r="AC84" i="1"/>
  <c r="AD84" i="1"/>
  <c r="AC129" i="1"/>
  <c r="AD129" i="1"/>
  <c r="AC131" i="1"/>
  <c r="AD131" i="1"/>
  <c r="AD133" i="1"/>
  <c r="AC133" i="1"/>
  <c r="AC135" i="1"/>
  <c r="AD135" i="1"/>
  <c r="AC139" i="1"/>
  <c r="AD139" i="1"/>
  <c r="AC141" i="1"/>
  <c r="AD141" i="1"/>
  <c r="AC143" i="1"/>
  <c r="AD143" i="1"/>
  <c r="AC149" i="1"/>
  <c r="AD149" i="1"/>
  <c r="AC571" i="1"/>
  <c r="AD571" i="1"/>
  <c r="AC644" i="1"/>
  <c r="AD644" i="1"/>
  <c r="AD685" i="1"/>
  <c r="AC685" i="1"/>
  <c r="AD752" i="1"/>
  <c r="AC752" i="1"/>
  <c r="AC862" i="1"/>
  <c r="AD862" i="1"/>
  <c r="AD865" i="1"/>
  <c r="AC865" i="1"/>
  <c r="AD868" i="1"/>
  <c r="AC868" i="1"/>
  <c r="AD871" i="1"/>
  <c r="AC871" i="1"/>
  <c r="AC874" i="1"/>
  <c r="AD874" i="1"/>
  <c r="AD877" i="1"/>
  <c r="AC877" i="1"/>
  <c r="AC880" i="1"/>
  <c r="AD880" i="1"/>
  <c r="AD883" i="1"/>
  <c r="AC883" i="1"/>
  <c r="AC886" i="1"/>
  <c r="AD886" i="1"/>
  <c r="AD889" i="1"/>
  <c r="AC889" i="1"/>
  <c r="AD892" i="1"/>
  <c r="AC892" i="1"/>
  <c r="AD44" i="1"/>
  <c r="AC44" i="1"/>
  <c r="AC48" i="1"/>
  <c r="AD48" i="1"/>
  <c r="AC52" i="1"/>
  <c r="AD52" i="1"/>
  <c r="AD56" i="1"/>
  <c r="AC56" i="1"/>
  <c r="AD60" i="1"/>
  <c r="AC60" i="1"/>
  <c r="AC64" i="1"/>
  <c r="AD64" i="1"/>
  <c r="AD68" i="1"/>
  <c r="AC68" i="1"/>
  <c r="AC72" i="1"/>
  <c r="AD72" i="1"/>
  <c r="AD78" i="1"/>
  <c r="AC78" i="1"/>
  <c r="AC493" i="1"/>
  <c r="AD493" i="1"/>
  <c r="AC495" i="1"/>
  <c r="AD495" i="1"/>
  <c r="AC534" i="1"/>
  <c r="AD534" i="1"/>
  <c r="AC545" i="1"/>
  <c r="AD545" i="1"/>
  <c r="AC548" i="1"/>
  <c r="AD548" i="1"/>
  <c r="AC551" i="1"/>
  <c r="AD551" i="1"/>
  <c r="AC554" i="1"/>
  <c r="AD554" i="1"/>
  <c r="AC557" i="1"/>
  <c r="AD557" i="1"/>
  <c r="AD560" i="1"/>
  <c r="AC560" i="1"/>
  <c r="AD563" i="1"/>
  <c r="AC563" i="1"/>
  <c r="AC566" i="1"/>
  <c r="AD566" i="1"/>
  <c r="AC569" i="1"/>
  <c r="AD569" i="1"/>
  <c r="AD574" i="1"/>
  <c r="AC574" i="1"/>
  <c r="AC577" i="1"/>
  <c r="AD577" i="1"/>
  <c r="AC580" i="1"/>
  <c r="AD580" i="1"/>
  <c r="AD583" i="1"/>
  <c r="AC583" i="1"/>
  <c r="AD586" i="1"/>
  <c r="AC586" i="1"/>
  <c r="AC589" i="1"/>
  <c r="AD589" i="1"/>
  <c r="AC592" i="1"/>
  <c r="AD592" i="1"/>
  <c r="AC595" i="1"/>
  <c r="AD595" i="1"/>
  <c r="AC598" i="1"/>
  <c r="AD598" i="1"/>
  <c r="AC601" i="1"/>
  <c r="AD601" i="1"/>
  <c r="AC604" i="1"/>
  <c r="AD604" i="1"/>
  <c r="AD609" i="1"/>
  <c r="AC609" i="1"/>
  <c r="AC612" i="1"/>
  <c r="AD612" i="1"/>
  <c r="AC615" i="1"/>
  <c r="AD615" i="1"/>
  <c r="AC618" i="1"/>
  <c r="AD618" i="1"/>
  <c r="AC621" i="1"/>
  <c r="AD621" i="1"/>
  <c r="AC624" i="1"/>
  <c r="AD624" i="1"/>
  <c r="AC627" i="1"/>
  <c r="AD627" i="1"/>
  <c r="AC630" i="1"/>
  <c r="AD630" i="1"/>
  <c r="AD633" i="1"/>
  <c r="AC633" i="1"/>
  <c r="AC636" i="1"/>
  <c r="AD636" i="1"/>
  <c r="AC639" i="1"/>
  <c r="AD639" i="1"/>
  <c r="AC642" i="1"/>
  <c r="AD642" i="1"/>
  <c r="AC647" i="1"/>
  <c r="AD647" i="1"/>
  <c r="AC650" i="1"/>
  <c r="AD650" i="1"/>
  <c r="AC653" i="1"/>
  <c r="AD653" i="1"/>
  <c r="AD656" i="1"/>
  <c r="AC656" i="1"/>
  <c r="AD659" i="1"/>
  <c r="AC659" i="1"/>
  <c r="AD662" i="1"/>
  <c r="AC662" i="1"/>
  <c r="AC665" i="1"/>
  <c r="AD665" i="1"/>
  <c r="AD668" i="1"/>
  <c r="AC668" i="1"/>
  <c r="AC671" i="1"/>
  <c r="AD671" i="1"/>
  <c r="AD674" i="1"/>
  <c r="AC674" i="1"/>
  <c r="AC677" i="1"/>
  <c r="AD677" i="1"/>
  <c r="AD680" i="1"/>
  <c r="AC680" i="1"/>
  <c r="AC683" i="1"/>
  <c r="AD683" i="1"/>
  <c r="AC688" i="1"/>
  <c r="AD688" i="1"/>
  <c r="AD691" i="1"/>
  <c r="AC691" i="1"/>
  <c r="AC694" i="1"/>
  <c r="AD694" i="1"/>
  <c r="AD697" i="1"/>
  <c r="AC697" i="1"/>
  <c r="AC700" i="1"/>
  <c r="AD700" i="1"/>
  <c r="AD703" i="1"/>
  <c r="AC703" i="1"/>
  <c r="AC706" i="1"/>
  <c r="AD706" i="1"/>
  <c r="AD709" i="1"/>
  <c r="AC709" i="1"/>
  <c r="AC712" i="1"/>
  <c r="AD712" i="1"/>
  <c r="AC717" i="1"/>
  <c r="AD717" i="1"/>
  <c r="AC720" i="1"/>
  <c r="AD720" i="1"/>
  <c r="AC723" i="1"/>
  <c r="AD723" i="1"/>
  <c r="AC726" i="1"/>
  <c r="AD726" i="1"/>
  <c r="AC729" i="1"/>
  <c r="AD729" i="1"/>
  <c r="AD732" i="1"/>
  <c r="AC732" i="1"/>
  <c r="AC735" i="1"/>
  <c r="AD735" i="1"/>
  <c r="AC738" i="1"/>
  <c r="AD738" i="1"/>
  <c r="AC741" i="1"/>
  <c r="AD741" i="1"/>
  <c r="AC744" i="1"/>
  <c r="AD744" i="1"/>
  <c r="AD747" i="1"/>
  <c r="AC747" i="1"/>
  <c r="AC750" i="1"/>
  <c r="AD750" i="1"/>
  <c r="AC755" i="1"/>
  <c r="AD755" i="1"/>
  <c r="AD758" i="1"/>
  <c r="AC758" i="1"/>
  <c r="AD761" i="1"/>
  <c r="AC761" i="1"/>
  <c r="AD764" i="1"/>
  <c r="AC764" i="1"/>
  <c r="AC767" i="1"/>
  <c r="AD767" i="1"/>
  <c r="AD770" i="1"/>
  <c r="AC770" i="1"/>
  <c r="AC773" i="1"/>
  <c r="AD773" i="1"/>
  <c r="AD776" i="1"/>
  <c r="AC776" i="1"/>
  <c r="AC779" i="1"/>
  <c r="AD779" i="1"/>
  <c r="AC782" i="1"/>
  <c r="AD782" i="1"/>
  <c r="AC785" i="1"/>
  <c r="AD785" i="1"/>
  <c r="AC3" i="1"/>
  <c r="AD3" i="1"/>
  <c r="AC5" i="1"/>
  <c r="AD5" i="1"/>
  <c r="AD7" i="1"/>
  <c r="AC7" i="1"/>
  <c r="AC9" i="1"/>
  <c r="AD9" i="1"/>
  <c r="AC11" i="1"/>
  <c r="AD11" i="1"/>
  <c r="AC13" i="1"/>
  <c r="AD13" i="1"/>
  <c r="AC15" i="1"/>
  <c r="AD15" i="1"/>
  <c r="AC17" i="1"/>
  <c r="AD17" i="1"/>
  <c r="AC19" i="1"/>
  <c r="AD19" i="1"/>
  <c r="AD21" i="1"/>
  <c r="AC21" i="1"/>
  <c r="AD23" i="1"/>
  <c r="AC23" i="1"/>
  <c r="AC25" i="1"/>
  <c r="AD25" i="1"/>
  <c r="AC27" i="1"/>
  <c r="AD27" i="1"/>
  <c r="AC29" i="1"/>
  <c r="AD29" i="1"/>
  <c r="AD31" i="1"/>
  <c r="AC31" i="1"/>
  <c r="AC33" i="1"/>
  <c r="AD33" i="1"/>
  <c r="AC35" i="1"/>
  <c r="AD35" i="1"/>
  <c r="AC37" i="1"/>
  <c r="AD37" i="1"/>
  <c r="AD39" i="1"/>
  <c r="AC39" i="1"/>
  <c r="AC41" i="1"/>
  <c r="AD41" i="1"/>
  <c r="AC43" i="1"/>
  <c r="AD43" i="1"/>
  <c r="AD86" i="1"/>
  <c r="AC86" i="1"/>
  <c r="AC88" i="1"/>
  <c r="AD88" i="1"/>
  <c r="AD90" i="1"/>
  <c r="AC90" i="1"/>
  <c r="AD92" i="1"/>
  <c r="AC92" i="1"/>
  <c r="AC94" i="1"/>
  <c r="AD94" i="1"/>
  <c r="AC96" i="1"/>
  <c r="AD96" i="1"/>
  <c r="AD98" i="1"/>
  <c r="AC98" i="1"/>
  <c r="AC100" i="1"/>
  <c r="AD100" i="1"/>
  <c r="AC102" i="1"/>
  <c r="AD102" i="1"/>
  <c r="AD104" i="1"/>
  <c r="AC104" i="1"/>
  <c r="AC106" i="1"/>
  <c r="AD106" i="1"/>
  <c r="AC108" i="1"/>
  <c r="AD108" i="1"/>
  <c r="AD110" i="1"/>
  <c r="AC110" i="1"/>
  <c r="AD112" i="1"/>
  <c r="AC112" i="1"/>
  <c r="AD114" i="1"/>
  <c r="AC114" i="1"/>
  <c r="AD116" i="1"/>
  <c r="AC116" i="1"/>
  <c r="AC118" i="1"/>
  <c r="AD118" i="1"/>
  <c r="AC120" i="1"/>
  <c r="AD120" i="1"/>
  <c r="AD122" i="1"/>
  <c r="AC122" i="1"/>
  <c r="AC124" i="1"/>
  <c r="AD124" i="1"/>
  <c r="AD126" i="1"/>
  <c r="AC126" i="1"/>
  <c r="AD128" i="1"/>
  <c r="AC128" i="1"/>
  <c r="AC171" i="1"/>
  <c r="AD171" i="1"/>
  <c r="AC173" i="1"/>
  <c r="AD173" i="1"/>
  <c r="AC175" i="1"/>
  <c r="AD175" i="1"/>
  <c r="AC177" i="1"/>
  <c r="AD177" i="1"/>
  <c r="AC179" i="1"/>
  <c r="AD179" i="1"/>
  <c r="AC181" i="1"/>
  <c r="AD181" i="1"/>
  <c r="AC183" i="1"/>
  <c r="AD183" i="1"/>
  <c r="AD185" i="1"/>
  <c r="AC185" i="1"/>
  <c r="AC187" i="1"/>
  <c r="AD187" i="1"/>
  <c r="AC189" i="1"/>
  <c r="AD189" i="1"/>
  <c r="AC191" i="1"/>
  <c r="AD191" i="1"/>
  <c r="AC193" i="1"/>
  <c r="AD193" i="1"/>
  <c r="AC195" i="1"/>
  <c r="AD195" i="1"/>
  <c r="AD197" i="1"/>
  <c r="AC197" i="1"/>
  <c r="AC199" i="1"/>
  <c r="AD199" i="1"/>
  <c r="AC201" i="1"/>
  <c r="AD201" i="1"/>
  <c r="AC203" i="1"/>
  <c r="AD203" i="1"/>
  <c r="AC205" i="1"/>
  <c r="AD205" i="1"/>
  <c r="AC207" i="1"/>
  <c r="AD207" i="1"/>
  <c r="AD209" i="1"/>
  <c r="AC209" i="1"/>
  <c r="AC211" i="1"/>
  <c r="AD211" i="1"/>
  <c r="AC254" i="1"/>
  <c r="AD254" i="1"/>
  <c r="AD256" i="1"/>
  <c r="AC256" i="1"/>
  <c r="AD258" i="1"/>
  <c r="AC258" i="1"/>
  <c r="AC260" i="1"/>
  <c r="AD260" i="1"/>
  <c r="AC262" i="1"/>
  <c r="AD262" i="1"/>
  <c r="AD264" i="1"/>
  <c r="AC264" i="1"/>
  <c r="AC266" i="1"/>
  <c r="AD266" i="1"/>
  <c r="AC268" i="1"/>
  <c r="AD268" i="1"/>
  <c r="AD270" i="1"/>
  <c r="AC270" i="1"/>
  <c r="AC272" i="1"/>
  <c r="AD272" i="1"/>
  <c r="AC274" i="1"/>
  <c r="AD274" i="1"/>
  <c r="AD276" i="1"/>
  <c r="AC276" i="1"/>
  <c r="AC278" i="1"/>
  <c r="AD278" i="1"/>
  <c r="AC280" i="1"/>
  <c r="AD280" i="1"/>
  <c r="AD282" i="1"/>
  <c r="AC282" i="1"/>
  <c r="AC284" i="1"/>
  <c r="AD284" i="1"/>
  <c r="AC286" i="1"/>
  <c r="AD286" i="1"/>
  <c r="AD288" i="1"/>
  <c r="AC288" i="1"/>
  <c r="AC290" i="1"/>
  <c r="AD290" i="1"/>
  <c r="AD292" i="1"/>
  <c r="AC292" i="1"/>
  <c r="AC335" i="1"/>
  <c r="AD335" i="1"/>
  <c r="AC337" i="1"/>
  <c r="AD337" i="1"/>
  <c r="AC339" i="1"/>
  <c r="AD339" i="1"/>
  <c r="AC341" i="1"/>
  <c r="AD341" i="1"/>
  <c r="AC343" i="1"/>
  <c r="AD343" i="1"/>
  <c r="AC345" i="1"/>
  <c r="AD345" i="1"/>
  <c r="AC347" i="1"/>
  <c r="AD347" i="1"/>
  <c r="AC349" i="1"/>
  <c r="AD349" i="1"/>
  <c r="AC351" i="1"/>
  <c r="AD351" i="1"/>
  <c r="AC353" i="1"/>
  <c r="AD353" i="1"/>
  <c r="AC355" i="1"/>
  <c r="AD355" i="1"/>
  <c r="AC357" i="1"/>
  <c r="AD357" i="1"/>
  <c r="AC359" i="1"/>
  <c r="AD359" i="1"/>
  <c r="AC361" i="1"/>
  <c r="AD361" i="1"/>
  <c r="AC363" i="1"/>
  <c r="AD363" i="1"/>
  <c r="AC365" i="1"/>
  <c r="AD365" i="1"/>
  <c r="AC367" i="1"/>
  <c r="AD367" i="1"/>
  <c r="AC369" i="1"/>
  <c r="AD369" i="1"/>
  <c r="AC371" i="1"/>
  <c r="AD371" i="1"/>
  <c r="AC373" i="1"/>
  <c r="AD373" i="1"/>
  <c r="AC416" i="1"/>
  <c r="AD416" i="1"/>
  <c r="AC418" i="1"/>
  <c r="AD418" i="1"/>
  <c r="AC420" i="1"/>
  <c r="AD420" i="1"/>
  <c r="AC422" i="1"/>
  <c r="AD422" i="1"/>
  <c r="AC424" i="1"/>
  <c r="AD424" i="1"/>
  <c r="AC426" i="1"/>
  <c r="AD426" i="1"/>
  <c r="AC428" i="1"/>
  <c r="AD428" i="1"/>
  <c r="AC430" i="1"/>
  <c r="AD430" i="1"/>
  <c r="AC432" i="1"/>
  <c r="AD432" i="1"/>
  <c r="AC434" i="1"/>
  <c r="AD434" i="1"/>
  <c r="AC436" i="1"/>
  <c r="AD436" i="1"/>
  <c r="AC438" i="1"/>
  <c r="AD438" i="1"/>
  <c r="AC440" i="1"/>
  <c r="AD440" i="1"/>
  <c r="AC442" i="1"/>
  <c r="AD442" i="1"/>
  <c r="AC444" i="1"/>
  <c r="AD444" i="1"/>
  <c r="AC446" i="1"/>
  <c r="AD446" i="1"/>
  <c r="AC448" i="1"/>
  <c r="AD448" i="1"/>
  <c r="AC450" i="1"/>
  <c r="AD450" i="1"/>
  <c r="AC452" i="1"/>
  <c r="AD452" i="1"/>
  <c r="AC454" i="1"/>
  <c r="AD454" i="1"/>
  <c r="AC456" i="1"/>
  <c r="AD456" i="1"/>
  <c r="AC532" i="1"/>
  <c r="AD532" i="1"/>
  <c r="AD537" i="1"/>
  <c r="AC537" i="1"/>
  <c r="AC540" i="1"/>
  <c r="AD540" i="1"/>
  <c r="AC790" i="1"/>
  <c r="AD790" i="1"/>
  <c r="AD793" i="1"/>
  <c r="AC793" i="1"/>
  <c r="AD796" i="1"/>
  <c r="AC796" i="1"/>
  <c r="AD799" i="1"/>
  <c r="AC799" i="1"/>
  <c r="AC802" i="1"/>
  <c r="AD802" i="1"/>
  <c r="AD805" i="1"/>
  <c r="AC805" i="1"/>
  <c r="AC825" i="1"/>
  <c r="AD825" i="1"/>
  <c r="AC860" i="1"/>
  <c r="AD860" i="1"/>
  <c r="AC543" i="1"/>
  <c r="AD543" i="1"/>
  <c r="AA800" i="1"/>
  <c r="AB800" i="1" s="1"/>
  <c r="AA774" i="1"/>
  <c r="AB774" i="1" s="1"/>
  <c r="AA728" i="1"/>
  <c r="AB728" i="1" s="1"/>
  <c r="AC45" i="1"/>
  <c r="AD45" i="1"/>
  <c r="AD47" i="1"/>
  <c r="AC47" i="1"/>
  <c r="AC49" i="1"/>
  <c r="AD49" i="1"/>
  <c r="AC51" i="1"/>
  <c r="AD51" i="1"/>
  <c r="AC53" i="1"/>
  <c r="AD53" i="1"/>
  <c r="AD55" i="1"/>
  <c r="AC55" i="1"/>
  <c r="AC57" i="1"/>
  <c r="AD57" i="1"/>
  <c r="AD59" i="1"/>
  <c r="AC59" i="1"/>
  <c r="AC61" i="1"/>
  <c r="AD61" i="1"/>
  <c r="AD63" i="1"/>
  <c r="AC63" i="1"/>
  <c r="AC65" i="1"/>
  <c r="AD65" i="1"/>
  <c r="AC67" i="1"/>
  <c r="AD67" i="1"/>
  <c r="AC69" i="1"/>
  <c r="AD69" i="1"/>
  <c r="AC71" i="1"/>
  <c r="AD71" i="1"/>
  <c r="AD73" i="1"/>
  <c r="AC73" i="1"/>
  <c r="AC75" i="1"/>
  <c r="AD75" i="1"/>
  <c r="AC77" i="1"/>
  <c r="AD77" i="1"/>
  <c r="AC79" i="1"/>
  <c r="AD79" i="1"/>
  <c r="AC81" i="1"/>
  <c r="AD81" i="1"/>
  <c r="AD83" i="1"/>
  <c r="AC83" i="1"/>
  <c r="AC85" i="1"/>
  <c r="AD85" i="1"/>
  <c r="AC130" i="1"/>
  <c r="AD130" i="1"/>
  <c r="AC132" i="1"/>
  <c r="AD132" i="1"/>
  <c r="AD134" i="1"/>
  <c r="AC134" i="1"/>
  <c r="AD136" i="1"/>
  <c r="AC136" i="1"/>
  <c r="AC138" i="1"/>
  <c r="AD138" i="1"/>
  <c r="AD140" i="1"/>
  <c r="AC140" i="1"/>
  <c r="AC142" i="1"/>
  <c r="AD142" i="1"/>
  <c r="AC144" i="1"/>
  <c r="AD144" i="1"/>
  <c r="AD146" i="1"/>
  <c r="AC146" i="1"/>
  <c r="AD148" i="1"/>
  <c r="AC148" i="1"/>
  <c r="AC150" i="1"/>
  <c r="AD150" i="1"/>
  <c r="AD152" i="1"/>
  <c r="AC152" i="1"/>
  <c r="AC154" i="1"/>
  <c r="AD154" i="1"/>
  <c r="AC156" i="1"/>
  <c r="AD156" i="1"/>
  <c r="AD158" i="1"/>
  <c r="AC158" i="1"/>
  <c r="AC160" i="1"/>
  <c r="AD160" i="1"/>
  <c r="AC162" i="1"/>
  <c r="AD162" i="1"/>
  <c r="AD164" i="1"/>
  <c r="AC164" i="1"/>
  <c r="AC166" i="1"/>
  <c r="AD166" i="1"/>
  <c r="AC168" i="1"/>
  <c r="AD168" i="1"/>
  <c r="AD170" i="1"/>
  <c r="AC170" i="1"/>
  <c r="AC213" i="1"/>
  <c r="AD213" i="1"/>
  <c r="AC215" i="1"/>
  <c r="AD215" i="1"/>
  <c r="AD2" i="1"/>
  <c r="AC2" i="1"/>
  <c r="AC212" i="1"/>
  <c r="AD212" i="1"/>
  <c r="AC214" i="1"/>
  <c r="AD214" i="1"/>
  <c r="AD216" i="1"/>
  <c r="AC216" i="1"/>
  <c r="AC218" i="1"/>
  <c r="AD218" i="1"/>
  <c r="AC224" i="1"/>
  <c r="AD224" i="1"/>
  <c r="AC226" i="1"/>
  <c r="AD226" i="1"/>
  <c r="AD228" i="1"/>
  <c r="AC228" i="1"/>
  <c r="AC230" i="1"/>
  <c r="AD230" i="1"/>
  <c r="AC236" i="1"/>
  <c r="AD236" i="1"/>
  <c r="AC238" i="1"/>
  <c r="AD238" i="1"/>
  <c r="AD240" i="1"/>
  <c r="AC240" i="1"/>
  <c r="AC242" i="1"/>
  <c r="AD242" i="1"/>
  <c r="AC248" i="1"/>
  <c r="AD248" i="1"/>
  <c r="AC250" i="1"/>
  <c r="AD250" i="1"/>
  <c r="AD252" i="1"/>
  <c r="AC252" i="1"/>
  <c r="AC295" i="1"/>
  <c r="AD295" i="1"/>
  <c r="AC297" i="1"/>
  <c r="AD297" i="1"/>
  <c r="AC299" i="1"/>
  <c r="AD299" i="1"/>
  <c r="AC301" i="1"/>
  <c r="AD301" i="1"/>
  <c r="AC303" i="1"/>
  <c r="AD303" i="1"/>
  <c r="AC307" i="1"/>
  <c r="AD307" i="1"/>
  <c r="AC309" i="1"/>
  <c r="AD309" i="1"/>
  <c r="AC311" i="1"/>
  <c r="AD311" i="1"/>
  <c r="AC313" i="1"/>
  <c r="AD313" i="1"/>
  <c r="AC315" i="1"/>
  <c r="AD315" i="1"/>
  <c r="AC319" i="1"/>
  <c r="AD319" i="1"/>
  <c r="AC321" i="1"/>
  <c r="AD321" i="1"/>
  <c r="AC323" i="1"/>
  <c r="AD323" i="1"/>
  <c r="AC329" i="1"/>
  <c r="AD329" i="1"/>
  <c r="AC331" i="1"/>
  <c r="AD331" i="1"/>
  <c r="AD380" i="1"/>
  <c r="AC380" i="1"/>
  <c r="AC382" i="1"/>
  <c r="AD382" i="1"/>
  <c r="AD386" i="1"/>
  <c r="AC386" i="1"/>
  <c r="AC388" i="1"/>
  <c r="AD388" i="1"/>
  <c r="AD392" i="1"/>
  <c r="AC392" i="1"/>
  <c r="AC394" i="1"/>
  <c r="AD394" i="1"/>
  <c r="AC396" i="1"/>
  <c r="AD396" i="1"/>
  <c r="AC402" i="1"/>
  <c r="AD402" i="1"/>
  <c r="AC408" i="1"/>
  <c r="AD408" i="1"/>
  <c r="AC414" i="1"/>
  <c r="AD414" i="1"/>
  <c r="AC457" i="1"/>
  <c r="AD457" i="1"/>
  <c r="AC461" i="1"/>
  <c r="AD461" i="1"/>
  <c r="AC463" i="1"/>
  <c r="AD463" i="1"/>
  <c r="AC467" i="1"/>
  <c r="AD467" i="1"/>
  <c r="AC469" i="1"/>
  <c r="AD469" i="1"/>
  <c r="AC473" i="1"/>
  <c r="AD473" i="1"/>
  <c r="AC475" i="1"/>
  <c r="AD475" i="1"/>
  <c r="AC479" i="1"/>
  <c r="AD479" i="1"/>
  <c r="AC481" i="1"/>
  <c r="AD481" i="1"/>
  <c r="AC485" i="1"/>
  <c r="AD485" i="1"/>
  <c r="AC487" i="1"/>
  <c r="AD487" i="1"/>
  <c r="AC542" i="1"/>
  <c r="AD542" i="1"/>
  <c r="AC810" i="1"/>
  <c r="AD810" i="1"/>
  <c r="AC816" i="1"/>
  <c r="AD816" i="1"/>
  <c r="AC819" i="1"/>
  <c r="AD819" i="1"/>
  <c r="AD822" i="1"/>
  <c r="AC822" i="1"/>
  <c r="AC827" i="1"/>
  <c r="AD827" i="1"/>
  <c r="AC830" i="1"/>
  <c r="AD830" i="1"/>
  <c r="AC833" i="1"/>
  <c r="AD833" i="1"/>
  <c r="AC836" i="1"/>
  <c r="AD836" i="1"/>
  <c r="AC839" i="1"/>
  <c r="AD839" i="1"/>
  <c r="AC848" i="1"/>
  <c r="AD848" i="1"/>
  <c r="AC851" i="1"/>
  <c r="AD851" i="1"/>
  <c r="AC854" i="1"/>
  <c r="AD854" i="1"/>
  <c r="AC857" i="1"/>
  <c r="AD857" i="1"/>
  <c r="AA715" i="1"/>
  <c r="AB715" i="1" s="1"/>
  <c r="AA669" i="1"/>
  <c r="AB669" i="1" s="1"/>
  <c r="AD518" i="1"/>
  <c r="AD500" i="1"/>
  <c r="AD482" i="1"/>
  <c r="AD464" i="1"/>
  <c r="AD410" i="1"/>
  <c r="AD390" i="1"/>
  <c r="AC325" i="1"/>
  <c r="AC220" i="1"/>
  <c r="AC184" i="1"/>
  <c r="AD884" i="1"/>
  <c r="AC804" i="1"/>
  <c r="AD613" i="1"/>
  <c r="AD478" i="1"/>
  <c r="AD460" i="1"/>
  <c r="AD385" i="1"/>
  <c r="AD364" i="1"/>
  <c r="AD342" i="1"/>
  <c r="AC318" i="1"/>
  <c r="AC246" i="1"/>
  <c r="AC210" i="1"/>
  <c r="AD172" i="1"/>
  <c r="AA795" i="1"/>
  <c r="AB795" i="1" s="1"/>
  <c r="AA737" i="1"/>
  <c r="AB737" i="1" s="1"/>
  <c r="AA564" i="1"/>
  <c r="AB564" i="1" s="1"/>
  <c r="AD531" i="1"/>
  <c r="AD513" i="1"/>
  <c r="AD441" i="1"/>
  <c r="AD423" i="1"/>
  <c r="AD405" i="1"/>
  <c r="AD384" i="1"/>
  <c r="AC317" i="1"/>
  <c r="AC281" i="1"/>
  <c r="AC245" i="1"/>
  <c r="AC362" i="1"/>
  <c r="AD316" i="1"/>
  <c r="AD244" i="1"/>
  <c r="AD208" i="1"/>
  <c r="AD107" i="1"/>
  <c r="AA954" i="1"/>
  <c r="AB954" i="1" s="1"/>
  <c r="AC808" i="1"/>
  <c r="AD808" i="1"/>
  <c r="AD811" i="1"/>
  <c r="AC811" i="1"/>
  <c r="AC814" i="1"/>
  <c r="AD814" i="1"/>
  <c r="AD817" i="1"/>
  <c r="AC817" i="1"/>
  <c r="AC820" i="1"/>
  <c r="AD820" i="1"/>
  <c r="AD823" i="1"/>
  <c r="AC823" i="1"/>
  <c r="AC828" i="1"/>
  <c r="AD828" i="1"/>
  <c r="AC831" i="1"/>
  <c r="AD831" i="1"/>
  <c r="AD834" i="1"/>
  <c r="AC834" i="1"/>
  <c r="AC840" i="1"/>
  <c r="AD840" i="1"/>
  <c r="AC843" i="1"/>
  <c r="AD843" i="1"/>
  <c r="AC846" i="1"/>
  <c r="AD846" i="1"/>
  <c r="AC849" i="1"/>
  <c r="AD849" i="1"/>
  <c r="AC852" i="1"/>
  <c r="AD852" i="1"/>
  <c r="AD855" i="1"/>
  <c r="AC855" i="1"/>
  <c r="AD858" i="1"/>
  <c r="AC858" i="1"/>
  <c r="AA817" i="1"/>
  <c r="AB817" i="1" s="1"/>
  <c r="AA799" i="1"/>
  <c r="AB799" i="1" s="1"/>
  <c r="AA754" i="1"/>
  <c r="AB754" i="1" s="1"/>
  <c r="AD494" i="1"/>
  <c r="AD476" i="1"/>
  <c r="AD458" i="1"/>
  <c r="AD383" i="1"/>
  <c r="AD340" i="1"/>
  <c r="AC38" i="1"/>
  <c r="AC497" i="1"/>
  <c r="AD497" i="1"/>
  <c r="AC499" i="1"/>
  <c r="AD499" i="1"/>
  <c r="AC503" i="1"/>
  <c r="AD503" i="1"/>
  <c r="AC505" i="1"/>
  <c r="AD505" i="1"/>
  <c r="AC509" i="1"/>
  <c r="AD509" i="1"/>
  <c r="AC511" i="1"/>
  <c r="AD511" i="1"/>
  <c r="AC515" i="1"/>
  <c r="AD515" i="1"/>
  <c r="AC517" i="1"/>
  <c r="AD517" i="1"/>
  <c r="AC521" i="1"/>
  <c r="AD521" i="1"/>
  <c r="AC523" i="1"/>
  <c r="AD523" i="1"/>
  <c r="AC527" i="1"/>
  <c r="AD527" i="1"/>
  <c r="AC529" i="1"/>
  <c r="AD529" i="1"/>
  <c r="AC607" i="1"/>
  <c r="AD607" i="1"/>
  <c r="AD645" i="1"/>
  <c r="AC645" i="1"/>
  <c r="AD715" i="1"/>
  <c r="AC715" i="1"/>
  <c r="AC863" i="1"/>
  <c r="AD863" i="1"/>
  <c r="AC869" i="1"/>
  <c r="AD869" i="1"/>
  <c r="AC872" i="1"/>
  <c r="AD872" i="1"/>
  <c r="AC875" i="1"/>
  <c r="AD875" i="1"/>
  <c r="AC878" i="1"/>
  <c r="AD878" i="1"/>
  <c r="AD881" i="1"/>
  <c r="AC881" i="1"/>
  <c r="AC887" i="1"/>
  <c r="AD887" i="1"/>
  <c r="AC893" i="1"/>
  <c r="AD893" i="1"/>
  <c r="AA741" i="1"/>
  <c r="AB741" i="1" s="1"/>
  <c r="AA702" i="1"/>
  <c r="AB702" i="1" s="1"/>
  <c r="AA573" i="1"/>
  <c r="AB573" i="1" s="1"/>
  <c r="AA537" i="1"/>
  <c r="AB537" i="1" s="1"/>
  <c r="AD526" i="1"/>
  <c r="AD508" i="1"/>
  <c r="AD490" i="1"/>
  <c r="AD472" i="1"/>
  <c r="AC400" i="1"/>
  <c r="AD378" i="1"/>
  <c r="AC306" i="1"/>
  <c r="AC234" i="1"/>
  <c r="AC198" i="1"/>
  <c r="AC845" i="1"/>
  <c r="AC711" i="1"/>
  <c r="AC217" i="1"/>
  <c r="AD217" i="1"/>
  <c r="AC219" i="1"/>
  <c r="AD219" i="1"/>
  <c r="AC223" i="1"/>
  <c r="AD223" i="1"/>
  <c r="AC225" i="1"/>
  <c r="AD225" i="1"/>
  <c r="AC227" i="1"/>
  <c r="AD227" i="1"/>
  <c r="AC229" i="1"/>
  <c r="AD229" i="1"/>
  <c r="AC231" i="1"/>
  <c r="AD231" i="1"/>
  <c r="AC235" i="1"/>
  <c r="AD235" i="1"/>
  <c r="AC237" i="1"/>
  <c r="AD237" i="1"/>
  <c r="AC239" i="1"/>
  <c r="AD239" i="1"/>
  <c r="AC241" i="1"/>
  <c r="AD241" i="1"/>
  <c r="AC243" i="1"/>
  <c r="AD243" i="1"/>
  <c r="AC247" i="1"/>
  <c r="AD247" i="1"/>
  <c r="AC249" i="1"/>
  <c r="AD249" i="1"/>
  <c r="AC251" i="1"/>
  <c r="AD251" i="1"/>
  <c r="AC296" i="1"/>
  <c r="AD296" i="1"/>
  <c r="AC298" i="1"/>
  <c r="AD298" i="1"/>
  <c r="AD300" i="1"/>
  <c r="AC300" i="1"/>
  <c r="AC302" i="1"/>
  <c r="AD302" i="1"/>
  <c r="AC308" i="1"/>
  <c r="AD308" i="1"/>
  <c r="AC310" i="1"/>
  <c r="AD310" i="1"/>
  <c r="AD312" i="1"/>
  <c r="AC312" i="1"/>
  <c r="AC314" i="1"/>
  <c r="AD314" i="1"/>
  <c r="AC320" i="1"/>
  <c r="AD320" i="1"/>
  <c r="AC322" i="1"/>
  <c r="AD322" i="1"/>
  <c r="AC324" i="1"/>
  <c r="AD324" i="1"/>
  <c r="AC326" i="1"/>
  <c r="AD326" i="1"/>
  <c r="AC330" i="1"/>
  <c r="AD330" i="1"/>
  <c r="AD332" i="1"/>
  <c r="AC332" i="1"/>
  <c r="AC375" i="1"/>
  <c r="AD375" i="1"/>
  <c r="AC379" i="1"/>
  <c r="AD379" i="1"/>
  <c r="AC381" i="1"/>
  <c r="AD381" i="1"/>
  <c r="AC387" i="1"/>
  <c r="AD387" i="1"/>
  <c r="AC389" i="1"/>
  <c r="AD389" i="1"/>
  <c r="AC395" i="1"/>
  <c r="AD395" i="1"/>
  <c r="AC401" i="1"/>
  <c r="AD401" i="1"/>
  <c r="AC403" i="1"/>
  <c r="AD403" i="1"/>
  <c r="AC407" i="1"/>
  <c r="AD407" i="1"/>
  <c r="AC409" i="1"/>
  <c r="AD409" i="1"/>
  <c r="AC413" i="1"/>
  <c r="AD413" i="1"/>
  <c r="AC415" i="1"/>
  <c r="AD415" i="1"/>
  <c r="AC462" i="1"/>
  <c r="AD462" i="1"/>
  <c r="AC468" i="1"/>
  <c r="AD468" i="1"/>
  <c r="AC474" i="1"/>
  <c r="AD474" i="1"/>
  <c r="AC480" i="1"/>
  <c r="AD480" i="1"/>
  <c r="AC486" i="1"/>
  <c r="AD486" i="1"/>
  <c r="AC546" i="1"/>
  <c r="AD546" i="1"/>
  <c r="AC549" i="1"/>
  <c r="AD549" i="1"/>
  <c r="AC552" i="1"/>
  <c r="AD552" i="1"/>
  <c r="AC555" i="1"/>
  <c r="AD555" i="1"/>
  <c r="AC558" i="1"/>
  <c r="AD558" i="1"/>
  <c r="AC561" i="1"/>
  <c r="AD561" i="1"/>
  <c r="AC564" i="1"/>
  <c r="AD564" i="1"/>
  <c r="AC567" i="1"/>
  <c r="AD567" i="1"/>
  <c r="AC572" i="1"/>
  <c r="AD572" i="1"/>
  <c r="AC575" i="1"/>
  <c r="AD575" i="1"/>
  <c r="AC578" i="1"/>
  <c r="AD578" i="1"/>
  <c r="AC581" i="1"/>
  <c r="AD581" i="1"/>
  <c r="AC584" i="1"/>
  <c r="AD584" i="1"/>
  <c r="AC587" i="1"/>
  <c r="AD587" i="1"/>
  <c r="AC590" i="1"/>
  <c r="AD590" i="1"/>
  <c r="AC593" i="1"/>
  <c r="AD593" i="1"/>
  <c r="AD596" i="1"/>
  <c r="AC596" i="1"/>
  <c r="AD599" i="1"/>
  <c r="AC599" i="1"/>
  <c r="AC602" i="1"/>
  <c r="AD602" i="1"/>
  <c r="AC605" i="1"/>
  <c r="AD605" i="1"/>
  <c r="AC610" i="1"/>
  <c r="AD610" i="1"/>
  <c r="AC616" i="1"/>
  <c r="AD616" i="1"/>
  <c r="AD619" i="1"/>
  <c r="AC619" i="1"/>
  <c r="AD622" i="1"/>
  <c r="AC622" i="1"/>
  <c r="AC625" i="1"/>
  <c r="AD625" i="1"/>
  <c r="AC628" i="1"/>
  <c r="AD628" i="1"/>
  <c r="AC631" i="1"/>
  <c r="AD631" i="1"/>
  <c r="AC634" i="1"/>
  <c r="AD634" i="1"/>
  <c r="AC637" i="1"/>
  <c r="AD637" i="1"/>
  <c r="AC640" i="1"/>
  <c r="AD640" i="1"/>
  <c r="AD643" i="1"/>
  <c r="AC643" i="1"/>
  <c r="AC648" i="1"/>
  <c r="AD648" i="1"/>
  <c r="AC651" i="1"/>
  <c r="AD651" i="1"/>
  <c r="AC654" i="1"/>
  <c r="AD654" i="1"/>
  <c r="AC657" i="1"/>
  <c r="AD657" i="1"/>
  <c r="AC660" i="1"/>
  <c r="AD660" i="1"/>
  <c r="AC663" i="1"/>
  <c r="AD663" i="1"/>
  <c r="AC666" i="1"/>
  <c r="AD666" i="1"/>
  <c r="AC669" i="1"/>
  <c r="AD669" i="1"/>
  <c r="AC672" i="1"/>
  <c r="AD672" i="1"/>
  <c r="AD675" i="1"/>
  <c r="AC675" i="1"/>
  <c r="AC678" i="1"/>
  <c r="AD678" i="1"/>
  <c r="AC681" i="1"/>
  <c r="AD681" i="1"/>
  <c r="AD686" i="1"/>
  <c r="AC686" i="1"/>
  <c r="AD692" i="1"/>
  <c r="AC692" i="1"/>
  <c r="AC695" i="1"/>
  <c r="AD695" i="1"/>
  <c r="AD698" i="1"/>
  <c r="AC698" i="1"/>
  <c r="AC701" i="1"/>
  <c r="AD701" i="1"/>
  <c r="AD704" i="1"/>
  <c r="AC704" i="1"/>
  <c r="AC707" i="1"/>
  <c r="AD707" i="1"/>
  <c r="AD710" i="1"/>
  <c r="AC710" i="1"/>
  <c r="AC713" i="1"/>
  <c r="AD713" i="1"/>
  <c r="AD718" i="1"/>
  <c r="AC718" i="1"/>
  <c r="AD721" i="1"/>
  <c r="AC721" i="1"/>
  <c r="AC724" i="1"/>
  <c r="AD724" i="1"/>
  <c r="AD727" i="1"/>
  <c r="AC727" i="1"/>
  <c r="AC730" i="1"/>
  <c r="AD730" i="1"/>
  <c r="AD733" i="1"/>
  <c r="AC733" i="1"/>
  <c r="AC736" i="1"/>
  <c r="AD736" i="1"/>
  <c r="AD739" i="1"/>
  <c r="AC739" i="1"/>
  <c r="AC742" i="1"/>
  <c r="AD742" i="1"/>
  <c r="AD745" i="1"/>
  <c r="AC745" i="1"/>
  <c r="AC748" i="1"/>
  <c r="AD748" i="1"/>
  <c r="AC753" i="1"/>
  <c r="AD753" i="1"/>
  <c r="AC756" i="1"/>
  <c r="AD756" i="1"/>
  <c r="AC762" i="1"/>
  <c r="AD762" i="1"/>
  <c r="AC765" i="1"/>
  <c r="AD765" i="1"/>
  <c r="AC771" i="1"/>
  <c r="AD771" i="1"/>
  <c r="AC774" i="1"/>
  <c r="AD774" i="1"/>
  <c r="AC777" i="1"/>
  <c r="AD777" i="1"/>
  <c r="AD780" i="1"/>
  <c r="AC780" i="1"/>
  <c r="AC783" i="1"/>
  <c r="AD783" i="1"/>
  <c r="AD788" i="1"/>
  <c r="AC788" i="1"/>
  <c r="AA830" i="1"/>
  <c r="AB830" i="1" s="1"/>
  <c r="AA753" i="1"/>
  <c r="AB753" i="1" s="1"/>
  <c r="AA576" i="1"/>
  <c r="AB576" i="1" s="1"/>
  <c r="AA540" i="1"/>
  <c r="AB540" i="1" s="1"/>
  <c r="AD525" i="1"/>
  <c r="AD507" i="1"/>
  <c r="AD489" i="1"/>
  <c r="AD471" i="1"/>
  <c r="AD453" i="1"/>
  <c r="AD435" i="1"/>
  <c r="AD417" i="1"/>
  <c r="AC399" i="1"/>
  <c r="AD377" i="1"/>
  <c r="AD334" i="1"/>
  <c r="AC305" i="1"/>
  <c r="AC269" i="1"/>
  <c r="AC233" i="1"/>
  <c r="AC842" i="1"/>
  <c r="AD535" i="1"/>
  <c r="AC535" i="1"/>
  <c r="AC538" i="1"/>
  <c r="AD538" i="1"/>
  <c r="AC541" i="1"/>
  <c r="AD541" i="1"/>
  <c r="AC786" i="1"/>
  <c r="AD786" i="1"/>
  <c r="AC791" i="1"/>
  <c r="AD791" i="1"/>
  <c r="AC794" i="1"/>
  <c r="AD794" i="1"/>
  <c r="AC797" i="1"/>
  <c r="AD797" i="1"/>
  <c r="AC800" i="1"/>
  <c r="AD800" i="1"/>
  <c r="AC803" i="1"/>
  <c r="AD803" i="1"/>
  <c r="AA717" i="1"/>
  <c r="AB717" i="1" s="1"/>
  <c r="AA600" i="1"/>
  <c r="AB600" i="1" s="1"/>
  <c r="AA543" i="1"/>
  <c r="AB543" i="1" s="1"/>
  <c r="AC398" i="1"/>
  <c r="AD304" i="1"/>
  <c r="AD232" i="1"/>
  <c r="AD196" i="1"/>
  <c r="AC16" i="1"/>
  <c r="AC838" i="1"/>
  <c r="AC492" i="1"/>
  <c r="AD492" i="1"/>
  <c r="AD809" i="1"/>
  <c r="AC809" i="1"/>
  <c r="AC812" i="1"/>
  <c r="AD812" i="1"/>
  <c r="AC818" i="1"/>
  <c r="AD818" i="1"/>
  <c r="AC821" i="1"/>
  <c r="AD821" i="1"/>
  <c r="AC826" i="1"/>
  <c r="AD826" i="1"/>
  <c r="AD829" i="1"/>
  <c r="AC829" i="1"/>
  <c r="AC832" i="1"/>
  <c r="AD832" i="1"/>
  <c r="AD835" i="1"/>
  <c r="AC835" i="1"/>
  <c r="AD841" i="1"/>
  <c r="AC841" i="1"/>
  <c r="AC844" i="1"/>
  <c r="AD844" i="1"/>
  <c r="AD847" i="1"/>
  <c r="AC847" i="1"/>
  <c r="AC850" i="1"/>
  <c r="AD850" i="1"/>
  <c r="AD853" i="1"/>
  <c r="AC853" i="1"/>
  <c r="AC856" i="1"/>
  <c r="AD856" i="1"/>
  <c r="AD859" i="1"/>
  <c r="AC859" i="1"/>
  <c r="AD524" i="1"/>
  <c r="AD506" i="1"/>
  <c r="AD488" i="1"/>
  <c r="AD470" i="1"/>
  <c r="AD397" i="1"/>
  <c r="AD376" i="1"/>
  <c r="AD354" i="1"/>
  <c r="AD333" i="1"/>
  <c r="AC14" i="1"/>
  <c r="AD837" i="1"/>
  <c r="AC689" i="1"/>
  <c r="AC4" i="1"/>
  <c r="AD4" i="1"/>
  <c r="AC6" i="1"/>
  <c r="AD6" i="1"/>
  <c r="AD8" i="1"/>
  <c r="AC8" i="1"/>
  <c r="AC10" i="1"/>
  <c r="AD10" i="1"/>
  <c r="AD12" i="1"/>
  <c r="AC12" i="1"/>
  <c r="AC18" i="1"/>
  <c r="AD18" i="1"/>
  <c r="AD20" i="1"/>
  <c r="AC20" i="1"/>
  <c r="AC22" i="1"/>
  <c r="AD22" i="1"/>
  <c r="AC24" i="1"/>
  <c r="AD24" i="1"/>
  <c r="AD26" i="1"/>
  <c r="AC26" i="1"/>
  <c r="AC28" i="1"/>
  <c r="AD28" i="1"/>
  <c r="AC30" i="1"/>
  <c r="AD30" i="1"/>
  <c r="AD32" i="1"/>
  <c r="AC32" i="1"/>
  <c r="AD34" i="1"/>
  <c r="AC34" i="1"/>
  <c r="AD36" i="1"/>
  <c r="AC36" i="1"/>
  <c r="AC40" i="1"/>
  <c r="AD40" i="1"/>
  <c r="AC42" i="1"/>
  <c r="AD42" i="1"/>
  <c r="AC87" i="1"/>
  <c r="AD87" i="1"/>
  <c r="AC89" i="1"/>
  <c r="AD89" i="1"/>
  <c r="AC91" i="1"/>
  <c r="AD91" i="1"/>
  <c r="AC93" i="1"/>
  <c r="AD93" i="1"/>
  <c r="AC95" i="1"/>
  <c r="AD95" i="1"/>
  <c r="AD97" i="1"/>
  <c r="AC97" i="1"/>
  <c r="AC99" i="1"/>
  <c r="AD99" i="1"/>
  <c r="AC101" i="1"/>
  <c r="AD101" i="1"/>
  <c r="AC103" i="1"/>
  <c r="AD103" i="1"/>
  <c r="AC105" i="1"/>
  <c r="AD105" i="1"/>
  <c r="AC109" i="1"/>
  <c r="AD109" i="1"/>
  <c r="AC111" i="1"/>
  <c r="AD111" i="1"/>
  <c r="AC113" i="1"/>
  <c r="AD113" i="1"/>
  <c r="AC115" i="1"/>
  <c r="AD115" i="1"/>
  <c r="AC117" i="1"/>
  <c r="AD117" i="1"/>
  <c r="AD119" i="1"/>
  <c r="AC119" i="1"/>
  <c r="AC121" i="1"/>
  <c r="AD121" i="1"/>
  <c r="AC123" i="1"/>
  <c r="AD123" i="1"/>
  <c r="AC125" i="1"/>
  <c r="AD125" i="1"/>
  <c r="AC127" i="1"/>
  <c r="AD127" i="1"/>
  <c r="AC174" i="1"/>
  <c r="AD174" i="1"/>
  <c r="AD176" i="1"/>
  <c r="AC176" i="1"/>
  <c r="AC178" i="1"/>
  <c r="AD178" i="1"/>
  <c r="AC180" i="1"/>
  <c r="AD180" i="1"/>
  <c r="AC182" i="1"/>
  <c r="AD182" i="1"/>
  <c r="AC188" i="1"/>
  <c r="AD188" i="1"/>
  <c r="AC190" i="1"/>
  <c r="AD190" i="1"/>
  <c r="AD192" i="1"/>
  <c r="AC192" i="1"/>
  <c r="AC194" i="1"/>
  <c r="AD194" i="1"/>
  <c r="AC200" i="1"/>
  <c r="AD200" i="1"/>
  <c r="AC202" i="1"/>
  <c r="AD202" i="1"/>
  <c r="AD204" i="1"/>
  <c r="AC204" i="1"/>
  <c r="AC206" i="1"/>
  <c r="AD206" i="1"/>
  <c r="AC253" i="1"/>
  <c r="AD253" i="1"/>
  <c r="AC255" i="1"/>
  <c r="AD255" i="1"/>
  <c r="AC259" i="1"/>
  <c r="AD259" i="1"/>
  <c r="AC261" i="1"/>
  <c r="AD261" i="1"/>
  <c r="AC263" i="1"/>
  <c r="AD263" i="1"/>
  <c r="AC265" i="1"/>
  <c r="AD265" i="1"/>
  <c r="AC267" i="1"/>
  <c r="AD267" i="1"/>
  <c r="AC271" i="1"/>
  <c r="AD271" i="1"/>
  <c r="AC273" i="1"/>
  <c r="AD273" i="1"/>
  <c r="AC275" i="1"/>
  <c r="AD275" i="1"/>
  <c r="AC277" i="1"/>
  <c r="AD277" i="1"/>
  <c r="AC279" i="1"/>
  <c r="AD279" i="1"/>
  <c r="AC283" i="1"/>
  <c r="AD283" i="1"/>
  <c r="AC285" i="1"/>
  <c r="AD285" i="1"/>
  <c r="AC287" i="1"/>
  <c r="AD287" i="1"/>
  <c r="AC289" i="1"/>
  <c r="AD289" i="1"/>
  <c r="AC291" i="1"/>
  <c r="AD291" i="1"/>
  <c r="AC336" i="1"/>
  <c r="AD336" i="1"/>
  <c r="AD338" i="1"/>
  <c r="AC338" i="1"/>
  <c r="AD344" i="1"/>
  <c r="AC344" i="1"/>
  <c r="AC346" i="1"/>
  <c r="AD346" i="1"/>
  <c r="AD350" i="1"/>
  <c r="AC350" i="1"/>
  <c r="AC352" i="1"/>
  <c r="AD352" i="1"/>
  <c r="AD356" i="1"/>
  <c r="AC356" i="1"/>
  <c r="AC358" i="1"/>
  <c r="AD358" i="1"/>
  <c r="AC360" i="1"/>
  <c r="AD360" i="1"/>
  <c r="AC366" i="1"/>
  <c r="AD366" i="1"/>
  <c r="AD368" i="1"/>
  <c r="AC368" i="1"/>
  <c r="AC372" i="1"/>
  <c r="AD372" i="1"/>
  <c r="AD374" i="1"/>
  <c r="AC374" i="1"/>
  <c r="AC419" i="1"/>
  <c r="AD419" i="1"/>
  <c r="AC421" i="1"/>
  <c r="AD421" i="1"/>
  <c r="AC425" i="1"/>
  <c r="AD425" i="1"/>
  <c r="AC427" i="1"/>
  <c r="AD427" i="1"/>
  <c r="AC431" i="1"/>
  <c r="AD431" i="1"/>
  <c r="AC433" i="1"/>
  <c r="AD433" i="1"/>
  <c r="AC437" i="1"/>
  <c r="AD437" i="1"/>
  <c r="AC439" i="1"/>
  <c r="AD439" i="1"/>
  <c r="AC443" i="1"/>
  <c r="AD443" i="1"/>
  <c r="AC445" i="1"/>
  <c r="AD445" i="1"/>
  <c r="AC449" i="1"/>
  <c r="AD449" i="1"/>
  <c r="AC451" i="1"/>
  <c r="AD451" i="1"/>
  <c r="AC455" i="1"/>
  <c r="AD455" i="1"/>
  <c r="AC544" i="1"/>
  <c r="AD544" i="1"/>
  <c r="AC570" i="1"/>
  <c r="AD570" i="1"/>
  <c r="AC608" i="1"/>
  <c r="AD608" i="1"/>
  <c r="AC684" i="1"/>
  <c r="AD684" i="1"/>
  <c r="AD716" i="1"/>
  <c r="AC716" i="1"/>
  <c r="AD751" i="1"/>
  <c r="AC751" i="1"/>
  <c r="AC864" i="1"/>
  <c r="AD864" i="1"/>
  <c r="AC867" i="1"/>
  <c r="AD867" i="1"/>
  <c r="AC870" i="1"/>
  <c r="AD870" i="1"/>
  <c r="AC873" i="1"/>
  <c r="AD873" i="1"/>
  <c r="AC876" i="1"/>
  <c r="AD876" i="1"/>
  <c r="AC879" i="1"/>
  <c r="AD879" i="1"/>
  <c r="AC882" i="1"/>
  <c r="AD882" i="1"/>
  <c r="AC888" i="1"/>
  <c r="AD888" i="1"/>
  <c r="AC891" i="1"/>
  <c r="AD891" i="1"/>
  <c r="AD894" i="1"/>
  <c r="AC894" i="1"/>
  <c r="AA792" i="1"/>
  <c r="AB792" i="1" s="1"/>
  <c r="AA757" i="1"/>
  <c r="AB757" i="1" s="1"/>
  <c r="AA603" i="1"/>
  <c r="AB603" i="1" s="1"/>
  <c r="AA549" i="1"/>
  <c r="AB549" i="1" s="1"/>
  <c r="AD520" i="1"/>
  <c r="AD502" i="1"/>
  <c r="AD484" i="1"/>
  <c r="AD466" i="1"/>
  <c r="AD412" i="1"/>
  <c r="AD393" i="1"/>
  <c r="AD328" i="1"/>
  <c r="AC294" i="1"/>
  <c r="AC222" i="1"/>
  <c r="AC186" i="1"/>
  <c r="AC815" i="1"/>
  <c r="AC641" i="1"/>
  <c r="AC533" i="1"/>
  <c r="AD533" i="1"/>
  <c r="AD547" i="1"/>
  <c r="AC547" i="1"/>
  <c r="AD550" i="1"/>
  <c r="AC550" i="1"/>
  <c r="AC553" i="1"/>
  <c r="AD553" i="1"/>
  <c r="AC556" i="1"/>
  <c r="AD556" i="1"/>
  <c r="AC559" i="1"/>
  <c r="AD559" i="1"/>
  <c r="AC562" i="1"/>
  <c r="AD562" i="1"/>
  <c r="AC565" i="1"/>
  <c r="AD565" i="1"/>
  <c r="AC568" i="1"/>
  <c r="AD568" i="1"/>
  <c r="AD573" i="1"/>
  <c r="AC573" i="1"/>
  <c r="AC576" i="1"/>
  <c r="AD576" i="1"/>
  <c r="AC579" i="1"/>
  <c r="AD579" i="1"/>
  <c r="AC582" i="1"/>
  <c r="AD582" i="1"/>
  <c r="AC585" i="1"/>
  <c r="AD585" i="1"/>
  <c r="AC588" i="1"/>
  <c r="AD588" i="1"/>
  <c r="AC591" i="1"/>
  <c r="AD591" i="1"/>
  <c r="AC594" i="1"/>
  <c r="AD594" i="1"/>
  <c r="AC597" i="1"/>
  <c r="AD597" i="1"/>
  <c r="AC600" i="1"/>
  <c r="AD600" i="1"/>
  <c r="AC603" i="1"/>
  <c r="AD603" i="1"/>
  <c r="AC606" i="1"/>
  <c r="AD606" i="1"/>
  <c r="AC611" i="1"/>
  <c r="AD611" i="1"/>
  <c r="AC614" i="1"/>
  <c r="AD614" i="1"/>
  <c r="AC617" i="1"/>
  <c r="AD617" i="1"/>
  <c r="AC623" i="1"/>
  <c r="AD623" i="1"/>
  <c r="AC626" i="1"/>
  <c r="AD626" i="1"/>
  <c r="AC629" i="1"/>
  <c r="AD629" i="1"/>
  <c r="AD632" i="1"/>
  <c r="AC632" i="1"/>
  <c r="AD635" i="1"/>
  <c r="AC635" i="1"/>
  <c r="AC638" i="1"/>
  <c r="AD638" i="1"/>
  <c r="AC646" i="1"/>
  <c r="AD646" i="1"/>
  <c r="AC649" i="1"/>
  <c r="AD649" i="1"/>
  <c r="AC652" i="1"/>
  <c r="AD652" i="1"/>
  <c r="AD655" i="1"/>
  <c r="AC655" i="1"/>
  <c r="AD658" i="1"/>
  <c r="AC658" i="1"/>
  <c r="AD661" i="1"/>
  <c r="AC661" i="1"/>
  <c r="AD664" i="1"/>
  <c r="AC664" i="1"/>
  <c r="AD667" i="1"/>
  <c r="AC667" i="1"/>
  <c r="AD670" i="1"/>
  <c r="AC670" i="1"/>
  <c r="AD673" i="1"/>
  <c r="AC673" i="1"/>
  <c r="AC676" i="1"/>
  <c r="AD676" i="1"/>
  <c r="AD679" i="1"/>
  <c r="AC679" i="1"/>
  <c r="AD682" i="1"/>
  <c r="AC682" i="1"/>
  <c r="AC687" i="1"/>
  <c r="AD687" i="1"/>
  <c r="AC690" i="1"/>
  <c r="AD690" i="1"/>
  <c r="AC693" i="1"/>
  <c r="AD693" i="1"/>
  <c r="AD696" i="1"/>
  <c r="AC696" i="1"/>
  <c r="AC699" i="1"/>
  <c r="AD699" i="1"/>
  <c r="AC702" i="1"/>
  <c r="AD702" i="1"/>
  <c r="AC705" i="1"/>
  <c r="AD705" i="1"/>
  <c r="AC708" i="1"/>
  <c r="AD708" i="1"/>
  <c r="AC714" i="1"/>
  <c r="AD714" i="1"/>
  <c r="AC719" i="1"/>
  <c r="AD719" i="1"/>
  <c r="AD722" i="1"/>
  <c r="AC722" i="1"/>
  <c r="AD725" i="1"/>
  <c r="AC725" i="1"/>
  <c r="AD728" i="1"/>
  <c r="AC728" i="1"/>
  <c r="AC731" i="1"/>
  <c r="AD731" i="1"/>
  <c r="AD734" i="1"/>
  <c r="AC734" i="1"/>
  <c r="AC737" i="1"/>
  <c r="AD737" i="1"/>
  <c r="AD740" i="1"/>
  <c r="AC740" i="1"/>
  <c r="AC743" i="1"/>
  <c r="AD743" i="1"/>
  <c r="AD746" i="1"/>
  <c r="AC746" i="1"/>
  <c r="AC749" i="1"/>
  <c r="AD749" i="1"/>
  <c r="AD757" i="1"/>
  <c r="AC757" i="1"/>
  <c r="AC760" i="1"/>
  <c r="AD760" i="1"/>
  <c r="AD763" i="1"/>
  <c r="AC763" i="1"/>
  <c r="AC766" i="1"/>
  <c r="AD766" i="1"/>
  <c r="AD769" i="1"/>
  <c r="AC769" i="1"/>
  <c r="AC772" i="1"/>
  <c r="AD772" i="1"/>
  <c r="AC778" i="1"/>
  <c r="AD778" i="1"/>
  <c r="AD781" i="1"/>
  <c r="AC781" i="1"/>
  <c r="AC784" i="1"/>
  <c r="AD784" i="1"/>
  <c r="AD789" i="1"/>
  <c r="AC789" i="1"/>
  <c r="AA783" i="1"/>
  <c r="AB783" i="1" s="1"/>
  <c r="AA771" i="1"/>
  <c r="AB771" i="1" s="1"/>
  <c r="AA582" i="1"/>
  <c r="AB582" i="1" s="1"/>
  <c r="AA552" i="1"/>
  <c r="AB552" i="1" s="1"/>
  <c r="AD519" i="1"/>
  <c r="AD501" i="1"/>
  <c r="AD483" i="1"/>
  <c r="AD465" i="1"/>
  <c r="AD447" i="1"/>
  <c r="AD429" i="1"/>
  <c r="AD411" i="1"/>
  <c r="AD391" i="1"/>
  <c r="AD370" i="1"/>
  <c r="AD348" i="1"/>
  <c r="AD327" i="1"/>
  <c r="AC293" i="1"/>
  <c r="AC257" i="1"/>
  <c r="AC221" i="1"/>
  <c r="AC890" i="1"/>
  <c r="AC813" i="1"/>
  <c r="AC498" i="1"/>
  <c r="AD498" i="1"/>
  <c r="AC504" i="1"/>
  <c r="AD504" i="1"/>
  <c r="AC510" i="1"/>
  <c r="AD510" i="1"/>
  <c r="AC516" i="1"/>
  <c r="AD516" i="1"/>
  <c r="AC522" i="1"/>
  <c r="AD522" i="1"/>
  <c r="AC528" i="1"/>
  <c r="AD528" i="1"/>
  <c r="AC536" i="1"/>
  <c r="AD536" i="1"/>
  <c r="AC539" i="1"/>
  <c r="AD539" i="1"/>
  <c r="AD787" i="1"/>
  <c r="AC787" i="1"/>
  <c r="AC792" i="1"/>
  <c r="AD792" i="1"/>
  <c r="AC795" i="1"/>
  <c r="AD795" i="1"/>
  <c r="AC798" i="1"/>
  <c r="AD798" i="1"/>
  <c r="AD801" i="1"/>
  <c r="AC801" i="1"/>
  <c r="AC807" i="1"/>
  <c r="AD807" i="1"/>
  <c r="AD824" i="1"/>
  <c r="AC824" i="1"/>
  <c r="AC885" i="1"/>
  <c r="AD806" i="1"/>
  <c r="AD620" i="1"/>
  <c r="AA819" i="1"/>
  <c r="AB819" i="1" s="1"/>
  <c r="AA769" i="1"/>
  <c r="AB769" i="1" s="1"/>
  <c r="AA793" i="1"/>
  <c r="AB793" i="1" s="1"/>
  <c r="AA789" i="1"/>
  <c r="AB789" i="1" s="1"/>
  <c r="AA823" i="1"/>
  <c r="AB823" i="1" s="1"/>
  <c r="AA763" i="1"/>
  <c r="AB763" i="1" s="1"/>
  <c r="AK916" i="1"/>
  <c r="AA1019" i="1"/>
  <c r="AB1019" i="1" s="1"/>
  <c r="AJ903" i="1"/>
  <c r="AL903" i="1" s="1"/>
  <c r="AK903" i="1"/>
  <c r="AA1015" i="1"/>
  <c r="AB1015" i="1" s="1"/>
  <c r="AC1015" i="1"/>
  <c r="AA958" i="1"/>
  <c r="AB958" i="1" s="1"/>
  <c r="AA973" i="1"/>
  <c r="AB973" i="1" s="1"/>
  <c r="AJ982" i="1"/>
  <c r="AL982" i="1" s="1"/>
  <c r="AD897" i="1"/>
  <c r="AC943" i="1"/>
  <c r="AD943" i="1"/>
  <c r="AJ915" i="1"/>
  <c r="AL915" i="1" s="1"/>
  <c r="AK915" i="1"/>
  <c r="AC937" i="1"/>
  <c r="AC957" i="1"/>
  <c r="AA957" i="1"/>
  <c r="AB957" i="1" s="1"/>
  <c r="AK1008" i="1"/>
  <c r="AJ1008" i="1"/>
  <c r="AL1008" i="1" s="1"/>
  <c r="AK1016" i="1"/>
  <c r="AJ1016" i="1"/>
  <c r="AL1016" i="1" s="1"/>
  <c r="AJ899" i="1"/>
  <c r="AL899" i="1" s="1"/>
  <c r="AC901" i="1"/>
  <c r="AJ951" i="1"/>
  <c r="AL951" i="1" s="1"/>
  <c r="AK951" i="1"/>
  <c r="AC953" i="1"/>
  <c r="AJ1034" i="1"/>
  <c r="AL1034" i="1" s="1"/>
  <c r="AA909" i="1"/>
  <c r="AB909" i="1" s="1"/>
  <c r="AC909" i="1"/>
  <c r="AK926" i="1"/>
  <c r="AJ926" i="1"/>
  <c r="AL926" i="1" s="1"/>
  <c r="AC1006" i="1"/>
  <c r="AC1010" i="1"/>
  <c r="AA1010" i="1"/>
  <c r="AB1010" i="1" s="1"/>
  <c r="AC1031" i="1"/>
  <c r="AA896" i="1"/>
  <c r="AB896" i="1" s="1"/>
  <c r="AJ925" i="1"/>
  <c r="AL925" i="1" s="1"/>
  <c r="AK925" i="1"/>
  <c r="AJ934" i="1"/>
  <c r="AL934" i="1" s="1"/>
  <c r="AD1032" i="1"/>
  <c r="AA1060" i="1"/>
  <c r="AB1060" i="1" s="1"/>
  <c r="AC1060" i="1"/>
  <c r="AC968" i="1"/>
  <c r="AA968" i="1"/>
  <c r="AB968" i="1" s="1"/>
  <c r="AK995" i="1"/>
  <c r="AJ995" i="1"/>
  <c r="AL995" i="1" s="1"/>
  <c r="AC1055" i="1"/>
  <c r="AC911" i="1"/>
  <c r="AD931" i="1"/>
  <c r="AC931" i="1"/>
  <c r="AD968" i="1"/>
  <c r="AD1031" i="1"/>
  <c r="AD912" i="1"/>
  <c r="AA920" i="1"/>
  <c r="AB920" i="1" s="1"/>
  <c r="AJ921" i="1"/>
  <c r="AL921" i="1" s="1"/>
  <c r="AK921" i="1"/>
  <c r="AA944" i="1"/>
  <c r="AB944" i="1" s="1"/>
  <c r="AD948" i="1"/>
  <c r="AD952" i="1"/>
  <c r="AJ962" i="1"/>
  <c r="AL962" i="1" s="1"/>
  <c r="AA964" i="1"/>
  <c r="AB964" i="1" s="1"/>
  <c r="AK987" i="1"/>
  <c r="AJ987" i="1"/>
  <c r="AL987" i="1" s="1"/>
  <c r="AK1048" i="1"/>
  <c r="AJ1048" i="1"/>
  <c r="AL1048" i="1" s="1"/>
  <c r="AK1067" i="1"/>
  <c r="AJ1067" i="1"/>
  <c r="AL1067" i="1" s="1"/>
  <c r="AC895" i="1"/>
  <c r="AC903" i="1"/>
  <c r="AC914" i="1"/>
  <c r="AD929" i="1"/>
  <c r="AD944" i="1"/>
  <c r="AD990" i="1"/>
  <c r="AA1071" i="1"/>
  <c r="AB1071" i="1" s="1"/>
  <c r="AA1106" i="1"/>
  <c r="AB1106" i="1" s="1"/>
  <c r="AD1106" i="1"/>
  <c r="AK1082" i="1"/>
  <c r="AJ1082" i="1"/>
  <c r="AL1082" i="1" s="1"/>
  <c r="AC1099" i="1"/>
  <c r="AA1099" i="1"/>
  <c r="AB1099" i="1" s="1"/>
  <c r="AA1079" i="1"/>
  <c r="AB1079" i="1" s="1"/>
  <c r="AD907" i="1"/>
  <c r="AC913" i="1"/>
  <c r="AA931" i="1"/>
  <c r="AB931" i="1" s="1"/>
  <c r="AK939" i="1"/>
  <c r="AJ939" i="1"/>
  <c r="AL939" i="1" s="1"/>
  <c r="AD953" i="1"/>
  <c r="AD972" i="1"/>
  <c r="AA976" i="1"/>
  <c r="AB976" i="1" s="1"/>
  <c r="AA984" i="1"/>
  <c r="AB984" i="1" s="1"/>
  <c r="AC1005" i="1"/>
  <c r="AA1005" i="1"/>
  <c r="AB1005" i="1" s="1"/>
  <c r="AC1014" i="1"/>
  <c r="AC1018" i="1"/>
  <c r="AD1060" i="1"/>
  <c r="AA1089" i="1"/>
  <c r="AB1089" i="1" s="1"/>
  <c r="AC1089" i="1"/>
  <c r="AA1112" i="1"/>
  <c r="AB1112" i="1" s="1"/>
  <c r="AA1116" i="1"/>
  <c r="AB1116" i="1" s="1"/>
  <c r="AD932" i="1"/>
  <c r="AC951" i="1"/>
  <c r="AD984" i="1"/>
  <c r="AC989" i="1"/>
  <c r="AK990" i="1"/>
  <c r="AJ990" i="1"/>
  <c r="AL990" i="1" s="1"/>
  <c r="AD1005" i="1"/>
  <c r="AD1030" i="1"/>
  <c r="AD1054" i="1"/>
  <c r="O1058" i="1"/>
  <c r="AK1085" i="1"/>
  <c r="AC1098" i="1"/>
  <c r="AA1098" i="1"/>
  <c r="AB1098" i="1" s="1"/>
  <c r="AC1104" i="1"/>
  <c r="AA1104" i="1"/>
  <c r="AB1104" i="1" s="1"/>
  <c r="AD911" i="1"/>
  <c r="AA912" i="1"/>
  <c r="AB912" i="1" s="1"/>
  <c r="AJ933" i="1"/>
  <c r="AL933" i="1" s="1"/>
  <c r="AA952" i="1"/>
  <c r="AB952" i="1" s="1"/>
  <c r="AA971" i="1"/>
  <c r="AB971" i="1" s="1"/>
  <c r="AJ986" i="1"/>
  <c r="AL986" i="1" s="1"/>
  <c r="AD989" i="1"/>
  <c r="AA1000" i="1"/>
  <c r="AB1000" i="1" s="1"/>
  <c r="AC1087" i="1"/>
  <c r="AD1098" i="1"/>
  <c r="AD1104" i="1"/>
  <c r="AA1111" i="1"/>
  <c r="AB1111" i="1" s="1"/>
  <c r="AD1112" i="1"/>
  <c r="AD1069" i="1"/>
  <c r="AK1075" i="1"/>
  <c r="AJ1075" i="1"/>
  <c r="AL1075" i="1" s="1"/>
  <c r="AJ1084" i="1"/>
  <c r="AL1084" i="1" s="1"/>
  <c r="AA1094" i="1"/>
  <c r="AB1094" i="1" s="1"/>
  <c r="AC1110" i="1"/>
  <c r="AD896" i="1"/>
  <c r="AC899" i="1"/>
  <c r="AC904" i="1"/>
  <c r="AJ907" i="1"/>
  <c r="AL907" i="1" s="1"/>
  <c r="AJ908" i="1"/>
  <c r="AL908" i="1" s="1"/>
  <c r="AA916" i="1"/>
  <c r="AB916" i="1" s="1"/>
  <c r="AA917" i="1"/>
  <c r="AB917" i="1" s="1"/>
  <c r="AJ919" i="1"/>
  <c r="AL919" i="1" s="1"/>
  <c r="AC922" i="1"/>
  <c r="L927" i="1"/>
  <c r="AA930" i="1"/>
  <c r="AB930" i="1" s="1"/>
  <c r="AJ932" i="1"/>
  <c r="AL932" i="1" s="1"/>
  <c r="AK932" i="1"/>
  <c r="AJ937" i="1"/>
  <c r="AL937" i="1" s="1"/>
  <c r="AC940" i="1"/>
  <c r="AD951" i="1"/>
  <c r="AK953" i="1"/>
  <c r="AD956" i="1"/>
  <c r="AK972" i="1"/>
  <c r="AC975" i="1"/>
  <c r="AA979" i="1"/>
  <c r="AB979" i="1" s="1"/>
  <c r="AA992" i="1"/>
  <c r="AB992" i="1" s="1"/>
  <c r="AD999" i="1"/>
  <c r="AC1000" i="1"/>
  <c r="AK1010" i="1"/>
  <c r="AJ1010" i="1"/>
  <c r="AL1010" i="1" s="1"/>
  <c r="AA1020" i="1"/>
  <c r="AB1020" i="1" s="1"/>
  <c r="AA1021" i="1"/>
  <c r="AB1021" i="1" s="1"/>
  <c r="AK1051" i="1"/>
  <c r="AC1053" i="1"/>
  <c r="AC1058" i="1"/>
  <c r="AJ1064" i="1"/>
  <c r="AL1064" i="1" s="1"/>
  <c r="AJ1065" i="1"/>
  <c r="AL1065" i="1" s="1"/>
  <c r="AD1110" i="1"/>
  <c r="AC898" i="1"/>
  <c r="AD899" i="1"/>
  <c r="AD905" i="1"/>
  <c r="AC910" i="1"/>
  <c r="AD922" i="1"/>
  <c r="AC945" i="1"/>
  <c r="AD983" i="1"/>
  <c r="AD1029" i="1"/>
  <c r="AC1037" i="1"/>
  <c r="AC1043" i="1"/>
  <c r="AD1053" i="1"/>
  <c r="AD1058" i="1"/>
  <c r="AA1093" i="1"/>
  <c r="AB1093" i="1" s="1"/>
  <c r="AC1100" i="1"/>
  <c r="AC1109" i="1"/>
  <c r="AA1110" i="1"/>
  <c r="AB1110" i="1" s="1"/>
  <c r="AC897" i="1"/>
  <c r="AJ900" i="1"/>
  <c r="AL900" i="1" s="1"/>
  <c r="AA904" i="1"/>
  <c r="AB904" i="1" s="1"/>
  <c r="AD910" i="1"/>
  <c r="AA915" i="1"/>
  <c r="AB915" i="1" s="1"/>
  <c r="AA934" i="1"/>
  <c r="AB934" i="1" s="1"/>
  <c r="AD970" i="1"/>
  <c r="AD973" i="1"/>
  <c r="AC974" i="1"/>
  <c r="AD994" i="1"/>
  <c r="AD995" i="1"/>
  <c r="AD1019" i="1"/>
  <c r="AC1020" i="1"/>
  <c r="AD1037" i="1"/>
  <c r="AJ1039" i="1"/>
  <c r="AL1039" i="1" s="1"/>
  <c r="AA1047" i="1"/>
  <c r="AB1047" i="1" s="1"/>
  <c r="AJ1050" i="1"/>
  <c r="AL1050" i="1" s="1"/>
  <c r="AD1072" i="1"/>
  <c r="AK1074" i="1"/>
  <c r="AJ1074" i="1"/>
  <c r="AL1074" i="1" s="1"/>
  <c r="AK1083" i="1"/>
  <c r="AA1091" i="1"/>
  <c r="AB1091" i="1" s="1"/>
  <c r="AA1100" i="1"/>
  <c r="AB1100" i="1" s="1"/>
  <c r="AD1100" i="1"/>
  <c r="AD1087" i="1"/>
  <c r="AD1036" i="1"/>
  <c r="AD1044" i="1"/>
  <c r="AD1055" i="1"/>
  <c r="AD1086" i="1"/>
  <c r="AJ1095" i="1"/>
  <c r="AL1095" i="1" s="1"/>
  <c r="AD1006" i="1"/>
  <c r="AD1014" i="1"/>
  <c r="AC1023" i="1"/>
  <c r="AJ1032" i="1"/>
  <c r="AL1032" i="1" s="1"/>
  <c r="AJ1033" i="1"/>
  <c r="AL1033" i="1" s="1"/>
  <c r="AC1042" i="1"/>
  <c r="AJ1056" i="1"/>
  <c r="AL1056" i="1" s="1"/>
  <c r="AJ1073" i="1"/>
  <c r="AL1073" i="1" s="1"/>
  <c r="AD1097" i="1"/>
  <c r="AD1114" i="1"/>
  <c r="AJ1117" i="1"/>
  <c r="AL1117" i="1" s="1"/>
  <c r="AD1120" i="1"/>
  <c r="AJ1007" i="1"/>
  <c r="AL1007" i="1" s="1"/>
  <c r="AJ1009" i="1"/>
  <c r="AL1009" i="1" s="1"/>
  <c r="AD1023" i="1"/>
  <c r="AD1042" i="1"/>
  <c r="AA1043" i="1"/>
  <c r="AB1043" i="1" s="1"/>
  <c r="AJ1047" i="1"/>
  <c r="AL1047" i="1" s="1"/>
  <c r="AA1053" i="1"/>
  <c r="AB1053" i="1" s="1"/>
  <c r="AJ1059" i="1"/>
  <c r="AL1059" i="1" s="1"/>
  <c r="AD1068" i="1"/>
  <c r="AJ1069" i="1"/>
  <c r="AL1069" i="1" s="1"/>
  <c r="AJ1070" i="1"/>
  <c r="AL1070" i="1" s="1"/>
  <c r="AC1077" i="1"/>
  <c r="AA1085" i="1"/>
  <c r="AB1085" i="1" s="1"/>
  <c r="AJ1111" i="1"/>
  <c r="AL1111" i="1" s="1"/>
  <c r="AJ1115" i="1"/>
  <c r="AL1115" i="1" s="1"/>
  <c r="AC977" i="1"/>
  <c r="AC981" i="1"/>
  <c r="AC988" i="1"/>
  <c r="AC993" i="1"/>
  <c r="AD996" i="1"/>
  <c r="AJ1000" i="1"/>
  <c r="AL1000" i="1" s="1"/>
  <c r="AC1012" i="1"/>
  <c r="AD1018" i="1"/>
  <c r="AA1023" i="1"/>
  <c r="AB1023" i="1" s="1"/>
  <c r="AJ1029" i="1"/>
  <c r="AL1029" i="1" s="1"/>
  <c r="AC1052" i="1"/>
  <c r="AJ1061" i="1"/>
  <c r="AL1061" i="1" s="1"/>
  <c r="AC1064" i="1"/>
  <c r="AJ1071" i="1"/>
  <c r="AL1071" i="1" s="1"/>
  <c r="AD1077" i="1"/>
  <c r="AD1084" i="1"/>
  <c r="AD1108" i="1"/>
  <c r="AD942" i="1"/>
  <c r="AJ952" i="1"/>
  <c r="AL952" i="1" s="1"/>
  <c r="AC960" i="1"/>
  <c r="AJ964" i="1"/>
  <c r="AL964" i="1" s="1"/>
  <c r="AJ969" i="1"/>
  <c r="AL969" i="1" s="1"/>
  <c r="AC971" i="1"/>
  <c r="AD976" i="1"/>
  <c r="AD981" i="1"/>
  <c r="AD988" i="1"/>
  <c r="AD993" i="1"/>
  <c r="AC1003" i="1"/>
  <c r="AC1027" i="1"/>
  <c r="AD1035" i="1"/>
  <c r="AJ1036" i="1"/>
  <c r="AL1036" i="1" s="1"/>
  <c r="AK1044" i="1"/>
  <c r="AD1052" i="1"/>
  <c r="AK1060" i="1"/>
  <c r="AD1064" i="1"/>
  <c r="AA1077" i="1"/>
  <c r="AB1077" i="1" s="1"/>
  <c r="AK1078" i="1"/>
  <c r="AJ1086" i="1"/>
  <c r="AL1086" i="1" s="1"/>
  <c r="N1089" i="1"/>
  <c r="N1091" i="1"/>
  <c r="M1092" i="1"/>
  <c r="L1093" i="1" s="1"/>
  <c r="M1093" i="1" s="1"/>
  <c r="L1094" i="1" s="1"/>
  <c r="M1094" i="1" s="1"/>
  <c r="L1095" i="1" s="1"/>
  <c r="AC1095" i="1"/>
  <c r="AD1102" i="1"/>
  <c r="AJ1105" i="1"/>
  <c r="AL1105" i="1" s="1"/>
  <c r="AC1107" i="1"/>
  <c r="AJ1109" i="1"/>
  <c r="AL1109" i="1" s="1"/>
  <c r="AD1119" i="1"/>
  <c r="AC900" i="1"/>
  <c r="AC906" i="1"/>
  <c r="AC921" i="1"/>
  <c r="AC926" i="1"/>
  <c r="AA943" i="1"/>
  <c r="AB943" i="1" s="1"/>
  <c r="AC954" i="1"/>
  <c r="AC955" i="1"/>
  <c r="L960" i="1"/>
  <c r="M960" i="1" s="1"/>
  <c r="L961" i="1" s="1"/>
  <c r="AD962" i="1"/>
  <c r="AA977" i="1"/>
  <c r="AB977" i="1" s="1"/>
  <c r="AA981" i="1"/>
  <c r="AB981" i="1" s="1"/>
  <c r="AJ983" i="1"/>
  <c r="AL983" i="1" s="1"/>
  <c r="AA988" i="1"/>
  <c r="AB988" i="1" s="1"/>
  <c r="AC997" i="1"/>
  <c r="AA1002" i="1"/>
  <c r="AB1002" i="1" s="1"/>
  <c r="AA1016" i="1"/>
  <c r="AB1016" i="1" s="1"/>
  <c r="AJ1019" i="1"/>
  <c r="AL1019" i="1" s="1"/>
  <c r="AD1027" i="1"/>
  <c r="AA1033" i="1"/>
  <c r="AB1033" i="1" s="1"/>
  <c r="AC1049" i="1"/>
  <c r="AC1051" i="1"/>
  <c r="AA1052" i="1"/>
  <c r="AB1052" i="1" s="1"/>
  <c r="AA1066" i="1"/>
  <c r="AB1066" i="1" s="1"/>
  <c r="AA1074" i="1"/>
  <c r="AB1074" i="1" s="1"/>
  <c r="AA1075" i="1"/>
  <c r="AB1075" i="1" s="1"/>
  <c r="AC1076" i="1"/>
  <c r="AD1096" i="1"/>
  <c r="AJ1099" i="1"/>
  <c r="AL1099" i="1" s="1"/>
  <c r="AC1101" i="1"/>
  <c r="AJ1103" i="1"/>
  <c r="AL1103" i="1" s="1"/>
  <c r="AD1113" i="1"/>
  <c r="AK914" i="1"/>
  <c r="AJ914" i="1"/>
  <c r="AL914" i="1" s="1"/>
  <c r="AD920" i="1"/>
  <c r="AC934" i="1"/>
  <c r="AD960" i="1"/>
  <c r="AC969" i="1"/>
  <c r="AA969" i="1"/>
  <c r="AB969" i="1" s="1"/>
  <c r="AC976" i="1"/>
  <c r="M1058" i="1"/>
  <c r="L1059" i="1" s="1"/>
  <c r="AK905" i="1"/>
  <c r="AJ905" i="1"/>
  <c r="AL905" i="1" s="1"/>
  <c r="AD934" i="1"/>
  <c r="AA951" i="1"/>
  <c r="AB951" i="1" s="1"/>
  <c r="AC956" i="1"/>
  <c r="AA956" i="1"/>
  <c r="AB956" i="1" s="1"/>
  <c r="AC978" i="1"/>
  <c r="AA978" i="1"/>
  <c r="AB978" i="1" s="1"/>
  <c r="AA902" i="1"/>
  <c r="AB902" i="1" s="1"/>
  <c r="AD903" i="1"/>
  <c r="AC908" i="1"/>
  <c r="AJ909" i="1"/>
  <c r="AL909" i="1" s="1"/>
  <c r="AJ918" i="1"/>
  <c r="AL918" i="1" s="1"/>
  <c r="AA919" i="1"/>
  <c r="AB919" i="1" s="1"/>
  <c r="AC923" i="1"/>
  <c r="AJ924" i="1"/>
  <c r="AL924" i="1" s="1"/>
  <c r="AC925" i="1"/>
  <c r="AA925" i="1"/>
  <c r="AB925" i="1" s="1"/>
  <c r="AC928" i="1"/>
  <c r="AJ930" i="1"/>
  <c r="AL930" i="1" s="1"/>
  <c r="AA933" i="1"/>
  <c r="AB933" i="1" s="1"/>
  <c r="AJ935" i="1"/>
  <c r="AL935" i="1" s="1"/>
  <c r="AK935" i="1"/>
  <c r="AK946" i="1"/>
  <c r="AJ965" i="1"/>
  <c r="AL965" i="1" s="1"/>
  <c r="AA970" i="1"/>
  <c r="AB970" i="1" s="1"/>
  <c r="AJ994" i="1"/>
  <c r="AL994" i="1" s="1"/>
  <c r="AK994" i="1"/>
  <c r="AK1119" i="1"/>
  <c r="AJ1119" i="1"/>
  <c r="AL1119" i="1" s="1"/>
  <c r="AA899" i="1"/>
  <c r="AB899" i="1" s="1"/>
  <c r="AK904" i="1"/>
  <c r="AJ904" i="1"/>
  <c r="AL904" i="1" s="1"/>
  <c r="AA906" i="1"/>
  <c r="AB906" i="1" s="1"/>
  <c r="AC907" i="1"/>
  <c r="AA910" i="1"/>
  <c r="AB910" i="1" s="1"/>
  <c r="AA922" i="1"/>
  <c r="AB922" i="1" s="1"/>
  <c r="AC936" i="1"/>
  <c r="AA939" i="1"/>
  <c r="AB939" i="1" s="1"/>
  <c r="AJ943" i="1"/>
  <c r="AL943" i="1" s="1"/>
  <c r="AK943" i="1"/>
  <c r="AA945" i="1"/>
  <c r="AB945" i="1" s="1"/>
  <c r="AA948" i="1"/>
  <c r="AB948" i="1" s="1"/>
  <c r="AA963" i="1"/>
  <c r="AB963" i="1" s="1"/>
  <c r="AA987" i="1"/>
  <c r="AB987" i="1" s="1"/>
  <c r="AJ992" i="1"/>
  <c r="AL992" i="1" s="1"/>
  <c r="AA1018" i="1"/>
  <c r="AB1018" i="1" s="1"/>
  <c r="AC1056" i="1"/>
  <c r="AA1056" i="1"/>
  <c r="AB1056" i="1" s="1"/>
  <c r="AC896" i="1"/>
  <c r="AA1054" i="1"/>
  <c r="AB1054" i="1" s="1"/>
  <c r="AC1054" i="1"/>
  <c r="AK1118" i="1"/>
  <c r="AJ1118" i="1"/>
  <c r="AL1118" i="1" s="1"/>
  <c r="L896" i="1"/>
  <c r="AJ897" i="1"/>
  <c r="AL897" i="1" s="1"/>
  <c r="AA914" i="1"/>
  <c r="AB914" i="1" s="1"/>
  <c r="AJ944" i="1"/>
  <c r="AL944" i="1" s="1"/>
  <c r="AC964" i="1"/>
  <c r="AD1011" i="1"/>
  <c r="AK1012" i="1"/>
  <c r="AJ1012" i="1"/>
  <c r="AL1012" i="1" s="1"/>
  <c r="AJ1015" i="1"/>
  <c r="AL1015" i="1" s="1"/>
  <c r="AK1015" i="1"/>
  <c r="AJ1028" i="1"/>
  <c r="AL1028" i="1" s="1"/>
  <c r="AK1068" i="1"/>
  <c r="AJ1068" i="1"/>
  <c r="AL1068" i="1" s="1"/>
  <c r="AC1088" i="1"/>
  <c r="AD1088" i="1"/>
  <c r="AJ1113" i="1"/>
  <c r="AL1113" i="1" s="1"/>
  <c r="AA901" i="1"/>
  <c r="AB901" i="1" s="1"/>
  <c r="AA905" i="1"/>
  <c r="AB905" i="1" s="1"/>
  <c r="AA921" i="1"/>
  <c r="AB921" i="1" s="1"/>
  <c r="AC942" i="1"/>
  <c r="AJ950" i="1"/>
  <c r="AL950" i="1" s="1"/>
  <c r="AJ955" i="1"/>
  <c r="AL955" i="1" s="1"/>
  <c r="AK955" i="1"/>
  <c r="AK956" i="1"/>
  <c r="AC959" i="1"/>
  <c r="AA959" i="1"/>
  <c r="AB959" i="1" s="1"/>
  <c r="AK961" i="1"/>
  <c r="N992" i="1"/>
  <c r="L993" i="1"/>
  <c r="AJ1014" i="1"/>
  <c r="AL1014" i="1" s="1"/>
  <c r="AJ910" i="1"/>
  <c r="AL910" i="1" s="1"/>
  <c r="AC918" i="1"/>
  <c r="AJ923" i="1"/>
  <c r="AL923" i="1" s="1"/>
  <c r="AJ928" i="1"/>
  <c r="AL928" i="1" s="1"/>
  <c r="AA940" i="1"/>
  <c r="AB940" i="1" s="1"/>
  <c r="AC941" i="1"/>
  <c r="AJ977" i="1"/>
  <c r="AL977" i="1" s="1"/>
  <c r="AJ980" i="1"/>
  <c r="AL980" i="1" s="1"/>
  <c r="AA989" i="1"/>
  <c r="AB989" i="1" s="1"/>
  <c r="AK997" i="1"/>
  <c r="AJ997" i="1"/>
  <c r="AL997" i="1" s="1"/>
  <c r="AC1001" i="1"/>
  <c r="AA1003" i="1"/>
  <c r="AB1003" i="1" s="1"/>
  <c r="AK1006" i="1"/>
  <c r="AD1045" i="1"/>
  <c r="AC1045" i="1"/>
  <c r="AK1112" i="1"/>
  <c r="AJ1112" i="1"/>
  <c r="AL1112" i="1" s="1"/>
  <c r="AD895" i="1"/>
  <c r="AA898" i="1"/>
  <c r="AB898" i="1" s="1"/>
  <c r="AD918" i="1"/>
  <c r="AA926" i="1"/>
  <c r="AB926" i="1" s="1"/>
  <c r="AC930" i="1"/>
  <c r="AA935" i="1"/>
  <c r="AB935" i="1" s="1"/>
  <c r="AA937" i="1"/>
  <c r="AB937" i="1" s="1"/>
  <c r="AC966" i="1"/>
  <c r="AA966" i="1"/>
  <c r="AB966" i="1" s="1"/>
  <c r="AC982" i="1"/>
  <c r="AD1024" i="1"/>
  <c r="AD900" i="1"/>
  <c r="AD901" i="1"/>
  <c r="AD921" i="1"/>
  <c r="AC924" i="1"/>
  <c r="AK971" i="1"/>
  <c r="AJ971" i="1"/>
  <c r="AL971" i="1" s="1"/>
  <c r="AC991" i="1"/>
  <c r="AA991" i="1"/>
  <c r="AB991" i="1" s="1"/>
  <c r="AC994" i="1"/>
  <c r="AC1017" i="1"/>
  <c r="AJ1022" i="1"/>
  <c r="AL1022" i="1" s="1"/>
  <c r="AJ1026" i="1"/>
  <c r="AL1026" i="1" s="1"/>
  <c r="AK1108" i="1"/>
  <c r="AJ1108" i="1"/>
  <c r="AL1108" i="1" s="1"/>
  <c r="AJ902" i="1"/>
  <c r="AL902" i="1" s="1"/>
  <c r="AJ906" i="1"/>
  <c r="AL906" i="1" s="1"/>
  <c r="AC916" i="1"/>
  <c r="AC932" i="1"/>
  <c r="AA932" i="1"/>
  <c r="AB932" i="1" s="1"/>
  <c r="AC935" i="1"/>
  <c r="AC944" i="1"/>
  <c r="AC947" i="1"/>
  <c r="AA947" i="1"/>
  <c r="AB947" i="1" s="1"/>
  <c r="AC949" i="1"/>
  <c r="AK958" i="1"/>
  <c r="AJ958" i="1"/>
  <c r="AL958" i="1" s="1"/>
  <c r="P961" i="1"/>
  <c r="O962" i="1" s="1"/>
  <c r="AD963" i="1"/>
  <c r="AC967" i="1"/>
  <c r="AA993" i="1"/>
  <c r="AB993" i="1" s="1"/>
  <c r="AC1013" i="1"/>
  <c r="AA1013" i="1"/>
  <c r="AB1013" i="1" s="1"/>
  <c r="AK1025" i="1"/>
  <c r="AJ1025" i="1"/>
  <c r="AL1025" i="1" s="1"/>
  <c r="AC1063" i="1"/>
  <c r="AA1063" i="1"/>
  <c r="AB1063" i="1" s="1"/>
  <c r="AA897" i="1"/>
  <c r="AB897" i="1" s="1"/>
  <c r="P927" i="1"/>
  <c r="O928" i="1" s="1"/>
  <c r="AC938" i="1"/>
  <c r="AA975" i="1"/>
  <c r="AB975" i="1" s="1"/>
  <c r="AK988" i="1"/>
  <c r="AK1024" i="1"/>
  <c r="AJ1024" i="1"/>
  <c r="AL1024" i="1" s="1"/>
  <c r="AC972" i="1"/>
  <c r="AA972" i="1"/>
  <c r="AB972" i="1" s="1"/>
  <c r="AC998" i="1"/>
  <c r="AA998" i="1"/>
  <c r="AB998" i="1" s="1"/>
  <c r="AC1072" i="1"/>
  <c r="AA1072" i="1"/>
  <c r="AB1072" i="1" s="1"/>
  <c r="AK1077" i="1"/>
  <c r="AJ1077" i="1"/>
  <c r="AL1077" i="1" s="1"/>
  <c r="AK1091" i="1"/>
  <c r="AJ1091" i="1"/>
  <c r="AL1091" i="1" s="1"/>
  <c r="AK1107" i="1"/>
  <c r="AJ1107" i="1"/>
  <c r="AL1107" i="1" s="1"/>
  <c r="AA962" i="1"/>
  <c r="AB962" i="1" s="1"/>
  <c r="AJ979" i="1"/>
  <c r="AL979" i="1" s="1"/>
  <c r="Q992" i="1"/>
  <c r="AA995" i="1"/>
  <c r="AB995" i="1" s="1"/>
  <c r="AJ999" i="1"/>
  <c r="AL999" i="1" s="1"/>
  <c r="AA980" i="1"/>
  <c r="AB980" i="1" s="1"/>
  <c r="AA986" i="1"/>
  <c r="AB986" i="1" s="1"/>
  <c r="AK1001" i="1"/>
  <c r="AA1008" i="1"/>
  <c r="AB1008" i="1" s="1"/>
  <c r="L1026" i="1"/>
  <c r="N1025" i="1"/>
  <c r="O1026" i="1"/>
  <c r="AC1044" i="1"/>
  <c r="AA1044" i="1"/>
  <c r="AB1044" i="1" s="1"/>
  <c r="AK1018" i="1"/>
  <c r="AJ1018" i="1"/>
  <c r="AL1018" i="1" s="1"/>
  <c r="AK1106" i="1"/>
  <c r="AJ1106" i="1"/>
  <c r="AL1106" i="1" s="1"/>
  <c r="AA961" i="1"/>
  <c r="AB961" i="1" s="1"/>
  <c r="AJ970" i="1"/>
  <c r="AL970" i="1" s="1"/>
  <c r="AA983" i="1"/>
  <c r="AB983" i="1" s="1"/>
  <c r="AK989" i="1"/>
  <c r="AA990" i="1"/>
  <c r="AB990" i="1" s="1"/>
  <c r="AJ1003" i="1"/>
  <c r="AL1003" i="1" s="1"/>
  <c r="AA1006" i="1"/>
  <c r="AB1006" i="1" s="1"/>
  <c r="AD1017" i="1"/>
  <c r="AJ1020" i="1"/>
  <c r="AL1020" i="1" s="1"/>
  <c r="AC1029" i="1"/>
  <c r="AA1029" i="1"/>
  <c r="AB1029" i="1" s="1"/>
  <c r="AJ1046" i="1"/>
  <c r="AL1046" i="1" s="1"/>
  <c r="AA953" i="1"/>
  <c r="AB953" i="1" s="1"/>
  <c r="AJ954" i="1"/>
  <c r="AL954" i="1" s="1"/>
  <c r="AJ957" i="1"/>
  <c r="AL957" i="1" s="1"/>
  <c r="AA965" i="1"/>
  <c r="AB965" i="1" s="1"/>
  <c r="AK993" i="1"/>
  <c r="AA994" i="1"/>
  <c r="AB994" i="1" s="1"/>
  <c r="AC999" i="1"/>
  <c r="AJ1011" i="1"/>
  <c r="AL1011" i="1" s="1"/>
  <c r="AA1014" i="1"/>
  <c r="AB1014" i="1" s="1"/>
  <c r="AA1017" i="1"/>
  <c r="AB1017" i="1" s="1"/>
  <c r="AC1019" i="1"/>
  <c r="AD1022" i="1"/>
  <c r="AC1028" i="1"/>
  <c r="AJ1055" i="1"/>
  <c r="AL1055" i="1" s="1"/>
  <c r="AD1073" i="1"/>
  <c r="AJ913" i="1"/>
  <c r="AL913" i="1" s="1"/>
  <c r="AJ922" i="1"/>
  <c r="AL922" i="1" s="1"/>
  <c r="AJ927" i="1"/>
  <c r="AL927" i="1" s="1"/>
  <c r="AJ945" i="1"/>
  <c r="AL945" i="1" s="1"/>
  <c r="AC946" i="1"/>
  <c r="AA946" i="1"/>
  <c r="AB946" i="1" s="1"/>
  <c r="AJ963" i="1"/>
  <c r="AL963" i="1" s="1"/>
  <c r="AJ966" i="1"/>
  <c r="AL966" i="1" s="1"/>
  <c r="AD967" i="1"/>
  <c r="AC973" i="1"/>
  <c r="AK975" i="1"/>
  <c r="AJ978" i="1"/>
  <c r="AL978" i="1" s="1"/>
  <c r="P993" i="1"/>
  <c r="O994" i="1" s="1"/>
  <c r="AA997" i="1"/>
  <c r="AB997" i="1" s="1"/>
  <c r="AC1004" i="1"/>
  <c r="AA1012" i="1"/>
  <c r="AB1012" i="1" s="1"/>
  <c r="AA1025" i="1"/>
  <c r="AB1025" i="1" s="1"/>
  <c r="AC1025" i="1"/>
  <c r="AA1027" i="1"/>
  <c r="AB1027" i="1" s="1"/>
  <c r="AA1035" i="1"/>
  <c r="AB1035" i="1" s="1"/>
  <c r="AK1062" i="1"/>
  <c r="AJ1062" i="1"/>
  <c r="AL1062" i="1" s="1"/>
  <c r="AK1114" i="1"/>
  <c r="AJ1114" i="1"/>
  <c r="AL1114" i="1" s="1"/>
  <c r="Q960" i="1"/>
  <c r="AC985" i="1"/>
  <c r="AA985" i="1"/>
  <c r="AB985" i="1" s="1"/>
  <c r="AJ991" i="1"/>
  <c r="AL991" i="1" s="1"/>
  <c r="AC992" i="1"/>
  <c r="AA999" i="1"/>
  <c r="AB999" i="1" s="1"/>
  <c r="AA1007" i="1"/>
  <c r="AB1007" i="1" s="1"/>
  <c r="AJ1021" i="1"/>
  <c r="AL1021" i="1" s="1"/>
  <c r="AA1037" i="1"/>
  <c r="AB1037" i="1" s="1"/>
  <c r="AA1058" i="1"/>
  <c r="AB1058" i="1" s="1"/>
  <c r="AA1069" i="1"/>
  <c r="AB1069" i="1" s="1"/>
  <c r="AK1093" i="1"/>
  <c r="AJ1093" i="1"/>
  <c r="AL1093" i="1" s="1"/>
  <c r="AC1067" i="1"/>
  <c r="AK1102" i="1"/>
  <c r="AJ1102" i="1"/>
  <c r="AL1102" i="1" s="1"/>
  <c r="AJ1038" i="1"/>
  <c r="AL1038" i="1" s="1"/>
  <c r="AJ1053" i="1"/>
  <c r="AL1053" i="1" s="1"/>
  <c r="AC1065" i="1"/>
  <c r="AJ1066" i="1"/>
  <c r="AL1066" i="1" s="1"/>
  <c r="AA1080" i="1"/>
  <c r="AB1080" i="1" s="1"/>
  <c r="AA1082" i="1"/>
  <c r="AB1082" i="1" s="1"/>
  <c r="AC1082" i="1"/>
  <c r="AD1085" i="1"/>
  <c r="AC1086" i="1"/>
  <c r="AA1086" i="1"/>
  <c r="AB1086" i="1" s="1"/>
  <c r="AJ1094" i="1"/>
  <c r="AL1094" i="1" s="1"/>
  <c r="AK1096" i="1"/>
  <c r="AJ1096" i="1"/>
  <c r="AL1096" i="1" s="1"/>
  <c r="AK1100" i="1"/>
  <c r="AJ1100" i="1"/>
  <c r="AL1100" i="1" s="1"/>
  <c r="AJ1035" i="1"/>
  <c r="AL1035" i="1" s="1"/>
  <c r="AA1036" i="1"/>
  <c r="AB1036" i="1" s="1"/>
  <c r="AJ1043" i="1"/>
  <c r="AL1043" i="1" s="1"/>
  <c r="AC1048" i="1"/>
  <c r="AA1048" i="1"/>
  <c r="AB1048" i="1" s="1"/>
  <c r="AC1050" i="1"/>
  <c r="AJ1058" i="1"/>
  <c r="AL1058" i="1" s="1"/>
  <c r="AC1061" i="1"/>
  <c r="AA1061" i="1"/>
  <c r="AB1061" i="1" s="1"/>
  <c r="AA1064" i="1"/>
  <c r="AB1064" i="1" s="1"/>
  <c r="AC1070" i="1"/>
  <c r="AC1090" i="1"/>
  <c r="AJ1101" i="1"/>
  <c r="AL1101" i="1" s="1"/>
  <c r="AC1034" i="1"/>
  <c r="AA1034" i="1"/>
  <c r="AB1034" i="1" s="1"/>
  <c r="AC1040" i="1"/>
  <c r="AK1092" i="1"/>
  <c r="AJ1092" i="1"/>
  <c r="AL1092" i="1" s="1"/>
  <c r="AD1115" i="1"/>
  <c r="AC1120" i="1"/>
  <c r="AA1120" i="1"/>
  <c r="AB1120" i="1" s="1"/>
  <c r="AJ1027" i="1"/>
  <c r="AL1027" i="1" s="1"/>
  <c r="AD1028" i="1"/>
  <c r="AA1031" i="1"/>
  <c r="AB1031" i="1" s="1"/>
  <c r="AJ1041" i="1"/>
  <c r="AL1041" i="1" s="1"/>
  <c r="AA1042" i="1"/>
  <c r="AB1042" i="1" s="1"/>
  <c r="AC1078" i="1"/>
  <c r="AJ1081" i="1"/>
  <c r="AL1081" i="1" s="1"/>
  <c r="AC1083" i="1"/>
  <c r="AA1083" i="1"/>
  <c r="AB1083" i="1" s="1"/>
  <c r="AA1028" i="1"/>
  <c r="AB1028" i="1" s="1"/>
  <c r="AC1062" i="1"/>
  <c r="AJ1076" i="1"/>
  <c r="AL1076" i="1" s="1"/>
  <c r="AA1087" i="1"/>
  <c r="AB1087" i="1" s="1"/>
  <c r="O1090" i="1"/>
  <c r="Q1089" i="1"/>
  <c r="AK1089" i="1"/>
  <c r="AD1109" i="1"/>
  <c r="AA1026" i="1"/>
  <c r="AB1026" i="1" s="1"/>
  <c r="AA1055" i="1"/>
  <c r="AB1055" i="1" s="1"/>
  <c r="AD1062" i="1"/>
  <c r="AC1084" i="1"/>
  <c r="AA1084" i="1"/>
  <c r="AB1084" i="1" s="1"/>
  <c r="N1093" i="1"/>
  <c r="AC1035" i="1"/>
  <c r="AA1049" i="1"/>
  <c r="AB1049" i="1" s="1"/>
  <c r="AA1051" i="1"/>
  <c r="AB1051" i="1" s="1"/>
  <c r="AA1062" i="1"/>
  <c r="AB1062" i="1" s="1"/>
  <c r="AC1075" i="1"/>
  <c r="AD1103" i="1"/>
  <c r="AJ1088" i="1"/>
  <c r="AL1088" i="1" s="1"/>
  <c r="AA1096" i="1"/>
  <c r="AB1096" i="1" s="1"/>
  <c r="AA1102" i="1"/>
  <c r="AB1102" i="1" s="1"/>
  <c r="AA1108" i="1"/>
  <c r="AB1108" i="1" s="1"/>
  <c r="AA1114" i="1"/>
  <c r="AB1114" i="1" s="1"/>
  <c r="AA1101" i="1"/>
  <c r="AB1101" i="1" s="1"/>
  <c r="AA1107" i="1"/>
  <c r="AB1107" i="1" s="1"/>
  <c r="AA1113" i="1"/>
  <c r="AB1113" i="1" s="1"/>
  <c r="AA1119" i="1"/>
  <c r="AB1119" i="1" s="1"/>
  <c r="AK1037" i="1"/>
  <c r="AJ1037" i="1"/>
  <c r="AL1037" i="1" s="1"/>
  <c r="AC1039" i="1"/>
  <c r="AA1078" i="1"/>
  <c r="AB1078" i="1" s="1"/>
  <c r="AK1080" i="1"/>
  <c r="AJ1080" i="1"/>
  <c r="AL1080" i="1" s="1"/>
  <c r="AJ1090" i="1"/>
  <c r="AL1090" i="1" s="1"/>
  <c r="AJ1098" i="1"/>
  <c r="AL1098" i="1" s="1"/>
  <c r="AJ1104" i="1"/>
  <c r="AL1104" i="1" s="1"/>
  <c r="AJ1110" i="1"/>
  <c r="AL1110" i="1" s="1"/>
  <c r="AJ1116" i="1"/>
  <c r="AL1116" i="1" s="1"/>
  <c r="AJ1017" i="1"/>
  <c r="AL1017" i="1" s="1"/>
  <c r="AJ1030" i="1"/>
  <c r="AL1030" i="1" s="1"/>
  <c r="AJ1031" i="1"/>
  <c r="AL1031" i="1" s="1"/>
  <c r="AD1039" i="1"/>
  <c r="AD1043" i="1"/>
  <c r="AK1052" i="1"/>
  <c r="AJ1052" i="1"/>
  <c r="AL1052" i="1" s="1"/>
  <c r="AK1072" i="1"/>
  <c r="AJ1072" i="1"/>
  <c r="AL1072" i="1" s="1"/>
  <c r="AK1087" i="1"/>
  <c r="AJ1087" i="1"/>
  <c r="AL1087" i="1" s="1"/>
  <c r="AC1041" i="1"/>
  <c r="AA1041" i="1"/>
  <c r="AB1041" i="1" s="1"/>
  <c r="AC1068" i="1"/>
  <c r="AA1068" i="1"/>
  <c r="AB1068" i="1" s="1"/>
  <c r="AK1120" i="1"/>
  <c r="AJ1120" i="1"/>
  <c r="AL1120" i="1" s="1"/>
  <c r="AJ1045" i="1"/>
  <c r="AL1045" i="1" s="1"/>
  <c r="AJ1057" i="1"/>
  <c r="AL1057" i="1" s="1"/>
  <c r="AJ1079" i="1"/>
  <c r="AL1079" i="1" s="1"/>
  <c r="AA482" i="1"/>
  <c r="AB482" i="1" s="1"/>
  <c r="L607" i="1"/>
  <c r="M607" i="1" s="1"/>
  <c r="L608" i="1" s="1"/>
  <c r="AA72" i="1"/>
  <c r="AB72" i="1" s="1"/>
  <c r="AA383" i="1"/>
  <c r="AB383" i="1" s="1"/>
  <c r="AA385" i="1"/>
  <c r="AB385" i="1" s="1"/>
  <c r="AA497" i="1"/>
  <c r="AB497" i="1" s="1"/>
  <c r="AA515" i="1"/>
  <c r="AB515" i="1" s="1"/>
  <c r="AA521" i="1"/>
  <c r="AB521" i="1" s="1"/>
  <c r="AA128" i="1"/>
  <c r="AB128" i="1" s="1"/>
  <c r="AA132" i="1"/>
  <c r="AB132" i="1" s="1"/>
  <c r="AA302" i="1"/>
  <c r="AB302" i="1" s="1"/>
  <c r="AA93" i="1"/>
  <c r="AB93" i="1" s="1"/>
  <c r="AA119" i="1"/>
  <c r="AB119" i="1" s="1"/>
  <c r="AA192" i="1"/>
  <c r="AB192" i="1" s="1"/>
  <c r="AA206" i="1"/>
  <c r="AB206" i="1" s="1"/>
  <c r="N569" i="1"/>
  <c r="L751" i="1"/>
  <c r="M751" i="1" s="1"/>
  <c r="N751" i="1" s="1"/>
  <c r="AA86" i="1"/>
  <c r="AB86" i="1" s="1"/>
  <c r="AA90" i="1"/>
  <c r="AB90" i="1" s="1"/>
  <c r="AA94" i="1"/>
  <c r="AB94" i="1" s="1"/>
  <c r="AA177" i="1"/>
  <c r="AB177" i="1" s="1"/>
  <c r="AA181" i="1"/>
  <c r="AB181" i="1" s="1"/>
  <c r="AA195" i="1"/>
  <c r="AB195" i="1" s="1"/>
  <c r="AA197" i="1"/>
  <c r="AB197" i="1" s="1"/>
  <c r="AA333" i="1"/>
  <c r="AB333" i="1" s="1"/>
  <c r="AA357" i="1"/>
  <c r="AB357" i="1" s="1"/>
  <c r="AA434" i="1"/>
  <c r="AB434" i="1" s="1"/>
  <c r="L824" i="1"/>
  <c r="M824" i="1" s="1"/>
  <c r="L825" i="1" s="1"/>
  <c r="L860" i="1"/>
  <c r="M860" i="1" s="1"/>
  <c r="L861" i="1" s="1"/>
  <c r="P644" i="1"/>
  <c r="O645" i="1" s="1"/>
  <c r="P645" i="1" s="1"/>
  <c r="O646" i="1" s="1"/>
  <c r="Q823" i="1"/>
  <c r="T823" i="1" s="1"/>
  <c r="U823" i="1" s="1"/>
  <c r="O824" i="1"/>
  <c r="P824" i="1" s="1"/>
  <c r="O825" i="1" s="1"/>
  <c r="P825" i="1" s="1"/>
  <c r="O826" i="1" s="1"/>
  <c r="R826" i="1" s="1"/>
  <c r="AA276" i="1"/>
  <c r="AB276" i="1" s="1"/>
  <c r="AA172" i="1"/>
  <c r="AB172" i="1" s="1"/>
  <c r="AA431" i="1"/>
  <c r="AB431" i="1" s="1"/>
  <c r="AA2" i="1"/>
  <c r="AB2" i="1" s="1"/>
  <c r="L684" i="1"/>
  <c r="M684" i="1" s="1"/>
  <c r="L685" i="1" s="1"/>
  <c r="AA141" i="1"/>
  <c r="AB141" i="1" s="1"/>
  <c r="AA147" i="1"/>
  <c r="AB147" i="1" s="1"/>
  <c r="AA159" i="1"/>
  <c r="AB159" i="1" s="1"/>
  <c r="AA165" i="1"/>
  <c r="AB165" i="1" s="1"/>
  <c r="AA388" i="1"/>
  <c r="AB388" i="1" s="1"/>
  <c r="AA419" i="1"/>
  <c r="AB419" i="1" s="1"/>
  <c r="AA13" i="1"/>
  <c r="AB13" i="1" s="1"/>
  <c r="AA449" i="1"/>
  <c r="AB449" i="1" s="1"/>
  <c r="AA183" i="1"/>
  <c r="AB183" i="1" s="1"/>
  <c r="AA158" i="1"/>
  <c r="AB158" i="1" s="1"/>
  <c r="AA303" i="1"/>
  <c r="AB303" i="1" s="1"/>
  <c r="AA352" i="1"/>
  <c r="AB352" i="1" s="1"/>
  <c r="AA354" i="1"/>
  <c r="AB354" i="1" s="1"/>
  <c r="AA360" i="1"/>
  <c r="AB360" i="1" s="1"/>
  <c r="AA381" i="1"/>
  <c r="AB381" i="1" s="1"/>
  <c r="AA500" i="1"/>
  <c r="AB500" i="1" s="1"/>
  <c r="AA512" i="1"/>
  <c r="AB512" i="1" s="1"/>
  <c r="AA530" i="1"/>
  <c r="AB530" i="1" s="1"/>
  <c r="AA10" i="1"/>
  <c r="AB10" i="1" s="1"/>
  <c r="AA19" i="1"/>
  <c r="AB19" i="1" s="1"/>
  <c r="AA22" i="1"/>
  <c r="AB22" i="1" s="1"/>
  <c r="AA25" i="1"/>
  <c r="AB25" i="1" s="1"/>
  <c r="AA28" i="1"/>
  <c r="AB28" i="1" s="1"/>
  <c r="AA304" i="1"/>
  <c r="AB304" i="1" s="1"/>
  <c r="AA356" i="1"/>
  <c r="AB356" i="1" s="1"/>
  <c r="AA359" i="1"/>
  <c r="AB359" i="1" s="1"/>
  <c r="AA365" i="1"/>
  <c r="AB365" i="1" s="1"/>
  <c r="AA368" i="1"/>
  <c r="AB368" i="1" s="1"/>
  <c r="AA421" i="1"/>
  <c r="AB421" i="1" s="1"/>
  <c r="AA168" i="1"/>
  <c r="AB168" i="1" s="1"/>
  <c r="AA426" i="1"/>
  <c r="AB426" i="1" s="1"/>
  <c r="AA435" i="1"/>
  <c r="AB435" i="1" s="1"/>
  <c r="Q859" i="1"/>
  <c r="T859" i="1" s="1"/>
  <c r="U859" i="1" s="1"/>
  <c r="AA164" i="1"/>
  <c r="AB164" i="1" s="1"/>
  <c r="AA247" i="1"/>
  <c r="AB247" i="1" s="1"/>
  <c r="AA140" i="1"/>
  <c r="AB140" i="1" s="1"/>
  <c r="AA38" i="1"/>
  <c r="AB38" i="1" s="1"/>
  <c r="AA41" i="1"/>
  <c r="AB41" i="1" s="1"/>
  <c r="AA262" i="1"/>
  <c r="AB262" i="1" s="1"/>
  <c r="AA268" i="1"/>
  <c r="AB268" i="1" s="1"/>
  <c r="AA286" i="1"/>
  <c r="AB286" i="1" s="1"/>
  <c r="AA489" i="1"/>
  <c r="AB489" i="1" s="1"/>
  <c r="AA176" i="1"/>
  <c r="AB176" i="1" s="1"/>
  <c r="AA266" i="1"/>
  <c r="AB266" i="1" s="1"/>
  <c r="AA269" i="1"/>
  <c r="AB269" i="1" s="1"/>
  <c r="AA287" i="1"/>
  <c r="AB287" i="1" s="1"/>
  <c r="AA112" i="1"/>
  <c r="AB112" i="1" s="1"/>
  <c r="Q293" i="1"/>
  <c r="N293" i="1" s="1"/>
  <c r="AA355" i="1"/>
  <c r="AB355" i="1" s="1"/>
  <c r="AA182" i="1"/>
  <c r="AB182" i="1" s="1"/>
  <c r="AA219" i="1"/>
  <c r="AB219" i="1" s="1"/>
  <c r="AA222" i="1"/>
  <c r="AB222" i="1" s="1"/>
  <c r="AA299" i="1"/>
  <c r="AB299" i="1" s="1"/>
  <c r="AA323" i="1"/>
  <c r="AB323" i="1" s="1"/>
  <c r="AA326" i="1"/>
  <c r="AB326" i="1" s="1"/>
  <c r="AA329" i="1"/>
  <c r="AB329" i="1" s="1"/>
  <c r="AA332" i="1"/>
  <c r="AB332" i="1" s="1"/>
  <c r="AA409" i="1"/>
  <c r="AB409" i="1" s="1"/>
  <c r="AA65" i="1"/>
  <c r="AB65" i="1" s="1"/>
  <c r="AA120" i="1"/>
  <c r="AB120" i="1" s="1"/>
  <c r="AA520" i="1"/>
  <c r="AB520" i="1" s="1"/>
  <c r="AA523" i="1"/>
  <c r="AB523" i="1" s="1"/>
  <c r="AA526" i="1"/>
  <c r="AB526" i="1" s="1"/>
  <c r="AA529" i="1"/>
  <c r="AB529" i="1" s="1"/>
  <c r="AA125" i="1"/>
  <c r="AB125" i="1" s="1"/>
  <c r="AA202" i="1"/>
  <c r="AB202" i="1" s="1"/>
  <c r="AA322" i="1"/>
  <c r="AB322" i="1" s="1"/>
  <c r="AA325" i="1"/>
  <c r="AB325" i="1" s="1"/>
  <c r="AA328" i="1"/>
  <c r="AB328" i="1" s="1"/>
  <c r="AA393" i="1"/>
  <c r="AB393" i="1" s="1"/>
  <c r="AA470" i="1"/>
  <c r="AB470" i="1" s="1"/>
  <c r="AA21" i="1"/>
  <c r="AB21" i="1" s="1"/>
  <c r="AA24" i="1"/>
  <c r="AB24" i="1" s="1"/>
  <c r="AA58" i="1"/>
  <c r="AB58" i="1" s="1"/>
  <c r="AA501" i="1"/>
  <c r="AB501" i="1" s="1"/>
  <c r="AA513" i="1"/>
  <c r="AB513" i="1" s="1"/>
  <c r="N643" i="1"/>
  <c r="L644" i="1"/>
  <c r="M644" i="1" s="1"/>
  <c r="L645" i="1" s="1"/>
  <c r="L788" i="1"/>
  <c r="M788" i="1" s="1"/>
  <c r="L789" i="1" s="1"/>
  <c r="O751" i="1"/>
  <c r="P607" i="1"/>
  <c r="O608" i="1" s="1"/>
  <c r="P608" i="1" s="1"/>
  <c r="O609" i="1" s="1"/>
  <c r="Q606" i="1"/>
  <c r="T606" i="1" s="1"/>
  <c r="U606" i="1" s="1"/>
  <c r="L533" i="1"/>
  <c r="M533" i="1" s="1"/>
  <c r="L534" i="1" s="1"/>
  <c r="Q683" i="1"/>
  <c r="S683" i="1" s="1"/>
  <c r="R570" i="1"/>
  <c r="P570" i="1"/>
  <c r="R685" i="1"/>
  <c r="P685" i="1"/>
  <c r="O686" i="1" s="1"/>
  <c r="Q644" i="1"/>
  <c r="T532" i="1"/>
  <c r="U532" i="1" s="1"/>
  <c r="S532" i="1"/>
  <c r="M570" i="1"/>
  <c r="L571" i="1" s="1"/>
  <c r="Q569" i="1"/>
  <c r="O533" i="1"/>
  <c r="M715" i="1"/>
  <c r="L716" i="1" s="1"/>
  <c r="N714" i="1"/>
  <c r="O715" i="1"/>
  <c r="Q714" i="1"/>
  <c r="Q643" i="1"/>
  <c r="Q684" i="1"/>
  <c r="R684" i="1"/>
  <c r="T750" i="1"/>
  <c r="U750" i="1" s="1"/>
  <c r="S750" i="1"/>
  <c r="O788" i="1"/>
  <c r="Q787" i="1"/>
  <c r="R860" i="1"/>
  <c r="P860" i="1"/>
  <c r="AA30" i="1"/>
  <c r="AB30" i="1" s="1"/>
  <c r="AA46" i="1"/>
  <c r="AB46" i="1" s="1"/>
  <c r="AA130" i="1"/>
  <c r="AB130" i="1" s="1"/>
  <c r="AA404" i="1"/>
  <c r="AB404" i="1" s="1"/>
  <c r="AA423" i="1"/>
  <c r="AB423" i="1" s="1"/>
  <c r="AA429" i="1"/>
  <c r="AB429" i="1" s="1"/>
  <c r="AA211" i="1"/>
  <c r="AB211" i="1" s="1"/>
  <c r="AA223" i="1"/>
  <c r="AB223" i="1" s="1"/>
  <c r="AA226" i="1"/>
  <c r="AB226" i="1" s="1"/>
  <c r="AA235" i="1"/>
  <c r="AB235" i="1" s="1"/>
  <c r="AA238" i="1"/>
  <c r="AB238" i="1" s="1"/>
  <c r="AA379" i="1"/>
  <c r="AB379" i="1" s="1"/>
  <c r="AA460" i="1"/>
  <c r="AB460" i="1" s="1"/>
  <c r="AA472" i="1"/>
  <c r="AB472" i="1" s="1"/>
  <c r="AA51" i="1"/>
  <c r="AB51" i="1" s="1"/>
  <c r="AA160" i="1"/>
  <c r="AB160" i="1" s="1"/>
  <c r="AA169" i="1"/>
  <c r="AB169" i="1" s="1"/>
  <c r="AA284" i="1"/>
  <c r="AB284" i="1" s="1"/>
  <c r="AA290" i="1"/>
  <c r="AB290" i="1" s="1"/>
  <c r="AA412" i="1"/>
  <c r="AB412" i="1" s="1"/>
  <c r="AA437" i="1"/>
  <c r="AB437" i="1" s="1"/>
  <c r="AA216" i="1"/>
  <c r="AB216" i="1" s="1"/>
  <c r="AA231" i="1"/>
  <c r="AB231" i="1" s="1"/>
  <c r="AA243" i="1"/>
  <c r="AB243" i="1" s="1"/>
  <c r="AA375" i="1"/>
  <c r="AB375" i="1" s="1"/>
  <c r="AA446" i="1"/>
  <c r="AB446" i="1" s="1"/>
  <c r="AA31" i="1"/>
  <c r="AB31" i="1" s="1"/>
  <c r="AA50" i="1"/>
  <c r="AB50" i="1" s="1"/>
  <c r="AA414" i="1"/>
  <c r="AB414" i="1" s="1"/>
  <c r="Q43" i="1"/>
  <c r="N43" i="1" s="1"/>
  <c r="AA436" i="1"/>
  <c r="AB436" i="1" s="1"/>
  <c r="AA105" i="1"/>
  <c r="AB105" i="1" s="1"/>
  <c r="AA117" i="1"/>
  <c r="AB117" i="1" s="1"/>
  <c r="AA134" i="1"/>
  <c r="AB134" i="1" s="1"/>
  <c r="AA137" i="1"/>
  <c r="AB137" i="1" s="1"/>
  <c r="AA143" i="1"/>
  <c r="AB143" i="1" s="1"/>
  <c r="AA218" i="1"/>
  <c r="AB218" i="1" s="1"/>
  <c r="AA230" i="1"/>
  <c r="AB230" i="1" s="1"/>
  <c r="AA242" i="1"/>
  <c r="AB242" i="1" s="1"/>
  <c r="AA258" i="1"/>
  <c r="AB258" i="1" s="1"/>
  <c r="AA343" i="1"/>
  <c r="AB343" i="1" s="1"/>
  <c r="AA346" i="1"/>
  <c r="AB346" i="1" s="1"/>
  <c r="AA374" i="1"/>
  <c r="AB374" i="1" s="1"/>
  <c r="AA461" i="1"/>
  <c r="AB461" i="1" s="1"/>
  <c r="AA56" i="1"/>
  <c r="AB56" i="1" s="1"/>
  <c r="AA246" i="1"/>
  <c r="AB246" i="1" s="1"/>
  <c r="AA249" i="1"/>
  <c r="AB249" i="1" s="1"/>
  <c r="AA292" i="1"/>
  <c r="AB292" i="1" s="1"/>
  <c r="AA293" i="1"/>
  <c r="AB293" i="1" s="1"/>
  <c r="AA306" i="1"/>
  <c r="AB306" i="1" s="1"/>
  <c r="AA345" i="1"/>
  <c r="AB345" i="1" s="1"/>
  <c r="AA348" i="1"/>
  <c r="AB348" i="1" s="1"/>
  <c r="AA20" i="1"/>
  <c r="AB20" i="1" s="1"/>
  <c r="AA26" i="1"/>
  <c r="AB26" i="1" s="1"/>
  <c r="AA36" i="1"/>
  <c r="AB36" i="1" s="1"/>
  <c r="AA39" i="1"/>
  <c r="AB39" i="1" s="1"/>
  <c r="AA59" i="1"/>
  <c r="AB59" i="1" s="1"/>
  <c r="AA110" i="1"/>
  <c r="AB110" i="1" s="1"/>
  <c r="AA113" i="1"/>
  <c r="AB113" i="1" s="1"/>
  <c r="AA179" i="1"/>
  <c r="AB179" i="1" s="1"/>
  <c r="AA207" i="1"/>
  <c r="AB207" i="1" s="1"/>
  <c r="AA233" i="1"/>
  <c r="AB233" i="1" s="1"/>
  <c r="AA263" i="1"/>
  <c r="AB263" i="1" s="1"/>
  <c r="AA270" i="1"/>
  <c r="AB270" i="1" s="1"/>
  <c r="AA273" i="1"/>
  <c r="AB273" i="1" s="1"/>
  <c r="AA312" i="1"/>
  <c r="AB312" i="1" s="1"/>
  <c r="AA371" i="1"/>
  <c r="AB371" i="1" s="1"/>
  <c r="AA394" i="1"/>
  <c r="AB394" i="1" s="1"/>
  <c r="AA479" i="1"/>
  <c r="AB479" i="1" s="1"/>
  <c r="AA214" i="1"/>
  <c r="AB214" i="1" s="1"/>
  <c r="AA364" i="1"/>
  <c r="AB364" i="1" s="1"/>
  <c r="AA384" i="1"/>
  <c r="AB384" i="1" s="1"/>
  <c r="AA387" i="1"/>
  <c r="AB387" i="1" s="1"/>
  <c r="AA390" i="1"/>
  <c r="AB390" i="1" s="1"/>
  <c r="AA416" i="1"/>
  <c r="AB416" i="1" s="1"/>
  <c r="AA505" i="1"/>
  <c r="AB505" i="1" s="1"/>
  <c r="AA511" i="1"/>
  <c r="AB511" i="1" s="1"/>
  <c r="AA514" i="1"/>
  <c r="AB514" i="1" s="1"/>
  <c r="AA7" i="1"/>
  <c r="AB7" i="1" s="1"/>
  <c r="AA149" i="1"/>
  <c r="AB149" i="1" s="1"/>
  <c r="AA175" i="1"/>
  <c r="AB175" i="1" s="1"/>
  <c r="AA239" i="1"/>
  <c r="AB239" i="1" s="1"/>
  <c r="AA285" i="1"/>
  <c r="AB285" i="1" s="1"/>
  <c r="AA298" i="1"/>
  <c r="AB298" i="1" s="1"/>
  <c r="AA305" i="1"/>
  <c r="AB305" i="1" s="1"/>
  <c r="AA308" i="1"/>
  <c r="AB308" i="1" s="1"/>
  <c r="AA448" i="1"/>
  <c r="AB448" i="1" s="1"/>
  <c r="AA455" i="1"/>
  <c r="AB455" i="1" s="1"/>
  <c r="AA478" i="1"/>
  <c r="AB478" i="1" s="1"/>
  <c r="AA45" i="1"/>
  <c r="AB45" i="1" s="1"/>
  <c r="AA48" i="1"/>
  <c r="AB48" i="1" s="1"/>
  <c r="AA64" i="1"/>
  <c r="AB64" i="1" s="1"/>
  <c r="AA184" i="1"/>
  <c r="AB184" i="1" s="1"/>
  <c r="AA187" i="1"/>
  <c r="AB187" i="1" s="1"/>
  <c r="AA190" i="1"/>
  <c r="AB190" i="1" s="1"/>
  <c r="AA209" i="1"/>
  <c r="AB209" i="1" s="1"/>
  <c r="AA278" i="1"/>
  <c r="AB278" i="1" s="1"/>
  <c r="AA415" i="1"/>
  <c r="AB415" i="1" s="1"/>
  <c r="AA428" i="1"/>
  <c r="AB428" i="1" s="1"/>
  <c r="AA465" i="1"/>
  <c r="AB465" i="1" s="1"/>
  <c r="AA468" i="1"/>
  <c r="AB468" i="1" s="1"/>
  <c r="AA471" i="1"/>
  <c r="AB471" i="1" s="1"/>
  <c r="AA494" i="1"/>
  <c r="AB494" i="1" s="1"/>
  <c r="AA6" i="1"/>
  <c r="AB6" i="1" s="1"/>
  <c r="AA9" i="1"/>
  <c r="AB9" i="1" s="1"/>
  <c r="AA12" i="1"/>
  <c r="AB12" i="1" s="1"/>
  <c r="AA34" i="1"/>
  <c r="AB34" i="1" s="1"/>
  <c r="AA73" i="1"/>
  <c r="AB73" i="1" s="1"/>
  <c r="AA79" i="1"/>
  <c r="AB79" i="1" s="1"/>
  <c r="AA92" i="1"/>
  <c r="AB92" i="1" s="1"/>
  <c r="AA135" i="1"/>
  <c r="AB135" i="1" s="1"/>
  <c r="AA148" i="1"/>
  <c r="AB148" i="1" s="1"/>
  <c r="AA154" i="1"/>
  <c r="AB154" i="1" s="1"/>
  <c r="AA157" i="1"/>
  <c r="AB157" i="1" s="1"/>
  <c r="AA167" i="1"/>
  <c r="AB167" i="1" s="1"/>
  <c r="AA241" i="1"/>
  <c r="AB241" i="1" s="1"/>
  <c r="AA297" i="1"/>
  <c r="AB297" i="1" s="1"/>
  <c r="AA300" i="1"/>
  <c r="AB300" i="1" s="1"/>
  <c r="T333" i="1"/>
  <c r="AA340" i="1"/>
  <c r="AB340" i="1" s="1"/>
  <c r="AA389" i="1"/>
  <c r="AB389" i="1" s="1"/>
  <c r="AA418" i="1"/>
  <c r="AB418" i="1" s="1"/>
  <c r="AA444" i="1"/>
  <c r="AB444" i="1" s="1"/>
  <c r="AA447" i="1"/>
  <c r="AB447" i="1" s="1"/>
  <c r="AA477" i="1"/>
  <c r="AB477" i="1" s="1"/>
  <c r="AA257" i="1"/>
  <c r="AB257" i="1" s="1"/>
  <c r="AA63" i="1"/>
  <c r="AB63" i="1" s="1"/>
  <c r="AA66" i="1"/>
  <c r="AB66" i="1" s="1"/>
  <c r="AA126" i="1"/>
  <c r="AB126" i="1" s="1"/>
  <c r="AA316" i="1"/>
  <c r="AB316" i="1" s="1"/>
  <c r="AA319" i="1"/>
  <c r="AB319" i="1" s="1"/>
  <c r="AA369" i="1"/>
  <c r="AB369" i="1" s="1"/>
  <c r="AA395" i="1"/>
  <c r="AB395" i="1" s="1"/>
  <c r="AA450" i="1"/>
  <c r="AB450" i="1" s="1"/>
  <c r="AA464" i="1"/>
  <c r="AB464" i="1" s="1"/>
  <c r="AA467" i="1"/>
  <c r="AB467" i="1" s="1"/>
  <c r="AA493" i="1"/>
  <c r="AB493" i="1" s="1"/>
  <c r="AA528" i="1"/>
  <c r="AB528" i="1" s="1"/>
  <c r="AA531" i="1"/>
  <c r="AB531" i="1" s="1"/>
  <c r="AA55" i="1"/>
  <c r="AB55" i="1" s="1"/>
  <c r="AA146" i="1"/>
  <c r="AB146" i="1" s="1"/>
  <c r="AA314" i="1"/>
  <c r="AB314" i="1" s="1"/>
  <c r="AA366" i="1"/>
  <c r="AB366" i="1" s="1"/>
  <c r="AA490" i="1"/>
  <c r="AB490" i="1" s="1"/>
  <c r="AA236" i="1"/>
  <c r="AB236" i="1" s="1"/>
  <c r="AA334" i="1"/>
  <c r="AB334" i="1" s="1"/>
  <c r="AA341" i="1"/>
  <c r="AB341" i="1" s="1"/>
  <c r="AA362" i="1"/>
  <c r="AB362" i="1" s="1"/>
  <c r="AA405" i="1"/>
  <c r="AB405" i="1" s="1"/>
  <c r="AA18" i="1"/>
  <c r="AB18" i="1" s="1"/>
  <c r="AA33" i="1"/>
  <c r="AB33" i="1" s="1"/>
  <c r="AA54" i="1"/>
  <c r="AB54" i="1" s="1"/>
  <c r="AA62" i="1"/>
  <c r="AB62" i="1" s="1"/>
  <c r="AA69" i="1"/>
  <c r="AB69" i="1" s="1"/>
  <c r="Q85" i="1"/>
  <c r="N85" i="1" s="1"/>
  <c r="AA145" i="1"/>
  <c r="AB145" i="1" s="1"/>
  <c r="AA152" i="1"/>
  <c r="AB152" i="1" s="1"/>
  <c r="AA155" i="1"/>
  <c r="AB155" i="1" s="1"/>
  <c r="AA191" i="1"/>
  <c r="AB191" i="1" s="1"/>
  <c r="AA205" i="1"/>
  <c r="AB205" i="1" s="1"/>
  <c r="AA208" i="1"/>
  <c r="AB208" i="1" s="1"/>
  <c r="AA229" i="1"/>
  <c r="AB229" i="1" s="1"/>
  <c r="AA253" i="1"/>
  <c r="AB253" i="1" s="1"/>
  <c r="AA256" i="1"/>
  <c r="AB256" i="1" s="1"/>
  <c r="AA337" i="1"/>
  <c r="AB337" i="1" s="1"/>
  <c r="AA411" i="1"/>
  <c r="AB411" i="1" s="1"/>
  <c r="AA462" i="1"/>
  <c r="AB462" i="1" s="1"/>
  <c r="AA469" i="1"/>
  <c r="AB469" i="1" s="1"/>
  <c r="AA473" i="1"/>
  <c r="AB473" i="1" s="1"/>
  <c r="AA476" i="1"/>
  <c r="AB476" i="1" s="1"/>
  <c r="AA483" i="1"/>
  <c r="AB483" i="1" s="1"/>
  <c r="AA522" i="1"/>
  <c r="AB522" i="1" s="1"/>
  <c r="AA61" i="1"/>
  <c r="AB61" i="1" s="1"/>
  <c r="AA84" i="1"/>
  <c r="AB84" i="1" s="1"/>
  <c r="AA85" i="1"/>
  <c r="AB85" i="1" s="1"/>
  <c r="R86" i="1"/>
  <c r="S86" i="1" s="1"/>
  <c r="R87" i="1" s="1"/>
  <c r="AA103" i="1"/>
  <c r="AB103" i="1" s="1"/>
  <c r="AA170" i="1"/>
  <c r="AB170" i="1" s="1"/>
  <c r="AA174" i="1"/>
  <c r="AB174" i="1" s="1"/>
  <c r="AA280" i="1"/>
  <c r="AB280" i="1" s="1"/>
  <c r="AA309" i="1"/>
  <c r="AB309" i="1" s="1"/>
  <c r="AA380" i="1"/>
  <c r="AB380" i="1" s="1"/>
  <c r="AA49" i="1"/>
  <c r="AB49" i="1" s="1"/>
  <c r="AA376" i="1"/>
  <c r="AB376" i="1" s="1"/>
  <c r="AA53" i="1"/>
  <c r="AB53" i="1" s="1"/>
  <c r="AA124" i="1"/>
  <c r="AB124" i="1" s="1"/>
  <c r="M128" i="1"/>
  <c r="AA144" i="1"/>
  <c r="AB144" i="1" s="1"/>
  <c r="AA438" i="1"/>
  <c r="AB438" i="1" s="1"/>
  <c r="AA453" i="1"/>
  <c r="AB453" i="1" s="1"/>
  <c r="AA68" i="1"/>
  <c r="AB68" i="1" s="1"/>
  <c r="AA75" i="1"/>
  <c r="AB75" i="1" s="1"/>
  <c r="AA204" i="1"/>
  <c r="AB204" i="1" s="1"/>
  <c r="AA351" i="1"/>
  <c r="AB351" i="1" s="1"/>
  <c r="AA5" i="1"/>
  <c r="AB5" i="1" s="1"/>
  <c r="AA8" i="1"/>
  <c r="AB8" i="1" s="1"/>
  <c r="AA15" i="1"/>
  <c r="AB15" i="1" s="1"/>
  <c r="AA27" i="1"/>
  <c r="AB27" i="1" s="1"/>
  <c r="AA52" i="1"/>
  <c r="AB52" i="1" s="1"/>
  <c r="AA60" i="1"/>
  <c r="AB60" i="1" s="1"/>
  <c r="AA83" i="1"/>
  <c r="AB83" i="1" s="1"/>
  <c r="AA91" i="1"/>
  <c r="AB91" i="1" s="1"/>
  <c r="AA129" i="1"/>
  <c r="AB129" i="1" s="1"/>
  <c r="AA193" i="1"/>
  <c r="AB193" i="1" s="1"/>
  <c r="AA200" i="1"/>
  <c r="AB200" i="1" s="1"/>
  <c r="AA203" i="1"/>
  <c r="AB203" i="1" s="1"/>
  <c r="AA234" i="1"/>
  <c r="AB234" i="1" s="1"/>
  <c r="AA237" i="1"/>
  <c r="AB237" i="1" s="1"/>
  <c r="AA279" i="1"/>
  <c r="AB279" i="1" s="1"/>
  <c r="AA282" i="1"/>
  <c r="AB282" i="1" s="1"/>
  <c r="AA335" i="1"/>
  <c r="AB335" i="1" s="1"/>
  <c r="AA413" i="1"/>
  <c r="AB413" i="1" s="1"/>
  <c r="AA457" i="1"/>
  <c r="AB457" i="1" s="1"/>
  <c r="AA508" i="1"/>
  <c r="AB508" i="1" s="1"/>
  <c r="AA392" i="1"/>
  <c r="AB392" i="1" s="1"/>
  <c r="AA396" i="1"/>
  <c r="AB396" i="1" s="1"/>
  <c r="AA23" i="1"/>
  <c r="AB23" i="1" s="1"/>
  <c r="AA43" i="1"/>
  <c r="AB43" i="1" s="1"/>
  <c r="AA82" i="1"/>
  <c r="AB82" i="1" s="1"/>
  <c r="AA123" i="1"/>
  <c r="AB123" i="1" s="1"/>
  <c r="AA240" i="1"/>
  <c r="AB240" i="1" s="1"/>
  <c r="AA254" i="1"/>
  <c r="AB254" i="1" s="1"/>
  <c r="AA338" i="1"/>
  <c r="AB338" i="1" s="1"/>
  <c r="AA358" i="1"/>
  <c r="AB358" i="1" s="1"/>
  <c r="AA370" i="1"/>
  <c r="AB370" i="1" s="1"/>
  <c r="AA399" i="1"/>
  <c r="AB399" i="1" s="1"/>
  <c r="T456" i="1"/>
  <c r="AA484" i="1"/>
  <c r="AB484" i="1" s="1"/>
  <c r="AA518" i="1"/>
  <c r="AB518" i="1" s="1"/>
  <c r="AA440" i="1"/>
  <c r="AB440" i="1" s="1"/>
  <c r="AA475" i="1"/>
  <c r="AB475" i="1" s="1"/>
  <c r="AA503" i="1"/>
  <c r="AB503" i="1" s="1"/>
  <c r="AA510" i="1"/>
  <c r="AB510" i="1" s="1"/>
  <c r="AA492" i="1"/>
  <c r="AB492" i="1" s="1"/>
  <c r="AA499" i="1"/>
  <c r="AB499" i="1" s="1"/>
  <c r="AA225" i="1"/>
  <c r="AB225" i="1" s="1"/>
  <c r="AA260" i="1"/>
  <c r="AB260" i="1" s="1"/>
  <c r="AA488" i="1"/>
  <c r="AB488" i="1" s="1"/>
  <c r="AA99" i="1"/>
  <c r="AB99" i="1" s="1"/>
  <c r="AA118" i="1"/>
  <c r="AB118" i="1" s="1"/>
  <c r="AA173" i="1"/>
  <c r="AB173" i="1" s="1"/>
  <c r="AA180" i="1"/>
  <c r="AB180" i="1" s="1"/>
  <c r="AA198" i="1"/>
  <c r="AB198" i="1" s="1"/>
  <c r="AA248" i="1"/>
  <c r="AB248" i="1" s="1"/>
  <c r="AA259" i="1"/>
  <c r="AB259" i="1" s="1"/>
  <c r="AA317" i="1"/>
  <c r="AB317" i="1" s="1"/>
  <c r="AA350" i="1"/>
  <c r="AB350" i="1" s="1"/>
  <c r="AA382" i="1"/>
  <c r="AB382" i="1" s="1"/>
  <c r="AA425" i="1"/>
  <c r="AB425" i="1" s="1"/>
  <c r="AA439" i="1"/>
  <c r="AB439" i="1" s="1"/>
  <c r="AA442" i="1"/>
  <c r="AB442" i="1" s="1"/>
  <c r="AA495" i="1"/>
  <c r="AB495" i="1" s="1"/>
  <c r="AA498" i="1"/>
  <c r="AB498" i="1" s="1"/>
  <c r="AA138" i="1"/>
  <c r="AB138" i="1" s="1"/>
  <c r="AA166" i="1"/>
  <c r="AB166" i="1" s="1"/>
  <c r="AA32" i="1"/>
  <c r="AB32" i="1" s="1"/>
  <c r="S252" i="1"/>
  <c r="T252" i="1" s="1"/>
  <c r="AA106" i="1"/>
  <c r="AB106" i="1" s="1"/>
  <c r="AA224" i="1"/>
  <c r="AB224" i="1" s="1"/>
  <c r="AA264" i="1"/>
  <c r="AB264" i="1" s="1"/>
  <c r="AA78" i="1"/>
  <c r="AB78" i="1" s="1"/>
  <c r="M211" i="1"/>
  <c r="O212" i="1"/>
  <c r="L212" i="1" s="1"/>
  <c r="Q211" i="1"/>
  <c r="N211" i="1" s="1"/>
  <c r="AA14" i="1"/>
  <c r="AB14" i="1" s="1"/>
  <c r="AA29" i="1"/>
  <c r="AB29" i="1" s="1"/>
  <c r="AA153" i="1"/>
  <c r="AB153" i="1" s="1"/>
  <c r="AA188" i="1"/>
  <c r="AB188" i="1" s="1"/>
  <c r="AA313" i="1"/>
  <c r="AB313" i="1" s="1"/>
  <c r="AA347" i="1"/>
  <c r="AB347" i="1" s="1"/>
  <c r="AA102" i="1"/>
  <c r="AB102" i="1" s="1"/>
  <c r="AA116" i="1"/>
  <c r="AB116" i="1" s="1"/>
  <c r="AA139" i="1"/>
  <c r="AB139" i="1" s="1"/>
  <c r="AA196" i="1"/>
  <c r="AB196" i="1" s="1"/>
  <c r="AA201" i="1"/>
  <c r="AB201" i="1" s="1"/>
  <c r="AA367" i="1"/>
  <c r="AB367" i="1" s="1"/>
  <c r="AA47" i="1"/>
  <c r="AB47" i="1" s="1"/>
  <c r="AA77" i="1"/>
  <c r="AB77" i="1" s="1"/>
  <c r="AA121" i="1"/>
  <c r="AB121" i="1" s="1"/>
  <c r="O253" i="1"/>
  <c r="P253" i="1" s="1"/>
  <c r="Q253" i="1" s="1"/>
  <c r="N253" i="1" s="1"/>
  <c r="AA301" i="1"/>
  <c r="AB301" i="1" s="1"/>
  <c r="AA57" i="1"/>
  <c r="AB57" i="1" s="1"/>
  <c r="AA81" i="1"/>
  <c r="AB81" i="1" s="1"/>
  <c r="AA127" i="1"/>
  <c r="AB127" i="1" s="1"/>
  <c r="AA136" i="1"/>
  <c r="AB136" i="1" s="1"/>
  <c r="AA142" i="1"/>
  <c r="AB142" i="1" s="1"/>
  <c r="AA156" i="1"/>
  <c r="AB156" i="1" s="1"/>
  <c r="AA163" i="1"/>
  <c r="AB163" i="1" s="1"/>
  <c r="AA171" i="1"/>
  <c r="AB171" i="1" s="1"/>
  <c r="AA186" i="1"/>
  <c r="AB186" i="1" s="1"/>
  <c r="AA194" i="1"/>
  <c r="AB194" i="1" s="1"/>
  <c r="AA212" i="1"/>
  <c r="AB212" i="1" s="1"/>
  <c r="AA228" i="1"/>
  <c r="AB228" i="1" s="1"/>
  <c r="AA232" i="1"/>
  <c r="AB232" i="1" s="1"/>
  <c r="AA361" i="1"/>
  <c r="AB361" i="1" s="1"/>
  <c r="S374" i="1"/>
  <c r="T374" i="1" s="1"/>
  <c r="AA427" i="1"/>
  <c r="AB427" i="1" s="1"/>
  <c r="AA451" i="1"/>
  <c r="AB451" i="1" s="1"/>
  <c r="AA37" i="1"/>
  <c r="AB37" i="1" s="1"/>
  <c r="AA42" i="1"/>
  <c r="AB42" i="1" s="1"/>
  <c r="T43" i="1"/>
  <c r="AA76" i="1"/>
  <c r="AB76" i="1" s="1"/>
  <c r="AA97" i="1"/>
  <c r="AB97" i="1" s="1"/>
  <c r="AA104" i="1"/>
  <c r="AB104" i="1" s="1"/>
  <c r="AA111" i="1"/>
  <c r="AB111" i="1" s="1"/>
  <c r="AA89" i="1"/>
  <c r="AB89" i="1" s="1"/>
  <c r="AA96" i="1"/>
  <c r="AB96" i="1" s="1"/>
  <c r="AA161" i="1"/>
  <c r="AB161" i="1" s="1"/>
  <c r="AA185" i="1"/>
  <c r="AB185" i="1" s="1"/>
  <c r="AA217" i="1"/>
  <c r="AB217" i="1" s="1"/>
  <c r="AA227" i="1"/>
  <c r="AB227" i="1" s="1"/>
  <c r="AA245" i="1"/>
  <c r="AB245" i="1" s="1"/>
  <c r="AA255" i="1"/>
  <c r="AB255" i="1" s="1"/>
  <c r="AA272" i="1"/>
  <c r="AB272" i="1" s="1"/>
  <c r="AA277" i="1"/>
  <c r="AB277" i="1" s="1"/>
  <c r="AA288" i="1"/>
  <c r="AB288" i="1" s="1"/>
  <c r="AA11" i="1"/>
  <c r="AB11" i="1" s="1"/>
  <c r="S128" i="1"/>
  <c r="T128" i="1" s="1"/>
  <c r="AA16" i="1"/>
  <c r="AB16" i="1" s="1"/>
  <c r="AA35" i="1"/>
  <c r="AB35" i="1" s="1"/>
  <c r="AA40" i="1"/>
  <c r="AB40" i="1" s="1"/>
  <c r="AA74" i="1"/>
  <c r="AB74" i="1" s="1"/>
  <c r="AA88" i="1"/>
  <c r="AB88" i="1" s="1"/>
  <c r="AA95" i="1"/>
  <c r="AB95" i="1" s="1"/>
  <c r="O129" i="1"/>
  <c r="L129" i="1" s="1"/>
  <c r="AA151" i="1"/>
  <c r="AB151" i="1" s="1"/>
  <c r="AA189" i="1"/>
  <c r="AB189" i="1" s="1"/>
  <c r="AA244" i="1"/>
  <c r="AB244" i="1" s="1"/>
  <c r="M252" i="1"/>
  <c r="AA271" i="1"/>
  <c r="AB271" i="1" s="1"/>
  <c r="AA372" i="1"/>
  <c r="AB372" i="1" s="1"/>
  <c r="AA373" i="1"/>
  <c r="AB373" i="1" s="1"/>
  <c r="AA377" i="1"/>
  <c r="AB377" i="1" s="1"/>
  <c r="AA378" i="1"/>
  <c r="AB378" i="1" s="1"/>
  <c r="AA400" i="1"/>
  <c r="AB400" i="1" s="1"/>
  <c r="AA443" i="1"/>
  <c r="AB443" i="1" s="1"/>
  <c r="AA452" i="1"/>
  <c r="AB452" i="1" s="1"/>
  <c r="AA463" i="1"/>
  <c r="AB463" i="1" s="1"/>
  <c r="AA481" i="1"/>
  <c r="AB481" i="1" s="1"/>
  <c r="AA507" i="1"/>
  <c r="AB507" i="1" s="1"/>
  <c r="AA509" i="1"/>
  <c r="AB509" i="1" s="1"/>
  <c r="AA527" i="1"/>
  <c r="AB527" i="1" s="1"/>
  <c r="AA486" i="1"/>
  <c r="AB486" i="1" s="1"/>
  <c r="AA307" i="1"/>
  <c r="AB307" i="1" s="1"/>
  <c r="AA311" i="1"/>
  <c r="AB311" i="1" s="1"/>
  <c r="AA353" i="1"/>
  <c r="AB353" i="1" s="1"/>
  <c r="AA398" i="1"/>
  <c r="AB398" i="1" s="1"/>
  <c r="AA402" i="1"/>
  <c r="AB402" i="1" s="1"/>
  <c r="AA406" i="1"/>
  <c r="AB406" i="1" s="1"/>
  <c r="AA420" i="1"/>
  <c r="AB420" i="1" s="1"/>
  <c r="AA466" i="1"/>
  <c r="AB466" i="1" s="1"/>
  <c r="AA496" i="1"/>
  <c r="AB496" i="1" s="1"/>
  <c r="AA506" i="1"/>
  <c r="AB506" i="1" s="1"/>
  <c r="AA283" i="1"/>
  <c r="AB283" i="1" s="1"/>
  <c r="AA291" i="1"/>
  <c r="AB291" i="1" s="1"/>
  <c r="AA295" i="1"/>
  <c r="AB295" i="1" s="1"/>
  <c r="AA339" i="1"/>
  <c r="AB339" i="1" s="1"/>
  <c r="AA344" i="1"/>
  <c r="AB344" i="1" s="1"/>
  <c r="AA386" i="1"/>
  <c r="AB386" i="1" s="1"/>
  <c r="AA391" i="1"/>
  <c r="AB391" i="1" s="1"/>
  <c r="AA410" i="1"/>
  <c r="AB410" i="1" s="1"/>
  <c r="AA430" i="1"/>
  <c r="AB430" i="1" s="1"/>
  <c r="AA454" i="1"/>
  <c r="AB454" i="1" s="1"/>
  <c r="AA456" i="1"/>
  <c r="AB456" i="1" s="1"/>
  <c r="AA485" i="1"/>
  <c r="AB485" i="1" s="1"/>
  <c r="AA525" i="1"/>
  <c r="AB525" i="1" s="1"/>
  <c r="J491" i="1"/>
  <c r="AA321" i="1"/>
  <c r="AB321" i="1" s="1"/>
  <c r="AA327" i="1"/>
  <c r="AB327" i="1" s="1"/>
  <c r="O375" i="1"/>
  <c r="P375" i="1" s="1"/>
  <c r="AA251" i="1"/>
  <c r="AB251" i="1" s="1"/>
  <c r="AA261" i="1"/>
  <c r="AB261" i="1" s="1"/>
  <c r="AA267" i="1"/>
  <c r="AB267" i="1" s="1"/>
  <c r="AA315" i="1"/>
  <c r="AB315" i="1" s="1"/>
  <c r="M374" i="1"/>
  <c r="AA445" i="1"/>
  <c r="AB445" i="1" s="1"/>
  <c r="AA502" i="1"/>
  <c r="AB502" i="1" s="1"/>
  <c r="AA150" i="1"/>
  <c r="AB150" i="1" s="1"/>
  <c r="AA199" i="1"/>
  <c r="AB199" i="1" s="1"/>
  <c r="AA210" i="1"/>
  <c r="AB210" i="1" s="1"/>
  <c r="AA213" i="1"/>
  <c r="AB213" i="1" s="1"/>
  <c r="AA215" i="1"/>
  <c r="AB215" i="1" s="1"/>
  <c r="AA221" i="1"/>
  <c r="AB221" i="1" s="1"/>
  <c r="AA265" i="1"/>
  <c r="AB265" i="1" s="1"/>
  <c r="AA281" i="1"/>
  <c r="AB281" i="1" s="1"/>
  <c r="AA289" i="1"/>
  <c r="AB289" i="1" s="1"/>
  <c r="AA320" i="1"/>
  <c r="AB320" i="1" s="1"/>
  <c r="AA336" i="1"/>
  <c r="AB336" i="1" s="1"/>
  <c r="AA408" i="1"/>
  <c r="AB408" i="1" s="1"/>
  <c r="AA432" i="1"/>
  <c r="AB432" i="1" s="1"/>
  <c r="O496" i="1"/>
  <c r="L496" i="1" s="1"/>
  <c r="AA519" i="1"/>
  <c r="AB519" i="1" s="1"/>
  <c r="AA524" i="1"/>
  <c r="AB524" i="1" s="1"/>
  <c r="AA274" i="1"/>
  <c r="AB274" i="1" s="1"/>
  <c r="AA310" i="1"/>
  <c r="AB310" i="1" s="1"/>
  <c r="AA318" i="1"/>
  <c r="AB318" i="1" s="1"/>
  <c r="AA330" i="1"/>
  <c r="AB330" i="1" s="1"/>
  <c r="AA331" i="1"/>
  <c r="AB331" i="1" s="1"/>
  <c r="AA342" i="1"/>
  <c r="AB342" i="1" s="1"/>
  <c r="AA349" i="1"/>
  <c r="AB349" i="1" s="1"/>
  <c r="AA363" i="1"/>
  <c r="AB363" i="1" s="1"/>
  <c r="AA433" i="1"/>
  <c r="AB433" i="1" s="1"/>
  <c r="AA458" i="1"/>
  <c r="AB458" i="1" s="1"/>
  <c r="AA474" i="1"/>
  <c r="AB474" i="1" s="1"/>
  <c r="AA480" i="1"/>
  <c r="AB480" i="1" s="1"/>
  <c r="AA487" i="1"/>
  <c r="AB487" i="1" s="1"/>
  <c r="AA504" i="1"/>
  <c r="AB504" i="1" s="1"/>
  <c r="AA516" i="1"/>
  <c r="AB516" i="1" s="1"/>
  <c r="AA517" i="1"/>
  <c r="AB517" i="1" s="1"/>
  <c r="R44" i="1"/>
  <c r="P44" i="1"/>
  <c r="Q44" i="1" s="1"/>
  <c r="N44" i="1" s="1"/>
  <c r="O3" i="1"/>
  <c r="Q2" i="1"/>
  <c r="AA4" i="1"/>
  <c r="AB4" i="1" s="1"/>
  <c r="L44" i="1"/>
  <c r="AA162" i="1"/>
  <c r="AB162" i="1" s="1"/>
  <c r="AA3" i="1"/>
  <c r="AB3" i="1" s="1"/>
  <c r="AA17" i="1"/>
  <c r="AB17" i="1" s="1"/>
  <c r="Q170" i="1"/>
  <c r="N170" i="1" s="1"/>
  <c r="S170" i="1"/>
  <c r="T170" i="1" s="1"/>
  <c r="O171" i="1"/>
  <c r="L3" i="1"/>
  <c r="M43" i="1"/>
  <c r="AA44" i="1"/>
  <c r="AB44" i="1" s="1"/>
  <c r="AA70" i="1"/>
  <c r="AB70" i="1" s="1"/>
  <c r="AA109" i="1"/>
  <c r="AB109" i="1" s="1"/>
  <c r="AA80" i="1"/>
  <c r="AB80" i="1" s="1"/>
  <c r="AA114" i="1"/>
  <c r="AB114" i="1" s="1"/>
  <c r="AA71" i="1"/>
  <c r="AB71" i="1" s="1"/>
  <c r="AA100" i="1"/>
  <c r="AB100" i="1" s="1"/>
  <c r="AA108" i="1"/>
  <c r="AB108" i="1" s="1"/>
  <c r="AA115" i="1"/>
  <c r="AB115" i="1" s="1"/>
  <c r="AA67" i="1"/>
  <c r="AB67" i="1" s="1"/>
  <c r="AA131" i="1"/>
  <c r="AB131" i="1" s="1"/>
  <c r="S211" i="1"/>
  <c r="T211" i="1" s="1"/>
  <c r="AA98" i="1"/>
  <c r="AB98" i="1" s="1"/>
  <c r="AA87" i="1"/>
  <c r="AB87" i="1" s="1"/>
  <c r="AA101" i="1"/>
  <c r="AB101" i="1" s="1"/>
  <c r="AA107" i="1"/>
  <c r="AB107" i="1" s="1"/>
  <c r="AA220" i="1"/>
  <c r="AB220" i="1" s="1"/>
  <c r="O86" i="1"/>
  <c r="AA122" i="1"/>
  <c r="AB122" i="1" s="1"/>
  <c r="AA133" i="1"/>
  <c r="AB133" i="1" s="1"/>
  <c r="AA296" i="1"/>
  <c r="AB296" i="1" s="1"/>
  <c r="AA250" i="1"/>
  <c r="AB250" i="1" s="1"/>
  <c r="AA178" i="1"/>
  <c r="AB178" i="1" s="1"/>
  <c r="AA252" i="1"/>
  <c r="AB252" i="1" s="1"/>
  <c r="O294" i="1"/>
  <c r="AA275" i="1"/>
  <c r="AB275" i="1" s="1"/>
  <c r="S415" i="1"/>
  <c r="T415" i="1" s="1"/>
  <c r="S293" i="1"/>
  <c r="T293" i="1" s="1"/>
  <c r="AA294" i="1"/>
  <c r="AB294" i="1" s="1"/>
  <c r="AA324" i="1"/>
  <c r="AB324" i="1" s="1"/>
  <c r="O416" i="1"/>
  <c r="M415" i="1"/>
  <c r="Q415" i="1"/>
  <c r="N415" i="1" s="1"/>
  <c r="O334" i="1"/>
  <c r="Q333" i="1"/>
  <c r="N333" i="1" s="1"/>
  <c r="AA397" i="1"/>
  <c r="AB397" i="1" s="1"/>
  <c r="AA407" i="1"/>
  <c r="AB407" i="1" s="1"/>
  <c r="AA403" i="1"/>
  <c r="AB403" i="1" s="1"/>
  <c r="AA401" i="1"/>
  <c r="AB401" i="1" s="1"/>
  <c r="AA417" i="1"/>
  <c r="AB417" i="1" s="1"/>
  <c r="AA422" i="1"/>
  <c r="AB422" i="1" s="1"/>
  <c r="AA424" i="1"/>
  <c r="AB424" i="1" s="1"/>
  <c r="AA441" i="1"/>
  <c r="AB441" i="1" s="1"/>
  <c r="AA459" i="1"/>
  <c r="AB459" i="1" s="1"/>
  <c r="AA491" i="1"/>
  <c r="AB491" i="1" s="1"/>
  <c r="O457" i="1"/>
  <c r="Q456" i="1"/>
  <c r="N456" i="1" s="1"/>
  <c r="Q495" i="1"/>
  <c r="N495" i="1" s="1"/>
  <c r="S1270" i="1" l="1"/>
  <c r="R1271" i="1" s="1"/>
  <c r="P1159" i="1"/>
  <c r="O1160" i="1" s="1"/>
  <c r="P1126" i="1"/>
  <c r="O1127" i="1" s="1"/>
  <c r="M1195" i="1"/>
  <c r="L1196" i="1" s="1"/>
  <c r="Q1158" i="1"/>
  <c r="P1197" i="1"/>
  <c r="O1198" i="1" s="1"/>
  <c r="Q1197" i="1"/>
  <c r="Q1196" i="1"/>
  <c r="P1233" i="1"/>
  <c r="O1234" i="1" s="1"/>
  <c r="P1270" i="1"/>
  <c r="O1271" i="1" s="1"/>
  <c r="Q1270" i="1"/>
  <c r="Q1232" i="1"/>
  <c r="Q1269" i="1"/>
  <c r="Q1125" i="1"/>
  <c r="N1269" i="1"/>
  <c r="T1269" i="1"/>
  <c r="U1269" i="1" s="1"/>
  <c r="M1233" i="1"/>
  <c r="L1234" i="1" s="1"/>
  <c r="M1270" i="1"/>
  <c r="L1271" i="1" s="1"/>
  <c r="M1157" i="1"/>
  <c r="L1158" i="1" s="1"/>
  <c r="N1157" i="1"/>
  <c r="M1127" i="1"/>
  <c r="L1128" i="1" s="1"/>
  <c r="S823" i="1"/>
  <c r="R824" i="1"/>
  <c r="R645" i="1"/>
  <c r="R825" i="1"/>
  <c r="Q824" i="1"/>
  <c r="S824" i="1" s="1"/>
  <c r="L752" i="1"/>
  <c r="M752" i="1" s="1"/>
  <c r="L753" i="1" s="1"/>
  <c r="N1094" i="1"/>
  <c r="N1092" i="1"/>
  <c r="Q896" i="1"/>
  <c r="P1058" i="1"/>
  <c r="O1059" i="1" s="1"/>
  <c r="AC491" i="1"/>
  <c r="AD491" i="1"/>
  <c r="M927" i="1"/>
  <c r="L928" i="1" s="1"/>
  <c r="Q825" i="1"/>
  <c r="T825" i="1" s="1"/>
  <c r="U825" i="1" s="1"/>
  <c r="P1026" i="1"/>
  <c r="O1027" i="1" s="1"/>
  <c r="M1059" i="1"/>
  <c r="L1060" i="1" s="1"/>
  <c r="P898" i="1"/>
  <c r="O899" i="1" s="1"/>
  <c r="P994" i="1"/>
  <c r="O995" i="1" s="1"/>
  <c r="M1026" i="1"/>
  <c r="L1027" i="1" s="1"/>
  <c r="M896" i="1"/>
  <c r="L897" i="1" s="1"/>
  <c r="M961" i="1"/>
  <c r="L962" i="1" s="1"/>
  <c r="N960" i="1"/>
  <c r="R1090" i="1"/>
  <c r="P1090" i="1"/>
  <c r="P928" i="1"/>
  <c r="O929" i="1" s="1"/>
  <c r="Q927" i="1"/>
  <c r="P962" i="1"/>
  <c r="O963" i="1" s="1"/>
  <c r="Q961" i="1"/>
  <c r="M993" i="1"/>
  <c r="L994" i="1" s="1"/>
  <c r="M1095" i="1"/>
  <c r="L1096" i="1" s="1"/>
  <c r="Q993" i="1"/>
  <c r="N1058" i="1"/>
  <c r="Q897" i="1"/>
  <c r="P826" i="1"/>
  <c r="O827" i="1" s="1"/>
  <c r="P827" i="1" s="1"/>
  <c r="O828" i="1" s="1"/>
  <c r="S859" i="1"/>
  <c r="S606" i="1"/>
  <c r="L375" i="1"/>
  <c r="P212" i="1"/>
  <c r="Q212" i="1" s="1"/>
  <c r="N212" i="1" s="1"/>
  <c r="T683" i="1"/>
  <c r="U683" i="1" s="1"/>
  <c r="R212" i="1"/>
  <c r="S212" i="1" s="1"/>
  <c r="T212" i="1" s="1"/>
  <c r="N607" i="1"/>
  <c r="P496" i="1"/>
  <c r="O497" i="1" s="1"/>
  <c r="R253" i="1"/>
  <c r="S253" i="1" s="1"/>
  <c r="T253" i="1" s="1"/>
  <c r="R751" i="1"/>
  <c r="P751" i="1"/>
  <c r="O752" i="1" s="1"/>
  <c r="R496" i="1"/>
  <c r="S496" i="1" s="1"/>
  <c r="T496" i="1" s="1"/>
  <c r="N860" i="1"/>
  <c r="N715" i="1"/>
  <c r="Q607" i="1"/>
  <c r="S607" i="1" s="1"/>
  <c r="P129" i="1"/>
  <c r="O130" i="1" s="1"/>
  <c r="N824" i="1"/>
  <c r="R129" i="1"/>
  <c r="S129" i="1" s="1"/>
  <c r="T129" i="1" s="1"/>
  <c r="R375" i="1"/>
  <c r="S375" i="1" s="1"/>
  <c r="T375" i="1" s="1"/>
  <c r="R608" i="1"/>
  <c r="R788" i="1"/>
  <c r="P788" i="1"/>
  <c r="O789" i="1" s="1"/>
  <c r="M825" i="1"/>
  <c r="L826" i="1" s="1"/>
  <c r="M534" i="1"/>
  <c r="L535" i="1" s="1"/>
  <c r="T644" i="1"/>
  <c r="U644" i="1" s="1"/>
  <c r="S644" i="1"/>
  <c r="O861" i="1"/>
  <c r="Q860" i="1"/>
  <c r="M716" i="1"/>
  <c r="L717" i="1" s="1"/>
  <c r="M789" i="1"/>
  <c r="L790" i="1" s="1"/>
  <c r="M685" i="1"/>
  <c r="L686" i="1" s="1"/>
  <c r="R686" i="1"/>
  <c r="P686" i="1"/>
  <c r="O687" i="1" s="1"/>
  <c r="N788" i="1"/>
  <c r="Q685" i="1"/>
  <c r="T824" i="1"/>
  <c r="U824" i="1" s="1"/>
  <c r="T643" i="1"/>
  <c r="U643" i="1" s="1"/>
  <c r="S643" i="1"/>
  <c r="S714" i="1"/>
  <c r="T714" i="1"/>
  <c r="U714" i="1" s="1"/>
  <c r="M571" i="1"/>
  <c r="L572" i="1" s="1"/>
  <c r="R609" i="1"/>
  <c r="P609" i="1"/>
  <c r="O610" i="1" s="1"/>
  <c r="M861" i="1"/>
  <c r="L862" i="1" s="1"/>
  <c r="N684" i="1"/>
  <c r="R715" i="1"/>
  <c r="P715" i="1"/>
  <c r="O716" i="1" s="1"/>
  <c r="M645" i="1"/>
  <c r="L646" i="1" s="1"/>
  <c r="N644" i="1"/>
  <c r="N570" i="1"/>
  <c r="Q608" i="1"/>
  <c r="R533" i="1"/>
  <c r="P533" i="1"/>
  <c r="O534" i="1" s="1"/>
  <c r="S569" i="1"/>
  <c r="T569" i="1"/>
  <c r="U569" i="1" s="1"/>
  <c r="R646" i="1"/>
  <c r="P646" i="1"/>
  <c r="O647" i="1" s="1"/>
  <c r="O571" i="1"/>
  <c r="Q570" i="1"/>
  <c r="Q645" i="1"/>
  <c r="T787" i="1"/>
  <c r="U787" i="1" s="1"/>
  <c r="S787" i="1"/>
  <c r="S684" i="1"/>
  <c r="T684" i="1"/>
  <c r="U684" i="1" s="1"/>
  <c r="M608" i="1"/>
  <c r="L609" i="1" s="1"/>
  <c r="N533" i="1"/>
  <c r="L253" i="1"/>
  <c r="R416" i="1"/>
  <c r="P416" i="1"/>
  <c r="L416" i="1"/>
  <c r="M3" i="1"/>
  <c r="L4" i="1" s="1"/>
  <c r="R171" i="1"/>
  <c r="L171" i="1"/>
  <c r="P171" i="1"/>
  <c r="Q171" i="1" s="1"/>
  <c r="N171" i="1" s="1"/>
  <c r="O254" i="1"/>
  <c r="M253" i="1"/>
  <c r="L86" i="1"/>
  <c r="P86" i="1"/>
  <c r="S2" i="1"/>
  <c r="T2" i="1"/>
  <c r="P294" i="1"/>
  <c r="Q294" i="1" s="1"/>
  <c r="N294" i="1" s="1"/>
  <c r="L294" i="1"/>
  <c r="R294" i="1"/>
  <c r="R3" i="1"/>
  <c r="P3" i="1"/>
  <c r="O4" i="1" s="1"/>
  <c r="O45" i="1"/>
  <c r="M44" i="1"/>
  <c r="S44" i="1"/>
  <c r="T44" i="1" s="1"/>
  <c r="M375" i="1"/>
  <c r="O376" i="1"/>
  <c r="Q375" i="1"/>
  <c r="N375" i="1" s="1"/>
  <c r="R334" i="1"/>
  <c r="P334" i="1"/>
  <c r="Q334" i="1" s="1"/>
  <c r="N334" i="1" s="1"/>
  <c r="L334" i="1"/>
  <c r="S87" i="1"/>
  <c r="R88" i="1" s="1"/>
  <c r="P457" i="1"/>
  <c r="L457" i="1"/>
  <c r="R457" i="1"/>
  <c r="T86" i="1"/>
  <c r="M1271" i="1" l="1"/>
  <c r="L1272" i="1" s="1"/>
  <c r="M1234" i="1"/>
  <c r="L1235" i="1" s="1"/>
  <c r="N1233" i="1"/>
  <c r="P1198" i="1"/>
  <c r="O1199" i="1" s="1"/>
  <c r="M1196" i="1"/>
  <c r="L1197" i="1" s="1"/>
  <c r="N1195" i="1"/>
  <c r="P1127" i="1"/>
  <c r="O1128" i="1" s="1"/>
  <c r="M1128" i="1"/>
  <c r="L1129" i="1" s="1"/>
  <c r="Q1126" i="1"/>
  <c r="N1127" i="1"/>
  <c r="P1160" i="1"/>
  <c r="O1161" i="1" s="1"/>
  <c r="P1271" i="1"/>
  <c r="O1272" i="1" s="1"/>
  <c r="Q1159" i="1"/>
  <c r="M1158" i="1"/>
  <c r="L1159" i="1" s="1"/>
  <c r="Q1234" i="1"/>
  <c r="P1234" i="1"/>
  <c r="O1235" i="1" s="1"/>
  <c r="S1271" i="1"/>
  <c r="R1272" i="1" s="1"/>
  <c r="N1270" i="1"/>
  <c r="Q1233" i="1"/>
  <c r="T1270" i="1"/>
  <c r="U1270" i="1" s="1"/>
  <c r="R827" i="1"/>
  <c r="M928" i="1"/>
  <c r="L929" i="1" s="1"/>
  <c r="M929" i="1" s="1"/>
  <c r="L930" i="1" s="1"/>
  <c r="N928" i="1"/>
  <c r="N927" i="1"/>
  <c r="S825" i="1"/>
  <c r="P1059" i="1"/>
  <c r="O1060" i="1" s="1"/>
  <c r="P1060" i="1" s="1"/>
  <c r="O1061" i="1" s="1"/>
  <c r="Q826" i="1"/>
  <c r="T826" i="1" s="1"/>
  <c r="U826" i="1" s="1"/>
  <c r="N1026" i="1"/>
  <c r="Q1058" i="1"/>
  <c r="M897" i="1"/>
  <c r="L898" i="1" s="1"/>
  <c r="Q962" i="1"/>
  <c r="N896" i="1"/>
  <c r="P963" i="1"/>
  <c r="O964" i="1" s="1"/>
  <c r="M1027" i="1"/>
  <c r="L1028" i="1" s="1"/>
  <c r="N929" i="1"/>
  <c r="S1090" i="1"/>
  <c r="O1091" i="1"/>
  <c r="P899" i="1"/>
  <c r="O900" i="1" s="1"/>
  <c r="M930" i="1"/>
  <c r="L931" i="1" s="1"/>
  <c r="Q1090" i="1"/>
  <c r="Q898" i="1"/>
  <c r="P1061" i="1"/>
  <c r="O1062" i="1" s="1"/>
  <c r="P929" i="1"/>
  <c r="O930" i="1" s="1"/>
  <c r="Q928" i="1"/>
  <c r="M1096" i="1"/>
  <c r="L1097" i="1" s="1"/>
  <c r="M1060" i="1"/>
  <c r="L1061" i="1" s="1"/>
  <c r="P995" i="1"/>
  <c r="O996" i="1" s="1"/>
  <c r="Q995" i="1"/>
  <c r="Q994" i="1"/>
  <c r="N1095" i="1"/>
  <c r="N1059" i="1"/>
  <c r="M994" i="1"/>
  <c r="L995" i="1" s="1"/>
  <c r="M962" i="1"/>
  <c r="L963" i="1" s="1"/>
  <c r="P1027" i="1"/>
  <c r="O1028" i="1" s="1"/>
  <c r="N993" i="1"/>
  <c r="N961" i="1"/>
  <c r="Q1026" i="1"/>
  <c r="O213" i="1"/>
  <c r="R213" i="1" s="1"/>
  <c r="M212" i="1"/>
  <c r="Q129" i="1"/>
  <c r="N129" i="1" s="1"/>
  <c r="Q496" i="1"/>
  <c r="N496" i="1" s="1"/>
  <c r="M496" i="1"/>
  <c r="M129" i="1"/>
  <c r="Q609" i="1"/>
  <c r="S609" i="1" s="1"/>
  <c r="Q751" i="1"/>
  <c r="T751" i="1" s="1"/>
  <c r="U751" i="1" s="1"/>
  <c r="T607" i="1"/>
  <c r="U607" i="1" s="1"/>
  <c r="N534" i="1"/>
  <c r="N825" i="1"/>
  <c r="P752" i="1"/>
  <c r="O753" i="1" s="1"/>
  <c r="R752" i="1"/>
  <c r="M753" i="1"/>
  <c r="L754" i="1" s="1"/>
  <c r="P610" i="1"/>
  <c r="O611" i="1" s="1"/>
  <c r="R610" i="1"/>
  <c r="M826" i="1"/>
  <c r="L827" i="1" s="1"/>
  <c r="S570" i="1"/>
  <c r="T570" i="1"/>
  <c r="U570" i="1" s="1"/>
  <c r="T609" i="1"/>
  <c r="U609" i="1" s="1"/>
  <c r="P687" i="1"/>
  <c r="O688" i="1" s="1"/>
  <c r="R687" i="1"/>
  <c r="R571" i="1"/>
  <c r="P571" i="1"/>
  <c r="O572" i="1" s="1"/>
  <c r="M646" i="1"/>
  <c r="L647" i="1" s="1"/>
  <c r="Q686" i="1"/>
  <c r="T860" i="1"/>
  <c r="U860" i="1" s="1"/>
  <c r="S860" i="1"/>
  <c r="R828" i="1"/>
  <c r="P828" i="1"/>
  <c r="O829" i="1" s="1"/>
  <c r="M609" i="1"/>
  <c r="L610" i="1" s="1"/>
  <c r="R647" i="1"/>
  <c r="P647" i="1"/>
  <c r="O648" i="1" s="1"/>
  <c r="N645" i="1"/>
  <c r="M572" i="1"/>
  <c r="L573" i="1" s="1"/>
  <c r="R861" i="1"/>
  <c r="P861" i="1"/>
  <c r="O862" i="1" s="1"/>
  <c r="Q827" i="1"/>
  <c r="N608" i="1"/>
  <c r="M686" i="1"/>
  <c r="L687" i="1" s="1"/>
  <c r="Q715" i="1"/>
  <c r="N685" i="1"/>
  <c r="R789" i="1"/>
  <c r="P789" i="1"/>
  <c r="O790" i="1" s="1"/>
  <c r="R716" i="1"/>
  <c r="P716" i="1"/>
  <c r="O717" i="1" s="1"/>
  <c r="M790" i="1"/>
  <c r="L791" i="1" s="1"/>
  <c r="Q788" i="1"/>
  <c r="Q646" i="1"/>
  <c r="N789" i="1"/>
  <c r="N571" i="1"/>
  <c r="R534" i="1"/>
  <c r="P534" i="1"/>
  <c r="O535" i="1" s="1"/>
  <c r="S826" i="1"/>
  <c r="Q533" i="1"/>
  <c r="M717" i="1"/>
  <c r="L718" i="1" s="1"/>
  <c r="M535" i="1"/>
  <c r="L536" i="1" s="1"/>
  <c r="T645" i="1"/>
  <c r="U645" i="1" s="1"/>
  <c r="S645" i="1"/>
  <c r="M862" i="1"/>
  <c r="L863" i="1" s="1"/>
  <c r="N716" i="1"/>
  <c r="N752" i="1"/>
  <c r="T608" i="1"/>
  <c r="U608" i="1" s="1"/>
  <c r="S608" i="1"/>
  <c r="N861" i="1"/>
  <c r="S685" i="1"/>
  <c r="T685" i="1"/>
  <c r="U685" i="1" s="1"/>
  <c r="O335" i="1"/>
  <c r="M334" i="1"/>
  <c r="S457" i="1"/>
  <c r="T457" i="1" s="1"/>
  <c r="S334" i="1"/>
  <c r="T334" i="1" s="1"/>
  <c r="R254" i="1"/>
  <c r="P254" i="1"/>
  <c r="L254" i="1"/>
  <c r="S294" i="1"/>
  <c r="T294" i="1" s="1"/>
  <c r="L376" i="1"/>
  <c r="R376" i="1"/>
  <c r="P376" i="1"/>
  <c r="Q376" i="1" s="1"/>
  <c r="N376" i="1" s="1"/>
  <c r="L213" i="1"/>
  <c r="P4" i="1"/>
  <c r="O5" i="1" s="1"/>
  <c r="R4" i="1"/>
  <c r="O295" i="1"/>
  <c r="M294" i="1"/>
  <c r="O417" i="1"/>
  <c r="M416" i="1"/>
  <c r="M86" i="1"/>
  <c r="O87" i="1"/>
  <c r="Q416" i="1"/>
  <c r="N416" i="1" s="1"/>
  <c r="O458" i="1"/>
  <c r="M457" i="1"/>
  <c r="S88" i="1"/>
  <c r="R89" i="1" s="1"/>
  <c r="Q3" i="1"/>
  <c r="Q86" i="1"/>
  <c r="N86" i="1" s="1"/>
  <c r="P130" i="1"/>
  <c r="L130" i="1"/>
  <c r="R130" i="1"/>
  <c r="S416" i="1"/>
  <c r="T416" i="1" s="1"/>
  <c r="R45" i="1"/>
  <c r="P45" i="1"/>
  <c r="Q45" i="1" s="1"/>
  <c r="N45" i="1" s="1"/>
  <c r="L45" i="1"/>
  <c r="T87" i="1"/>
  <c r="O172" i="1"/>
  <c r="M171" i="1"/>
  <c r="N3" i="1"/>
  <c r="M4" i="1"/>
  <c r="L5" i="1" s="1"/>
  <c r="R497" i="1"/>
  <c r="P497" i="1"/>
  <c r="L497" i="1"/>
  <c r="Q457" i="1"/>
  <c r="N457" i="1" s="1"/>
  <c r="S171" i="1"/>
  <c r="T171" i="1" s="1"/>
  <c r="P1128" i="1" l="1"/>
  <c r="O1129" i="1" s="1"/>
  <c r="M1197" i="1"/>
  <c r="L1198" i="1" s="1"/>
  <c r="Q1198" i="1"/>
  <c r="N1196" i="1"/>
  <c r="P1199" i="1"/>
  <c r="O1200" i="1" s="1"/>
  <c r="Q1160" i="1"/>
  <c r="P1272" i="1"/>
  <c r="O1273" i="1" s="1"/>
  <c r="Q1271" i="1"/>
  <c r="P1161" i="1"/>
  <c r="O1162" i="1" s="1"/>
  <c r="Q1161" i="1"/>
  <c r="N1234" i="1"/>
  <c r="Q1127" i="1"/>
  <c r="S1272" i="1"/>
  <c r="R1273" i="1" s="1"/>
  <c r="M1235" i="1"/>
  <c r="L1236" i="1" s="1"/>
  <c r="M1159" i="1"/>
  <c r="L1160" i="1" s="1"/>
  <c r="T1271" i="1"/>
  <c r="U1271" i="1" s="1"/>
  <c r="N1129" i="1"/>
  <c r="M1129" i="1"/>
  <c r="L1130" i="1" s="1"/>
  <c r="M1272" i="1"/>
  <c r="L1273" i="1" s="1"/>
  <c r="N1272" i="1"/>
  <c r="N1158" i="1"/>
  <c r="P1235" i="1"/>
  <c r="O1236" i="1" s="1"/>
  <c r="Q1235" i="1"/>
  <c r="N1128" i="1"/>
  <c r="N1271" i="1"/>
  <c r="Q1059" i="1"/>
  <c r="Q4" i="1"/>
  <c r="P213" i="1"/>
  <c r="Q213" i="1" s="1"/>
  <c r="N213" i="1" s="1"/>
  <c r="S751" i="1"/>
  <c r="Q1060" i="1"/>
  <c r="N1096" i="1"/>
  <c r="M995" i="1"/>
  <c r="L996" i="1" s="1"/>
  <c r="P1062" i="1"/>
  <c r="O1063" i="1" s="1"/>
  <c r="R1091" i="1"/>
  <c r="P1091" i="1"/>
  <c r="P964" i="1"/>
  <c r="O965" i="1" s="1"/>
  <c r="Q963" i="1"/>
  <c r="P996" i="1"/>
  <c r="O997" i="1" s="1"/>
  <c r="M931" i="1"/>
  <c r="L932" i="1" s="1"/>
  <c r="M963" i="1"/>
  <c r="L964" i="1" s="1"/>
  <c r="N962" i="1"/>
  <c r="M1061" i="1"/>
  <c r="L1062" i="1" s="1"/>
  <c r="N930" i="1"/>
  <c r="P930" i="1"/>
  <c r="O931" i="1" s="1"/>
  <c r="Q929" i="1"/>
  <c r="N1027" i="1"/>
  <c r="P1028" i="1"/>
  <c r="O1029" i="1" s="1"/>
  <c r="N1060" i="1"/>
  <c r="P900" i="1"/>
  <c r="O901" i="1" s="1"/>
  <c r="M898" i="1"/>
  <c r="L899" i="1" s="1"/>
  <c r="N994" i="1"/>
  <c r="M1028" i="1"/>
  <c r="L1029" i="1" s="1"/>
  <c r="Q1061" i="1"/>
  <c r="Q1027" i="1"/>
  <c r="M1097" i="1"/>
  <c r="L1098" i="1" s="1"/>
  <c r="Q899" i="1"/>
  <c r="N897" i="1"/>
  <c r="N4" i="1"/>
  <c r="R753" i="1"/>
  <c r="P753" i="1"/>
  <c r="O754" i="1" s="1"/>
  <c r="N753" i="1"/>
  <c r="Q752" i="1"/>
  <c r="N862" i="1"/>
  <c r="M647" i="1"/>
  <c r="L648" i="1" s="1"/>
  <c r="M573" i="1"/>
  <c r="L574" i="1" s="1"/>
  <c r="Q789" i="1"/>
  <c r="N646" i="1"/>
  <c r="M718" i="1"/>
  <c r="L719" i="1" s="1"/>
  <c r="T646" i="1"/>
  <c r="U646" i="1" s="1"/>
  <c r="S646" i="1"/>
  <c r="M687" i="1"/>
  <c r="L688" i="1" s="1"/>
  <c r="Q571" i="1"/>
  <c r="R535" i="1"/>
  <c r="P535" i="1"/>
  <c r="O536" i="1" s="1"/>
  <c r="M536" i="1"/>
  <c r="L537" i="1" s="1"/>
  <c r="Q647" i="1"/>
  <c r="N717" i="1"/>
  <c r="S788" i="1"/>
  <c r="T788" i="1"/>
  <c r="U788" i="1" s="1"/>
  <c r="N686" i="1"/>
  <c r="M610" i="1"/>
  <c r="L611" i="1" s="1"/>
  <c r="P790" i="1"/>
  <c r="O791" i="1" s="1"/>
  <c r="R790" i="1"/>
  <c r="Q534" i="1"/>
  <c r="R648" i="1"/>
  <c r="P648" i="1"/>
  <c r="O649" i="1" s="1"/>
  <c r="S715" i="1"/>
  <c r="T715" i="1"/>
  <c r="U715" i="1" s="1"/>
  <c r="T533" i="1"/>
  <c r="U533" i="1" s="1"/>
  <c r="S533" i="1"/>
  <c r="M791" i="1"/>
  <c r="L792" i="1" s="1"/>
  <c r="N609" i="1"/>
  <c r="R611" i="1"/>
  <c r="P611" i="1"/>
  <c r="O612" i="1" s="1"/>
  <c r="M863" i="1"/>
  <c r="L864" i="1" s="1"/>
  <c r="N572" i="1"/>
  <c r="N826" i="1"/>
  <c r="N790" i="1"/>
  <c r="T827" i="1"/>
  <c r="U827" i="1" s="1"/>
  <c r="S827" i="1"/>
  <c r="R829" i="1"/>
  <c r="P829" i="1"/>
  <c r="O830" i="1" s="1"/>
  <c r="R688" i="1"/>
  <c r="P688" i="1"/>
  <c r="O689" i="1" s="1"/>
  <c r="Q610" i="1"/>
  <c r="P572" i="1"/>
  <c r="O573" i="1" s="1"/>
  <c r="R572" i="1"/>
  <c r="P717" i="1"/>
  <c r="O718" i="1" s="1"/>
  <c r="R717" i="1"/>
  <c r="R862" i="1"/>
  <c r="P862" i="1"/>
  <c r="O863" i="1" s="1"/>
  <c r="Q828" i="1"/>
  <c r="Q687" i="1"/>
  <c r="T686" i="1"/>
  <c r="U686" i="1" s="1"/>
  <c r="S686" i="1"/>
  <c r="M827" i="1"/>
  <c r="L828" i="1" s="1"/>
  <c r="N535" i="1"/>
  <c r="Q716" i="1"/>
  <c r="Q861" i="1"/>
  <c r="M754" i="1"/>
  <c r="L755" i="1" s="1"/>
  <c r="L295" i="1"/>
  <c r="R295" i="1"/>
  <c r="P295" i="1"/>
  <c r="Q295" i="1" s="1"/>
  <c r="N295" i="1" s="1"/>
  <c r="S4" i="1"/>
  <c r="T4" i="1"/>
  <c r="O46" i="1"/>
  <c r="M45" i="1"/>
  <c r="O498" i="1"/>
  <c r="M497" i="1"/>
  <c r="S497" i="1"/>
  <c r="T497" i="1" s="1"/>
  <c r="P87" i="1"/>
  <c r="L87" i="1"/>
  <c r="S213" i="1"/>
  <c r="T213" i="1" s="1"/>
  <c r="T3" i="1"/>
  <c r="S3" i="1"/>
  <c r="S89" i="1"/>
  <c r="R90" i="1" s="1"/>
  <c r="T88" i="1"/>
  <c r="M213" i="1"/>
  <c r="O214" i="1"/>
  <c r="S130" i="1"/>
  <c r="T130" i="1" s="1"/>
  <c r="O377" i="1"/>
  <c r="M376" i="1"/>
  <c r="R5" i="1"/>
  <c r="P5" i="1"/>
  <c r="O6" i="1" s="1"/>
  <c r="S45" i="1"/>
  <c r="T45" i="1" s="1"/>
  <c r="O255" i="1"/>
  <c r="M254" i="1"/>
  <c r="Q254" i="1"/>
  <c r="N254" i="1" s="1"/>
  <c r="R458" i="1"/>
  <c r="P458" i="1"/>
  <c r="Q458" i="1" s="1"/>
  <c r="N458" i="1" s="1"/>
  <c r="L458" i="1"/>
  <c r="M130" i="1"/>
  <c r="O131" i="1"/>
  <c r="R417" i="1"/>
  <c r="P417" i="1"/>
  <c r="Q417" i="1" s="1"/>
  <c r="N417" i="1" s="1"/>
  <c r="L417" i="1"/>
  <c r="S376" i="1"/>
  <c r="T376" i="1" s="1"/>
  <c r="R172" i="1"/>
  <c r="P172" i="1"/>
  <c r="L172" i="1"/>
  <c r="S254" i="1"/>
  <c r="T254" i="1" s="1"/>
  <c r="Q497" i="1"/>
  <c r="N497" i="1" s="1"/>
  <c r="M5" i="1"/>
  <c r="L6" i="1" s="1"/>
  <c r="Q130" i="1"/>
  <c r="N130" i="1" s="1"/>
  <c r="R335" i="1"/>
  <c r="P335" i="1"/>
  <c r="Q335" i="1" s="1"/>
  <c r="N335" i="1" s="1"/>
  <c r="L335" i="1"/>
  <c r="P1273" i="1" l="1"/>
  <c r="O1274" i="1" s="1"/>
  <c r="Q1272" i="1"/>
  <c r="N1159" i="1"/>
  <c r="P1236" i="1"/>
  <c r="O1237" i="1" s="1"/>
  <c r="N1197" i="1"/>
  <c r="P1200" i="1"/>
  <c r="O1201" i="1" s="1"/>
  <c r="N1235" i="1"/>
  <c r="S1273" i="1"/>
  <c r="R1274" i="1" s="1"/>
  <c r="M1273" i="1"/>
  <c r="L1274" i="1" s="1"/>
  <c r="P1129" i="1"/>
  <c r="O1130" i="1" s="1"/>
  <c r="M1160" i="1"/>
  <c r="L1161" i="1" s="1"/>
  <c r="M1236" i="1"/>
  <c r="L1237" i="1" s="1"/>
  <c r="Q1199" i="1"/>
  <c r="T1272" i="1"/>
  <c r="U1272" i="1" s="1"/>
  <c r="M1198" i="1"/>
  <c r="L1199" i="1" s="1"/>
  <c r="M1130" i="1"/>
  <c r="L1131" i="1" s="1"/>
  <c r="P1162" i="1"/>
  <c r="O1163" i="1" s="1"/>
  <c r="Q1128" i="1"/>
  <c r="N647" i="1"/>
  <c r="N1061" i="1"/>
  <c r="Q5" i="1"/>
  <c r="N898" i="1"/>
  <c r="Q996" i="1"/>
  <c r="N1028" i="1"/>
  <c r="P997" i="1"/>
  <c r="O998" i="1" s="1"/>
  <c r="P965" i="1"/>
  <c r="O966" i="1" s="1"/>
  <c r="S1091" i="1"/>
  <c r="O1092" i="1"/>
  <c r="M899" i="1"/>
  <c r="L900" i="1" s="1"/>
  <c r="N899" i="1"/>
  <c r="Q1091" i="1"/>
  <c r="Q900" i="1"/>
  <c r="M964" i="1"/>
  <c r="L965" i="1" s="1"/>
  <c r="P1063" i="1"/>
  <c r="O1064" i="1" s="1"/>
  <c r="Q930" i="1"/>
  <c r="Q964" i="1"/>
  <c r="M1062" i="1"/>
  <c r="L1063" i="1" s="1"/>
  <c r="P901" i="1"/>
  <c r="O902" i="1" s="1"/>
  <c r="N963" i="1"/>
  <c r="Q1062" i="1"/>
  <c r="M1029" i="1"/>
  <c r="L1030" i="1" s="1"/>
  <c r="M1098" i="1"/>
  <c r="L1099" i="1" s="1"/>
  <c r="P1029" i="1"/>
  <c r="O1030" i="1" s="1"/>
  <c r="M932" i="1"/>
  <c r="L933" i="1" s="1"/>
  <c r="M996" i="1"/>
  <c r="L997" i="1" s="1"/>
  <c r="P931" i="1"/>
  <c r="O932" i="1" s="1"/>
  <c r="N1097" i="1"/>
  <c r="Q1028" i="1"/>
  <c r="N931" i="1"/>
  <c r="N995" i="1"/>
  <c r="N610" i="1"/>
  <c r="N791" i="1"/>
  <c r="Q753" i="1"/>
  <c r="T753" i="1" s="1"/>
  <c r="U753" i="1" s="1"/>
  <c r="S753" i="1"/>
  <c r="R754" i="1"/>
  <c r="P754" i="1"/>
  <c r="O755" i="1" s="1"/>
  <c r="Q688" i="1"/>
  <c r="T688" i="1" s="1"/>
  <c r="U688" i="1" s="1"/>
  <c r="T752" i="1"/>
  <c r="U752" i="1" s="1"/>
  <c r="S752" i="1"/>
  <c r="T828" i="1"/>
  <c r="U828" i="1" s="1"/>
  <c r="S828" i="1"/>
  <c r="P649" i="1"/>
  <c r="O650" i="1" s="1"/>
  <c r="R649" i="1"/>
  <c r="N718" i="1"/>
  <c r="M719" i="1"/>
  <c r="L720" i="1" s="1"/>
  <c r="T647" i="1"/>
  <c r="U647" i="1" s="1"/>
  <c r="S647" i="1"/>
  <c r="P791" i="1"/>
  <c r="O792" i="1" s="1"/>
  <c r="R791" i="1"/>
  <c r="Q862" i="1"/>
  <c r="T534" i="1"/>
  <c r="U534" i="1" s="1"/>
  <c r="S534" i="1"/>
  <c r="P573" i="1"/>
  <c r="O574" i="1" s="1"/>
  <c r="R573" i="1"/>
  <c r="S571" i="1"/>
  <c r="T571" i="1"/>
  <c r="U571" i="1" s="1"/>
  <c r="M648" i="1"/>
  <c r="L649" i="1" s="1"/>
  <c r="R863" i="1"/>
  <c r="P863" i="1"/>
  <c r="O864" i="1" s="1"/>
  <c r="M755" i="1"/>
  <c r="L756" i="1" s="1"/>
  <c r="Q648" i="1"/>
  <c r="P612" i="1"/>
  <c r="O613" i="1" s="1"/>
  <c r="R612" i="1"/>
  <c r="M574" i="1"/>
  <c r="L575" i="1" s="1"/>
  <c r="Q535" i="1"/>
  <c r="M688" i="1"/>
  <c r="L689" i="1" s="1"/>
  <c r="P830" i="1"/>
  <c r="O831" i="1" s="1"/>
  <c r="R830" i="1"/>
  <c r="N754" i="1"/>
  <c r="M537" i="1"/>
  <c r="L538" i="1" s="1"/>
  <c r="T861" i="1"/>
  <c r="U861" i="1" s="1"/>
  <c r="S861" i="1"/>
  <c r="T789" i="1"/>
  <c r="U789" i="1" s="1"/>
  <c r="S789" i="1"/>
  <c r="T716" i="1"/>
  <c r="U716" i="1" s="1"/>
  <c r="S716" i="1"/>
  <c r="R536" i="1"/>
  <c r="P536" i="1"/>
  <c r="O537" i="1" s="1"/>
  <c r="M828" i="1"/>
  <c r="L829" i="1" s="1"/>
  <c r="N827" i="1"/>
  <c r="Q572" i="1"/>
  <c r="T610" i="1"/>
  <c r="U610" i="1" s="1"/>
  <c r="S610" i="1"/>
  <c r="N687" i="1"/>
  <c r="M864" i="1"/>
  <c r="L865" i="1" s="1"/>
  <c r="N863" i="1"/>
  <c r="Q829" i="1"/>
  <c r="Q611" i="1"/>
  <c r="N536" i="1"/>
  <c r="R718" i="1"/>
  <c r="P718" i="1"/>
  <c r="O719" i="1" s="1"/>
  <c r="Q790" i="1"/>
  <c r="Q717" i="1"/>
  <c r="N573" i="1"/>
  <c r="M792" i="1"/>
  <c r="L793" i="1" s="1"/>
  <c r="M611" i="1"/>
  <c r="L612" i="1" s="1"/>
  <c r="T687" i="1"/>
  <c r="U687" i="1" s="1"/>
  <c r="S687" i="1"/>
  <c r="P689" i="1"/>
  <c r="O690" i="1" s="1"/>
  <c r="R689" i="1"/>
  <c r="Q689" i="1"/>
  <c r="P255" i="1"/>
  <c r="R255" i="1"/>
  <c r="L255" i="1"/>
  <c r="M6" i="1"/>
  <c r="L7" i="1" s="1"/>
  <c r="T89" i="1"/>
  <c r="S417" i="1"/>
  <c r="T417" i="1" s="1"/>
  <c r="L46" i="1"/>
  <c r="P46" i="1"/>
  <c r="R46" i="1"/>
  <c r="L131" i="1"/>
  <c r="P131" i="1"/>
  <c r="Q131" i="1" s="1"/>
  <c r="N131" i="1" s="1"/>
  <c r="R131" i="1"/>
  <c r="R214" i="1"/>
  <c r="P214" i="1"/>
  <c r="L214" i="1"/>
  <c r="S335" i="1"/>
  <c r="T335" i="1" s="1"/>
  <c r="S90" i="1"/>
  <c r="R91" i="1" s="1"/>
  <c r="N5" i="1"/>
  <c r="R6" i="1"/>
  <c r="P6" i="1"/>
  <c r="O7" i="1" s="1"/>
  <c r="O173" i="1"/>
  <c r="M172" i="1"/>
  <c r="P377" i="1"/>
  <c r="Q377" i="1" s="1"/>
  <c r="N377" i="1" s="1"/>
  <c r="L377" i="1"/>
  <c r="R377" i="1"/>
  <c r="Q172" i="1"/>
  <c r="N172" i="1" s="1"/>
  <c r="O88" i="1"/>
  <c r="M87" i="1"/>
  <c r="S295" i="1"/>
  <c r="T295" i="1" s="1"/>
  <c r="O418" i="1"/>
  <c r="M417" i="1"/>
  <c r="L498" i="1"/>
  <c r="P498" i="1"/>
  <c r="Q498" i="1"/>
  <c r="N498" i="1" s="1"/>
  <c r="R498" i="1"/>
  <c r="T5" i="1"/>
  <c r="S5" i="1"/>
  <c r="O296" i="1"/>
  <c r="M295" i="1"/>
  <c r="O459" i="1"/>
  <c r="M458" i="1"/>
  <c r="O336" i="1"/>
  <c r="M335" i="1"/>
  <c r="S172" i="1"/>
  <c r="T172" i="1" s="1"/>
  <c r="S458" i="1"/>
  <c r="T458" i="1" s="1"/>
  <c r="Q87" i="1"/>
  <c r="N87" i="1" s="1"/>
  <c r="M1199" i="1" l="1"/>
  <c r="L1200" i="1" s="1"/>
  <c r="T1273" i="1"/>
  <c r="U1273" i="1" s="1"/>
  <c r="S1274" i="1"/>
  <c r="R1275" i="1" s="1"/>
  <c r="P1237" i="1"/>
  <c r="O1238" i="1" s="1"/>
  <c r="Q1237" i="1"/>
  <c r="N1160" i="1"/>
  <c r="Q1236" i="1"/>
  <c r="P1130" i="1"/>
  <c r="O1131" i="1" s="1"/>
  <c r="Q1200" i="1"/>
  <c r="M1161" i="1"/>
  <c r="L1162" i="1" s="1"/>
  <c r="Q1162" i="1"/>
  <c r="Q1129" i="1"/>
  <c r="P1201" i="1"/>
  <c r="O1202" i="1" s="1"/>
  <c r="P1163" i="1"/>
  <c r="O1164" i="1" s="1"/>
  <c r="M1131" i="1"/>
  <c r="L1132" i="1" s="1"/>
  <c r="N1131" i="1"/>
  <c r="M1274" i="1"/>
  <c r="L1275" i="1" s="1"/>
  <c r="P1274" i="1"/>
  <c r="O1275" i="1" s="1"/>
  <c r="N1198" i="1"/>
  <c r="M1237" i="1"/>
  <c r="L1238" i="1" s="1"/>
  <c r="N1237" i="1"/>
  <c r="N1236" i="1"/>
  <c r="N1130" i="1"/>
  <c r="N1273" i="1"/>
  <c r="Q1273" i="1"/>
  <c r="N537" i="1"/>
  <c r="Q830" i="1"/>
  <c r="N648" i="1"/>
  <c r="Q1029" i="1"/>
  <c r="Q754" i="1"/>
  <c r="T754" i="1" s="1"/>
  <c r="U754" i="1" s="1"/>
  <c r="N964" i="1"/>
  <c r="N1029" i="1"/>
  <c r="M997" i="1"/>
  <c r="L998" i="1" s="1"/>
  <c r="Q901" i="1"/>
  <c r="R1092" i="1"/>
  <c r="P1092" i="1"/>
  <c r="N1062" i="1"/>
  <c r="Q965" i="1"/>
  <c r="P932" i="1"/>
  <c r="O933" i="1" s="1"/>
  <c r="Q931" i="1"/>
  <c r="N996" i="1"/>
  <c r="M1063" i="1"/>
  <c r="L1064" i="1" s="1"/>
  <c r="M1099" i="1"/>
  <c r="L1100" i="1" s="1"/>
  <c r="P1064" i="1"/>
  <c r="O1065" i="1" s="1"/>
  <c r="P998" i="1"/>
  <c r="O999" i="1" s="1"/>
  <c r="M933" i="1"/>
  <c r="L934" i="1" s="1"/>
  <c r="N1098" i="1"/>
  <c r="Q1063" i="1"/>
  <c r="Q997" i="1"/>
  <c r="P902" i="1"/>
  <c r="O903" i="1" s="1"/>
  <c r="M900" i="1"/>
  <c r="L901" i="1" s="1"/>
  <c r="N932" i="1"/>
  <c r="P966" i="1"/>
  <c r="O967" i="1" s="1"/>
  <c r="P1030" i="1"/>
  <c r="O1031" i="1" s="1"/>
  <c r="M1030" i="1"/>
  <c r="L1031" i="1" s="1"/>
  <c r="M965" i="1"/>
  <c r="L966" i="1" s="1"/>
  <c r="Q612" i="1"/>
  <c r="T612" i="1" s="1"/>
  <c r="U612" i="1" s="1"/>
  <c r="N611" i="1"/>
  <c r="N864" i="1"/>
  <c r="Q573" i="1"/>
  <c r="S573" i="1" s="1"/>
  <c r="S688" i="1"/>
  <c r="R755" i="1"/>
  <c r="P755" i="1"/>
  <c r="O756" i="1" s="1"/>
  <c r="N688" i="1"/>
  <c r="Q718" i="1"/>
  <c r="S718" i="1" s="1"/>
  <c r="N574" i="1"/>
  <c r="R719" i="1"/>
  <c r="P719" i="1"/>
  <c r="O720" i="1" s="1"/>
  <c r="Q791" i="1"/>
  <c r="T572" i="1"/>
  <c r="U572" i="1" s="1"/>
  <c r="S572" i="1"/>
  <c r="T611" i="1"/>
  <c r="U611" i="1" s="1"/>
  <c r="S611" i="1"/>
  <c r="M720" i="1"/>
  <c r="L721" i="1" s="1"/>
  <c r="N828" i="1"/>
  <c r="M612" i="1"/>
  <c r="L613" i="1" s="1"/>
  <c r="S830" i="1"/>
  <c r="T830" i="1"/>
  <c r="U830" i="1" s="1"/>
  <c r="P574" i="1"/>
  <c r="O575" i="1" s="1"/>
  <c r="R574" i="1"/>
  <c r="Q574" i="1"/>
  <c r="N792" i="1"/>
  <c r="R650" i="1"/>
  <c r="P650" i="1"/>
  <c r="O651" i="1" s="1"/>
  <c r="N755" i="1"/>
  <c r="Q649" i="1"/>
  <c r="R792" i="1"/>
  <c r="P792" i="1"/>
  <c r="O793" i="1" s="1"/>
  <c r="T535" i="1"/>
  <c r="U535" i="1" s="1"/>
  <c r="S535" i="1"/>
  <c r="R690" i="1"/>
  <c r="P690" i="1"/>
  <c r="O691" i="1" s="1"/>
  <c r="M829" i="1"/>
  <c r="L830" i="1" s="1"/>
  <c r="N829" i="1"/>
  <c r="T829" i="1"/>
  <c r="U829" i="1" s="1"/>
  <c r="S829" i="1"/>
  <c r="N719" i="1"/>
  <c r="P613" i="1"/>
  <c r="O614" i="1" s="1"/>
  <c r="R613" i="1"/>
  <c r="M793" i="1"/>
  <c r="L794" i="1" s="1"/>
  <c r="R831" i="1"/>
  <c r="P831" i="1"/>
  <c r="O832" i="1" s="1"/>
  <c r="T717" i="1"/>
  <c r="U717" i="1" s="1"/>
  <c r="S717" i="1"/>
  <c r="R864" i="1"/>
  <c r="P864" i="1"/>
  <c r="O865" i="1" s="1"/>
  <c r="S862" i="1"/>
  <c r="T862" i="1"/>
  <c r="U862" i="1" s="1"/>
  <c r="T689" i="1"/>
  <c r="U689" i="1" s="1"/>
  <c r="S689" i="1"/>
  <c r="M649" i="1"/>
  <c r="L650" i="1" s="1"/>
  <c r="M575" i="1"/>
  <c r="L576" i="1" s="1"/>
  <c r="M538" i="1"/>
  <c r="L539" i="1" s="1"/>
  <c r="R537" i="1"/>
  <c r="P537" i="1"/>
  <c r="O538" i="1" s="1"/>
  <c r="Q536" i="1"/>
  <c r="T648" i="1"/>
  <c r="U648" i="1" s="1"/>
  <c r="S648" i="1"/>
  <c r="M865" i="1"/>
  <c r="L866" i="1" s="1"/>
  <c r="M756" i="1"/>
  <c r="L757" i="1" s="1"/>
  <c r="T790" i="1"/>
  <c r="U790" i="1" s="1"/>
  <c r="S790" i="1"/>
  <c r="M689" i="1"/>
  <c r="L690" i="1" s="1"/>
  <c r="Q863" i="1"/>
  <c r="T90" i="1"/>
  <c r="S498" i="1"/>
  <c r="T498" i="1" s="1"/>
  <c r="O215" i="1"/>
  <c r="M214" i="1"/>
  <c r="R173" i="1"/>
  <c r="P173" i="1"/>
  <c r="L173" i="1"/>
  <c r="R7" i="1"/>
  <c r="P7" i="1"/>
  <c r="O8" i="1" s="1"/>
  <c r="S46" i="1"/>
  <c r="T46" i="1" s="1"/>
  <c r="M377" i="1"/>
  <c r="O378" i="1"/>
  <c r="Q214" i="1"/>
  <c r="N214" i="1" s="1"/>
  <c r="M7" i="1"/>
  <c r="L8" i="1" s="1"/>
  <c r="R418" i="1"/>
  <c r="P418" i="1"/>
  <c r="Q418" i="1" s="1"/>
  <c r="N418" i="1" s="1"/>
  <c r="L418" i="1"/>
  <c r="N6" i="1"/>
  <c r="Q6" i="1"/>
  <c r="O132" i="1"/>
  <c r="M131" i="1"/>
  <c r="O256" i="1"/>
  <c r="M255" i="1"/>
  <c r="M46" i="1"/>
  <c r="O47" i="1"/>
  <c r="S377" i="1"/>
  <c r="T377" i="1" s="1"/>
  <c r="M498" i="1"/>
  <c r="O499" i="1"/>
  <c r="S214" i="1"/>
  <c r="T214" i="1" s="1"/>
  <c r="R336" i="1"/>
  <c r="L336" i="1"/>
  <c r="P336" i="1"/>
  <c r="Q336" i="1" s="1"/>
  <c r="N336" i="1" s="1"/>
  <c r="S131" i="1"/>
  <c r="T131" i="1" s="1"/>
  <c r="L459" i="1"/>
  <c r="R459" i="1"/>
  <c r="P459" i="1"/>
  <c r="S255" i="1"/>
  <c r="T255" i="1"/>
  <c r="R296" i="1"/>
  <c r="P296" i="1"/>
  <c r="L296" i="1"/>
  <c r="P88" i="1"/>
  <c r="Q88" i="1" s="1"/>
  <c r="N88" i="1" s="1"/>
  <c r="L88" i="1"/>
  <c r="S91" i="1"/>
  <c r="R92" i="1" s="1"/>
  <c r="Q46" i="1"/>
  <c r="N46" i="1" s="1"/>
  <c r="Q255" i="1"/>
  <c r="N255" i="1" s="1"/>
  <c r="M1275" i="1" l="1"/>
  <c r="L1276" i="1" s="1"/>
  <c r="N1275" i="1"/>
  <c r="Q1130" i="1"/>
  <c r="Q1201" i="1"/>
  <c r="P1164" i="1"/>
  <c r="O1165" i="1" s="1"/>
  <c r="Q1163" i="1"/>
  <c r="P1238" i="1"/>
  <c r="O1239" i="1" s="1"/>
  <c r="M1238" i="1"/>
  <c r="L1239" i="1" s="1"/>
  <c r="Q1131" i="1"/>
  <c r="P1131" i="1"/>
  <c r="O1132" i="1" s="1"/>
  <c r="M1132" i="1"/>
  <c r="L1133" i="1" s="1"/>
  <c r="S1275" i="1"/>
  <c r="R1276" i="1" s="1"/>
  <c r="T1274" i="1"/>
  <c r="U1274" i="1" s="1"/>
  <c r="P1275" i="1"/>
  <c r="O1276" i="1" s="1"/>
  <c r="M1162" i="1"/>
  <c r="L1163" i="1" s="1"/>
  <c r="M1200" i="1"/>
  <c r="L1201" i="1" s="1"/>
  <c r="N1274" i="1"/>
  <c r="P1202" i="1"/>
  <c r="O1203" i="1" s="1"/>
  <c r="Q1202" i="1"/>
  <c r="Q1274" i="1"/>
  <c r="N1161" i="1"/>
  <c r="N1199" i="1"/>
  <c r="S612" i="1"/>
  <c r="S754" i="1"/>
  <c r="Q902" i="1"/>
  <c r="T573" i="1"/>
  <c r="U573" i="1" s="1"/>
  <c r="N720" i="1"/>
  <c r="Q966" i="1"/>
  <c r="N1030" i="1"/>
  <c r="P933" i="1"/>
  <c r="O934" i="1" s="1"/>
  <c r="Q1030" i="1"/>
  <c r="P967" i="1"/>
  <c r="O968" i="1" s="1"/>
  <c r="P1065" i="1"/>
  <c r="O1066" i="1" s="1"/>
  <c r="S1092" i="1"/>
  <c r="O1093" i="1"/>
  <c r="M1031" i="1"/>
  <c r="L1032" i="1" s="1"/>
  <c r="M934" i="1"/>
  <c r="L935" i="1" s="1"/>
  <c r="N933" i="1"/>
  <c r="P999" i="1"/>
  <c r="O1000" i="1" s="1"/>
  <c r="Q998" i="1"/>
  <c r="M901" i="1"/>
  <c r="L902" i="1" s="1"/>
  <c r="Q1064" i="1"/>
  <c r="Q1092" i="1"/>
  <c r="P1031" i="1"/>
  <c r="O1032" i="1" s="1"/>
  <c r="Q932" i="1"/>
  <c r="N900" i="1"/>
  <c r="N1099" i="1"/>
  <c r="M1100" i="1"/>
  <c r="L1101" i="1" s="1"/>
  <c r="M966" i="1"/>
  <c r="L967" i="1" s="1"/>
  <c r="P903" i="1"/>
  <c r="O904" i="1" s="1"/>
  <c r="M1064" i="1"/>
  <c r="L1065" i="1" s="1"/>
  <c r="M998" i="1"/>
  <c r="L999" i="1" s="1"/>
  <c r="N965" i="1"/>
  <c r="N1063" i="1"/>
  <c r="N997" i="1"/>
  <c r="T91" i="1"/>
  <c r="T718" i="1"/>
  <c r="U718" i="1" s="1"/>
  <c r="Q831" i="1"/>
  <c r="S831" i="1" s="1"/>
  <c r="Q755" i="1"/>
  <c r="R756" i="1"/>
  <c r="P756" i="1"/>
  <c r="O757" i="1" s="1"/>
  <c r="Q719" i="1"/>
  <c r="S791" i="1"/>
  <c r="T791" i="1"/>
  <c r="U791" i="1" s="1"/>
  <c r="T719" i="1"/>
  <c r="U719" i="1" s="1"/>
  <c r="S719" i="1"/>
  <c r="M794" i="1"/>
  <c r="L795" i="1" s="1"/>
  <c r="R538" i="1"/>
  <c r="P538" i="1"/>
  <c r="O539" i="1" s="1"/>
  <c r="M576" i="1"/>
  <c r="L577" i="1" s="1"/>
  <c r="M690" i="1"/>
  <c r="L691" i="1" s="1"/>
  <c r="N793" i="1"/>
  <c r="R793" i="1"/>
  <c r="P793" i="1"/>
  <c r="O794" i="1" s="1"/>
  <c r="P575" i="1"/>
  <c r="O576" i="1" s="1"/>
  <c r="R575" i="1"/>
  <c r="M539" i="1"/>
  <c r="L540" i="1" s="1"/>
  <c r="R720" i="1"/>
  <c r="P720" i="1"/>
  <c r="O721" i="1" s="1"/>
  <c r="N865" i="1"/>
  <c r="N575" i="1"/>
  <c r="R832" i="1"/>
  <c r="P832" i="1"/>
  <c r="O833" i="1" s="1"/>
  <c r="M830" i="1"/>
  <c r="L831" i="1" s="1"/>
  <c r="M721" i="1"/>
  <c r="L722" i="1" s="1"/>
  <c r="T574" i="1"/>
  <c r="U574" i="1" s="1"/>
  <c r="S574" i="1"/>
  <c r="R614" i="1"/>
  <c r="P614" i="1"/>
  <c r="O615" i="1" s="1"/>
  <c r="P865" i="1"/>
  <c r="O866" i="1" s="1"/>
  <c r="R865" i="1"/>
  <c r="Q792" i="1"/>
  <c r="N756" i="1"/>
  <c r="M866" i="1"/>
  <c r="L867" i="1" s="1"/>
  <c r="T863" i="1"/>
  <c r="U863" i="1" s="1"/>
  <c r="S863" i="1"/>
  <c r="M650" i="1"/>
  <c r="L651" i="1" s="1"/>
  <c r="R691" i="1"/>
  <c r="P691" i="1"/>
  <c r="O692" i="1" s="1"/>
  <c r="R651" i="1"/>
  <c r="P651" i="1"/>
  <c r="O652" i="1" s="1"/>
  <c r="S536" i="1"/>
  <c r="T536" i="1"/>
  <c r="U536" i="1" s="1"/>
  <c r="Q537" i="1"/>
  <c r="Q613" i="1"/>
  <c r="Q864" i="1"/>
  <c r="M757" i="1"/>
  <c r="L758" i="1" s="1"/>
  <c r="S649" i="1"/>
  <c r="T649" i="1"/>
  <c r="U649" i="1" s="1"/>
  <c r="N538" i="1"/>
  <c r="M613" i="1"/>
  <c r="L614" i="1" s="1"/>
  <c r="N612" i="1"/>
  <c r="N689" i="1"/>
  <c r="N649" i="1"/>
  <c r="Q690" i="1"/>
  <c r="Q650" i="1"/>
  <c r="R8" i="1"/>
  <c r="P8" i="1"/>
  <c r="O9" i="1" s="1"/>
  <c r="S459" i="1"/>
  <c r="T459" i="1" s="1"/>
  <c r="O174" i="1"/>
  <c r="M173" i="1"/>
  <c r="S173" i="1"/>
  <c r="T173" i="1" s="1"/>
  <c r="M296" i="1"/>
  <c r="O297" i="1"/>
  <c r="R378" i="1"/>
  <c r="P378" i="1"/>
  <c r="L378" i="1"/>
  <c r="R215" i="1"/>
  <c r="P215" i="1"/>
  <c r="L215" i="1"/>
  <c r="L499" i="1"/>
  <c r="P499" i="1"/>
  <c r="R499" i="1"/>
  <c r="Q7" i="1"/>
  <c r="M8" i="1"/>
  <c r="L9" i="1" s="1"/>
  <c r="Q173" i="1"/>
  <c r="N173" i="1" s="1"/>
  <c r="Q296" i="1"/>
  <c r="N296" i="1" s="1"/>
  <c r="T6" i="1"/>
  <c r="S6" i="1"/>
  <c r="M459" i="1"/>
  <c r="O460" i="1"/>
  <c r="Q459" i="1"/>
  <c r="N459" i="1" s="1"/>
  <c r="S92" i="1"/>
  <c r="R93" i="1" s="1"/>
  <c r="M418" i="1"/>
  <c r="O419" i="1"/>
  <c r="S418" i="1"/>
  <c r="T418" i="1" s="1"/>
  <c r="O89" i="1"/>
  <c r="M88" i="1"/>
  <c r="R47" i="1"/>
  <c r="L47" i="1"/>
  <c r="P47" i="1"/>
  <c r="N7" i="1"/>
  <c r="M336" i="1"/>
  <c r="O337" i="1"/>
  <c r="L256" i="1"/>
  <c r="P256" i="1"/>
  <c r="R256" i="1"/>
  <c r="Q256" i="1"/>
  <c r="N256" i="1" s="1"/>
  <c r="S296" i="1"/>
  <c r="T296" i="1" s="1"/>
  <c r="S336" i="1"/>
  <c r="T336" i="1" s="1"/>
  <c r="R132" i="1"/>
  <c r="P132" i="1"/>
  <c r="Q132" i="1" s="1"/>
  <c r="N132" i="1" s="1"/>
  <c r="L132" i="1"/>
  <c r="P1239" i="1" l="1"/>
  <c r="O1240" i="1" s="1"/>
  <c r="Q1275" i="1"/>
  <c r="M1163" i="1"/>
  <c r="L1164" i="1" s="1"/>
  <c r="P1276" i="1"/>
  <c r="O1277" i="1" s="1"/>
  <c r="P1165" i="1"/>
  <c r="O1166" i="1" s="1"/>
  <c r="N1200" i="1"/>
  <c r="N1238" i="1"/>
  <c r="T1276" i="1"/>
  <c r="U1276" i="1" s="1"/>
  <c r="S1276" i="1"/>
  <c r="R1277" i="1" s="1"/>
  <c r="Q1164" i="1"/>
  <c r="T1275" i="1"/>
  <c r="U1275" i="1" s="1"/>
  <c r="M1239" i="1"/>
  <c r="L1240" i="1" s="1"/>
  <c r="N1162" i="1"/>
  <c r="M1133" i="1"/>
  <c r="L1134" i="1" s="1"/>
  <c r="M1201" i="1"/>
  <c r="L1202" i="1" s="1"/>
  <c r="Q1238" i="1"/>
  <c r="P1203" i="1"/>
  <c r="O1204" i="1" s="1"/>
  <c r="N1132" i="1"/>
  <c r="Q1132" i="1"/>
  <c r="P1132" i="1"/>
  <c r="O1133" i="1" s="1"/>
  <c r="M1276" i="1"/>
  <c r="L1277" i="1" s="1"/>
  <c r="Q691" i="1"/>
  <c r="N966" i="1"/>
  <c r="Q933" i="1"/>
  <c r="T831" i="1"/>
  <c r="U831" i="1" s="1"/>
  <c r="N1100" i="1"/>
  <c r="N998" i="1"/>
  <c r="N830" i="1"/>
  <c r="Q967" i="1"/>
  <c r="M902" i="1"/>
  <c r="L903" i="1" s="1"/>
  <c r="M967" i="1"/>
  <c r="L968" i="1" s="1"/>
  <c r="P968" i="1"/>
  <c r="O969" i="1" s="1"/>
  <c r="Q968" i="1"/>
  <c r="P1032" i="1"/>
  <c r="O1033" i="1" s="1"/>
  <c r="Q1031" i="1"/>
  <c r="N1064" i="1"/>
  <c r="M1032" i="1"/>
  <c r="L1033" i="1" s="1"/>
  <c r="P1093" i="1"/>
  <c r="Q1093" i="1"/>
  <c r="R1093" i="1"/>
  <c r="Q903" i="1"/>
  <c r="M1065" i="1"/>
  <c r="L1066" i="1" s="1"/>
  <c r="P904" i="1"/>
  <c r="O905" i="1" s="1"/>
  <c r="N1031" i="1"/>
  <c r="P1066" i="1"/>
  <c r="O1067" i="1" s="1"/>
  <c r="N901" i="1"/>
  <c r="Q1065" i="1"/>
  <c r="P1000" i="1"/>
  <c r="O1001" i="1" s="1"/>
  <c r="M1101" i="1"/>
  <c r="L1102" i="1" s="1"/>
  <c r="Q999" i="1"/>
  <c r="M935" i="1"/>
  <c r="L936" i="1" s="1"/>
  <c r="P934" i="1"/>
  <c r="O935" i="1" s="1"/>
  <c r="M999" i="1"/>
  <c r="L1000" i="1" s="1"/>
  <c r="N934" i="1"/>
  <c r="Q756" i="1"/>
  <c r="R757" i="1"/>
  <c r="P757" i="1"/>
  <c r="O758" i="1" s="1"/>
  <c r="N690" i="1"/>
  <c r="T755" i="1"/>
  <c r="U755" i="1" s="1"/>
  <c r="S755" i="1"/>
  <c r="N721" i="1"/>
  <c r="N539" i="1"/>
  <c r="T691" i="1"/>
  <c r="U691" i="1" s="1"/>
  <c r="S691" i="1"/>
  <c r="M831" i="1"/>
  <c r="L832" i="1" s="1"/>
  <c r="S792" i="1"/>
  <c r="T792" i="1"/>
  <c r="U792" i="1" s="1"/>
  <c r="M577" i="1"/>
  <c r="L578" i="1" s="1"/>
  <c r="Q865" i="1"/>
  <c r="P539" i="1"/>
  <c r="O540" i="1" s="1"/>
  <c r="R539" i="1"/>
  <c r="S864" i="1"/>
  <c r="T864" i="1"/>
  <c r="U864" i="1" s="1"/>
  <c r="Q832" i="1"/>
  <c r="T690" i="1"/>
  <c r="U690" i="1" s="1"/>
  <c r="S690" i="1"/>
  <c r="Q614" i="1"/>
  <c r="Q575" i="1"/>
  <c r="N794" i="1"/>
  <c r="R652" i="1"/>
  <c r="P652" i="1"/>
  <c r="O653" i="1" s="1"/>
  <c r="Q720" i="1"/>
  <c r="P692" i="1"/>
  <c r="O693" i="1" s="1"/>
  <c r="R692" i="1"/>
  <c r="P866" i="1"/>
  <c r="O867" i="1" s="1"/>
  <c r="R866" i="1"/>
  <c r="T613" i="1"/>
  <c r="U613" i="1" s="1"/>
  <c r="S613" i="1"/>
  <c r="R576" i="1"/>
  <c r="P576" i="1"/>
  <c r="O577" i="1" s="1"/>
  <c r="T537" i="1"/>
  <c r="U537" i="1" s="1"/>
  <c r="S537" i="1"/>
  <c r="R721" i="1"/>
  <c r="P721" i="1"/>
  <c r="O722" i="1" s="1"/>
  <c r="Q793" i="1"/>
  <c r="M867" i="1"/>
  <c r="L868" i="1" s="1"/>
  <c r="N613" i="1"/>
  <c r="Q651" i="1"/>
  <c r="N866" i="1"/>
  <c r="M758" i="1"/>
  <c r="L759" i="1" s="1"/>
  <c r="N576" i="1"/>
  <c r="N757" i="1"/>
  <c r="R833" i="1"/>
  <c r="P833" i="1"/>
  <c r="O834" i="1" s="1"/>
  <c r="T650" i="1"/>
  <c r="U650" i="1" s="1"/>
  <c r="S650" i="1"/>
  <c r="R615" i="1"/>
  <c r="P615" i="1"/>
  <c r="O616" i="1" s="1"/>
  <c r="M651" i="1"/>
  <c r="L652" i="1" s="1"/>
  <c r="Q538" i="1"/>
  <c r="N650" i="1"/>
  <c r="M795" i="1"/>
  <c r="L796" i="1" s="1"/>
  <c r="R794" i="1"/>
  <c r="P794" i="1"/>
  <c r="O795" i="1" s="1"/>
  <c r="M614" i="1"/>
  <c r="L615" i="1" s="1"/>
  <c r="M722" i="1"/>
  <c r="L723" i="1" s="1"/>
  <c r="M540" i="1"/>
  <c r="L541" i="1" s="1"/>
  <c r="M691" i="1"/>
  <c r="L692" i="1" s="1"/>
  <c r="S378" i="1"/>
  <c r="T378" i="1" s="1"/>
  <c r="S499" i="1"/>
  <c r="T499" i="1" s="1"/>
  <c r="O133" i="1"/>
  <c r="M132" i="1"/>
  <c r="O500" i="1"/>
  <c r="M499" i="1"/>
  <c r="O48" i="1"/>
  <c r="M47" i="1"/>
  <c r="Q499" i="1"/>
  <c r="N499" i="1" s="1"/>
  <c r="S256" i="1"/>
  <c r="T256" i="1" s="1"/>
  <c r="R337" i="1"/>
  <c r="P337" i="1"/>
  <c r="Q337" i="1" s="1"/>
  <c r="N337" i="1" s="1"/>
  <c r="L337" i="1"/>
  <c r="R297" i="1"/>
  <c r="P297" i="1"/>
  <c r="L297" i="1"/>
  <c r="T92" i="1"/>
  <c r="S132" i="1"/>
  <c r="T132" i="1" s="1"/>
  <c r="S47" i="1"/>
  <c r="T47" i="1" s="1"/>
  <c r="M215" i="1"/>
  <c r="O216" i="1"/>
  <c r="S215" i="1"/>
  <c r="T215" i="1" s="1"/>
  <c r="S7" i="1"/>
  <c r="T7" i="1"/>
  <c r="S93" i="1"/>
  <c r="R94" i="1" s="1"/>
  <c r="R460" i="1"/>
  <c r="P460" i="1"/>
  <c r="Q460" i="1" s="1"/>
  <c r="N460" i="1" s="1"/>
  <c r="L460" i="1"/>
  <c r="Q47" i="1"/>
  <c r="N47" i="1" s="1"/>
  <c r="P174" i="1"/>
  <c r="R174" i="1"/>
  <c r="L174" i="1"/>
  <c r="Q215" i="1"/>
  <c r="N215" i="1" s="1"/>
  <c r="P89" i="1"/>
  <c r="L89" i="1"/>
  <c r="R9" i="1"/>
  <c r="P9" i="1"/>
  <c r="O10" i="1" s="1"/>
  <c r="O257" i="1"/>
  <c r="M256" i="1"/>
  <c r="M9" i="1"/>
  <c r="L10" i="1" s="1"/>
  <c r="M378" i="1"/>
  <c r="O379" i="1"/>
  <c r="Q8" i="1"/>
  <c r="L419" i="1"/>
  <c r="R419" i="1"/>
  <c r="P419" i="1"/>
  <c r="Q419" i="1" s="1"/>
  <c r="N419" i="1" s="1"/>
  <c r="N8" i="1"/>
  <c r="Q378" i="1"/>
  <c r="N378" i="1" s="1"/>
  <c r="P1204" i="1" l="1"/>
  <c r="O1205" i="1" s="1"/>
  <c r="M1202" i="1"/>
  <c r="L1203" i="1" s="1"/>
  <c r="Q1165" i="1"/>
  <c r="P1277" i="1"/>
  <c r="O1278" i="1" s="1"/>
  <c r="M1240" i="1"/>
  <c r="L1241" i="1" s="1"/>
  <c r="N1240" i="1"/>
  <c r="M1277" i="1"/>
  <c r="L1278" i="1" s="1"/>
  <c r="Q1276" i="1"/>
  <c r="N1276" i="1"/>
  <c r="M1164" i="1"/>
  <c r="L1165" i="1" s="1"/>
  <c r="P1133" i="1"/>
  <c r="O1134" i="1" s="1"/>
  <c r="N1239" i="1"/>
  <c r="N1163" i="1"/>
  <c r="M1134" i="1"/>
  <c r="L1135" i="1" s="1"/>
  <c r="N1133" i="1"/>
  <c r="P1166" i="1"/>
  <c r="O1167" i="1" s="1"/>
  <c r="P1240" i="1"/>
  <c r="O1241" i="1" s="1"/>
  <c r="N1201" i="1"/>
  <c r="Q1203" i="1"/>
  <c r="S1277" i="1"/>
  <c r="R1278" i="1" s="1"/>
  <c r="Q1239" i="1"/>
  <c r="Q1032" i="1"/>
  <c r="N1101" i="1"/>
  <c r="Q539" i="1"/>
  <c r="T539" i="1" s="1"/>
  <c r="U539" i="1" s="1"/>
  <c r="Q692" i="1"/>
  <c r="T692" i="1" s="1"/>
  <c r="U692" i="1" s="1"/>
  <c r="M1000" i="1"/>
  <c r="L1001" i="1" s="1"/>
  <c r="N1032" i="1"/>
  <c r="P935" i="1"/>
  <c r="O936" i="1" s="1"/>
  <c r="N999" i="1"/>
  <c r="M1102" i="1"/>
  <c r="L1103" i="1" s="1"/>
  <c r="N1065" i="1"/>
  <c r="P969" i="1"/>
  <c r="O970" i="1" s="1"/>
  <c r="Q1066" i="1"/>
  <c r="Q934" i="1"/>
  <c r="P905" i="1"/>
  <c r="O906" i="1" s="1"/>
  <c r="N935" i="1"/>
  <c r="Q904" i="1"/>
  <c r="N967" i="1"/>
  <c r="P1067" i="1"/>
  <c r="O1068" i="1" s="1"/>
  <c r="Q1067" i="1"/>
  <c r="M936" i="1"/>
  <c r="L937" i="1" s="1"/>
  <c r="P1033" i="1"/>
  <c r="O1034" i="1" s="1"/>
  <c r="M1066" i="1"/>
  <c r="L1067" i="1" s="1"/>
  <c r="Q1000" i="1"/>
  <c r="M968" i="1"/>
  <c r="L969" i="1" s="1"/>
  <c r="M1033" i="1"/>
  <c r="L1034" i="1" s="1"/>
  <c r="P1001" i="1"/>
  <c r="O1002" i="1" s="1"/>
  <c r="M903" i="1"/>
  <c r="L904" i="1" s="1"/>
  <c r="S1093" i="1"/>
  <c r="O1094" i="1"/>
  <c r="N902" i="1"/>
  <c r="P758" i="1"/>
  <c r="O759" i="1" s="1"/>
  <c r="R758" i="1"/>
  <c r="Q758" i="1"/>
  <c r="Q757" i="1"/>
  <c r="N831" i="1"/>
  <c r="T756" i="1"/>
  <c r="U756" i="1" s="1"/>
  <c r="S756" i="1"/>
  <c r="T720" i="1"/>
  <c r="U720" i="1" s="1"/>
  <c r="S720" i="1"/>
  <c r="Q794" i="1"/>
  <c r="R653" i="1"/>
  <c r="P653" i="1"/>
  <c r="O654" i="1" s="1"/>
  <c r="T793" i="1"/>
  <c r="U793" i="1" s="1"/>
  <c r="S793" i="1"/>
  <c r="Q652" i="1"/>
  <c r="R722" i="1"/>
  <c r="P722" i="1"/>
  <c r="O723" i="1" s="1"/>
  <c r="N795" i="1"/>
  <c r="M578" i="1"/>
  <c r="L579" i="1" s="1"/>
  <c r="T575" i="1"/>
  <c r="U575" i="1" s="1"/>
  <c r="S575" i="1"/>
  <c r="T538" i="1"/>
  <c r="U538" i="1" s="1"/>
  <c r="S538" i="1"/>
  <c r="Q866" i="1"/>
  <c r="M652" i="1"/>
  <c r="L653" i="1" s="1"/>
  <c r="M723" i="1"/>
  <c r="L724" i="1" s="1"/>
  <c r="R577" i="1"/>
  <c r="P577" i="1"/>
  <c r="O578" i="1" s="1"/>
  <c r="N722" i="1"/>
  <c r="R616" i="1"/>
  <c r="P616" i="1"/>
  <c r="O617" i="1" s="1"/>
  <c r="Q576" i="1"/>
  <c r="S692" i="1"/>
  <c r="T832" i="1"/>
  <c r="U832" i="1" s="1"/>
  <c r="S832" i="1"/>
  <c r="M832" i="1"/>
  <c r="L833" i="1" s="1"/>
  <c r="M868" i="1"/>
  <c r="L869" i="1" s="1"/>
  <c r="R834" i="1"/>
  <c r="P834" i="1"/>
  <c r="O835" i="1" s="1"/>
  <c r="P540" i="1"/>
  <c r="O541" i="1" s="1"/>
  <c r="R540" i="1"/>
  <c r="Q833" i="1"/>
  <c r="N577" i="1"/>
  <c r="T614" i="1"/>
  <c r="U614" i="1" s="1"/>
  <c r="S614" i="1"/>
  <c r="N540" i="1"/>
  <c r="N758" i="1"/>
  <c r="M615" i="1"/>
  <c r="L616" i="1" s="1"/>
  <c r="N615" i="1"/>
  <c r="Q615" i="1"/>
  <c r="S651" i="1"/>
  <c r="T651" i="1"/>
  <c r="U651" i="1" s="1"/>
  <c r="R795" i="1"/>
  <c r="P795" i="1"/>
  <c r="O796" i="1" s="1"/>
  <c r="N867" i="1"/>
  <c r="M796" i="1"/>
  <c r="L797" i="1" s="1"/>
  <c r="T865" i="1"/>
  <c r="U865" i="1" s="1"/>
  <c r="S865" i="1"/>
  <c r="M692" i="1"/>
  <c r="L693" i="1" s="1"/>
  <c r="Q721" i="1"/>
  <c r="N691" i="1"/>
  <c r="P867" i="1"/>
  <c r="O868" i="1" s="1"/>
  <c r="R867" i="1"/>
  <c r="M541" i="1"/>
  <c r="L542" i="1" s="1"/>
  <c r="M759" i="1"/>
  <c r="L760" i="1" s="1"/>
  <c r="N651" i="1"/>
  <c r="N614" i="1"/>
  <c r="P693" i="1"/>
  <c r="O694" i="1" s="1"/>
  <c r="R693" i="1"/>
  <c r="S419" i="1"/>
  <c r="T419" i="1" s="1"/>
  <c r="S460" i="1"/>
  <c r="T460" i="1" s="1"/>
  <c r="T93" i="1"/>
  <c r="R379" i="1"/>
  <c r="P379" i="1"/>
  <c r="Q379" i="1" s="1"/>
  <c r="N379" i="1" s="1"/>
  <c r="L379" i="1"/>
  <c r="M297" i="1"/>
  <c r="O298" i="1"/>
  <c r="M10" i="1"/>
  <c r="L11" i="1" s="1"/>
  <c r="S297" i="1"/>
  <c r="T297" i="1" s="1"/>
  <c r="O175" i="1"/>
  <c r="M174" i="1"/>
  <c r="L257" i="1"/>
  <c r="R257" i="1"/>
  <c r="P257" i="1"/>
  <c r="Q257" i="1" s="1"/>
  <c r="N257" i="1" s="1"/>
  <c r="M89" i="1"/>
  <c r="O90" i="1"/>
  <c r="Q89" i="1"/>
  <c r="N89" i="1" s="1"/>
  <c r="R48" i="1"/>
  <c r="P48" i="1"/>
  <c r="L48" i="1"/>
  <c r="P500" i="1"/>
  <c r="L500" i="1"/>
  <c r="R500" i="1"/>
  <c r="S174" i="1"/>
  <c r="T174" i="1" s="1"/>
  <c r="Q174" i="1"/>
  <c r="N174" i="1" s="1"/>
  <c r="R10" i="1"/>
  <c r="P10" i="1"/>
  <c r="O11" i="1" s="1"/>
  <c r="S337" i="1"/>
  <c r="T337" i="1" s="1"/>
  <c r="S94" i="1"/>
  <c r="R95" i="1" s="1"/>
  <c r="T8" i="1"/>
  <c r="S8" i="1"/>
  <c r="Q297" i="1"/>
  <c r="N297" i="1" s="1"/>
  <c r="N9" i="1"/>
  <c r="L133" i="1"/>
  <c r="R133" i="1"/>
  <c r="P133" i="1"/>
  <c r="L216" i="1"/>
  <c r="R216" i="1"/>
  <c r="P216" i="1"/>
  <c r="M337" i="1"/>
  <c r="O338" i="1"/>
  <c r="M419" i="1"/>
  <c r="O420" i="1"/>
  <c r="Q9" i="1"/>
  <c r="O461" i="1"/>
  <c r="M460" i="1"/>
  <c r="M1241" i="1" l="1"/>
  <c r="L1242" i="1" s="1"/>
  <c r="N1134" i="1"/>
  <c r="S1278" i="1"/>
  <c r="R1279" i="1" s="1"/>
  <c r="T1277" i="1"/>
  <c r="U1277" i="1" s="1"/>
  <c r="P1134" i="1"/>
  <c r="O1135" i="1" s="1"/>
  <c r="Q1134" i="1"/>
  <c r="N1135" i="1"/>
  <c r="M1135" i="1"/>
  <c r="L1136" i="1" s="1"/>
  <c r="Q1133" i="1"/>
  <c r="N1202" i="1"/>
  <c r="P1167" i="1"/>
  <c r="O1168" i="1" s="1"/>
  <c r="M1165" i="1"/>
  <c r="L1166" i="1" s="1"/>
  <c r="M1203" i="1"/>
  <c r="L1204" i="1" s="1"/>
  <c r="M1278" i="1"/>
  <c r="L1279" i="1" s="1"/>
  <c r="N1277" i="1"/>
  <c r="P1278" i="1"/>
  <c r="O1279" i="1" s="1"/>
  <c r="P1241" i="1"/>
  <c r="O1242" i="1" s="1"/>
  <c r="N1164" i="1"/>
  <c r="P1205" i="1"/>
  <c r="O1206" i="1" s="1"/>
  <c r="Q1166" i="1"/>
  <c r="Q1277" i="1"/>
  <c r="Q1240" i="1"/>
  <c r="Q1204" i="1"/>
  <c r="S539" i="1"/>
  <c r="N1000" i="1"/>
  <c r="Q969" i="1"/>
  <c r="T94" i="1"/>
  <c r="Q1033" i="1"/>
  <c r="M937" i="1"/>
  <c r="L938" i="1" s="1"/>
  <c r="P1002" i="1"/>
  <c r="O1003" i="1" s="1"/>
  <c r="P1068" i="1"/>
  <c r="O1069" i="1" s="1"/>
  <c r="P1034" i="1"/>
  <c r="O1035" i="1" s="1"/>
  <c r="N936" i="1"/>
  <c r="Q1001" i="1"/>
  <c r="M1034" i="1"/>
  <c r="L1035" i="1" s="1"/>
  <c r="M969" i="1"/>
  <c r="L970" i="1" s="1"/>
  <c r="M904" i="1"/>
  <c r="L905" i="1" s="1"/>
  <c r="N903" i="1"/>
  <c r="M1103" i="1"/>
  <c r="L1104" i="1" s="1"/>
  <c r="N1102" i="1"/>
  <c r="N1033" i="1"/>
  <c r="P936" i="1"/>
  <c r="O937" i="1" s="1"/>
  <c r="Q936" i="1"/>
  <c r="N968" i="1"/>
  <c r="Q935" i="1"/>
  <c r="P906" i="1"/>
  <c r="O907" i="1" s="1"/>
  <c r="M1067" i="1"/>
  <c r="L1068" i="1" s="1"/>
  <c r="Q905" i="1"/>
  <c r="P970" i="1"/>
  <c r="O971" i="1" s="1"/>
  <c r="P1094" i="1"/>
  <c r="R1094" i="1"/>
  <c r="Q1094" i="1"/>
  <c r="N1066" i="1"/>
  <c r="M1001" i="1"/>
  <c r="L1002" i="1" s="1"/>
  <c r="N1001" i="1"/>
  <c r="Q540" i="1"/>
  <c r="N796" i="1"/>
  <c r="N723" i="1"/>
  <c r="S757" i="1"/>
  <c r="T757" i="1"/>
  <c r="U757" i="1" s="1"/>
  <c r="N832" i="1"/>
  <c r="S758" i="1"/>
  <c r="T758" i="1"/>
  <c r="U758" i="1" s="1"/>
  <c r="Q616" i="1"/>
  <c r="T616" i="1" s="1"/>
  <c r="U616" i="1" s="1"/>
  <c r="P759" i="1"/>
  <c r="O760" i="1" s="1"/>
  <c r="R759" i="1"/>
  <c r="Q759" i="1"/>
  <c r="R723" i="1"/>
  <c r="P723" i="1"/>
  <c r="O724" i="1" s="1"/>
  <c r="R541" i="1"/>
  <c r="P541" i="1"/>
  <c r="O542" i="1" s="1"/>
  <c r="Q834" i="1"/>
  <c r="N541" i="1"/>
  <c r="R617" i="1"/>
  <c r="P617" i="1"/>
  <c r="O618" i="1" s="1"/>
  <c r="M653" i="1"/>
  <c r="L654" i="1" s="1"/>
  <c r="N759" i="1"/>
  <c r="M542" i="1"/>
  <c r="L543" i="1" s="1"/>
  <c r="T576" i="1"/>
  <c r="U576" i="1" s="1"/>
  <c r="S576" i="1"/>
  <c r="Q867" i="1"/>
  <c r="R654" i="1"/>
  <c r="P654" i="1"/>
  <c r="O655" i="1" s="1"/>
  <c r="S866" i="1"/>
  <c r="T866" i="1"/>
  <c r="U866" i="1" s="1"/>
  <c r="Q653" i="1"/>
  <c r="S615" i="1"/>
  <c r="T615" i="1"/>
  <c r="U615" i="1" s="1"/>
  <c r="T652" i="1"/>
  <c r="U652" i="1" s="1"/>
  <c r="S652" i="1"/>
  <c r="P868" i="1"/>
  <c r="O869" i="1" s="1"/>
  <c r="R868" i="1"/>
  <c r="M869" i="1"/>
  <c r="L870" i="1" s="1"/>
  <c r="T540" i="1"/>
  <c r="U540" i="1" s="1"/>
  <c r="S540" i="1"/>
  <c r="Q722" i="1"/>
  <c r="N652" i="1"/>
  <c r="R796" i="1"/>
  <c r="P796" i="1"/>
  <c r="O797" i="1" s="1"/>
  <c r="N868" i="1"/>
  <c r="P578" i="1"/>
  <c r="O579" i="1" s="1"/>
  <c r="R578" i="1"/>
  <c r="M579" i="1"/>
  <c r="L580" i="1" s="1"/>
  <c r="T794" i="1"/>
  <c r="U794" i="1" s="1"/>
  <c r="S794" i="1"/>
  <c r="R835" i="1"/>
  <c r="P835" i="1"/>
  <c r="O836" i="1" s="1"/>
  <c r="M616" i="1"/>
  <c r="L617" i="1" s="1"/>
  <c r="Q693" i="1"/>
  <c r="T721" i="1"/>
  <c r="U721" i="1" s="1"/>
  <c r="S721" i="1"/>
  <c r="Q795" i="1"/>
  <c r="T833" i="1"/>
  <c r="U833" i="1" s="1"/>
  <c r="S833" i="1"/>
  <c r="M833" i="1"/>
  <c r="L834" i="1" s="1"/>
  <c r="Q577" i="1"/>
  <c r="N578" i="1"/>
  <c r="M693" i="1"/>
  <c r="L694" i="1" s="1"/>
  <c r="M724" i="1"/>
  <c r="L725" i="1" s="1"/>
  <c r="M760" i="1"/>
  <c r="L761" i="1" s="1"/>
  <c r="M797" i="1"/>
  <c r="L798" i="1" s="1"/>
  <c r="P694" i="1"/>
  <c r="O695" i="1" s="1"/>
  <c r="R694" i="1"/>
  <c r="N692" i="1"/>
  <c r="Q10" i="1"/>
  <c r="S10" i="1" s="1"/>
  <c r="N10" i="1"/>
  <c r="S257" i="1"/>
  <c r="T257" i="1" s="1"/>
  <c r="S379" i="1"/>
  <c r="T379" i="1"/>
  <c r="O49" i="1"/>
  <c r="M48" i="1"/>
  <c r="P461" i="1"/>
  <c r="Q461" i="1" s="1"/>
  <c r="N461" i="1" s="1"/>
  <c r="R461" i="1"/>
  <c r="L461" i="1"/>
  <c r="T9" i="1"/>
  <c r="S9" i="1"/>
  <c r="L90" i="1"/>
  <c r="P90" i="1"/>
  <c r="R420" i="1"/>
  <c r="L420" i="1"/>
  <c r="P420" i="1"/>
  <c r="O258" i="1"/>
  <c r="M257" i="1"/>
  <c r="R338" i="1"/>
  <c r="P338" i="1"/>
  <c r="L338" i="1"/>
  <c r="S500" i="1"/>
  <c r="T500" i="1" s="1"/>
  <c r="M500" i="1"/>
  <c r="O501" i="1"/>
  <c r="S95" i="1"/>
  <c r="R96" i="1" s="1"/>
  <c r="Q500" i="1"/>
  <c r="N500" i="1" s="1"/>
  <c r="S216" i="1"/>
  <c r="T216" i="1" s="1"/>
  <c r="L175" i="1"/>
  <c r="R175" i="1"/>
  <c r="P175" i="1"/>
  <c r="O134" i="1"/>
  <c r="M133" i="1"/>
  <c r="S48" i="1"/>
  <c r="T48" i="1" s="1"/>
  <c r="S133" i="1"/>
  <c r="T133" i="1" s="1"/>
  <c r="R298" i="1"/>
  <c r="L298" i="1"/>
  <c r="P298" i="1"/>
  <c r="Q298" i="1" s="1"/>
  <c r="N298" i="1" s="1"/>
  <c r="O380" i="1"/>
  <c r="M379" i="1"/>
  <c r="M216" i="1"/>
  <c r="O217" i="1"/>
  <c r="Q216" i="1"/>
  <c r="N216" i="1" s="1"/>
  <c r="Q133" i="1"/>
  <c r="N133" i="1" s="1"/>
  <c r="R11" i="1"/>
  <c r="P11" i="1"/>
  <c r="O12" i="1" s="1"/>
  <c r="Q48" i="1"/>
  <c r="N48" i="1" s="1"/>
  <c r="M11" i="1"/>
  <c r="L12" i="1" s="1"/>
  <c r="P1279" i="1" l="1"/>
  <c r="O1280" i="1" s="1"/>
  <c r="M1136" i="1"/>
  <c r="L1137" i="1" s="1"/>
  <c r="S1279" i="1"/>
  <c r="R1280" i="1" s="1"/>
  <c r="P1242" i="1"/>
  <c r="O1243" i="1" s="1"/>
  <c r="Q1278" i="1"/>
  <c r="M1279" i="1"/>
  <c r="L1280" i="1" s="1"/>
  <c r="Q1135" i="1"/>
  <c r="P1135" i="1"/>
  <c r="O1136" i="1" s="1"/>
  <c r="Q1205" i="1"/>
  <c r="N1165" i="1"/>
  <c r="P1206" i="1"/>
  <c r="O1207" i="1" s="1"/>
  <c r="Q1206" i="1"/>
  <c r="T1278" i="1"/>
  <c r="U1278" i="1" s="1"/>
  <c r="P1168" i="1"/>
  <c r="O1169" i="1" s="1"/>
  <c r="M1242" i="1"/>
  <c r="L1243" i="1" s="1"/>
  <c r="N1242" i="1"/>
  <c r="N1278" i="1"/>
  <c r="N1204" i="1"/>
  <c r="M1204" i="1"/>
  <c r="L1205" i="1" s="1"/>
  <c r="N1203" i="1"/>
  <c r="M1166" i="1"/>
  <c r="L1167" i="1" s="1"/>
  <c r="Q1241" i="1"/>
  <c r="Q1167" i="1"/>
  <c r="N1241" i="1"/>
  <c r="N937" i="1"/>
  <c r="N1034" i="1"/>
  <c r="N797" i="1"/>
  <c r="P937" i="1"/>
  <c r="O938" i="1" s="1"/>
  <c r="O1095" i="1"/>
  <c r="S1094" i="1"/>
  <c r="Q1034" i="1"/>
  <c r="P1069" i="1"/>
  <c r="O1070" i="1" s="1"/>
  <c r="Q1069" i="1"/>
  <c r="P907" i="1"/>
  <c r="O908" i="1" s="1"/>
  <c r="N904" i="1"/>
  <c r="Q1002" i="1"/>
  <c r="P971" i="1"/>
  <c r="O972" i="1" s="1"/>
  <c r="M1104" i="1"/>
  <c r="L1105" i="1" s="1"/>
  <c r="Q906" i="1"/>
  <c r="M970" i="1"/>
  <c r="L971" i="1" s="1"/>
  <c r="P1035" i="1"/>
  <c r="O1036" i="1" s="1"/>
  <c r="N1103" i="1"/>
  <c r="Q1068" i="1"/>
  <c r="M905" i="1"/>
  <c r="L906" i="1" s="1"/>
  <c r="M1002" i="1"/>
  <c r="L1003" i="1" s="1"/>
  <c r="N969" i="1"/>
  <c r="M938" i="1"/>
  <c r="L939" i="1" s="1"/>
  <c r="Q970" i="1"/>
  <c r="M1068" i="1"/>
  <c r="L1069" i="1" s="1"/>
  <c r="N1067" i="1"/>
  <c r="P1003" i="1"/>
  <c r="O1004" i="1" s="1"/>
  <c r="M1035" i="1"/>
  <c r="L1036" i="1" s="1"/>
  <c r="Q868" i="1"/>
  <c r="T868" i="1" s="1"/>
  <c r="U868" i="1" s="1"/>
  <c r="S616" i="1"/>
  <c r="P760" i="1"/>
  <c r="O761" i="1" s="1"/>
  <c r="Q760" i="1"/>
  <c r="R760" i="1"/>
  <c r="T10" i="1"/>
  <c r="Q723" i="1"/>
  <c r="S723" i="1" s="1"/>
  <c r="S759" i="1"/>
  <c r="T759" i="1"/>
  <c r="U759" i="1" s="1"/>
  <c r="Q796" i="1"/>
  <c r="T796" i="1" s="1"/>
  <c r="U796" i="1" s="1"/>
  <c r="N724" i="1"/>
  <c r="T722" i="1"/>
  <c r="U722" i="1" s="1"/>
  <c r="S722" i="1"/>
  <c r="M654" i="1"/>
  <c r="L655" i="1" s="1"/>
  <c r="Q835" i="1"/>
  <c r="Q694" i="1"/>
  <c r="M580" i="1"/>
  <c r="L581" i="1" s="1"/>
  <c r="M761" i="1"/>
  <c r="L762" i="1" s="1"/>
  <c r="M870" i="1"/>
  <c r="L871" i="1" s="1"/>
  <c r="N542" i="1"/>
  <c r="Q541" i="1"/>
  <c r="M725" i="1"/>
  <c r="L726" i="1" s="1"/>
  <c r="T693" i="1"/>
  <c r="U693" i="1" s="1"/>
  <c r="S693" i="1"/>
  <c r="Q578" i="1"/>
  <c r="N653" i="1"/>
  <c r="R724" i="1"/>
  <c r="P724" i="1"/>
  <c r="O725" i="1" s="1"/>
  <c r="P836" i="1"/>
  <c r="O837" i="1" s="1"/>
  <c r="R836" i="1"/>
  <c r="M834" i="1"/>
  <c r="L835" i="1" s="1"/>
  <c r="T867" i="1"/>
  <c r="U867" i="1" s="1"/>
  <c r="S867" i="1"/>
  <c r="T653" i="1"/>
  <c r="U653" i="1" s="1"/>
  <c r="S653" i="1"/>
  <c r="M543" i="1"/>
  <c r="L544" i="1" s="1"/>
  <c r="N579" i="1"/>
  <c r="R542" i="1"/>
  <c r="P542" i="1"/>
  <c r="O543" i="1" s="1"/>
  <c r="N869" i="1"/>
  <c r="Q654" i="1"/>
  <c r="M694" i="1"/>
  <c r="L695" i="1" s="1"/>
  <c r="T577" i="1"/>
  <c r="U577" i="1" s="1"/>
  <c r="S577" i="1"/>
  <c r="R695" i="1"/>
  <c r="P695" i="1"/>
  <c r="O696" i="1" s="1"/>
  <c r="N833" i="1"/>
  <c r="M798" i="1"/>
  <c r="L799" i="1" s="1"/>
  <c r="T834" i="1"/>
  <c r="U834" i="1" s="1"/>
  <c r="S834" i="1"/>
  <c r="T795" i="1"/>
  <c r="U795" i="1" s="1"/>
  <c r="S795" i="1"/>
  <c r="R655" i="1"/>
  <c r="P655" i="1"/>
  <c r="O656" i="1" s="1"/>
  <c r="N760" i="1"/>
  <c r="R579" i="1"/>
  <c r="P579" i="1"/>
  <c r="O580" i="1" s="1"/>
  <c r="M617" i="1"/>
  <c r="L618" i="1" s="1"/>
  <c r="P869" i="1"/>
  <c r="O870" i="1" s="1"/>
  <c r="R869" i="1"/>
  <c r="R618" i="1"/>
  <c r="P618" i="1"/>
  <c r="O619" i="1" s="1"/>
  <c r="N693" i="1"/>
  <c r="N616" i="1"/>
  <c r="R797" i="1"/>
  <c r="P797" i="1"/>
  <c r="O798" i="1" s="1"/>
  <c r="Q617" i="1"/>
  <c r="S175" i="1"/>
  <c r="T175" i="1" s="1"/>
  <c r="S298" i="1"/>
  <c r="T298" i="1" s="1"/>
  <c r="Q11" i="1"/>
  <c r="S461" i="1"/>
  <c r="T461" i="1" s="1"/>
  <c r="S96" i="1"/>
  <c r="R97" i="1" s="1"/>
  <c r="O339" i="1"/>
  <c r="M338" i="1"/>
  <c r="Q338" i="1"/>
  <c r="N338" i="1" s="1"/>
  <c r="O421" i="1"/>
  <c r="M420" i="1"/>
  <c r="R217" i="1"/>
  <c r="P217" i="1"/>
  <c r="L217" i="1"/>
  <c r="L501" i="1"/>
  <c r="R501" i="1"/>
  <c r="P501" i="1"/>
  <c r="R12" i="1"/>
  <c r="P12" i="1"/>
  <c r="O13" i="1" s="1"/>
  <c r="S338" i="1"/>
  <c r="T338" i="1"/>
  <c r="L258" i="1"/>
  <c r="P258" i="1"/>
  <c r="R258" i="1"/>
  <c r="O462" i="1"/>
  <c r="M461" i="1"/>
  <c r="T95" i="1"/>
  <c r="Q420" i="1"/>
  <c r="N420" i="1" s="1"/>
  <c r="L49" i="1"/>
  <c r="R49" i="1"/>
  <c r="P49" i="1"/>
  <c r="S420" i="1"/>
  <c r="T420" i="1" s="1"/>
  <c r="R380" i="1"/>
  <c r="P380" i="1"/>
  <c r="L380" i="1"/>
  <c r="R134" i="1"/>
  <c r="P134" i="1"/>
  <c r="L134" i="1"/>
  <c r="M90" i="1"/>
  <c r="O91" i="1"/>
  <c r="M12" i="1"/>
  <c r="L13" i="1" s="1"/>
  <c r="N12" i="1"/>
  <c r="O299" i="1"/>
  <c r="M298" i="1"/>
  <c r="M175" i="1"/>
  <c r="O176" i="1"/>
  <c r="Q90" i="1"/>
  <c r="N90" i="1" s="1"/>
  <c r="N11" i="1"/>
  <c r="Q175" i="1"/>
  <c r="N175" i="1" s="1"/>
  <c r="Q1168" i="1" l="1"/>
  <c r="Q1242" i="1"/>
  <c r="S1280" i="1"/>
  <c r="R1281" i="1" s="1"/>
  <c r="T1280" i="1"/>
  <c r="U1280" i="1" s="1"/>
  <c r="T1279" i="1"/>
  <c r="U1279" i="1" s="1"/>
  <c r="M1137" i="1"/>
  <c r="L1138" i="1" s="1"/>
  <c r="P1169" i="1"/>
  <c r="O1170" i="1" s="1"/>
  <c r="P1207" i="1"/>
  <c r="O1208" i="1" s="1"/>
  <c r="N1166" i="1"/>
  <c r="N1136" i="1"/>
  <c r="P1280" i="1"/>
  <c r="O1281" i="1" s="1"/>
  <c r="Q1280" i="1"/>
  <c r="M1280" i="1"/>
  <c r="L1281" i="1" s="1"/>
  <c r="N1280" i="1"/>
  <c r="N1279" i="1"/>
  <c r="M1243" i="1"/>
  <c r="L1244" i="1" s="1"/>
  <c r="N1243" i="1"/>
  <c r="P1243" i="1"/>
  <c r="O1244" i="1" s="1"/>
  <c r="Q1243" i="1"/>
  <c r="M1167" i="1"/>
  <c r="L1168" i="1" s="1"/>
  <c r="M1205" i="1"/>
  <c r="L1206" i="1" s="1"/>
  <c r="N1205" i="1"/>
  <c r="P1136" i="1"/>
  <c r="O1137" i="1" s="1"/>
  <c r="Q1279" i="1"/>
  <c r="S868" i="1"/>
  <c r="Q971" i="1"/>
  <c r="N1035" i="1"/>
  <c r="M906" i="1"/>
  <c r="L907" i="1" s="1"/>
  <c r="N905" i="1"/>
  <c r="Q1003" i="1"/>
  <c r="P908" i="1"/>
  <c r="O909" i="1" s="1"/>
  <c r="P1036" i="1"/>
  <c r="O1037" i="1" s="1"/>
  <c r="Q1036" i="1"/>
  <c r="N1068" i="1"/>
  <c r="Q1035" i="1"/>
  <c r="P1070" i="1"/>
  <c r="O1071" i="1" s="1"/>
  <c r="N938" i="1"/>
  <c r="M1105" i="1"/>
  <c r="L1106" i="1" s="1"/>
  <c r="N1105" i="1"/>
  <c r="M1003" i="1"/>
  <c r="L1004" i="1" s="1"/>
  <c r="N1104" i="1"/>
  <c r="P938" i="1"/>
  <c r="O939" i="1" s="1"/>
  <c r="P1004" i="1"/>
  <c r="O1005" i="1" s="1"/>
  <c r="M1069" i="1"/>
  <c r="L1070" i="1" s="1"/>
  <c r="Q907" i="1"/>
  <c r="M971" i="1"/>
  <c r="L972" i="1" s="1"/>
  <c r="M939" i="1"/>
  <c r="L940" i="1" s="1"/>
  <c r="N970" i="1"/>
  <c r="R1095" i="1"/>
  <c r="P1095" i="1"/>
  <c r="M1036" i="1"/>
  <c r="L1037" i="1" s="1"/>
  <c r="N1002" i="1"/>
  <c r="P972" i="1"/>
  <c r="O973" i="1" s="1"/>
  <c r="Q937" i="1"/>
  <c r="T723" i="1"/>
  <c r="U723" i="1" s="1"/>
  <c r="N617" i="1"/>
  <c r="N725" i="1"/>
  <c r="S796" i="1"/>
  <c r="N761" i="1"/>
  <c r="N654" i="1"/>
  <c r="Q869" i="1"/>
  <c r="S869" i="1" s="1"/>
  <c r="T760" i="1"/>
  <c r="U760" i="1" s="1"/>
  <c r="S760" i="1"/>
  <c r="Q836" i="1"/>
  <c r="T836" i="1" s="1"/>
  <c r="U836" i="1" s="1"/>
  <c r="R761" i="1"/>
  <c r="P761" i="1"/>
  <c r="O762" i="1" s="1"/>
  <c r="P798" i="1"/>
  <c r="O799" i="1" s="1"/>
  <c r="R798" i="1"/>
  <c r="N694" i="1"/>
  <c r="M695" i="1"/>
  <c r="L696" i="1" s="1"/>
  <c r="Q797" i="1"/>
  <c r="M835" i="1"/>
  <c r="L836" i="1" s="1"/>
  <c r="Q618" i="1"/>
  <c r="R725" i="1"/>
  <c r="P725" i="1"/>
  <c r="O726" i="1" s="1"/>
  <c r="N870" i="1"/>
  <c r="M655" i="1"/>
  <c r="L656" i="1" s="1"/>
  <c r="T694" i="1"/>
  <c r="U694" i="1" s="1"/>
  <c r="S694" i="1"/>
  <c r="N798" i="1"/>
  <c r="M544" i="1"/>
  <c r="L545" i="1" s="1"/>
  <c r="Q724" i="1"/>
  <c r="M762" i="1"/>
  <c r="L763" i="1" s="1"/>
  <c r="T654" i="1"/>
  <c r="U654" i="1" s="1"/>
  <c r="S654" i="1"/>
  <c r="T835" i="1"/>
  <c r="U835" i="1" s="1"/>
  <c r="S835" i="1"/>
  <c r="Q579" i="1"/>
  <c r="S541" i="1"/>
  <c r="T541" i="1"/>
  <c r="U541" i="1" s="1"/>
  <c r="R696" i="1"/>
  <c r="P696" i="1"/>
  <c r="O697" i="1" s="1"/>
  <c r="R837" i="1"/>
  <c r="P837" i="1"/>
  <c r="O838" i="1" s="1"/>
  <c r="N543" i="1"/>
  <c r="M799" i="1"/>
  <c r="L800" i="1" s="1"/>
  <c r="R580" i="1"/>
  <c r="P580" i="1"/>
  <c r="O581" i="1" s="1"/>
  <c r="N834" i="1"/>
  <c r="P543" i="1"/>
  <c r="O544" i="1" s="1"/>
  <c r="R543" i="1"/>
  <c r="M871" i="1"/>
  <c r="L872" i="1" s="1"/>
  <c r="R656" i="1"/>
  <c r="P656" i="1"/>
  <c r="O657" i="1" s="1"/>
  <c r="T617" i="1"/>
  <c r="U617" i="1" s="1"/>
  <c r="S617" i="1"/>
  <c r="P870" i="1"/>
  <c r="O871" i="1" s="1"/>
  <c r="R870" i="1"/>
  <c r="M581" i="1"/>
  <c r="L582" i="1" s="1"/>
  <c r="M726" i="1"/>
  <c r="L727" i="1" s="1"/>
  <c r="P619" i="1"/>
  <c r="O620" i="1" s="1"/>
  <c r="R619" i="1"/>
  <c r="Q542" i="1"/>
  <c r="Q695" i="1"/>
  <c r="Q655" i="1"/>
  <c r="M618" i="1"/>
  <c r="L619" i="1" s="1"/>
  <c r="T578" i="1"/>
  <c r="U578" i="1" s="1"/>
  <c r="S578" i="1"/>
  <c r="N580" i="1"/>
  <c r="Q12" i="1"/>
  <c r="S12" i="1" s="1"/>
  <c r="O135" i="1"/>
  <c r="M134" i="1"/>
  <c r="Q134" i="1"/>
  <c r="N134" i="1" s="1"/>
  <c r="M501" i="1"/>
  <c r="O502" i="1"/>
  <c r="S97" i="1"/>
  <c r="R98" i="1" s="1"/>
  <c r="R462" i="1"/>
  <c r="P462" i="1"/>
  <c r="Q462" i="1" s="1"/>
  <c r="N462" i="1" s="1"/>
  <c r="L462" i="1"/>
  <c r="M258" i="1"/>
  <c r="O259" i="1"/>
  <c r="O218" i="1"/>
  <c r="M217" i="1"/>
  <c r="M13" i="1"/>
  <c r="L14" i="1" s="1"/>
  <c r="P91" i="1"/>
  <c r="Q91" i="1" s="1"/>
  <c r="N91" i="1" s="1"/>
  <c r="L91" i="1"/>
  <c r="M49" i="1"/>
  <c r="O50" i="1"/>
  <c r="S217" i="1"/>
  <c r="T217" i="1" s="1"/>
  <c r="P176" i="1"/>
  <c r="L176" i="1"/>
  <c r="R176" i="1"/>
  <c r="T96" i="1"/>
  <c r="S380" i="1"/>
  <c r="T380" i="1" s="1"/>
  <c r="T11" i="1"/>
  <c r="S11" i="1"/>
  <c r="Q217" i="1"/>
  <c r="N217" i="1" s="1"/>
  <c r="Q49" i="1"/>
  <c r="N49" i="1" s="1"/>
  <c r="S134" i="1"/>
  <c r="T134" i="1" s="1"/>
  <c r="P339" i="1"/>
  <c r="Q339" i="1" s="1"/>
  <c r="N339" i="1" s="1"/>
  <c r="R339" i="1"/>
  <c r="L339" i="1"/>
  <c r="Q501" i="1"/>
  <c r="N501" i="1" s="1"/>
  <c r="M380" i="1"/>
  <c r="O381" i="1"/>
  <c r="S501" i="1"/>
  <c r="T501" i="1" s="1"/>
  <c r="Q380" i="1"/>
  <c r="N380" i="1" s="1"/>
  <c r="S258" i="1"/>
  <c r="T258" i="1" s="1"/>
  <c r="P299" i="1"/>
  <c r="L299" i="1"/>
  <c r="R299" i="1"/>
  <c r="Q258" i="1"/>
  <c r="N258" i="1" s="1"/>
  <c r="S49" i="1"/>
  <c r="T49" i="1" s="1"/>
  <c r="R13" i="1"/>
  <c r="P13" i="1"/>
  <c r="O14" i="1" s="1"/>
  <c r="P421" i="1"/>
  <c r="Q421" i="1" s="1"/>
  <c r="N421" i="1" s="1"/>
  <c r="R421" i="1"/>
  <c r="L421" i="1"/>
  <c r="M1168" i="1" l="1"/>
  <c r="L1169" i="1" s="1"/>
  <c r="P1208" i="1"/>
  <c r="O1209" i="1" s="1"/>
  <c r="P1244" i="1"/>
  <c r="O1245" i="1" s="1"/>
  <c r="Q1244" i="1"/>
  <c r="Q1207" i="1"/>
  <c r="Q1169" i="1"/>
  <c r="P1170" i="1"/>
  <c r="O1171" i="1" s="1"/>
  <c r="M1244" i="1"/>
  <c r="L1245" i="1" s="1"/>
  <c r="P1137" i="1"/>
  <c r="O1138" i="1" s="1"/>
  <c r="Q1136" i="1"/>
  <c r="S1281" i="1"/>
  <c r="R1282" i="1" s="1"/>
  <c r="T1281" i="1"/>
  <c r="U1281" i="1" s="1"/>
  <c r="M1138" i="1"/>
  <c r="L1139" i="1" s="1"/>
  <c r="N1137" i="1"/>
  <c r="P1281" i="1"/>
  <c r="O1282" i="1" s="1"/>
  <c r="N1167" i="1"/>
  <c r="N1281" i="1"/>
  <c r="M1281" i="1"/>
  <c r="L1282" i="1" s="1"/>
  <c r="M1206" i="1"/>
  <c r="L1207" i="1" s="1"/>
  <c r="N1206" i="1"/>
  <c r="N971" i="1"/>
  <c r="Q1070" i="1"/>
  <c r="Q938" i="1"/>
  <c r="N939" i="1"/>
  <c r="M1037" i="1"/>
  <c r="L1038" i="1" s="1"/>
  <c r="N1036" i="1"/>
  <c r="M1070" i="1"/>
  <c r="L1071" i="1" s="1"/>
  <c r="N1069" i="1"/>
  <c r="P1005" i="1"/>
  <c r="O1006" i="1" s="1"/>
  <c r="Q1005" i="1"/>
  <c r="P939" i="1"/>
  <c r="O940" i="1" s="1"/>
  <c r="Q908" i="1"/>
  <c r="N1003" i="1"/>
  <c r="P973" i="1"/>
  <c r="O974" i="1" s="1"/>
  <c r="M972" i="1"/>
  <c r="L973" i="1" s="1"/>
  <c r="M1106" i="1"/>
  <c r="L1107" i="1" s="1"/>
  <c r="N1106" i="1"/>
  <c r="M907" i="1"/>
  <c r="L908" i="1" s="1"/>
  <c r="P1071" i="1"/>
  <c r="O1072" i="1" s="1"/>
  <c r="O1096" i="1"/>
  <c r="S1095" i="1"/>
  <c r="Q1004" i="1"/>
  <c r="Q1095" i="1"/>
  <c r="P1037" i="1"/>
  <c r="O1038" i="1" s="1"/>
  <c r="P909" i="1"/>
  <c r="O910" i="1" s="1"/>
  <c r="M1004" i="1"/>
  <c r="L1005" i="1" s="1"/>
  <c r="M940" i="1"/>
  <c r="L941" i="1" s="1"/>
  <c r="Q972" i="1"/>
  <c r="N906" i="1"/>
  <c r="N544" i="1"/>
  <c r="Q798" i="1"/>
  <c r="T798" i="1" s="1"/>
  <c r="U798" i="1" s="1"/>
  <c r="Q543" i="1"/>
  <c r="S543" i="1" s="1"/>
  <c r="T869" i="1"/>
  <c r="U869" i="1" s="1"/>
  <c r="Q761" i="1"/>
  <c r="S761" i="1" s="1"/>
  <c r="N726" i="1"/>
  <c r="S836" i="1"/>
  <c r="Q870" i="1"/>
  <c r="T870" i="1" s="1"/>
  <c r="U870" i="1" s="1"/>
  <c r="R762" i="1"/>
  <c r="P762" i="1"/>
  <c r="O763" i="1" s="1"/>
  <c r="T12" i="1"/>
  <c r="N618" i="1"/>
  <c r="Q725" i="1"/>
  <c r="T725" i="1" s="1"/>
  <c r="U725" i="1" s="1"/>
  <c r="S724" i="1"/>
  <c r="T724" i="1"/>
  <c r="U724" i="1" s="1"/>
  <c r="M545" i="1"/>
  <c r="L546" i="1" s="1"/>
  <c r="M727" i="1"/>
  <c r="L728" i="1" s="1"/>
  <c r="N871" i="1"/>
  <c r="T579" i="1"/>
  <c r="U579" i="1" s="1"/>
  <c r="S579" i="1"/>
  <c r="T797" i="1"/>
  <c r="U797" i="1" s="1"/>
  <c r="S797" i="1"/>
  <c r="R697" i="1"/>
  <c r="P697" i="1"/>
  <c r="O698" i="1" s="1"/>
  <c r="R620" i="1"/>
  <c r="P620" i="1"/>
  <c r="O621" i="1" s="1"/>
  <c r="M800" i="1"/>
  <c r="L801" i="1" s="1"/>
  <c r="N835" i="1"/>
  <c r="M582" i="1"/>
  <c r="L583" i="1" s="1"/>
  <c r="M696" i="1"/>
  <c r="L697" i="1" s="1"/>
  <c r="T618" i="1"/>
  <c r="U618" i="1" s="1"/>
  <c r="S618" i="1"/>
  <c r="Q619" i="1"/>
  <c r="M619" i="1"/>
  <c r="L620" i="1" s="1"/>
  <c r="N581" i="1"/>
  <c r="N695" i="1"/>
  <c r="R581" i="1"/>
  <c r="P581" i="1"/>
  <c r="O582" i="1" s="1"/>
  <c r="Q580" i="1"/>
  <c r="M656" i="1"/>
  <c r="L657" i="1" s="1"/>
  <c r="P657" i="1"/>
  <c r="O658" i="1" s="1"/>
  <c r="R657" i="1"/>
  <c r="M836" i="1"/>
  <c r="L837" i="1" s="1"/>
  <c r="N799" i="1"/>
  <c r="R838" i="1"/>
  <c r="P838" i="1"/>
  <c r="O839" i="1" s="1"/>
  <c r="N655" i="1"/>
  <c r="Q696" i="1"/>
  <c r="T655" i="1"/>
  <c r="U655" i="1" s="1"/>
  <c r="S655" i="1"/>
  <c r="P871" i="1"/>
  <c r="O872" i="1" s="1"/>
  <c r="Q871" i="1"/>
  <c r="R871" i="1"/>
  <c r="P544" i="1"/>
  <c r="O545" i="1" s="1"/>
  <c r="R544" i="1"/>
  <c r="Q837" i="1"/>
  <c r="M763" i="1"/>
  <c r="L764" i="1" s="1"/>
  <c r="T542" i="1"/>
  <c r="U542" i="1" s="1"/>
  <c r="S542" i="1"/>
  <c r="Q656" i="1"/>
  <c r="M872" i="1"/>
  <c r="L873" i="1" s="1"/>
  <c r="S695" i="1"/>
  <c r="T695" i="1"/>
  <c r="U695" i="1" s="1"/>
  <c r="N762" i="1"/>
  <c r="R726" i="1"/>
  <c r="P726" i="1"/>
  <c r="O727" i="1" s="1"/>
  <c r="R799" i="1"/>
  <c r="P799" i="1"/>
  <c r="O800" i="1" s="1"/>
  <c r="Q13" i="1"/>
  <c r="T13" i="1" s="1"/>
  <c r="R50" i="1"/>
  <c r="P50" i="1"/>
  <c r="Q50" i="1" s="1"/>
  <c r="N50" i="1" s="1"/>
  <c r="L50" i="1"/>
  <c r="S462" i="1"/>
  <c r="T462" i="1" s="1"/>
  <c r="T97" i="1"/>
  <c r="M14" i="1"/>
  <c r="L15" i="1" s="1"/>
  <c r="S299" i="1"/>
  <c r="T299" i="1" s="1"/>
  <c r="S98" i="1"/>
  <c r="R99" i="1" s="1"/>
  <c r="M299" i="1"/>
  <c r="O300" i="1"/>
  <c r="S339" i="1"/>
  <c r="T339" i="1" s="1"/>
  <c r="R502" i="1"/>
  <c r="L502" i="1"/>
  <c r="P502" i="1"/>
  <c r="Q502" i="1"/>
  <c r="N502" i="1" s="1"/>
  <c r="M339" i="1"/>
  <c r="O340" i="1"/>
  <c r="O177" i="1"/>
  <c r="M176" i="1"/>
  <c r="R218" i="1"/>
  <c r="P218" i="1"/>
  <c r="Q218" i="1" s="1"/>
  <c r="N218" i="1" s="1"/>
  <c r="L218" i="1"/>
  <c r="P381" i="1"/>
  <c r="Q381" i="1" s="1"/>
  <c r="N381" i="1" s="1"/>
  <c r="R381" i="1"/>
  <c r="L381" i="1"/>
  <c r="O463" i="1"/>
  <c r="M462" i="1"/>
  <c r="O92" i="1"/>
  <c r="M91" i="1"/>
  <c r="Q299" i="1"/>
  <c r="N299" i="1" s="1"/>
  <c r="S176" i="1"/>
  <c r="T176" i="1" s="1"/>
  <c r="N13" i="1"/>
  <c r="S421" i="1"/>
  <c r="T421" i="1" s="1"/>
  <c r="O422" i="1"/>
  <c r="M421" i="1"/>
  <c r="P14" i="1"/>
  <c r="O15" i="1" s="1"/>
  <c r="R14" i="1"/>
  <c r="Q176" i="1"/>
  <c r="N176" i="1" s="1"/>
  <c r="L259" i="1"/>
  <c r="R259" i="1"/>
  <c r="P259" i="1"/>
  <c r="Q259" i="1" s="1"/>
  <c r="N259" i="1" s="1"/>
  <c r="R135" i="1"/>
  <c r="P135" i="1"/>
  <c r="Q135" i="1" s="1"/>
  <c r="N135" i="1" s="1"/>
  <c r="L135" i="1"/>
  <c r="M1245" i="1" l="1"/>
  <c r="L1246" i="1" s="1"/>
  <c r="N1244" i="1"/>
  <c r="M1139" i="1"/>
  <c r="L1140" i="1" s="1"/>
  <c r="P1245" i="1"/>
  <c r="O1246" i="1" s="1"/>
  <c r="P1282" i="1"/>
  <c r="O1283" i="1" s="1"/>
  <c r="Q1170" i="1"/>
  <c r="N1138" i="1"/>
  <c r="Q1208" i="1"/>
  <c r="P1171" i="1"/>
  <c r="O1172" i="1" s="1"/>
  <c r="Q1171" i="1"/>
  <c r="P1138" i="1"/>
  <c r="O1139" i="1" s="1"/>
  <c r="Q1138" i="1"/>
  <c r="M1169" i="1"/>
  <c r="L1170" i="1" s="1"/>
  <c r="Q1281" i="1"/>
  <c r="S1282" i="1"/>
  <c r="R1283" i="1" s="1"/>
  <c r="T1282" i="1"/>
  <c r="U1282" i="1" s="1"/>
  <c r="P1209" i="1"/>
  <c r="O1210" i="1" s="1"/>
  <c r="N1207" i="1"/>
  <c r="M1207" i="1"/>
  <c r="L1208" i="1" s="1"/>
  <c r="M1282" i="1"/>
  <c r="L1283" i="1" s="1"/>
  <c r="Q1137" i="1"/>
  <c r="N1168" i="1"/>
  <c r="T761" i="1"/>
  <c r="U761" i="1" s="1"/>
  <c r="N940" i="1"/>
  <c r="M941" i="1"/>
  <c r="L942" i="1" s="1"/>
  <c r="M1005" i="1"/>
  <c r="L1006" i="1" s="1"/>
  <c r="N907" i="1"/>
  <c r="P1096" i="1"/>
  <c r="R1096" i="1"/>
  <c r="M908" i="1"/>
  <c r="L909" i="1" s="1"/>
  <c r="P910" i="1"/>
  <c r="O911" i="1" s="1"/>
  <c r="M1107" i="1"/>
  <c r="L1108" i="1" s="1"/>
  <c r="M973" i="1"/>
  <c r="L974" i="1" s="1"/>
  <c r="N1070" i="1"/>
  <c r="P1072" i="1"/>
  <c r="O1073" i="1" s="1"/>
  <c r="P1006" i="1"/>
  <c r="O1007" i="1" s="1"/>
  <c r="Q1006" i="1"/>
  <c r="M1071" i="1"/>
  <c r="L1072" i="1" s="1"/>
  <c r="Q1037" i="1"/>
  <c r="Q1071" i="1"/>
  <c r="P974" i="1"/>
  <c r="O975" i="1" s="1"/>
  <c r="M1038" i="1"/>
  <c r="L1039" i="1" s="1"/>
  <c r="P940" i="1"/>
  <c r="O941" i="1" s="1"/>
  <c r="Q939" i="1"/>
  <c r="N1004" i="1"/>
  <c r="Q909" i="1"/>
  <c r="P1038" i="1"/>
  <c r="O1039" i="1" s="1"/>
  <c r="N972" i="1"/>
  <c r="Q973" i="1"/>
  <c r="N1037" i="1"/>
  <c r="T543" i="1"/>
  <c r="U543" i="1" s="1"/>
  <c r="S13" i="1"/>
  <c r="S798" i="1"/>
  <c r="Q762" i="1"/>
  <c r="T762" i="1" s="1"/>
  <c r="U762" i="1" s="1"/>
  <c r="S870" i="1"/>
  <c r="S725" i="1"/>
  <c r="Q581" i="1"/>
  <c r="T581" i="1" s="1"/>
  <c r="U581" i="1" s="1"/>
  <c r="Q726" i="1"/>
  <c r="T726" i="1" s="1"/>
  <c r="U726" i="1" s="1"/>
  <c r="R763" i="1"/>
  <c r="P763" i="1"/>
  <c r="O764" i="1" s="1"/>
  <c r="Q657" i="1"/>
  <c r="S657" i="1" s="1"/>
  <c r="N727" i="1"/>
  <c r="M728" i="1"/>
  <c r="L729" i="1" s="1"/>
  <c r="R545" i="1"/>
  <c r="P545" i="1"/>
  <c r="O546" i="1" s="1"/>
  <c r="M620" i="1"/>
  <c r="L621" i="1" s="1"/>
  <c r="N620" i="1"/>
  <c r="T619" i="1"/>
  <c r="U619" i="1" s="1"/>
  <c r="S619" i="1"/>
  <c r="S871" i="1"/>
  <c r="T871" i="1"/>
  <c r="U871" i="1" s="1"/>
  <c r="M801" i="1"/>
  <c r="L802" i="1" s="1"/>
  <c r="N872" i="1"/>
  <c r="N800" i="1"/>
  <c r="T656" i="1"/>
  <c r="U656" i="1" s="1"/>
  <c r="S656" i="1"/>
  <c r="M546" i="1"/>
  <c r="L547" i="1" s="1"/>
  <c r="Q799" i="1"/>
  <c r="T696" i="1"/>
  <c r="U696" i="1" s="1"/>
  <c r="S696" i="1"/>
  <c r="M697" i="1"/>
  <c r="L698" i="1" s="1"/>
  <c r="N545" i="1"/>
  <c r="T837" i="1"/>
  <c r="U837" i="1" s="1"/>
  <c r="S837" i="1"/>
  <c r="R839" i="1"/>
  <c r="P839" i="1"/>
  <c r="O840" i="1" s="1"/>
  <c r="N656" i="1"/>
  <c r="N582" i="1"/>
  <c r="M873" i="1"/>
  <c r="L874" i="1" s="1"/>
  <c r="R872" i="1"/>
  <c r="P872" i="1"/>
  <c r="O873" i="1" s="1"/>
  <c r="M837" i="1"/>
  <c r="L838" i="1" s="1"/>
  <c r="R621" i="1"/>
  <c r="P621" i="1"/>
  <c r="O622" i="1" s="1"/>
  <c r="N836" i="1"/>
  <c r="Q620" i="1"/>
  <c r="M764" i="1"/>
  <c r="L765" i="1" s="1"/>
  <c r="P582" i="1"/>
  <c r="O583" i="1" s="1"/>
  <c r="R582" i="1"/>
  <c r="N696" i="1"/>
  <c r="R698" i="1"/>
  <c r="P698" i="1"/>
  <c r="O699" i="1" s="1"/>
  <c r="M657" i="1"/>
  <c r="L658" i="1" s="1"/>
  <c r="Q838" i="1"/>
  <c r="M583" i="1"/>
  <c r="L584" i="1" s="1"/>
  <c r="Q544" i="1"/>
  <c r="N619" i="1"/>
  <c r="R800" i="1"/>
  <c r="P800" i="1"/>
  <c r="O801" i="1" s="1"/>
  <c r="T580" i="1"/>
  <c r="U580" i="1" s="1"/>
  <c r="S580" i="1"/>
  <c r="R727" i="1"/>
  <c r="P727" i="1"/>
  <c r="O728" i="1" s="1"/>
  <c r="N763" i="1"/>
  <c r="R658" i="1"/>
  <c r="P658" i="1"/>
  <c r="O659" i="1" s="1"/>
  <c r="Q697" i="1"/>
  <c r="O219" i="1"/>
  <c r="M218" i="1"/>
  <c r="L300" i="1"/>
  <c r="R300" i="1"/>
  <c r="P300" i="1"/>
  <c r="Q300" i="1" s="1"/>
  <c r="N300" i="1" s="1"/>
  <c r="O51" i="1"/>
  <c r="M50" i="1"/>
  <c r="P15" i="1"/>
  <c r="O16" i="1" s="1"/>
  <c r="R15" i="1"/>
  <c r="O503" i="1"/>
  <c r="M502" i="1"/>
  <c r="S502" i="1"/>
  <c r="T502" i="1" s="1"/>
  <c r="S381" i="1"/>
  <c r="T381" i="1" s="1"/>
  <c r="S218" i="1"/>
  <c r="T218" i="1" s="1"/>
  <c r="S99" i="1"/>
  <c r="R100" i="1" s="1"/>
  <c r="S50" i="1"/>
  <c r="T50" i="1" s="1"/>
  <c r="R463" i="1"/>
  <c r="P463" i="1"/>
  <c r="L463" i="1"/>
  <c r="M15" i="1"/>
  <c r="L16" i="1" s="1"/>
  <c r="L422" i="1"/>
  <c r="P422" i="1"/>
  <c r="Q422" i="1" s="1"/>
  <c r="N422" i="1" s="1"/>
  <c r="R422" i="1"/>
  <c r="O382" i="1"/>
  <c r="M381" i="1"/>
  <c r="M259" i="1"/>
  <c r="O260" i="1"/>
  <c r="S259" i="1"/>
  <c r="T259" i="1" s="1"/>
  <c r="L92" i="1"/>
  <c r="P92" i="1"/>
  <c r="Q92" i="1" s="1"/>
  <c r="N92" i="1" s="1"/>
  <c r="P177" i="1"/>
  <c r="Q177" i="1" s="1"/>
  <c r="N177" i="1" s="1"/>
  <c r="R177" i="1"/>
  <c r="L177" i="1"/>
  <c r="T98" i="1"/>
  <c r="O136" i="1"/>
  <c r="M135" i="1"/>
  <c r="N14" i="1"/>
  <c r="S135" i="1"/>
  <c r="T135" i="1" s="1"/>
  <c r="Q14" i="1"/>
  <c r="L340" i="1"/>
  <c r="R340" i="1"/>
  <c r="P340" i="1"/>
  <c r="Q340" i="1" s="1"/>
  <c r="N340" i="1" s="1"/>
  <c r="P1210" i="1" l="1"/>
  <c r="O1211" i="1" s="1"/>
  <c r="Q1210" i="1"/>
  <c r="Q1209" i="1"/>
  <c r="P1246" i="1"/>
  <c r="O1247" i="1" s="1"/>
  <c r="P1283" i="1"/>
  <c r="O1284" i="1" s="1"/>
  <c r="M1170" i="1"/>
  <c r="L1171" i="1" s="1"/>
  <c r="N1170" i="1"/>
  <c r="Q1245" i="1"/>
  <c r="M1140" i="1"/>
  <c r="L1141" i="1" s="1"/>
  <c r="N1139" i="1"/>
  <c r="S1283" i="1"/>
  <c r="R1284" i="1" s="1"/>
  <c r="M1283" i="1"/>
  <c r="L1284" i="1" s="1"/>
  <c r="P1139" i="1"/>
  <c r="O1140" i="1" s="1"/>
  <c r="N1282" i="1"/>
  <c r="M1246" i="1"/>
  <c r="L1247" i="1" s="1"/>
  <c r="Q1282" i="1"/>
  <c r="N1169" i="1"/>
  <c r="M1208" i="1"/>
  <c r="L1209" i="1" s="1"/>
  <c r="P1172" i="1"/>
  <c r="O1173" i="1" s="1"/>
  <c r="N1245" i="1"/>
  <c r="S762" i="1"/>
  <c r="N1071" i="1"/>
  <c r="S581" i="1"/>
  <c r="P1039" i="1"/>
  <c r="O1040" i="1" s="1"/>
  <c r="Q1038" i="1"/>
  <c r="P1007" i="1"/>
  <c r="O1008" i="1" s="1"/>
  <c r="P1073" i="1"/>
  <c r="O1074" i="1" s="1"/>
  <c r="Q1072" i="1"/>
  <c r="N1038" i="1"/>
  <c r="M974" i="1"/>
  <c r="L975" i="1" s="1"/>
  <c r="M1006" i="1"/>
  <c r="L1007" i="1" s="1"/>
  <c r="P911" i="1"/>
  <c r="O912" i="1" s="1"/>
  <c r="Q910" i="1"/>
  <c r="M909" i="1"/>
  <c r="L910" i="1" s="1"/>
  <c r="P941" i="1"/>
  <c r="O942" i="1" s="1"/>
  <c r="Q941" i="1"/>
  <c r="Q940" i="1"/>
  <c r="M1039" i="1"/>
  <c r="L1040" i="1" s="1"/>
  <c r="N1039" i="1"/>
  <c r="Q974" i="1"/>
  <c r="N973" i="1"/>
  <c r="N1005" i="1"/>
  <c r="M1072" i="1"/>
  <c r="L1073" i="1" s="1"/>
  <c r="N908" i="1"/>
  <c r="O1097" i="1"/>
  <c r="S1096" i="1"/>
  <c r="Q1096" i="1"/>
  <c r="P975" i="1"/>
  <c r="O976" i="1" s="1"/>
  <c r="M1108" i="1"/>
  <c r="L1109" i="1" s="1"/>
  <c r="M942" i="1"/>
  <c r="L943" i="1" s="1"/>
  <c r="N1107" i="1"/>
  <c r="N941" i="1"/>
  <c r="S726" i="1"/>
  <c r="T657" i="1"/>
  <c r="U657" i="1" s="1"/>
  <c r="Q763" i="1"/>
  <c r="Q800" i="1"/>
  <c r="T800" i="1" s="1"/>
  <c r="U800" i="1" s="1"/>
  <c r="P764" i="1"/>
  <c r="O765" i="1" s="1"/>
  <c r="R764" i="1"/>
  <c r="Q764" i="1"/>
  <c r="T697" i="1"/>
  <c r="U697" i="1" s="1"/>
  <c r="S697" i="1"/>
  <c r="N546" i="1"/>
  <c r="Q872" i="1"/>
  <c r="N697" i="1"/>
  <c r="M765" i="1"/>
  <c r="L766" i="1" s="1"/>
  <c r="M874" i="1"/>
  <c r="L875" i="1" s="1"/>
  <c r="R546" i="1"/>
  <c r="P546" i="1"/>
  <c r="O547" i="1" s="1"/>
  <c r="T544" i="1"/>
  <c r="U544" i="1" s="1"/>
  <c r="S544" i="1"/>
  <c r="R728" i="1"/>
  <c r="P728" i="1"/>
  <c r="O729" i="1" s="1"/>
  <c r="T838" i="1"/>
  <c r="U838" i="1" s="1"/>
  <c r="S838" i="1"/>
  <c r="N764" i="1"/>
  <c r="N873" i="1"/>
  <c r="M802" i="1"/>
  <c r="L803" i="1" s="1"/>
  <c r="M547" i="1"/>
  <c r="L548" i="1" s="1"/>
  <c r="R873" i="1"/>
  <c r="P873" i="1"/>
  <c r="O874" i="1" s="1"/>
  <c r="R583" i="1"/>
  <c r="P583" i="1"/>
  <c r="O584" i="1" s="1"/>
  <c r="Q582" i="1"/>
  <c r="N583" i="1"/>
  <c r="Q727" i="1"/>
  <c r="S620" i="1"/>
  <c r="T620" i="1"/>
  <c r="U620" i="1" s="1"/>
  <c r="N801" i="1"/>
  <c r="N728" i="1"/>
  <c r="M698" i="1"/>
  <c r="L699" i="1" s="1"/>
  <c r="M658" i="1"/>
  <c r="L659" i="1" s="1"/>
  <c r="M729" i="1"/>
  <c r="L730" i="1" s="1"/>
  <c r="M838" i="1"/>
  <c r="L839" i="1" s="1"/>
  <c r="N837" i="1"/>
  <c r="R659" i="1"/>
  <c r="P659" i="1"/>
  <c r="O660" i="1" s="1"/>
  <c r="N657" i="1"/>
  <c r="R622" i="1"/>
  <c r="P622" i="1"/>
  <c r="O623" i="1" s="1"/>
  <c r="P840" i="1"/>
  <c r="O841" i="1" s="1"/>
  <c r="R840" i="1"/>
  <c r="Q658" i="1"/>
  <c r="M584" i="1"/>
  <c r="L585" i="1" s="1"/>
  <c r="R699" i="1"/>
  <c r="P699" i="1"/>
  <c r="O700" i="1" s="1"/>
  <c r="Q621" i="1"/>
  <c r="M621" i="1"/>
  <c r="L622" i="1" s="1"/>
  <c r="Q545" i="1"/>
  <c r="R801" i="1"/>
  <c r="P801" i="1"/>
  <c r="O802" i="1" s="1"/>
  <c r="Q698" i="1"/>
  <c r="Q839" i="1"/>
  <c r="T799" i="1"/>
  <c r="U799" i="1" s="1"/>
  <c r="S799" i="1"/>
  <c r="T99" i="1"/>
  <c r="O178" i="1"/>
  <c r="M177" i="1"/>
  <c r="N15" i="1"/>
  <c r="P503" i="1"/>
  <c r="R503" i="1"/>
  <c r="Q503" i="1"/>
  <c r="N503" i="1" s="1"/>
  <c r="L503" i="1"/>
  <c r="R16" i="1"/>
  <c r="P16" i="1"/>
  <c r="O17" i="1" s="1"/>
  <c r="S422" i="1"/>
  <c r="T422" i="1" s="1"/>
  <c r="O93" i="1"/>
  <c r="M92" i="1"/>
  <c r="S300" i="1"/>
  <c r="T300" i="1" s="1"/>
  <c r="S463" i="1"/>
  <c r="T463" i="1" s="1"/>
  <c r="S100" i="1"/>
  <c r="R101" i="1" s="1"/>
  <c r="S177" i="1"/>
  <c r="T177" i="1" s="1"/>
  <c r="S340" i="1"/>
  <c r="T340" i="1" s="1"/>
  <c r="T14" i="1"/>
  <c r="S14" i="1"/>
  <c r="O464" i="1"/>
  <c r="M463" i="1"/>
  <c r="P136" i="1"/>
  <c r="Q136" i="1" s="1"/>
  <c r="N136" i="1" s="1"/>
  <c r="L136" i="1"/>
  <c r="R136" i="1"/>
  <c r="R382" i="1"/>
  <c r="P382" i="1"/>
  <c r="Q382" i="1" s="1"/>
  <c r="N382" i="1" s="1"/>
  <c r="L382" i="1"/>
  <c r="M340" i="1"/>
  <c r="O341" i="1"/>
  <c r="Q15" i="1"/>
  <c r="M422" i="1"/>
  <c r="O423" i="1"/>
  <c r="P51" i="1"/>
  <c r="Q51" i="1" s="1"/>
  <c r="N51" i="1" s="1"/>
  <c r="R51" i="1"/>
  <c r="L51" i="1"/>
  <c r="M300" i="1"/>
  <c r="O301" i="1"/>
  <c r="M16" i="1"/>
  <c r="L17" i="1" s="1"/>
  <c r="R260" i="1"/>
  <c r="L260" i="1"/>
  <c r="P260" i="1"/>
  <c r="Q260" i="1" s="1"/>
  <c r="N260" i="1" s="1"/>
  <c r="Q463" i="1"/>
  <c r="N463" i="1" s="1"/>
  <c r="R219" i="1"/>
  <c r="P219" i="1"/>
  <c r="L219" i="1"/>
  <c r="M1141" i="1" l="1"/>
  <c r="L1142" i="1" s="1"/>
  <c r="N1140" i="1"/>
  <c r="M1171" i="1"/>
  <c r="L1172" i="1" s="1"/>
  <c r="M1284" i="1"/>
  <c r="L1285" i="1" s="1"/>
  <c r="N1284" i="1"/>
  <c r="P1247" i="1"/>
  <c r="O1248" i="1" s="1"/>
  <c r="M1247" i="1"/>
  <c r="L1248" i="1" s="1"/>
  <c r="Q1284" i="1"/>
  <c r="P1284" i="1"/>
  <c r="O1285" i="1" s="1"/>
  <c r="N1283" i="1"/>
  <c r="Q1246" i="1"/>
  <c r="P1140" i="1"/>
  <c r="O1141" i="1" s="1"/>
  <c r="P1173" i="1"/>
  <c r="O1174" i="1" s="1"/>
  <c r="Q1172" i="1"/>
  <c r="S1284" i="1"/>
  <c r="R1285" i="1" s="1"/>
  <c r="N1246" i="1"/>
  <c r="Q1139" i="1"/>
  <c r="M1209" i="1"/>
  <c r="L1210" i="1" s="1"/>
  <c r="T1283" i="1"/>
  <c r="U1283" i="1" s="1"/>
  <c r="Q1283" i="1"/>
  <c r="N1208" i="1"/>
  <c r="P1211" i="1"/>
  <c r="O1212" i="1" s="1"/>
  <c r="N942" i="1"/>
  <c r="Q1039" i="1"/>
  <c r="M1109" i="1"/>
  <c r="L1110" i="1" s="1"/>
  <c r="N1108" i="1"/>
  <c r="M1040" i="1"/>
  <c r="L1041" i="1" s="1"/>
  <c r="R1097" i="1"/>
  <c r="P1097" i="1"/>
  <c r="Q1097" i="1" s="1"/>
  <c r="N909" i="1"/>
  <c r="M1073" i="1"/>
  <c r="L1074" i="1" s="1"/>
  <c r="Q1007" i="1"/>
  <c r="N974" i="1"/>
  <c r="P942" i="1"/>
  <c r="O943" i="1" s="1"/>
  <c r="M910" i="1"/>
  <c r="L911" i="1" s="1"/>
  <c r="P1008" i="1"/>
  <c r="O1009" i="1" s="1"/>
  <c r="N1072" i="1"/>
  <c r="P912" i="1"/>
  <c r="O913" i="1" s="1"/>
  <c r="M1007" i="1"/>
  <c r="L1008" i="1" s="1"/>
  <c r="M975" i="1"/>
  <c r="L976" i="1" s="1"/>
  <c r="P976" i="1"/>
  <c r="O977" i="1" s="1"/>
  <c r="Q975" i="1"/>
  <c r="P1074" i="1"/>
  <c r="O1075" i="1" s="1"/>
  <c r="Q1073" i="1"/>
  <c r="M943" i="1"/>
  <c r="L944" i="1" s="1"/>
  <c r="Q911" i="1"/>
  <c r="P1040" i="1"/>
  <c r="O1041" i="1" s="1"/>
  <c r="N1006" i="1"/>
  <c r="N698" i="1"/>
  <c r="S800" i="1"/>
  <c r="N16" i="1"/>
  <c r="N547" i="1"/>
  <c r="T764" i="1"/>
  <c r="U764" i="1" s="1"/>
  <c r="S764" i="1"/>
  <c r="R765" i="1"/>
  <c r="P765" i="1"/>
  <c r="O766" i="1" s="1"/>
  <c r="N621" i="1"/>
  <c r="T763" i="1"/>
  <c r="U763" i="1" s="1"/>
  <c r="S763" i="1"/>
  <c r="M839" i="1"/>
  <c r="L840" i="1" s="1"/>
  <c r="M875" i="1"/>
  <c r="L876" i="1" s="1"/>
  <c r="R874" i="1"/>
  <c r="P874" i="1"/>
  <c r="O875" i="1" s="1"/>
  <c r="T872" i="1"/>
  <c r="U872" i="1" s="1"/>
  <c r="S872" i="1"/>
  <c r="M730" i="1"/>
  <c r="L731" i="1" s="1"/>
  <c r="Q840" i="1"/>
  <c r="M659" i="1"/>
  <c r="L660" i="1" s="1"/>
  <c r="N874" i="1"/>
  <c r="Q622" i="1"/>
  <c r="M766" i="1"/>
  <c r="L767" i="1" s="1"/>
  <c r="P802" i="1"/>
  <c r="O803" i="1" s="1"/>
  <c r="R802" i="1"/>
  <c r="M699" i="1"/>
  <c r="L700" i="1" s="1"/>
  <c r="Q583" i="1"/>
  <c r="R660" i="1"/>
  <c r="P660" i="1"/>
  <c r="O661" i="1" s="1"/>
  <c r="N584" i="1"/>
  <c r="Q659" i="1"/>
  <c r="Q873" i="1"/>
  <c r="N838" i="1"/>
  <c r="M803" i="1"/>
  <c r="L804" i="1" s="1"/>
  <c r="R841" i="1"/>
  <c r="P841" i="1"/>
  <c r="O842" i="1" s="1"/>
  <c r="N802" i="1"/>
  <c r="N729" i="1"/>
  <c r="P623" i="1"/>
  <c r="O624" i="1" s="1"/>
  <c r="R623" i="1"/>
  <c r="P700" i="1"/>
  <c r="O701" i="1" s="1"/>
  <c r="R700" i="1"/>
  <c r="N658" i="1"/>
  <c r="Q699" i="1"/>
  <c r="M585" i="1"/>
  <c r="L586" i="1" s="1"/>
  <c r="T545" i="1"/>
  <c r="U545" i="1" s="1"/>
  <c r="S545" i="1"/>
  <c r="R547" i="1"/>
  <c r="P547" i="1"/>
  <c r="O548" i="1" s="1"/>
  <c r="Q546" i="1"/>
  <c r="S727" i="1"/>
  <c r="T727" i="1"/>
  <c r="U727" i="1" s="1"/>
  <c r="T621" i="1"/>
  <c r="U621" i="1" s="1"/>
  <c r="S621" i="1"/>
  <c r="T582" i="1"/>
  <c r="U582" i="1" s="1"/>
  <c r="S582" i="1"/>
  <c r="T839" i="1"/>
  <c r="U839" i="1" s="1"/>
  <c r="S839" i="1"/>
  <c r="R584" i="1"/>
  <c r="P584" i="1"/>
  <c r="O585" i="1" s="1"/>
  <c r="T698" i="1"/>
  <c r="U698" i="1" s="1"/>
  <c r="S698" i="1"/>
  <c r="N765" i="1"/>
  <c r="R729" i="1"/>
  <c r="P729" i="1"/>
  <c r="O730" i="1" s="1"/>
  <c r="Q801" i="1"/>
  <c r="Q728" i="1"/>
  <c r="T658" i="1"/>
  <c r="U658" i="1" s="1"/>
  <c r="S658" i="1"/>
  <c r="M622" i="1"/>
  <c r="L623" i="1" s="1"/>
  <c r="M548" i="1"/>
  <c r="L549" i="1" s="1"/>
  <c r="O220" i="1"/>
  <c r="M219" i="1"/>
  <c r="Q16" i="1"/>
  <c r="S51" i="1"/>
  <c r="T51" i="1" s="1"/>
  <c r="T100" i="1"/>
  <c r="R464" i="1"/>
  <c r="P464" i="1"/>
  <c r="L464" i="1"/>
  <c r="S219" i="1"/>
  <c r="T219" i="1" s="1"/>
  <c r="S136" i="1"/>
  <c r="T136" i="1" s="1"/>
  <c r="L423" i="1"/>
  <c r="R423" i="1"/>
  <c r="P423" i="1"/>
  <c r="Q423" i="1" s="1"/>
  <c r="N423" i="1" s="1"/>
  <c r="O504" i="1"/>
  <c r="M503" i="1"/>
  <c r="R341" i="1"/>
  <c r="P341" i="1"/>
  <c r="Q341" i="1" s="1"/>
  <c r="N341" i="1" s="1"/>
  <c r="L341" i="1"/>
  <c r="M382" i="1"/>
  <c r="O383" i="1"/>
  <c r="S382" i="1"/>
  <c r="T382" i="1" s="1"/>
  <c r="Q219" i="1"/>
  <c r="N219" i="1" s="1"/>
  <c r="O52" i="1"/>
  <c r="M51" i="1"/>
  <c r="M136" i="1"/>
  <c r="O137" i="1"/>
  <c r="S260" i="1"/>
  <c r="T260" i="1"/>
  <c r="P93" i="1"/>
  <c r="Q93" i="1" s="1"/>
  <c r="N93" i="1" s="1"/>
  <c r="L93" i="1"/>
  <c r="L178" i="1"/>
  <c r="P178" i="1"/>
  <c r="R178" i="1"/>
  <c r="R301" i="1"/>
  <c r="P301" i="1"/>
  <c r="L301" i="1"/>
  <c r="R17" i="1"/>
  <c r="P17" i="1"/>
  <c r="O18" i="1" s="1"/>
  <c r="S101" i="1"/>
  <c r="R102" i="1" s="1"/>
  <c r="O261" i="1"/>
  <c r="M260" i="1"/>
  <c r="S503" i="1"/>
  <c r="T503" i="1" s="1"/>
  <c r="S15" i="1"/>
  <c r="T15" i="1"/>
  <c r="M17" i="1"/>
  <c r="L18" i="1" s="1"/>
  <c r="M1248" i="1" l="1"/>
  <c r="L1249" i="1" s="1"/>
  <c r="M1285" i="1"/>
  <c r="L1286" i="1" s="1"/>
  <c r="S1285" i="1"/>
  <c r="R1286" i="1" s="1"/>
  <c r="T1284" i="1"/>
  <c r="U1284" i="1" s="1"/>
  <c r="M1172" i="1"/>
  <c r="L1173" i="1" s="1"/>
  <c r="P1248" i="1"/>
  <c r="O1249" i="1" s="1"/>
  <c r="Q1247" i="1"/>
  <c r="N1171" i="1"/>
  <c r="P1212" i="1"/>
  <c r="O1213" i="1" s="1"/>
  <c r="Q1212" i="1"/>
  <c r="Q1173" i="1"/>
  <c r="Q1140" i="1"/>
  <c r="P1141" i="1"/>
  <c r="O1142" i="1" s="1"/>
  <c r="N1209" i="1"/>
  <c r="M1142" i="1"/>
  <c r="L1143" i="1" s="1"/>
  <c r="N1142" i="1"/>
  <c r="N1247" i="1"/>
  <c r="Q1174" i="1"/>
  <c r="P1174" i="1"/>
  <c r="O1175" i="1" s="1"/>
  <c r="Q1211" i="1"/>
  <c r="M1210" i="1"/>
  <c r="L1211" i="1" s="1"/>
  <c r="P1285" i="1"/>
  <c r="O1286" i="1" s="1"/>
  <c r="N1141" i="1"/>
  <c r="N1007" i="1"/>
  <c r="Q912" i="1"/>
  <c r="Q1008" i="1"/>
  <c r="N910" i="1"/>
  <c r="Q700" i="1"/>
  <c r="P1041" i="1"/>
  <c r="O1042" i="1" s="1"/>
  <c r="N943" i="1"/>
  <c r="P1075" i="1"/>
  <c r="O1076" i="1" s="1"/>
  <c r="Q1075" i="1"/>
  <c r="M944" i="1"/>
  <c r="L945" i="1" s="1"/>
  <c r="S1097" i="1"/>
  <c r="O1098" i="1"/>
  <c r="P977" i="1"/>
  <c r="O978" i="1" s="1"/>
  <c r="M911" i="1"/>
  <c r="L912" i="1" s="1"/>
  <c r="N1040" i="1"/>
  <c r="M1008" i="1"/>
  <c r="L1009" i="1" s="1"/>
  <c r="N1073" i="1"/>
  <c r="P1009" i="1"/>
  <c r="O1010" i="1" s="1"/>
  <c r="Q1009" i="1"/>
  <c r="M1041" i="1"/>
  <c r="L1042" i="1" s="1"/>
  <c r="Q976" i="1"/>
  <c r="Q942" i="1"/>
  <c r="M1074" i="1"/>
  <c r="L1075" i="1" s="1"/>
  <c r="P913" i="1"/>
  <c r="O914" i="1" s="1"/>
  <c r="Q1074" i="1"/>
  <c r="M976" i="1"/>
  <c r="L977" i="1" s="1"/>
  <c r="P943" i="1"/>
  <c r="O944" i="1" s="1"/>
  <c r="M1110" i="1"/>
  <c r="L1111" i="1" s="1"/>
  <c r="Q1040" i="1"/>
  <c r="N975" i="1"/>
  <c r="N1109" i="1"/>
  <c r="Q660" i="1"/>
  <c r="T660" i="1" s="1"/>
  <c r="U660" i="1" s="1"/>
  <c r="N730" i="1"/>
  <c r="P766" i="1"/>
  <c r="O767" i="1" s="1"/>
  <c r="R766" i="1"/>
  <c r="Q547" i="1"/>
  <c r="S547" i="1" s="1"/>
  <c r="Q765" i="1"/>
  <c r="Q802" i="1"/>
  <c r="T802" i="1" s="1"/>
  <c r="U802" i="1" s="1"/>
  <c r="P585" i="1"/>
  <c r="O586" i="1" s="1"/>
  <c r="R585" i="1"/>
  <c r="S802" i="1"/>
  <c r="Q584" i="1"/>
  <c r="T801" i="1"/>
  <c r="U801" i="1" s="1"/>
  <c r="S801" i="1"/>
  <c r="R548" i="1"/>
  <c r="P548" i="1"/>
  <c r="O549" i="1" s="1"/>
  <c r="T659" i="1"/>
  <c r="U659" i="1" s="1"/>
  <c r="S659" i="1"/>
  <c r="N766" i="1"/>
  <c r="R875" i="1"/>
  <c r="P875" i="1"/>
  <c r="O876" i="1" s="1"/>
  <c r="N622" i="1"/>
  <c r="S546" i="1"/>
  <c r="T546" i="1"/>
  <c r="U546" i="1" s="1"/>
  <c r="R730" i="1"/>
  <c r="P730" i="1"/>
  <c r="O731" i="1" s="1"/>
  <c r="R624" i="1"/>
  <c r="P624" i="1"/>
  <c r="O625" i="1" s="1"/>
  <c r="T622" i="1"/>
  <c r="U622" i="1" s="1"/>
  <c r="S622" i="1"/>
  <c r="M623" i="1"/>
  <c r="L624" i="1" s="1"/>
  <c r="Q729" i="1"/>
  <c r="Q623" i="1"/>
  <c r="R661" i="1"/>
  <c r="P661" i="1"/>
  <c r="O662" i="1" s="1"/>
  <c r="Q874" i="1"/>
  <c r="T699" i="1"/>
  <c r="U699" i="1" s="1"/>
  <c r="S699" i="1"/>
  <c r="N803" i="1"/>
  <c r="R803" i="1"/>
  <c r="P803" i="1"/>
  <c r="O804" i="1" s="1"/>
  <c r="S728" i="1"/>
  <c r="T728" i="1"/>
  <c r="U728" i="1" s="1"/>
  <c r="M660" i="1"/>
  <c r="L661" i="1" s="1"/>
  <c r="M876" i="1"/>
  <c r="L877" i="1" s="1"/>
  <c r="M804" i="1"/>
  <c r="L805" i="1" s="1"/>
  <c r="T700" i="1"/>
  <c r="U700" i="1" s="1"/>
  <c r="S700" i="1"/>
  <c r="T873" i="1"/>
  <c r="U873" i="1" s="1"/>
  <c r="S873" i="1"/>
  <c r="N659" i="1"/>
  <c r="N875" i="1"/>
  <c r="R701" i="1"/>
  <c r="P701" i="1"/>
  <c r="O702" i="1" s="1"/>
  <c r="M549" i="1"/>
  <c r="L550" i="1" s="1"/>
  <c r="N585" i="1"/>
  <c r="R842" i="1"/>
  <c r="P842" i="1"/>
  <c r="O843" i="1" s="1"/>
  <c r="T583" i="1"/>
  <c r="U583" i="1" s="1"/>
  <c r="S583" i="1"/>
  <c r="T840" i="1"/>
  <c r="U840" i="1" s="1"/>
  <c r="S840" i="1"/>
  <c r="M840" i="1"/>
  <c r="L841" i="1" s="1"/>
  <c r="M700" i="1"/>
  <c r="L701" i="1" s="1"/>
  <c r="M767" i="1"/>
  <c r="L768" i="1" s="1"/>
  <c r="N548" i="1"/>
  <c r="M586" i="1"/>
  <c r="L587" i="1" s="1"/>
  <c r="Q841" i="1"/>
  <c r="N699" i="1"/>
  <c r="M731" i="1"/>
  <c r="L732" i="1" s="1"/>
  <c r="N839" i="1"/>
  <c r="Q17" i="1"/>
  <c r="T17" i="1" s="1"/>
  <c r="M464" i="1"/>
  <c r="O465" i="1"/>
  <c r="S301" i="1"/>
  <c r="T301" i="1" s="1"/>
  <c r="L52" i="1"/>
  <c r="R52" i="1"/>
  <c r="P52" i="1"/>
  <c r="S102" i="1"/>
  <c r="R103" i="1" s="1"/>
  <c r="S16" i="1"/>
  <c r="T16" i="1"/>
  <c r="M18" i="1"/>
  <c r="L19" i="1" s="1"/>
  <c r="O302" i="1"/>
  <c r="M301" i="1"/>
  <c r="R137" i="1"/>
  <c r="P137" i="1"/>
  <c r="L137" i="1"/>
  <c r="L504" i="1"/>
  <c r="P504" i="1"/>
  <c r="R504" i="1"/>
  <c r="S178" i="1"/>
  <c r="T178" i="1" s="1"/>
  <c r="M178" i="1"/>
  <c r="O179" i="1"/>
  <c r="Q178" i="1"/>
  <c r="N178" i="1" s="1"/>
  <c r="S423" i="1"/>
  <c r="T423" i="1" s="1"/>
  <c r="T101" i="1"/>
  <c r="L383" i="1"/>
  <c r="R383" i="1"/>
  <c r="P383" i="1"/>
  <c r="O342" i="1"/>
  <c r="M341" i="1"/>
  <c r="N17" i="1"/>
  <c r="S341" i="1"/>
  <c r="T341" i="1" s="1"/>
  <c r="Q301" i="1"/>
  <c r="N301" i="1" s="1"/>
  <c r="Q464" i="1"/>
  <c r="N464" i="1" s="1"/>
  <c r="S464" i="1"/>
  <c r="T464" i="1" s="1"/>
  <c r="M423" i="1"/>
  <c r="O424" i="1"/>
  <c r="R261" i="1"/>
  <c r="P261" i="1"/>
  <c r="L261" i="1"/>
  <c r="P18" i="1"/>
  <c r="O19" i="1" s="1"/>
  <c r="R18" i="1"/>
  <c r="O94" i="1"/>
  <c r="M93" i="1"/>
  <c r="R220" i="1"/>
  <c r="P220" i="1"/>
  <c r="Q220" i="1" s="1"/>
  <c r="N220" i="1" s="1"/>
  <c r="L220" i="1"/>
  <c r="P1286" i="1" l="1"/>
  <c r="O1287" i="1" s="1"/>
  <c r="P1249" i="1"/>
  <c r="O1250" i="1" s="1"/>
  <c r="M1211" i="1"/>
  <c r="L1212" i="1" s="1"/>
  <c r="N1211" i="1"/>
  <c r="M1286" i="1"/>
  <c r="L1287" i="1" s="1"/>
  <c r="M1173" i="1"/>
  <c r="L1174" i="1" s="1"/>
  <c r="N1173" i="1"/>
  <c r="P1142" i="1"/>
  <c r="O1143" i="1" s="1"/>
  <c r="N1210" i="1"/>
  <c r="N1285" i="1"/>
  <c r="Q1248" i="1"/>
  <c r="M1143" i="1"/>
  <c r="L1144" i="1" s="1"/>
  <c r="Q1141" i="1"/>
  <c r="Q1285" i="1"/>
  <c r="P1213" i="1"/>
  <c r="O1214" i="1" s="1"/>
  <c r="M1249" i="1"/>
  <c r="L1250" i="1" s="1"/>
  <c r="N1172" i="1"/>
  <c r="S1286" i="1"/>
  <c r="R1287" i="1" s="1"/>
  <c r="T1285" i="1"/>
  <c r="U1285" i="1" s="1"/>
  <c r="P1175" i="1"/>
  <c r="O1176" i="1" s="1"/>
  <c r="N1248" i="1"/>
  <c r="N767" i="1"/>
  <c r="N549" i="1"/>
  <c r="N700" i="1"/>
  <c r="N1008" i="1"/>
  <c r="Q766" i="1"/>
  <c r="T766" i="1" s="1"/>
  <c r="U766" i="1" s="1"/>
  <c r="Q624" i="1"/>
  <c r="T624" i="1" s="1"/>
  <c r="U624" i="1" s="1"/>
  <c r="S660" i="1"/>
  <c r="N911" i="1"/>
  <c r="M1075" i="1"/>
  <c r="L1076" i="1" s="1"/>
  <c r="M1111" i="1"/>
  <c r="L1112" i="1" s="1"/>
  <c r="Q977" i="1"/>
  <c r="R1098" i="1"/>
  <c r="P1098" i="1"/>
  <c r="Q943" i="1"/>
  <c r="M945" i="1"/>
  <c r="L946" i="1" s="1"/>
  <c r="P1010" i="1"/>
  <c r="O1011" i="1" s="1"/>
  <c r="P1076" i="1"/>
  <c r="O1077" i="1" s="1"/>
  <c r="P914" i="1"/>
  <c r="O915" i="1" s="1"/>
  <c r="Q913" i="1"/>
  <c r="P1042" i="1"/>
  <c r="O1043" i="1" s="1"/>
  <c r="P978" i="1"/>
  <c r="O979" i="1" s="1"/>
  <c r="N1110" i="1"/>
  <c r="M1042" i="1"/>
  <c r="L1043" i="1" s="1"/>
  <c r="P944" i="1"/>
  <c r="O945" i="1" s="1"/>
  <c r="N1041" i="1"/>
  <c r="M977" i="1"/>
  <c r="L978" i="1" s="1"/>
  <c r="N944" i="1"/>
  <c r="N976" i="1"/>
  <c r="M1009" i="1"/>
  <c r="L1010" i="1" s="1"/>
  <c r="N1074" i="1"/>
  <c r="M912" i="1"/>
  <c r="L913" i="1" s="1"/>
  <c r="Q1041" i="1"/>
  <c r="T547" i="1"/>
  <c r="U547" i="1" s="1"/>
  <c r="S17" i="1"/>
  <c r="N623" i="1"/>
  <c r="S765" i="1"/>
  <c r="T765" i="1"/>
  <c r="U765" i="1" s="1"/>
  <c r="R767" i="1"/>
  <c r="P767" i="1"/>
  <c r="O768" i="1" s="1"/>
  <c r="Q661" i="1"/>
  <c r="S661" i="1" s="1"/>
  <c r="M732" i="1"/>
  <c r="L733" i="1" s="1"/>
  <c r="Q803" i="1"/>
  <c r="M624" i="1"/>
  <c r="L625" i="1" s="1"/>
  <c r="R549" i="1"/>
  <c r="P549" i="1"/>
  <c r="O550" i="1" s="1"/>
  <c r="M805" i="1"/>
  <c r="L806" i="1" s="1"/>
  <c r="R843" i="1"/>
  <c r="P843" i="1"/>
  <c r="O844" i="1" s="1"/>
  <c r="T841" i="1"/>
  <c r="U841" i="1" s="1"/>
  <c r="S841" i="1"/>
  <c r="Q730" i="1"/>
  <c r="M768" i="1"/>
  <c r="L769" i="1" s="1"/>
  <c r="M701" i="1"/>
  <c r="L702" i="1" s="1"/>
  <c r="M841" i="1"/>
  <c r="L842" i="1" s="1"/>
  <c r="M877" i="1"/>
  <c r="L878" i="1" s="1"/>
  <c r="M587" i="1"/>
  <c r="L588" i="1" s="1"/>
  <c r="N876" i="1"/>
  <c r="R625" i="1"/>
  <c r="P625" i="1"/>
  <c r="O626" i="1" s="1"/>
  <c r="Q875" i="1"/>
  <c r="R731" i="1"/>
  <c r="P731" i="1"/>
  <c r="O732" i="1" s="1"/>
  <c r="Q548" i="1"/>
  <c r="R804" i="1"/>
  <c r="P804" i="1"/>
  <c r="O805" i="1" s="1"/>
  <c r="M550" i="1"/>
  <c r="L551" i="1" s="1"/>
  <c r="S584" i="1"/>
  <c r="T584" i="1"/>
  <c r="U584" i="1" s="1"/>
  <c r="R702" i="1"/>
  <c r="P702" i="1"/>
  <c r="O703" i="1" s="1"/>
  <c r="N840" i="1"/>
  <c r="N586" i="1"/>
  <c r="M661" i="1"/>
  <c r="L662" i="1" s="1"/>
  <c r="T874" i="1"/>
  <c r="U874" i="1" s="1"/>
  <c r="S874" i="1"/>
  <c r="R586" i="1"/>
  <c r="P586" i="1"/>
  <c r="O587" i="1" s="1"/>
  <c r="Q842" i="1"/>
  <c r="T623" i="1"/>
  <c r="U623" i="1" s="1"/>
  <c r="S623" i="1"/>
  <c r="T729" i="1"/>
  <c r="U729" i="1" s="1"/>
  <c r="S729" i="1"/>
  <c r="N731" i="1"/>
  <c r="N804" i="1"/>
  <c r="R876" i="1"/>
  <c r="P876" i="1"/>
  <c r="O877" i="1" s="1"/>
  <c r="Q701" i="1"/>
  <c r="N660" i="1"/>
  <c r="R662" i="1"/>
  <c r="P662" i="1"/>
  <c r="O663" i="1" s="1"/>
  <c r="Q585" i="1"/>
  <c r="S504" i="1"/>
  <c r="T504" i="1" s="1"/>
  <c r="S383" i="1"/>
  <c r="T383" i="1" s="1"/>
  <c r="O138" i="1"/>
  <c r="M137" i="1"/>
  <c r="O505" i="1"/>
  <c r="M504" i="1"/>
  <c r="S220" i="1"/>
  <c r="T220" i="1" s="1"/>
  <c r="P94" i="1"/>
  <c r="Q94" i="1" s="1"/>
  <c r="N94" i="1" s="1"/>
  <c r="L94" i="1"/>
  <c r="M52" i="1"/>
  <c r="O53" i="1"/>
  <c r="M383" i="1"/>
  <c r="O384" i="1"/>
  <c r="Q383" i="1"/>
  <c r="N383" i="1" s="1"/>
  <c r="Q504" i="1"/>
  <c r="N504" i="1" s="1"/>
  <c r="Q52" i="1"/>
  <c r="N52" i="1" s="1"/>
  <c r="Q137" i="1"/>
  <c r="N137" i="1" s="1"/>
  <c r="P342" i="1"/>
  <c r="Q342" i="1" s="1"/>
  <c r="N342" i="1" s="1"/>
  <c r="R342" i="1"/>
  <c r="L342" i="1"/>
  <c r="P302" i="1"/>
  <c r="L302" i="1"/>
  <c r="R302" i="1"/>
  <c r="S103" i="1"/>
  <c r="R104" i="1" s="1"/>
  <c r="R19" i="1"/>
  <c r="P19" i="1"/>
  <c r="O20" i="1" s="1"/>
  <c r="O262" i="1"/>
  <c r="M261" i="1"/>
  <c r="Q261" i="1"/>
  <c r="N261" i="1" s="1"/>
  <c r="S261" i="1"/>
  <c r="T261" i="1" s="1"/>
  <c r="M19" i="1"/>
  <c r="L20" i="1" s="1"/>
  <c r="R465" i="1"/>
  <c r="L465" i="1"/>
  <c r="P465" i="1"/>
  <c r="Q465" i="1" s="1"/>
  <c r="N465" i="1" s="1"/>
  <c r="T102" i="1"/>
  <c r="Q18" i="1"/>
  <c r="S52" i="1"/>
  <c r="T52" i="1" s="1"/>
  <c r="S137" i="1"/>
  <c r="T137" i="1" s="1"/>
  <c r="R179" i="1"/>
  <c r="L179" i="1"/>
  <c r="P179" i="1"/>
  <c r="Q179" i="1" s="1"/>
  <c r="N179" i="1" s="1"/>
  <c r="O221" i="1"/>
  <c r="M220" i="1"/>
  <c r="P424" i="1"/>
  <c r="L424" i="1"/>
  <c r="R424" i="1"/>
  <c r="N18" i="1"/>
  <c r="M1250" i="1" l="1"/>
  <c r="L1251" i="1" s="1"/>
  <c r="M1287" i="1"/>
  <c r="L1288" i="1" s="1"/>
  <c r="Q1249" i="1"/>
  <c r="N1249" i="1"/>
  <c r="M1174" i="1"/>
  <c r="L1175" i="1" s="1"/>
  <c r="P1176" i="1"/>
  <c r="O1177" i="1" s="1"/>
  <c r="M1144" i="1"/>
  <c r="L1145" i="1" s="1"/>
  <c r="P1250" i="1"/>
  <c r="O1251" i="1" s="1"/>
  <c r="S1287" i="1"/>
  <c r="R1288" i="1" s="1"/>
  <c r="P1287" i="1"/>
  <c r="O1288" i="1" s="1"/>
  <c r="Q1287" i="1"/>
  <c r="P1143" i="1"/>
  <c r="O1144" i="1" s="1"/>
  <c r="Q1143" i="1"/>
  <c r="Q1142" i="1"/>
  <c r="P1214" i="1"/>
  <c r="O1215" i="1" s="1"/>
  <c r="Q1214" i="1"/>
  <c r="Q1213" i="1"/>
  <c r="N1286" i="1"/>
  <c r="M1212" i="1"/>
  <c r="L1213" i="1" s="1"/>
  <c r="Q1175" i="1"/>
  <c r="N1143" i="1"/>
  <c r="T1286" i="1"/>
  <c r="U1286" i="1" s="1"/>
  <c r="Q1286" i="1"/>
  <c r="S624" i="1"/>
  <c r="S766" i="1"/>
  <c r="Q1076" i="1"/>
  <c r="N550" i="1"/>
  <c r="Q767" i="1"/>
  <c r="S767" i="1" s="1"/>
  <c r="N912" i="1"/>
  <c r="N1009" i="1"/>
  <c r="Q914" i="1"/>
  <c r="P1011" i="1"/>
  <c r="O1012" i="1" s="1"/>
  <c r="Q1011" i="1"/>
  <c r="P979" i="1"/>
  <c r="O980" i="1" s="1"/>
  <c r="M1010" i="1"/>
  <c r="L1011" i="1" s="1"/>
  <c r="S1098" i="1"/>
  <c r="O1099" i="1"/>
  <c r="M1043" i="1"/>
  <c r="L1044" i="1" s="1"/>
  <c r="Q978" i="1"/>
  <c r="Q1042" i="1"/>
  <c r="N977" i="1"/>
  <c r="M946" i="1"/>
  <c r="L947" i="1" s="1"/>
  <c r="N945" i="1"/>
  <c r="P1043" i="1"/>
  <c r="O1044" i="1" s="1"/>
  <c r="Q1098" i="1"/>
  <c r="M978" i="1"/>
  <c r="L979" i="1" s="1"/>
  <c r="P915" i="1"/>
  <c r="O916" i="1" s="1"/>
  <c r="N1111" i="1"/>
  <c r="P945" i="1"/>
  <c r="O946" i="1" s="1"/>
  <c r="M1112" i="1"/>
  <c r="L1113" i="1" s="1"/>
  <c r="Q944" i="1"/>
  <c r="P1077" i="1"/>
  <c r="O1078" i="1" s="1"/>
  <c r="M1076" i="1"/>
  <c r="L1077" i="1" s="1"/>
  <c r="N1076" i="1"/>
  <c r="M913" i="1"/>
  <c r="L914" i="1" s="1"/>
  <c r="N1042" i="1"/>
  <c r="Q1010" i="1"/>
  <c r="N1075" i="1"/>
  <c r="N19" i="1"/>
  <c r="T661" i="1"/>
  <c r="U661" i="1" s="1"/>
  <c r="N701" i="1"/>
  <c r="N805" i="1"/>
  <c r="Q662" i="1"/>
  <c r="S662" i="1" s="1"/>
  <c r="Q731" i="1"/>
  <c r="T731" i="1" s="1"/>
  <c r="U731" i="1" s="1"/>
  <c r="N587" i="1"/>
  <c r="R768" i="1"/>
  <c r="P768" i="1"/>
  <c r="O769" i="1" s="1"/>
  <c r="Q768" i="1"/>
  <c r="N841" i="1"/>
  <c r="T767" i="1"/>
  <c r="U767" i="1" s="1"/>
  <c r="Q804" i="1"/>
  <c r="T804" i="1" s="1"/>
  <c r="U804" i="1" s="1"/>
  <c r="N732" i="1"/>
  <c r="Q549" i="1"/>
  <c r="Q876" i="1"/>
  <c r="N768" i="1"/>
  <c r="R877" i="1"/>
  <c r="P877" i="1"/>
  <c r="O878" i="1" s="1"/>
  <c r="T875" i="1"/>
  <c r="U875" i="1" s="1"/>
  <c r="S875" i="1"/>
  <c r="T730" i="1"/>
  <c r="U730" i="1" s="1"/>
  <c r="S730" i="1"/>
  <c r="N624" i="1"/>
  <c r="R703" i="1"/>
  <c r="P703" i="1"/>
  <c r="O704" i="1" s="1"/>
  <c r="M702" i="1"/>
  <c r="L703" i="1" s="1"/>
  <c r="Q586" i="1"/>
  <c r="M625" i="1"/>
  <c r="L626" i="1" s="1"/>
  <c r="T585" i="1"/>
  <c r="U585" i="1" s="1"/>
  <c r="S585" i="1"/>
  <c r="M662" i="1"/>
  <c r="L663" i="1" s="1"/>
  <c r="M551" i="1"/>
  <c r="L552" i="1" s="1"/>
  <c r="T803" i="1"/>
  <c r="U803" i="1" s="1"/>
  <c r="S803" i="1"/>
  <c r="M769" i="1"/>
  <c r="L770" i="1" s="1"/>
  <c r="Q625" i="1"/>
  <c r="R663" i="1"/>
  <c r="P663" i="1"/>
  <c r="O664" i="1" s="1"/>
  <c r="N661" i="1"/>
  <c r="R805" i="1"/>
  <c r="P805" i="1"/>
  <c r="O806" i="1" s="1"/>
  <c r="M588" i="1"/>
  <c r="L589" i="1" s="1"/>
  <c r="M733" i="1"/>
  <c r="L734" i="1" s="1"/>
  <c r="R844" i="1"/>
  <c r="P844" i="1"/>
  <c r="O845" i="1" s="1"/>
  <c r="Q702" i="1"/>
  <c r="M878" i="1"/>
  <c r="L879" i="1" s="1"/>
  <c r="Q843" i="1"/>
  <c r="T701" i="1"/>
  <c r="U701" i="1" s="1"/>
  <c r="S701" i="1"/>
  <c r="R587" i="1"/>
  <c r="P587" i="1"/>
  <c r="O588" i="1" s="1"/>
  <c r="T842" i="1"/>
  <c r="U842" i="1" s="1"/>
  <c r="S842" i="1"/>
  <c r="T548" i="1"/>
  <c r="U548" i="1" s="1"/>
  <c r="S548" i="1"/>
  <c r="N877" i="1"/>
  <c r="R550" i="1"/>
  <c r="P550" i="1"/>
  <c r="O551" i="1" s="1"/>
  <c r="R626" i="1"/>
  <c r="P626" i="1"/>
  <c r="O627" i="1" s="1"/>
  <c r="P732" i="1"/>
  <c r="O733" i="1" s="1"/>
  <c r="R732" i="1"/>
  <c r="M842" i="1"/>
  <c r="L843" i="1" s="1"/>
  <c r="M806" i="1"/>
  <c r="L807" i="1" s="1"/>
  <c r="S424" i="1"/>
  <c r="T424" i="1" s="1"/>
  <c r="S342" i="1"/>
  <c r="T342" i="1" s="1"/>
  <c r="O343" i="1"/>
  <c r="M342" i="1"/>
  <c r="Q19" i="1"/>
  <c r="P221" i="1"/>
  <c r="Q221" i="1" s="1"/>
  <c r="N221" i="1" s="1"/>
  <c r="L221" i="1"/>
  <c r="R221" i="1"/>
  <c r="S104" i="1"/>
  <c r="R105" i="1" s="1"/>
  <c r="S465" i="1"/>
  <c r="T465" i="1" s="1"/>
  <c r="O95" i="1"/>
  <c r="M94" i="1"/>
  <c r="S302" i="1"/>
  <c r="T302" i="1" s="1"/>
  <c r="M20" i="1"/>
  <c r="L21" i="1" s="1"/>
  <c r="M302" i="1"/>
  <c r="O303" i="1"/>
  <c r="P53" i="1"/>
  <c r="Q53" i="1" s="1"/>
  <c r="N53" i="1" s="1"/>
  <c r="L53" i="1"/>
  <c r="R53" i="1"/>
  <c r="T18" i="1"/>
  <c r="S18" i="1"/>
  <c r="R20" i="1"/>
  <c r="P20" i="1"/>
  <c r="O21" i="1" s="1"/>
  <c r="R505" i="1"/>
  <c r="P505" i="1"/>
  <c r="Q505" i="1" s="1"/>
  <c r="N505" i="1" s="1"/>
  <c r="L505" i="1"/>
  <c r="O180" i="1"/>
  <c r="M179" i="1"/>
  <c r="R138" i="1"/>
  <c r="P138" i="1"/>
  <c r="L138" i="1"/>
  <c r="Q302" i="1"/>
  <c r="N302" i="1" s="1"/>
  <c r="L262" i="1"/>
  <c r="R262" i="1"/>
  <c r="P262" i="1"/>
  <c r="M424" i="1"/>
  <c r="O425" i="1"/>
  <c r="M465" i="1"/>
  <c r="O466" i="1"/>
  <c r="T103" i="1"/>
  <c r="R384" i="1"/>
  <c r="P384" i="1"/>
  <c r="L384" i="1"/>
  <c r="S179" i="1"/>
  <c r="T179" i="1" s="1"/>
  <c r="Q424" i="1"/>
  <c r="N424" i="1" s="1"/>
  <c r="N1174" i="1" l="1"/>
  <c r="N1144" i="1"/>
  <c r="Q1176" i="1"/>
  <c r="M1145" i="1"/>
  <c r="L1146" i="1" s="1"/>
  <c r="P1215" i="1"/>
  <c r="O1216" i="1" s="1"/>
  <c r="Q1215" i="1"/>
  <c r="M1288" i="1"/>
  <c r="L1289" i="1" s="1"/>
  <c r="M1213" i="1"/>
  <c r="L1214" i="1" s="1"/>
  <c r="N1213" i="1"/>
  <c r="T1287" i="1"/>
  <c r="U1287" i="1" s="1"/>
  <c r="N1287" i="1"/>
  <c r="P1144" i="1"/>
  <c r="O1145" i="1" s="1"/>
  <c r="Q1144" i="1"/>
  <c r="P1288" i="1"/>
  <c r="O1289" i="1" s="1"/>
  <c r="Q1288" i="1"/>
  <c r="S1288" i="1"/>
  <c r="R1289" i="1" s="1"/>
  <c r="N1212" i="1"/>
  <c r="P1251" i="1"/>
  <c r="O1252" i="1" s="1"/>
  <c r="M1251" i="1"/>
  <c r="L1252" i="1" s="1"/>
  <c r="P1177" i="1"/>
  <c r="O1178" i="1" s="1"/>
  <c r="M1175" i="1"/>
  <c r="L1176" i="1" s="1"/>
  <c r="Q1250" i="1"/>
  <c r="N1250" i="1"/>
  <c r="N1010" i="1"/>
  <c r="S731" i="1"/>
  <c r="N702" i="1"/>
  <c r="N1112" i="1"/>
  <c r="Q915" i="1"/>
  <c r="N1043" i="1"/>
  <c r="R1099" i="1"/>
  <c r="P1099" i="1"/>
  <c r="Q1099" i="1" s="1"/>
  <c r="Q1077" i="1"/>
  <c r="Q1043" i="1"/>
  <c r="M1011" i="1"/>
  <c r="L1012" i="1" s="1"/>
  <c r="M1044" i="1"/>
  <c r="L1045" i="1" s="1"/>
  <c r="M979" i="1"/>
  <c r="L980" i="1" s="1"/>
  <c r="N978" i="1"/>
  <c r="P1044" i="1"/>
  <c r="O1045" i="1" s="1"/>
  <c r="P980" i="1"/>
  <c r="O981" i="1" s="1"/>
  <c r="M914" i="1"/>
  <c r="L915" i="1" s="1"/>
  <c r="P1078" i="1"/>
  <c r="O1079" i="1" s="1"/>
  <c r="M1113" i="1"/>
  <c r="L1114" i="1" s="1"/>
  <c r="M947" i="1"/>
  <c r="L948" i="1" s="1"/>
  <c r="Q979" i="1"/>
  <c r="P916" i="1"/>
  <c r="O917" i="1" s="1"/>
  <c r="N913" i="1"/>
  <c r="M1077" i="1"/>
  <c r="L1078" i="1" s="1"/>
  <c r="P946" i="1"/>
  <c r="O947" i="1" s="1"/>
  <c r="N946" i="1"/>
  <c r="Q945" i="1"/>
  <c r="P1012" i="1"/>
  <c r="O1013" i="1" s="1"/>
  <c r="T662" i="1"/>
  <c r="U662" i="1" s="1"/>
  <c r="N878" i="1"/>
  <c r="S768" i="1"/>
  <c r="T768" i="1"/>
  <c r="U768" i="1" s="1"/>
  <c r="P769" i="1"/>
  <c r="O770" i="1" s="1"/>
  <c r="R769" i="1"/>
  <c r="S804" i="1"/>
  <c r="N662" i="1"/>
  <c r="Q587" i="1"/>
  <c r="S587" i="1" s="1"/>
  <c r="P627" i="1"/>
  <c r="O628" i="1" s="1"/>
  <c r="R627" i="1"/>
  <c r="Q626" i="1"/>
  <c r="R551" i="1"/>
  <c r="P551" i="1"/>
  <c r="O552" i="1" s="1"/>
  <c r="N806" i="1"/>
  <c r="R878" i="1"/>
  <c r="P878" i="1"/>
  <c r="O879" i="1" s="1"/>
  <c r="T586" i="1"/>
  <c r="U586" i="1" s="1"/>
  <c r="S586" i="1"/>
  <c r="T843" i="1"/>
  <c r="U843" i="1" s="1"/>
  <c r="S843" i="1"/>
  <c r="M703" i="1"/>
  <c r="L704" i="1" s="1"/>
  <c r="N588" i="1"/>
  <c r="Q732" i="1"/>
  <c r="T702" i="1"/>
  <c r="U702" i="1" s="1"/>
  <c r="S702" i="1"/>
  <c r="R806" i="1"/>
  <c r="P806" i="1"/>
  <c r="O807" i="1" s="1"/>
  <c r="M552" i="1"/>
  <c r="L553" i="1" s="1"/>
  <c r="Q703" i="1"/>
  <c r="M807" i="1"/>
  <c r="L808" i="1" s="1"/>
  <c r="Q550" i="1"/>
  <c r="T625" i="1"/>
  <c r="U625" i="1" s="1"/>
  <c r="S625" i="1"/>
  <c r="M843" i="1"/>
  <c r="L844" i="1" s="1"/>
  <c r="M770" i="1"/>
  <c r="L771" i="1" s="1"/>
  <c r="N769" i="1"/>
  <c r="M589" i="1"/>
  <c r="L590" i="1" s="1"/>
  <c r="P733" i="1"/>
  <c r="O734" i="1" s="1"/>
  <c r="R733" i="1"/>
  <c r="R704" i="1"/>
  <c r="P704" i="1"/>
  <c r="O705" i="1" s="1"/>
  <c r="P845" i="1"/>
  <c r="O846" i="1" s="1"/>
  <c r="R845" i="1"/>
  <c r="Q805" i="1"/>
  <c r="N551" i="1"/>
  <c r="T876" i="1"/>
  <c r="U876" i="1" s="1"/>
  <c r="S876" i="1"/>
  <c r="P664" i="1"/>
  <c r="O665" i="1" s="1"/>
  <c r="Q664" i="1"/>
  <c r="R664" i="1"/>
  <c r="Q663" i="1"/>
  <c r="M626" i="1"/>
  <c r="L627" i="1" s="1"/>
  <c r="N625" i="1"/>
  <c r="M734" i="1"/>
  <c r="L735" i="1" s="1"/>
  <c r="Q877" i="1"/>
  <c r="N842" i="1"/>
  <c r="N733" i="1"/>
  <c r="M879" i="1"/>
  <c r="L880" i="1" s="1"/>
  <c r="P588" i="1"/>
  <c r="O589" i="1" s="1"/>
  <c r="R588" i="1"/>
  <c r="Q844" i="1"/>
  <c r="M663" i="1"/>
  <c r="L664" i="1" s="1"/>
  <c r="T549" i="1"/>
  <c r="U549" i="1" s="1"/>
  <c r="S549" i="1"/>
  <c r="T104" i="1"/>
  <c r="M262" i="1"/>
  <c r="O263" i="1"/>
  <c r="L303" i="1"/>
  <c r="R303" i="1"/>
  <c r="P303" i="1"/>
  <c r="S505" i="1"/>
  <c r="T505" i="1" s="1"/>
  <c r="N20" i="1"/>
  <c r="M384" i="1"/>
  <c r="O385" i="1"/>
  <c r="M138" i="1"/>
  <c r="O139" i="1"/>
  <c r="L343" i="1"/>
  <c r="R343" i="1"/>
  <c r="P343" i="1"/>
  <c r="S138" i="1"/>
  <c r="T138" i="1" s="1"/>
  <c r="O506" i="1"/>
  <c r="M505" i="1"/>
  <c r="S221" i="1"/>
  <c r="T221" i="1" s="1"/>
  <c r="M21" i="1"/>
  <c r="L22" i="1" s="1"/>
  <c r="M221" i="1"/>
  <c r="O222" i="1"/>
  <c r="S19" i="1"/>
  <c r="T19" i="1"/>
  <c r="O54" i="1"/>
  <c r="M53" i="1"/>
  <c r="Q262" i="1"/>
  <c r="N262" i="1" s="1"/>
  <c r="S262" i="1"/>
  <c r="T262" i="1" s="1"/>
  <c r="R21" i="1"/>
  <c r="P21" i="1"/>
  <c r="O22" i="1" s="1"/>
  <c r="Q20" i="1"/>
  <c r="Q384" i="1"/>
  <c r="N384" i="1" s="1"/>
  <c r="S384" i="1"/>
  <c r="T384" i="1" s="1"/>
  <c r="Q138" i="1"/>
  <c r="N138" i="1" s="1"/>
  <c r="L95" i="1"/>
  <c r="P95" i="1"/>
  <c r="Q95" i="1" s="1"/>
  <c r="N95" i="1" s="1"/>
  <c r="R466" i="1"/>
  <c r="P466" i="1"/>
  <c r="Q466" i="1" s="1"/>
  <c r="N466" i="1" s="1"/>
  <c r="L466" i="1"/>
  <c r="S53" i="1"/>
  <c r="T53" i="1" s="1"/>
  <c r="L425" i="1"/>
  <c r="P425" i="1"/>
  <c r="Q425" i="1" s="1"/>
  <c r="N425" i="1" s="1"/>
  <c r="R425" i="1"/>
  <c r="P180" i="1"/>
  <c r="R180" i="1"/>
  <c r="Q180" i="1"/>
  <c r="N180" i="1" s="1"/>
  <c r="L180" i="1"/>
  <c r="S105" i="1"/>
  <c r="R106" i="1" s="1"/>
  <c r="M1214" i="1" l="1"/>
  <c r="L1215" i="1" s="1"/>
  <c r="N1251" i="1"/>
  <c r="M1252" i="1"/>
  <c r="L1253" i="1" s="1"/>
  <c r="S1289" i="1"/>
  <c r="R1290" i="1" s="1"/>
  <c r="N1175" i="1"/>
  <c r="M1289" i="1"/>
  <c r="L1290" i="1" s="1"/>
  <c r="N1288" i="1"/>
  <c r="Q1216" i="1"/>
  <c r="P1216" i="1"/>
  <c r="O1217" i="1" s="1"/>
  <c r="M1146" i="1"/>
  <c r="L1147" i="1" s="1"/>
  <c r="P1289" i="1"/>
  <c r="O1290" i="1" s="1"/>
  <c r="P1178" i="1"/>
  <c r="O1179" i="1" s="1"/>
  <c r="P1145" i="1"/>
  <c r="O1146" i="1" s="1"/>
  <c r="P1252" i="1"/>
  <c r="O1253" i="1" s="1"/>
  <c r="Q1251" i="1"/>
  <c r="T1288" i="1"/>
  <c r="U1288" i="1" s="1"/>
  <c r="M1176" i="1"/>
  <c r="L1177" i="1" s="1"/>
  <c r="N1145" i="1"/>
  <c r="Q1177" i="1"/>
  <c r="N1044" i="1"/>
  <c r="N703" i="1"/>
  <c r="M1114" i="1"/>
  <c r="L1115" i="1" s="1"/>
  <c r="P947" i="1"/>
  <c r="O948" i="1" s="1"/>
  <c r="N1113" i="1"/>
  <c r="P1079" i="1"/>
  <c r="O1080" i="1" s="1"/>
  <c r="M1012" i="1"/>
  <c r="L1013" i="1" s="1"/>
  <c r="M1078" i="1"/>
  <c r="L1079" i="1" s="1"/>
  <c r="N914" i="1"/>
  <c r="P981" i="1"/>
  <c r="O982" i="1" s="1"/>
  <c r="Q981" i="1"/>
  <c r="Q916" i="1"/>
  <c r="Q946" i="1"/>
  <c r="N1011" i="1"/>
  <c r="N1077" i="1"/>
  <c r="M980" i="1"/>
  <c r="L981" i="1" s="1"/>
  <c r="M1045" i="1"/>
  <c r="L1046" i="1" s="1"/>
  <c r="Q1078" i="1"/>
  <c r="M915" i="1"/>
  <c r="L916" i="1" s="1"/>
  <c r="P917" i="1"/>
  <c r="O918" i="1" s="1"/>
  <c r="Q980" i="1"/>
  <c r="S1099" i="1"/>
  <c r="O1100" i="1"/>
  <c r="P1045" i="1"/>
  <c r="O1046" i="1" s="1"/>
  <c r="Q1044" i="1"/>
  <c r="P1013" i="1"/>
  <c r="O1014" i="1" s="1"/>
  <c r="M948" i="1"/>
  <c r="L949" i="1" s="1"/>
  <c r="Q1012" i="1"/>
  <c r="N947" i="1"/>
  <c r="N979" i="1"/>
  <c r="Q588" i="1"/>
  <c r="T588" i="1" s="1"/>
  <c r="U588" i="1" s="1"/>
  <c r="Q704" i="1"/>
  <c r="S704" i="1" s="1"/>
  <c r="T587" i="1"/>
  <c r="U587" i="1" s="1"/>
  <c r="Q769" i="1"/>
  <c r="P770" i="1"/>
  <c r="O771" i="1" s="1"/>
  <c r="R770" i="1"/>
  <c r="Q845" i="1"/>
  <c r="T845" i="1" s="1"/>
  <c r="U845" i="1" s="1"/>
  <c r="T550" i="1"/>
  <c r="U550" i="1" s="1"/>
  <c r="S550" i="1"/>
  <c r="S877" i="1"/>
  <c r="T877" i="1"/>
  <c r="U877" i="1" s="1"/>
  <c r="M808" i="1"/>
  <c r="L809" i="1" s="1"/>
  <c r="Q733" i="1"/>
  <c r="N807" i="1"/>
  <c r="M664" i="1"/>
  <c r="L665" i="1" s="1"/>
  <c r="M590" i="1"/>
  <c r="L591" i="1" s="1"/>
  <c r="N589" i="1"/>
  <c r="T805" i="1"/>
  <c r="U805" i="1" s="1"/>
  <c r="S805" i="1"/>
  <c r="N552" i="1"/>
  <c r="N626" i="1"/>
  <c r="R807" i="1"/>
  <c r="P807" i="1"/>
  <c r="O808" i="1" s="1"/>
  <c r="T663" i="1"/>
  <c r="U663" i="1" s="1"/>
  <c r="S663" i="1"/>
  <c r="N770" i="1"/>
  <c r="Q806" i="1"/>
  <c r="R879" i="1"/>
  <c r="P879" i="1"/>
  <c r="O880" i="1" s="1"/>
  <c r="R552" i="1"/>
  <c r="P552" i="1"/>
  <c r="O553" i="1" s="1"/>
  <c r="T664" i="1"/>
  <c r="U664" i="1" s="1"/>
  <c r="S664" i="1"/>
  <c r="P734" i="1"/>
  <c r="O735" i="1" s="1"/>
  <c r="R734" i="1"/>
  <c r="Q551" i="1"/>
  <c r="M704" i="1"/>
  <c r="L705" i="1" s="1"/>
  <c r="N663" i="1"/>
  <c r="M553" i="1"/>
  <c r="L554" i="1" s="1"/>
  <c r="M627" i="1"/>
  <c r="L628" i="1" s="1"/>
  <c r="P589" i="1"/>
  <c r="O590" i="1" s="1"/>
  <c r="R589" i="1"/>
  <c r="R846" i="1"/>
  <c r="P846" i="1"/>
  <c r="O847" i="1" s="1"/>
  <c r="M844" i="1"/>
  <c r="L845" i="1" s="1"/>
  <c r="Q878" i="1"/>
  <c r="R628" i="1"/>
  <c r="P628" i="1"/>
  <c r="O629" i="1" s="1"/>
  <c r="M880" i="1"/>
  <c r="L881" i="1" s="1"/>
  <c r="T732" i="1"/>
  <c r="U732" i="1" s="1"/>
  <c r="S732" i="1"/>
  <c r="R665" i="1"/>
  <c r="P665" i="1"/>
  <c r="O666" i="1" s="1"/>
  <c r="M735" i="1"/>
  <c r="L736" i="1" s="1"/>
  <c r="N734" i="1"/>
  <c r="T703" i="1"/>
  <c r="U703" i="1" s="1"/>
  <c r="S703" i="1"/>
  <c r="T844" i="1"/>
  <c r="U844" i="1" s="1"/>
  <c r="S844" i="1"/>
  <c r="M771" i="1"/>
  <c r="L772" i="1" s="1"/>
  <c r="T626" i="1"/>
  <c r="U626" i="1" s="1"/>
  <c r="S626" i="1"/>
  <c r="N879" i="1"/>
  <c r="P705" i="1"/>
  <c r="O706" i="1" s="1"/>
  <c r="R705" i="1"/>
  <c r="N843" i="1"/>
  <c r="Q627" i="1"/>
  <c r="N21" i="1"/>
  <c r="T105" i="1"/>
  <c r="Q21" i="1"/>
  <c r="S21" i="1" s="1"/>
  <c r="S180" i="1"/>
  <c r="T180" i="1" s="1"/>
  <c r="O181" i="1"/>
  <c r="M180" i="1"/>
  <c r="P506" i="1"/>
  <c r="Q506" i="1" s="1"/>
  <c r="N506" i="1" s="1"/>
  <c r="R506" i="1"/>
  <c r="L506" i="1"/>
  <c r="L222" i="1"/>
  <c r="R222" i="1"/>
  <c r="P222" i="1"/>
  <c r="S343" i="1"/>
  <c r="T343" i="1" s="1"/>
  <c r="R385" i="1"/>
  <c r="P385" i="1"/>
  <c r="L385" i="1"/>
  <c r="S466" i="1"/>
  <c r="T466" i="1"/>
  <c r="S425" i="1"/>
  <c r="T425" i="1" s="1"/>
  <c r="M303" i="1"/>
  <c r="O304" i="1"/>
  <c r="O426" i="1"/>
  <c r="M425" i="1"/>
  <c r="O344" i="1"/>
  <c r="M343" i="1"/>
  <c r="T20" i="1"/>
  <c r="S20" i="1"/>
  <c r="R263" i="1"/>
  <c r="P263" i="1"/>
  <c r="Q263" i="1" s="1"/>
  <c r="N263" i="1" s="1"/>
  <c r="L263" i="1"/>
  <c r="O467" i="1"/>
  <c r="M466" i="1"/>
  <c r="O96" i="1"/>
  <c r="M95" i="1"/>
  <c r="P54" i="1"/>
  <c r="L54" i="1"/>
  <c r="R54" i="1"/>
  <c r="Q303" i="1"/>
  <c r="N303" i="1" s="1"/>
  <c r="Q343" i="1"/>
  <c r="N343" i="1" s="1"/>
  <c r="S303" i="1"/>
  <c r="T303" i="1" s="1"/>
  <c r="S106" i="1"/>
  <c r="R107" i="1" s="1"/>
  <c r="R22" i="1"/>
  <c r="P22" i="1"/>
  <c r="O23" i="1" s="1"/>
  <c r="M22" i="1"/>
  <c r="L23" i="1" s="1"/>
  <c r="R139" i="1"/>
  <c r="P139" i="1"/>
  <c r="Q139" i="1" s="1"/>
  <c r="N139" i="1" s="1"/>
  <c r="L139" i="1"/>
  <c r="M1290" i="1" l="1"/>
  <c r="L1291" i="1" s="1"/>
  <c r="P1179" i="1"/>
  <c r="O1180" i="1" s="1"/>
  <c r="S1290" i="1"/>
  <c r="R1291" i="1" s="1"/>
  <c r="P1253" i="1"/>
  <c r="O1254" i="1" s="1"/>
  <c r="Q1253" i="1"/>
  <c r="Q1145" i="1"/>
  <c r="Q1178" i="1"/>
  <c r="T1289" i="1"/>
  <c r="U1289" i="1" s="1"/>
  <c r="Q1252" i="1"/>
  <c r="P1290" i="1"/>
  <c r="O1291" i="1" s="1"/>
  <c r="M1253" i="1"/>
  <c r="L1254" i="1" s="1"/>
  <c r="P1146" i="1"/>
  <c r="O1147" i="1" s="1"/>
  <c r="Q1289" i="1"/>
  <c r="N1252" i="1"/>
  <c r="M1177" i="1"/>
  <c r="L1178" i="1" s="1"/>
  <c r="M1147" i="1"/>
  <c r="L1148" i="1" s="1"/>
  <c r="N1176" i="1"/>
  <c r="N1146" i="1"/>
  <c r="N1214" i="1"/>
  <c r="N1289" i="1"/>
  <c r="P1217" i="1"/>
  <c r="O1218" i="1" s="1"/>
  <c r="M1215" i="1"/>
  <c r="L1216" i="1" s="1"/>
  <c r="S845" i="1"/>
  <c r="N980" i="1"/>
  <c r="S588" i="1"/>
  <c r="N627" i="1"/>
  <c r="T704" i="1"/>
  <c r="U704" i="1" s="1"/>
  <c r="N948" i="1"/>
  <c r="Q770" i="1"/>
  <c r="T770" i="1" s="1"/>
  <c r="U770" i="1" s="1"/>
  <c r="N915" i="1"/>
  <c r="Q1079" i="1"/>
  <c r="Q1013" i="1"/>
  <c r="N1012" i="1"/>
  <c r="M981" i="1"/>
  <c r="L982" i="1" s="1"/>
  <c r="M1079" i="1"/>
  <c r="L1080" i="1" s="1"/>
  <c r="N1078" i="1"/>
  <c r="M1013" i="1"/>
  <c r="L1014" i="1" s="1"/>
  <c r="P1080" i="1"/>
  <c r="O1081" i="1" s="1"/>
  <c r="P948" i="1"/>
  <c r="O949" i="1" s="1"/>
  <c r="Q948" i="1"/>
  <c r="N1045" i="1"/>
  <c r="Q1045" i="1"/>
  <c r="P918" i="1"/>
  <c r="O919" i="1" s="1"/>
  <c r="Q947" i="1"/>
  <c r="P1014" i="1"/>
  <c r="O1015" i="1" s="1"/>
  <c r="M1046" i="1"/>
  <c r="L1047" i="1" s="1"/>
  <c r="R1100" i="1"/>
  <c r="P1100" i="1"/>
  <c r="Q917" i="1"/>
  <c r="M1115" i="1"/>
  <c r="L1116" i="1" s="1"/>
  <c r="P1046" i="1"/>
  <c r="O1047" i="1" s="1"/>
  <c r="M949" i="1"/>
  <c r="L950" i="1" s="1"/>
  <c r="M916" i="1"/>
  <c r="L917" i="1" s="1"/>
  <c r="P982" i="1"/>
  <c r="O983" i="1" s="1"/>
  <c r="N1114" i="1"/>
  <c r="N704" i="1"/>
  <c r="Q705" i="1"/>
  <c r="T705" i="1" s="1"/>
  <c r="U705" i="1" s="1"/>
  <c r="T106" i="1"/>
  <c r="T21" i="1"/>
  <c r="R771" i="1"/>
  <c r="P771" i="1"/>
  <c r="O772" i="1" s="1"/>
  <c r="T769" i="1"/>
  <c r="U769" i="1" s="1"/>
  <c r="S769" i="1"/>
  <c r="Q628" i="1"/>
  <c r="S628" i="1" s="1"/>
  <c r="P590" i="1"/>
  <c r="O591" i="1" s="1"/>
  <c r="R590" i="1"/>
  <c r="N590" i="1"/>
  <c r="Q665" i="1"/>
  <c r="N664" i="1"/>
  <c r="M591" i="1"/>
  <c r="L592" i="1" s="1"/>
  <c r="R666" i="1"/>
  <c r="P666" i="1"/>
  <c r="O667" i="1" s="1"/>
  <c r="N844" i="1"/>
  <c r="M772" i="1"/>
  <c r="L773" i="1" s="1"/>
  <c r="P847" i="1"/>
  <c r="O848" i="1" s="1"/>
  <c r="R847" i="1"/>
  <c r="M554" i="1"/>
  <c r="L555" i="1" s="1"/>
  <c r="Q807" i="1"/>
  <c r="T733" i="1"/>
  <c r="U733" i="1" s="1"/>
  <c r="S733" i="1"/>
  <c r="T627" i="1"/>
  <c r="U627" i="1" s="1"/>
  <c r="S627" i="1"/>
  <c r="N771" i="1"/>
  <c r="Q846" i="1"/>
  <c r="N553" i="1"/>
  <c r="Q552" i="1"/>
  <c r="M809" i="1"/>
  <c r="L810" i="1" s="1"/>
  <c r="M736" i="1"/>
  <c r="L737" i="1" s="1"/>
  <c r="M665" i="1"/>
  <c r="L666" i="1" s="1"/>
  <c r="M845" i="1"/>
  <c r="L846" i="1" s="1"/>
  <c r="R880" i="1"/>
  <c r="P880" i="1"/>
  <c r="O881" i="1" s="1"/>
  <c r="N808" i="1"/>
  <c r="P735" i="1"/>
  <c r="O736" i="1" s="1"/>
  <c r="R735" i="1"/>
  <c r="Q879" i="1"/>
  <c r="M628" i="1"/>
  <c r="L629" i="1" s="1"/>
  <c r="N880" i="1"/>
  <c r="M705" i="1"/>
  <c r="L706" i="1" s="1"/>
  <c r="N735" i="1"/>
  <c r="R808" i="1"/>
  <c r="P808" i="1"/>
  <c r="O809" i="1" s="1"/>
  <c r="R706" i="1"/>
  <c r="P706" i="1"/>
  <c r="O707" i="1" s="1"/>
  <c r="M881" i="1"/>
  <c r="L882" i="1" s="1"/>
  <c r="Q589" i="1"/>
  <c r="T551" i="1"/>
  <c r="U551" i="1" s="1"/>
  <c r="S551" i="1"/>
  <c r="T806" i="1"/>
  <c r="U806" i="1" s="1"/>
  <c r="S806" i="1"/>
  <c r="Q734" i="1"/>
  <c r="T878" i="1"/>
  <c r="U878" i="1" s="1"/>
  <c r="S878" i="1"/>
  <c r="P553" i="1"/>
  <c r="O554" i="1" s="1"/>
  <c r="R553" i="1"/>
  <c r="Q553" i="1"/>
  <c r="R629" i="1"/>
  <c r="P629" i="1"/>
  <c r="O630" i="1" s="1"/>
  <c r="M222" i="1"/>
  <c r="O223" i="1"/>
  <c r="M23" i="1"/>
  <c r="L24" i="1" s="1"/>
  <c r="S506" i="1"/>
  <c r="T506" i="1" s="1"/>
  <c r="R344" i="1"/>
  <c r="P344" i="1"/>
  <c r="L344" i="1"/>
  <c r="Q22" i="1"/>
  <c r="P96" i="1"/>
  <c r="L96" i="1"/>
  <c r="P426" i="1"/>
  <c r="L426" i="1"/>
  <c r="R426" i="1"/>
  <c r="L181" i="1"/>
  <c r="P181" i="1"/>
  <c r="R181" i="1"/>
  <c r="Q222" i="1"/>
  <c r="N222" i="1" s="1"/>
  <c r="O264" i="1"/>
  <c r="M263" i="1"/>
  <c r="S222" i="1"/>
  <c r="T222" i="1" s="1"/>
  <c r="S263" i="1"/>
  <c r="T263" i="1" s="1"/>
  <c r="S54" i="1"/>
  <c r="T54" i="1" s="1"/>
  <c r="O386" i="1"/>
  <c r="M385" i="1"/>
  <c r="O55" i="1"/>
  <c r="M54" i="1"/>
  <c r="R23" i="1"/>
  <c r="P23" i="1"/>
  <c r="O24" i="1" s="1"/>
  <c r="S385" i="1"/>
  <c r="T385" i="1" s="1"/>
  <c r="R304" i="1"/>
  <c r="P304" i="1"/>
  <c r="L304" i="1"/>
  <c r="M139" i="1"/>
  <c r="O140" i="1"/>
  <c r="S139" i="1"/>
  <c r="T139" i="1" s="1"/>
  <c r="N22" i="1"/>
  <c r="Q385" i="1"/>
  <c r="N385" i="1" s="1"/>
  <c r="Q54" i="1"/>
  <c r="N54" i="1" s="1"/>
  <c r="M506" i="1"/>
  <c r="O507" i="1"/>
  <c r="S107" i="1"/>
  <c r="R108" i="1" s="1"/>
  <c r="L467" i="1"/>
  <c r="R467" i="1"/>
  <c r="P467" i="1"/>
  <c r="M1148" i="1" l="1"/>
  <c r="L1149" i="1" s="1"/>
  <c r="N1147" i="1"/>
  <c r="M1178" i="1"/>
  <c r="L1179" i="1" s="1"/>
  <c r="N1178" i="1"/>
  <c r="P1180" i="1"/>
  <c r="O1181" i="1" s="1"/>
  <c r="N1177" i="1"/>
  <c r="N1215" i="1"/>
  <c r="P1147" i="1"/>
  <c r="O1148" i="1" s="1"/>
  <c r="Q1217" i="1"/>
  <c r="M1254" i="1"/>
  <c r="L1255" i="1" s="1"/>
  <c r="N1253" i="1"/>
  <c r="Q1179" i="1"/>
  <c r="P1254" i="1"/>
  <c r="O1255" i="1" s="1"/>
  <c r="S1291" i="1"/>
  <c r="R1292" i="1" s="1"/>
  <c r="Q1146" i="1"/>
  <c r="P1291" i="1"/>
  <c r="O1292" i="1" s="1"/>
  <c r="Q1291" i="1"/>
  <c r="N1291" i="1"/>
  <c r="M1291" i="1"/>
  <c r="L1292" i="1" s="1"/>
  <c r="M1216" i="1"/>
  <c r="L1217" i="1" s="1"/>
  <c r="P1218" i="1"/>
  <c r="O1219" i="1" s="1"/>
  <c r="T1290" i="1"/>
  <c r="U1290" i="1" s="1"/>
  <c r="Q1290" i="1"/>
  <c r="N1290" i="1"/>
  <c r="N1046" i="1"/>
  <c r="S770" i="1"/>
  <c r="N591" i="1"/>
  <c r="S705" i="1"/>
  <c r="P983" i="1"/>
  <c r="O984" i="1" s="1"/>
  <c r="M950" i="1"/>
  <c r="L951" i="1" s="1"/>
  <c r="M917" i="1"/>
  <c r="L918" i="1" s="1"/>
  <c r="N916" i="1"/>
  <c r="M1014" i="1"/>
  <c r="L1015" i="1" s="1"/>
  <c r="P1015" i="1"/>
  <c r="O1016" i="1" s="1"/>
  <c r="N949" i="1"/>
  <c r="M1080" i="1"/>
  <c r="L1081" i="1" s="1"/>
  <c r="P919" i="1"/>
  <c r="O920" i="1" s="1"/>
  <c r="Q918" i="1"/>
  <c r="N1115" i="1"/>
  <c r="N981" i="1"/>
  <c r="O1101" i="1"/>
  <c r="S1100" i="1"/>
  <c r="P1081" i="1"/>
  <c r="O1082" i="1" s="1"/>
  <c r="Q1080" i="1"/>
  <c r="M1047" i="1"/>
  <c r="L1048" i="1" s="1"/>
  <c r="N1013" i="1"/>
  <c r="Q1014" i="1"/>
  <c r="P1047" i="1"/>
  <c r="O1048" i="1" s="1"/>
  <c r="Q1046" i="1"/>
  <c r="N1079" i="1"/>
  <c r="M1116" i="1"/>
  <c r="L1117" i="1" s="1"/>
  <c r="M982" i="1"/>
  <c r="L983" i="1" s="1"/>
  <c r="Q982" i="1"/>
  <c r="Q1100" i="1"/>
  <c r="P949" i="1"/>
  <c r="O950" i="1" s="1"/>
  <c r="N705" i="1"/>
  <c r="Q590" i="1"/>
  <c r="R772" i="1"/>
  <c r="P772" i="1"/>
  <c r="O773" i="1" s="1"/>
  <c r="Q771" i="1"/>
  <c r="T628" i="1"/>
  <c r="U628" i="1" s="1"/>
  <c r="S879" i="1"/>
  <c r="T879" i="1"/>
  <c r="U879" i="1" s="1"/>
  <c r="N665" i="1"/>
  <c r="T734" i="1"/>
  <c r="U734" i="1" s="1"/>
  <c r="S734" i="1"/>
  <c r="Q629" i="1"/>
  <c r="Q808" i="1"/>
  <c r="T807" i="1"/>
  <c r="U807" i="1" s="1"/>
  <c r="S807" i="1"/>
  <c r="Q735" i="1"/>
  <c r="N809" i="1"/>
  <c r="T552" i="1"/>
  <c r="U552" i="1" s="1"/>
  <c r="S552" i="1"/>
  <c r="P881" i="1"/>
  <c r="O882" i="1" s="1"/>
  <c r="R881" i="1"/>
  <c r="M706" i="1"/>
  <c r="L707" i="1" s="1"/>
  <c r="T589" i="1"/>
  <c r="U589" i="1" s="1"/>
  <c r="S589" i="1"/>
  <c r="Q880" i="1"/>
  <c r="Q847" i="1"/>
  <c r="S590" i="1"/>
  <c r="T590" i="1"/>
  <c r="U590" i="1" s="1"/>
  <c r="P707" i="1"/>
  <c r="O708" i="1" s="1"/>
  <c r="R707" i="1"/>
  <c r="Q706" i="1"/>
  <c r="Q666" i="1"/>
  <c r="R809" i="1"/>
  <c r="P809" i="1"/>
  <c r="O810" i="1" s="1"/>
  <c r="P736" i="1"/>
  <c r="O737" i="1" s="1"/>
  <c r="R736" i="1"/>
  <c r="M555" i="1"/>
  <c r="L556" i="1" s="1"/>
  <c r="N554" i="1"/>
  <c r="R848" i="1"/>
  <c r="P848" i="1"/>
  <c r="O849" i="1" s="1"/>
  <c r="T553" i="1"/>
  <c r="U553" i="1" s="1"/>
  <c r="S553" i="1"/>
  <c r="M882" i="1"/>
  <c r="L883" i="1" s="1"/>
  <c r="M629" i="1"/>
  <c r="L630" i="1" s="1"/>
  <c r="M846" i="1"/>
  <c r="L847" i="1" s="1"/>
  <c r="M773" i="1"/>
  <c r="L774" i="1" s="1"/>
  <c r="M666" i="1"/>
  <c r="L667" i="1" s="1"/>
  <c r="R667" i="1"/>
  <c r="P667" i="1"/>
  <c r="O668" i="1" s="1"/>
  <c r="M737" i="1"/>
  <c r="L738" i="1" s="1"/>
  <c r="R630" i="1"/>
  <c r="P630" i="1"/>
  <c r="O631" i="1" s="1"/>
  <c r="N736" i="1"/>
  <c r="M810" i="1"/>
  <c r="L811" i="1" s="1"/>
  <c r="M592" i="1"/>
  <c r="L593" i="1" s="1"/>
  <c r="T665" i="1"/>
  <c r="U665" i="1" s="1"/>
  <c r="S665" i="1"/>
  <c r="T846" i="1"/>
  <c r="U846" i="1" s="1"/>
  <c r="S846" i="1"/>
  <c r="R554" i="1"/>
  <c r="P554" i="1"/>
  <c r="O555" i="1" s="1"/>
  <c r="N881" i="1"/>
  <c r="N628" i="1"/>
  <c r="N845" i="1"/>
  <c r="N772" i="1"/>
  <c r="P591" i="1"/>
  <c r="O592" i="1" s="1"/>
  <c r="R591" i="1"/>
  <c r="R264" i="1"/>
  <c r="P264" i="1"/>
  <c r="L264" i="1"/>
  <c r="M467" i="1"/>
  <c r="O468" i="1"/>
  <c r="S22" i="1"/>
  <c r="T22" i="1"/>
  <c r="L55" i="1"/>
  <c r="P55" i="1"/>
  <c r="Q55" i="1" s="1"/>
  <c r="N55" i="1" s="1"/>
  <c r="R55" i="1"/>
  <c r="M344" i="1"/>
  <c r="O345" i="1"/>
  <c r="S108" i="1"/>
  <c r="R109" i="1" s="1"/>
  <c r="S467" i="1"/>
  <c r="T467" i="1" s="1"/>
  <c r="O182" i="1"/>
  <c r="M181" i="1"/>
  <c r="L386" i="1"/>
  <c r="R386" i="1"/>
  <c r="P386" i="1"/>
  <c r="Q386" i="1" s="1"/>
  <c r="N386" i="1" s="1"/>
  <c r="Q344" i="1"/>
  <c r="N344" i="1" s="1"/>
  <c r="O305" i="1"/>
  <c r="M304" i="1"/>
  <c r="S344" i="1"/>
  <c r="T344" i="1" s="1"/>
  <c r="Q304" i="1"/>
  <c r="N304" i="1" s="1"/>
  <c r="S304" i="1"/>
  <c r="T304" i="1" s="1"/>
  <c r="O97" i="1"/>
  <c r="M96" i="1"/>
  <c r="R140" i="1"/>
  <c r="L140" i="1"/>
  <c r="P140" i="1"/>
  <c r="S181" i="1"/>
  <c r="T181" i="1"/>
  <c r="Q467" i="1"/>
  <c r="N467" i="1" s="1"/>
  <c r="Q181" i="1"/>
  <c r="N181" i="1" s="1"/>
  <c r="T107" i="1"/>
  <c r="S426" i="1"/>
  <c r="T426" i="1" s="1"/>
  <c r="L507" i="1"/>
  <c r="R507" i="1"/>
  <c r="P507" i="1"/>
  <c r="Q507" i="1" s="1"/>
  <c r="N507" i="1" s="1"/>
  <c r="M426" i="1"/>
  <c r="O427" i="1"/>
  <c r="M24" i="1"/>
  <c r="L25" i="1" s="1"/>
  <c r="Q426" i="1"/>
  <c r="N426" i="1" s="1"/>
  <c r="N23" i="1"/>
  <c r="R24" i="1"/>
  <c r="P24" i="1"/>
  <c r="O25" i="1" s="1"/>
  <c r="Q96" i="1"/>
  <c r="N96" i="1" s="1"/>
  <c r="R223" i="1"/>
  <c r="P223" i="1"/>
  <c r="L223" i="1"/>
  <c r="Q23" i="1"/>
  <c r="P1148" i="1" l="1"/>
  <c r="O1149" i="1" s="1"/>
  <c r="P1292" i="1"/>
  <c r="O1293" i="1" s="1"/>
  <c r="Q1147" i="1"/>
  <c r="S1292" i="1"/>
  <c r="R1293" i="1" s="1"/>
  <c r="T1292" i="1"/>
  <c r="U1292" i="1" s="1"/>
  <c r="T1291" i="1"/>
  <c r="U1291" i="1" s="1"/>
  <c r="P1181" i="1"/>
  <c r="O1182" i="1" s="1"/>
  <c r="P1255" i="1"/>
  <c r="O1256" i="1" s="1"/>
  <c r="Q1180" i="1"/>
  <c r="P1219" i="1"/>
  <c r="O1220" i="1" s="1"/>
  <c r="Q1219" i="1"/>
  <c r="Q1254" i="1"/>
  <c r="Q1218" i="1"/>
  <c r="M1179" i="1"/>
  <c r="L1180" i="1" s="1"/>
  <c r="N1179" i="1"/>
  <c r="M1217" i="1"/>
  <c r="L1218" i="1" s="1"/>
  <c r="N1216" i="1"/>
  <c r="M1255" i="1"/>
  <c r="L1256" i="1" s="1"/>
  <c r="M1149" i="1"/>
  <c r="L1150" i="1" s="1"/>
  <c r="N1149" i="1"/>
  <c r="M1292" i="1"/>
  <c r="L1293" i="1" s="1"/>
  <c r="N1254" i="1"/>
  <c r="N1148" i="1"/>
  <c r="Q1081" i="1"/>
  <c r="N917" i="1"/>
  <c r="N950" i="1"/>
  <c r="M983" i="1"/>
  <c r="L984" i="1" s="1"/>
  <c r="N982" i="1"/>
  <c r="P1082" i="1"/>
  <c r="O1083" i="1" s="1"/>
  <c r="Q1015" i="1"/>
  <c r="M1117" i="1"/>
  <c r="L1118" i="1" s="1"/>
  <c r="P1016" i="1"/>
  <c r="O1017" i="1" s="1"/>
  <c r="N1116" i="1"/>
  <c r="N1014" i="1"/>
  <c r="R1101" i="1"/>
  <c r="P1101" i="1"/>
  <c r="M1015" i="1"/>
  <c r="L1016" i="1" s="1"/>
  <c r="P1048" i="1"/>
  <c r="O1049" i="1" s="1"/>
  <c r="Q1047" i="1"/>
  <c r="M918" i="1"/>
  <c r="L919" i="1" s="1"/>
  <c r="Q949" i="1"/>
  <c r="Q919" i="1"/>
  <c r="M951" i="1"/>
  <c r="L952" i="1" s="1"/>
  <c r="P950" i="1"/>
  <c r="O951" i="1" s="1"/>
  <c r="P920" i="1"/>
  <c r="O921" i="1" s="1"/>
  <c r="M1048" i="1"/>
  <c r="L1049" i="1" s="1"/>
  <c r="M1081" i="1"/>
  <c r="L1082" i="1" s="1"/>
  <c r="P984" i="1"/>
  <c r="O985" i="1" s="1"/>
  <c r="N1047" i="1"/>
  <c r="N1080" i="1"/>
  <c r="Q983" i="1"/>
  <c r="N555" i="1"/>
  <c r="Q667" i="1"/>
  <c r="T667" i="1" s="1"/>
  <c r="U667" i="1" s="1"/>
  <c r="T771" i="1"/>
  <c r="U771" i="1" s="1"/>
  <c r="S771" i="1"/>
  <c r="R773" i="1"/>
  <c r="P773" i="1"/>
  <c r="O774" i="1" s="1"/>
  <c r="Q772" i="1"/>
  <c r="R592" i="1"/>
  <c r="P592" i="1"/>
  <c r="O593" i="1" s="1"/>
  <c r="N592" i="1"/>
  <c r="M593" i="1"/>
  <c r="L594" i="1" s="1"/>
  <c r="M667" i="1"/>
  <c r="L668" i="1" s="1"/>
  <c r="R849" i="1"/>
  <c r="P849" i="1"/>
  <c r="O850" i="1" s="1"/>
  <c r="P737" i="1"/>
  <c r="O738" i="1" s="1"/>
  <c r="R737" i="1"/>
  <c r="T847" i="1"/>
  <c r="U847" i="1" s="1"/>
  <c r="S847" i="1"/>
  <c r="T735" i="1"/>
  <c r="U735" i="1" s="1"/>
  <c r="S735" i="1"/>
  <c r="N810" i="1"/>
  <c r="N666" i="1"/>
  <c r="Q848" i="1"/>
  <c r="Q736" i="1"/>
  <c r="T880" i="1"/>
  <c r="U880" i="1" s="1"/>
  <c r="S880" i="1"/>
  <c r="M811" i="1"/>
  <c r="L812" i="1" s="1"/>
  <c r="M774" i="1"/>
  <c r="L775" i="1" s="1"/>
  <c r="R810" i="1"/>
  <c r="P810" i="1"/>
  <c r="O811" i="1" s="1"/>
  <c r="N773" i="1"/>
  <c r="Q809" i="1"/>
  <c r="T808" i="1"/>
  <c r="U808" i="1" s="1"/>
  <c r="S808" i="1"/>
  <c r="R555" i="1"/>
  <c r="P555" i="1"/>
  <c r="O556" i="1" s="1"/>
  <c r="R631" i="1"/>
  <c r="P631" i="1"/>
  <c r="O632" i="1" s="1"/>
  <c r="M847" i="1"/>
  <c r="L848" i="1" s="1"/>
  <c r="M707" i="1"/>
  <c r="L708" i="1" s="1"/>
  <c r="S629" i="1"/>
  <c r="T629" i="1"/>
  <c r="U629" i="1" s="1"/>
  <c r="Q554" i="1"/>
  <c r="Q630" i="1"/>
  <c r="N846" i="1"/>
  <c r="T666" i="1"/>
  <c r="U666" i="1" s="1"/>
  <c r="S666" i="1"/>
  <c r="N706" i="1"/>
  <c r="M630" i="1"/>
  <c r="L631" i="1" s="1"/>
  <c r="T706" i="1"/>
  <c r="U706" i="1" s="1"/>
  <c r="S706" i="1"/>
  <c r="M738" i="1"/>
  <c r="L739" i="1" s="1"/>
  <c r="N629" i="1"/>
  <c r="R882" i="1"/>
  <c r="P882" i="1"/>
  <c r="O883" i="1" s="1"/>
  <c r="N737" i="1"/>
  <c r="M883" i="1"/>
  <c r="L884" i="1" s="1"/>
  <c r="R708" i="1"/>
  <c r="P708" i="1"/>
  <c r="O709" i="1" s="1"/>
  <c r="Q881" i="1"/>
  <c r="Q591" i="1"/>
  <c r="R668" i="1"/>
  <c r="P668" i="1"/>
  <c r="O669" i="1" s="1"/>
  <c r="N882" i="1"/>
  <c r="M556" i="1"/>
  <c r="L557" i="1" s="1"/>
  <c r="Q707" i="1"/>
  <c r="Q24" i="1"/>
  <c r="S24" i="1" s="1"/>
  <c r="S223" i="1"/>
  <c r="T223" i="1" s="1"/>
  <c r="M386" i="1"/>
  <c r="O387" i="1"/>
  <c r="S55" i="1"/>
  <c r="T55" i="1" s="1"/>
  <c r="S507" i="1"/>
  <c r="T507" i="1" s="1"/>
  <c r="S140" i="1"/>
  <c r="T140" i="1" s="1"/>
  <c r="R25" i="1"/>
  <c r="P25" i="1"/>
  <c r="O26" i="1" s="1"/>
  <c r="S386" i="1"/>
  <c r="T386" i="1" s="1"/>
  <c r="M55" i="1"/>
  <c r="O56" i="1"/>
  <c r="T24" i="1"/>
  <c r="P97" i="1"/>
  <c r="Q97" i="1" s="1"/>
  <c r="N97" i="1" s="1"/>
  <c r="L97" i="1"/>
  <c r="R182" i="1"/>
  <c r="P182" i="1"/>
  <c r="Q182" i="1" s="1"/>
  <c r="N182" i="1" s="1"/>
  <c r="L182" i="1"/>
  <c r="L468" i="1"/>
  <c r="R468" i="1"/>
  <c r="P468" i="1"/>
  <c r="M25" i="1"/>
  <c r="L26" i="1" s="1"/>
  <c r="T23" i="1"/>
  <c r="S23" i="1"/>
  <c r="N24" i="1"/>
  <c r="S109" i="1"/>
  <c r="R110" i="1" s="1"/>
  <c r="P427" i="1"/>
  <c r="Q427" i="1" s="1"/>
  <c r="N427" i="1" s="1"/>
  <c r="R427" i="1"/>
  <c r="L427" i="1"/>
  <c r="T108" i="1"/>
  <c r="M264" i="1"/>
  <c r="O265" i="1"/>
  <c r="O224" i="1"/>
  <c r="M223" i="1"/>
  <c r="O141" i="1"/>
  <c r="M140" i="1"/>
  <c r="P305" i="1"/>
  <c r="Q305" i="1" s="1"/>
  <c r="N305" i="1" s="1"/>
  <c r="R305" i="1"/>
  <c r="L305" i="1"/>
  <c r="P345" i="1"/>
  <c r="Q345" i="1" s="1"/>
  <c r="N345" i="1" s="1"/>
  <c r="L345" i="1"/>
  <c r="R345" i="1"/>
  <c r="Q264" i="1"/>
  <c r="N264" i="1" s="1"/>
  <c r="Q223" i="1"/>
  <c r="N223" i="1" s="1"/>
  <c r="O508" i="1"/>
  <c r="M507" i="1"/>
  <c r="Q140" i="1"/>
  <c r="N140" i="1" s="1"/>
  <c r="S264" i="1"/>
  <c r="T264" i="1" s="1"/>
  <c r="N1255" i="1" l="1"/>
  <c r="P1256" i="1"/>
  <c r="O1257" i="1" s="1"/>
  <c r="Q1256" i="1"/>
  <c r="M1256" i="1"/>
  <c r="L1257" i="1" s="1"/>
  <c r="Q1255" i="1"/>
  <c r="P1182" i="1"/>
  <c r="O1183" i="1" s="1"/>
  <c r="M1218" i="1"/>
  <c r="L1219" i="1" s="1"/>
  <c r="N1218" i="1"/>
  <c r="Q1181" i="1"/>
  <c r="N1217" i="1"/>
  <c r="M1180" i="1"/>
  <c r="L1181" i="1" s="1"/>
  <c r="T1293" i="1"/>
  <c r="U1293" i="1" s="1"/>
  <c r="S1293" i="1"/>
  <c r="R1294" i="1" s="1"/>
  <c r="M1293" i="1"/>
  <c r="L1294" i="1" s="1"/>
  <c r="P1293" i="1"/>
  <c r="O1294" i="1" s="1"/>
  <c r="Q1293" i="1"/>
  <c r="N1292" i="1"/>
  <c r="Q1292" i="1"/>
  <c r="Q1220" i="1"/>
  <c r="P1220" i="1"/>
  <c r="O1221" i="1" s="1"/>
  <c r="P1149" i="1"/>
  <c r="O1150" i="1" s="1"/>
  <c r="N1150" i="1"/>
  <c r="M1150" i="1"/>
  <c r="L1151" i="1" s="1"/>
  <c r="Q1148" i="1"/>
  <c r="N983" i="1"/>
  <c r="N1117" i="1"/>
  <c r="N847" i="1"/>
  <c r="N951" i="1"/>
  <c r="S667" i="1"/>
  <c r="Q737" i="1"/>
  <c r="S737" i="1" s="1"/>
  <c r="Q984" i="1"/>
  <c r="P985" i="1"/>
  <c r="O986" i="1" s="1"/>
  <c r="M1082" i="1"/>
  <c r="L1083" i="1" s="1"/>
  <c r="M919" i="1"/>
  <c r="L920" i="1" s="1"/>
  <c r="P1017" i="1"/>
  <c r="O1018" i="1" s="1"/>
  <c r="N1081" i="1"/>
  <c r="N918" i="1"/>
  <c r="Q1016" i="1"/>
  <c r="M1049" i="1"/>
  <c r="L1050" i="1" s="1"/>
  <c r="N1048" i="1"/>
  <c r="P1049" i="1"/>
  <c r="O1050" i="1" s="1"/>
  <c r="M1118" i="1"/>
  <c r="L1119" i="1" s="1"/>
  <c r="P921" i="1"/>
  <c r="O922" i="1" s="1"/>
  <c r="Q1048" i="1"/>
  <c r="Q920" i="1"/>
  <c r="M1016" i="1"/>
  <c r="L1017" i="1" s="1"/>
  <c r="P1083" i="1"/>
  <c r="O1084" i="1" s="1"/>
  <c r="P951" i="1"/>
  <c r="O952" i="1" s="1"/>
  <c r="N1015" i="1"/>
  <c r="Q1082" i="1"/>
  <c r="Q950" i="1"/>
  <c r="O1102" i="1"/>
  <c r="S1101" i="1"/>
  <c r="M952" i="1"/>
  <c r="L953" i="1" s="1"/>
  <c r="Q1101" i="1"/>
  <c r="M984" i="1"/>
  <c r="L985" i="1" s="1"/>
  <c r="Q668" i="1"/>
  <c r="S668" i="1" s="1"/>
  <c r="Q849" i="1"/>
  <c r="S849" i="1" s="1"/>
  <c r="Q773" i="1"/>
  <c r="S773" i="1" s="1"/>
  <c r="S772" i="1"/>
  <c r="T772" i="1"/>
  <c r="U772" i="1" s="1"/>
  <c r="R774" i="1"/>
  <c r="P774" i="1"/>
  <c r="O775" i="1" s="1"/>
  <c r="N556" i="1"/>
  <c r="M557" i="1"/>
  <c r="L558" i="1" s="1"/>
  <c r="M884" i="1"/>
  <c r="L885" i="1" s="1"/>
  <c r="S736" i="1"/>
  <c r="T736" i="1"/>
  <c r="U736" i="1" s="1"/>
  <c r="T848" i="1"/>
  <c r="U848" i="1" s="1"/>
  <c r="S848" i="1"/>
  <c r="R883" i="1"/>
  <c r="P883" i="1"/>
  <c r="O884" i="1" s="1"/>
  <c r="M848" i="1"/>
  <c r="L849" i="1" s="1"/>
  <c r="M668" i="1"/>
  <c r="L669" i="1" s="1"/>
  <c r="R669" i="1"/>
  <c r="P669" i="1"/>
  <c r="O670" i="1" s="1"/>
  <c r="Q882" i="1"/>
  <c r="R632" i="1"/>
  <c r="P632" i="1"/>
  <c r="O633" i="1" s="1"/>
  <c r="R811" i="1"/>
  <c r="P811" i="1"/>
  <c r="O812" i="1" s="1"/>
  <c r="N667" i="1"/>
  <c r="S630" i="1"/>
  <c r="T630" i="1"/>
  <c r="U630" i="1" s="1"/>
  <c r="Q631" i="1"/>
  <c r="Q810" i="1"/>
  <c r="M594" i="1"/>
  <c r="L595" i="1" s="1"/>
  <c r="T554" i="1"/>
  <c r="U554" i="1" s="1"/>
  <c r="S554" i="1"/>
  <c r="N593" i="1"/>
  <c r="T591" i="1"/>
  <c r="U591" i="1" s="1"/>
  <c r="S591" i="1"/>
  <c r="M739" i="1"/>
  <c r="L740" i="1" s="1"/>
  <c r="R556" i="1"/>
  <c r="P556" i="1"/>
  <c r="O557" i="1" s="1"/>
  <c r="M775" i="1"/>
  <c r="L776" i="1" s="1"/>
  <c r="T881" i="1"/>
  <c r="U881" i="1" s="1"/>
  <c r="S881" i="1"/>
  <c r="N738" i="1"/>
  <c r="Q555" i="1"/>
  <c r="N774" i="1"/>
  <c r="P593" i="1"/>
  <c r="O594" i="1" s="1"/>
  <c r="R593" i="1"/>
  <c r="R709" i="1"/>
  <c r="P709" i="1"/>
  <c r="O710" i="1" s="1"/>
  <c r="M708" i="1"/>
  <c r="L709" i="1" s="1"/>
  <c r="M812" i="1"/>
  <c r="L813" i="1" s="1"/>
  <c r="T737" i="1"/>
  <c r="U737" i="1" s="1"/>
  <c r="Q592" i="1"/>
  <c r="Q708" i="1"/>
  <c r="N707" i="1"/>
  <c r="N811" i="1"/>
  <c r="M631" i="1"/>
  <c r="L632" i="1" s="1"/>
  <c r="P738" i="1"/>
  <c r="O739" i="1" s="1"/>
  <c r="R738" i="1"/>
  <c r="T707" i="1"/>
  <c r="U707" i="1" s="1"/>
  <c r="S707" i="1"/>
  <c r="N883" i="1"/>
  <c r="N630" i="1"/>
  <c r="T809" i="1"/>
  <c r="U809" i="1" s="1"/>
  <c r="S809" i="1"/>
  <c r="R850" i="1"/>
  <c r="P850" i="1"/>
  <c r="O851" i="1" s="1"/>
  <c r="Q25" i="1"/>
  <c r="T25" i="1" s="1"/>
  <c r="T109" i="1"/>
  <c r="R508" i="1"/>
  <c r="L508" i="1"/>
  <c r="P508" i="1"/>
  <c r="Q508" i="1" s="1"/>
  <c r="N508" i="1" s="1"/>
  <c r="R141" i="1"/>
  <c r="P141" i="1"/>
  <c r="Q141" i="1" s="1"/>
  <c r="N141" i="1" s="1"/>
  <c r="L141" i="1"/>
  <c r="S182" i="1"/>
  <c r="T182" i="1" s="1"/>
  <c r="R224" i="1"/>
  <c r="P224" i="1"/>
  <c r="Q224" i="1" s="1"/>
  <c r="N224" i="1" s="1"/>
  <c r="L224" i="1"/>
  <c r="R265" i="1"/>
  <c r="P265" i="1"/>
  <c r="L265" i="1"/>
  <c r="M26" i="1"/>
  <c r="L27" i="1" s="1"/>
  <c r="M97" i="1"/>
  <c r="O98" i="1"/>
  <c r="S345" i="1"/>
  <c r="T345" i="1" s="1"/>
  <c r="N25" i="1"/>
  <c r="M468" i="1"/>
  <c r="O469" i="1"/>
  <c r="M345" i="1"/>
  <c r="O346" i="1"/>
  <c r="S468" i="1"/>
  <c r="T468" i="1" s="1"/>
  <c r="L56" i="1"/>
  <c r="P56" i="1"/>
  <c r="R56" i="1"/>
  <c r="L387" i="1"/>
  <c r="R387" i="1"/>
  <c r="P387" i="1"/>
  <c r="S427" i="1"/>
  <c r="T427" i="1" s="1"/>
  <c r="Q468" i="1"/>
  <c r="N468" i="1" s="1"/>
  <c r="S305" i="1"/>
  <c r="T305" i="1" s="1"/>
  <c r="O428" i="1"/>
  <c r="M427" i="1"/>
  <c r="O306" i="1"/>
  <c r="M305" i="1"/>
  <c r="S110" i="1"/>
  <c r="R111" i="1" s="1"/>
  <c r="O183" i="1"/>
  <c r="M182" i="1"/>
  <c r="R26" i="1"/>
  <c r="P26" i="1"/>
  <c r="O27" i="1" s="1"/>
  <c r="P1221" i="1" l="1"/>
  <c r="O1222" i="1" s="1"/>
  <c r="N1219" i="1"/>
  <c r="M1219" i="1"/>
  <c r="L1220" i="1" s="1"/>
  <c r="P1183" i="1"/>
  <c r="O1184" i="1" s="1"/>
  <c r="P1294" i="1"/>
  <c r="O1295" i="1" s="1"/>
  <c r="Q1182" i="1"/>
  <c r="M1294" i="1"/>
  <c r="L1295" i="1" s="1"/>
  <c r="N1293" i="1"/>
  <c r="M1257" i="1"/>
  <c r="L1258" i="1" s="1"/>
  <c r="N1151" i="1"/>
  <c r="M1151" i="1"/>
  <c r="L1152" i="1" s="1"/>
  <c r="S1294" i="1"/>
  <c r="R1295" i="1" s="1"/>
  <c r="N1256" i="1"/>
  <c r="P1150" i="1"/>
  <c r="O1151" i="1" s="1"/>
  <c r="M1181" i="1"/>
  <c r="L1182" i="1" s="1"/>
  <c r="Q1257" i="1"/>
  <c r="P1257" i="1"/>
  <c r="O1258" i="1" s="1"/>
  <c r="Q1149" i="1"/>
  <c r="N1180" i="1"/>
  <c r="N1118" i="1"/>
  <c r="T668" i="1"/>
  <c r="U668" i="1" s="1"/>
  <c r="N1016" i="1"/>
  <c r="T773" i="1"/>
  <c r="U773" i="1" s="1"/>
  <c r="Q921" i="1"/>
  <c r="Q1017" i="1"/>
  <c r="P922" i="1"/>
  <c r="O923" i="1" s="1"/>
  <c r="M920" i="1"/>
  <c r="L921" i="1" s="1"/>
  <c r="M953" i="1"/>
  <c r="L954" i="1" s="1"/>
  <c r="N953" i="1"/>
  <c r="P1102" i="1"/>
  <c r="R1102" i="1"/>
  <c r="P1018" i="1"/>
  <c r="O1019" i="1" s="1"/>
  <c r="M1119" i="1"/>
  <c r="L1120" i="1" s="1"/>
  <c r="N919" i="1"/>
  <c r="P1050" i="1"/>
  <c r="O1051" i="1" s="1"/>
  <c r="Q1050" i="1"/>
  <c r="N952" i="1"/>
  <c r="P952" i="1"/>
  <c r="O953" i="1" s="1"/>
  <c r="M1083" i="1"/>
  <c r="L1084" i="1" s="1"/>
  <c r="Q951" i="1"/>
  <c r="Q1049" i="1"/>
  <c r="N1082" i="1"/>
  <c r="M985" i="1"/>
  <c r="L986" i="1" s="1"/>
  <c r="P1084" i="1"/>
  <c r="O1085" i="1" s="1"/>
  <c r="P986" i="1"/>
  <c r="O987" i="1" s="1"/>
  <c r="N984" i="1"/>
  <c r="Q1083" i="1"/>
  <c r="M1050" i="1"/>
  <c r="L1051" i="1" s="1"/>
  <c r="Q985" i="1"/>
  <c r="M1017" i="1"/>
  <c r="L1018" i="1" s="1"/>
  <c r="N1049" i="1"/>
  <c r="Q593" i="1"/>
  <c r="T593" i="1" s="1"/>
  <c r="U593" i="1" s="1"/>
  <c r="T849" i="1"/>
  <c r="U849" i="1" s="1"/>
  <c r="Q738" i="1"/>
  <c r="T738" i="1" s="1"/>
  <c r="U738" i="1" s="1"/>
  <c r="S25" i="1"/>
  <c r="Q883" i="1"/>
  <c r="S883" i="1" s="1"/>
  <c r="N708" i="1"/>
  <c r="R775" i="1"/>
  <c r="P775" i="1"/>
  <c r="O776" i="1" s="1"/>
  <c r="Q774" i="1"/>
  <c r="M776" i="1"/>
  <c r="L777" i="1" s="1"/>
  <c r="M595" i="1"/>
  <c r="L596" i="1" s="1"/>
  <c r="R633" i="1"/>
  <c r="P633" i="1"/>
  <c r="O634" i="1" s="1"/>
  <c r="M632" i="1"/>
  <c r="L633" i="1" s="1"/>
  <c r="R710" i="1"/>
  <c r="P710" i="1"/>
  <c r="O711" i="1" s="1"/>
  <c r="N775" i="1"/>
  <c r="N594" i="1"/>
  <c r="N631" i="1"/>
  <c r="Q709" i="1"/>
  <c r="R557" i="1"/>
  <c r="P557" i="1"/>
  <c r="O558" i="1" s="1"/>
  <c r="S810" i="1"/>
  <c r="T810" i="1"/>
  <c r="U810" i="1" s="1"/>
  <c r="Q632" i="1"/>
  <c r="Q556" i="1"/>
  <c r="S631" i="1"/>
  <c r="T631" i="1"/>
  <c r="U631" i="1" s="1"/>
  <c r="T882" i="1"/>
  <c r="U882" i="1" s="1"/>
  <c r="S882" i="1"/>
  <c r="R670" i="1"/>
  <c r="P670" i="1"/>
  <c r="O671" i="1" s="1"/>
  <c r="S708" i="1"/>
  <c r="T708" i="1"/>
  <c r="U708" i="1" s="1"/>
  <c r="M740" i="1"/>
  <c r="L741" i="1" s="1"/>
  <c r="Q669" i="1"/>
  <c r="T592" i="1"/>
  <c r="U592" i="1" s="1"/>
  <c r="S592" i="1"/>
  <c r="R594" i="1"/>
  <c r="P594" i="1"/>
  <c r="O595" i="1" s="1"/>
  <c r="N739" i="1"/>
  <c r="M669" i="1"/>
  <c r="L670" i="1" s="1"/>
  <c r="T555" i="1"/>
  <c r="U555" i="1" s="1"/>
  <c r="S555" i="1"/>
  <c r="N668" i="1"/>
  <c r="M885" i="1"/>
  <c r="L886" i="1" s="1"/>
  <c r="R851" i="1"/>
  <c r="P851" i="1"/>
  <c r="O852" i="1" s="1"/>
  <c r="P739" i="1"/>
  <c r="O740" i="1" s="1"/>
  <c r="R739" i="1"/>
  <c r="M813" i="1"/>
  <c r="L814" i="1" s="1"/>
  <c r="R812" i="1"/>
  <c r="P812" i="1"/>
  <c r="O813" i="1" s="1"/>
  <c r="M849" i="1"/>
  <c r="L850" i="1" s="1"/>
  <c r="N884" i="1"/>
  <c r="Q850" i="1"/>
  <c r="N812" i="1"/>
  <c r="Q811" i="1"/>
  <c r="N848" i="1"/>
  <c r="M558" i="1"/>
  <c r="L559" i="1" s="1"/>
  <c r="M709" i="1"/>
  <c r="L710" i="1" s="1"/>
  <c r="P884" i="1"/>
  <c r="O885" i="1" s="1"/>
  <c r="R884" i="1"/>
  <c r="N557" i="1"/>
  <c r="R27" i="1"/>
  <c r="P27" i="1"/>
  <c r="O28" i="1" s="1"/>
  <c r="M27" i="1"/>
  <c r="L28" i="1" s="1"/>
  <c r="L346" i="1"/>
  <c r="R346" i="1"/>
  <c r="P346" i="1"/>
  <c r="P183" i="1"/>
  <c r="Q183" i="1" s="1"/>
  <c r="N183" i="1" s="1"/>
  <c r="R183" i="1"/>
  <c r="L183" i="1"/>
  <c r="O388" i="1"/>
  <c r="M387" i="1"/>
  <c r="O266" i="1"/>
  <c r="M265" i="1"/>
  <c r="S141" i="1"/>
  <c r="T141" i="1" s="1"/>
  <c r="M56" i="1"/>
  <c r="O57" i="1"/>
  <c r="Q26" i="1"/>
  <c r="S111" i="1"/>
  <c r="R112" i="1" s="1"/>
  <c r="Q387" i="1"/>
  <c r="N387" i="1" s="1"/>
  <c r="S265" i="1"/>
  <c r="T265" i="1" s="1"/>
  <c r="O509" i="1"/>
  <c r="M508" i="1"/>
  <c r="Q56" i="1"/>
  <c r="N56" i="1" s="1"/>
  <c r="M141" i="1"/>
  <c r="O142" i="1"/>
  <c r="T110" i="1"/>
  <c r="S387" i="1"/>
  <c r="T387" i="1" s="1"/>
  <c r="R469" i="1"/>
  <c r="P469" i="1"/>
  <c r="L469" i="1"/>
  <c r="Q265" i="1"/>
  <c r="N265" i="1" s="1"/>
  <c r="P428" i="1"/>
  <c r="Q428" i="1" s="1"/>
  <c r="N428" i="1" s="1"/>
  <c r="R428" i="1"/>
  <c r="L428" i="1"/>
  <c r="L98" i="1"/>
  <c r="P98" i="1"/>
  <c r="N26" i="1"/>
  <c r="S224" i="1"/>
  <c r="T224" i="1" s="1"/>
  <c r="L306" i="1"/>
  <c r="P306" i="1"/>
  <c r="R306" i="1"/>
  <c r="S56" i="1"/>
  <c r="T56" i="1" s="1"/>
  <c r="O225" i="1"/>
  <c r="M224" i="1"/>
  <c r="S508" i="1"/>
  <c r="T508" i="1" s="1"/>
  <c r="S1295" i="1" l="1"/>
  <c r="R1296" i="1" s="1"/>
  <c r="T1295" i="1"/>
  <c r="U1295" i="1" s="1"/>
  <c r="P1184" i="1"/>
  <c r="O1185" i="1" s="1"/>
  <c r="Q1150" i="1"/>
  <c r="Q1294" i="1"/>
  <c r="T1294" i="1"/>
  <c r="U1294" i="1" s="1"/>
  <c r="Q1183" i="1"/>
  <c r="M1182" i="1"/>
  <c r="L1183" i="1" s="1"/>
  <c r="P1151" i="1"/>
  <c r="O1152" i="1" s="1"/>
  <c r="P1295" i="1"/>
  <c r="O1296" i="1" s="1"/>
  <c r="M1152" i="1"/>
  <c r="L1153" i="1" s="1"/>
  <c r="M1220" i="1"/>
  <c r="L1221" i="1" s="1"/>
  <c r="M1295" i="1"/>
  <c r="L1296" i="1" s="1"/>
  <c r="N1295" i="1"/>
  <c r="N1181" i="1"/>
  <c r="N1294" i="1"/>
  <c r="M1258" i="1"/>
  <c r="L1259" i="1" s="1"/>
  <c r="P1222" i="1"/>
  <c r="O1223" i="1" s="1"/>
  <c r="P1258" i="1"/>
  <c r="O1259" i="1" s="1"/>
  <c r="N1257" i="1"/>
  <c r="Q1221" i="1"/>
  <c r="N985" i="1"/>
  <c r="N885" i="1"/>
  <c r="S738" i="1"/>
  <c r="Q922" i="1"/>
  <c r="S593" i="1"/>
  <c r="M1084" i="1"/>
  <c r="L1085" i="1" s="1"/>
  <c r="M954" i="1"/>
  <c r="L955" i="1" s="1"/>
  <c r="P987" i="1"/>
  <c r="O988" i="1" s="1"/>
  <c r="Q987" i="1"/>
  <c r="Q1084" i="1"/>
  <c r="P1051" i="1"/>
  <c r="O1052" i="1" s="1"/>
  <c r="N920" i="1"/>
  <c r="N1083" i="1"/>
  <c r="Q952" i="1"/>
  <c r="P1085" i="1"/>
  <c r="O1086" i="1" s="1"/>
  <c r="M986" i="1"/>
  <c r="L987" i="1" s="1"/>
  <c r="P923" i="1"/>
  <c r="O924" i="1" s="1"/>
  <c r="M1051" i="1"/>
  <c r="L1052" i="1" s="1"/>
  <c r="P953" i="1"/>
  <c r="O954" i="1" s="1"/>
  <c r="M1018" i="1"/>
  <c r="L1019" i="1" s="1"/>
  <c r="M1120" i="1"/>
  <c r="N1120" i="1" s="1"/>
  <c r="P1019" i="1"/>
  <c r="O1020" i="1" s="1"/>
  <c r="Q1019" i="1"/>
  <c r="Q986" i="1"/>
  <c r="N1017" i="1"/>
  <c r="N1119" i="1"/>
  <c r="N1050" i="1"/>
  <c r="O1103" i="1"/>
  <c r="S1102" i="1"/>
  <c r="Q1102" i="1"/>
  <c r="M921" i="1"/>
  <c r="L922" i="1" s="1"/>
  <c r="Q1018" i="1"/>
  <c r="T883" i="1"/>
  <c r="U883" i="1" s="1"/>
  <c r="N776" i="1"/>
  <c r="T774" i="1"/>
  <c r="U774" i="1" s="1"/>
  <c r="S774" i="1"/>
  <c r="R776" i="1"/>
  <c r="P776" i="1"/>
  <c r="O777" i="1" s="1"/>
  <c r="Q739" i="1"/>
  <c r="S739" i="1" s="1"/>
  <c r="Q557" i="1"/>
  <c r="T557" i="1" s="1"/>
  <c r="U557" i="1" s="1"/>
  <c r="N632" i="1"/>
  <c r="Q775" i="1"/>
  <c r="Q710" i="1"/>
  <c r="T710" i="1" s="1"/>
  <c r="U710" i="1" s="1"/>
  <c r="Q884" i="1"/>
  <c r="T884" i="1" s="1"/>
  <c r="U884" i="1" s="1"/>
  <c r="Q851" i="1"/>
  <c r="T851" i="1" s="1"/>
  <c r="U851" i="1" s="1"/>
  <c r="Q594" i="1"/>
  <c r="R595" i="1"/>
  <c r="P595" i="1"/>
  <c r="O596" i="1" s="1"/>
  <c r="S811" i="1"/>
  <c r="T811" i="1"/>
  <c r="U811" i="1" s="1"/>
  <c r="M596" i="1"/>
  <c r="L597" i="1" s="1"/>
  <c r="M886" i="1"/>
  <c r="L887" i="1" s="1"/>
  <c r="N813" i="1"/>
  <c r="M670" i="1"/>
  <c r="L671" i="1" s="1"/>
  <c r="N740" i="1"/>
  <c r="T556" i="1"/>
  <c r="U556" i="1" s="1"/>
  <c r="S556" i="1"/>
  <c r="N595" i="1"/>
  <c r="R813" i="1"/>
  <c r="P813" i="1"/>
  <c r="O814" i="1" s="1"/>
  <c r="N558" i="1"/>
  <c r="Q633" i="1"/>
  <c r="N669" i="1"/>
  <c r="T632" i="1"/>
  <c r="U632" i="1" s="1"/>
  <c r="S632" i="1"/>
  <c r="R711" i="1"/>
  <c r="P711" i="1"/>
  <c r="O712" i="1" s="1"/>
  <c r="M777" i="1"/>
  <c r="L778" i="1" s="1"/>
  <c r="R634" i="1"/>
  <c r="P634" i="1"/>
  <c r="O635" i="1" s="1"/>
  <c r="Q812" i="1"/>
  <c r="T669" i="1"/>
  <c r="U669" i="1" s="1"/>
  <c r="S669" i="1"/>
  <c r="M814" i="1"/>
  <c r="L815" i="1" s="1"/>
  <c r="M850" i="1"/>
  <c r="L851" i="1" s="1"/>
  <c r="N850" i="1"/>
  <c r="N709" i="1"/>
  <c r="T709" i="1"/>
  <c r="U709" i="1" s="1"/>
  <c r="S709" i="1"/>
  <c r="P740" i="1"/>
  <c r="O741" i="1" s="1"/>
  <c r="R740" i="1"/>
  <c r="Q740" i="1"/>
  <c r="R671" i="1"/>
  <c r="P671" i="1"/>
  <c r="O672" i="1" s="1"/>
  <c r="M710" i="1"/>
  <c r="L711" i="1" s="1"/>
  <c r="N849" i="1"/>
  <c r="M559" i="1"/>
  <c r="L560" i="1" s="1"/>
  <c r="M741" i="1"/>
  <c r="L742" i="1" s="1"/>
  <c r="R885" i="1"/>
  <c r="P885" i="1"/>
  <c r="O886" i="1" s="1"/>
  <c r="T850" i="1"/>
  <c r="U850" i="1" s="1"/>
  <c r="S850" i="1"/>
  <c r="R852" i="1"/>
  <c r="P852" i="1"/>
  <c r="O853" i="1" s="1"/>
  <c r="Q670" i="1"/>
  <c r="R558" i="1"/>
  <c r="P558" i="1"/>
  <c r="O559" i="1" s="1"/>
  <c r="M633" i="1"/>
  <c r="L634" i="1" s="1"/>
  <c r="M98" i="1"/>
  <c r="O99" i="1"/>
  <c r="T26" i="1"/>
  <c r="S26" i="1"/>
  <c r="O347" i="1"/>
  <c r="M346" i="1"/>
  <c r="Q346" i="1"/>
  <c r="N346" i="1" s="1"/>
  <c r="S469" i="1"/>
  <c r="T469" i="1" s="1"/>
  <c r="O429" i="1"/>
  <c r="M428" i="1"/>
  <c r="M306" i="1"/>
  <c r="O307" i="1"/>
  <c r="S112" i="1"/>
  <c r="R113" i="1" s="1"/>
  <c r="R225" i="1"/>
  <c r="P225" i="1"/>
  <c r="L225" i="1"/>
  <c r="P509" i="1"/>
  <c r="Q509" i="1" s="1"/>
  <c r="N509" i="1" s="1"/>
  <c r="R509" i="1"/>
  <c r="L509" i="1"/>
  <c r="R28" i="1"/>
  <c r="P28" i="1"/>
  <c r="O29" i="1" s="1"/>
  <c r="S183" i="1"/>
  <c r="T183" i="1" s="1"/>
  <c r="Q98" i="1"/>
  <c r="N98" i="1" s="1"/>
  <c r="R142" i="1"/>
  <c r="P142" i="1"/>
  <c r="Q142" i="1" s="1"/>
  <c r="N142" i="1" s="1"/>
  <c r="L142" i="1"/>
  <c r="S428" i="1"/>
  <c r="T428" i="1" s="1"/>
  <c r="S306" i="1"/>
  <c r="T306" i="1" s="1"/>
  <c r="N27" i="1"/>
  <c r="O470" i="1"/>
  <c r="M469" i="1"/>
  <c r="R388" i="1"/>
  <c r="P388" i="1"/>
  <c r="L388" i="1"/>
  <c r="Q27" i="1"/>
  <c r="T111" i="1"/>
  <c r="O184" i="1"/>
  <c r="M183" i="1"/>
  <c r="P57" i="1"/>
  <c r="L57" i="1"/>
  <c r="R57" i="1"/>
  <c r="S346" i="1"/>
  <c r="T346" i="1"/>
  <c r="M28" i="1"/>
  <c r="L29" i="1" s="1"/>
  <c r="Q306" i="1"/>
  <c r="N306" i="1" s="1"/>
  <c r="R266" i="1"/>
  <c r="P266" i="1"/>
  <c r="Q266" i="1" s="1"/>
  <c r="N266" i="1" s="1"/>
  <c r="L266" i="1"/>
  <c r="Q469" i="1"/>
  <c r="N469" i="1" s="1"/>
  <c r="Q1151" i="1" l="1"/>
  <c r="N1258" i="1"/>
  <c r="N1220" i="1"/>
  <c r="M1296" i="1"/>
  <c r="L1297" i="1" s="1"/>
  <c r="N1296" i="1"/>
  <c r="P1259" i="1"/>
  <c r="O1260" i="1" s="1"/>
  <c r="M1153" i="1"/>
  <c r="L1154" i="1" s="1"/>
  <c r="P1185" i="1"/>
  <c r="O1186" i="1" s="1"/>
  <c r="Q1258" i="1"/>
  <c r="N1152" i="1"/>
  <c r="Q1184" i="1"/>
  <c r="M1259" i="1"/>
  <c r="L1260" i="1" s="1"/>
  <c r="M1183" i="1"/>
  <c r="L1184" i="1" s="1"/>
  <c r="P1223" i="1"/>
  <c r="O1224" i="1" s="1"/>
  <c r="P1296" i="1"/>
  <c r="O1297" i="1" s="1"/>
  <c r="P1152" i="1"/>
  <c r="O1153" i="1" s="1"/>
  <c r="Q1152" i="1"/>
  <c r="N1182" i="1"/>
  <c r="M1221" i="1"/>
  <c r="L1222" i="1" s="1"/>
  <c r="N1221" i="1"/>
  <c r="Q1222" i="1"/>
  <c r="Q1295" i="1"/>
  <c r="S1296" i="1"/>
  <c r="R1297" i="1" s="1"/>
  <c r="Q1085" i="1"/>
  <c r="S851" i="1"/>
  <c r="P924" i="1"/>
  <c r="O925" i="1" s="1"/>
  <c r="R1103" i="1"/>
  <c r="P1103" i="1"/>
  <c r="Q923" i="1"/>
  <c r="P988" i="1"/>
  <c r="O989" i="1" s="1"/>
  <c r="M1019" i="1"/>
  <c r="L1020" i="1" s="1"/>
  <c r="N1019" i="1"/>
  <c r="M987" i="1"/>
  <c r="L988" i="1" s="1"/>
  <c r="N954" i="1"/>
  <c r="M922" i="1"/>
  <c r="L923" i="1" s="1"/>
  <c r="N1018" i="1"/>
  <c r="Q953" i="1"/>
  <c r="M1052" i="1"/>
  <c r="L1053" i="1" s="1"/>
  <c r="N986" i="1"/>
  <c r="P1020" i="1"/>
  <c r="O1021" i="1" s="1"/>
  <c r="M1085" i="1"/>
  <c r="L1086" i="1" s="1"/>
  <c r="P954" i="1"/>
  <c r="O955" i="1" s="1"/>
  <c r="P1052" i="1"/>
  <c r="O1053" i="1" s="1"/>
  <c r="Q1051" i="1"/>
  <c r="N1051" i="1"/>
  <c r="M955" i="1"/>
  <c r="L956" i="1" s="1"/>
  <c r="N921" i="1"/>
  <c r="P1086" i="1"/>
  <c r="O1087" i="1" s="1"/>
  <c r="N1084" i="1"/>
  <c r="Q776" i="1"/>
  <c r="S557" i="1"/>
  <c r="T739" i="1"/>
  <c r="U739" i="1" s="1"/>
  <c r="S776" i="1"/>
  <c r="T776" i="1"/>
  <c r="U776" i="1" s="1"/>
  <c r="S710" i="1"/>
  <c r="S884" i="1"/>
  <c r="R777" i="1"/>
  <c r="P777" i="1"/>
  <c r="O778" i="1" s="1"/>
  <c r="Q777" i="1"/>
  <c r="N670" i="1"/>
  <c r="N777" i="1"/>
  <c r="Q671" i="1"/>
  <c r="S671" i="1" s="1"/>
  <c r="Q885" i="1"/>
  <c r="T885" i="1" s="1"/>
  <c r="U885" i="1" s="1"/>
  <c r="T775" i="1"/>
  <c r="U775" i="1" s="1"/>
  <c r="S775" i="1"/>
  <c r="M634" i="1"/>
  <c r="L635" i="1" s="1"/>
  <c r="S633" i="1"/>
  <c r="T633" i="1"/>
  <c r="U633" i="1" s="1"/>
  <c r="M887" i="1"/>
  <c r="L888" i="1" s="1"/>
  <c r="M560" i="1"/>
  <c r="L561" i="1" s="1"/>
  <c r="S812" i="1"/>
  <c r="T812" i="1"/>
  <c r="U812" i="1" s="1"/>
  <c r="N633" i="1"/>
  <c r="R559" i="1"/>
  <c r="P559" i="1"/>
  <c r="O560" i="1" s="1"/>
  <c r="Q711" i="1"/>
  <c r="Q813" i="1"/>
  <c r="R596" i="1"/>
  <c r="P596" i="1"/>
  <c r="O597" i="1" s="1"/>
  <c r="R814" i="1"/>
  <c r="P814" i="1"/>
  <c r="O815" i="1" s="1"/>
  <c r="M815" i="1"/>
  <c r="L816" i="1" s="1"/>
  <c r="N814" i="1"/>
  <c r="N559" i="1"/>
  <c r="R853" i="1"/>
  <c r="P853" i="1"/>
  <c r="O854" i="1" s="1"/>
  <c r="M711" i="1"/>
  <c r="L712" i="1" s="1"/>
  <c r="Q634" i="1"/>
  <c r="Q595" i="1"/>
  <c r="T740" i="1"/>
  <c r="U740" i="1" s="1"/>
  <c r="S740" i="1"/>
  <c r="N741" i="1"/>
  <c r="R741" i="1"/>
  <c r="P741" i="1"/>
  <c r="O742" i="1" s="1"/>
  <c r="T670" i="1"/>
  <c r="U670" i="1" s="1"/>
  <c r="S670" i="1"/>
  <c r="N596" i="1"/>
  <c r="Q852" i="1"/>
  <c r="R635" i="1"/>
  <c r="P635" i="1"/>
  <c r="O636" i="1" s="1"/>
  <c r="R712" i="1"/>
  <c r="P712" i="1"/>
  <c r="O713" i="1" s="1"/>
  <c r="M742" i="1"/>
  <c r="L743" i="1" s="1"/>
  <c r="Q558" i="1"/>
  <c r="N886" i="1"/>
  <c r="M597" i="1"/>
  <c r="L598" i="1" s="1"/>
  <c r="N710" i="1"/>
  <c r="M851" i="1"/>
  <c r="L852" i="1" s="1"/>
  <c r="P886" i="1"/>
  <c r="O887" i="1" s="1"/>
  <c r="R886" i="1"/>
  <c r="R672" i="1"/>
  <c r="P672" i="1"/>
  <c r="O673" i="1" s="1"/>
  <c r="M778" i="1"/>
  <c r="L779" i="1" s="1"/>
  <c r="M671" i="1"/>
  <c r="L672" i="1" s="1"/>
  <c r="T594" i="1"/>
  <c r="U594" i="1" s="1"/>
  <c r="S594" i="1"/>
  <c r="L184" i="1"/>
  <c r="R184" i="1"/>
  <c r="P184" i="1"/>
  <c r="R429" i="1"/>
  <c r="P429" i="1"/>
  <c r="L429" i="1"/>
  <c r="T27" i="1"/>
  <c r="S27" i="1"/>
  <c r="M29" i="1"/>
  <c r="L30" i="1" s="1"/>
  <c r="O267" i="1"/>
  <c r="M266" i="1"/>
  <c r="M142" i="1"/>
  <c r="O143" i="1"/>
  <c r="N28" i="1"/>
  <c r="S266" i="1"/>
  <c r="T266" i="1" s="1"/>
  <c r="M509" i="1"/>
  <c r="O510" i="1"/>
  <c r="O389" i="1"/>
  <c r="M388" i="1"/>
  <c r="Q388" i="1"/>
  <c r="N388" i="1" s="1"/>
  <c r="S142" i="1"/>
  <c r="T142" i="1" s="1"/>
  <c r="O226" i="1"/>
  <c r="M225" i="1"/>
  <c r="S388" i="1"/>
  <c r="T388" i="1"/>
  <c r="Q225" i="1"/>
  <c r="N225" i="1" s="1"/>
  <c r="P347" i="1"/>
  <c r="R347" i="1"/>
  <c r="L347" i="1"/>
  <c r="S57" i="1"/>
  <c r="T57" i="1" s="1"/>
  <c r="S225" i="1"/>
  <c r="T225" i="1" s="1"/>
  <c r="R470" i="1"/>
  <c r="L470" i="1"/>
  <c r="P470" i="1"/>
  <c r="T112" i="1"/>
  <c r="L99" i="1"/>
  <c r="P99" i="1"/>
  <c r="Q99" i="1" s="1"/>
  <c r="N99" i="1" s="1"/>
  <c r="S509" i="1"/>
  <c r="T509" i="1" s="1"/>
  <c r="M57" i="1"/>
  <c r="O58" i="1"/>
  <c r="R29" i="1"/>
  <c r="P29" i="1"/>
  <c r="O30" i="1" s="1"/>
  <c r="S113" i="1"/>
  <c r="R114" i="1" s="1"/>
  <c r="Q57" i="1"/>
  <c r="N57" i="1" s="1"/>
  <c r="Q28" i="1"/>
  <c r="L307" i="1"/>
  <c r="R307" i="1"/>
  <c r="P307" i="1"/>
  <c r="T1296" i="1" l="1"/>
  <c r="U1296" i="1" s="1"/>
  <c r="M1184" i="1"/>
  <c r="L1185" i="1" s="1"/>
  <c r="Q1259" i="1"/>
  <c r="N1183" i="1"/>
  <c r="M1154" i="1"/>
  <c r="L1155" i="1" s="1"/>
  <c r="P1260" i="1"/>
  <c r="O1261" i="1" s="1"/>
  <c r="M1260" i="1"/>
  <c r="L1261" i="1" s="1"/>
  <c r="N1260" i="1"/>
  <c r="M1297" i="1"/>
  <c r="L1298" i="1" s="1"/>
  <c r="P1186" i="1"/>
  <c r="O1187" i="1" s="1"/>
  <c r="Q1223" i="1"/>
  <c r="N1259" i="1"/>
  <c r="P1297" i="1"/>
  <c r="O1298" i="1" s="1"/>
  <c r="P1224" i="1"/>
  <c r="O1225" i="1" s="1"/>
  <c r="Q1224" i="1"/>
  <c r="S1297" i="1"/>
  <c r="R1298" i="1" s="1"/>
  <c r="T1297" i="1"/>
  <c r="U1297" i="1" s="1"/>
  <c r="M1222" i="1"/>
  <c r="L1223" i="1" s="1"/>
  <c r="P1153" i="1"/>
  <c r="O1154" i="1" s="1"/>
  <c r="Q1185" i="1"/>
  <c r="Q1296" i="1"/>
  <c r="N1153" i="1"/>
  <c r="Q954" i="1"/>
  <c r="M988" i="1"/>
  <c r="L989" i="1" s="1"/>
  <c r="P1087" i="1"/>
  <c r="O1088" i="1" s="1"/>
  <c r="Q1020" i="1"/>
  <c r="S1103" i="1"/>
  <c r="O1104" i="1"/>
  <c r="Q1086" i="1"/>
  <c r="Q1103" i="1"/>
  <c r="N1085" i="1"/>
  <c r="P1021" i="1"/>
  <c r="O1022" i="1" s="1"/>
  <c r="M1020" i="1"/>
  <c r="L1021" i="1" s="1"/>
  <c r="M956" i="1"/>
  <c r="L957" i="1" s="1"/>
  <c r="Q988" i="1"/>
  <c r="Q1052" i="1"/>
  <c r="M923" i="1"/>
  <c r="L924" i="1" s="1"/>
  <c r="N955" i="1"/>
  <c r="N1052" i="1"/>
  <c r="P1053" i="1"/>
  <c r="O1054" i="1" s="1"/>
  <c r="P955" i="1"/>
  <c r="O956" i="1" s="1"/>
  <c r="N922" i="1"/>
  <c r="P925" i="1"/>
  <c r="Q925" i="1" s="1"/>
  <c r="M1086" i="1"/>
  <c r="L1087" i="1" s="1"/>
  <c r="N987" i="1"/>
  <c r="P989" i="1"/>
  <c r="O990" i="1" s="1"/>
  <c r="M1053" i="1"/>
  <c r="L1054" i="1" s="1"/>
  <c r="Q924" i="1"/>
  <c r="N887" i="1"/>
  <c r="Q886" i="1"/>
  <c r="T886" i="1" s="1"/>
  <c r="U886" i="1" s="1"/>
  <c r="T671" i="1"/>
  <c r="U671" i="1" s="1"/>
  <c r="T777" i="1"/>
  <c r="U777" i="1" s="1"/>
  <c r="S777" i="1"/>
  <c r="R778" i="1"/>
  <c r="P778" i="1"/>
  <c r="O779" i="1" s="1"/>
  <c r="N597" i="1"/>
  <c r="S885" i="1"/>
  <c r="N742" i="1"/>
  <c r="M712" i="1"/>
  <c r="L713" i="1" s="1"/>
  <c r="M852" i="1"/>
  <c r="L853" i="1" s="1"/>
  <c r="M888" i="1"/>
  <c r="L889" i="1" s="1"/>
  <c r="R713" i="1"/>
  <c r="P713" i="1"/>
  <c r="Q713" i="1" s="1"/>
  <c r="N711" i="1"/>
  <c r="Q596" i="1"/>
  <c r="N851" i="1"/>
  <c r="M672" i="1"/>
  <c r="L673" i="1" s="1"/>
  <c r="Q635" i="1"/>
  <c r="T813" i="1"/>
  <c r="U813" i="1" s="1"/>
  <c r="S813" i="1"/>
  <c r="Q712" i="1"/>
  <c r="R887" i="1"/>
  <c r="P887" i="1"/>
  <c r="O888" i="1" s="1"/>
  <c r="P636" i="1"/>
  <c r="O637" i="1" s="1"/>
  <c r="R636" i="1"/>
  <c r="N671" i="1"/>
  <c r="M598" i="1"/>
  <c r="L599" i="1" s="1"/>
  <c r="T711" i="1"/>
  <c r="U711" i="1" s="1"/>
  <c r="S711" i="1"/>
  <c r="R742" i="1"/>
  <c r="P742" i="1"/>
  <c r="O743" i="1" s="1"/>
  <c r="Q741" i="1"/>
  <c r="M561" i="1"/>
  <c r="L562" i="1" s="1"/>
  <c r="N560" i="1"/>
  <c r="S852" i="1"/>
  <c r="T852" i="1"/>
  <c r="U852" i="1" s="1"/>
  <c r="S595" i="1"/>
  <c r="T595" i="1"/>
  <c r="U595" i="1" s="1"/>
  <c r="M816" i="1"/>
  <c r="L817" i="1" s="1"/>
  <c r="R560" i="1"/>
  <c r="P560" i="1"/>
  <c r="O561" i="1" s="1"/>
  <c r="R854" i="1"/>
  <c r="P854" i="1"/>
  <c r="O855" i="1" s="1"/>
  <c r="M779" i="1"/>
  <c r="L780" i="1" s="1"/>
  <c r="N778" i="1"/>
  <c r="N815" i="1"/>
  <c r="Q559" i="1"/>
  <c r="S886" i="1"/>
  <c r="P597" i="1"/>
  <c r="O598" i="1" s="1"/>
  <c r="R597" i="1"/>
  <c r="Q853" i="1"/>
  <c r="R673" i="1"/>
  <c r="P673" i="1"/>
  <c r="O674" i="1" s="1"/>
  <c r="T558" i="1"/>
  <c r="U558" i="1" s="1"/>
  <c r="S558" i="1"/>
  <c r="R815" i="1"/>
  <c r="P815" i="1"/>
  <c r="O816" i="1" s="1"/>
  <c r="M635" i="1"/>
  <c r="L636" i="1" s="1"/>
  <c r="T634" i="1"/>
  <c r="U634" i="1" s="1"/>
  <c r="S634" i="1"/>
  <c r="Q672" i="1"/>
  <c r="M743" i="1"/>
  <c r="L744" i="1" s="1"/>
  <c r="Q814" i="1"/>
  <c r="N634" i="1"/>
  <c r="S307" i="1"/>
  <c r="T307" i="1" s="1"/>
  <c r="M30" i="1"/>
  <c r="L31" i="1" s="1"/>
  <c r="N29" i="1"/>
  <c r="O348" i="1"/>
  <c r="M347" i="1"/>
  <c r="M470" i="1"/>
  <c r="O471" i="1"/>
  <c r="M429" i="1"/>
  <c r="O430" i="1"/>
  <c r="Q429" i="1"/>
  <c r="N429" i="1" s="1"/>
  <c r="S470" i="1"/>
  <c r="T470" i="1" s="1"/>
  <c r="S347" i="1"/>
  <c r="T347" i="1" s="1"/>
  <c r="O100" i="1"/>
  <c r="M99" i="1"/>
  <c r="S28" i="1"/>
  <c r="T28" i="1"/>
  <c r="P389" i="1"/>
  <c r="R389" i="1"/>
  <c r="L389" i="1"/>
  <c r="L510" i="1"/>
  <c r="R510" i="1"/>
  <c r="P510" i="1"/>
  <c r="S114" i="1"/>
  <c r="R115" i="1" s="1"/>
  <c r="Q347" i="1"/>
  <c r="N347" i="1" s="1"/>
  <c r="T113" i="1"/>
  <c r="R30" i="1"/>
  <c r="P30" i="1"/>
  <c r="O31" i="1" s="1"/>
  <c r="Q29" i="1"/>
  <c r="Q470" i="1"/>
  <c r="N470" i="1" s="1"/>
  <c r="S429" i="1"/>
  <c r="T429" i="1" s="1"/>
  <c r="R143" i="1"/>
  <c r="P143" i="1"/>
  <c r="Q143" i="1" s="1"/>
  <c r="N143" i="1" s="1"/>
  <c r="L143" i="1"/>
  <c r="O185" i="1"/>
  <c r="M184" i="1"/>
  <c r="L58" i="1"/>
  <c r="R58" i="1"/>
  <c r="P58" i="1"/>
  <c r="Q58" i="1" s="1"/>
  <c r="N58" i="1" s="1"/>
  <c r="R226" i="1"/>
  <c r="P226" i="1"/>
  <c r="Q226" i="1" s="1"/>
  <c r="N226" i="1" s="1"/>
  <c r="L226" i="1"/>
  <c r="Q184" i="1"/>
  <c r="N184" i="1" s="1"/>
  <c r="M307" i="1"/>
  <c r="O308" i="1"/>
  <c r="S184" i="1"/>
  <c r="T184" i="1" s="1"/>
  <c r="Q307" i="1"/>
  <c r="N307" i="1" s="1"/>
  <c r="P267" i="1"/>
  <c r="Q267" i="1" s="1"/>
  <c r="N267" i="1" s="1"/>
  <c r="R267" i="1"/>
  <c r="L267" i="1"/>
  <c r="Q1260" i="1" l="1"/>
  <c r="M1298" i="1"/>
  <c r="L1299" i="1" s="1"/>
  <c r="N1154" i="1"/>
  <c r="P1225" i="1"/>
  <c r="O1226" i="1" s="1"/>
  <c r="Q1297" i="1"/>
  <c r="M1223" i="1"/>
  <c r="L1224" i="1" s="1"/>
  <c r="N1223" i="1"/>
  <c r="M1261" i="1"/>
  <c r="L1262" i="1" s="1"/>
  <c r="P1298" i="1"/>
  <c r="O1299" i="1" s="1"/>
  <c r="P1154" i="1"/>
  <c r="O1155" i="1" s="1"/>
  <c r="P1187" i="1"/>
  <c r="O1188" i="1" s="1"/>
  <c r="M1185" i="1"/>
  <c r="L1186" i="1" s="1"/>
  <c r="N1185" i="1"/>
  <c r="S1298" i="1"/>
  <c r="R1299" i="1" s="1"/>
  <c r="Q1153" i="1"/>
  <c r="Q1186" i="1"/>
  <c r="N1184" i="1"/>
  <c r="P1261" i="1"/>
  <c r="O1262" i="1" s="1"/>
  <c r="Q1261" i="1"/>
  <c r="M1155" i="1"/>
  <c r="N1155" i="1" s="1"/>
  <c r="N1222" i="1"/>
  <c r="N1297" i="1"/>
  <c r="M1054" i="1"/>
  <c r="L1055" i="1" s="1"/>
  <c r="N1054" i="1"/>
  <c r="Q1053" i="1"/>
  <c r="N923" i="1"/>
  <c r="N1086" i="1"/>
  <c r="Q1087" i="1"/>
  <c r="P1054" i="1"/>
  <c r="O1055" i="1" s="1"/>
  <c r="Q1054" i="1"/>
  <c r="Q1021" i="1"/>
  <c r="P990" i="1"/>
  <c r="O991" i="1" s="1"/>
  <c r="Q990" i="1"/>
  <c r="Q989" i="1"/>
  <c r="M924" i="1"/>
  <c r="L925" i="1" s="1"/>
  <c r="N924" i="1"/>
  <c r="M1087" i="1"/>
  <c r="L1088" i="1" s="1"/>
  <c r="P1088" i="1"/>
  <c r="Q1088" i="1" s="1"/>
  <c r="N956" i="1"/>
  <c r="P956" i="1"/>
  <c r="O957" i="1" s="1"/>
  <c r="M1021" i="1"/>
  <c r="L1022" i="1" s="1"/>
  <c r="N1021" i="1"/>
  <c r="M989" i="1"/>
  <c r="L990" i="1" s="1"/>
  <c r="P1022" i="1"/>
  <c r="O1023" i="1" s="1"/>
  <c r="N1053" i="1"/>
  <c r="R1104" i="1"/>
  <c r="P1104" i="1"/>
  <c r="M957" i="1"/>
  <c r="L958" i="1" s="1"/>
  <c r="Q955" i="1"/>
  <c r="N1020" i="1"/>
  <c r="N988" i="1"/>
  <c r="Q636" i="1"/>
  <c r="T636" i="1" s="1"/>
  <c r="U636" i="1" s="1"/>
  <c r="N561" i="1"/>
  <c r="P779" i="1"/>
  <c r="O780" i="1" s="1"/>
  <c r="R779" i="1"/>
  <c r="Q778" i="1"/>
  <c r="S713" i="1"/>
  <c r="T713" i="1"/>
  <c r="U713" i="1" s="1"/>
  <c r="Q854" i="1"/>
  <c r="R598" i="1"/>
  <c r="P598" i="1"/>
  <c r="O599" i="1" s="1"/>
  <c r="Q597" i="1"/>
  <c r="R637" i="1"/>
  <c r="P637" i="1"/>
  <c r="O638" i="1" s="1"/>
  <c r="N816" i="1"/>
  <c r="N888" i="1"/>
  <c r="M562" i="1"/>
  <c r="L563" i="1" s="1"/>
  <c r="T814" i="1"/>
  <c r="U814" i="1" s="1"/>
  <c r="S814" i="1"/>
  <c r="M853" i="1"/>
  <c r="L854" i="1" s="1"/>
  <c r="T741" i="1"/>
  <c r="U741" i="1" s="1"/>
  <c r="S741" i="1"/>
  <c r="Q560" i="1"/>
  <c r="Q887" i="1"/>
  <c r="R674" i="1"/>
  <c r="P674" i="1"/>
  <c r="O675" i="1" s="1"/>
  <c r="T635" i="1"/>
  <c r="U635" i="1" s="1"/>
  <c r="S635" i="1"/>
  <c r="N852" i="1"/>
  <c r="M636" i="1"/>
  <c r="L637" i="1" s="1"/>
  <c r="N635" i="1"/>
  <c r="R816" i="1"/>
  <c r="P816" i="1"/>
  <c r="O817" i="1" s="1"/>
  <c r="R561" i="1"/>
  <c r="P561" i="1"/>
  <c r="O562" i="1" s="1"/>
  <c r="T559" i="1"/>
  <c r="U559" i="1" s="1"/>
  <c r="S559" i="1"/>
  <c r="Q742" i="1"/>
  <c r="N743" i="1"/>
  <c r="M817" i="1"/>
  <c r="L818" i="1" s="1"/>
  <c r="T712" i="1"/>
  <c r="U712" i="1" s="1"/>
  <c r="S712" i="1"/>
  <c r="T672" i="1"/>
  <c r="U672" i="1" s="1"/>
  <c r="S672" i="1"/>
  <c r="S853" i="1"/>
  <c r="T853" i="1"/>
  <c r="U853" i="1" s="1"/>
  <c r="M780" i="1"/>
  <c r="L781" i="1" s="1"/>
  <c r="N598" i="1"/>
  <c r="M673" i="1"/>
  <c r="L674" i="1" s="1"/>
  <c r="M713" i="1"/>
  <c r="N713" i="1" s="1"/>
  <c r="R855" i="1"/>
  <c r="P855" i="1"/>
  <c r="O856" i="1" s="1"/>
  <c r="T596" i="1"/>
  <c r="U596" i="1" s="1"/>
  <c r="S596" i="1"/>
  <c r="Q815" i="1"/>
  <c r="R888" i="1"/>
  <c r="P888" i="1"/>
  <c r="O889" i="1" s="1"/>
  <c r="P743" i="1"/>
  <c r="O744" i="1" s="1"/>
  <c r="R743" i="1"/>
  <c r="M744" i="1"/>
  <c r="L745" i="1" s="1"/>
  <c r="M889" i="1"/>
  <c r="L890" i="1" s="1"/>
  <c r="N889" i="1"/>
  <c r="Q673" i="1"/>
  <c r="M599" i="1"/>
  <c r="L600" i="1" s="1"/>
  <c r="N779" i="1"/>
  <c r="N672" i="1"/>
  <c r="N712" i="1"/>
  <c r="T29" i="1"/>
  <c r="S29" i="1"/>
  <c r="S389" i="1"/>
  <c r="T389" i="1" s="1"/>
  <c r="O390" i="1"/>
  <c r="M389" i="1"/>
  <c r="R471" i="1"/>
  <c r="L471" i="1"/>
  <c r="P471" i="1"/>
  <c r="Q471" i="1" s="1"/>
  <c r="N471" i="1" s="1"/>
  <c r="O144" i="1"/>
  <c r="M143" i="1"/>
  <c r="P100" i="1"/>
  <c r="Q100" i="1" s="1"/>
  <c r="N100" i="1" s="1"/>
  <c r="L100" i="1"/>
  <c r="M510" i="1"/>
  <c r="O511" i="1"/>
  <c r="Q510" i="1"/>
  <c r="N510" i="1" s="1"/>
  <c r="N30" i="1"/>
  <c r="R31" i="1"/>
  <c r="P31" i="1"/>
  <c r="O32" i="1" s="1"/>
  <c r="R185" i="1"/>
  <c r="P185" i="1"/>
  <c r="Q185" i="1" s="1"/>
  <c r="N185" i="1" s="1"/>
  <c r="L185" i="1"/>
  <c r="S115" i="1"/>
  <c r="R116" i="1" s="1"/>
  <c r="S143" i="1"/>
  <c r="T143" i="1" s="1"/>
  <c r="S226" i="1"/>
  <c r="T226" i="1"/>
  <c r="S510" i="1"/>
  <c r="T510" i="1" s="1"/>
  <c r="S58" i="1"/>
  <c r="T58" i="1" s="1"/>
  <c r="L430" i="1"/>
  <c r="R430" i="1"/>
  <c r="P430" i="1"/>
  <c r="Q430" i="1" s="1"/>
  <c r="N430" i="1" s="1"/>
  <c r="Q30" i="1"/>
  <c r="Q389" i="1"/>
  <c r="N389" i="1" s="1"/>
  <c r="P308" i="1"/>
  <c r="Q308" i="1" s="1"/>
  <c r="N308" i="1" s="1"/>
  <c r="L308" i="1"/>
  <c r="R308" i="1"/>
  <c r="P348" i="1"/>
  <c r="R348" i="1"/>
  <c r="L348" i="1"/>
  <c r="T114" i="1"/>
  <c r="O227" i="1"/>
  <c r="M226" i="1"/>
  <c r="M31" i="1"/>
  <c r="L32" i="1" s="1"/>
  <c r="S267" i="1"/>
  <c r="T267" i="1" s="1"/>
  <c r="O268" i="1"/>
  <c r="M267" i="1"/>
  <c r="M58" i="1"/>
  <c r="O59" i="1"/>
  <c r="P1299" i="1" l="1"/>
  <c r="O1300" i="1" s="1"/>
  <c r="S1299" i="1"/>
  <c r="R1300" i="1" s="1"/>
  <c r="M1186" i="1"/>
  <c r="L1187" i="1" s="1"/>
  <c r="P1226" i="1"/>
  <c r="O1227" i="1" s="1"/>
  <c r="Q1226" i="1"/>
  <c r="P1188" i="1"/>
  <c r="O1189" i="1" s="1"/>
  <c r="Q1188" i="1"/>
  <c r="Q1225" i="1"/>
  <c r="N1261" i="1"/>
  <c r="T1298" i="1"/>
  <c r="U1298" i="1" s="1"/>
  <c r="P1155" i="1"/>
  <c r="Q1155" i="1"/>
  <c r="M1299" i="1"/>
  <c r="L1300" i="1" s="1"/>
  <c r="M1224" i="1"/>
  <c r="L1225" i="1" s="1"/>
  <c r="Q1187" i="1"/>
  <c r="Q1154" i="1"/>
  <c r="N1298" i="1"/>
  <c r="M1262" i="1"/>
  <c r="L1263" i="1" s="1"/>
  <c r="P1262" i="1"/>
  <c r="O1263" i="1" s="1"/>
  <c r="Q1298" i="1"/>
  <c r="S636" i="1"/>
  <c r="N989" i="1"/>
  <c r="M1022" i="1"/>
  <c r="L1023" i="1" s="1"/>
  <c r="M958" i="1"/>
  <c r="N958" i="1"/>
  <c r="N957" i="1"/>
  <c r="Q956" i="1"/>
  <c r="S1104" i="1"/>
  <c r="O1105" i="1"/>
  <c r="P1055" i="1"/>
  <c r="O1056" i="1" s="1"/>
  <c r="P1023" i="1"/>
  <c r="O1024" i="1" s="1"/>
  <c r="N1087" i="1"/>
  <c r="P991" i="1"/>
  <c r="Q991" i="1"/>
  <c r="P957" i="1"/>
  <c r="O958" i="1" s="1"/>
  <c r="Q1104" i="1"/>
  <c r="Q1022" i="1"/>
  <c r="M1088" i="1"/>
  <c r="N1088" i="1" s="1"/>
  <c r="M990" i="1"/>
  <c r="L991" i="1" s="1"/>
  <c r="M925" i="1"/>
  <c r="N925" i="1" s="1"/>
  <c r="M1055" i="1"/>
  <c r="L1056" i="1" s="1"/>
  <c r="N1055" i="1"/>
  <c r="Q779" i="1"/>
  <c r="S779" i="1" s="1"/>
  <c r="Q743" i="1"/>
  <c r="S743" i="1" s="1"/>
  <c r="N673" i="1"/>
  <c r="T778" i="1"/>
  <c r="U778" i="1" s="1"/>
  <c r="S778" i="1"/>
  <c r="P780" i="1"/>
  <c r="O781" i="1" s="1"/>
  <c r="R780" i="1"/>
  <c r="Q780" i="1"/>
  <c r="T742" i="1"/>
  <c r="U742" i="1" s="1"/>
  <c r="S742" i="1"/>
  <c r="N599" i="1"/>
  <c r="P638" i="1"/>
  <c r="O639" i="1" s="1"/>
  <c r="R638" i="1"/>
  <c r="S815" i="1"/>
  <c r="T815" i="1"/>
  <c r="U815" i="1" s="1"/>
  <c r="R562" i="1"/>
  <c r="P562" i="1"/>
  <c r="O563" i="1" s="1"/>
  <c r="Q561" i="1"/>
  <c r="Q674" i="1"/>
  <c r="M890" i="1"/>
  <c r="L891" i="1" s="1"/>
  <c r="M745" i="1"/>
  <c r="L746" i="1" s="1"/>
  <c r="Q855" i="1"/>
  <c r="N853" i="1"/>
  <c r="T854" i="1"/>
  <c r="U854" i="1" s="1"/>
  <c r="S854" i="1"/>
  <c r="R889" i="1"/>
  <c r="P889" i="1"/>
  <c r="O890" i="1" s="1"/>
  <c r="M637" i="1"/>
  <c r="L638" i="1" s="1"/>
  <c r="M600" i="1"/>
  <c r="L601" i="1" s="1"/>
  <c r="Q888" i="1"/>
  <c r="Q637" i="1"/>
  <c r="S597" i="1"/>
  <c r="T597" i="1"/>
  <c r="U597" i="1" s="1"/>
  <c r="M854" i="1"/>
  <c r="L855" i="1" s="1"/>
  <c r="N744" i="1"/>
  <c r="M818" i="1"/>
  <c r="L819" i="1" s="1"/>
  <c r="T887" i="1"/>
  <c r="U887" i="1" s="1"/>
  <c r="S887" i="1"/>
  <c r="M563" i="1"/>
  <c r="L564" i="1" s="1"/>
  <c r="M781" i="1"/>
  <c r="L782" i="1" s="1"/>
  <c r="T673" i="1"/>
  <c r="U673" i="1" s="1"/>
  <c r="S673" i="1"/>
  <c r="N780" i="1"/>
  <c r="R675" i="1"/>
  <c r="P675" i="1"/>
  <c r="O676" i="1" s="1"/>
  <c r="R856" i="1"/>
  <c r="P856" i="1"/>
  <c r="O857" i="1" s="1"/>
  <c r="R599" i="1"/>
  <c r="P599" i="1"/>
  <c r="O600" i="1" s="1"/>
  <c r="R817" i="1"/>
  <c r="P817" i="1"/>
  <c r="O818" i="1" s="1"/>
  <c r="Q598" i="1"/>
  <c r="Q816" i="1"/>
  <c r="R744" i="1"/>
  <c r="P744" i="1"/>
  <c r="O745" i="1" s="1"/>
  <c r="M674" i="1"/>
  <c r="L675" i="1" s="1"/>
  <c r="N817" i="1"/>
  <c r="N636" i="1"/>
  <c r="S560" i="1"/>
  <c r="T560" i="1"/>
  <c r="U560" i="1" s="1"/>
  <c r="N562" i="1"/>
  <c r="T115" i="1"/>
  <c r="O349" i="1"/>
  <c r="M348" i="1"/>
  <c r="Q31" i="1"/>
  <c r="R268" i="1"/>
  <c r="P268" i="1"/>
  <c r="L268" i="1"/>
  <c r="O309" i="1"/>
  <c r="M308" i="1"/>
  <c r="T30" i="1"/>
  <c r="S30" i="1"/>
  <c r="R511" i="1"/>
  <c r="P511" i="1"/>
  <c r="Q511" i="1" s="1"/>
  <c r="N511" i="1" s="1"/>
  <c r="L511" i="1"/>
  <c r="R390" i="1"/>
  <c r="P390" i="1"/>
  <c r="Q390" i="1" s="1"/>
  <c r="N390" i="1" s="1"/>
  <c r="L390" i="1"/>
  <c r="S348" i="1"/>
  <c r="T348" i="1" s="1"/>
  <c r="R32" i="1"/>
  <c r="P32" i="1"/>
  <c r="O33" i="1" s="1"/>
  <c r="M32" i="1"/>
  <c r="L33" i="1" s="1"/>
  <c r="N31" i="1"/>
  <c r="P227" i="1"/>
  <c r="Q227" i="1" s="1"/>
  <c r="N227" i="1" s="1"/>
  <c r="L227" i="1"/>
  <c r="R227" i="1"/>
  <c r="O431" i="1"/>
  <c r="M430" i="1"/>
  <c r="S116" i="1"/>
  <c r="R117" i="1" s="1"/>
  <c r="S185" i="1"/>
  <c r="T185" i="1" s="1"/>
  <c r="O472" i="1"/>
  <c r="M471" i="1"/>
  <c r="S308" i="1"/>
  <c r="T308" i="1" s="1"/>
  <c r="S471" i="1"/>
  <c r="T471" i="1" s="1"/>
  <c r="R144" i="1"/>
  <c r="L144" i="1"/>
  <c r="P144" i="1"/>
  <c r="S430" i="1"/>
  <c r="T430" i="1" s="1"/>
  <c r="L59" i="1"/>
  <c r="R59" i="1"/>
  <c r="P59" i="1"/>
  <c r="Q348" i="1"/>
  <c r="N348" i="1" s="1"/>
  <c r="O186" i="1"/>
  <c r="M185" i="1"/>
  <c r="O101" i="1"/>
  <c r="M100" i="1"/>
  <c r="P1227" i="1" l="1"/>
  <c r="O1228" i="1" s="1"/>
  <c r="M1263" i="1"/>
  <c r="L1264" i="1" s="1"/>
  <c r="P1189" i="1"/>
  <c r="O1190" i="1" s="1"/>
  <c r="Q1189" i="1"/>
  <c r="N1224" i="1"/>
  <c r="M1187" i="1"/>
  <c r="L1188" i="1" s="1"/>
  <c r="M1300" i="1"/>
  <c r="L1301" i="1" s="1"/>
  <c r="N1186" i="1"/>
  <c r="M1225" i="1"/>
  <c r="L1226" i="1" s="1"/>
  <c r="N1299" i="1"/>
  <c r="S1300" i="1"/>
  <c r="R1301" i="1" s="1"/>
  <c r="T1299" i="1"/>
  <c r="U1299" i="1" s="1"/>
  <c r="P1263" i="1"/>
  <c r="O1264" i="1" s="1"/>
  <c r="P1300" i="1"/>
  <c r="O1301" i="1" s="1"/>
  <c r="N1262" i="1"/>
  <c r="Q1262" i="1"/>
  <c r="Q1299" i="1"/>
  <c r="N637" i="1"/>
  <c r="T743" i="1"/>
  <c r="U743" i="1" s="1"/>
  <c r="T779" i="1"/>
  <c r="U779" i="1" s="1"/>
  <c r="N1022" i="1"/>
  <c r="M991" i="1"/>
  <c r="N991" i="1" s="1"/>
  <c r="P1056" i="1"/>
  <c r="Q1056" i="1" s="1"/>
  <c r="R1105" i="1"/>
  <c r="P1105" i="1"/>
  <c r="Q957" i="1"/>
  <c r="Q1023" i="1"/>
  <c r="M1056" i="1"/>
  <c r="N1056" i="1" s="1"/>
  <c r="M1023" i="1"/>
  <c r="L1024" i="1" s="1"/>
  <c r="P1024" i="1"/>
  <c r="Q1024" i="1" s="1"/>
  <c r="N990" i="1"/>
  <c r="Q1055" i="1"/>
  <c r="P958" i="1"/>
  <c r="Q958" i="1" s="1"/>
  <c r="N745" i="1"/>
  <c r="N674" i="1"/>
  <c r="Q889" i="1"/>
  <c r="S889" i="1" s="1"/>
  <c r="R781" i="1"/>
  <c r="P781" i="1"/>
  <c r="O782" i="1" s="1"/>
  <c r="Q781" i="1"/>
  <c r="T780" i="1"/>
  <c r="U780" i="1" s="1"/>
  <c r="S780" i="1"/>
  <c r="Q638" i="1"/>
  <c r="T638" i="1" s="1"/>
  <c r="U638" i="1" s="1"/>
  <c r="M782" i="1"/>
  <c r="L783" i="1" s="1"/>
  <c r="S561" i="1"/>
  <c r="T561" i="1"/>
  <c r="U561" i="1" s="1"/>
  <c r="R563" i="1"/>
  <c r="P563" i="1"/>
  <c r="O564" i="1" s="1"/>
  <c r="Q856" i="1"/>
  <c r="T637" i="1"/>
  <c r="U637" i="1" s="1"/>
  <c r="S637" i="1"/>
  <c r="S816" i="1"/>
  <c r="T816" i="1"/>
  <c r="U816" i="1" s="1"/>
  <c r="S855" i="1"/>
  <c r="T855" i="1"/>
  <c r="U855" i="1" s="1"/>
  <c r="P818" i="1"/>
  <c r="O819" i="1" s="1"/>
  <c r="R818" i="1"/>
  <c r="M638" i="1"/>
  <c r="L639" i="1" s="1"/>
  <c r="M891" i="1"/>
  <c r="L892" i="1" s="1"/>
  <c r="N891" i="1"/>
  <c r="M855" i="1"/>
  <c r="L856" i="1" s="1"/>
  <c r="R745" i="1"/>
  <c r="P745" i="1"/>
  <c r="O746" i="1" s="1"/>
  <c r="N781" i="1"/>
  <c r="N854" i="1"/>
  <c r="M564" i="1"/>
  <c r="L565" i="1" s="1"/>
  <c r="Q562" i="1"/>
  <c r="N563" i="1"/>
  <c r="R676" i="1"/>
  <c r="P676" i="1"/>
  <c r="O677" i="1" s="1"/>
  <c r="M819" i="1"/>
  <c r="L820" i="1" s="1"/>
  <c r="N600" i="1"/>
  <c r="M746" i="1"/>
  <c r="L747" i="1" s="1"/>
  <c r="P600" i="1"/>
  <c r="O601" i="1" s="1"/>
  <c r="R600" i="1"/>
  <c r="P890" i="1"/>
  <c r="O891" i="1" s="1"/>
  <c r="R890" i="1"/>
  <c r="N890" i="1"/>
  <c r="R857" i="1"/>
  <c r="P857" i="1"/>
  <c r="O858" i="1" s="1"/>
  <c r="Q744" i="1"/>
  <c r="Q675" i="1"/>
  <c r="T888" i="1"/>
  <c r="U888" i="1" s="1"/>
  <c r="S888" i="1"/>
  <c r="S598" i="1"/>
  <c r="T598" i="1"/>
  <c r="U598" i="1" s="1"/>
  <c r="M601" i="1"/>
  <c r="L602" i="1" s="1"/>
  <c r="N601" i="1"/>
  <c r="N818" i="1"/>
  <c r="Q817" i="1"/>
  <c r="R639" i="1"/>
  <c r="P639" i="1"/>
  <c r="O640" i="1" s="1"/>
  <c r="M675" i="1"/>
  <c r="L676" i="1" s="1"/>
  <c r="Q599" i="1"/>
  <c r="T674" i="1"/>
  <c r="U674" i="1" s="1"/>
  <c r="S674" i="1"/>
  <c r="N32" i="1"/>
  <c r="S511" i="1"/>
  <c r="T511" i="1" s="1"/>
  <c r="Q32" i="1"/>
  <c r="P186" i="1"/>
  <c r="Q186" i="1" s="1"/>
  <c r="N186" i="1" s="1"/>
  <c r="R186" i="1"/>
  <c r="L186" i="1"/>
  <c r="S390" i="1"/>
  <c r="T390" i="1" s="1"/>
  <c r="M144" i="1"/>
  <c r="O145" i="1"/>
  <c r="Q144" i="1"/>
  <c r="N144" i="1" s="1"/>
  <c r="L309" i="1"/>
  <c r="R309" i="1"/>
  <c r="P309" i="1"/>
  <c r="M59" i="1"/>
  <c r="O60" i="1"/>
  <c r="S117" i="1"/>
  <c r="R118" i="1" s="1"/>
  <c r="P431" i="1"/>
  <c r="Q431" i="1" s="1"/>
  <c r="N431" i="1" s="1"/>
  <c r="L431" i="1"/>
  <c r="R431" i="1"/>
  <c r="M268" i="1"/>
  <c r="O269" i="1"/>
  <c r="M390" i="1"/>
  <c r="O391" i="1"/>
  <c r="Q59" i="1"/>
  <c r="N59" i="1" s="1"/>
  <c r="M227" i="1"/>
  <c r="O228" i="1"/>
  <c r="S268" i="1"/>
  <c r="T268" i="1"/>
  <c r="S59" i="1"/>
  <c r="T59" i="1" s="1"/>
  <c r="S31" i="1"/>
  <c r="T31" i="1"/>
  <c r="R472" i="1"/>
  <c r="P472" i="1"/>
  <c r="L472" i="1"/>
  <c r="M33" i="1"/>
  <c r="L34" i="1" s="1"/>
  <c r="R33" i="1"/>
  <c r="P33" i="1"/>
  <c r="O34" i="1" s="1"/>
  <c r="T116" i="1"/>
  <c r="L101" i="1"/>
  <c r="P101" i="1"/>
  <c r="S144" i="1"/>
  <c r="T144" i="1" s="1"/>
  <c r="S227" i="1"/>
  <c r="T227" i="1" s="1"/>
  <c r="Q268" i="1"/>
  <c r="N268" i="1" s="1"/>
  <c r="O512" i="1"/>
  <c r="M511" i="1"/>
  <c r="L349" i="1"/>
  <c r="R349" i="1"/>
  <c r="P349" i="1"/>
  <c r="Q349" i="1" s="1"/>
  <c r="N349" i="1" s="1"/>
  <c r="M1188" i="1" l="1"/>
  <c r="L1189" i="1" s="1"/>
  <c r="M1301" i="1"/>
  <c r="L1302" i="1" s="1"/>
  <c r="N1300" i="1"/>
  <c r="P1264" i="1"/>
  <c r="O1265" i="1" s="1"/>
  <c r="Q1263" i="1"/>
  <c r="S1301" i="1"/>
  <c r="R1302" i="1" s="1"/>
  <c r="M1264" i="1"/>
  <c r="L1265" i="1" s="1"/>
  <c r="N1264" i="1"/>
  <c r="M1226" i="1"/>
  <c r="L1227" i="1" s="1"/>
  <c r="P1228" i="1"/>
  <c r="O1229" i="1" s="1"/>
  <c r="P1301" i="1"/>
  <c r="O1302" i="1" s="1"/>
  <c r="Q1301" i="1"/>
  <c r="Q1300" i="1"/>
  <c r="N1187" i="1"/>
  <c r="P1190" i="1"/>
  <c r="O1191" i="1" s="1"/>
  <c r="T1300" i="1"/>
  <c r="U1300" i="1" s="1"/>
  <c r="N1263" i="1"/>
  <c r="N1225" i="1"/>
  <c r="Q1227" i="1"/>
  <c r="T889" i="1"/>
  <c r="U889" i="1" s="1"/>
  <c r="N1023" i="1"/>
  <c r="S1105" i="1"/>
  <c r="O1106" i="1"/>
  <c r="Q1105" i="1"/>
  <c r="M1024" i="1"/>
  <c r="N1024" i="1" s="1"/>
  <c r="N638" i="1"/>
  <c r="N855" i="1"/>
  <c r="S638" i="1"/>
  <c r="T781" i="1"/>
  <c r="U781" i="1" s="1"/>
  <c r="S781" i="1"/>
  <c r="R782" i="1"/>
  <c r="P782" i="1"/>
  <c r="O783" i="1" s="1"/>
  <c r="Q890" i="1"/>
  <c r="S890" i="1" s="1"/>
  <c r="T744" i="1"/>
  <c r="U744" i="1" s="1"/>
  <c r="S744" i="1"/>
  <c r="M747" i="1"/>
  <c r="L748" i="1" s="1"/>
  <c r="M602" i="1"/>
  <c r="L603" i="1" s="1"/>
  <c r="Q563" i="1"/>
  <c r="R640" i="1"/>
  <c r="P640" i="1"/>
  <c r="O641" i="1" s="1"/>
  <c r="M892" i="1"/>
  <c r="L893" i="1" s="1"/>
  <c r="N892" i="1"/>
  <c r="Q600" i="1"/>
  <c r="M639" i="1"/>
  <c r="L640" i="1" s="1"/>
  <c r="R746" i="1"/>
  <c r="P746" i="1"/>
  <c r="O747" i="1" s="1"/>
  <c r="Q639" i="1"/>
  <c r="P819" i="1"/>
  <c r="O820" i="1" s="1"/>
  <c r="R819" i="1"/>
  <c r="S562" i="1"/>
  <c r="T562" i="1"/>
  <c r="U562" i="1" s="1"/>
  <c r="R858" i="1"/>
  <c r="P858" i="1"/>
  <c r="Q858" i="1" s="1"/>
  <c r="N746" i="1"/>
  <c r="T856" i="1"/>
  <c r="U856" i="1" s="1"/>
  <c r="S856" i="1"/>
  <c r="N819" i="1"/>
  <c r="Q818" i="1"/>
  <c r="T817" i="1"/>
  <c r="U817" i="1" s="1"/>
  <c r="S817" i="1"/>
  <c r="Q857" i="1"/>
  <c r="N564" i="1"/>
  <c r="M820" i="1"/>
  <c r="L821" i="1" s="1"/>
  <c r="R677" i="1"/>
  <c r="P677" i="1"/>
  <c r="O678" i="1" s="1"/>
  <c r="M783" i="1"/>
  <c r="L784" i="1" s="1"/>
  <c r="R601" i="1"/>
  <c r="P601" i="1"/>
  <c r="O602" i="1" s="1"/>
  <c r="M565" i="1"/>
  <c r="L566" i="1" s="1"/>
  <c r="R564" i="1"/>
  <c r="P564" i="1"/>
  <c r="O565" i="1" s="1"/>
  <c r="Q745" i="1"/>
  <c r="T599" i="1"/>
  <c r="U599" i="1" s="1"/>
  <c r="S599" i="1"/>
  <c r="M676" i="1"/>
  <c r="L677" i="1" s="1"/>
  <c r="N675" i="1"/>
  <c r="T675" i="1"/>
  <c r="U675" i="1" s="1"/>
  <c r="S675" i="1"/>
  <c r="R891" i="1"/>
  <c r="P891" i="1"/>
  <c r="O892" i="1" s="1"/>
  <c r="Q676" i="1"/>
  <c r="M856" i="1"/>
  <c r="L857" i="1" s="1"/>
  <c r="N782" i="1"/>
  <c r="R145" i="1"/>
  <c r="P145" i="1"/>
  <c r="L145" i="1"/>
  <c r="Q33" i="1"/>
  <c r="P512" i="1"/>
  <c r="Q512" i="1" s="1"/>
  <c r="N512" i="1" s="1"/>
  <c r="L512" i="1"/>
  <c r="R512" i="1"/>
  <c r="S118" i="1"/>
  <c r="R119" i="1" s="1"/>
  <c r="T117" i="1"/>
  <c r="P60" i="1"/>
  <c r="L60" i="1"/>
  <c r="R60" i="1"/>
  <c r="O473" i="1"/>
  <c r="M472" i="1"/>
  <c r="O187" i="1"/>
  <c r="M186" i="1"/>
  <c r="Q472" i="1"/>
  <c r="N472" i="1" s="1"/>
  <c r="T32" i="1"/>
  <c r="S32" i="1"/>
  <c r="O102" i="1"/>
  <c r="M101" i="1"/>
  <c r="S472" i="1"/>
  <c r="T472" i="1" s="1"/>
  <c r="R269" i="1"/>
  <c r="P269" i="1"/>
  <c r="L269" i="1"/>
  <c r="S309" i="1"/>
  <c r="T309" i="1" s="1"/>
  <c r="S431" i="1"/>
  <c r="T431" i="1"/>
  <c r="S349" i="1"/>
  <c r="T349" i="1" s="1"/>
  <c r="R34" i="1"/>
  <c r="P34" i="1"/>
  <c r="O35" i="1" s="1"/>
  <c r="O432" i="1"/>
  <c r="M431" i="1"/>
  <c r="M34" i="1"/>
  <c r="L35" i="1" s="1"/>
  <c r="L228" i="1"/>
  <c r="R228" i="1"/>
  <c r="P228" i="1"/>
  <c r="N33" i="1"/>
  <c r="S186" i="1"/>
  <c r="T186" i="1" s="1"/>
  <c r="R391" i="1"/>
  <c r="L391" i="1"/>
  <c r="P391" i="1"/>
  <c r="Q391" i="1" s="1"/>
  <c r="N391" i="1" s="1"/>
  <c r="O310" i="1"/>
  <c r="M309" i="1"/>
  <c r="Q309" i="1"/>
  <c r="N309" i="1" s="1"/>
  <c r="O350" i="1"/>
  <c r="M349" i="1"/>
  <c r="Q101" i="1"/>
  <c r="N101" i="1" s="1"/>
  <c r="P1229" i="1" l="1"/>
  <c r="O1230" i="1" s="1"/>
  <c r="Q1229" i="1"/>
  <c r="M1302" i="1"/>
  <c r="L1303" i="1" s="1"/>
  <c r="P1191" i="1"/>
  <c r="O1192" i="1" s="1"/>
  <c r="Q1191" i="1"/>
  <c r="P1302" i="1"/>
  <c r="O1303" i="1" s="1"/>
  <c r="Q1228" i="1"/>
  <c r="N1301" i="1"/>
  <c r="S1302" i="1"/>
  <c r="R1303" i="1" s="1"/>
  <c r="Q1190" i="1"/>
  <c r="P1265" i="1"/>
  <c r="O1266" i="1" s="1"/>
  <c r="Q1264" i="1"/>
  <c r="M1227" i="1"/>
  <c r="L1228" i="1" s="1"/>
  <c r="M1189" i="1"/>
  <c r="L1190" i="1" s="1"/>
  <c r="M1265" i="1"/>
  <c r="L1266" i="1" s="1"/>
  <c r="T1301" i="1"/>
  <c r="U1301" i="1" s="1"/>
  <c r="N1226" i="1"/>
  <c r="N1188" i="1"/>
  <c r="N565" i="1"/>
  <c r="T890" i="1"/>
  <c r="U890" i="1" s="1"/>
  <c r="N639" i="1"/>
  <c r="Q782" i="1"/>
  <c r="R1106" i="1"/>
  <c r="P1106" i="1"/>
  <c r="N602" i="1"/>
  <c r="S782" i="1"/>
  <c r="T782" i="1"/>
  <c r="U782" i="1" s="1"/>
  <c r="P783" i="1"/>
  <c r="O784" i="1" s="1"/>
  <c r="R783" i="1"/>
  <c r="Q783" i="1"/>
  <c r="N856" i="1"/>
  <c r="T118" i="1"/>
  <c r="S858" i="1"/>
  <c r="T858" i="1"/>
  <c r="U858" i="1" s="1"/>
  <c r="M784" i="1"/>
  <c r="L785" i="1" s="1"/>
  <c r="N783" i="1"/>
  <c r="R892" i="1"/>
  <c r="P892" i="1"/>
  <c r="O893" i="1" s="1"/>
  <c r="R641" i="1"/>
  <c r="P641" i="1"/>
  <c r="O642" i="1" s="1"/>
  <c r="Q677" i="1"/>
  <c r="Q640" i="1"/>
  <c r="T639" i="1"/>
  <c r="U639" i="1" s="1"/>
  <c r="S639" i="1"/>
  <c r="Q746" i="1"/>
  <c r="M566" i="1"/>
  <c r="L567" i="1" s="1"/>
  <c r="R602" i="1"/>
  <c r="P602" i="1"/>
  <c r="O603" i="1" s="1"/>
  <c r="N747" i="1"/>
  <c r="R565" i="1"/>
  <c r="P565" i="1"/>
  <c r="O566" i="1" s="1"/>
  <c r="M893" i="1"/>
  <c r="L894" i="1" s="1"/>
  <c r="N893" i="1"/>
  <c r="Q564" i="1"/>
  <c r="Q891" i="1"/>
  <c r="R747" i="1"/>
  <c r="P747" i="1"/>
  <c r="O748" i="1" s="1"/>
  <c r="M677" i="1"/>
  <c r="L678" i="1" s="1"/>
  <c r="Q601" i="1"/>
  <c r="M640" i="1"/>
  <c r="L641" i="1" s="1"/>
  <c r="T745" i="1"/>
  <c r="U745" i="1" s="1"/>
  <c r="S745" i="1"/>
  <c r="S676" i="1"/>
  <c r="T676" i="1"/>
  <c r="U676" i="1" s="1"/>
  <c r="P820" i="1"/>
  <c r="O821" i="1" s="1"/>
  <c r="R820" i="1"/>
  <c r="R678" i="1"/>
  <c r="P678" i="1"/>
  <c r="O679" i="1" s="1"/>
  <c r="Q819" i="1"/>
  <c r="M821" i="1"/>
  <c r="L822" i="1" s="1"/>
  <c r="T563" i="1"/>
  <c r="U563" i="1" s="1"/>
  <c r="S563" i="1"/>
  <c r="N820" i="1"/>
  <c r="M603" i="1"/>
  <c r="L604" i="1" s="1"/>
  <c r="N603" i="1"/>
  <c r="T857" i="1"/>
  <c r="U857" i="1" s="1"/>
  <c r="S857" i="1"/>
  <c r="M748" i="1"/>
  <c r="L749" i="1" s="1"/>
  <c r="N676" i="1"/>
  <c r="M857" i="1"/>
  <c r="L858" i="1" s="1"/>
  <c r="T818" i="1"/>
  <c r="U818" i="1" s="1"/>
  <c r="S818" i="1"/>
  <c r="T600" i="1"/>
  <c r="U600" i="1" s="1"/>
  <c r="S600" i="1"/>
  <c r="R310" i="1"/>
  <c r="P310" i="1"/>
  <c r="Q310" i="1" s="1"/>
  <c r="N310" i="1" s="1"/>
  <c r="L310" i="1"/>
  <c r="O270" i="1"/>
  <c r="M269" i="1"/>
  <c r="O513" i="1"/>
  <c r="M512" i="1"/>
  <c r="M228" i="1"/>
  <c r="O229" i="1"/>
  <c r="S119" i="1"/>
  <c r="R120" i="1" s="1"/>
  <c r="M35" i="1"/>
  <c r="L36" i="1" s="1"/>
  <c r="Q269" i="1"/>
  <c r="N269" i="1" s="1"/>
  <c r="T33" i="1"/>
  <c r="S33" i="1"/>
  <c r="S269" i="1"/>
  <c r="T269" i="1"/>
  <c r="P102" i="1"/>
  <c r="L102" i="1"/>
  <c r="R350" i="1"/>
  <c r="P350" i="1"/>
  <c r="Q350" i="1" s="1"/>
  <c r="N350" i="1" s="1"/>
  <c r="L350" i="1"/>
  <c r="S512" i="1"/>
  <c r="T512" i="1" s="1"/>
  <c r="N34" i="1"/>
  <c r="R432" i="1"/>
  <c r="P432" i="1"/>
  <c r="Q432" i="1" s="1"/>
  <c r="N432" i="1" s="1"/>
  <c r="L432" i="1"/>
  <c r="S391" i="1"/>
  <c r="T391" i="1" s="1"/>
  <c r="S60" i="1"/>
  <c r="T60" i="1" s="1"/>
  <c r="Q34" i="1"/>
  <c r="M145" i="1"/>
  <c r="O146" i="1"/>
  <c r="Q228" i="1"/>
  <c r="N228" i="1" s="1"/>
  <c r="S228" i="1"/>
  <c r="T228" i="1" s="1"/>
  <c r="L187" i="1"/>
  <c r="R187" i="1"/>
  <c r="P187" i="1"/>
  <c r="Q187" i="1" s="1"/>
  <c r="N187" i="1" s="1"/>
  <c r="R473" i="1"/>
  <c r="P473" i="1"/>
  <c r="L473" i="1"/>
  <c r="P35" i="1"/>
  <c r="O36" i="1" s="1"/>
  <c r="R35" i="1"/>
  <c r="Q35" i="1"/>
  <c r="O61" i="1"/>
  <c r="M60" i="1"/>
  <c r="S145" i="1"/>
  <c r="T145" i="1" s="1"/>
  <c r="M391" i="1"/>
  <c r="O392" i="1"/>
  <c r="Q60" i="1"/>
  <c r="N60" i="1" s="1"/>
  <c r="Q145" i="1"/>
  <c r="N145" i="1" s="1"/>
  <c r="N1189" i="1" l="1"/>
  <c r="Q1302" i="1"/>
  <c r="S1303" i="1"/>
  <c r="R1304" i="1" s="1"/>
  <c r="M1228" i="1"/>
  <c r="L1229" i="1" s="1"/>
  <c r="N1228" i="1"/>
  <c r="N1227" i="1"/>
  <c r="P1192" i="1"/>
  <c r="O1193" i="1" s="1"/>
  <c r="N1265" i="1"/>
  <c r="P1266" i="1"/>
  <c r="O1267" i="1" s="1"/>
  <c r="Q1266" i="1"/>
  <c r="N1302" i="1"/>
  <c r="T1302" i="1"/>
  <c r="U1302" i="1" s="1"/>
  <c r="M1190" i="1"/>
  <c r="L1191" i="1" s="1"/>
  <c r="N1190" i="1"/>
  <c r="M1303" i="1"/>
  <c r="L1304" i="1" s="1"/>
  <c r="Q1265" i="1"/>
  <c r="M1266" i="1"/>
  <c r="L1267" i="1" s="1"/>
  <c r="N1266" i="1"/>
  <c r="P1303" i="1"/>
  <c r="O1304" i="1" s="1"/>
  <c r="Q1230" i="1"/>
  <c r="P1230" i="1"/>
  <c r="O1107" i="1"/>
  <c r="S1106" i="1"/>
  <c r="Q1106" i="1"/>
  <c r="N640" i="1"/>
  <c r="S783" i="1"/>
  <c r="T783" i="1"/>
  <c r="U783" i="1" s="1"/>
  <c r="R784" i="1"/>
  <c r="P784" i="1"/>
  <c r="O785" i="1" s="1"/>
  <c r="Q641" i="1"/>
  <c r="T641" i="1"/>
  <c r="U641" i="1" s="1"/>
  <c r="S641" i="1"/>
  <c r="Q747" i="1"/>
  <c r="R893" i="1"/>
  <c r="P893" i="1"/>
  <c r="O894" i="1" s="1"/>
  <c r="Q892" i="1"/>
  <c r="N566" i="1"/>
  <c r="M858" i="1"/>
  <c r="N858" i="1" s="1"/>
  <c r="T564" i="1"/>
  <c r="U564" i="1" s="1"/>
  <c r="S564" i="1"/>
  <c r="N857" i="1"/>
  <c r="S819" i="1"/>
  <c r="T819" i="1"/>
  <c r="U819" i="1" s="1"/>
  <c r="R679" i="1"/>
  <c r="P679" i="1"/>
  <c r="O680" i="1" s="1"/>
  <c r="R566" i="1"/>
  <c r="P566" i="1"/>
  <c r="O567" i="1" s="1"/>
  <c r="T640" i="1"/>
  <c r="U640" i="1" s="1"/>
  <c r="S640" i="1"/>
  <c r="R748" i="1"/>
  <c r="P748" i="1"/>
  <c r="O749" i="1" s="1"/>
  <c r="P821" i="1"/>
  <c r="O822" i="1" s="1"/>
  <c r="R821" i="1"/>
  <c r="Q820" i="1"/>
  <c r="Q602" i="1"/>
  <c r="T891" i="1"/>
  <c r="U891" i="1" s="1"/>
  <c r="S891" i="1"/>
  <c r="M822" i="1"/>
  <c r="N822" i="1" s="1"/>
  <c r="T746" i="1"/>
  <c r="U746" i="1" s="1"/>
  <c r="S746" i="1"/>
  <c r="N821" i="1"/>
  <c r="M894" i="1"/>
  <c r="N894" i="1" s="1"/>
  <c r="N748" i="1"/>
  <c r="Q678" i="1"/>
  <c r="M678" i="1"/>
  <c r="L679" i="1" s="1"/>
  <c r="Q565" i="1"/>
  <c r="S677" i="1"/>
  <c r="T677" i="1"/>
  <c r="U677" i="1" s="1"/>
  <c r="P603" i="1"/>
  <c r="O604" i="1" s="1"/>
  <c r="R603" i="1"/>
  <c r="M604" i="1"/>
  <c r="L605" i="1" s="1"/>
  <c r="M567" i="1"/>
  <c r="L568" i="1" s="1"/>
  <c r="M785" i="1"/>
  <c r="L786" i="1" s="1"/>
  <c r="N784" i="1"/>
  <c r="M641" i="1"/>
  <c r="L642" i="1" s="1"/>
  <c r="N641" i="1"/>
  <c r="M749" i="1"/>
  <c r="N749" i="1" s="1"/>
  <c r="T601" i="1"/>
  <c r="U601" i="1" s="1"/>
  <c r="S601" i="1"/>
  <c r="N677" i="1"/>
  <c r="P642" i="1"/>
  <c r="Q642" i="1" s="1"/>
  <c r="R642" i="1"/>
  <c r="S350" i="1"/>
  <c r="T350" i="1" s="1"/>
  <c r="P392" i="1"/>
  <c r="Q392" i="1" s="1"/>
  <c r="N392" i="1" s="1"/>
  <c r="L392" i="1"/>
  <c r="R392" i="1"/>
  <c r="S120" i="1"/>
  <c r="R121" i="1" s="1"/>
  <c r="S473" i="1"/>
  <c r="T473" i="1" s="1"/>
  <c r="R229" i="1"/>
  <c r="P229" i="1"/>
  <c r="Q229" i="1" s="1"/>
  <c r="N229" i="1" s="1"/>
  <c r="L229" i="1"/>
  <c r="S187" i="1"/>
  <c r="T187" i="1" s="1"/>
  <c r="L61" i="1"/>
  <c r="R61" i="1"/>
  <c r="P61" i="1"/>
  <c r="Q61" i="1" s="1"/>
  <c r="N61" i="1" s="1"/>
  <c r="T35" i="1"/>
  <c r="S35" i="1"/>
  <c r="R36" i="1"/>
  <c r="P36" i="1"/>
  <c r="O37" i="1" s="1"/>
  <c r="O474" i="1"/>
  <c r="M473" i="1"/>
  <c r="S34" i="1"/>
  <c r="T34" i="1"/>
  <c r="M36" i="1"/>
  <c r="L37" i="1" s="1"/>
  <c r="M187" i="1"/>
  <c r="O188" i="1"/>
  <c r="T119" i="1"/>
  <c r="O103" i="1"/>
  <c r="M102" i="1"/>
  <c r="M432" i="1"/>
  <c r="O433" i="1"/>
  <c r="Q102" i="1"/>
  <c r="N102" i="1" s="1"/>
  <c r="S432" i="1"/>
  <c r="T432" i="1" s="1"/>
  <c r="L513" i="1"/>
  <c r="P513" i="1"/>
  <c r="Q513" i="1" s="1"/>
  <c r="N513" i="1" s="1"/>
  <c r="R513" i="1"/>
  <c r="R270" i="1"/>
  <c r="L270" i="1"/>
  <c r="P270" i="1"/>
  <c r="Q270" i="1" s="1"/>
  <c r="N270" i="1" s="1"/>
  <c r="R146" i="1"/>
  <c r="P146" i="1"/>
  <c r="Q146" i="1"/>
  <c r="N146" i="1" s="1"/>
  <c r="L146" i="1"/>
  <c r="O311" i="1"/>
  <c r="M310" i="1"/>
  <c r="Q473" i="1"/>
  <c r="N473" i="1" s="1"/>
  <c r="O351" i="1"/>
  <c r="M350" i="1"/>
  <c r="N35" i="1"/>
  <c r="S310" i="1"/>
  <c r="T310" i="1" s="1"/>
  <c r="P1267" i="1" l="1"/>
  <c r="Q1267" i="1" s="1"/>
  <c r="P1304" i="1"/>
  <c r="O1305" i="1" s="1"/>
  <c r="P1193" i="1"/>
  <c r="Q1193" i="1"/>
  <c r="M1267" i="1"/>
  <c r="N1267" i="1" s="1"/>
  <c r="M1304" i="1"/>
  <c r="L1305" i="1" s="1"/>
  <c r="N1303" i="1"/>
  <c r="N1191" i="1"/>
  <c r="M1191" i="1"/>
  <c r="L1192" i="1" s="1"/>
  <c r="T1303" i="1"/>
  <c r="U1303" i="1" s="1"/>
  <c r="Q1303" i="1"/>
  <c r="Q1192" i="1"/>
  <c r="M1229" i="1"/>
  <c r="L1230" i="1" s="1"/>
  <c r="S1304" i="1"/>
  <c r="R1305" i="1" s="1"/>
  <c r="R1107" i="1"/>
  <c r="P1107" i="1"/>
  <c r="N785" i="1"/>
  <c r="Q784" i="1"/>
  <c r="S784" i="1" s="1"/>
  <c r="N36" i="1"/>
  <c r="N604" i="1"/>
  <c r="T784" i="1"/>
  <c r="U784" i="1" s="1"/>
  <c r="R785" i="1"/>
  <c r="P785" i="1"/>
  <c r="O786" i="1" s="1"/>
  <c r="Q785" i="1"/>
  <c r="S642" i="1"/>
  <c r="T642" i="1"/>
  <c r="U642" i="1" s="1"/>
  <c r="T565" i="1"/>
  <c r="U565" i="1" s="1"/>
  <c r="S565" i="1"/>
  <c r="R604" i="1"/>
  <c r="P604" i="1"/>
  <c r="O605" i="1" s="1"/>
  <c r="Q566" i="1"/>
  <c r="T602" i="1"/>
  <c r="U602" i="1" s="1"/>
  <c r="S602" i="1"/>
  <c r="T678" i="1"/>
  <c r="U678" i="1" s="1"/>
  <c r="S678" i="1"/>
  <c r="P680" i="1"/>
  <c r="O681" i="1" s="1"/>
  <c r="R680" i="1"/>
  <c r="N567" i="1"/>
  <c r="R822" i="1"/>
  <c r="P822" i="1"/>
  <c r="Q822" i="1" s="1"/>
  <c r="M605" i="1"/>
  <c r="N605" i="1" s="1"/>
  <c r="Q821" i="1"/>
  <c r="S747" i="1"/>
  <c r="T747" i="1"/>
  <c r="U747" i="1" s="1"/>
  <c r="M679" i="1"/>
  <c r="L680" i="1" s="1"/>
  <c r="M786" i="1"/>
  <c r="N786" i="1"/>
  <c r="T892" i="1"/>
  <c r="U892" i="1" s="1"/>
  <c r="S892" i="1"/>
  <c r="P894" i="1"/>
  <c r="Q894" i="1" s="1"/>
  <c r="R894" i="1"/>
  <c r="Q679" i="1"/>
  <c r="Q603" i="1"/>
  <c r="R749" i="1"/>
  <c r="P749" i="1"/>
  <c r="Q749" i="1" s="1"/>
  <c r="M642" i="1"/>
  <c r="N642" i="1"/>
  <c r="R567" i="1"/>
  <c r="P567" i="1"/>
  <c r="O568" i="1" s="1"/>
  <c r="N678" i="1"/>
  <c r="M568" i="1"/>
  <c r="N568" i="1" s="1"/>
  <c r="T820" i="1"/>
  <c r="U820" i="1" s="1"/>
  <c r="S820" i="1"/>
  <c r="Q893" i="1"/>
  <c r="Q748" i="1"/>
  <c r="Q36" i="1"/>
  <c r="S36" i="1" s="1"/>
  <c r="R188" i="1"/>
  <c r="P188" i="1"/>
  <c r="L188" i="1"/>
  <c r="T120" i="1"/>
  <c r="S513" i="1"/>
  <c r="T513" i="1" s="1"/>
  <c r="M37" i="1"/>
  <c r="L38" i="1" s="1"/>
  <c r="S61" i="1"/>
  <c r="T61" i="1" s="1"/>
  <c r="S392" i="1"/>
  <c r="T392" i="1" s="1"/>
  <c r="P103" i="1"/>
  <c r="Q103" i="1" s="1"/>
  <c r="N103" i="1" s="1"/>
  <c r="L103" i="1"/>
  <c r="S270" i="1"/>
  <c r="T270" i="1" s="1"/>
  <c r="S121" i="1"/>
  <c r="R122" i="1" s="1"/>
  <c r="R311" i="1"/>
  <c r="P311" i="1"/>
  <c r="Q311" i="1" s="1"/>
  <c r="N311" i="1" s="1"/>
  <c r="L311" i="1"/>
  <c r="O147" i="1"/>
  <c r="M146" i="1"/>
  <c r="R351" i="1"/>
  <c r="P351" i="1"/>
  <c r="Q351" i="1" s="1"/>
  <c r="N351" i="1" s="1"/>
  <c r="L351" i="1"/>
  <c r="L433" i="1"/>
  <c r="R433" i="1"/>
  <c r="P433" i="1"/>
  <c r="S229" i="1"/>
  <c r="T229" i="1" s="1"/>
  <c r="M513" i="1"/>
  <c r="O514" i="1"/>
  <c r="M61" i="1"/>
  <c r="O62" i="1"/>
  <c r="O393" i="1"/>
  <c r="M392" i="1"/>
  <c r="S146" i="1"/>
  <c r="T146" i="1" s="1"/>
  <c r="P474" i="1"/>
  <c r="L474" i="1"/>
  <c r="R474" i="1"/>
  <c r="M270" i="1"/>
  <c r="O271" i="1"/>
  <c r="R37" i="1"/>
  <c r="P37" i="1"/>
  <c r="O38" i="1" s="1"/>
  <c r="O230" i="1"/>
  <c r="M229" i="1"/>
  <c r="M1230" i="1" l="1"/>
  <c r="N1230" i="1" s="1"/>
  <c r="P1305" i="1"/>
  <c r="Q1305" i="1" s="1"/>
  <c r="Q1304" i="1"/>
  <c r="N1304" i="1"/>
  <c r="M1305" i="1"/>
  <c r="N1305" i="1" s="1"/>
  <c r="S1305" i="1"/>
  <c r="T1305" i="1" s="1"/>
  <c r="U1305" i="1" s="1"/>
  <c r="T1304" i="1"/>
  <c r="U1304" i="1" s="1"/>
  <c r="N1229" i="1"/>
  <c r="M1192" i="1"/>
  <c r="L1193" i="1" s="1"/>
  <c r="T36" i="1"/>
  <c r="O1108" i="1"/>
  <c r="S1107" i="1"/>
  <c r="Q1107" i="1"/>
  <c r="T785" i="1"/>
  <c r="U785" i="1" s="1"/>
  <c r="S785" i="1"/>
  <c r="R786" i="1"/>
  <c r="P786" i="1"/>
  <c r="Q786" i="1" s="1"/>
  <c r="T749" i="1"/>
  <c r="U749" i="1" s="1"/>
  <c r="S749" i="1"/>
  <c r="T822" i="1"/>
  <c r="U822" i="1" s="1"/>
  <c r="S822" i="1"/>
  <c r="T894" i="1"/>
  <c r="U894" i="1" s="1"/>
  <c r="S894" i="1"/>
  <c r="Q567" i="1"/>
  <c r="Q604" i="1"/>
  <c r="T679" i="1"/>
  <c r="U679" i="1" s="1"/>
  <c r="S679" i="1"/>
  <c r="T566" i="1"/>
  <c r="U566" i="1" s="1"/>
  <c r="S566" i="1"/>
  <c r="T603" i="1"/>
  <c r="U603" i="1" s="1"/>
  <c r="S603" i="1"/>
  <c r="T821" i="1"/>
  <c r="U821" i="1" s="1"/>
  <c r="S821" i="1"/>
  <c r="P568" i="1"/>
  <c r="Q568" i="1" s="1"/>
  <c r="R568" i="1"/>
  <c r="T748" i="1"/>
  <c r="U748" i="1" s="1"/>
  <c r="S748" i="1"/>
  <c r="M680" i="1"/>
  <c r="L681" i="1" s="1"/>
  <c r="R681" i="1"/>
  <c r="P681" i="1"/>
  <c r="O682" i="1" s="1"/>
  <c r="P605" i="1"/>
  <c r="Q605" i="1" s="1"/>
  <c r="R605" i="1"/>
  <c r="T893" i="1"/>
  <c r="U893" i="1" s="1"/>
  <c r="S893" i="1"/>
  <c r="N679" i="1"/>
  <c r="Q680" i="1"/>
  <c r="Q37" i="1"/>
  <c r="T37" i="1" s="1"/>
  <c r="S311" i="1"/>
  <c r="T311" i="1" s="1"/>
  <c r="M433" i="1"/>
  <c r="O434" i="1"/>
  <c r="S122" i="1"/>
  <c r="R123" i="1" s="1"/>
  <c r="T121" i="1"/>
  <c r="R230" i="1"/>
  <c r="P230" i="1"/>
  <c r="L230" i="1"/>
  <c r="O189" i="1"/>
  <c r="M188" i="1"/>
  <c r="S433" i="1"/>
  <c r="T433" i="1" s="1"/>
  <c r="M38" i="1"/>
  <c r="L39" i="1" s="1"/>
  <c r="R38" i="1"/>
  <c r="P38" i="1"/>
  <c r="O39" i="1" s="1"/>
  <c r="M351" i="1"/>
  <c r="O352" i="1"/>
  <c r="S351" i="1"/>
  <c r="T351" i="1" s="1"/>
  <c r="R271" i="1"/>
  <c r="P271" i="1"/>
  <c r="Q271" i="1" s="1"/>
  <c r="N271" i="1" s="1"/>
  <c r="L271" i="1"/>
  <c r="O104" i="1"/>
  <c r="M103" i="1"/>
  <c r="Q188" i="1"/>
  <c r="N188" i="1" s="1"/>
  <c r="M474" i="1"/>
  <c r="O475" i="1"/>
  <c r="Q433" i="1"/>
  <c r="N433" i="1" s="1"/>
  <c r="N37" i="1"/>
  <c r="R393" i="1"/>
  <c r="P393" i="1"/>
  <c r="Q393" i="1" s="1"/>
  <c r="N393" i="1" s="1"/>
  <c r="L393" i="1"/>
  <c r="R62" i="1"/>
  <c r="P62" i="1"/>
  <c r="L62" i="1"/>
  <c r="R514" i="1"/>
  <c r="L514" i="1"/>
  <c r="P514" i="1"/>
  <c r="Q514" i="1" s="1"/>
  <c r="N514" i="1" s="1"/>
  <c r="R147" i="1"/>
  <c r="L147" i="1"/>
  <c r="P147" i="1"/>
  <c r="Q474" i="1"/>
  <c r="N474" i="1" s="1"/>
  <c r="S474" i="1"/>
  <c r="T474" i="1" s="1"/>
  <c r="O312" i="1"/>
  <c r="M311" i="1"/>
  <c r="S188" i="1"/>
  <c r="T188" i="1" s="1"/>
  <c r="M1193" i="1" l="1"/>
  <c r="N1193" i="1" s="1"/>
  <c r="N1192" i="1"/>
  <c r="P1108" i="1"/>
  <c r="R1108" i="1"/>
  <c r="S37" i="1"/>
  <c r="N38" i="1"/>
  <c r="Q681" i="1"/>
  <c r="N680" i="1"/>
  <c r="S786" i="1"/>
  <c r="T786" i="1"/>
  <c r="U786" i="1" s="1"/>
  <c r="T568" i="1"/>
  <c r="U568" i="1" s="1"/>
  <c r="S568" i="1"/>
  <c r="T681" i="1"/>
  <c r="U681" i="1" s="1"/>
  <c r="S681" i="1"/>
  <c r="T567" i="1"/>
  <c r="U567" i="1" s="1"/>
  <c r="S567" i="1"/>
  <c r="M681" i="1"/>
  <c r="L682" i="1" s="1"/>
  <c r="T680" i="1"/>
  <c r="U680" i="1" s="1"/>
  <c r="S680" i="1"/>
  <c r="T604" i="1"/>
  <c r="U604" i="1" s="1"/>
  <c r="S604" i="1"/>
  <c r="T605" i="1"/>
  <c r="U605" i="1" s="1"/>
  <c r="S605" i="1"/>
  <c r="R682" i="1"/>
  <c r="P682" i="1"/>
  <c r="Q682" i="1" s="1"/>
  <c r="P352" i="1"/>
  <c r="R352" i="1"/>
  <c r="L352" i="1"/>
  <c r="L475" i="1"/>
  <c r="R475" i="1"/>
  <c r="P475" i="1"/>
  <c r="R312" i="1"/>
  <c r="P312" i="1"/>
  <c r="Q312" i="1" s="1"/>
  <c r="N312" i="1" s="1"/>
  <c r="L312" i="1"/>
  <c r="O63" i="1"/>
  <c r="M62" i="1"/>
  <c r="L104" i="1"/>
  <c r="P104" i="1"/>
  <c r="Q104" i="1" s="1"/>
  <c r="N104" i="1" s="1"/>
  <c r="O148" i="1"/>
  <c r="M147" i="1"/>
  <c r="Q147" i="1"/>
  <c r="N147" i="1" s="1"/>
  <c r="S271" i="1"/>
  <c r="T271" i="1" s="1"/>
  <c r="O231" i="1"/>
  <c r="M230" i="1"/>
  <c r="R39" i="1"/>
  <c r="P39" i="1"/>
  <c r="O40" i="1" s="1"/>
  <c r="S123" i="1"/>
  <c r="R124" i="1" s="1"/>
  <c r="Q62" i="1"/>
  <c r="N62" i="1" s="1"/>
  <c r="T122" i="1"/>
  <c r="S62" i="1"/>
  <c r="T62" i="1" s="1"/>
  <c r="P434" i="1"/>
  <c r="R434" i="1"/>
  <c r="L434" i="1"/>
  <c r="O394" i="1"/>
  <c r="M393" i="1"/>
  <c r="S147" i="1"/>
  <c r="T147" i="1" s="1"/>
  <c r="S393" i="1"/>
  <c r="T393" i="1" s="1"/>
  <c r="P189" i="1"/>
  <c r="L189" i="1"/>
  <c r="Q189" i="1"/>
  <c r="N189" i="1" s="1"/>
  <c r="R189" i="1"/>
  <c r="Q230" i="1"/>
  <c r="N230" i="1" s="1"/>
  <c r="S514" i="1"/>
  <c r="T514" i="1" s="1"/>
  <c r="S230" i="1"/>
  <c r="T230" i="1" s="1"/>
  <c r="Q38" i="1"/>
  <c r="M39" i="1"/>
  <c r="L40" i="1" s="1"/>
  <c r="O272" i="1"/>
  <c r="M271" i="1"/>
  <c r="O515" i="1"/>
  <c r="M514" i="1"/>
  <c r="O1109" i="1" l="1"/>
  <c r="S1108" i="1"/>
  <c r="Q1108" i="1"/>
  <c r="S682" i="1"/>
  <c r="T682" i="1"/>
  <c r="U682" i="1" s="1"/>
  <c r="N681" i="1"/>
  <c r="M682" i="1"/>
  <c r="N682" i="1" s="1"/>
  <c r="S189" i="1"/>
  <c r="T189" i="1"/>
  <c r="P515" i="1"/>
  <c r="R515" i="1"/>
  <c r="Q515" i="1"/>
  <c r="N515" i="1" s="1"/>
  <c r="L515" i="1"/>
  <c r="R272" i="1"/>
  <c r="P272" i="1"/>
  <c r="Q272" i="1" s="1"/>
  <c r="N272" i="1" s="1"/>
  <c r="L272" i="1"/>
  <c r="M475" i="1"/>
  <c r="O476" i="1"/>
  <c r="S434" i="1"/>
  <c r="T434" i="1" s="1"/>
  <c r="O435" i="1"/>
  <c r="M434" i="1"/>
  <c r="S312" i="1"/>
  <c r="T312" i="1" s="1"/>
  <c r="N39" i="1"/>
  <c r="S475" i="1"/>
  <c r="T475" i="1" s="1"/>
  <c r="O105" i="1"/>
  <c r="M104" i="1"/>
  <c r="P40" i="1"/>
  <c r="O41" i="1" s="1"/>
  <c r="R40" i="1"/>
  <c r="S352" i="1"/>
  <c r="T352" i="1" s="1"/>
  <c r="R231" i="1"/>
  <c r="P231" i="1"/>
  <c r="L231" i="1"/>
  <c r="Q475" i="1"/>
  <c r="N475" i="1" s="1"/>
  <c r="L148" i="1"/>
  <c r="P148" i="1"/>
  <c r="R148" i="1"/>
  <c r="S124" i="1"/>
  <c r="R125" i="1" s="1"/>
  <c r="R394" i="1"/>
  <c r="P394" i="1"/>
  <c r="L394" i="1"/>
  <c r="Q39" i="1"/>
  <c r="O353" i="1"/>
  <c r="M352" i="1"/>
  <c r="O313" i="1"/>
  <c r="M312" i="1"/>
  <c r="Q434" i="1"/>
  <c r="N434" i="1" s="1"/>
  <c r="M189" i="1"/>
  <c r="O190" i="1"/>
  <c r="M40" i="1"/>
  <c r="L41" i="1" s="1"/>
  <c r="T38" i="1"/>
  <c r="S38" i="1"/>
  <c r="T123" i="1"/>
  <c r="P63" i="1"/>
  <c r="R63" i="1"/>
  <c r="L63" i="1"/>
  <c r="Q352" i="1"/>
  <c r="N352" i="1" s="1"/>
  <c r="R1109" i="1" l="1"/>
  <c r="P1109" i="1"/>
  <c r="Q40" i="1"/>
  <c r="T40" i="1" s="1"/>
  <c r="M148" i="1"/>
  <c r="O149" i="1"/>
  <c r="O395" i="1"/>
  <c r="M394" i="1"/>
  <c r="L313" i="1"/>
  <c r="R313" i="1"/>
  <c r="P313" i="1"/>
  <c r="Q313" i="1" s="1"/>
  <c r="N313" i="1" s="1"/>
  <c r="R353" i="1"/>
  <c r="P353" i="1"/>
  <c r="Q353" i="1" s="1"/>
  <c r="N353" i="1" s="1"/>
  <c r="L353" i="1"/>
  <c r="S272" i="1"/>
  <c r="T272" i="1"/>
  <c r="M41" i="1"/>
  <c r="L42" i="1" s="1"/>
  <c r="S515" i="1"/>
  <c r="T515" i="1"/>
  <c r="R476" i="1"/>
  <c r="L476" i="1"/>
  <c r="P476" i="1"/>
  <c r="P105" i="1"/>
  <c r="Q105" i="1" s="1"/>
  <c r="N105" i="1" s="1"/>
  <c r="L105" i="1"/>
  <c r="S39" i="1"/>
  <c r="T39" i="1"/>
  <c r="O232" i="1"/>
  <c r="M231" i="1"/>
  <c r="Q231" i="1"/>
  <c r="N231" i="1" s="1"/>
  <c r="Q394" i="1"/>
  <c r="N394" i="1" s="1"/>
  <c r="S125" i="1"/>
  <c r="R126" i="1" s="1"/>
  <c r="O516" i="1"/>
  <c r="M515" i="1"/>
  <c r="S63" i="1"/>
  <c r="T63" i="1" s="1"/>
  <c r="S231" i="1"/>
  <c r="T231" i="1" s="1"/>
  <c r="S394" i="1"/>
  <c r="T394" i="1" s="1"/>
  <c r="L190" i="1"/>
  <c r="P190" i="1"/>
  <c r="R190" i="1"/>
  <c r="Q190" i="1"/>
  <c r="N190" i="1" s="1"/>
  <c r="T124" i="1"/>
  <c r="Q148" i="1"/>
  <c r="N148" i="1" s="1"/>
  <c r="O64" i="1"/>
  <c r="M63" i="1"/>
  <c r="Q63" i="1"/>
  <c r="N63" i="1" s="1"/>
  <c r="O273" i="1"/>
  <c r="M272" i="1"/>
  <c r="N40" i="1"/>
  <c r="L435" i="1"/>
  <c r="P435" i="1"/>
  <c r="R435" i="1"/>
  <c r="S148" i="1"/>
  <c r="T148" i="1" s="1"/>
  <c r="P41" i="1"/>
  <c r="O42" i="1" s="1"/>
  <c r="R41" i="1"/>
  <c r="Q41" i="1"/>
  <c r="S40" i="1" l="1"/>
  <c r="S1109" i="1"/>
  <c r="O1110" i="1"/>
  <c r="Q1109" i="1"/>
  <c r="O477" i="1"/>
  <c r="M476" i="1"/>
  <c r="S435" i="1"/>
  <c r="T435" i="1"/>
  <c r="S476" i="1"/>
  <c r="T476" i="1"/>
  <c r="N41" i="1"/>
  <c r="P395" i="1"/>
  <c r="Q395" i="1" s="1"/>
  <c r="N395" i="1" s="1"/>
  <c r="L395" i="1"/>
  <c r="R395" i="1"/>
  <c r="R149" i="1"/>
  <c r="P149" i="1"/>
  <c r="Q149" i="1" s="1"/>
  <c r="N149" i="1" s="1"/>
  <c r="L149" i="1"/>
  <c r="L516" i="1"/>
  <c r="P516" i="1"/>
  <c r="R516" i="1"/>
  <c r="T125" i="1"/>
  <c r="M42" i="1"/>
  <c r="N42" i="1"/>
  <c r="R273" i="1"/>
  <c r="P273" i="1"/>
  <c r="Q273" i="1" s="1"/>
  <c r="N273" i="1" s="1"/>
  <c r="L273" i="1"/>
  <c r="S353" i="1"/>
  <c r="T353" i="1" s="1"/>
  <c r="S126" i="1"/>
  <c r="R127" i="1" s="1"/>
  <c r="M435" i="1"/>
  <c r="O436" i="1"/>
  <c r="Q476" i="1"/>
  <c r="N476" i="1" s="1"/>
  <c r="M190" i="1"/>
  <c r="O191" i="1"/>
  <c r="T41" i="1"/>
  <c r="S41" i="1"/>
  <c r="R42" i="1"/>
  <c r="P42" i="1"/>
  <c r="Q42" i="1" s="1"/>
  <c r="S190" i="1"/>
  <c r="T190" i="1" s="1"/>
  <c r="O314" i="1"/>
  <c r="M313" i="1"/>
  <c r="Q435" i="1"/>
  <c r="N435" i="1" s="1"/>
  <c r="S313" i="1"/>
  <c r="T313" i="1"/>
  <c r="R232" i="1"/>
  <c r="P232" i="1"/>
  <c r="L232" i="1"/>
  <c r="L64" i="1"/>
  <c r="R64" i="1"/>
  <c r="P64" i="1"/>
  <c r="O106" i="1"/>
  <c r="M105" i="1"/>
  <c r="M353" i="1"/>
  <c r="O354" i="1"/>
  <c r="R1110" i="1" l="1"/>
  <c r="P1110" i="1"/>
  <c r="Q1110" i="1" s="1"/>
  <c r="T42" i="1"/>
  <c r="S42" i="1"/>
  <c r="S232" i="1"/>
  <c r="T232" i="1" s="1"/>
  <c r="S395" i="1"/>
  <c r="T395" i="1" s="1"/>
  <c r="M64" i="1"/>
  <c r="O65" i="1"/>
  <c r="S516" i="1"/>
  <c r="T516" i="1" s="1"/>
  <c r="Q64" i="1"/>
  <c r="N64" i="1" s="1"/>
  <c r="O517" i="1"/>
  <c r="M516" i="1"/>
  <c r="T126" i="1"/>
  <c r="L354" i="1"/>
  <c r="R354" i="1"/>
  <c r="P354" i="1"/>
  <c r="S273" i="1"/>
  <c r="T273" i="1" s="1"/>
  <c r="P106" i="1"/>
  <c r="L106" i="1"/>
  <c r="Q106" i="1"/>
  <c r="N106" i="1" s="1"/>
  <c r="R314" i="1"/>
  <c r="P314" i="1"/>
  <c r="L314" i="1"/>
  <c r="S127" i="1"/>
  <c r="T127" i="1" s="1"/>
  <c r="S64" i="1"/>
  <c r="T64" i="1" s="1"/>
  <c r="Q516" i="1"/>
  <c r="N516" i="1" s="1"/>
  <c r="O233" i="1"/>
  <c r="M232" i="1"/>
  <c r="S149" i="1"/>
  <c r="T149" i="1" s="1"/>
  <c r="R191" i="1"/>
  <c r="L191" i="1"/>
  <c r="P191" i="1"/>
  <c r="Q191" i="1"/>
  <c r="N191" i="1" s="1"/>
  <c r="O396" i="1"/>
  <c r="M395" i="1"/>
  <c r="P436" i="1"/>
  <c r="Q436" i="1" s="1"/>
  <c r="N436" i="1" s="1"/>
  <c r="L436" i="1"/>
  <c r="R436" i="1"/>
  <c r="Q232" i="1"/>
  <c r="N232" i="1" s="1"/>
  <c r="O274" i="1"/>
  <c r="M273" i="1"/>
  <c r="O150" i="1"/>
  <c r="M149" i="1"/>
  <c r="P477" i="1"/>
  <c r="R477" i="1"/>
  <c r="L477" i="1"/>
  <c r="S1110" i="1" l="1"/>
  <c r="O1111" i="1"/>
  <c r="R517" i="1"/>
  <c r="P517" i="1"/>
  <c r="L517" i="1"/>
  <c r="M436" i="1"/>
  <c r="O437" i="1"/>
  <c r="P274" i="1"/>
  <c r="L274" i="1"/>
  <c r="Q274" i="1"/>
  <c r="N274" i="1" s="1"/>
  <c r="R274" i="1"/>
  <c r="S436" i="1"/>
  <c r="T436" i="1" s="1"/>
  <c r="R65" i="1"/>
  <c r="P65" i="1"/>
  <c r="Q65" i="1" s="1"/>
  <c r="N65" i="1" s="1"/>
  <c r="L65" i="1"/>
  <c r="M354" i="1"/>
  <c r="O355" i="1"/>
  <c r="O478" i="1"/>
  <c r="M477" i="1"/>
  <c r="O192" i="1"/>
  <c r="M191" i="1"/>
  <c r="R150" i="1"/>
  <c r="P150" i="1"/>
  <c r="Q150" i="1" s="1"/>
  <c r="N150" i="1" s="1"/>
  <c r="L150" i="1"/>
  <c r="O315" i="1"/>
  <c r="M314" i="1"/>
  <c r="S314" i="1"/>
  <c r="T314" i="1" s="1"/>
  <c r="P233" i="1"/>
  <c r="L233" i="1"/>
  <c r="R233" i="1"/>
  <c r="Q233" i="1"/>
  <c r="N233" i="1" s="1"/>
  <c r="O107" i="1"/>
  <c r="M106" i="1"/>
  <c r="S477" i="1"/>
  <c r="T477" i="1" s="1"/>
  <c r="P396" i="1"/>
  <c r="L396" i="1"/>
  <c r="R396" i="1"/>
  <c r="Q354" i="1"/>
  <c r="N354" i="1" s="1"/>
  <c r="Q477" i="1"/>
  <c r="N477" i="1" s="1"/>
  <c r="S354" i="1"/>
  <c r="T354" i="1" s="1"/>
  <c r="S191" i="1"/>
  <c r="T191" i="1" s="1"/>
  <c r="Q314" i="1"/>
  <c r="N314" i="1" s="1"/>
  <c r="R1111" i="1" l="1"/>
  <c r="P1111" i="1"/>
  <c r="S150" i="1"/>
  <c r="T150" i="1"/>
  <c r="R478" i="1"/>
  <c r="L478" i="1"/>
  <c r="P478" i="1"/>
  <c r="R315" i="1"/>
  <c r="P315" i="1"/>
  <c r="L315" i="1"/>
  <c r="O518" i="1"/>
  <c r="M517" i="1"/>
  <c r="O275" i="1"/>
  <c r="M274" i="1"/>
  <c r="R355" i="1"/>
  <c r="P355" i="1"/>
  <c r="L355" i="1"/>
  <c r="M396" i="1"/>
  <c r="O397" i="1"/>
  <c r="Q517" i="1"/>
  <c r="N517" i="1" s="1"/>
  <c r="L107" i="1"/>
  <c r="P107" i="1"/>
  <c r="S274" i="1"/>
  <c r="T274" i="1" s="1"/>
  <c r="S233" i="1"/>
  <c r="T233" i="1" s="1"/>
  <c r="P192" i="1"/>
  <c r="Q192" i="1" s="1"/>
  <c r="N192" i="1" s="1"/>
  <c r="R192" i="1"/>
  <c r="L192" i="1"/>
  <c r="M233" i="1"/>
  <c r="O234" i="1"/>
  <c r="S396" i="1"/>
  <c r="T396" i="1"/>
  <c r="P437" i="1"/>
  <c r="L437" i="1"/>
  <c r="R437" i="1"/>
  <c r="Q396" i="1"/>
  <c r="N396" i="1" s="1"/>
  <c r="O66" i="1"/>
  <c r="M65" i="1"/>
  <c r="O151" i="1"/>
  <c r="M150" i="1"/>
  <c r="S65" i="1"/>
  <c r="T65" i="1" s="1"/>
  <c r="S517" i="1"/>
  <c r="T517" i="1" s="1"/>
  <c r="S1111" i="1" l="1"/>
  <c r="O1112" i="1"/>
  <c r="Q1111" i="1"/>
  <c r="P518" i="1"/>
  <c r="Q518" i="1" s="1"/>
  <c r="N518" i="1" s="1"/>
  <c r="R518" i="1"/>
  <c r="L518" i="1"/>
  <c r="L234" i="1"/>
  <c r="P234" i="1"/>
  <c r="R234" i="1"/>
  <c r="R397" i="1"/>
  <c r="L397" i="1"/>
  <c r="P397" i="1"/>
  <c r="S192" i="1"/>
  <c r="T192" i="1" s="1"/>
  <c r="M107" i="1"/>
  <c r="O108" i="1"/>
  <c r="O316" i="1"/>
  <c r="M315" i="1"/>
  <c r="P151" i="1"/>
  <c r="L151" i="1"/>
  <c r="R151" i="1"/>
  <c r="Q151" i="1"/>
  <c r="N151" i="1" s="1"/>
  <c r="S315" i="1"/>
  <c r="T315" i="1" s="1"/>
  <c r="O479" i="1"/>
  <c r="M478" i="1"/>
  <c r="O193" i="1"/>
  <c r="M192" i="1"/>
  <c r="S355" i="1"/>
  <c r="T355" i="1" s="1"/>
  <c r="S478" i="1"/>
  <c r="T478" i="1" s="1"/>
  <c r="P66" i="1"/>
  <c r="R66" i="1"/>
  <c r="L66" i="1"/>
  <c r="O356" i="1"/>
  <c r="M355" i="1"/>
  <c r="Q355" i="1"/>
  <c r="N355" i="1" s="1"/>
  <c r="Q107" i="1"/>
  <c r="N107" i="1" s="1"/>
  <c r="Q315" i="1"/>
  <c r="N315" i="1" s="1"/>
  <c r="S437" i="1"/>
  <c r="T437" i="1" s="1"/>
  <c r="Q478" i="1"/>
  <c r="N478" i="1" s="1"/>
  <c r="M437" i="1"/>
  <c r="O438" i="1"/>
  <c r="Q437" i="1"/>
  <c r="N437" i="1" s="1"/>
  <c r="R275" i="1"/>
  <c r="L275" i="1"/>
  <c r="P275" i="1"/>
  <c r="Q275" i="1"/>
  <c r="N275" i="1" s="1"/>
  <c r="R1112" i="1" l="1"/>
  <c r="P1112" i="1"/>
  <c r="Q1112" i="1" s="1"/>
  <c r="M397" i="1"/>
  <c r="O398" i="1"/>
  <c r="S66" i="1"/>
  <c r="T66" i="1" s="1"/>
  <c r="L438" i="1"/>
  <c r="R438" i="1"/>
  <c r="P438" i="1"/>
  <c r="Q438" i="1" s="1"/>
  <c r="N438" i="1" s="1"/>
  <c r="S234" i="1"/>
  <c r="T234" i="1" s="1"/>
  <c r="M234" i="1"/>
  <c r="O235" i="1"/>
  <c r="Q397" i="1"/>
  <c r="N397" i="1" s="1"/>
  <c r="O67" i="1"/>
  <c r="M66" i="1"/>
  <c r="S397" i="1"/>
  <c r="T397" i="1" s="1"/>
  <c r="M151" i="1"/>
  <c r="O152" i="1"/>
  <c r="Q234" i="1"/>
  <c r="N234" i="1" s="1"/>
  <c r="R316" i="1"/>
  <c r="P316" i="1"/>
  <c r="L316" i="1"/>
  <c r="O276" i="1"/>
  <c r="M275" i="1"/>
  <c r="S518" i="1"/>
  <c r="T518" i="1" s="1"/>
  <c r="S275" i="1"/>
  <c r="T275" i="1" s="1"/>
  <c r="Q66" i="1"/>
  <c r="N66" i="1" s="1"/>
  <c r="S151" i="1"/>
  <c r="T151" i="1" s="1"/>
  <c r="P108" i="1"/>
  <c r="Q108" i="1" s="1"/>
  <c r="N108" i="1" s="1"/>
  <c r="L108" i="1"/>
  <c r="L193" i="1"/>
  <c r="P193" i="1"/>
  <c r="Q193" i="1" s="1"/>
  <c r="N193" i="1" s="1"/>
  <c r="R193" i="1"/>
  <c r="R356" i="1"/>
  <c r="P356" i="1"/>
  <c r="L356" i="1"/>
  <c r="R479" i="1"/>
  <c r="P479" i="1"/>
  <c r="Q479" i="1" s="1"/>
  <c r="N479" i="1" s="1"/>
  <c r="L479" i="1"/>
  <c r="O519" i="1"/>
  <c r="M518" i="1"/>
  <c r="O1113" i="1" l="1"/>
  <c r="S1112" i="1"/>
  <c r="O317" i="1"/>
  <c r="M316" i="1"/>
  <c r="O109" i="1"/>
  <c r="M108" i="1"/>
  <c r="S479" i="1"/>
  <c r="T479" i="1" s="1"/>
  <c r="L152" i="1"/>
  <c r="P152" i="1"/>
  <c r="R152" i="1"/>
  <c r="Q316" i="1"/>
  <c r="N316" i="1" s="1"/>
  <c r="S316" i="1"/>
  <c r="T316" i="1" s="1"/>
  <c r="R235" i="1"/>
  <c r="P235" i="1"/>
  <c r="L235" i="1"/>
  <c r="O480" i="1"/>
  <c r="M479" i="1"/>
  <c r="O357" i="1"/>
  <c r="M356" i="1"/>
  <c r="Q356" i="1"/>
  <c r="N356" i="1" s="1"/>
  <c r="S193" i="1"/>
  <c r="T193" i="1"/>
  <c r="L67" i="1"/>
  <c r="R67" i="1"/>
  <c r="P67" i="1"/>
  <c r="R398" i="1"/>
  <c r="P398" i="1"/>
  <c r="L398" i="1"/>
  <c r="M438" i="1"/>
  <c r="O439" i="1"/>
  <c r="S356" i="1"/>
  <c r="T356" i="1" s="1"/>
  <c r="S438" i="1"/>
  <c r="T438" i="1" s="1"/>
  <c r="O194" i="1"/>
  <c r="M193" i="1"/>
  <c r="L519" i="1"/>
  <c r="R519" i="1"/>
  <c r="P519" i="1"/>
  <c r="P276" i="1"/>
  <c r="Q276" i="1" s="1"/>
  <c r="N276" i="1" s="1"/>
  <c r="L276" i="1"/>
  <c r="R276" i="1"/>
  <c r="R1113" i="1" l="1"/>
  <c r="P1113" i="1"/>
  <c r="S276" i="1"/>
  <c r="T276" i="1" s="1"/>
  <c r="R439" i="1"/>
  <c r="L439" i="1"/>
  <c r="P439" i="1"/>
  <c r="S152" i="1"/>
  <c r="T152" i="1" s="1"/>
  <c r="M276" i="1"/>
  <c r="O277" i="1"/>
  <c r="M152" i="1"/>
  <c r="O153" i="1"/>
  <c r="M519" i="1"/>
  <c r="O520" i="1"/>
  <c r="R357" i="1"/>
  <c r="P357" i="1"/>
  <c r="L357" i="1"/>
  <c r="Q152" i="1"/>
  <c r="N152" i="1" s="1"/>
  <c r="Q519" i="1"/>
  <c r="N519" i="1" s="1"/>
  <c r="O399" i="1"/>
  <c r="M398" i="1"/>
  <c r="S519" i="1"/>
  <c r="T519" i="1" s="1"/>
  <c r="Q398" i="1"/>
  <c r="N398" i="1" s="1"/>
  <c r="P480" i="1"/>
  <c r="Q480" i="1" s="1"/>
  <c r="N480" i="1" s="1"/>
  <c r="R480" i="1"/>
  <c r="L480" i="1"/>
  <c r="S398" i="1"/>
  <c r="T398" i="1" s="1"/>
  <c r="M67" i="1"/>
  <c r="O68" i="1"/>
  <c r="O236" i="1"/>
  <c r="M235" i="1"/>
  <c r="R194" i="1"/>
  <c r="P194" i="1"/>
  <c r="Q194" i="1" s="1"/>
  <c r="N194" i="1" s="1"/>
  <c r="L194" i="1"/>
  <c r="Q67" i="1"/>
  <c r="N67" i="1" s="1"/>
  <c r="Q235" i="1"/>
  <c r="N235" i="1" s="1"/>
  <c r="P109" i="1"/>
  <c r="Q109" i="1" s="1"/>
  <c r="N109" i="1" s="1"/>
  <c r="L109" i="1"/>
  <c r="S67" i="1"/>
  <c r="T67" i="1" s="1"/>
  <c r="S235" i="1"/>
  <c r="T235" i="1" s="1"/>
  <c r="P317" i="1"/>
  <c r="R317" i="1"/>
  <c r="L317" i="1"/>
  <c r="O1114" i="1" l="1"/>
  <c r="S1113" i="1"/>
  <c r="Q1113" i="1"/>
  <c r="S194" i="1"/>
  <c r="T194" i="1" s="1"/>
  <c r="R153" i="1"/>
  <c r="P153" i="1"/>
  <c r="L153" i="1"/>
  <c r="R236" i="1"/>
  <c r="P236" i="1"/>
  <c r="L236" i="1"/>
  <c r="L277" i="1"/>
  <c r="R277" i="1"/>
  <c r="P277" i="1"/>
  <c r="R68" i="1"/>
  <c r="P68" i="1"/>
  <c r="Q68" i="1" s="1"/>
  <c r="N68" i="1" s="1"/>
  <c r="L68" i="1"/>
  <c r="R399" i="1"/>
  <c r="P399" i="1"/>
  <c r="Q399" i="1" s="1"/>
  <c r="N399" i="1" s="1"/>
  <c r="L399" i="1"/>
  <c r="O110" i="1"/>
  <c r="M109" i="1"/>
  <c r="O440" i="1"/>
  <c r="M439" i="1"/>
  <c r="M357" i="1"/>
  <c r="O358" i="1"/>
  <c r="Q357" i="1"/>
  <c r="N357" i="1" s="1"/>
  <c r="Q439" i="1"/>
  <c r="N439" i="1" s="1"/>
  <c r="S317" i="1"/>
  <c r="T317" i="1" s="1"/>
  <c r="S480" i="1"/>
  <c r="T480" i="1" s="1"/>
  <c r="S357" i="1"/>
  <c r="T357" i="1" s="1"/>
  <c r="S439" i="1"/>
  <c r="T439" i="1" s="1"/>
  <c r="O318" i="1"/>
  <c r="M317" i="1"/>
  <c r="O481" i="1"/>
  <c r="M480" i="1"/>
  <c r="R520" i="1"/>
  <c r="P520" i="1"/>
  <c r="L520" i="1"/>
  <c r="Q317" i="1"/>
  <c r="N317" i="1" s="1"/>
  <c r="O195" i="1"/>
  <c r="M194" i="1"/>
  <c r="P1114" i="1" l="1"/>
  <c r="R1114" i="1"/>
  <c r="L110" i="1"/>
  <c r="P110" i="1"/>
  <c r="S236" i="1"/>
  <c r="T236" i="1" s="1"/>
  <c r="O521" i="1"/>
  <c r="M520" i="1"/>
  <c r="Q520" i="1"/>
  <c r="N520" i="1" s="1"/>
  <c r="S520" i="1"/>
  <c r="T520" i="1" s="1"/>
  <c r="L481" i="1"/>
  <c r="R481" i="1"/>
  <c r="P481" i="1"/>
  <c r="O69" i="1"/>
  <c r="M68" i="1"/>
  <c r="M153" i="1"/>
  <c r="O154" i="1"/>
  <c r="R358" i="1"/>
  <c r="L358" i="1"/>
  <c r="P358" i="1"/>
  <c r="S68" i="1"/>
  <c r="T68" i="1" s="1"/>
  <c r="Q153" i="1"/>
  <c r="N153" i="1" s="1"/>
  <c r="S399" i="1"/>
  <c r="T399" i="1" s="1"/>
  <c r="R318" i="1"/>
  <c r="L318" i="1"/>
  <c r="P318" i="1"/>
  <c r="S153" i="1"/>
  <c r="T153" i="1" s="1"/>
  <c r="S277" i="1"/>
  <c r="T277" i="1" s="1"/>
  <c r="M236" i="1"/>
  <c r="O237" i="1"/>
  <c r="Q236" i="1"/>
  <c r="N236" i="1" s="1"/>
  <c r="M277" i="1"/>
  <c r="O278" i="1"/>
  <c r="P195" i="1"/>
  <c r="L195" i="1"/>
  <c r="R195" i="1"/>
  <c r="Q195" i="1"/>
  <c r="N195" i="1" s="1"/>
  <c r="O400" i="1"/>
  <c r="M399" i="1"/>
  <c r="P440" i="1"/>
  <c r="L440" i="1"/>
  <c r="R440" i="1"/>
  <c r="Q277" i="1"/>
  <c r="N277" i="1" s="1"/>
  <c r="O1115" i="1" l="1"/>
  <c r="S1114" i="1"/>
  <c r="Q1114" i="1"/>
  <c r="M440" i="1"/>
  <c r="O441" i="1"/>
  <c r="S481" i="1"/>
  <c r="T481" i="1"/>
  <c r="R400" i="1"/>
  <c r="P400" i="1"/>
  <c r="L400" i="1"/>
  <c r="O196" i="1"/>
  <c r="M195" i="1"/>
  <c r="P69" i="1"/>
  <c r="Q69" i="1" s="1"/>
  <c r="N69" i="1" s="1"/>
  <c r="L69" i="1"/>
  <c r="R69" i="1"/>
  <c r="M110" i="1"/>
  <c r="O111" i="1"/>
  <c r="M358" i="1"/>
  <c r="O359" i="1"/>
  <c r="Q358" i="1"/>
  <c r="N358" i="1" s="1"/>
  <c r="M318" i="1"/>
  <c r="O319" i="1"/>
  <c r="P521" i="1"/>
  <c r="Q521" i="1" s="1"/>
  <c r="N521" i="1" s="1"/>
  <c r="L521" i="1"/>
  <c r="R521" i="1"/>
  <c r="R278" i="1"/>
  <c r="L278" i="1"/>
  <c r="P278" i="1"/>
  <c r="Q278" i="1" s="1"/>
  <c r="N278" i="1" s="1"/>
  <c r="M481" i="1"/>
  <c r="O482" i="1"/>
  <c r="Q110" i="1"/>
  <c r="N110" i="1" s="1"/>
  <c r="Q440" i="1"/>
  <c r="N440" i="1" s="1"/>
  <c r="S195" i="1"/>
  <c r="T195" i="1" s="1"/>
  <c r="S358" i="1"/>
  <c r="T358" i="1" s="1"/>
  <c r="R154" i="1"/>
  <c r="P154" i="1"/>
  <c r="Q154" i="1" s="1"/>
  <c r="N154" i="1" s="1"/>
  <c r="L154" i="1"/>
  <c r="Q318" i="1"/>
  <c r="N318" i="1" s="1"/>
  <c r="S318" i="1"/>
  <c r="T318" i="1" s="1"/>
  <c r="S440" i="1"/>
  <c r="T440" i="1"/>
  <c r="R237" i="1"/>
  <c r="P237" i="1"/>
  <c r="Q237" i="1" s="1"/>
  <c r="N237" i="1" s="1"/>
  <c r="L237" i="1"/>
  <c r="Q481" i="1"/>
  <c r="N481" i="1" s="1"/>
  <c r="R1115" i="1" l="1"/>
  <c r="P1115" i="1"/>
  <c r="S237" i="1"/>
  <c r="T237" i="1" s="1"/>
  <c r="L319" i="1"/>
  <c r="R319" i="1"/>
  <c r="P319" i="1"/>
  <c r="Q319" i="1" s="1"/>
  <c r="N319" i="1" s="1"/>
  <c r="P359" i="1"/>
  <c r="L359" i="1"/>
  <c r="R359" i="1"/>
  <c r="Q359" i="1"/>
  <c r="N359" i="1" s="1"/>
  <c r="S400" i="1"/>
  <c r="T400" i="1" s="1"/>
  <c r="O155" i="1"/>
  <c r="M154" i="1"/>
  <c r="M521" i="1"/>
  <c r="O522" i="1"/>
  <c r="O401" i="1"/>
  <c r="M400" i="1"/>
  <c r="Q400" i="1"/>
  <c r="N400" i="1" s="1"/>
  <c r="P111" i="1"/>
  <c r="L111" i="1"/>
  <c r="Q111" i="1"/>
  <c r="N111" i="1" s="1"/>
  <c r="S154" i="1"/>
  <c r="T154" i="1" s="1"/>
  <c r="S278" i="1"/>
  <c r="T278" i="1" s="1"/>
  <c r="S69" i="1"/>
  <c r="T69" i="1" s="1"/>
  <c r="L441" i="1"/>
  <c r="R441" i="1"/>
  <c r="P441" i="1"/>
  <c r="M69" i="1"/>
  <c r="O70" i="1"/>
  <c r="L196" i="1"/>
  <c r="R196" i="1"/>
  <c r="P196" i="1"/>
  <c r="Q196" i="1"/>
  <c r="N196" i="1" s="1"/>
  <c r="R482" i="1"/>
  <c r="P482" i="1"/>
  <c r="L482" i="1"/>
  <c r="O279" i="1"/>
  <c r="M278" i="1"/>
  <c r="O238" i="1"/>
  <c r="M237" i="1"/>
  <c r="S521" i="1"/>
  <c r="T521" i="1" s="1"/>
  <c r="S1115" i="1" l="1"/>
  <c r="O1116" i="1"/>
  <c r="Q1115" i="1"/>
  <c r="S441" i="1"/>
  <c r="T441" i="1" s="1"/>
  <c r="P401" i="1"/>
  <c r="L401" i="1"/>
  <c r="R401" i="1"/>
  <c r="O320" i="1"/>
  <c r="M319" i="1"/>
  <c r="L70" i="1"/>
  <c r="R70" i="1"/>
  <c r="P70" i="1"/>
  <c r="R238" i="1"/>
  <c r="P238" i="1"/>
  <c r="L238" i="1"/>
  <c r="S359" i="1"/>
  <c r="T359" i="1" s="1"/>
  <c r="M441" i="1"/>
  <c r="O442" i="1"/>
  <c r="L279" i="1"/>
  <c r="R279" i="1"/>
  <c r="P279" i="1"/>
  <c r="Q279" i="1" s="1"/>
  <c r="N279" i="1" s="1"/>
  <c r="M359" i="1"/>
  <c r="O360" i="1"/>
  <c r="M482" i="1"/>
  <c r="O483" i="1"/>
  <c r="Q482" i="1"/>
  <c r="N482" i="1" s="1"/>
  <c r="L522" i="1"/>
  <c r="R522" i="1"/>
  <c r="P522" i="1"/>
  <c r="S482" i="1"/>
  <c r="T482" i="1" s="1"/>
  <c r="O112" i="1"/>
  <c r="M111" i="1"/>
  <c r="S319" i="1"/>
  <c r="T319" i="1" s="1"/>
  <c r="S196" i="1"/>
  <c r="T196" i="1" s="1"/>
  <c r="Q441" i="1"/>
  <c r="N441" i="1" s="1"/>
  <c r="M196" i="1"/>
  <c r="O197" i="1"/>
  <c r="R155" i="1"/>
  <c r="P155" i="1"/>
  <c r="L155" i="1"/>
  <c r="R1116" i="1" l="1"/>
  <c r="P1116" i="1"/>
  <c r="M70" i="1"/>
  <c r="O71" i="1"/>
  <c r="S522" i="1"/>
  <c r="T522" i="1" s="1"/>
  <c r="R320" i="1"/>
  <c r="P320" i="1"/>
  <c r="Q320" i="1" s="1"/>
  <c r="N320" i="1" s="1"/>
  <c r="L320" i="1"/>
  <c r="P112" i="1"/>
  <c r="L112" i="1"/>
  <c r="Q112" i="1"/>
  <c r="N112" i="1" s="1"/>
  <c r="S401" i="1"/>
  <c r="T401" i="1" s="1"/>
  <c r="S70" i="1"/>
  <c r="T70" i="1" s="1"/>
  <c r="Q70" i="1"/>
  <c r="N70" i="1" s="1"/>
  <c r="O402" i="1"/>
  <c r="M401" i="1"/>
  <c r="O156" i="1"/>
  <c r="M155" i="1"/>
  <c r="O523" i="1"/>
  <c r="M522" i="1"/>
  <c r="R197" i="1"/>
  <c r="P197" i="1"/>
  <c r="Q197" i="1" s="1"/>
  <c r="N197" i="1" s="1"/>
  <c r="L197" i="1"/>
  <c r="R442" i="1"/>
  <c r="P442" i="1"/>
  <c r="Q442" i="1"/>
  <c r="N442" i="1" s="1"/>
  <c r="L442" i="1"/>
  <c r="O239" i="1"/>
  <c r="M238" i="1"/>
  <c r="Q401" i="1"/>
  <c r="N401" i="1" s="1"/>
  <c r="M279" i="1"/>
  <c r="O280" i="1"/>
  <c r="S279" i="1"/>
  <c r="T279" i="1" s="1"/>
  <c r="S155" i="1"/>
  <c r="T155" i="1" s="1"/>
  <c r="L360" i="1"/>
  <c r="R360" i="1"/>
  <c r="P360" i="1"/>
  <c r="Q238" i="1"/>
  <c r="N238" i="1" s="1"/>
  <c r="Q155" i="1"/>
  <c r="N155" i="1" s="1"/>
  <c r="Q522" i="1"/>
  <c r="N522" i="1" s="1"/>
  <c r="P483" i="1"/>
  <c r="L483" i="1"/>
  <c r="R483" i="1"/>
  <c r="S238" i="1"/>
  <c r="T238" i="1" s="1"/>
  <c r="S1116" i="1" l="1"/>
  <c r="O1117" i="1"/>
  <c r="Q1116" i="1"/>
  <c r="L280" i="1"/>
  <c r="R280" i="1"/>
  <c r="P280" i="1"/>
  <c r="Q280" i="1" s="1"/>
  <c r="N280" i="1" s="1"/>
  <c r="S197" i="1"/>
  <c r="T197" i="1" s="1"/>
  <c r="M112" i="1"/>
  <c r="O113" i="1"/>
  <c r="M360" i="1"/>
  <c r="O361" i="1"/>
  <c r="R156" i="1"/>
  <c r="P156" i="1"/>
  <c r="Q156" i="1" s="1"/>
  <c r="N156" i="1" s="1"/>
  <c r="L156" i="1"/>
  <c r="S442" i="1"/>
  <c r="T442" i="1" s="1"/>
  <c r="O484" i="1"/>
  <c r="M483" i="1"/>
  <c r="R523" i="1"/>
  <c r="L523" i="1"/>
  <c r="P523" i="1"/>
  <c r="R239" i="1"/>
  <c r="P239" i="1"/>
  <c r="Q239" i="1" s="1"/>
  <c r="N239" i="1" s="1"/>
  <c r="L239" i="1"/>
  <c r="O321" i="1"/>
  <c r="M320" i="1"/>
  <c r="S320" i="1"/>
  <c r="T320" i="1" s="1"/>
  <c r="O443" i="1"/>
  <c r="M442" i="1"/>
  <c r="S483" i="1"/>
  <c r="T483" i="1" s="1"/>
  <c r="L71" i="1"/>
  <c r="R71" i="1"/>
  <c r="P71" i="1"/>
  <c r="Q483" i="1"/>
  <c r="N483" i="1" s="1"/>
  <c r="Q360" i="1"/>
  <c r="N360" i="1" s="1"/>
  <c r="S360" i="1"/>
  <c r="T360" i="1" s="1"/>
  <c r="R402" i="1"/>
  <c r="P402" i="1"/>
  <c r="L402" i="1"/>
  <c r="O198" i="1"/>
  <c r="M197" i="1"/>
  <c r="R1117" i="1" l="1"/>
  <c r="P1117" i="1"/>
  <c r="S239" i="1"/>
  <c r="T239" i="1" s="1"/>
  <c r="L113" i="1"/>
  <c r="P113" i="1"/>
  <c r="Q113" i="1" s="1"/>
  <c r="N113" i="1" s="1"/>
  <c r="P443" i="1"/>
  <c r="L443" i="1"/>
  <c r="R443" i="1"/>
  <c r="L484" i="1"/>
  <c r="P484" i="1"/>
  <c r="R484" i="1"/>
  <c r="R321" i="1"/>
  <c r="L321" i="1"/>
  <c r="P321" i="1"/>
  <c r="Q321" i="1" s="1"/>
  <c r="N321" i="1" s="1"/>
  <c r="R361" i="1"/>
  <c r="L361" i="1"/>
  <c r="P361" i="1"/>
  <c r="M402" i="1"/>
  <c r="O403" i="1"/>
  <c r="S402" i="1"/>
  <c r="T402" i="1" s="1"/>
  <c r="S523" i="1"/>
  <c r="T523" i="1" s="1"/>
  <c r="M71" i="1"/>
  <c r="O72" i="1"/>
  <c r="S280" i="1"/>
  <c r="T280" i="1" s="1"/>
  <c r="S71" i="1"/>
  <c r="T71" i="1" s="1"/>
  <c r="P198" i="1"/>
  <c r="L198" i="1"/>
  <c r="R198" i="1"/>
  <c r="S156" i="1"/>
  <c r="T156" i="1" s="1"/>
  <c r="O524" i="1"/>
  <c r="M523" i="1"/>
  <c r="Q402" i="1"/>
  <c r="N402" i="1" s="1"/>
  <c r="Q523" i="1"/>
  <c r="N523" i="1" s="1"/>
  <c r="M280" i="1"/>
  <c r="O281" i="1"/>
  <c r="Q71" i="1"/>
  <c r="N71" i="1" s="1"/>
  <c r="M239" i="1"/>
  <c r="O240" i="1"/>
  <c r="O157" i="1"/>
  <c r="M156" i="1"/>
  <c r="S1117" i="1" l="1"/>
  <c r="O1118" i="1"/>
  <c r="Q1117" i="1"/>
  <c r="M484" i="1"/>
  <c r="O485" i="1"/>
  <c r="S198" i="1"/>
  <c r="T198" i="1"/>
  <c r="R403" i="1"/>
  <c r="L403" i="1"/>
  <c r="P403" i="1"/>
  <c r="Q403" i="1" s="1"/>
  <c r="N403" i="1" s="1"/>
  <c r="R240" i="1"/>
  <c r="P240" i="1"/>
  <c r="Q240" i="1" s="1"/>
  <c r="N240" i="1" s="1"/>
  <c r="L240" i="1"/>
  <c r="Q484" i="1"/>
  <c r="N484" i="1" s="1"/>
  <c r="M361" i="1"/>
  <c r="O362" i="1"/>
  <c r="S361" i="1"/>
  <c r="T361" i="1" s="1"/>
  <c r="R72" i="1"/>
  <c r="L72" i="1"/>
  <c r="P72" i="1"/>
  <c r="P524" i="1"/>
  <c r="L524" i="1"/>
  <c r="R524" i="1"/>
  <c r="M198" i="1"/>
  <c r="O199" i="1"/>
  <c r="Q361" i="1"/>
  <c r="N361" i="1" s="1"/>
  <c r="M113" i="1"/>
  <c r="O114" i="1"/>
  <c r="S321" i="1"/>
  <c r="T321" i="1" s="1"/>
  <c r="R281" i="1"/>
  <c r="L281" i="1"/>
  <c r="P281" i="1"/>
  <c r="S443" i="1"/>
  <c r="T443" i="1" s="1"/>
  <c r="O444" i="1"/>
  <c r="M443" i="1"/>
  <c r="Q443" i="1"/>
  <c r="N443" i="1" s="1"/>
  <c r="M321" i="1"/>
  <c r="O322" i="1"/>
  <c r="P157" i="1"/>
  <c r="L157" i="1"/>
  <c r="R157" i="1"/>
  <c r="Q198" i="1"/>
  <c r="N198" i="1" s="1"/>
  <c r="S484" i="1"/>
  <c r="T484" i="1" s="1"/>
  <c r="R1118" i="1" l="1"/>
  <c r="P1118" i="1"/>
  <c r="O282" i="1"/>
  <c r="M281" i="1"/>
  <c r="M157" i="1"/>
  <c r="O158" i="1"/>
  <c r="S240" i="1"/>
  <c r="T240" i="1" s="1"/>
  <c r="P114" i="1"/>
  <c r="L114" i="1"/>
  <c r="Q114" i="1"/>
  <c r="N114" i="1" s="1"/>
  <c r="L444" i="1"/>
  <c r="R444" i="1"/>
  <c r="P444" i="1"/>
  <c r="L199" i="1"/>
  <c r="R199" i="1"/>
  <c r="P199" i="1"/>
  <c r="P362" i="1"/>
  <c r="Q362" i="1" s="1"/>
  <c r="N362" i="1" s="1"/>
  <c r="R362" i="1"/>
  <c r="L362" i="1"/>
  <c r="S157" i="1"/>
  <c r="T157" i="1" s="1"/>
  <c r="O241" i="1"/>
  <c r="M240" i="1"/>
  <c r="Q281" i="1"/>
  <c r="N281" i="1" s="1"/>
  <c r="O73" i="1"/>
  <c r="M72" i="1"/>
  <c r="R322" i="1"/>
  <c r="P322" i="1"/>
  <c r="Q322" i="1" s="1"/>
  <c r="N322" i="1" s="1"/>
  <c r="L322" i="1"/>
  <c r="Q72" i="1"/>
  <c r="N72" i="1" s="1"/>
  <c r="S72" i="1"/>
  <c r="T72" i="1" s="1"/>
  <c r="S403" i="1"/>
  <c r="T403" i="1" s="1"/>
  <c r="R485" i="1"/>
  <c r="P485" i="1"/>
  <c r="Q485" i="1" s="1"/>
  <c r="N485" i="1" s="1"/>
  <c r="L485" i="1"/>
  <c r="S524" i="1"/>
  <c r="T524" i="1" s="1"/>
  <c r="M524" i="1"/>
  <c r="O525" i="1"/>
  <c r="S281" i="1"/>
  <c r="T281" i="1" s="1"/>
  <c r="Q157" i="1"/>
  <c r="N157" i="1" s="1"/>
  <c r="O404" i="1"/>
  <c r="M403" i="1"/>
  <c r="Q524" i="1"/>
  <c r="N524" i="1" s="1"/>
  <c r="O1119" i="1" l="1"/>
  <c r="S1118" i="1"/>
  <c r="Q1118" i="1"/>
  <c r="S362" i="1"/>
  <c r="T362" i="1"/>
  <c r="O363" i="1"/>
  <c r="M362" i="1"/>
  <c r="O200" i="1"/>
  <c r="M199" i="1"/>
  <c r="R73" i="1"/>
  <c r="L73" i="1"/>
  <c r="P73" i="1"/>
  <c r="S199" i="1"/>
  <c r="T199" i="1" s="1"/>
  <c r="R241" i="1"/>
  <c r="P241" i="1"/>
  <c r="L241" i="1"/>
  <c r="S444" i="1"/>
  <c r="T444" i="1" s="1"/>
  <c r="L525" i="1"/>
  <c r="R525" i="1"/>
  <c r="P525" i="1"/>
  <c r="O115" i="1"/>
  <c r="M114" i="1"/>
  <c r="P158" i="1"/>
  <c r="Q158" i="1" s="1"/>
  <c r="N158" i="1" s="1"/>
  <c r="L158" i="1"/>
  <c r="R158" i="1"/>
  <c r="S485" i="1"/>
  <c r="T485" i="1" s="1"/>
  <c r="M444" i="1"/>
  <c r="O445" i="1"/>
  <c r="O323" i="1"/>
  <c r="M322" i="1"/>
  <c r="S322" i="1"/>
  <c r="T322" i="1"/>
  <c r="M485" i="1"/>
  <c r="O486" i="1"/>
  <c r="Q199" i="1"/>
  <c r="N199" i="1" s="1"/>
  <c r="R404" i="1"/>
  <c r="P404" i="1"/>
  <c r="Q404" i="1" s="1"/>
  <c r="N404" i="1" s="1"/>
  <c r="L404" i="1"/>
  <c r="Q444" i="1"/>
  <c r="N444" i="1" s="1"/>
  <c r="R282" i="1"/>
  <c r="P282" i="1"/>
  <c r="Q282" i="1" s="1"/>
  <c r="N282" i="1" s="1"/>
  <c r="L282" i="1"/>
  <c r="R1119" i="1" l="1"/>
  <c r="P1119" i="1"/>
  <c r="S525" i="1"/>
  <c r="T525" i="1" s="1"/>
  <c r="S158" i="1"/>
  <c r="T158" i="1" s="1"/>
  <c r="O242" i="1"/>
  <c r="M241" i="1"/>
  <c r="L363" i="1"/>
  <c r="P363" i="1"/>
  <c r="R363" i="1"/>
  <c r="M73" i="1"/>
  <c r="O74" i="1"/>
  <c r="P323" i="1"/>
  <c r="L323" i="1"/>
  <c r="R323" i="1"/>
  <c r="S73" i="1"/>
  <c r="T73" i="1" s="1"/>
  <c r="R200" i="1"/>
  <c r="P200" i="1"/>
  <c r="L200" i="1"/>
  <c r="S404" i="1"/>
  <c r="T404" i="1"/>
  <c r="P486" i="1"/>
  <c r="R486" i="1"/>
  <c r="L486" i="1"/>
  <c r="Q241" i="1"/>
  <c r="N241" i="1" s="1"/>
  <c r="O283" i="1"/>
  <c r="M282" i="1"/>
  <c r="P115" i="1"/>
  <c r="Q115" i="1" s="1"/>
  <c r="N115" i="1" s="1"/>
  <c r="L115" i="1"/>
  <c r="M525" i="1"/>
  <c r="O526" i="1"/>
  <c r="S282" i="1"/>
  <c r="T282" i="1" s="1"/>
  <c r="Q525" i="1"/>
  <c r="N525" i="1" s="1"/>
  <c r="P445" i="1"/>
  <c r="Q445" i="1" s="1"/>
  <c r="N445" i="1" s="1"/>
  <c r="R445" i="1"/>
  <c r="L445" i="1"/>
  <c r="Q73" i="1"/>
  <c r="N73" i="1" s="1"/>
  <c r="O405" i="1"/>
  <c r="M404" i="1"/>
  <c r="M158" i="1"/>
  <c r="O159" i="1"/>
  <c r="S241" i="1"/>
  <c r="T241" i="1" s="1"/>
  <c r="O1120" i="1" l="1"/>
  <c r="S1119" i="1"/>
  <c r="Q1119" i="1"/>
  <c r="S200" i="1"/>
  <c r="T200" i="1" s="1"/>
  <c r="R242" i="1"/>
  <c r="P242" i="1"/>
  <c r="L242" i="1"/>
  <c r="O201" i="1"/>
  <c r="M200" i="1"/>
  <c r="S323" i="1"/>
  <c r="T323" i="1" s="1"/>
  <c r="R526" i="1"/>
  <c r="L526" i="1"/>
  <c r="P526" i="1"/>
  <c r="Q526" i="1"/>
  <c r="N526" i="1" s="1"/>
  <c r="S363" i="1"/>
  <c r="T363" i="1" s="1"/>
  <c r="Q200" i="1"/>
  <c r="N200" i="1" s="1"/>
  <c r="R283" i="1"/>
  <c r="P283" i="1"/>
  <c r="L283" i="1"/>
  <c r="S445" i="1"/>
  <c r="T445" i="1" s="1"/>
  <c r="S486" i="1"/>
  <c r="T486" i="1" s="1"/>
  <c r="R74" i="1"/>
  <c r="P74" i="1"/>
  <c r="L74" i="1"/>
  <c r="O364" i="1"/>
  <c r="M363" i="1"/>
  <c r="O116" i="1"/>
  <c r="M115" i="1"/>
  <c r="O446" i="1"/>
  <c r="M445" i="1"/>
  <c r="M486" i="1"/>
  <c r="O487" i="1"/>
  <c r="O324" i="1"/>
  <c r="M323" i="1"/>
  <c r="R159" i="1"/>
  <c r="L159" i="1"/>
  <c r="P159" i="1"/>
  <c r="P405" i="1"/>
  <c r="Q405" i="1" s="1"/>
  <c r="N405" i="1" s="1"/>
  <c r="L405" i="1"/>
  <c r="R405" i="1"/>
  <c r="Q363" i="1"/>
  <c r="N363" i="1" s="1"/>
  <c r="Q486" i="1"/>
  <c r="N486" i="1" s="1"/>
  <c r="Q323" i="1"/>
  <c r="N323" i="1" s="1"/>
  <c r="P1120" i="1" l="1"/>
  <c r="S1120" i="1" s="1"/>
  <c r="R1120" i="1"/>
  <c r="O160" i="1"/>
  <c r="M159" i="1"/>
  <c r="Q159" i="1"/>
  <c r="N159" i="1" s="1"/>
  <c r="S405" i="1"/>
  <c r="T405" i="1" s="1"/>
  <c r="S526" i="1"/>
  <c r="T526" i="1" s="1"/>
  <c r="P446" i="1"/>
  <c r="Q446" i="1" s="1"/>
  <c r="N446" i="1" s="1"/>
  <c r="L446" i="1"/>
  <c r="R446" i="1"/>
  <c r="O284" i="1"/>
  <c r="M283" i="1"/>
  <c r="P201" i="1"/>
  <c r="Q201" i="1" s="1"/>
  <c r="N201" i="1" s="1"/>
  <c r="L201" i="1"/>
  <c r="R201" i="1"/>
  <c r="L364" i="1"/>
  <c r="R364" i="1"/>
  <c r="P364" i="1"/>
  <c r="Q364" i="1" s="1"/>
  <c r="N364" i="1" s="1"/>
  <c r="O406" i="1"/>
  <c r="M405" i="1"/>
  <c r="L116" i="1"/>
  <c r="P116" i="1"/>
  <c r="Q283" i="1"/>
  <c r="N283" i="1" s="1"/>
  <c r="S283" i="1"/>
  <c r="T283" i="1" s="1"/>
  <c r="M242" i="1"/>
  <c r="O243" i="1"/>
  <c r="S159" i="1"/>
  <c r="T159" i="1"/>
  <c r="M74" i="1"/>
  <c r="O75" i="1"/>
  <c r="Q242" i="1"/>
  <c r="N242" i="1" s="1"/>
  <c r="Q74" i="1"/>
  <c r="N74" i="1" s="1"/>
  <c r="S242" i="1"/>
  <c r="T242" i="1" s="1"/>
  <c r="R324" i="1"/>
  <c r="L324" i="1"/>
  <c r="P324" i="1"/>
  <c r="S74" i="1"/>
  <c r="T74" i="1" s="1"/>
  <c r="L487" i="1"/>
  <c r="R487" i="1"/>
  <c r="P487" i="1"/>
  <c r="Q487" i="1" s="1"/>
  <c r="N487" i="1" s="1"/>
  <c r="O527" i="1"/>
  <c r="M526" i="1"/>
  <c r="Q1120" i="1" l="1"/>
  <c r="R243" i="1"/>
  <c r="P243" i="1"/>
  <c r="L243" i="1"/>
  <c r="R284" i="1"/>
  <c r="P284" i="1"/>
  <c r="L284" i="1"/>
  <c r="R75" i="1"/>
  <c r="P75" i="1"/>
  <c r="Q75" i="1" s="1"/>
  <c r="N75" i="1" s="1"/>
  <c r="L75" i="1"/>
  <c r="R406" i="1"/>
  <c r="P406" i="1"/>
  <c r="L406" i="1"/>
  <c r="M446" i="1"/>
  <c r="O447" i="1"/>
  <c r="M324" i="1"/>
  <c r="O325" i="1"/>
  <c r="P527" i="1"/>
  <c r="R527" i="1"/>
  <c r="Q527" i="1"/>
  <c r="N527" i="1" s="1"/>
  <c r="L527" i="1"/>
  <c r="S487" i="1"/>
  <c r="T487" i="1" s="1"/>
  <c r="S446" i="1"/>
  <c r="T446" i="1" s="1"/>
  <c r="O365" i="1"/>
  <c r="M364" i="1"/>
  <c r="S364" i="1"/>
  <c r="T364" i="1" s="1"/>
  <c r="Q324" i="1"/>
  <c r="N324" i="1" s="1"/>
  <c r="S201" i="1"/>
  <c r="T201" i="1" s="1"/>
  <c r="S324" i="1"/>
  <c r="T324" i="1" s="1"/>
  <c r="O117" i="1"/>
  <c r="M116" i="1"/>
  <c r="M201" i="1"/>
  <c r="O202" i="1"/>
  <c r="M487" i="1"/>
  <c r="O488" i="1"/>
  <c r="Q116" i="1"/>
  <c r="N116" i="1" s="1"/>
  <c r="P160" i="1"/>
  <c r="Q160" i="1" s="1"/>
  <c r="N160" i="1" s="1"/>
  <c r="L160" i="1"/>
  <c r="R160" i="1"/>
  <c r="L325" i="1" l="1"/>
  <c r="P325" i="1"/>
  <c r="R325" i="1"/>
  <c r="O285" i="1"/>
  <c r="M284" i="1"/>
  <c r="L447" i="1"/>
  <c r="P447" i="1"/>
  <c r="R447" i="1"/>
  <c r="Q447" i="1"/>
  <c r="N447" i="1" s="1"/>
  <c r="P365" i="1"/>
  <c r="Q365" i="1" s="1"/>
  <c r="N365" i="1" s="1"/>
  <c r="L365" i="1"/>
  <c r="R365" i="1"/>
  <c r="O407" i="1"/>
  <c r="M406" i="1"/>
  <c r="O244" i="1"/>
  <c r="M243" i="1"/>
  <c r="S75" i="1"/>
  <c r="T75" i="1" s="1"/>
  <c r="Q284" i="1"/>
  <c r="N284" i="1" s="1"/>
  <c r="L202" i="1"/>
  <c r="R202" i="1"/>
  <c r="P202" i="1"/>
  <c r="S284" i="1"/>
  <c r="T284" i="1"/>
  <c r="P117" i="1"/>
  <c r="Q117" i="1" s="1"/>
  <c r="N117" i="1" s="1"/>
  <c r="L117" i="1"/>
  <c r="Q406" i="1"/>
  <c r="N406" i="1" s="1"/>
  <c r="Q243" i="1"/>
  <c r="N243" i="1" s="1"/>
  <c r="S160" i="1"/>
  <c r="T160" i="1" s="1"/>
  <c r="M75" i="1"/>
  <c r="O76" i="1"/>
  <c r="S527" i="1"/>
  <c r="T527" i="1" s="1"/>
  <c r="M160" i="1"/>
  <c r="O161" i="1"/>
  <c r="O528" i="1"/>
  <c r="M527" i="1"/>
  <c r="L488" i="1"/>
  <c r="R488" i="1"/>
  <c r="P488" i="1"/>
  <c r="Q488" i="1" s="1"/>
  <c r="N488" i="1" s="1"/>
  <c r="S406" i="1"/>
  <c r="T406" i="1" s="1"/>
  <c r="S243" i="1"/>
  <c r="T243" i="1" s="1"/>
  <c r="O366" i="1" l="1"/>
  <c r="M365" i="1"/>
  <c r="L76" i="1"/>
  <c r="P76" i="1"/>
  <c r="Q76" i="1" s="1"/>
  <c r="N76" i="1" s="1"/>
  <c r="R76" i="1"/>
  <c r="S447" i="1"/>
  <c r="T447" i="1"/>
  <c r="S488" i="1"/>
  <c r="T488" i="1" s="1"/>
  <c r="L528" i="1"/>
  <c r="P528" i="1"/>
  <c r="Q528" i="1" s="1"/>
  <c r="N528" i="1" s="1"/>
  <c r="R528" i="1"/>
  <c r="R244" i="1"/>
  <c r="P244" i="1"/>
  <c r="L244" i="1"/>
  <c r="M202" i="1"/>
  <c r="O203" i="1"/>
  <c r="S202" i="1"/>
  <c r="T202" i="1" s="1"/>
  <c r="M488" i="1"/>
  <c r="O489" i="1"/>
  <c r="M447" i="1"/>
  <c r="O448" i="1"/>
  <c r="R285" i="1"/>
  <c r="P285" i="1"/>
  <c r="L285" i="1"/>
  <c r="L161" i="1"/>
  <c r="R161" i="1"/>
  <c r="P161" i="1"/>
  <c r="O118" i="1"/>
  <c r="M117" i="1"/>
  <c r="S325" i="1"/>
  <c r="T325" i="1" s="1"/>
  <c r="P407" i="1"/>
  <c r="Q407" i="1" s="1"/>
  <c r="N407" i="1" s="1"/>
  <c r="L407" i="1"/>
  <c r="R407" i="1"/>
  <c r="O326" i="1"/>
  <c r="M325" i="1"/>
  <c r="S365" i="1"/>
  <c r="T365" i="1" s="1"/>
  <c r="Q325" i="1"/>
  <c r="N325" i="1" s="1"/>
  <c r="Q202" i="1"/>
  <c r="N202" i="1" s="1"/>
  <c r="P489" i="1" l="1"/>
  <c r="L489" i="1"/>
  <c r="R489" i="1"/>
  <c r="P118" i="1"/>
  <c r="L118" i="1"/>
  <c r="Q118" i="1"/>
  <c r="N118" i="1" s="1"/>
  <c r="M161" i="1"/>
  <c r="O162" i="1"/>
  <c r="R326" i="1"/>
  <c r="P326" i="1"/>
  <c r="Q326" i="1" s="1"/>
  <c r="N326" i="1" s="1"/>
  <c r="L326" i="1"/>
  <c r="S407" i="1"/>
  <c r="T407" i="1" s="1"/>
  <c r="S76" i="1"/>
  <c r="T76" i="1" s="1"/>
  <c r="O245" i="1"/>
  <c r="M244" i="1"/>
  <c r="S285" i="1"/>
  <c r="T285" i="1" s="1"/>
  <c r="S244" i="1"/>
  <c r="T244" i="1" s="1"/>
  <c r="S161" i="1"/>
  <c r="T161" i="1" s="1"/>
  <c r="O286" i="1"/>
  <c r="M285" i="1"/>
  <c r="Q285" i="1"/>
  <c r="N285" i="1" s="1"/>
  <c r="L448" i="1"/>
  <c r="R448" i="1"/>
  <c r="P448" i="1"/>
  <c r="S528" i="1"/>
  <c r="T528" i="1" s="1"/>
  <c r="Q161" i="1"/>
  <c r="N161" i="1" s="1"/>
  <c r="R203" i="1"/>
  <c r="P203" i="1"/>
  <c r="L203" i="1"/>
  <c r="M76" i="1"/>
  <c r="O77" i="1"/>
  <c r="O408" i="1"/>
  <c r="M407" i="1"/>
  <c r="Q244" i="1"/>
  <c r="N244" i="1" s="1"/>
  <c r="O529" i="1"/>
  <c r="M528" i="1"/>
  <c r="L366" i="1"/>
  <c r="P366" i="1"/>
  <c r="Q366" i="1" s="1"/>
  <c r="N366" i="1" s="1"/>
  <c r="R366" i="1"/>
  <c r="S203" i="1" l="1"/>
  <c r="T203" i="1" s="1"/>
  <c r="R529" i="1"/>
  <c r="P529" i="1"/>
  <c r="Q529" i="1" s="1"/>
  <c r="N529" i="1" s="1"/>
  <c r="L529" i="1"/>
  <c r="R162" i="1"/>
  <c r="L162" i="1"/>
  <c r="P162" i="1"/>
  <c r="O449" i="1"/>
  <c r="M448" i="1"/>
  <c r="R245" i="1"/>
  <c r="P245" i="1"/>
  <c r="L245" i="1"/>
  <c r="O119" i="1"/>
  <c r="M118" i="1"/>
  <c r="S448" i="1"/>
  <c r="T448" i="1" s="1"/>
  <c r="L408" i="1"/>
  <c r="R408" i="1"/>
  <c r="P408" i="1"/>
  <c r="Q448" i="1"/>
  <c r="N448" i="1" s="1"/>
  <c r="S366" i="1"/>
  <c r="T366" i="1" s="1"/>
  <c r="O204" i="1"/>
  <c r="M203" i="1"/>
  <c r="R286" i="1"/>
  <c r="P286" i="1"/>
  <c r="L286" i="1"/>
  <c r="O490" i="1"/>
  <c r="M489" i="1"/>
  <c r="O327" i="1"/>
  <c r="M326" i="1"/>
  <c r="S326" i="1"/>
  <c r="T326" i="1"/>
  <c r="R77" i="1"/>
  <c r="P77" i="1"/>
  <c r="L77" i="1"/>
  <c r="S489" i="1"/>
  <c r="T489" i="1" s="1"/>
  <c r="O367" i="1"/>
  <c r="M366" i="1"/>
  <c r="Q203" i="1"/>
  <c r="N203" i="1" s="1"/>
  <c r="Q489" i="1"/>
  <c r="N489" i="1" s="1"/>
  <c r="M408" i="1" l="1"/>
  <c r="O409" i="1"/>
  <c r="Q408" i="1"/>
  <c r="N408" i="1" s="1"/>
  <c r="O163" i="1"/>
  <c r="M162" i="1"/>
  <c r="P204" i="1"/>
  <c r="L204" i="1"/>
  <c r="R204" i="1"/>
  <c r="Q204" i="1"/>
  <c r="N204" i="1" s="1"/>
  <c r="L490" i="1"/>
  <c r="P490" i="1"/>
  <c r="R490" i="1"/>
  <c r="O287" i="1"/>
  <c r="M286" i="1"/>
  <c r="L119" i="1"/>
  <c r="P119" i="1"/>
  <c r="M245" i="1"/>
  <c r="O246" i="1"/>
  <c r="S529" i="1"/>
  <c r="T529" i="1" s="1"/>
  <c r="R327" i="1"/>
  <c r="P327" i="1"/>
  <c r="L327" i="1"/>
  <c r="P449" i="1"/>
  <c r="R449" i="1"/>
  <c r="L449" i="1"/>
  <c r="P367" i="1"/>
  <c r="Q367" i="1" s="1"/>
  <c r="N367" i="1" s="1"/>
  <c r="R367" i="1"/>
  <c r="L367" i="1"/>
  <c r="Q162" i="1"/>
  <c r="N162" i="1" s="1"/>
  <c r="S162" i="1"/>
  <c r="T162" i="1" s="1"/>
  <c r="S286" i="1"/>
  <c r="T286" i="1" s="1"/>
  <c r="S77" i="1"/>
  <c r="T77" i="1"/>
  <c r="Q245" i="1"/>
  <c r="N245" i="1" s="1"/>
  <c r="S408" i="1"/>
  <c r="T408" i="1" s="1"/>
  <c r="Q286" i="1"/>
  <c r="N286" i="1" s="1"/>
  <c r="M77" i="1"/>
  <c r="O78" i="1"/>
  <c r="Q77" i="1"/>
  <c r="N77" i="1" s="1"/>
  <c r="O530" i="1"/>
  <c r="M529" i="1"/>
  <c r="S245" i="1"/>
  <c r="T245" i="1" s="1"/>
  <c r="S490" i="1" l="1"/>
  <c r="T490" i="1" s="1"/>
  <c r="S327" i="1"/>
  <c r="T327" i="1" s="1"/>
  <c r="M204" i="1"/>
  <c r="O205" i="1"/>
  <c r="M490" i="1"/>
  <c r="O491" i="1"/>
  <c r="R78" i="1"/>
  <c r="P78" i="1"/>
  <c r="L78" i="1"/>
  <c r="Q78" i="1"/>
  <c r="N78" i="1" s="1"/>
  <c r="S367" i="1"/>
  <c r="T367" i="1" s="1"/>
  <c r="M449" i="1"/>
  <c r="O450" i="1"/>
  <c r="L163" i="1"/>
  <c r="P163" i="1"/>
  <c r="R163" i="1"/>
  <c r="Q163" i="1"/>
  <c r="N163" i="1" s="1"/>
  <c r="R246" i="1"/>
  <c r="P246" i="1"/>
  <c r="L246" i="1"/>
  <c r="O120" i="1"/>
  <c r="M119" i="1"/>
  <c r="Q449" i="1"/>
  <c r="N449" i="1" s="1"/>
  <c r="O328" i="1"/>
  <c r="M327" i="1"/>
  <c r="S204" i="1"/>
  <c r="T204" i="1" s="1"/>
  <c r="S449" i="1"/>
  <c r="T449" i="1" s="1"/>
  <c r="Q119" i="1"/>
  <c r="N119" i="1" s="1"/>
  <c r="R287" i="1"/>
  <c r="P287" i="1"/>
  <c r="Q287" i="1" s="1"/>
  <c r="N287" i="1" s="1"/>
  <c r="L287" i="1"/>
  <c r="R409" i="1"/>
  <c r="L409" i="1"/>
  <c r="P409" i="1"/>
  <c r="Q409" i="1" s="1"/>
  <c r="N409" i="1" s="1"/>
  <c r="O368" i="1"/>
  <c r="M367" i="1"/>
  <c r="P530" i="1"/>
  <c r="Q530" i="1" s="1"/>
  <c r="N530" i="1" s="1"/>
  <c r="R530" i="1"/>
  <c r="L530" i="1"/>
  <c r="Q327" i="1"/>
  <c r="N327" i="1" s="1"/>
  <c r="Q490" i="1"/>
  <c r="N490" i="1" s="1"/>
  <c r="O247" i="1" l="1"/>
  <c r="M246" i="1"/>
  <c r="Q246" i="1"/>
  <c r="N246" i="1" s="1"/>
  <c r="S246" i="1"/>
  <c r="T246" i="1" s="1"/>
  <c r="R491" i="1"/>
  <c r="P491" i="1"/>
  <c r="L491" i="1"/>
  <c r="M163" i="1"/>
  <c r="O164" i="1"/>
  <c r="S287" i="1"/>
  <c r="T287" i="1" s="1"/>
  <c r="M530" i="1"/>
  <c r="O531" i="1"/>
  <c r="S78" i="1"/>
  <c r="T78" i="1" s="1"/>
  <c r="R328" i="1"/>
  <c r="P328" i="1"/>
  <c r="Q328" i="1"/>
  <c r="N328" i="1" s="1"/>
  <c r="L328" i="1"/>
  <c r="S530" i="1"/>
  <c r="T530" i="1" s="1"/>
  <c r="O79" i="1"/>
  <c r="M78" i="1"/>
  <c r="P368" i="1"/>
  <c r="R368" i="1"/>
  <c r="Q368" i="1"/>
  <c r="N368" i="1" s="1"/>
  <c r="L368" i="1"/>
  <c r="S163" i="1"/>
  <c r="T163" i="1" s="1"/>
  <c r="M409" i="1"/>
  <c r="O410" i="1"/>
  <c r="L205" i="1"/>
  <c r="R205" i="1"/>
  <c r="P205" i="1"/>
  <c r="Q205" i="1" s="1"/>
  <c r="N205" i="1" s="1"/>
  <c r="L450" i="1"/>
  <c r="R450" i="1"/>
  <c r="P450" i="1"/>
  <c r="S409" i="1"/>
  <c r="T409" i="1" s="1"/>
  <c r="O288" i="1"/>
  <c r="M287" i="1"/>
  <c r="P120" i="1"/>
  <c r="Q120" i="1" s="1"/>
  <c r="N120" i="1" s="1"/>
  <c r="L120" i="1"/>
  <c r="R79" i="1" l="1"/>
  <c r="P79" i="1"/>
  <c r="L79" i="1"/>
  <c r="S328" i="1"/>
  <c r="T328" i="1"/>
  <c r="S491" i="1"/>
  <c r="T491" i="1"/>
  <c r="L164" i="1"/>
  <c r="R164" i="1"/>
  <c r="P164" i="1"/>
  <c r="M328" i="1"/>
  <c r="O329" i="1"/>
  <c r="M491" i="1"/>
  <c r="O492" i="1"/>
  <c r="M450" i="1"/>
  <c r="O451" i="1"/>
  <c r="Q450" i="1"/>
  <c r="N450" i="1" s="1"/>
  <c r="S368" i="1"/>
  <c r="T368" i="1" s="1"/>
  <c r="L531" i="1"/>
  <c r="R531" i="1"/>
  <c r="P531" i="1"/>
  <c r="M531" i="1" s="1"/>
  <c r="S205" i="1"/>
  <c r="T205" i="1" s="1"/>
  <c r="R410" i="1"/>
  <c r="L410" i="1"/>
  <c r="P410" i="1"/>
  <c r="R288" i="1"/>
  <c r="P288" i="1"/>
  <c r="L288" i="1"/>
  <c r="S450" i="1"/>
  <c r="T450" i="1" s="1"/>
  <c r="O369" i="1"/>
  <c r="M368" i="1"/>
  <c r="O121" i="1"/>
  <c r="M120" i="1"/>
  <c r="Q491" i="1"/>
  <c r="N491" i="1" s="1"/>
  <c r="O206" i="1"/>
  <c r="M205" i="1"/>
  <c r="R247" i="1"/>
  <c r="P247" i="1"/>
  <c r="L247" i="1"/>
  <c r="Q531" i="1" l="1"/>
  <c r="N531" i="1" s="1"/>
  <c r="M164" i="1"/>
  <c r="O165" i="1"/>
  <c r="S531" i="1"/>
  <c r="T531" i="1" s="1"/>
  <c r="O411" i="1"/>
  <c r="M410" i="1"/>
  <c r="O80" i="1"/>
  <c r="M79" i="1"/>
  <c r="O248" i="1"/>
  <c r="M247" i="1"/>
  <c r="Q164" i="1"/>
  <c r="N164" i="1" s="1"/>
  <c r="T164" i="1"/>
  <c r="S164" i="1"/>
  <c r="S288" i="1"/>
  <c r="T288" i="1" s="1"/>
  <c r="R206" i="1"/>
  <c r="P206" i="1"/>
  <c r="L206" i="1"/>
  <c r="Q410" i="1"/>
  <c r="N410" i="1" s="1"/>
  <c r="S410" i="1"/>
  <c r="T410" i="1"/>
  <c r="L369" i="1"/>
  <c r="R369" i="1"/>
  <c r="P369" i="1"/>
  <c r="P329" i="1"/>
  <c r="L329" i="1"/>
  <c r="R329" i="1"/>
  <c r="S79" i="1"/>
  <c r="T79" i="1" s="1"/>
  <c r="Q247" i="1"/>
  <c r="N247" i="1" s="1"/>
  <c r="O289" i="1"/>
  <c r="M288" i="1"/>
  <c r="S247" i="1"/>
  <c r="T247" i="1" s="1"/>
  <c r="Q288" i="1"/>
  <c r="N288" i="1" s="1"/>
  <c r="L451" i="1"/>
  <c r="R451" i="1"/>
  <c r="P451" i="1"/>
  <c r="Q451" i="1" s="1"/>
  <c r="N451" i="1" s="1"/>
  <c r="P121" i="1"/>
  <c r="Q121" i="1" s="1"/>
  <c r="N121" i="1" s="1"/>
  <c r="L121" i="1"/>
  <c r="L492" i="1"/>
  <c r="R492" i="1"/>
  <c r="P492" i="1"/>
  <c r="Q492" i="1" s="1"/>
  <c r="N492" i="1" s="1"/>
  <c r="Q79" i="1"/>
  <c r="N79" i="1" s="1"/>
  <c r="S492" i="1" l="1"/>
  <c r="T492" i="1"/>
  <c r="R248" i="1"/>
  <c r="P248" i="1"/>
  <c r="L248" i="1"/>
  <c r="M329" i="1"/>
  <c r="O330" i="1"/>
  <c r="S369" i="1"/>
  <c r="T369" i="1" s="1"/>
  <c r="R289" i="1"/>
  <c r="P289" i="1"/>
  <c r="Q289" i="1" s="1"/>
  <c r="N289" i="1" s="1"/>
  <c r="L289" i="1"/>
  <c r="P80" i="1"/>
  <c r="Q80" i="1" s="1"/>
  <c r="N80" i="1" s="1"/>
  <c r="L80" i="1"/>
  <c r="R80" i="1"/>
  <c r="S329" i="1"/>
  <c r="T329" i="1" s="1"/>
  <c r="P411" i="1"/>
  <c r="Q411" i="1" s="1"/>
  <c r="N411" i="1" s="1"/>
  <c r="R411" i="1"/>
  <c r="L411" i="1"/>
  <c r="Q329" i="1"/>
  <c r="N329" i="1" s="1"/>
  <c r="O207" i="1"/>
  <c r="M206" i="1"/>
  <c r="S451" i="1"/>
  <c r="T451" i="1" s="1"/>
  <c r="M369" i="1"/>
  <c r="O370" i="1"/>
  <c r="R165" i="1"/>
  <c r="L165" i="1"/>
  <c r="P165" i="1"/>
  <c r="O122" i="1"/>
  <c r="M121" i="1"/>
  <c r="O452" i="1"/>
  <c r="M451" i="1"/>
  <c r="Q206" i="1"/>
  <c r="N206" i="1" s="1"/>
  <c r="S206" i="1"/>
  <c r="T206" i="1" s="1"/>
  <c r="M492" i="1"/>
  <c r="O493" i="1"/>
  <c r="Q369" i="1"/>
  <c r="N369" i="1" s="1"/>
  <c r="L122" i="1" l="1"/>
  <c r="P122" i="1"/>
  <c r="S289" i="1"/>
  <c r="T289" i="1" s="1"/>
  <c r="S165" i="1"/>
  <c r="T165" i="1" s="1"/>
  <c r="S80" i="1"/>
  <c r="T80" i="1" s="1"/>
  <c r="M80" i="1"/>
  <c r="O81" i="1"/>
  <c r="S248" i="1"/>
  <c r="T248" i="1" s="1"/>
  <c r="S411" i="1"/>
  <c r="T411" i="1" s="1"/>
  <c r="M248" i="1"/>
  <c r="O249" i="1"/>
  <c r="P452" i="1"/>
  <c r="L452" i="1"/>
  <c r="R452" i="1"/>
  <c r="P207" i="1"/>
  <c r="L207" i="1"/>
  <c r="R207" i="1"/>
  <c r="O166" i="1"/>
  <c r="M165" i="1"/>
  <c r="O412" i="1"/>
  <c r="M411" i="1"/>
  <c r="Q165" i="1"/>
  <c r="N165" i="1" s="1"/>
  <c r="R493" i="1"/>
  <c r="L493" i="1"/>
  <c r="P493" i="1"/>
  <c r="Q493" i="1" s="1"/>
  <c r="N493" i="1" s="1"/>
  <c r="R330" i="1"/>
  <c r="P330" i="1"/>
  <c r="L330" i="1"/>
  <c r="R370" i="1"/>
  <c r="P370" i="1"/>
  <c r="L370" i="1"/>
  <c r="Q248" i="1"/>
  <c r="N248" i="1" s="1"/>
  <c r="O290" i="1"/>
  <c r="M289" i="1"/>
  <c r="Q330" i="1" l="1"/>
  <c r="N330" i="1" s="1"/>
  <c r="O331" i="1"/>
  <c r="P331" i="1" s="1"/>
  <c r="S330" i="1"/>
  <c r="T330" i="1" s="1"/>
  <c r="R290" i="1"/>
  <c r="P290" i="1"/>
  <c r="Q290" i="1" s="1"/>
  <c r="N290" i="1" s="1"/>
  <c r="L290" i="1"/>
  <c r="M207" i="1"/>
  <c r="O208" i="1"/>
  <c r="S493" i="1"/>
  <c r="T493" i="1" s="1"/>
  <c r="O453" i="1"/>
  <c r="M452" i="1"/>
  <c r="S207" i="1"/>
  <c r="T207" i="1" s="1"/>
  <c r="O494" i="1"/>
  <c r="M493" i="1"/>
  <c r="S452" i="1"/>
  <c r="T452" i="1" s="1"/>
  <c r="Q452" i="1"/>
  <c r="N452" i="1" s="1"/>
  <c r="O371" i="1"/>
  <c r="M370" i="1"/>
  <c r="R249" i="1"/>
  <c r="P249" i="1"/>
  <c r="L249" i="1"/>
  <c r="Q370" i="1"/>
  <c r="N370" i="1" s="1"/>
  <c r="R412" i="1"/>
  <c r="P412" i="1"/>
  <c r="Q412" i="1" s="1"/>
  <c r="N412" i="1" s="1"/>
  <c r="L412" i="1"/>
  <c r="S370" i="1"/>
  <c r="T370" i="1" s="1"/>
  <c r="O123" i="1"/>
  <c r="M122" i="1"/>
  <c r="L81" i="1"/>
  <c r="P81" i="1"/>
  <c r="Q81" i="1" s="1"/>
  <c r="N81" i="1" s="1"/>
  <c r="R81" i="1"/>
  <c r="L166" i="1"/>
  <c r="P166" i="1"/>
  <c r="Q166" i="1" s="1"/>
  <c r="N166" i="1" s="1"/>
  <c r="R166" i="1"/>
  <c r="Q122" i="1"/>
  <c r="N122" i="1" s="1"/>
  <c r="M330" i="1"/>
  <c r="Q207" i="1"/>
  <c r="N207" i="1" s="1"/>
  <c r="O250" i="1" l="1"/>
  <c r="M249" i="1"/>
  <c r="P123" i="1"/>
  <c r="L123" i="1"/>
  <c r="P371" i="1"/>
  <c r="R371" i="1"/>
  <c r="Q371" i="1"/>
  <c r="N371" i="1" s="1"/>
  <c r="L371" i="1"/>
  <c r="L208" i="1"/>
  <c r="R208" i="1"/>
  <c r="P208" i="1"/>
  <c r="Q208" i="1" s="1"/>
  <c r="N208" i="1" s="1"/>
  <c r="L453" i="1"/>
  <c r="R453" i="1"/>
  <c r="P453" i="1"/>
  <c r="L331" i="1"/>
  <c r="R331" i="1"/>
  <c r="Q249" i="1"/>
  <c r="N249" i="1" s="1"/>
  <c r="S166" i="1"/>
  <c r="T166" i="1" s="1"/>
  <c r="O413" i="1"/>
  <c r="M412" i="1"/>
  <c r="O291" i="1"/>
  <c r="M290" i="1"/>
  <c r="M166" i="1"/>
  <c r="O167" i="1"/>
  <c r="S412" i="1"/>
  <c r="T412" i="1"/>
  <c r="R494" i="1"/>
  <c r="P494" i="1"/>
  <c r="M494" i="1" s="1"/>
  <c r="L494" i="1"/>
  <c r="S290" i="1"/>
  <c r="T290" i="1"/>
  <c r="S81" i="1"/>
  <c r="T81" i="1" s="1"/>
  <c r="S249" i="1"/>
  <c r="T249" i="1" s="1"/>
  <c r="M81" i="1"/>
  <c r="O82" i="1"/>
  <c r="S208" i="1" l="1"/>
  <c r="T208" i="1" s="1"/>
  <c r="O332" i="1"/>
  <c r="M331" i="1"/>
  <c r="S331" i="1"/>
  <c r="T331" i="1" s="1"/>
  <c r="S371" i="1"/>
  <c r="T371" i="1" s="1"/>
  <c r="L167" i="1"/>
  <c r="P167" i="1"/>
  <c r="R167" i="1"/>
  <c r="O372" i="1"/>
  <c r="M371" i="1"/>
  <c r="M453" i="1"/>
  <c r="O454" i="1"/>
  <c r="O124" i="1"/>
  <c r="M123" i="1"/>
  <c r="Q494" i="1"/>
  <c r="N494" i="1" s="1"/>
  <c r="S494" i="1"/>
  <c r="T494" i="1" s="1"/>
  <c r="R82" i="1"/>
  <c r="P82" i="1"/>
  <c r="Q82" i="1" s="1"/>
  <c r="N82" i="1" s="1"/>
  <c r="L82" i="1"/>
  <c r="Q453" i="1"/>
  <c r="N453" i="1" s="1"/>
  <c r="R291" i="1"/>
  <c r="P291" i="1"/>
  <c r="Q291" i="1" s="1"/>
  <c r="N291" i="1" s="1"/>
  <c r="L291" i="1"/>
  <c r="S453" i="1"/>
  <c r="T453" i="1" s="1"/>
  <c r="Q123" i="1"/>
  <c r="N123" i="1" s="1"/>
  <c r="Q331" i="1"/>
  <c r="N331" i="1" s="1"/>
  <c r="P413" i="1"/>
  <c r="Q413" i="1" s="1"/>
  <c r="N413" i="1" s="1"/>
  <c r="L413" i="1"/>
  <c r="R413" i="1"/>
  <c r="M208" i="1"/>
  <c r="O209" i="1"/>
  <c r="R250" i="1"/>
  <c r="P250" i="1"/>
  <c r="L250" i="1"/>
  <c r="S82" i="1" l="1"/>
  <c r="T82" i="1" s="1"/>
  <c r="M167" i="1"/>
  <c r="O168" i="1"/>
  <c r="Q167" i="1"/>
  <c r="N167" i="1" s="1"/>
  <c r="O251" i="1"/>
  <c r="M250" i="1"/>
  <c r="Q250" i="1"/>
  <c r="N250" i="1" s="1"/>
  <c r="S250" i="1"/>
  <c r="T250" i="1"/>
  <c r="M291" i="1"/>
  <c r="O292" i="1"/>
  <c r="P124" i="1"/>
  <c r="Q124" i="1" s="1"/>
  <c r="N124" i="1" s="1"/>
  <c r="L124" i="1"/>
  <c r="P209" i="1"/>
  <c r="R209" i="1"/>
  <c r="Q209" i="1"/>
  <c r="N209" i="1" s="1"/>
  <c r="L209" i="1"/>
  <c r="S167" i="1"/>
  <c r="T167" i="1"/>
  <c r="L454" i="1"/>
  <c r="R454" i="1"/>
  <c r="P454" i="1"/>
  <c r="Q454" i="1" s="1"/>
  <c r="N454" i="1" s="1"/>
  <c r="S291" i="1"/>
  <c r="T291" i="1"/>
  <c r="R332" i="1"/>
  <c r="P332" i="1"/>
  <c r="M332" i="1" s="1"/>
  <c r="L332" i="1"/>
  <c r="M82" i="1"/>
  <c r="O83" i="1"/>
  <c r="S413" i="1"/>
  <c r="T413" i="1" s="1"/>
  <c r="O414" i="1"/>
  <c r="M413" i="1"/>
  <c r="L372" i="1"/>
  <c r="R372" i="1"/>
  <c r="P372" i="1"/>
  <c r="S454" i="1" l="1"/>
  <c r="T454" i="1" s="1"/>
  <c r="M372" i="1"/>
  <c r="O373" i="1"/>
  <c r="S209" i="1"/>
  <c r="T209" i="1" s="1"/>
  <c r="Q372" i="1"/>
  <c r="N372" i="1" s="1"/>
  <c r="R168" i="1"/>
  <c r="P168" i="1"/>
  <c r="Q168" i="1" s="1"/>
  <c r="N168" i="1" s="1"/>
  <c r="L168" i="1"/>
  <c r="L414" i="1"/>
  <c r="R414" i="1"/>
  <c r="P414" i="1"/>
  <c r="M414" i="1" s="1"/>
  <c r="R292" i="1"/>
  <c r="P292" i="1"/>
  <c r="M292" i="1" s="1"/>
  <c r="L292" i="1"/>
  <c r="P83" i="1"/>
  <c r="Q83" i="1" s="1"/>
  <c r="N83" i="1" s="1"/>
  <c r="L83" i="1"/>
  <c r="R83" i="1"/>
  <c r="R251" i="1"/>
  <c r="P251" i="1"/>
  <c r="M251" i="1" s="1"/>
  <c r="L251" i="1"/>
  <c r="Q332" i="1"/>
  <c r="N332" i="1" s="1"/>
  <c r="S332" i="1"/>
  <c r="T332" i="1" s="1"/>
  <c r="O210" i="1"/>
  <c r="M209" i="1"/>
  <c r="S372" i="1"/>
  <c r="T372" i="1" s="1"/>
  <c r="O455" i="1"/>
  <c r="M454" i="1"/>
  <c r="M124" i="1"/>
  <c r="O125" i="1"/>
  <c r="S251" i="1" l="1"/>
  <c r="T251" i="1"/>
  <c r="L210" i="1"/>
  <c r="R210" i="1"/>
  <c r="P210" i="1"/>
  <c r="M210" i="1" s="1"/>
  <c r="M83" i="1"/>
  <c r="O84" i="1"/>
  <c r="S168" i="1"/>
  <c r="T168" i="1" s="1"/>
  <c r="Q292" i="1"/>
  <c r="N292" i="1" s="1"/>
  <c r="S292" i="1"/>
  <c r="T292" i="1" s="1"/>
  <c r="P373" i="1"/>
  <c r="M373" i="1" s="1"/>
  <c r="L373" i="1"/>
  <c r="R373" i="1"/>
  <c r="S83" i="1"/>
  <c r="T83" i="1" s="1"/>
  <c r="P455" i="1"/>
  <c r="M455" i="1" s="1"/>
  <c r="R455" i="1"/>
  <c r="L455" i="1"/>
  <c r="O169" i="1"/>
  <c r="M168" i="1"/>
  <c r="L125" i="1"/>
  <c r="P125" i="1"/>
  <c r="Q414" i="1"/>
  <c r="N414" i="1" s="1"/>
  <c r="Q251" i="1"/>
  <c r="N251" i="1" s="1"/>
  <c r="S414" i="1"/>
  <c r="T414" i="1" s="1"/>
  <c r="Q373" i="1" l="1"/>
  <c r="N373" i="1" s="1"/>
  <c r="S455" i="1"/>
  <c r="T455" i="1" s="1"/>
  <c r="S373" i="1"/>
  <c r="T373" i="1" s="1"/>
  <c r="S210" i="1"/>
  <c r="T210" i="1" s="1"/>
  <c r="R169" i="1"/>
  <c r="P169" i="1"/>
  <c r="M169" i="1" s="1"/>
  <c r="L169" i="1"/>
  <c r="Q210" i="1"/>
  <c r="N210" i="1" s="1"/>
  <c r="O126" i="1"/>
  <c r="M125" i="1"/>
  <c r="Q125" i="1"/>
  <c r="N125" i="1" s="1"/>
  <c r="R84" i="1"/>
  <c r="P84" i="1"/>
  <c r="M84" i="1" s="1"/>
  <c r="L84" i="1"/>
  <c r="Q455" i="1"/>
  <c r="N455" i="1" s="1"/>
  <c r="Q84" i="1" l="1"/>
  <c r="N84" i="1" s="1"/>
  <c r="P126" i="1"/>
  <c r="L126" i="1"/>
  <c r="Q169" i="1"/>
  <c r="N169" i="1" s="1"/>
  <c r="S169" i="1"/>
  <c r="T169" i="1" s="1"/>
  <c r="S84" i="1"/>
  <c r="T84" i="1" s="1"/>
  <c r="O127" i="1" l="1"/>
  <c r="M126" i="1"/>
  <c r="Q126" i="1"/>
  <c r="N126" i="1" s="1"/>
  <c r="P127" i="1" l="1"/>
  <c r="M127" i="1" s="1"/>
  <c r="L127" i="1"/>
  <c r="Q127" i="1"/>
  <c r="N127" i="1" s="1"/>
</calcChain>
</file>

<file path=xl/sharedStrings.xml><?xml version="1.0" encoding="utf-8"?>
<sst xmlns="http://schemas.openxmlformats.org/spreadsheetml/2006/main" count="4551" uniqueCount="493">
  <si>
    <t>Location</t>
  </si>
  <si>
    <t>Site</t>
  </si>
  <si>
    <t>Site_Section</t>
  </si>
  <si>
    <t>Core section</t>
  </si>
  <si>
    <t>Sample</t>
  </si>
  <si>
    <t>Radius_1</t>
  </si>
  <si>
    <t>Radius_2</t>
  </si>
  <si>
    <t>Thickness</t>
  </si>
  <si>
    <t>Volume</t>
  </si>
  <si>
    <t>section_cut_loss</t>
  </si>
  <si>
    <t>section_depth_top</t>
  </si>
  <si>
    <t>section_depth_bottom</t>
  </si>
  <si>
    <t>section_depth_mid</t>
  </si>
  <si>
    <t>field_depth_top</t>
  </si>
  <si>
    <t>field_depth_bottom</t>
  </si>
  <si>
    <t>field_depth_mid</t>
  </si>
  <si>
    <t>strat_depth_top</t>
  </si>
  <si>
    <t>strat_depth_bottom</t>
  </si>
  <si>
    <t>strat_depth_mid</t>
  </si>
  <si>
    <t>depth</t>
  </si>
  <si>
    <t>Wet_bag</t>
  </si>
  <si>
    <t>Dry_bag</t>
  </si>
  <si>
    <t>Bag_weight</t>
  </si>
  <si>
    <t>Wet_weight</t>
  </si>
  <si>
    <t>Dry weight</t>
  </si>
  <si>
    <t>Water Content - freeze dry</t>
  </si>
  <si>
    <t>Dry_mass</t>
  </si>
  <si>
    <t>Water_content</t>
  </si>
  <si>
    <t>LOI550</t>
  </si>
  <si>
    <t>LOI550_err</t>
  </si>
  <si>
    <t xml:space="preserve">Corg </t>
  </si>
  <si>
    <t>Corg err</t>
  </si>
  <si>
    <t>C_org</t>
  </si>
  <si>
    <t>Remarks1</t>
  </si>
  <si>
    <t>Remarks2</t>
  </si>
  <si>
    <t>cm</t>
  </si>
  <si>
    <t>g</t>
  </si>
  <si>
    <t>%</t>
  </si>
  <si>
    <t>g.cm-3</t>
  </si>
  <si>
    <t>conv_factor</t>
  </si>
  <si>
    <t>NA</t>
  </si>
  <si>
    <t>Bird Island</t>
  </si>
  <si>
    <t>BI10</t>
  </si>
  <si>
    <t>Core length:</t>
  </si>
  <si>
    <t>Core Interval:</t>
  </si>
  <si>
    <t>0-50</t>
  </si>
  <si>
    <t>Cumulative thickness:</t>
  </si>
  <si>
    <t>Total Cut loss:</t>
  </si>
  <si>
    <t>Nr of cuts:</t>
  </si>
  <si>
    <t>Loss per cut:</t>
  </si>
  <si>
    <t>Weight 60 bags:</t>
  </si>
  <si>
    <t>Weight 1 bag:</t>
  </si>
  <si>
    <t>SOM/SOC in sphagnum 2.05 ± 0.09 (Klingenfuß et al., 2014)</t>
  </si>
  <si>
    <t>SOM/SOC in peat made of vasular plants 1.73 ± 0.09 (Klingenfuß et al., 2014)</t>
  </si>
  <si>
    <t>40-90</t>
  </si>
  <si>
    <t>80-130</t>
  </si>
  <si>
    <t>120-170</t>
  </si>
  <si>
    <t>160-210</t>
  </si>
  <si>
    <t>200-250</t>
  </si>
  <si>
    <t>240-290</t>
  </si>
  <si>
    <t>280-330</t>
  </si>
  <si>
    <t>320-370</t>
  </si>
  <si>
    <t>360-410</t>
  </si>
  <si>
    <t>400-450</t>
  </si>
  <si>
    <t>440-490</t>
  </si>
  <si>
    <t>457-507</t>
  </si>
  <si>
    <t>ID_Sample_No.</t>
  </si>
  <si>
    <t>Dry_weight</t>
  </si>
  <si>
    <t>Wet_density</t>
  </si>
  <si>
    <t>Dry_density</t>
  </si>
  <si>
    <t>Geochem</t>
  </si>
  <si>
    <t>Crucible weight</t>
  </si>
  <si>
    <t>Crucible + Dry</t>
  </si>
  <si>
    <t>Crucible + Ash</t>
  </si>
  <si>
    <t>Ash weight</t>
  </si>
  <si>
    <t>Calculations _do not delete</t>
  </si>
  <si>
    <t>cm3</t>
  </si>
  <si>
    <t>Isla Hermite</t>
  </si>
  <si>
    <t>HER42PB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</si>
  <si>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</si>
  <si>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</si>
  <si>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</si>
  <si>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</si>
  <si>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</si>
  <si>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</si>
  <si>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</si>
  <si>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</si>
  <si>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</si>
  <si>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</si>
  <si>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Section</t>
  </si>
  <si>
    <t>Kerguelen</t>
  </si>
  <si>
    <t>KER1</t>
  </si>
  <si>
    <t>CAT1.1A</t>
  </si>
  <si>
    <t>x</t>
  </si>
  <si>
    <t>CAT1.1B</t>
  </si>
  <si>
    <t>Tephra peak 1</t>
  </si>
  <si>
    <t>CAT1.1C</t>
  </si>
  <si>
    <t>CAT1.1D</t>
  </si>
  <si>
    <t>Tephra peak 2</t>
  </si>
  <si>
    <t>CAT1.1E</t>
  </si>
  <si>
    <t>Tephra peak 3</t>
  </si>
  <si>
    <t>CAT1.1F</t>
  </si>
  <si>
    <t>CAT1.1G</t>
  </si>
  <si>
    <t>209-259</t>
  </si>
  <si>
    <t>Crucible_Dry</t>
  </si>
  <si>
    <t>Crucible</t>
  </si>
  <si>
    <t>Crucible_Ash</t>
  </si>
  <si>
    <t>Ash_mass</t>
  </si>
  <si>
    <t>Corg_err</t>
  </si>
  <si>
    <t>C_org_conv</t>
  </si>
  <si>
    <t>KER3</t>
  </si>
  <si>
    <t>CAT2.3A</t>
  </si>
  <si>
    <t>CAT2.3A_1</t>
  </si>
  <si>
    <t xml:space="preserve">Pu-isotopes&amp; Pb-210 dating </t>
  </si>
  <si>
    <t>KER4</t>
  </si>
  <si>
    <t>CAT2.3A_2</t>
  </si>
  <si>
    <t>KER5</t>
  </si>
  <si>
    <t>CAT2.3A_3</t>
  </si>
  <si>
    <t>KER6</t>
  </si>
  <si>
    <t>CAT2.3A_4</t>
  </si>
  <si>
    <t>KER7</t>
  </si>
  <si>
    <t>CAT2.3A_5</t>
  </si>
  <si>
    <t>KER8</t>
  </si>
  <si>
    <t>CAT2.3A_6</t>
  </si>
  <si>
    <t>KER9</t>
  </si>
  <si>
    <t>CAT2.3A_7</t>
  </si>
  <si>
    <t>KER10</t>
  </si>
  <si>
    <t>CAT2.3A_8</t>
  </si>
  <si>
    <t>KER11</t>
  </si>
  <si>
    <t>CAT2.3A_9</t>
  </si>
  <si>
    <t>KER12</t>
  </si>
  <si>
    <t>CAT2.3A_10</t>
  </si>
  <si>
    <t>KER13</t>
  </si>
  <si>
    <t>CAT2.3A_11</t>
  </si>
  <si>
    <t>KER14</t>
  </si>
  <si>
    <t>CAT2.3A_12</t>
  </si>
  <si>
    <t>KER15</t>
  </si>
  <si>
    <t>CAT2.3A_13</t>
  </si>
  <si>
    <t>KER16</t>
  </si>
  <si>
    <t>CAT2.3A_14</t>
  </si>
  <si>
    <t>KER17</t>
  </si>
  <si>
    <t>CAT2.3A_15</t>
  </si>
  <si>
    <t>KER18</t>
  </si>
  <si>
    <t>CAT2.3A_16</t>
  </si>
  <si>
    <t>KER19</t>
  </si>
  <si>
    <t>CAT2.3A_17</t>
  </si>
  <si>
    <t>ITRAX COMPOSITE RECORD</t>
  </si>
  <si>
    <t>KER20</t>
  </si>
  <si>
    <t>CAT2.3A_18</t>
  </si>
  <si>
    <t>3A</t>
  </si>
  <si>
    <t>0-44</t>
  </si>
  <si>
    <t>KER21</t>
  </si>
  <si>
    <t>CAT2.3A_19</t>
  </si>
  <si>
    <t>3B</t>
  </si>
  <si>
    <t>44.1-88</t>
  </si>
  <si>
    <t>KER22</t>
  </si>
  <si>
    <t>CAT2.3A_20</t>
  </si>
  <si>
    <t>3C</t>
  </si>
  <si>
    <t>88.1-124</t>
  </si>
  <si>
    <t>KER23</t>
  </si>
  <si>
    <t>CAT2.3A_21</t>
  </si>
  <si>
    <t>3D</t>
  </si>
  <si>
    <t>124.1-166</t>
  </si>
  <si>
    <t>KER24</t>
  </si>
  <si>
    <t>CAT2.3A_22</t>
  </si>
  <si>
    <t>3E</t>
  </si>
  <si>
    <t>166.1-210</t>
  </si>
  <si>
    <t>KER25</t>
  </si>
  <si>
    <t>CAT2.3A_23</t>
  </si>
  <si>
    <t>KER26</t>
  </si>
  <si>
    <t>CAT2.3A_24</t>
  </si>
  <si>
    <t>KER27</t>
  </si>
  <si>
    <t>CAT2.3A_25</t>
  </si>
  <si>
    <t>KER28</t>
  </si>
  <si>
    <t>CAT2.3A_26</t>
  </si>
  <si>
    <t>KER29</t>
  </si>
  <si>
    <t>CAT2.3A_27</t>
  </si>
  <si>
    <t>KER30</t>
  </si>
  <si>
    <t>CAT2.3A_28</t>
  </si>
  <si>
    <t>KER31</t>
  </si>
  <si>
    <t>CAT2.3A_29</t>
  </si>
  <si>
    <t>KER32</t>
  </si>
  <si>
    <t>CAT2.3A_30</t>
  </si>
  <si>
    <t>KER33</t>
  </si>
  <si>
    <t>CAT2.3A_31</t>
  </si>
  <si>
    <t>KER34</t>
  </si>
  <si>
    <t>CAT2.3A_32</t>
  </si>
  <si>
    <t>KER35</t>
  </si>
  <si>
    <t>CAT2.3B</t>
  </si>
  <si>
    <t>CAT2.3B_33</t>
  </si>
  <si>
    <t>KER36</t>
  </si>
  <si>
    <t>CAT2.3B_34</t>
  </si>
  <si>
    <t>KER37</t>
  </si>
  <si>
    <t>CAT2.3B_35</t>
  </si>
  <si>
    <t>KER38</t>
  </si>
  <si>
    <t>CAT2.3B_36</t>
  </si>
  <si>
    <t>KER39</t>
  </si>
  <si>
    <t>CAT2.3B_37</t>
  </si>
  <si>
    <t>KER40</t>
  </si>
  <si>
    <t>CAT2.3B_38</t>
  </si>
  <si>
    <t>KER41</t>
  </si>
  <si>
    <t>CAT2.3B_39</t>
  </si>
  <si>
    <t>KER42</t>
  </si>
  <si>
    <t>CAT2.3B_40</t>
  </si>
  <si>
    <t>KER43</t>
  </si>
  <si>
    <t>CAT2.3B_41</t>
  </si>
  <si>
    <t>KER44</t>
  </si>
  <si>
    <t>CAT2.3B_42</t>
  </si>
  <si>
    <t>KER45</t>
  </si>
  <si>
    <t>CAT2.3B_43</t>
  </si>
  <si>
    <t>KER46</t>
  </si>
  <si>
    <t>CAT2.3B_44</t>
  </si>
  <si>
    <t>KER47</t>
  </si>
  <si>
    <t>CAT2.3B_45</t>
  </si>
  <si>
    <t>KER48</t>
  </si>
  <si>
    <t>CAT2.3B_46</t>
  </si>
  <si>
    <t>KER49</t>
  </si>
  <si>
    <t>CAT2.3B_47</t>
  </si>
  <si>
    <t>KER50</t>
  </si>
  <si>
    <t>CAT2.3B_48</t>
  </si>
  <si>
    <t>KER51</t>
  </si>
  <si>
    <t>CAT2.3B_49</t>
  </si>
  <si>
    <t>KER52</t>
  </si>
  <si>
    <t>CAT2.3B_50</t>
  </si>
  <si>
    <t>KER53</t>
  </si>
  <si>
    <t>CAT2.3B_51</t>
  </si>
  <si>
    <t>KER54</t>
  </si>
  <si>
    <t>CAT2.3B_52</t>
  </si>
  <si>
    <t>KER55</t>
  </si>
  <si>
    <t>CAT2.3B_53</t>
  </si>
  <si>
    <t>KER56</t>
  </si>
  <si>
    <t>CAT2.3B_54</t>
  </si>
  <si>
    <t>KER57</t>
  </si>
  <si>
    <t>CAT2.3B_55</t>
  </si>
  <si>
    <t>KER58</t>
  </si>
  <si>
    <t>CAT2.3B_56</t>
  </si>
  <si>
    <t>KER59</t>
  </si>
  <si>
    <t>CAT2.3B_57</t>
  </si>
  <si>
    <t>KER60</t>
  </si>
  <si>
    <t>CAT2.3B_58</t>
  </si>
  <si>
    <t>KER61</t>
  </si>
  <si>
    <t>CAT2.3B_59</t>
  </si>
  <si>
    <t>KER62</t>
  </si>
  <si>
    <t>CAT2.3B_60</t>
  </si>
  <si>
    <t>KER63</t>
  </si>
  <si>
    <t>CAT2.3B_61</t>
  </si>
  <si>
    <t>KER64</t>
  </si>
  <si>
    <t>CAT2.3B_62</t>
  </si>
  <si>
    <t>KER65</t>
  </si>
  <si>
    <t>CAT2.3B_63</t>
  </si>
  <si>
    <t>KER66</t>
  </si>
  <si>
    <t>CAT2.3B_64</t>
  </si>
  <si>
    <t>KER67</t>
  </si>
  <si>
    <t>CAT2.3B_65</t>
  </si>
  <si>
    <t>KER68</t>
  </si>
  <si>
    <t>CAT2.3B_66</t>
  </si>
  <si>
    <t>KER69</t>
  </si>
  <si>
    <t>CAT2.3B_67</t>
  </si>
  <si>
    <t>KER70</t>
  </si>
  <si>
    <t>CAT2.3B_68</t>
  </si>
  <si>
    <t>KER71</t>
  </si>
  <si>
    <t>CAT2.3B_69</t>
  </si>
  <si>
    <t>KER72</t>
  </si>
  <si>
    <t>CAT2.3B_70</t>
  </si>
  <si>
    <t>KER73</t>
  </si>
  <si>
    <t>CAT2.3C</t>
  </si>
  <si>
    <t>CAT2.3C_71</t>
  </si>
  <si>
    <t>only one bag</t>
  </si>
  <si>
    <t>KER74</t>
  </si>
  <si>
    <t>CAT2.3C_72</t>
  </si>
  <si>
    <t>KER75</t>
  </si>
  <si>
    <t>CAT2.3C_73</t>
  </si>
  <si>
    <t>KER76</t>
  </si>
  <si>
    <t>CAT2.3C_74</t>
  </si>
  <si>
    <t>KER77</t>
  </si>
  <si>
    <t>CAT2.3C_75</t>
  </si>
  <si>
    <t>KER78</t>
  </si>
  <si>
    <t>CAT2.3C_76</t>
  </si>
  <si>
    <t>KER79</t>
  </si>
  <si>
    <t>CAT2.3C_77</t>
  </si>
  <si>
    <t>KER80</t>
  </si>
  <si>
    <t>CAT2.3C_78</t>
  </si>
  <si>
    <t>KER81</t>
  </si>
  <si>
    <t>CAT2.3C_79</t>
  </si>
  <si>
    <t>KER82</t>
  </si>
  <si>
    <t>CAT2.3C_80</t>
  </si>
  <si>
    <t>KER83</t>
  </si>
  <si>
    <t>CAT2.3C_81</t>
  </si>
  <si>
    <t>KER84</t>
  </si>
  <si>
    <t>CAT2.3C_82</t>
  </si>
  <si>
    <t>KER85</t>
  </si>
  <si>
    <t>CAT2.3C_83</t>
  </si>
  <si>
    <t>KER86</t>
  </si>
  <si>
    <t>CAT2.3C_84</t>
  </si>
  <si>
    <t>KER87</t>
  </si>
  <si>
    <t>CAT2.3C_85</t>
  </si>
  <si>
    <t>KER88</t>
  </si>
  <si>
    <t>CAT2.3C_86</t>
  </si>
  <si>
    <t>KER89</t>
  </si>
  <si>
    <t>CAT2.3C_87</t>
  </si>
  <si>
    <t>KER90</t>
  </si>
  <si>
    <t>CAT2.3C_88</t>
  </si>
  <si>
    <t>KER91</t>
  </si>
  <si>
    <t>CAT2.3C_89</t>
  </si>
  <si>
    <t>KER92</t>
  </si>
  <si>
    <t>CAT2.3C_90</t>
  </si>
  <si>
    <t>KER93</t>
  </si>
  <si>
    <t>CAT2.3C_91</t>
  </si>
  <si>
    <t>KER94</t>
  </si>
  <si>
    <t>CAT2.3C_92</t>
  </si>
  <si>
    <t>KER95</t>
  </si>
  <si>
    <t>CAT2.3C_93</t>
  </si>
  <si>
    <t>KER96</t>
  </si>
  <si>
    <t>CAT2.3C_94</t>
  </si>
  <si>
    <t>KER97</t>
  </si>
  <si>
    <t>CAT2.3C_95</t>
  </si>
  <si>
    <t>KER98</t>
  </si>
  <si>
    <t>CAT2.3C_96</t>
  </si>
  <si>
    <t>KER99</t>
  </si>
  <si>
    <t>CAT2.3C_97</t>
  </si>
  <si>
    <t>KER100</t>
  </si>
  <si>
    <t>CAT2.3C_98</t>
  </si>
  <si>
    <t>KER101</t>
  </si>
  <si>
    <t>CAT2.3C_99</t>
  </si>
  <si>
    <t>KER102</t>
  </si>
  <si>
    <t>CAT2.3C_100</t>
  </si>
  <si>
    <t>KER103</t>
  </si>
  <si>
    <t>CAT2.3C_101</t>
  </si>
  <si>
    <t>KER104</t>
  </si>
  <si>
    <t>CAT2.3C_102</t>
  </si>
  <si>
    <t>KER105</t>
  </si>
  <si>
    <t>CAT2.3C_103</t>
  </si>
  <si>
    <t>KER106</t>
  </si>
  <si>
    <t>CAT2.3C_104</t>
  </si>
  <si>
    <t>KER107</t>
  </si>
  <si>
    <t>CAT2.3C_105</t>
  </si>
  <si>
    <t>KER108</t>
  </si>
  <si>
    <t>CAT2.3C_106</t>
  </si>
  <si>
    <t>KER109</t>
  </si>
  <si>
    <t>CAT2.3C_107</t>
  </si>
  <si>
    <t>KER110</t>
  </si>
  <si>
    <t>CAT2.3D</t>
  </si>
  <si>
    <t>CAT2.3D_108</t>
  </si>
  <si>
    <t>KER111</t>
  </si>
  <si>
    <t>CAT2.3D_109</t>
  </si>
  <si>
    <t>KER112</t>
  </si>
  <si>
    <t>CAT2.3D_110</t>
  </si>
  <si>
    <t>KER113</t>
  </si>
  <si>
    <t>CAT2.3D_111</t>
  </si>
  <si>
    <t>KER114</t>
  </si>
  <si>
    <t>CAT2.3D_112</t>
  </si>
  <si>
    <t>KER115</t>
  </si>
  <si>
    <t>CAT2.3D_113</t>
  </si>
  <si>
    <t>KER116</t>
  </si>
  <si>
    <t>CAT2.3D_114</t>
  </si>
  <si>
    <t>KER117</t>
  </si>
  <si>
    <t>CAT2.3D_115</t>
  </si>
  <si>
    <t>KER118</t>
  </si>
  <si>
    <t>CAT2.3D_116</t>
  </si>
  <si>
    <t>KER119</t>
  </si>
  <si>
    <t>CAT2.3D_117</t>
  </si>
  <si>
    <t>KER120</t>
  </si>
  <si>
    <t>CAT2.3D_118</t>
  </si>
  <si>
    <t>KER121</t>
  </si>
  <si>
    <t>CAT2.3D_119</t>
  </si>
  <si>
    <t>KER122</t>
  </si>
  <si>
    <t>CAT2.3D_120</t>
  </si>
  <si>
    <t>KER123</t>
  </si>
  <si>
    <t>CAT2.3D_121</t>
  </si>
  <si>
    <t>KER124</t>
  </si>
  <si>
    <t>CAT2.3D_122</t>
  </si>
  <si>
    <t>KER125</t>
  </si>
  <si>
    <t>CAT2.3D_123</t>
  </si>
  <si>
    <t>KER126</t>
  </si>
  <si>
    <t>CAT2.3D_124</t>
  </si>
  <si>
    <t>KER127</t>
  </si>
  <si>
    <t>CAT2.3D_125</t>
  </si>
  <si>
    <t>KER128</t>
  </si>
  <si>
    <t>CAT2.3D_126</t>
  </si>
  <si>
    <t>KER129</t>
  </si>
  <si>
    <t>CAT2.3D_127</t>
  </si>
  <si>
    <t>KER130</t>
  </si>
  <si>
    <t>CAT2.3D_128</t>
  </si>
  <si>
    <t>KER131</t>
  </si>
  <si>
    <t>CAT2.3D_129</t>
  </si>
  <si>
    <t>KER132</t>
  </si>
  <si>
    <t>CAT2.3D_130</t>
  </si>
  <si>
    <t>KER133</t>
  </si>
  <si>
    <t>CAT2.3D_131</t>
  </si>
  <si>
    <t>KER134</t>
  </si>
  <si>
    <t>CAT2.3D_132</t>
  </si>
  <si>
    <t>KER135</t>
  </si>
  <si>
    <t>CAT2.3D_133</t>
  </si>
  <si>
    <t>KER136</t>
  </si>
  <si>
    <t>CAT2.3D_134</t>
  </si>
  <si>
    <t>KER137</t>
  </si>
  <si>
    <t>CAT2.3D_135</t>
  </si>
  <si>
    <t>KER138</t>
  </si>
  <si>
    <t>CAT2.3D_136</t>
  </si>
  <si>
    <t>KER139</t>
  </si>
  <si>
    <t>CAT2.3D_137</t>
  </si>
  <si>
    <t>KER140</t>
  </si>
  <si>
    <t>CAT2.3D_138</t>
  </si>
  <si>
    <t>KER141</t>
  </si>
  <si>
    <t>CAT2.3D_139</t>
  </si>
  <si>
    <t>KER142</t>
  </si>
  <si>
    <t>CAT2.3D_140</t>
  </si>
  <si>
    <t>KER143</t>
  </si>
  <si>
    <t>CAT2.3D_141</t>
  </si>
  <si>
    <t>KER144</t>
  </si>
  <si>
    <t>CAT2.3D_142</t>
  </si>
  <si>
    <t>KER145</t>
  </si>
  <si>
    <t>CAT2.3D_143</t>
  </si>
  <si>
    <t>KER146</t>
  </si>
  <si>
    <t>CAT2.3D_144</t>
  </si>
  <si>
    <t>KER147</t>
  </si>
  <si>
    <t>CAT2.3E</t>
  </si>
  <si>
    <t>CAT2.3E_145</t>
  </si>
  <si>
    <t>KER148</t>
  </si>
  <si>
    <t>CAT2.3E_146</t>
  </si>
  <si>
    <t>KER149</t>
  </si>
  <si>
    <t>CAT2.3E_147</t>
  </si>
  <si>
    <t>KER150</t>
  </si>
  <si>
    <t>CAT2.3E_148</t>
  </si>
  <si>
    <t>KER151</t>
  </si>
  <si>
    <t>CAT2.3E_149</t>
  </si>
  <si>
    <t>KER152</t>
  </si>
  <si>
    <t>CAT2.3E_150</t>
  </si>
  <si>
    <t>KER153</t>
  </si>
  <si>
    <t>CAT2.3E_151</t>
  </si>
  <si>
    <t>KER154</t>
  </si>
  <si>
    <t>CAT2.3E_152</t>
  </si>
  <si>
    <t>KER155</t>
  </si>
  <si>
    <t>CAT2.3E_153</t>
  </si>
  <si>
    <t>KER156</t>
  </si>
  <si>
    <t>CAT2.3E_154</t>
  </si>
  <si>
    <t>KER157</t>
  </si>
  <si>
    <t>CAT2.3E_155</t>
  </si>
  <si>
    <t>KER158</t>
  </si>
  <si>
    <t>CAT2.3E_156</t>
  </si>
  <si>
    <t>KER159</t>
  </si>
  <si>
    <t>CAT2.3E_157</t>
  </si>
  <si>
    <t>KER160</t>
  </si>
  <si>
    <t>CAT2.3E_158</t>
  </si>
  <si>
    <t>KER161</t>
  </si>
  <si>
    <t>CAT2.3E_159</t>
  </si>
  <si>
    <t>KER162</t>
  </si>
  <si>
    <t>CAT2.3E_160</t>
  </si>
  <si>
    <t>KER163</t>
  </si>
  <si>
    <t>CAT2.3E_161</t>
  </si>
  <si>
    <t>KER164</t>
  </si>
  <si>
    <t>CAT2.3E_162</t>
  </si>
  <si>
    <t>KER165</t>
  </si>
  <si>
    <t>CAT2.3E_163</t>
  </si>
  <si>
    <t>KER166</t>
  </si>
  <si>
    <t>CAT2.3E_164</t>
  </si>
  <si>
    <t>KER167</t>
  </si>
  <si>
    <t>CAT2.3E_165</t>
  </si>
  <si>
    <t>KER168</t>
  </si>
  <si>
    <t>CAT2.3E_166</t>
  </si>
  <si>
    <t>KER169</t>
  </si>
  <si>
    <t>CAT2.3E_167</t>
  </si>
  <si>
    <t>KER170</t>
  </si>
  <si>
    <t>CAT2.3E_168</t>
  </si>
  <si>
    <t>KER171</t>
  </si>
  <si>
    <t>CAT2.3E_169</t>
  </si>
  <si>
    <t>KER172</t>
  </si>
  <si>
    <t>CAT2.3E_170</t>
  </si>
  <si>
    <t>Break in the core</t>
  </si>
  <si>
    <t>KER173</t>
  </si>
  <si>
    <t>CAT2.3E_171</t>
  </si>
  <si>
    <t>KER174</t>
  </si>
  <si>
    <t>CAT2.3E_172</t>
  </si>
  <si>
    <t>KER175</t>
  </si>
  <si>
    <t>CAT2.3E_173</t>
  </si>
  <si>
    <t>KER176</t>
  </si>
  <si>
    <t>CAT2.3E_174</t>
  </si>
  <si>
    <t>KER177</t>
  </si>
  <si>
    <t>CAT2.3E_175</t>
  </si>
  <si>
    <t>KER178</t>
  </si>
  <si>
    <t>CAT2.3E_176</t>
  </si>
  <si>
    <t>KER179</t>
  </si>
  <si>
    <t>CAT2.3E_177</t>
  </si>
  <si>
    <t>KER180</t>
  </si>
  <si>
    <t>CAT2.3E_178</t>
  </si>
  <si>
    <t>KER181</t>
  </si>
  <si>
    <t>CAT2.3E_179</t>
  </si>
  <si>
    <t>KER182</t>
  </si>
  <si>
    <t>CAT2.3E_180</t>
  </si>
  <si>
    <t>KER183</t>
  </si>
  <si>
    <t>CAT2.3E_181</t>
  </si>
  <si>
    <t>KER184</t>
  </si>
  <si>
    <t>CAT2.3E_182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</si>
</sst>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0000"/>
    <numFmt numFmtId="167" formatCode="0.000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name val="Calibri (Body)"/>
    </font>
    <font>
      <sz val="11"/>
      <color theme="1"/>
      <name val="Gill Sans MT"/>
      <family val="2"/>
    </font>
    <font>
      <sz val="11"/>
      <color theme="1"/>
      <name val="Calibri"/>
      <family val="2"/>
    </font>
    <font>
      <i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6" fillId="0" borderId="0"/>
  </cellStyleXfs>
  <cellXfs count="68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right" wrapText="1"/>
    </xf>
    <xf numFmtId="0" fontId="1" fillId="0" borderId="0" xfId="0" applyFont="1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ill="1" applyBorder="1" applyAlignment="1">
      <alignment horizontal="center"/>
    </xf>
    <xf numFmtId="165" fontId="0" fillId="0" borderId="0" xfId="0" applyNumberFormat="1" applyFill="1" applyBorder="1"/>
    <xf numFmtId="2" fontId="0" fillId="0" borderId="0" xfId="0" applyNumberFormat="1" applyFill="1" applyBorder="1"/>
    <xf numFmtId="164" fontId="0" fillId="0" borderId="0" xfId="0" applyNumberFormat="1" applyFill="1" applyBorder="1"/>
    <xf numFmtId="164" fontId="1" fillId="0" borderId="0" xfId="0" applyNumberFormat="1" applyFont="1" applyFill="1" applyBorder="1"/>
    <xf numFmtId="164" fontId="0" fillId="0" borderId="0" xfId="1" applyNumberFormat="1" applyFont="1" applyFill="1" applyBorder="1" applyAlignment="1">
      <alignment horizontal="right" vertical="center"/>
    </xf>
    <xf numFmtId="164" fontId="0" fillId="0" borderId="0" xfId="2" applyNumberFormat="1" applyFont="1" applyFill="1" applyBorder="1" applyAlignment="1">
      <alignment horizontal="right"/>
    </xf>
    <xf numFmtId="164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165" fontId="0" fillId="0" borderId="0" xfId="0" applyNumberFormat="1" applyFill="1" applyBorder="1" applyAlignment="1">
      <alignment horizontal="right"/>
    </xf>
    <xf numFmtId="2" fontId="0" fillId="0" borderId="0" xfId="0" applyNumberFormat="1" applyFill="1" applyBorder="1" applyAlignment="1">
      <alignment horizontal="right"/>
    </xf>
    <xf numFmtId="166" fontId="0" fillId="0" borderId="0" xfId="0" applyNumberFormat="1"/>
    <xf numFmtId="165" fontId="5" fillId="0" borderId="0" xfId="0" applyNumberFormat="1" applyFont="1"/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2" fontId="1" fillId="0" borderId="0" xfId="0" applyNumberFormat="1" applyFont="1"/>
    <xf numFmtId="166" fontId="1" fillId="0" borderId="0" xfId="0" applyNumberFormat="1" applyFont="1"/>
    <xf numFmtId="0" fontId="0" fillId="0" borderId="0" xfId="0" applyFill="1" applyBorder="1" applyAlignment="1">
      <alignment horizontal="left"/>
    </xf>
    <xf numFmtId="0" fontId="1" fillId="0" borderId="0" xfId="0" applyFont="1" applyFill="1" applyBorder="1" applyAlignment="1">
      <alignment horizontal="right"/>
    </xf>
    <xf numFmtId="164" fontId="1" fillId="0" borderId="0" xfId="0" applyNumberFormat="1" applyFont="1" applyFill="1" applyBorder="1" applyAlignment="1">
      <alignment horizontal="right"/>
    </xf>
    <xf numFmtId="164" fontId="1" fillId="0" borderId="0" xfId="0" applyNumberFormat="1" applyFont="1" applyFill="1" applyBorder="1" applyAlignment="1">
      <alignment horizontal="left"/>
    </xf>
    <xf numFmtId="0" fontId="0" fillId="0" borderId="0" xfId="0" applyFill="1" applyBorder="1" applyAlignment="1">
      <alignment horizontal="right" wrapText="1"/>
    </xf>
    <xf numFmtId="164" fontId="0" fillId="0" borderId="0" xfId="0" applyNumberFormat="1" applyFill="1" applyBorder="1" applyAlignment="1">
      <alignment horizontal="right" wrapText="1"/>
    </xf>
    <xf numFmtId="0" fontId="0" fillId="0" borderId="0" xfId="0" applyFill="1" applyBorder="1" applyAlignment="1">
      <alignment horizontal="left" vertical="top"/>
    </xf>
    <xf numFmtId="165" fontId="1" fillId="0" borderId="0" xfId="0" applyNumberFormat="1" applyFont="1" applyFill="1" applyBorder="1" applyAlignment="1">
      <alignment horizontal="right"/>
    </xf>
    <xf numFmtId="165" fontId="1" fillId="0" borderId="0" xfId="0" applyNumberFormat="1" applyFont="1" applyFill="1" applyBorder="1"/>
    <xf numFmtId="0" fontId="0" fillId="0" borderId="0" xfId="2" applyFont="1" applyFill="1" applyBorder="1" applyAlignment="1">
      <alignment horizontal="center"/>
    </xf>
    <xf numFmtId="0" fontId="0" fillId="0" borderId="0" xfId="2" applyFont="1" applyFill="1" applyBorder="1" applyAlignment="1">
      <alignment horizontal="right"/>
    </xf>
    <xf numFmtId="164" fontId="0" fillId="0" borderId="0" xfId="2" applyNumberFormat="1" applyFont="1" applyFill="1" applyBorder="1"/>
    <xf numFmtId="2" fontId="1" fillId="0" borderId="0" xfId="0" applyNumberFormat="1" applyFont="1" applyFill="1" applyBorder="1" applyAlignment="1">
      <alignment horizontal="right"/>
    </xf>
    <xf numFmtId="166" fontId="0" fillId="0" borderId="0" xfId="0" applyNumberForma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166" fontId="0" fillId="0" borderId="0" xfId="0" applyNumberFormat="1" applyFill="1" applyBorder="1"/>
    <xf numFmtId="165" fontId="5" fillId="0" borderId="0" xfId="0" applyNumberFormat="1" applyFont="1" applyFill="1" applyBorder="1"/>
    <xf numFmtId="0" fontId="1" fillId="0" borderId="0" xfId="0" applyFont="1" applyFill="1" applyBorder="1" applyAlignment="1">
      <alignment horizontal="center"/>
    </xf>
    <xf numFmtId="166" fontId="1" fillId="0" borderId="0" xfId="0" applyNumberFormat="1" applyFont="1" applyFill="1" applyBorder="1" applyAlignment="1">
      <alignment horizontal="right"/>
    </xf>
    <xf numFmtId="167" fontId="7" fillId="0" borderId="0" xfId="3" applyNumberFormat="1" applyFont="1" applyFill="1" applyBorder="1" applyAlignment="1">
      <alignment horizontal="right" vertical="center"/>
    </xf>
    <xf numFmtId="164" fontId="7" fillId="0" borderId="0" xfId="3" applyNumberFormat="1" applyFont="1" applyFill="1" applyBorder="1" applyAlignment="1">
      <alignment horizontal="right" vertical="center"/>
    </xf>
    <xf numFmtId="2" fontId="7" fillId="0" borderId="0" xfId="3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left"/>
    </xf>
    <xf numFmtId="166" fontId="1" fillId="0" borderId="0" xfId="0" applyNumberFormat="1" applyFont="1" applyFill="1" applyBorder="1"/>
    <xf numFmtId="0" fontId="5" fillId="0" borderId="0" xfId="0" applyFont="1" applyFill="1" applyBorder="1"/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right" wrapText="1"/>
    </xf>
    <xf numFmtId="2" fontId="0" fillId="0" borderId="0" xfId="0" applyNumberFormat="1" applyAlignment="1">
      <alignment horizontal="left" vertical="top"/>
    </xf>
    <xf numFmtId="164" fontId="7" fillId="0" borderId="0" xfId="3" applyNumberFormat="1" applyFont="1" applyAlignment="1">
      <alignment vertical="center"/>
    </xf>
    <xf numFmtId="0" fontId="8" fillId="0" borderId="0" xfId="0" applyFont="1"/>
  </cellXfs>
  <cellStyles count="4">
    <cellStyle name="Normal" xfId="0" builtinId="0"/>
    <cellStyle name="Normal 2" xfId="1" xr:uid="{6256BBDE-E3B5-8F46-A0CA-A809D4271C68}"/>
    <cellStyle name="Normal 3" xfId="2" xr:uid="{0482AD06-1B77-9142-8F01-3393A6BBB83B}"/>
    <cellStyle name="Normal 4" xfId="3" xr:uid="{527DC1C1-FC50-7A4E-84D7-F39D496A3BEE}"/>
  </cellStyles>
  <dxfs count="3"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jro/Library/CloudStorage/Dropbox/BAS/Projects/Active/2017_ACE/Data/Site_data/ACE_Subsample_25-5.3.xlsx" TargetMode="External"/><Relationship Id="rId1" Type="http://schemas.openxmlformats.org/officeDocument/2006/relationships/externalLinkPath" Target="/Users/sjro/Library/CloudStorage/Dropbox/BAS/Projects/Active/2017_ACE/Data/Site_data/ACE_Subsample_25-5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_2018"/>
      <sheetName val="ACE_2017-19"/>
      <sheetName val="ACE_Subsample_csv"/>
      <sheetName val="ACE_Subample_Excel"/>
      <sheetName val="BI10_COMPOSITE_db"/>
      <sheetName val="HER42PB_COMPOSITE_db"/>
      <sheetName val="KER1_CAT1.1_COMPOSITE_db"/>
      <sheetName val="KER3_CAT2.3_COMPOSITE_db"/>
      <sheetName val="PB1.1A-C_COMPOSITE_db"/>
      <sheetName val="Bird Island"/>
      <sheetName val="BI5_OVERLAPS_LOI_graphs"/>
      <sheetName val="BI5_Hg"/>
      <sheetName val="BI10_COMPOSITE_LOI"/>
      <sheetName val="BI10_COMPOSITE_LOI_graphs"/>
      <sheetName val="BI10_OVERLAPS_LOI_graphs"/>
      <sheetName val="BI10_COMP_ICP"/>
      <sheetName val="BI10_Hg_SS"/>
      <sheetName val="Diego_Ramirez"/>
      <sheetName val="DR17PB01WA"/>
      <sheetName val="HER42PB_1A-J"/>
      <sheetName val="HER42PB_COMPOSITE_LOI"/>
      <sheetName val="HER42PB_COMPOSITE_LOI_graphs"/>
      <sheetName val="HER42PB_OVERLAPS_LOI_graphs"/>
      <sheetName val="Cataracte_Kerguelen"/>
      <sheetName val="KER1_CAT1.1_COMPOSITE_graphs"/>
      <sheetName val="KER1_CAT1.1_OVERLAPS_graphs"/>
      <sheetName val="CAT1.1_KER1_Hg_SS"/>
      <sheetName val="KER1_LOI_FP"/>
      <sheetName val="KER3_CAT2.3_COMPOSITE_graphs"/>
      <sheetName val="KER3_CAT2.3_OVERLAPS_graphs"/>
      <sheetName val="KER3_LOI_FP"/>
      <sheetName val="Puisie Bog_Marion"/>
      <sheetName val="PB1.1A-C_COMPOSITE_graphs"/>
      <sheetName val="PB1.1A-C_OVERLA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Q3">
            <v>0.55000000000000004</v>
          </cell>
          <cell r="T3">
            <v>0.55000000000000004</v>
          </cell>
          <cell r="AA3">
            <v>87.485652720557042</v>
          </cell>
          <cell r="AD3">
            <v>0.10689471629969675</v>
          </cell>
          <cell r="AW3">
            <v>0</v>
          </cell>
          <cell r="AX3" t="str">
            <v>NA</v>
          </cell>
        </row>
        <row r="4">
          <cell r="Q4">
            <v>1.8555555555555554</v>
          </cell>
          <cell r="T4">
            <v>1.8555555555555554</v>
          </cell>
          <cell r="AA4">
            <v>88.675278663424436</v>
          </cell>
          <cell r="AD4">
            <v>0.11903846566683479</v>
          </cell>
          <cell r="AW4">
            <v>0</v>
          </cell>
          <cell r="AX4" t="str">
            <v>NA</v>
          </cell>
        </row>
        <row r="5">
          <cell r="Q5">
            <v>3.1611111111111105</v>
          </cell>
          <cell r="T5">
            <v>3.1611111111111105</v>
          </cell>
          <cell r="AA5">
            <v>89.102542616772084</v>
          </cell>
          <cell r="AD5">
            <v>0.11417495410384826</v>
          </cell>
          <cell r="AW5">
            <v>1</v>
          </cell>
          <cell r="AX5">
            <v>5.0000000000000001E-3</v>
          </cell>
        </row>
        <row r="6">
          <cell r="Q6">
            <v>4.4666666666666659</v>
          </cell>
          <cell r="T6">
            <v>4.4666666666666659</v>
          </cell>
          <cell r="AA6">
            <v>89.513858494715265</v>
          </cell>
          <cell r="AD6">
            <v>0.17570996272572578</v>
          </cell>
          <cell r="AW6">
            <v>2</v>
          </cell>
          <cell r="AX6">
            <v>0</v>
          </cell>
        </row>
        <row r="7">
          <cell r="Q7">
            <v>5.7722222222222213</v>
          </cell>
          <cell r="T7">
            <v>5.7722222222222213</v>
          </cell>
          <cell r="AA7">
            <v>90.178158936601989</v>
          </cell>
          <cell r="AD7">
            <v>8.6409341279260074E-2</v>
          </cell>
          <cell r="AW7">
            <v>0</v>
          </cell>
          <cell r="AX7" t="str">
            <v>NA</v>
          </cell>
        </row>
        <row r="8">
          <cell r="Q8">
            <v>7.0777777777777766</v>
          </cell>
          <cell r="T8">
            <v>7.0777777777777766</v>
          </cell>
          <cell r="AA8">
            <v>89.667159194759279</v>
          </cell>
          <cell r="AD8">
            <v>0.10054897745815249</v>
          </cell>
          <cell r="AW8">
            <v>0</v>
          </cell>
          <cell r="AX8" t="str">
            <v>NA</v>
          </cell>
        </row>
        <row r="9">
          <cell r="Q9">
            <v>8.3833333333333329</v>
          </cell>
          <cell r="T9">
            <v>8.3833333333333329</v>
          </cell>
          <cell r="AA9">
            <v>89.022519228091397</v>
          </cell>
          <cell r="AD9">
            <v>0.10809465354178727</v>
          </cell>
          <cell r="AW9">
            <v>0</v>
          </cell>
          <cell r="AX9" t="str">
            <v>NA</v>
          </cell>
        </row>
        <row r="10">
          <cell r="Q10">
            <v>9.6888888888888864</v>
          </cell>
          <cell r="T10">
            <v>9.6888888888888864</v>
          </cell>
          <cell r="AA10">
            <v>88.946852042403506</v>
          </cell>
          <cell r="AD10">
            <v>0.11521909942246071</v>
          </cell>
          <cell r="AW10">
            <v>0</v>
          </cell>
          <cell r="AX10" t="str">
            <v>NA</v>
          </cell>
        </row>
        <row r="11">
          <cell r="Q11">
            <v>10.969444444444443</v>
          </cell>
          <cell r="T11">
            <v>10.969444444444443</v>
          </cell>
          <cell r="AA11">
            <v>88.089849579438564</v>
          </cell>
          <cell r="AD11">
            <v>0.12540300385311001</v>
          </cell>
          <cell r="AW11">
            <v>0</v>
          </cell>
          <cell r="AX11" t="str">
            <v>NA</v>
          </cell>
        </row>
        <row r="12">
          <cell r="Q12">
            <v>12.25</v>
          </cell>
          <cell r="T12">
            <v>12.25</v>
          </cell>
          <cell r="AA12">
            <v>86.384284901688886</v>
          </cell>
          <cell r="AD12">
            <v>0.14523379947398074</v>
          </cell>
          <cell r="AW12">
            <v>2</v>
          </cell>
          <cell r="AX12">
            <v>0</v>
          </cell>
        </row>
        <row r="13">
          <cell r="Q13">
            <v>13.555555555555554</v>
          </cell>
          <cell r="T13">
            <v>13.555555555555554</v>
          </cell>
          <cell r="AA13">
            <v>87.72819413776179</v>
          </cell>
          <cell r="AD13">
            <v>0.12807052288756651</v>
          </cell>
          <cell r="AW13">
            <v>0</v>
          </cell>
          <cell r="AX13" t="str">
            <v>NA</v>
          </cell>
        </row>
        <row r="14">
          <cell r="Q14">
            <v>14.83611111111111</v>
          </cell>
          <cell r="T14">
            <v>14.83611111111111</v>
          </cell>
          <cell r="AA14">
            <v>87.075715014112959</v>
          </cell>
          <cell r="AD14">
            <v>0.13702608291877302</v>
          </cell>
          <cell r="AW14">
            <v>0</v>
          </cell>
          <cell r="AX14" t="str">
            <v>NA</v>
          </cell>
        </row>
        <row r="15">
          <cell r="Q15">
            <v>16.066666666666666</v>
          </cell>
          <cell r="T15">
            <v>16.066666666666666</v>
          </cell>
          <cell r="AA15">
            <v>87.029583697226641</v>
          </cell>
          <cell r="AD15">
            <v>0.14430142722340175</v>
          </cell>
          <cell r="AW15">
            <v>1</v>
          </cell>
          <cell r="AX15">
            <v>1.09E-2</v>
          </cell>
        </row>
        <row r="16">
          <cell r="Q16">
            <v>17.272222222222222</v>
          </cell>
          <cell r="T16">
            <v>17.272222222222222</v>
          </cell>
          <cell r="AA16">
            <v>87.374747073534905</v>
          </cell>
          <cell r="AD16">
            <v>0.14415507732509197</v>
          </cell>
          <cell r="AW16">
            <v>1</v>
          </cell>
          <cell r="AX16">
            <v>0</v>
          </cell>
        </row>
        <row r="17">
          <cell r="Q17">
            <v>18.50277777777778</v>
          </cell>
          <cell r="T17">
            <v>18.50277777777778</v>
          </cell>
          <cell r="AA17">
            <v>85.889515817593903</v>
          </cell>
          <cell r="AD17">
            <v>0.14917923988719856</v>
          </cell>
          <cell r="AW17">
            <v>1</v>
          </cell>
          <cell r="AX17">
            <v>9.9000000000000008E-3</v>
          </cell>
        </row>
        <row r="18">
          <cell r="Q18">
            <v>19.758333333333333</v>
          </cell>
          <cell r="T18">
            <v>19.758333333333333</v>
          </cell>
          <cell r="AA18">
            <v>84.333985086676847</v>
          </cell>
          <cell r="AD18">
            <v>0.17025384693155393</v>
          </cell>
          <cell r="AW18">
            <v>2</v>
          </cell>
          <cell r="AX18">
            <v>8.8499999999999995E-2</v>
          </cell>
        </row>
        <row r="19">
          <cell r="Q19">
            <v>21.013888888888893</v>
          </cell>
          <cell r="T19">
            <v>21.013888888888893</v>
          </cell>
          <cell r="AA19">
            <v>84.42535711153532</v>
          </cell>
          <cell r="AD19">
            <v>0.17546605344851385</v>
          </cell>
          <cell r="AW19">
            <v>2</v>
          </cell>
          <cell r="AX19">
            <v>0</v>
          </cell>
        </row>
        <row r="20">
          <cell r="Q20">
            <v>22.244444444444447</v>
          </cell>
          <cell r="T20">
            <v>22.244444444444447</v>
          </cell>
          <cell r="AA20">
            <v>84.287002034517627</v>
          </cell>
          <cell r="AD20">
            <v>0.18690965666479742</v>
          </cell>
          <cell r="AW20">
            <v>2</v>
          </cell>
          <cell r="AX20">
            <v>7.6300000000000007E-2</v>
          </cell>
        </row>
        <row r="21">
          <cell r="Q21">
            <v>23.475000000000001</v>
          </cell>
          <cell r="T21">
            <v>23.475000000000001</v>
          </cell>
          <cell r="AA21">
            <v>85.743863266505912</v>
          </cell>
          <cell r="AD21">
            <v>0.17674096483421151</v>
          </cell>
          <cell r="AW21">
            <v>1</v>
          </cell>
          <cell r="AX21">
            <v>1.84E-2</v>
          </cell>
        </row>
        <row r="22">
          <cell r="Q22">
            <v>24.730555555555561</v>
          </cell>
          <cell r="T22">
            <v>24.730555555555561</v>
          </cell>
          <cell r="AA22">
            <v>83.503066317671184</v>
          </cell>
          <cell r="AD22">
            <v>0.1708056045139078</v>
          </cell>
          <cell r="AW22">
            <v>2</v>
          </cell>
          <cell r="AX22">
            <v>0.13900000000000001</v>
          </cell>
        </row>
        <row r="23">
          <cell r="Q23">
            <v>25.986111111111114</v>
          </cell>
          <cell r="T23">
            <v>25.986111111111114</v>
          </cell>
          <cell r="AA23">
            <v>82.129742826393681</v>
          </cell>
          <cell r="AD23">
            <v>0.1966726030863378</v>
          </cell>
          <cell r="AW23">
            <v>2</v>
          </cell>
          <cell r="AX23">
            <v>5.96E-2</v>
          </cell>
        </row>
        <row r="24">
          <cell r="Q24">
            <v>27.241666666666674</v>
          </cell>
          <cell r="T24">
            <v>27.241666666666674</v>
          </cell>
          <cell r="AA24">
            <v>80.344159774926055</v>
          </cell>
          <cell r="AD24">
            <v>0.21420061894605849</v>
          </cell>
          <cell r="AW24">
            <v>2</v>
          </cell>
          <cell r="AX24">
            <v>2.4799999999999999E-2</v>
          </cell>
        </row>
        <row r="25">
          <cell r="Q25">
            <v>28.522222222222229</v>
          </cell>
          <cell r="T25">
            <v>28.522222222222229</v>
          </cell>
          <cell r="AA25">
            <v>85.390526223337005</v>
          </cell>
          <cell r="AD25">
            <v>0.14604002864886165</v>
          </cell>
          <cell r="AW25">
            <v>2</v>
          </cell>
          <cell r="AX25">
            <v>1.5299999999999999E-2</v>
          </cell>
        </row>
        <row r="26">
          <cell r="Q26">
            <v>29.777777777777786</v>
          </cell>
          <cell r="T26">
            <v>29.777777777777786</v>
          </cell>
          <cell r="AA26">
            <v>85.035147167325178</v>
          </cell>
          <cell r="AD26">
            <v>0.14908059889373507</v>
          </cell>
          <cell r="AW26">
            <v>1</v>
          </cell>
          <cell r="AX26">
            <v>0</v>
          </cell>
        </row>
        <row r="27">
          <cell r="Q27">
            <v>30.983333333333341</v>
          </cell>
          <cell r="T27">
            <v>30.983333333333341</v>
          </cell>
          <cell r="AA27">
            <v>85.381434337913731</v>
          </cell>
          <cell r="AD27">
            <v>0.18568026706483834</v>
          </cell>
          <cell r="AW27">
            <v>1</v>
          </cell>
          <cell r="AX27">
            <v>8.6400000000000005E-2</v>
          </cell>
        </row>
        <row r="28">
          <cell r="Q28">
            <v>32.163888888888899</v>
          </cell>
          <cell r="T28">
            <v>32.163888888888899</v>
          </cell>
          <cell r="AA28">
            <v>80.077185900770587</v>
          </cell>
          <cell r="AD28">
            <v>0.21889763284616537</v>
          </cell>
          <cell r="AW28">
            <v>2</v>
          </cell>
          <cell r="AX28">
            <v>0.5665</v>
          </cell>
        </row>
        <row r="29">
          <cell r="Q29">
            <v>33.344444444444456</v>
          </cell>
          <cell r="T29">
            <v>33.344444444444456</v>
          </cell>
          <cell r="AA29">
            <v>83.360262523115665</v>
          </cell>
          <cell r="AD29">
            <v>0.17604218093114626</v>
          </cell>
          <cell r="AW29">
            <v>2</v>
          </cell>
          <cell r="AX29">
            <v>6.4699999999999994E-2</v>
          </cell>
        </row>
        <row r="30">
          <cell r="Q30">
            <v>34.500000000000014</v>
          </cell>
          <cell r="T30">
            <v>34.500000000000014</v>
          </cell>
          <cell r="AA30">
            <v>83.229846233730356</v>
          </cell>
          <cell r="AD30">
            <v>0.19797272941731531</v>
          </cell>
          <cell r="AW30">
            <v>2</v>
          </cell>
          <cell r="AX30">
            <v>3.2899999999999999E-2</v>
          </cell>
        </row>
        <row r="31">
          <cell r="Q31">
            <v>35.605555555555569</v>
          </cell>
          <cell r="T31">
            <v>35.605555555555569</v>
          </cell>
          <cell r="AA31">
            <v>81.361350029030859</v>
          </cell>
          <cell r="AD31">
            <v>0.2318609838552522</v>
          </cell>
          <cell r="AW31">
            <v>2</v>
          </cell>
          <cell r="AX31">
            <v>7.0499999999999993E-2</v>
          </cell>
        </row>
        <row r="32">
          <cell r="Q32">
            <v>36.736111111111121</v>
          </cell>
          <cell r="T32">
            <v>36.736111111111121</v>
          </cell>
          <cell r="AA32">
            <v>78.209473669092503</v>
          </cell>
          <cell r="AD32">
            <v>0.3038172756732595</v>
          </cell>
          <cell r="AW32">
            <v>2</v>
          </cell>
          <cell r="AX32">
            <v>0</v>
          </cell>
        </row>
        <row r="33">
          <cell r="Q33">
            <v>37.916666666666679</v>
          </cell>
          <cell r="T33">
            <v>37.916666666666679</v>
          </cell>
          <cell r="AA33">
            <v>78.11931924374052</v>
          </cell>
          <cell r="AD33">
            <v>0.28457634279866267</v>
          </cell>
          <cell r="AW33">
            <v>2</v>
          </cell>
          <cell r="AX33">
            <v>0.2616</v>
          </cell>
        </row>
        <row r="34">
          <cell r="Q34">
            <v>39.122222222222234</v>
          </cell>
          <cell r="T34">
            <v>39.122222222222234</v>
          </cell>
          <cell r="AA34">
            <v>83.073579523090118</v>
          </cell>
          <cell r="AD34">
            <v>0.21435603179910392</v>
          </cell>
          <cell r="AW34">
            <v>1</v>
          </cell>
          <cell r="AX34">
            <v>0</v>
          </cell>
        </row>
        <row r="35">
          <cell r="Q35">
            <v>40.277777777777786</v>
          </cell>
          <cell r="T35">
            <v>40.277777777777786</v>
          </cell>
          <cell r="AA35">
            <v>85.204179669352726</v>
          </cell>
          <cell r="AD35">
            <v>0.18368256664307617</v>
          </cell>
          <cell r="AW35">
            <v>2</v>
          </cell>
          <cell r="AX35">
            <v>3.6900000000000002E-2</v>
          </cell>
        </row>
        <row r="36">
          <cell r="Q36">
            <v>41.433333333333344</v>
          </cell>
          <cell r="T36">
            <v>41.433333333333344</v>
          </cell>
          <cell r="AA36">
            <v>80.526539477211173</v>
          </cell>
          <cell r="AD36">
            <v>0.25962259023354567</v>
          </cell>
          <cell r="AW36">
            <v>2</v>
          </cell>
          <cell r="AX36">
            <v>0.1968</v>
          </cell>
        </row>
        <row r="37">
          <cell r="Q37">
            <v>42.613888888888901</v>
          </cell>
          <cell r="T37">
            <v>42.613888888888901</v>
          </cell>
          <cell r="AA37">
            <v>84.248570576160887</v>
          </cell>
          <cell r="AD37">
            <v>0.20994120554212778</v>
          </cell>
          <cell r="AW37">
            <v>2</v>
          </cell>
          <cell r="AX37">
            <v>0</v>
          </cell>
        </row>
        <row r="38">
          <cell r="Q38">
            <v>43.76944444444446</v>
          </cell>
          <cell r="T38">
            <v>43.76944444444446</v>
          </cell>
          <cell r="AA38">
            <v>83.289114150799264</v>
          </cell>
          <cell r="AD38">
            <v>0.20911442203138919</v>
          </cell>
          <cell r="AW38">
            <v>2</v>
          </cell>
          <cell r="AX38">
            <v>0.629</v>
          </cell>
        </row>
        <row r="39">
          <cell r="Q39">
            <v>44.90000000000002</v>
          </cell>
          <cell r="T39">
            <v>44.90000000000002</v>
          </cell>
          <cell r="AA39">
            <v>82.273506490220399</v>
          </cell>
          <cell r="AD39">
            <v>0.19994550556962512</v>
          </cell>
          <cell r="AW39">
            <v>1</v>
          </cell>
          <cell r="AX39">
            <v>0</v>
          </cell>
        </row>
        <row r="40">
          <cell r="Q40">
            <v>46.005555555555574</v>
          </cell>
          <cell r="T40">
            <v>46.005555555555574</v>
          </cell>
          <cell r="AA40">
            <v>86.062452918763711</v>
          </cell>
          <cell r="AD40">
            <v>0.18217907262252439</v>
          </cell>
          <cell r="AW40">
            <v>2</v>
          </cell>
          <cell r="AX40">
            <v>0</v>
          </cell>
        </row>
        <row r="41">
          <cell r="Q41">
            <v>47.136111111111127</v>
          </cell>
          <cell r="T41">
            <v>47.136111111111127</v>
          </cell>
          <cell r="AA41">
            <v>87.455109637338296</v>
          </cell>
          <cell r="AD41">
            <v>0.12939697563656771</v>
          </cell>
          <cell r="AW41">
            <v>0</v>
          </cell>
          <cell r="AX41" t="str">
            <v>NA</v>
          </cell>
        </row>
        <row r="42">
          <cell r="Q42">
            <v>48.291666666666686</v>
          </cell>
          <cell r="T42">
            <v>48.291666666666686</v>
          </cell>
          <cell r="AA42">
            <v>87.835451462063418</v>
          </cell>
          <cell r="AD42">
            <v>0.134924422843576</v>
          </cell>
          <cell r="AW42">
            <v>0</v>
          </cell>
          <cell r="AX42" t="str">
            <v>NA</v>
          </cell>
        </row>
        <row r="43">
          <cell r="Q43">
            <v>49.89722222222224</v>
          </cell>
          <cell r="T43">
            <v>49.89722222222224</v>
          </cell>
          <cell r="AA43">
            <v>87.462902920046801</v>
          </cell>
          <cell r="AD43">
            <v>0.14888877228978867</v>
          </cell>
          <cell r="AW43">
            <v>1</v>
          </cell>
          <cell r="AX43">
            <v>0.01</v>
          </cell>
        </row>
        <row r="44">
          <cell r="Q44">
            <v>40.75</v>
          </cell>
          <cell r="T44">
            <v>34.75</v>
          </cell>
          <cell r="AA44">
            <v>72.617323046861856</v>
          </cell>
          <cell r="AD44">
            <v>0.18169552843661751</v>
          </cell>
          <cell r="AW44">
            <v>2</v>
          </cell>
          <cell r="AX44">
            <v>0</v>
          </cell>
        </row>
        <row r="45">
          <cell r="Q45">
            <v>42.186585365853659</v>
          </cell>
          <cell r="T45">
            <v>36.186585365853659</v>
          </cell>
          <cell r="AA45">
            <v>79.347112473818854</v>
          </cell>
          <cell r="AD45">
            <v>0.37511251866119927</v>
          </cell>
          <cell r="AW45">
            <v>1</v>
          </cell>
          <cell r="AX45">
            <v>0</v>
          </cell>
        </row>
        <row r="46">
          <cell r="Q46">
            <v>43.373170731707326</v>
          </cell>
          <cell r="T46">
            <v>37.373170731707326</v>
          </cell>
          <cell r="AA46">
            <v>73.89225263178912</v>
          </cell>
          <cell r="AD46">
            <v>0.30214157786769191</v>
          </cell>
          <cell r="AW46">
            <v>2</v>
          </cell>
          <cell r="AX46">
            <v>6.1000000000000004E-3</v>
          </cell>
        </row>
        <row r="47">
          <cell r="Q47">
            <v>44.509756097560988</v>
          </cell>
          <cell r="T47">
            <v>38.509756097560988</v>
          </cell>
          <cell r="AA47">
            <v>73.715680485375202</v>
          </cell>
          <cell r="AD47">
            <v>0.35117699713581635</v>
          </cell>
          <cell r="AW47">
            <v>2</v>
          </cell>
          <cell r="AX47">
            <v>0.184</v>
          </cell>
        </row>
        <row r="48">
          <cell r="Q48">
            <v>46.171341463414649</v>
          </cell>
          <cell r="T48">
            <v>40.171341463414649</v>
          </cell>
          <cell r="AA48">
            <v>82.576953062917738</v>
          </cell>
          <cell r="AD48">
            <v>9.6088939518257352E-2</v>
          </cell>
          <cell r="AW48">
            <v>2</v>
          </cell>
          <cell r="AX48">
            <v>0</v>
          </cell>
        </row>
        <row r="49">
          <cell r="Q49">
            <v>47.83292682926831</v>
          </cell>
          <cell r="T49">
            <v>41.83292682926831</v>
          </cell>
          <cell r="AA49">
            <v>84.670618857648549</v>
          </cell>
          <cell r="AD49">
            <v>0.17114657995720459</v>
          </cell>
          <cell r="AW49">
            <v>2</v>
          </cell>
          <cell r="AX49">
            <v>0</v>
          </cell>
        </row>
        <row r="50">
          <cell r="Q50">
            <v>48.99451219512197</v>
          </cell>
          <cell r="T50">
            <v>42.99451219512197</v>
          </cell>
          <cell r="AA50">
            <v>84.785316894653391</v>
          </cell>
          <cell r="AD50">
            <v>0.17595400981812864</v>
          </cell>
          <cell r="AW50">
            <v>2</v>
          </cell>
          <cell r="AX50">
            <v>0</v>
          </cell>
        </row>
        <row r="51">
          <cell r="Q51">
            <v>50.156097560975631</v>
          </cell>
          <cell r="T51">
            <v>44.156097560975631</v>
          </cell>
          <cell r="AA51">
            <v>83.760348460521143</v>
          </cell>
          <cell r="AD51">
            <v>0.18711144894993278</v>
          </cell>
          <cell r="AW51">
            <v>2</v>
          </cell>
          <cell r="AX51">
            <v>0</v>
          </cell>
        </row>
        <row r="52">
          <cell r="Q52">
            <v>51.292682926829293</v>
          </cell>
          <cell r="T52">
            <v>45.292682926829293</v>
          </cell>
          <cell r="AA52">
            <v>85.901352996192259</v>
          </cell>
          <cell r="AD52">
            <v>0.15477543637467414</v>
          </cell>
          <cell r="AW52">
            <v>2</v>
          </cell>
          <cell r="AX52">
            <v>0</v>
          </cell>
        </row>
        <row r="53">
          <cell r="Q53">
            <v>52.429268292682956</v>
          </cell>
          <cell r="T53">
            <v>46.429268292682956</v>
          </cell>
          <cell r="AA53">
            <v>84.862907578284194</v>
          </cell>
          <cell r="AD53">
            <v>0.17866746867511882</v>
          </cell>
          <cell r="AW53">
            <v>0</v>
          </cell>
          <cell r="AX53">
            <v>0</v>
          </cell>
        </row>
        <row r="54">
          <cell r="Q54">
            <v>53.565853658536618</v>
          </cell>
          <cell r="T54">
            <v>47.565853658536618</v>
          </cell>
          <cell r="AA54">
            <v>85.551251634625203</v>
          </cell>
          <cell r="AD54">
            <v>0.16667594122964979</v>
          </cell>
          <cell r="AW54">
            <v>2</v>
          </cell>
          <cell r="AX54">
            <v>0</v>
          </cell>
        </row>
        <row r="55">
          <cell r="Q55">
            <v>54.70243902439028</v>
          </cell>
          <cell r="T55">
            <v>48.70243902439028</v>
          </cell>
          <cell r="AA55">
            <v>83.572968518004558</v>
          </cell>
          <cell r="AD55">
            <v>0.18475035322344324</v>
          </cell>
          <cell r="AW55">
            <v>2</v>
          </cell>
          <cell r="AX55">
            <v>6.1199999999999997E-2</v>
          </cell>
        </row>
        <row r="56">
          <cell r="Q56">
            <v>55.839024390243942</v>
          </cell>
          <cell r="T56">
            <v>49.839024390243942</v>
          </cell>
          <cell r="AA56">
            <v>77.63395108658834</v>
          </cell>
          <cell r="AD56">
            <v>0.27691250265756823</v>
          </cell>
          <cell r="AW56">
            <v>2</v>
          </cell>
          <cell r="AX56">
            <v>0.17730000000000001</v>
          </cell>
        </row>
        <row r="57">
          <cell r="Q57">
            <v>56.975609756097604</v>
          </cell>
          <cell r="T57">
            <v>50.975609756097604</v>
          </cell>
          <cell r="AA57">
            <v>86.188483295533018</v>
          </cell>
          <cell r="AD57">
            <v>0.16440041410047201</v>
          </cell>
          <cell r="AW57">
            <v>2</v>
          </cell>
          <cell r="AX57">
            <v>4.7100000000000003E-2</v>
          </cell>
        </row>
        <row r="58">
          <cell r="Q58">
            <v>58.112195121951267</v>
          </cell>
          <cell r="T58">
            <v>52.112195121951267</v>
          </cell>
          <cell r="AA58">
            <v>86.80633306550402</v>
          </cell>
          <cell r="AD58">
            <v>0.16037996043925332</v>
          </cell>
          <cell r="AW58">
            <v>2</v>
          </cell>
          <cell r="AX58">
            <v>0</v>
          </cell>
        </row>
        <row r="59">
          <cell r="Q59">
            <v>59.248780487804929</v>
          </cell>
          <cell r="T59">
            <v>53.248780487804929</v>
          </cell>
          <cell r="AA59">
            <v>86.454860145074804</v>
          </cell>
          <cell r="AD59">
            <v>0.23382992513129952</v>
          </cell>
          <cell r="AW59">
            <v>1</v>
          </cell>
          <cell r="AX59">
            <v>0</v>
          </cell>
        </row>
        <row r="60">
          <cell r="Q60">
            <v>60.385365853658591</v>
          </cell>
          <cell r="T60">
            <v>54.385365853658591</v>
          </cell>
          <cell r="AA60">
            <v>87.122225588938576</v>
          </cell>
          <cell r="AD60">
            <v>0.16236350011032219</v>
          </cell>
          <cell r="AW60">
            <v>1</v>
          </cell>
          <cell r="AX60">
            <v>0</v>
          </cell>
        </row>
        <row r="61">
          <cell r="Q61">
            <v>61.521951219512253</v>
          </cell>
          <cell r="T61">
            <v>55.521951219512253</v>
          </cell>
          <cell r="AA61">
            <v>86.981795146654022</v>
          </cell>
          <cell r="AD61">
            <v>0.16264445489247489</v>
          </cell>
          <cell r="AW61">
            <v>2</v>
          </cell>
          <cell r="AX61">
            <v>0</v>
          </cell>
        </row>
        <row r="62">
          <cell r="Q62">
            <v>62.658536585365916</v>
          </cell>
          <cell r="T62">
            <v>56.658536585365916</v>
          </cell>
          <cell r="AA62">
            <v>86.848285620314925</v>
          </cell>
          <cell r="AD62">
            <v>0.16633194679145541</v>
          </cell>
          <cell r="AW62">
            <v>1</v>
          </cell>
          <cell r="AX62">
            <v>0</v>
          </cell>
        </row>
        <row r="63">
          <cell r="Q63">
            <v>63.795121951219585</v>
          </cell>
          <cell r="T63">
            <v>57.795121951219578</v>
          </cell>
          <cell r="AA63">
            <v>86.561941185267045</v>
          </cell>
          <cell r="AD63">
            <v>0.16852738151637975</v>
          </cell>
          <cell r="AW63">
            <v>0</v>
          </cell>
          <cell r="AX63">
            <v>0</v>
          </cell>
        </row>
        <row r="64">
          <cell r="Q64">
            <v>64.931707317073247</v>
          </cell>
          <cell r="T64">
            <v>58.931707317073247</v>
          </cell>
          <cell r="AA64">
            <v>87.790855286200227</v>
          </cell>
          <cell r="AD64">
            <v>0.14375740842674861</v>
          </cell>
          <cell r="AW64">
            <v>2</v>
          </cell>
          <cell r="AX64">
            <v>0</v>
          </cell>
        </row>
        <row r="65">
          <cell r="Q65">
            <v>66.068292682926909</v>
          </cell>
          <cell r="T65">
            <v>60.068292682926909</v>
          </cell>
          <cell r="AA65">
            <v>86.47745805358899</v>
          </cell>
          <cell r="AD65">
            <v>0.17113138502718328</v>
          </cell>
          <cell r="AW65">
            <v>2</v>
          </cell>
          <cell r="AX65">
            <v>0</v>
          </cell>
        </row>
        <row r="66">
          <cell r="Q66">
            <v>67.204878048780571</v>
          </cell>
          <cell r="T66">
            <v>61.204878048780571</v>
          </cell>
          <cell r="AA66">
            <v>85.639158317109732</v>
          </cell>
          <cell r="AD66">
            <v>0.18638818992155554</v>
          </cell>
          <cell r="AW66">
            <v>2</v>
          </cell>
          <cell r="AX66">
            <v>0.12039999999999999</v>
          </cell>
        </row>
        <row r="67">
          <cell r="Q67">
            <v>68.341463414634234</v>
          </cell>
          <cell r="T67">
            <v>62.341463414634234</v>
          </cell>
          <cell r="AA67">
            <v>86.28173398679931</v>
          </cell>
          <cell r="AD67">
            <v>0.1735723561553702</v>
          </cell>
          <cell r="AW67">
            <v>1</v>
          </cell>
          <cell r="AX67">
            <v>6.7000000000000002E-3</v>
          </cell>
        </row>
        <row r="68">
          <cell r="Q68">
            <v>69.478048780487896</v>
          </cell>
          <cell r="T68">
            <v>63.478048780487896</v>
          </cell>
          <cell r="AA68">
            <v>84.306572432977035</v>
          </cell>
          <cell r="AD68">
            <v>0.21367236366831099</v>
          </cell>
          <cell r="AW68">
            <v>1</v>
          </cell>
          <cell r="AX68">
            <v>0</v>
          </cell>
        </row>
        <row r="69">
          <cell r="Q69">
            <v>70.639634146341564</v>
          </cell>
          <cell r="T69">
            <v>64.639634146341564</v>
          </cell>
          <cell r="AA69">
            <v>77.015321597280689</v>
          </cell>
          <cell r="AD69">
            <v>0.31326189189981435</v>
          </cell>
          <cell r="AW69">
            <v>2</v>
          </cell>
          <cell r="AX69">
            <v>1.5900000000000001E-2</v>
          </cell>
        </row>
        <row r="70">
          <cell r="Q70">
            <v>71.776219512195212</v>
          </cell>
          <cell r="T70">
            <v>65.776219512195212</v>
          </cell>
          <cell r="AA70">
            <v>80.728326951292303</v>
          </cell>
          <cell r="AD70">
            <v>0.24112372181885419</v>
          </cell>
          <cell r="AW70">
            <v>2</v>
          </cell>
          <cell r="AX70">
            <v>0.14019999999999999</v>
          </cell>
        </row>
        <row r="71">
          <cell r="Q71">
            <v>72.887804878048883</v>
          </cell>
          <cell r="T71">
            <v>66.887804878048883</v>
          </cell>
          <cell r="AA71">
            <v>78.864910697762923</v>
          </cell>
          <cell r="AD71">
            <v>0.28026222897225922</v>
          </cell>
          <cell r="AW71">
            <v>2</v>
          </cell>
          <cell r="AX71">
            <v>0.37880000000000003</v>
          </cell>
        </row>
        <row r="72">
          <cell r="Q72">
            <v>74.024390243902545</v>
          </cell>
          <cell r="T72">
            <v>68.024390243902545</v>
          </cell>
          <cell r="AA72">
            <v>81.976186433704399</v>
          </cell>
          <cell r="AD72">
            <v>0.22599310570571016</v>
          </cell>
          <cell r="AW72">
            <v>2</v>
          </cell>
          <cell r="AX72">
            <v>2.0500000000000001E-2</v>
          </cell>
        </row>
        <row r="73">
          <cell r="Q73">
            <v>75.210975609756204</v>
          </cell>
          <cell r="T73">
            <v>69.210975609756204</v>
          </cell>
          <cell r="AA73">
            <v>76.844314180854155</v>
          </cell>
          <cell r="AD73">
            <v>0.30347738567595156</v>
          </cell>
          <cell r="AW73">
            <v>2</v>
          </cell>
          <cell r="AX73">
            <v>0.1232</v>
          </cell>
        </row>
        <row r="74">
          <cell r="Q74">
            <v>76.397560975609863</v>
          </cell>
          <cell r="T74">
            <v>70.397560975609863</v>
          </cell>
          <cell r="AA74">
            <v>82.449837062868568</v>
          </cell>
          <cell r="AD74">
            <v>0.22528039439413414</v>
          </cell>
          <cell r="AW74">
            <v>1</v>
          </cell>
          <cell r="AX74">
            <v>0</v>
          </cell>
        </row>
        <row r="75">
          <cell r="Q75">
            <v>77.584146341463523</v>
          </cell>
          <cell r="T75">
            <v>71.584146341463523</v>
          </cell>
          <cell r="AA75">
            <v>83.94505465039191</v>
          </cell>
          <cell r="AD75">
            <v>0.19089494304057134</v>
          </cell>
          <cell r="AW75">
            <v>1</v>
          </cell>
          <cell r="AX75">
            <v>0</v>
          </cell>
        </row>
        <row r="76">
          <cell r="Q76">
            <v>78.795731707317174</v>
          </cell>
          <cell r="T76">
            <v>72.795731707317174</v>
          </cell>
          <cell r="AA76">
            <v>85.145038691890662</v>
          </cell>
          <cell r="AD76">
            <v>0.17767335623035413</v>
          </cell>
          <cell r="AW76">
            <v>2</v>
          </cell>
          <cell r="AX76">
            <v>9.6699999999999994E-2</v>
          </cell>
        </row>
        <row r="77">
          <cell r="Q77">
            <v>79.982317073170833</v>
          </cell>
          <cell r="T77">
            <v>73.982317073170833</v>
          </cell>
          <cell r="AA77">
            <v>84.373296905666834</v>
          </cell>
          <cell r="AD77">
            <v>0.20211015627477263</v>
          </cell>
          <cell r="AW77">
            <v>2</v>
          </cell>
          <cell r="AX77">
            <v>1.0500000000000001E-2</v>
          </cell>
        </row>
        <row r="78">
          <cell r="Q78">
            <v>81.143902439024501</v>
          </cell>
          <cell r="T78">
            <v>75.143902439024501</v>
          </cell>
          <cell r="AA78">
            <v>84.108351999451799</v>
          </cell>
          <cell r="AD78">
            <v>0.2234638154218937</v>
          </cell>
          <cell r="AW78">
            <v>1</v>
          </cell>
          <cell r="AX78">
            <v>7.1999999999999998E-3</v>
          </cell>
        </row>
        <row r="79">
          <cell r="Q79">
            <v>82.280487804878163</v>
          </cell>
          <cell r="T79">
            <v>76.280487804878163</v>
          </cell>
          <cell r="AA79">
            <v>84.473287857945024</v>
          </cell>
          <cell r="AD79">
            <v>0.20871841262177557</v>
          </cell>
          <cell r="AW79">
            <v>2</v>
          </cell>
          <cell r="AX79">
            <v>0.1145</v>
          </cell>
        </row>
        <row r="80">
          <cell r="Q80">
            <v>83.417073170731825</v>
          </cell>
          <cell r="T80">
            <v>77.417073170731825</v>
          </cell>
          <cell r="AA80">
            <v>82.550834126352186</v>
          </cell>
          <cell r="AD80">
            <v>0.22106975997631761</v>
          </cell>
          <cell r="AW80">
            <v>2</v>
          </cell>
          <cell r="AX80">
            <v>1.83E-2</v>
          </cell>
        </row>
        <row r="81">
          <cell r="Q81">
            <v>84.578658536585493</v>
          </cell>
          <cell r="T81">
            <v>78.578658536585493</v>
          </cell>
          <cell r="AA81">
            <v>83.350383666368117</v>
          </cell>
          <cell r="AD81">
            <v>0.21008658801600683</v>
          </cell>
          <cell r="AW81">
            <v>1</v>
          </cell>
          <cell r="AX81">
            <v>1.0200000000000001E-2</v>
          </cell>
        </row>
        <row r="82">
          <cell r="Q82">
            <v>85.790243902439144</v>
          </cell>
          <cell r="T82">
            <v>79.790243902439144</v>
          </cell>
          <cell r="AA82">
            <v>78.816863359736232</v>
          </cell>
          <cell r="AD82">
            <v>0.20553651574806739</v>
          </cell>
          <cell r="AW82">
            <v>0</v>
          </cell>
          <cell r="AX82" t="str">
            <v>NA</v>
          </cell>
        </row>
        <row r="83">
          <cell r="Q83">
            <v>86.976829268292803</v>
          </cell>
          <cell r="T83">
            <v>80.976829268292803</v>
          </cell>
          <cell r="AA83">
            <v>75.823265415759977</v>
          </cell>
          <cell r="AD83">
            <v>0.30131000080811637</v>
          </cell>
          <cell r="AW83">
            <v>1</v>
          </cell>
          <cell r="AX83">
            <v>0</v>
          </cell>
        </row>
        <row r="84">
          <cell r="Q84">
            <v>88.113414634146466</v>
          </cell>
          <cell r="T84">
            <v>82.113414634146466</v>
          </cell>
          <cell r="AA84">
            <v>77.000791726912311</v>
          </cell>
          <cell r="AD84">
            <v>0.25243018531624328</v>
          </cell>
          <cell r="AW84">
            <v>1</v>
          </cell>
          <cell r="AX84">
            <v>4.2599999999999999E-2</v>
          </cell>
        </row>
        <row r="85">
          <cell r="Q85">
            <v>89.375000000000128</v>
          </cell>
          <cell r="T85">
            <v>83.375000000000128</v>
          </cell>
          <cell r="AA85">
            <v>79.816995716743605</v>
          </cell>
          <cell r="AD85">
            <v>0.22915917218101159</v>
          </cell>
          <cell r="AW85">
            <v>2</v>
          </cell>
          <cell r="AX85">
            <v>1.78E-2</v>
          </cell>
        </row>
        <row r="86">
          <cell r="Q86">
            <v>80.5</v>
          </cell>
          <cell r="T86">
            <v>80.5</v>
          </cell>
          <cell r="AA86">
            <v>83.748298064233069</v>
          </cell>
          <cell r="AD86">
            <v>0.17148834683119007</v>
          </cell>
          <cell r="AW86">
            <v>1</v>
          </cell>
          <cell r="AX86">
            <v>2.1499999999999998E-2</v>
          </cell>
        </row>
        <row r="87">
          <cell r="Q87">
            <v>81.684523809523796</v>
          </cell>
          <cell r="T87">
            <v>81.684523809523796</v>
          </cell>
          <cell r="AA87">
            <v>83.06521777956948</v>
          </cell>
          <cell r="AD87">
            <v>0.19441756705354082</v>
          </cell>
          <cell r="AW87">
            <v>1</v>
          </cell>
          <cell r="AX87">
            <v>0</v>
          </cell>
        </row>
        <row r="88">
          <cell r="Q88">
            <v>82.894047619047598</v>
          </cell>
          <cell r="T88">
            <v>82.894047619047598</v>
          </cell>
          <cell r="AA88">
            <v>82.286169849284391</v>
          </cell>
          <cell r="AD88">
            <v>0.18151894264666027</v>
          </cell>
          <cell r="AW88">
            <v>1</v>
          </cell>
          <cell r="AX88">
            <v>2.46E-2</v>
          </cell>
        </row>
        <row r="89">
          <cell r="Q89">
            <v>84.103571428571399</v>
          </cell>
          <cell r="T89">
            <v>84.103571428571399</v>
          </cell>
          <cell r="AA89">
            <v>83.820391713472901</v>
          </cell>
          <cell r="AD89">
            <v>0.20355243903702708</v>
          </cell>
          <cell r="AW89">
            <v>1</v>
          </cell>
          <cell r="AX89">
            <v>0</v>
          </cell>
        </row>
        <row r="90">
          <cell r="Q90">
            <v>85.313095238095201</v>
          </cell>
          <cell r="T90">
            <v>85.313095238095201</v>
          </cell>
          <cell r="AA90">
            <v>83.376896200426472</v>
          </cell>
          <cell r="AD90">
            <v>0.18424702644918742</v>
          </cell>
          <cell r="AW90">
            <v>2</v>
          </cell>
          <cell r="AX90">
            <v>4.7899999999999998E-2</v>
          </cell>
        </row>
        <row r="91">
          <cell r="Q91">
            <v>86.522619047619003</v>
          </cell>
          <cell r="T91">
            <v>86.522619047619003</v>
          </cell>
          <cell r="AA91">
            <v>85.099562086232439</v>
          </cell>
          <cell r="AD91">
            <v>0.17484112805775964</v>
          </cell>
          <cell r="AW91">
            <v>0</v>
          </cell>
          <cell r="AX91" t="str">
            <v>NA</v>
          </cell>
        </row>
        <row r="92">
          <cell r="Q92">
            <v>87.707142857142813</v>
          </cell>
          <cell r="T92">
            <v>87.707142857142813</v>
          </cell>
          <cell r="AA92">
            <v>85.05252071784291</v>
          </cell>
          <cell r="AD92">
            <v>0.17316087832701804</v>
          </cell>
          <cell r="AW92">
            <v>2</v>
          </cell>
          <cell r="AX92">
            <v>6.4000000000000003E-3</v>
          </cell>
        </row>
        <row r="93">
          <cell r="Q93">
            <v>88.841666666666612</v>
          </cell>
          <cell r="T93">
            <v>88.841666666666612</v>
          </cell>
          <cell r="AA93">
            <v>85.229494945983305</v>
          </cell>
          <cell r="AD93">
            <v>0.19062993184406543</v>
          </cell>
          <cell r="AW93">
            <v>2</v>
          </cell>
          <cell r="AX93">
            <v>7.7999999999999996E-3</v>
          </cell>
        </row>
        <row r="94">
          <cell r="Q94">
            <v>89.976190476190425</v>
          </cell>
          <cell r="T94">
            <v>89.976190476190425</v>
          </cell>
          <cell r="AA94">
            <v>82.272854334407171</v>
          </cell>
          <cell r="AD94">
            <v>0.19439440193972274</v>
          </cell>
          <cell r="AW94">
            <v>1</v>
          </cell>
          <cell r="AX94">
            <v>0</v>
          </cell>
        </row>
        <row r="95">
          <cell r="Q95">
            <v>91.135714285714229</v>
          </cell>
          <cell r="T95">
            <v>91.135714285714229</v>
          </cell>
          <cell r="AA95">
            <v>83.766919288071662</v>
          </cell>
          <cell r="AD95">
            <v>0.17355253492874056</v>
          </cell>
          <cell r="AW95">
            <v>0</v>
          </cell>
          <cell r="AX95" t="str">
            <v>NA</v>
          </cell>
        </row>
        <row r="96">
          <cell r="Q96">
            <v>92.295238095238034</v>
          </cell>
          <cell r="T96">
            <v>92.295238095238034</v>
          </cell>
          <cell r="AA96">
            <v>84.078170208726306</v>
          </cell>
          <cell r="AD96">
            <v>0.1764715952659342</v>
          </cell>
          <cell r="AW96">
            <v>2</v>
          </cell>
          <cell r="AX96">
            <v>0.55049999999999999</v>
          </cell>
        </row>
        <row r="97">
          <cell r="Q97">
            <v>93.454761904761838</v>
          </cell>
          <cell r="T97">
            <v>93.454761904761838</v>
          </cell>
          <cell r="AA97">
            <v>84.506875909682961</v>
          </cell>
          <cell r="AD97">
            <v>0.16976325760311201</v>
          </cell>
          <cell r="AW97">
            <v>2</v>
          </cell>
          <cell r="AX97">
            <v>1.26E-2</v>
          </cell>
        </row>
        <row r="98">
          <cell r="Q98">
            <v>94.53928571428564</v>
          </cell>
          <cell r="T98">
            <v>94.53928571428564</v>
          </cell>
          <cell r="AA98">
            <v>77.574882733151128</v>
          </cell>
          <cell r="AD98">
            <v>0.2382692644825774</v>
          </cell>
          <cell r="AW98">
            <v>2</v>
          </cell>
          <cell r="AX98">
            <v>0.1129</v>
          </cell>
        </row>
        <row r="99">
          <cell r="Q99">
            <v>95.623809523809442</v>
          </cell>
          <cell r="T99">
            <v>95.623809523809442</v>
          </cell>
          <cell r="AA99">
            <v>70.915055828273836</v>
          </cell>
          <cell r="AD99">
            <v>0.33056682090939266</v>
          </cell>
          <cell r="AW99">
            <v>2</v>
          </cell>
          <cell r="AX99">
            <v>0.1139</v>
          </cell>
        </row>
        <row r="100">
          <cell r="Q100">
            <v>96.783333333333246</v>
          </cell>
          <cell r="T100">
            <v>96.783333333333246</v>
          </cell>
          <cell r="AA100">
            <v>72.658826007121107</v>
          </cell>
          <cell r="AD100">
            <v>0.34513373162881117</v>
          </cell>
          <cell r="AW100">
            <v>2</v>
          </cell>
          <cell r="AX100">
            <v>0</v>
          </cell>
        </row>
        <row r="101">
          <cell r="Q101">
            <v>97.942857142857051</v>
          </cell>
          <cell r="T101">
            <v>97.942857142857051</v>
          </cell>
          <cell r="AA101">
            <v>78.619097955958821</v>
          </cell>
          <cell r="AD101">
            <v>0.25188913061839058</v>
          </cell>
          <cell r="AW101">
            <v>2</v>
          </cell>
          <cell r="AX101">
            <v>0.2102</v>
          </cell>
        </row>
        <row r="102">
          <cell r="Q102">
            <v>99.102380952380855</v>
          </cell>
          <cell r="T102">
            <v>99.102380952380855</v>
          </cell>
          <cell r="AA102">
            <v>82.615850323456755</v>
          </cell>
          <cell r="AD102">
            <v>0.20446078663925918</v>
          </cell>
          <cell r="AW102">
            <v>1</v>
          </cell>
          <cell r="AX102">
            <v>0</v>
          </cell>
        </row>
        <row r="103">
          <cell r="Q103">
            <v>100.28690476190465</v>
          </cell>
          <cell r="T103">
            <v>100.28690476190465</v>
          </cell>
          <cell r="AA103">
            <v>82.360193056914326</v>
          </cell>
          <cell r="AD103">
            <v>0.19224748663033367</v>
          </cell>
          <cell r="AW103">
            <v>1</v>
          </cell>
          <cell r="AX103">
            <v>0</v>
          </cell>
        </row>
        <row r="104">
          <cell r="Q104">
            <v>101.44642857142847</v>
          </cell>
          <cell r="T104">
            <v>101.44642857142847</v>
          </cell>
          <cell r="AA104">
            <v>82.850532667579628</v>
          </cell>
          <cell r="AD104">
            <v>0.18443301862512776</v>
          </cell>
          <cell r="AW104">
            <v>2</v>
          </cell>
          <cell r="AX104">
            <v>1.6799999999999999E-2</v>
          </cell>
        </row>
        <row r="105">
          <cell r="Q105">
            <v>102.58095238095227</v>
          </cell>
          <cell r="T105">
            <v>102.58095238095227</v>
          </cell>
          <cell r="AA105">
            <v>84.25364874076898</v>
          </cell>
          <cell r="AD105">
            <v>0.17716874594234172</v>
          </cell>
          <cell r="AW105">
            <v>2</v>
          </cell>
          <cell r="AX105">
            <v>8.2000000000000007E-3</v>
          </cell>
        </row>
        <row r="106">
          <cell r="Q106">
            <v>103.71547619047607</v>
          </cell>
          <cell r="T106">
            <v>103.71547619047607</v>
          </cell>
          <cell r="AA106">
            <v>83.170252249198171</v>
          </cell>
          <cell r="AD106">
            <v>0.19102597876549324</v>
          </cell>
          <cell r="AW106">
            <v>1</v>
          </cell>
          <cell r="AX106">
            <v>1.01E-2</v>
          </cell>
        </row>
        <row r="107">
          <cell r="Q107">
            <v>104.84999999999988</v>
          </cell>
          <cell r="T107">
            <v>104.84999999999988</v>
          </cell>
          <cell r="AA107">
            <v>83.492923908274165</v>
          </cell>
          <cell r="AD107">
            <v>0.1877594007115494</v>
          </cell>
          <cell r="AW107">
            <v>0</v>
          </cell>
          <cell r="AX107" t="str">
            <v>NA</v>
          </cell>
        </row>
        <row r="108">
          <cell r="Q108">
            <v>106.00952380952369</v>
          </cell>
          <cell r="T108">
            <v>106.00952380952369</v>
          </cell>
          <cell r="AA108">
            <v>84.85642014124123</v>
          </cell>
          <cell r="AD108">
            <v>0.18495020551992963</v>
          </cell>
          <cell r="AW108">
            <v>2</v>
          </cell>
          <cell r="AX108">
            <v>3.3599999999999998E-2</v>
          </cell>
        </row>
        <row r="109">
          <cell r="Q109">
            <v>107.1940476190475</v>
          </cell>
          <cell r="T109">
            <v>107.1940476190475</v>
          </cell>
          <cell r="AA109">
            <v>82.900203521871859</v>
          </cell>
          <cell r="AD109">
            <v>0.20941631126214516</v>
          </cell>
          <cell r="AW109">
            <v>2</v>
          </cell>
          <cell r="AX109">
            <v>0</v>
          </cell>
        </row>
        <row r="110">
          <cell r="Q110">
            <v>108.37857142857129</v>
          </cell>
          <cell r="T110">
            <v>108.37857142857129</v>
          </cell>
          <cell r="AA110">
            <v>83.059573222757606</v>
          </cell>
          <cell r="AD110">
            <v>0.19881016357038603</v>
          </cell>
          <cell r="AW110">
            <v>0</v>
          </cell>
          <cell r="AX110" t="str">
            <v>NA</v>
          </cell>
        </row>
        <row r="111">
          <cell r="Q111">
            <v>109.5380952380951</v>
          </cell>
          <cell r="T111">
            <v>109.5380952380951</v>
          </cell>
          <cell r="AA111">
            <v>81.888026737962534</v>
          </cell>
          <cell r="AD111">
            <v>0.21783908108528927</v>
          </cell>
          <cell r="AW111">
            <v>0</v>
          </cell>
          <cell r="AX111" t="str">
            <v>NA</v>
          </cell>
        </row>
        <row r="112">
          <cell r="Q112">
            <v>110.6976190476189</v>
          </cell>
          <cell r="T112">
            <v>110.6976190476189</v>
          </cell>
          <cell r="AA112">
            <v>82.93826158571585</v>
          </cell>
          <cell r="AD112">
            <v>0.22322667736929905</v>
          </cell>
          <cell r="AW112">
            <v>0</v>
          </cell>
          <cell r="AX112" t="str">
            <v>NA</v>
          </cell>
        </row>
        <row r="113">
          <cell r="Q113">
            <v>111.8571428571427</v>
          </cell>
          <cell r="T113">
            <v>111.8571428571427</v>
          </cell>
          <cell r="AA113">
            <v>83.203626494863798</v>
          </cell>
          <cell r="AD113">
            <v>0.25792731839183614</v>
          </cell>
          <cell r="AW113">
            <v>0</v>
          </cell>
          <cell r="AX113" t="str">
            <v>NA</v>
          </cell>
        </row>
        <row r="114">
          <cell r="Q114">
            <v>113.04166666666652</v>
          </cell>
          <cell r="T114">
            <v>113.04166666666652</v>
          </cell>
          <cell r="AA114">
            <v>84.174669798208342</v>
          </cell>
          <cell r="AD114">
            <v>0.18635872810169329</v>
          </cell>
          <cell r="AW114">
            <v>0</v>
          </cell>
          <cell r="AX114" t="str">
            <v>NA</v>
          </cell>
        </row>
        <row r="115">
          <cell r="Q115">
            <v>114.25119047619032</v>
          </cell>
          <cell r="T115">
            <v>114.25119047619032</v>
          </cell>
          <cell r="AA115">
            <v>85.048664373587059</v>
          </cell>
          <cell r="AD115">
            <v>0.25261278217770611</v>
          </cell>
          <cell r="AW115">
            <v>1</v>
          </cell>
          <cell r="AX115">
            <v>0</v>
          </cell>
        </row>
        <row r="116">
          <cell r="Q116">
            <v>115.43571428571411</v>
          </cell>
          <cell r="T116">
            <v>115.43571428571411</v>
          </cell>
          <cell r="AA116">
            <v>86.155635061103382</v>
          </cell>
          <cell r="AD116">
            <v>0.27542932033236345</v>
          </cell>
          <cell r="AW116">
            <v>1</v>
          </cell>
          <cell r="AX116">
            <v>0</v>
          </cell>
        </row>
        <row r="117">
          <cell r="Q117">
            <v>116.59523809523792</v>
          </cell>
          <cell r="T117">
            <v>116.59523809523792</v>
          </cell>
          <cell r="AA117">
            <v>86.682854086128941</v>
          </cell>
          <cell r="AD117">
            <v>0.24759450792465859</v>
          </cell>
          <cell r="AW117">
            <v>2</v>
          </cell>
          <cell r="AX117">
            <v>0</v>
          </cell>
        </row>
        <row r="118">
          <cell r="Q118">
            <v>117.75476190476172</v>
          </cell>
          <cell r="T118">
            <v>117.75476190476172</v>
          </cell>
          <cell r="AA118">
            <v>86.879158361365754</v>
          </cell>
          <cell r="AD118">
            <v>0.15612929907181691</v>
          </cell>
          <cell r="AW118">
            <v>2</v>
          </cell>
          <cell r="AX118">
            <v>0</v>
          </cell>
        </row>
        <row r="119">
          <cell r="Q119">
            <v>118.91428571428553</v>
          </cell>
          <cell r="T119">
            <v>118.91428571428553</v>
          </cell>
          <cell r="AA119">
            <v>86.693255790081025</v>
          </cell>
          <cell r="AD119">
            <v>0.16886427681563757</v>
          </cell>
          <cell r="AW119">
            <v>0</v>
          </cell>
          <cell r="AX119" t="str">
            <v>NA</v>
          </cell>
        </row>
        <row r="120">
          <cell r="Q120">
            <v>120.07380952380933</v>
          </cell>
          <cell r="T120">
            <v>120.07380952380933</v>
          </cell>
          <cell r="AA120">
            <v>86.790038843779953</v>
          </cell>
          <cell r="AD120">
            <v>0.17264789758665305</v>
          </cell>
          <cell r="AW120">
            <v>1</v>
          </cell>
          <cell r="AX120">
            <v>0</v>
          </cell>
        </row>
        <row r="121">
          <cell r="Q121">
            <v>121.20833333333314</v>
          </cell>
          <cell r="T121">
            <v>121.20833333333314</v>
          </cell>
          <cell r="AA121">
            <v>87.292469730353673</v>
          </cell>
          <cell r="AD121">
            <v>0.18357940228024555</v>
          </cell>
          <cell r="AW121">
            <v>1</v>
          </cell>
          <cell r="AX121">
            <v>0</v>
          </cell>
        </row>
        <row r="122">
          <cell r="Q122">
            <v>122.29285714285695</v>
          </cell>
          <cell r="T122">
            <v>122.29285714285695</v>
          </cell>
          <cell r="AA122">
            <v>87.789183907672054</v>
          </cell>
          <cell r="AD122">
            <v>0.15194356154669725</v>
          </cell>
          <cell r="AW122">
            <v>0</v>
          </cell>
          <cell r="AX122" t="str">
            <v>NA</v>
          </cell>
        </row>
        <row r="123">
          <cell r="Q123">
            <v>123.35238095238076</v>
          </cell>
          <cell r="T123">
            <v>123.35238095238076</v>
          </cell>
          <cell r="AA123">
            <v>87.576226279828688</v>
          </cell>
          <cell r="AD123">
            <v>0.16774195129882749</v>
          </cell>
          <cell r="AW123">
            <v>0</v>
          </cell>
          <cell r="AX123" t="str">
            <v>NA</v>
          </cell>
        </row>
        <row r="124">
          <cell r="Q124">
            <v>124.46190476190456</v>
          </cell>
          <cell r="T124">
            <v>124.46190476190456</v>
          </cell>
          <cell r="AA124">
            <v>87.803333624679908</v>
          </cell>
          <cell r="AD124">
            <v>0.16166585303618969</v>
          </cell>
          <cell r="AW124">
            <v>1</v>
          </cell>
          <cell r="AX124">
            <v>0</v>
          </cell>
        </row>
        <row r="125">
          <cell r="Q125">
            <v>125.62142857142837</v>
          </cell>
          <cell r="T125">
            <v>125.62142857142837</v>
          </cell>
          <cell r="AA125">
            <v>87.992138470848005</v>
          </cell>
          <cell r="AD125">
            <v>0.16205316348195328</v>
          </cell>
          <cell r="AW125">
            <v>0</v>
          </cell>
          <cell r="AX125" t="str">
            <v>NA</v>
          </cell>
        </row>
        <row r="126">
          <cell r="Q126">
            <v>126.78095238095217</v>
          </cell>
          <cell r="T126">
            <v>126.78095238095217</v>
          </cell>
          <cell r="AA126">
            <v>86.283597684492022</v>
          </cell>
          <cell r="AD126">
            <v>0.17217678614052936</v>
          </cell>
          <cell r="AW126">
            <v>0</v>
          </cell>
          <cell r="AX126" t="str">
            <v>NA</v>
          </cell>
        </row>
        <row r="127">
          <cell r="Q127">
            <v>127.99047619047597</v>
          </cell>
          <cell r="T127">
            <v>127.99047619047597</v>
          </cell>
          <cell r="AA127">
            <v>84.418290494303179</v>
          </cell>
          <cell r="AD127">
            <v>0.19294725385489706</v>
          </cell>
          <cell r="AW127">
            <v>0</v>
          </cell>
          <cell r="AX127" t="str">
            <v>NA</v>
          </cell>
        </row>
        <row r="128">
          <cell r="Q128">
            <v>129.5999999999998</v>
          </cell>
          <cell r="T128">
            <v>129.5999999999998</v>
          </cell>
          <cell r="AA128">
            <v>85.239169168703427</v>
          </cell>
          <cell r="AD128">
            <v>0.17670408377237806</v>
          </cell>
          <cell r="AW128">
            <v>2</v>
          </cell>
          <cell r="AX128">
            <v>7.1000000000000004E-3</v>
          </cell>
        </row>
        <row r="129">
          <cell r="Q129">
            <v>120.52500000000001</v>
          </cell>
          <cell r="T129">
            <v>111.52500000000001</v>
          </cell>
          <cell r="AA129">
            <v>87.159586035094279</v>
          </cell>
          <cell r="AD129">
            <v>0.14879831890967549</v>
          </cell>
          <cell r="AW129">
            <v>2</v>
          </cell>
          <cell r="AX129">
            <v>0.10929999999999999</v>
          </cell>
        </row>
        <row r="130">
          <cell r="Q130">
            <v>121.74865853658537</v>
          </cell>
          <cell r="T130">
            <v>112.74865853658537</v>
          </cell>
          <cell r="AA130">
            <v>86.096866029162939</v>
          </cell>
          <cell r="AD130">
            <v>0.15766827179269444</v>
          </cell>
          <cell r="AW130">
            <v>0</v>
          </cell>
          <cell r="AX130" t="str">
            <v>NA</v>
          </cell>
        </row>
        <row r="131">
          <cell r="Q131">
            <v>122.94731707317072</v>
          </cell>
          <cell r="T131">
            <v>113.94731707317072</v>
          </cell>
          <cell r="AA131">
            <v>85.84250575919134</v>
          </cell>
          <cell r="AD131">
            <v>0.16058527663465932</v>
          </cell>
          <cell r="AW131">
            <v>0</v>
          </cell>
          <cell r="AX131" t="str">
            <v>NA</v>
          </cell>
        </row>
        <row r="132">
          <cell r="Q132">
            <v>124.12097560975609</v>
          </cell>
          <cell r="T132">
            <v>115.12097560975609</v>
          </cell>
          <cell r="AA132">
            <v>85.889609090584031</v>
          </cell>
          <cell r="AD132">
            <v>0.17328549633665705</v>
          </cell>
          <cell r="AW132">
            <v>1</v>
          </cell>
          <cell r="AX132">
            <v>0</v>
          </cell>
        </row>
        <row r="133">
          <cell r="Q133">
            <v>125.26963414634145</v>
          </cell>
          <cell r="T133">
            <v>116.26963414634145</v>
          </cell>
          <cell r="AA133">
            <v>84.666256536450319</v>
          </cell>
          <cell r="AD133">
            <v>0.18620971547677428</v>
          </cell>
          <cell r="AW133">
            <v>1</v>
          </cell>
          <cell r="AX133">
            <v>0</v>
          </cell>
        </row>
        <row r="134">
          <cell r="Q134">
            <v>126.39329268292681</v>
          </cell>
          <cell r="T134">
            <v>117.39329268292681</v>
          </cell>
          <cell r="AA134">
            <v>85.310413268298959</v>
          </cell>
          <cell r="AD134">
            <v>0.16977490668949471</v>
          </cell>
          <cell r="AW134">
            <v>0</v>
          </cell>
          <cell r="AX134" t="str">
            <v>NA</v>
          </cell>
        </row>
        <row r="135">
          <cell r="Q135">
            <v>127.54195121951219</v>
          </cell>
          <cell r="T135">
            <v>118.54195121951219</v>
          </cell>
          <cell r="AA135">
            <v>84.161004609979699</v>
          </cell>
          <cell r="AD135">
            <v>0.18865743749729189</v>
          </cell>
          <cell r="AW135">
            <v>0</v>
          </cell>
          <cell r="AX135" t="str">
            <v>NA</v>
          </cell>
        </row>
        <row r="136">
          <cell r="Q136">
            <v>128.71560975609756</v>
          </cell>
          <cell r="T136">
            <v>119.71560975609756</v>
          </cell>
          <cell r="AA136">
            <v>85.02191774910861</v>
          </cell>
          <cell r="AD136">
            <v>0.19309604629946661</v>
          </cell>
          <cell r="AW136">
            <v>0</v>
          </cell>
          <cell r="AX136" t="str">
            <v>NA</v>
          </cell>
        </row>
        <row r="137">
          <cell r="Q137">
            <v>129.91426829268295</v>
          </cell>
          <cell r="T137">
            <v>120.91426829268295</v>
          </cell>
          <cell r="AA137">
            <v>83.203076125213755</v>
          </cell>
          <cell r="AD137">
            <v>0.19813828582792098</v>
          </cell>
          <cell r="AW137">
            <v>2</v>
          </cell>
          <cell r="AX137">
            <v>3.4799999999999998E-2</v>
          </cell>
        </row>
        <row r="138">
          <cell r="Q138">
            <v>131.08792682926833</v>
          </cell>
          <cell r="T138">
            <v>122.08792682926833</v>
          </cell>
          <cell r="AA138">
            <v>83.474929731133429</v>
          </cell>
          <cell r="AD138">
            <v>0.1913296793571469</v>
          </cell>
          <cell r="AW138">
            <v>2</v>
          </cell>
          <cell r="AX138">
            <v>2.6499999999999999E-2</v>
          </cell>
        </row>
        <row r="139">
          <cell r="Q139">
            <v>132.2365853658537</v>
          </cell>
          <cell r="T139">
            <v>123.2365853658537</v>
          </cell>
          <cell r="AA139">
            <v>84.234974553697626</v>
          </cell>
          <cell r="AD139">
            <v>0.18484054214950343</v>
          </cell>
          <cell r="AW139">
            <v>1</v>
          </cell>
          <cell r="AX139">
            <v>1.38E-2</v>
          </cell>
        </row>
        <row r="140">
          <cell r="Q140">
            <v>133.41024390243908</v>
          </cell>
          <cell r="T140">
            <v>124.41024390243908</v>
          </cell>
          <cell r="AA140">
            <v>84.027083005698344</v>
          </cell>
          <cell r="AD140">
            <v>0.18322119406023926</v>
          </cell>
          <cell r="AW140">
            <v>2</v>
          </cell>
          <cell r="AX140">
            <v>1.2999999999999999E-2</v>
          </cell>
        </row>
        <row r="141">
          <cell r="Q141">
            <v>134.58390243902446</v>
          </cell>
          <cell r="T141">
            <v>125.58390243902446</v>
          </cell>
          <cell r="AA141">
            <v>83.928583562090623</v>
          </cell>
          <cell r="AD141">
            <v>0.18156597970773172</v>
          </cell>
          <cell r="AW141">
            <v>0</v>
          </cell>
          <cell r="AX141" t="str">
            <v>NA</v>
          </cell>
        </row>
        <row r="142">
          <cell r="Q142">
            <v>135.73256097560983</v>
          </cell>
          <cell r="T142">
            <v>126.73256097560983</v>
          </cell>
          <cell r="AA142">
            <v>83.383602935493414</v>
          </cell>
          <cell r="AD142">
            <v>0.18420180407051884</v>
          </cell>
          <cell r="AW142">
            <v>1</v>
          </cell>
          <cell r="AX142">
            <v>0</v>
          </cell>
        </row>
        <row r="143">
          <cell r="Q143">
            <v>136.8812195121952</v>
          </cell>
          <cell r="T143">
            <v>127.8812195121952</v>
          </cell>
          <cell r="AA143">
            <v>85.024617931263521</v>
          </cell>
          <cell r="AD143">
            <v>0.18104515581799135</v>
          </cell>
          <cell r="AW143">
            <v>0</v>
          </cell>
          <cell r="AX143" t="str">
            <v>NA</v>
          </cell>
        </row>
        <row r="144">
          <cell r="Q144">
            <v>138.02987804878057</v>
          </cell>
          <cell r="T144">
            <v>129.02987804878057</v>
          </cell>
          <cell r="AA144">
            <v>83.763602030088066</v>
          </cell>
          <cell r="AD144">
            <v>0.20500492690905026</v>
          </cell>
          <cell r="AW144">
            <v>1</v>
          </cell>
          <cell r="AX144">
            <v>0</v>
          </cell>
        </row>
        <row r="145">
          <cell r="Q145">
            <v>139.16853658536593</v>
          </cell>
          <cell r="T145">
            <v>130.16853658536593</v>
          </cell>
          <cell r="AA145">
            <v>84.526508940354546</v>
          </cell>
          <cell r="AD145">
            <v>0.16666818634866906</v>
          </cell>
          <cell r="AW145">
            <v>1</v>
          </cell>
          <cell r="AX145">
            <v>0</v>
          </cell>
        </row>
        <row r="146">
          <cell r="Q146">
            <v>140.33219512195132</v>
          </cell>
          <cell r="T146">
            <v>131.33219512195132</v>
          </cell>
          <cell r="AA146">
            <v>85.291205644775857</v>
          </cell>
          <cell r="AD146">
            <v>0.18835366987769997</v>
          </cell>
          <cell r="AW146">
            <v>1</v>
          </cell>
          <cell r="AX146">
            <v>0</v>
          </cell>
        </row>
        <row r="147">
          <cell r="Q147">
            <v>141.50585365853669</v>
          </cell>
          <cell r="T147">
            <v>132.50585365853669</v>
          </cell>
          <cell r="AA147">
            <v>85.191868399257658</v>
          </cell>
          <cell r="AD147">
            <v>0.27297589089697744</v>
          </cell>
          <cell r="AW147">
            <v>1</v>
          </cell>
          <cell r="AX147">
            <v>0</v>
          </cell>
        </row>
        <row r="148">
          <cell r="Q148">
            <v>142.67951219512207</v>
          </cell>
          <cell r="T148">
            <v>133.67951219512207</v>
          </cell>
          <cell r="AA148">
            <v>84.621378971038368</v>
          </cell>
          <cell r="AD148">
            <v>0.18180196895369521</v>
          </cell>
          <cell r="AW148">
            <v>1</v>
          </cell>
          <cell r="AX148">
            <v>0.01</v>
          </cell>
        </row>
        <row r="149">
          <cell r="Q149">
            <v>143.85317073170745</v>
          </cell>
          <cell r="T149">
            <v>134.85317073170745</v>
          </cell>
          <cell r="AA149">
            <v>85.195719953352707</v>
          </cell>
          <cell r="AD149">
            <v>0.19642269227395753</v>
          </cell>
          <cell r="AW149">
            <v>1</v>
          </cell>
          <cell r="AX149">
            <v>0</v>
          </cell>
        </row>
        <row r="150">
          <cell r="Q150">
            <v>145.02682926829283</v>
          </cell>
          <cell r="T150">
            <v>136.02682926829283</v>
          </cell>
          <cell r="AA150">
            <v>81.721788396876462</v>
          </cell>
          <cell r="AD150">
            <v>0.24313236060196866</v>
          </cell>
          <cell r="AW150">
            <v>1</v>
          </cell>
          <cell r="AX150">
            <v>0</v>
          </cell>
        </row>
        <row r="151">
          <cell r="Q151">
            <v>146.20048780487821</v>
          </cell>
          <cell r="T151">
            <v>137.20048780487821</v>
          </cell>
          <cell r="AA151">
            <v>85.137410212510076</v>
          </cell>
          <cell r="AD151">
            <v>0.18707346774052042</v>
          </cell>
          <cell r="AW151">
            <v>1</v>
          </cell>
          <cell r="AX151">
            <v>1.6500000000000001E-2</v>
          </cell>
        </row>
        <row r="152">
          <cell r="Q152">
            <v>147.37414634146359</v>
          </cell>
          <cell r="T152">
            <v>138.37414634146359</v>
          </cell>
          <cell r="AA152">
            <v>83.540192475066434</v>
          </cell>
          <cell r="AD152">
            <v>0.18560271242254858</v>
          </cell>
          <cell r="AW152">
            <v>0</v>
          </cell>
          <cell r="AX152" t="str">
            <v>NA</v>
          </cell>
        </row>
        <row r="153">
          <cell r="Q153">
            <v>148.54780487804896</v>
          </cell>
          <cell r="T153">
            <v>139.54780487804896</v>
          </cell>
          <cell r="AA153">
            <v>83.869536872172361</v>
          </cell>
          <cell r="AD153">
            <v>0.20628743890001891</v>
          </cell>
          <cell r="AW153">
            <v>2</v>
          </cell>
          <cell r="AX153">
            <v>5.1000000000000004E-3</v>
          </cell>
        </row>
        <row r="154">
          <cell r="Q154">
            <v>149.72146341463434</v>
          </cell>
          <cell r="T154">
            <v>140.72146341463434</v>
          </cell>
          <cell r="AA154">
            <v>83.614210234634939</v>
          </cell>
          <cell r="AD154">
            <v>0.19004140672425471</v>
          </cell>
          <cell r="AW154">
            <v>2</v>
          </cell>
          <cell r="AX154">
            <v>0.1002</v>
          </cell>
        </row>
        <row r="155">
          <cell r="Q155">
            <v>150.87012195121972</v>
          </cell>
          <cell r="T155">
            <v>141.87012195121972</v>
          </cell>
          <cell r="AA155">
            <v>82.520202317749352</v>
          </cell>
          <cell r="AD155">
            <v>0.22193864607873201</v>
          </cell>
          <cell r="AW155">
            <v>1</v>
          </cell>
          <cell r="AX155">
            <v>0</v>
          </cell>
        </row>
        <row r="156">
          <cell r="Q156">
            <v>152.01878048780509</v>
          </cell>
          <cell r="T156">
            <v>143.01878048780509</v>
          </cell>
          <cell r="AA156">
            <v>83.364326785036852</v>
          </cell>
          <cell r="AD156">
            <v>0.21636973664419554</v>
          </cell>
          <cell r="AW156">
            <v>1</v>
          </cell>
          <cell r="AX156">
            <v>6.1000000000000004E-3</v>
          </cell>
        </row>
        <row r="157">
          <cell r="Q157">
            <v>153.24243902439048</v>
          </cell>
          <cell r="T157">
            <v>144.24243902439048</v>
          </cell>
          <cell r="AA157">
            <v>83.669494871213729</v>
          </cell>
          <cell r="AD157">
            <v>0.18578731787907493</v>
          </cell>
          <cell r="AW157">
            <v>2</v>
          </cell>
          <cell r="AX157">
            <v>0</v>
          </cell>
        </row>
        <row r="158">
          <cell r="Q158">
            <v>154.46609756097584</v>
          </cell>
          <cell r="T158">
            <v>145.46609756097584</v>
          </cell>
          <cell r="AA158">
            <v>84.401809828465559</v>
          </cell>
          <cell r="AD158">
            <v>0.19838148196291958</v>
          </cell>
          <cell r="AW158">
            <v>0</v>
          </cell>
          <cell r="AX158" t="str">
            <v>NA</v>
          </cell>
        </row>
        <row r="159">
          <cell r="Q159">
            <v>155.63975609756122</v>
          </cell>
          <cell r="T159">
            <v>146.63975609756122</v>
          </cell>
          <cell r="AA159">
            <v>84.589526086125431</v>
          </cell>
          <cell r="AD159">
            <v>0.19584301644557744</v>
          </cell>
          <cell r="AW159">
            <v>0</v>
          </cell>
          <cell r="AX159" t="str">
            <v>NA</v>
          </cell>
        </row>
        <row r="160">
          <cell r="Q160">
            <v>156.8384146341466</v>
          </cell>
          <cell r="T160">
            <v>147.8384146341466</v>
          </cell>
          <cell r="AA160">
            <v>83.829262283636069</v>
          </cell>
          <cell r="AD160">
            <v>0.19096068582497683</v>
          </cell>
          <cell r="AW160">
            <v>0</v>
          </cell>
          <cell r="AX160" t="str">
            <v>NA</v>
          </cell>
        </row>
        <row r="161">
          <cell r="Q161">
            <v>158.08707317073197</v>
          </cell>
          <cell r="T161">
            <v>149.08707317073197</v>
          </cell>
          <cell r="AA161">
            <v>83.569757786708394</v>
          </cell>
          <cell r="AD161">
            <v>0.18489585130538999</v>
          </cell>
          <cell r="AW161">
            <v>0</v>
          </cell>
          <cell r="AX161" t="str">
            <v>NA</v>
          </cell>
        </row>
        <row r="162">
          <cell r="Q162">
            <v>159.31073170731736</v>
          </cell>
          <cell r="T162">
            <v>150.31073170731736</v>
          </cell>
          <cell r="AA162">
            <v>84.226859976856403</v>
          </cell>
          <cell r="AD162">
            <v>0.20728186569348267</v>
          </cell>
          <cell r="AW162">
            <v>0</v>
          </cell>
          <cell r="AX162" t="str">
            <v>NA</v>
          </cell>
        </row>
        <row r="163">
          <cell r="Q163">
            <v>160.48439024390274</v>
          </cell>
          <cell r="T163">
            <v>151.48439024390274</v>
          </cell>
          <cell r="AA163">
            <v>84.191515899149564</v>
          </cell>
          <cell r="AD163">
            <v>0.21576470064235406</v>
          </cell>
          <cell r="AW163">
            <v>1</v>
          </cell>
          <cell r="AX163">
            <v>7.1000000000000004E-3</v>
          </cell>
        </row>
        <row r="164">
          <cell r="Q164">
            <v>161.68304878048812</v>
          </cell>
          <cell r="T164">
            <v>152.68304878048812</v>
          </cell>
          <cell r="AA164">
            <v>84.817250015747803</v>
          </cell>
          <cell r="AD164">
            <v>0.20087221003725184</v>
          </cell>
          <cell r="AW164">
            <v>1</v>
          </cell>
          <cell r="AX164">
            <v>2.2599999999999999E-2</v>
          </cell>
        </row>
        <row r="165">
          <cell r="Q165">
            <v>162.90670731707351</v>
          </cell>
          <cell r="T165">
            <v>153.90670731707351</v>
          </cell>
          <cell r="AA165">
            <v>85.288039229074457</v>
          </cell>
          <cell r="AD165">
            <v>0.16973044594863151</v>
          </cell>
          <cell r="AW165">
            <v>0</v>
          </cell>
          <cell r="AX165" t="str">
            <v>NA</v>
          </cell>
        </row>
        <row r="166">
          <cell r="Q166">
            <v>164.1053658536589</v>
          </cell>
          <cell r="T166">
            <v>155.1053658536589</v>
          </cell>
          <cell r="AA166">
            <v>84.873619389124613</v>
          </cell>
          <cell r="AD166">
            <v>0.20360934182590235</v>
          </cell>
          <cell r="AW166">
            <v>1</v>
          </cell>
          <cell r="AX166">
            <v>0</v>
          </cell>
        </row>
        <row r="167">
          <cell r="Q167">
            <v>165.27902439024427</v>
          </cell>
          <cell r="T167">
            <v>156.27902439024427</v>
          </cell>
          <cell r="AA167">
            <v>84.593677739905743</v>
          </cell>
          <cell r="AD167">
            <v>0.21612206183494764</v>
          </cell>
          <cell r="AW167">
            <v>0</v>
          </cell>
          <cell r="AX167" t="str">
            <v>NA</v>
          </cell>
        </row>
        <row r="168">
          <cell r="Q168">
            <v>166.50268292682966</v>
          </cell>
          <cell r="T168">
            <v>157.50268292682966</v>
          </cell>
          <cell r="AA168">
            <v>81.884127357709659</v>
          </cell>
          <cell r="AD168">
            <v>0.2184170683920057</v>
          </cell>
          <cell r="AW168">
            <v>1</v>
          </cell>
          <cell r="AX168">
            <v>0</v>
          </cell>
        </row>
        <row r="169">
          <cell r="Q169">
            <v>167.72634146341503</v>
          </cell>
          <cell r="T169">
            <v>158.72634146341503</v>
          </cell>
          <cell r="AA169">
            <v>81.393763542471049</v>
          </cell>
          <cell r="AD169">
            <v>0.69787301523404865</v>
          </cell>
          <cell r="AW169">
            <v>0</v>
          </cell>
          <cell r="AX169" t="str">
            <v>NA</v>
          </cell>
        </row>
        <row r="170">
          <cell r="Q170">
            <v>169.20000000000039</v>
          </cell>
          <cell r="T170">
            <v>160.20000000000039</v>
          </cell>
          <cell r="AA170">
            <v>81.404805543025688</v>
          </cell>
          <cell r="AD170">
            <v>0.20437640068412358</v>
          </cell>
          <cell r="AW170">
            <v>1</v>
          </cell>
          <cell r="AX170">
            <v>4.5999999999999999E-3</v>
          </cell>
        </row>
        <row r="171">
          <cell r="Q171">
            <v>160.47499999999999</v>
          </cell>
          <cell r="T171">
            <v>152.97499999999999</v>
          </cell>
          <cell r="AA171">
            <v>84.069222606836419</v>
          </cell>
          <cell r="AD171">
            <v>0.1354805988397601</v>
          </cell>
          <cell r="AW171">
            <v>0</v>
          </cell>
          <cell r="AX171" t="str">
            <v>NA</v>
          </cell>
        </row>
        <row r="172">
          <cell r="Q172">
            <v>161.64124999999999</v>
          </cell>
          <cell r="T172">
            <v>154.14124999999999</v>
          </cell>
          <cell r="AA172">
            <v>83.498837076099107</v>
          </cell>
          <cell r="AD172">
            <v>0.18138372988607893</v>
          </cell>
          <cell r="AW172">
            <v>1</v>
          </cell>
          <cell r="AX172">
            <v>0</v>
          </cell>
        </row>
        <row r="173">
          <cell r="Q173">
            <v>162.88249999999999</v>
          </cell>
          <cell r="T173">
            <v>155.38249999999999</v>
          </cell>
          <cell r="AA173">
            <v>85.628540168094247</v>
          </cell>
          <cell r="AD173">
            <v>0.15629660266602935</v>
          </cell>
          <cell r="AW173">
            <v>1</v>
          </cell>
          <cell r="AX173">
            <v>0</v>
          </cell>
        </row>
        <row r="174">
          <cell r="Q174">
            <v>164.14874999999998</v>
          </cell>
          <cell r="T174">
            <v>156.64874999999998</v>
          </cell>
          <cell r="AA174">
            <v>84.350011627698962</v>
          </cell>
          <cell r="AD174">
            <v>0.16121728981894096</v>
          </cell>
          <cell r="AW174">
            <v>0</v>
          </cell>
          <cell r="AX174">
            <v>0</v>
          </cell>
        </row>
        <row r="175">
          <cell r="Q175">
            <v>165.41499999999996</v>
          </cell>
          <cell r="T175">
            <v>157.91499999999996</v>
          </cell>
          <cell r="AA175">
            <v>85.260598753868592</v>
          </cell>
          <cell r="AD175">
            <v>0.16867046068417946</v>
          </cell>
          <cell r="AW175">
            <v>1</v>
          </cell>
          <cell r="AX175">
            <v>0</v>
          </cell>
        </row>
        <row r="176">
          <cell r="Q176">
            <v>166.70624999999995</v>
          </cell>
          <cell r="T176">
            <v>159.20624999999995</v>
          </cell>
          <cell r="AA176">
            <v>85.339436145442903</v>
          </cell>
          <cell r="AD176">
            <v>0.15321075469121595</v>
          </cell>
          <cell r="AW176">
            <v>2</v>
          </cell>
          <cell r="AX176">
            <v>4.4999999999999997E-3</v>
          </cell>
        </row>
        <row r="177">
          <cell r="Q177">
            <v>167.99749999999995</v>
          </cell>
          <cell r="T177">
            <v>160.49749999999995</v>
          </cell>
          <cell r="AA177">
            <v>85.734793966203839</v>
          </cell>
          <cell r="AD177">
            <v>0.14629669457694933</v>
          </cell>
          <cell r="AW177">
            <v>2</v>
          </cell>
          <cell r="AX177">
            <v>0</v>
          </cell>
        </row>
        <row r="178">
          <cell r="Q178">
            <v>169.26374999999996</v>
          </cell>
          <cell r="T178">
            <v>161.76374999999996</v>
          </cell>
          <cell r="AA178">
            <v>86.311231918030813</v>
          </cell>
          <cell r="AD178">
            <v>0.16205414586911362</v>
          </cell>
          <cell r="AW178">
            <v>2</v>
          </cell>
          <cell r="AX178">
            <v>2.01E-2</v>
          </cell>
        </row>
        <row r="179">
          <cell r="Q179">
            <v>170.47999999999996</v>
          </cell>
          <cell r="T179">
            <v>162.97999999999996</v>
          </cell>
          <cell r="AA179">
            <v>86.014420699854526</v>
          </cell>
          <cell r="AD179">
            <v>0.15427632896687088</v>
          </cell>
          <cell r="AW179">
            <v>0</v>
          </cell>
          <cell r="AX179" t="str">
            <v>NA</v>
          </cell>
        </row>
        <row r="180">
          <cell r="Q180">
            <v>171.64624999999995</v>
          </cell>
          <cell r="T180">
            <v>164.14624999999995</v>
          </cell>
          <cell r="AA180">
            <v>85.751213053116814</v>
          </cell>
          <cell r="AD180">
            <v>0.15697074976750719</v>
          </cell>
          <cell r="AW180">
            <v>0</v>
          </cell>
          <cell r="AX180" t="str">
            <v>NA</v>
          </cell>
        </row>
        <row r="181">
          <cell r="Q181">
            <v>172.81249999999994</v>
          </cell>
          <cell r="T181">
            <v>165.31249999999994</v>
          </cell>
          <cell r="AA181">
            <v>85.771041118530633</v>
          </cell>
          <cell r="AD181">
            <v>0.15899290734985971</v>
          </cell>
          <cell r="AW181">
            <v>2</v>
          </cell>
          <cell r="AX181">
            <v>2.4799999999999999E-2</v>
          </cell>
        </row>
        <row r="182">
          <cell r="Q182">
            <v>173.97874999999993</v>
          </cell>
          <cell r="T182">
            <v>166.47874999999993</v>
          </cell>
          <cell r="AA182">
            <v>85.821916762302365</v>
          </cell>
          <cell r="AD182">
            <v>0.15365071984789722</v>
          </cell>
          <cell r="AW182">
            <v>2</v>
          </cell>
          <cell r="AX182">
            <v>9.1000000000000004E-3</v>
          </cell>
        </row>
        <row r="183">
          <cell r="Q183">
            <v>175.14499999999992</v>
          </cell>
          <cell r="T183">
            <v>167.64499999999992</v>
          </cell>
          <cell r="AA183">
            <v>85.619775288780559</v>
          </cell>
          <cell r="AD183">
            <v>0.15571435697756078</v>
          </cell>
          <cell r="AW183">
            <v>0</v>
          </cell>
          <cell r="AX183" t="str">
            <v>NA</v>
          </cell>
        </row>
        <row r="184">
          <cell r="Q184">
            <v>176.36124999999993</v>
          </cell>
          <cell r="T184">
            <v>168.86124999999993</v>
          </cell>
          <cell r="AA184">
            <v>86.756593301596169</v>
          </cell>
          <cell r="AD184">
            <v>0.16322685269436857</v>
          </cell>
          <cell r="AW184">
            <v>2</v>
          </cell>
          <cell r="AX184">
            <v>0</v>
          </cell>
        </row>
        <row r="185">
          <cell r="Q185">
            <v>177.60249999999994</v>
          </cell>
          <cell r="T185">
            <v>170.10249999999994</v>
          </cell>
          <cell r="AA185">
            <v>86.170637253673576</v>
          </cell>
          <cell r="AD185">
            <v>0.16218539438602048</v>
          </cell>
          <cell r="AW185">
            <v>0</v>
          </cell>
          <cell r="AX185" t="str">
            <v>NA</v>
          </cell>
        </row>
        <row r="186">
          <cell r="Q186">
            <v>178.81874999999994</v>
          </cell>
          <cell r="T186">
            <v>171.31874999999994</v>
          </cell>
          <cell r="AA186">
            <v>86.121718096597533</v>
          </cell>
          <cell r="AD186">
            <v>0.16318797974848928</v>
          </cell>
          <cell r="AW186">
            <v>0</v>
          </cell>
          <cell r="AX186" t="str">
            <v>NA</v>
          </cell>
        </row>
        <row r="187">
          <cell r="Q187">
            <v>180.00999999999993</v>
          </cell>
          <cell r="T187">
            <v>172.50999999999993</v>
          </cell>
          <cell r="AA187">
            <v>86.00200249760718</v>
          </cell>
          <cell r="AD187">
            <v>0.15520475583864116</v>
          </cell>
          <cell r="AW187">
            <v>2</v>
          </cell>
          <cell r="AX187">
            <v>1.01E-2</v>
          </cell>
        </row>
        <row r="188">
          <cell r="Q188">
            <v>181.15124999999995</v>
          </cell>
          <cell r="T188">
            <v>173.65124999999995</v>
          </cell>
          <cell r="AA188">
            <v>86.489967161535915</v>
          </cell>
          <cell r="AD188">
            <v>0.16276426808830002</v>
          </cell>
          <cell r="AW188">
            <v>1</v>
          </cell>
          <cell r="AX188">
            <v>0</v>
          </cell>
        </row>
        <row r="189">
          <cell r="Q189">
            <v>182.31749999999994</v>
          </cell>
          <cell r="T189">
            <v>174.81749999999994</v>
          </cell>
          <cell r="AA189">
            <v>85.985842285035403</v>
          </cell>
          <cell r="AD189">
            <v>0.15581195982959817</v>
          </cell>
          <cell r="AW189">
            <v>1</v>
          </cell>
          <cell r="AX189">
            <v>2.4299999999999999E-2</v>
          </cell>
        </row>
        <row r="190">
          <cell r="Q190">
            <v>183.53374999999994</v>
          </cell>
          <cell r="T190">
            <v>176.03374999999994</v>
          </cell>
          <cell r="AA190">
            <v>85.596163455810796</v>
          </cell>
          <cell r="AD190">
            <v>0.17345820927398575</v>
          </cell>
          <cell r="AW190">
            <v>0</v>
          </cell>
          <cell r="AX190" t="str">
            <v>NA</v>
          </cell>
        </row>
        <row r="191">
          <cell r="Q191">
            <v>184.72499999999994</v>
          </cell>
          <cell r="T191">
            <v>177.22499999999994</v>
          </cell>
          <cell r="AA191">
            <v>84.873363552794231</v>
          </cell>
          <cell r="AD191">
            <v>0.17113667260442048</v>
          </cell>
          <cell r="AW191">
            <v>2</v>
          </cell>
          <cell r="AX191">
            <v>1.72E-2</v>
          </cell>
        </row>
        <row r="192">
          <cell r="Q192">
            <v>185.91624999999993</v>
          </cell>
          <cell r="T192">
            <v>178.41624999999993</v>
          </cell>
          <cell r="AA192">
            <v>82.325582944555592</v>
          </cell>
          <cell r="AD192">
            <v>0.20389338139571828</v>
          </cell>
          <cell r="AW192">
            <v>2</v>
          </cell>
          <cell r="AX192">
            <v>0.15939999999999999</v>
          </cell>
        </row>
        <row r="193">
          <cell r="Q193">
            <v>187.10749999999993</v>
          </cell>
          <cell r="T193">
            <v>179.60749999999993</v>
          </cell>
          <cell r="AA193">
            <v>79.809437438787626</v>
          </cell>
          <cell r="AD193">
            <v>0.28164505396152661</v>
          </cell>
          <cell r="AW193">
            <v>1</v>
          </cell>
          <cell r="AX193">
            <v>4.1999999999999997E-3</v>
          </cell>
        </row>
        <row r="194">
          <cell r="Q194">
            <v>188.34874999999994</v>
          </cell>
          <cell r="T194">
            <v>180.84874999999994</v>
          </cell>
          <cell r="AA194">
            <v>79.449246525999257</v>
          </cell>
          <cell r="AD194">
            <v>0.24287090702709488</v>
          </cell>
          <cell r="AW194">
            <v>1</v>
          </cell>
          <cell r="AX194">
            <v>0</v>
          </cell>
        </row>
        <row r="195">
          <cell r="Q195">
            <v>189.61499999999992</v>
          </cell>
          <cell r="T195">
            <v>182.11499999999992</v>
          </cell>
          <cell r="AA195">
            <v>76.710455833235955</v>
          </cell>
          <cell r="AD195">
            <v>0.25074381328376782</v>
          </cell>
          <cell r="AW195">
            <v>2</v>
          </cell>
          <cell r="AX195">
            <v>1.7000000000000001E-2</v>
          </cell>
        </row>
        <row r="196">
          <cell r="Q196">
            <v>190.83124999999993</v>
          </cell>
          <cell r="T196">
            <v>183.33124999999993</v>
          </cell>
          <cell r="AA196">
            <v>64.495992264826825</v>
          </cell>
          <cell r="AD196">
            <v>0.42463767698058225</v>
          </cell>
          <cell r="AW196">
            <v>1</v>
          </cell>
          <cell r="AX196">
            <v>0</v>
          </cell>
        </row>
        <row r="197">
          <cell r="Q197">
            <v>192.02249999999992</v>
          </cell>
          <cell r="T197">
            <v>184.52249999999992</v>
          </cell>
          <cell r="AA197">
            <v>81.900154833979229</v>
          </cell>
          <cell r="AD197">
            <v>0.18918182590233545</v>
          </cell>
          <cell r="AW197">
            <v>2</v>
          </cell>
          <cell r="AX197">
            <v>0.1041</v>
          </cell>
        </row>
        <row r="198">
          <cell r="Q198">
            <v>193.2637499999999</v>
          </cell>
          <cell r="T198">
            <v>185.7637499999999</v>
          </cell>
          <cell r="AA198">
            <v>84.251225658767254</v>
          </cell>
          <cell r="AD198">
            <v>0.1626683501683501</v>
          </cell>
          <cell r="AW198">
            <v>0</v>
          </cell>
          <cell r="AX198" t="str">
            <v>NA</v>
          </cell>
        </row>
        <row r="199">
          <cell r="Q199">
            <v>194.50499999999991</v>
          </cell>
          <cell r="T199">
            <v>187.00499999999991</v>
          </cell>
          <cell r="AA199">
            <v>84.616780498260852</v>
          </cell>
          <cell r="AD199">
            <v>0.17870968483584773</v>
          </cell>
          <cell r="AW199">
            <v>1</v>
          </cell>
          <cell r="AX199">
            <v>5.5999999999999999E-3</v>
          </cell>
        </row>
        <row r="200">
          <cell r="Q200">
            <v>195.6462499999999</v>
          </cell>
          <cell r="T200">
            <v>188.1462499999999</v>
          </cell>
          <cell r="AA200">
            <v>82.688124237012673</v>
          </cell>
          <cell r="AD200">
            <v>0.20767818496979393</v>
          </cell>
          <cell r="AW200">
            <v>2</v>
          </cell>
          <cell r="AX200">
            <v>0</v>
          </cell>
        </row>
        <row r="201">
          <cell r="Q201">
            <v>196.78749999999991</v>
          </cell>
          <cell r="T201">
            <v>189.28749999999991</v>
          </cell>
          <cell r="AA201">
            <v>82.55823694025878</v>
          </cell>
          <cell r="AD201">
            <v>0.19299861378375657</v>
          </cell>
          <cell r="AW201">
            <v>1</v>
          </cell>
          <cell r="AX201">
            <v>0</v>
          </cell>
        </row>
        <row r="202">
          <cell r="Q202">
            <v>197.97874999999991</v>
          </cell>
          <cell r="T202">
            <v>190.47874999999991</v>
          </cell>
          <cell r="AA202">
            <v>84.272747638591369</v>
          </cell>
          <cell r="AD202">
            <v>0.1973380917440884</v>
          </cell>
          <cell r="AW202">
            <v>2</v>
          </cell>
          <cell r="AX202">
            <v>1.21E-2</v>
          </cell>
        </row>
        <row r="203">
          <cell r="Q203">
            <v>199.1699999999999</v>
          </cell>
          <cell r="T203">
            <v>191.6699999999999</v>
          </cell>
          <cell r="AA203">
            <v>84.388621650611242</v>
          </cell>
          <cell r="AD203">
            <v>0.17070886869510038</v>
          </cell>
          <cell r="AW203">
            <v>0</v>
          </cell>
          <cell r="AX203">
            <v>0</v>
          </cell>
        </row>
        <row r="204">
          <cell r="Q204">
            <v>200.33624999999989</v>
          </cell>
          <cell r="T204">
            <v>192.83624999999989</v>
          </cell>
          <cell r="AA204">
            <v>83.136889846101838</v>
          </cell>
          <cell r="AD204">
            <v>0.1883683987037657</v>
          </cell>
          <cell r="AW204">
            <v>2</v>
          </cell>
          <cell r="AX204">
            <v>9.9000000000000008E-3</v>
          </cell>
        </row>
        <row r="205">
          <cell r="Q205">
            <v>201.47749999999988</v>
          </cell>
          <cell r="T205">
            <v>193.97749999999988</v>
          </cell>
          <cell r="AA205">
            <v>83.539632602624835</v>
          </cell>
          <cell r="AD205">
            <v>0.21675814002026164</v>
          </cell>
          <cell r="AW205">
            <v>2</v>
          </cell>
          <cell r="AX205">
            <v>5.4199999999999998E-2</v>
          </cell>
        </row>
        <row r="206">
          <cell r="Q206">
            <v>202.61874999999986</v>
          </cell>
          <cell r="T206">
            <v>195.11874999999986</v>
          </cell>
          <cell r="AA206">
            <v>82.384907133369069</v>
          </cell>
          <cell r="AD206">
            <v>0.14039869117742826</v>
          </cell>
          <cell r="AW206">
            <v>0</v>
          </cell>
          <cell r="AX206" t="str">
            <v>NA</v>
          </cell>
        </row>
        <row r="207">
          <cell r="Q207">
            <v>203.75999999999985</v>
          </cell>
          <cell r="T207">
            <v>196.25999999999985</v>
          </cell>
          <cell r="AA207">
            <v>82.883836888218426</v>
          </cell>
          <cell r="AD207">
            <v>0.19934657852788629</v>
          </cell>
          <cell r="AW207">
            <v>1</v>
          </cell>
          <cell r="AX207">
            <v>0</v>
          </cell>
        </row>
        <row r="208">
          <cell r="Q208">
            <v>204.92624999999984</v>
          </cell>
          <cell r="T208">
            <v>197.42624999999984</v>
          </cell>
          <cell r="AA208">
            <v>82.774027710401469</v>
          </cell>
          <cell r="AD208">
            <v>0.19111469711315721</v>
          </cell>
          <cell r="AW208">
            <v>0</v>
          </cell>
          <cell r="AX208" t="str">
            <v>NA</v>
          </cell>
        </row>
        <row r="209">
          <cell r="Q209">
            <v>206.09249999999983</v>
          </cell>
          <cell r="T209">
            <v>198.59249999999983</v>
          </cell>
          <cell r="AA209">
            <v>82.397321611481487</v>
          </cell>
          <cell r="AD209">
            <v>0.21722341398774059</v>
          </cell>
          <cell r="AW209">
            <v>2</v>
          </cell>
          <cell r="AX209">
            <v>0</v>
          </cell>
        </row>
        <row r="210">
          <cell r="Q210">
            <v>207.28374999999983</v>
          </cell>
          <cell r="T210">
            <v>199.78374999999983</v>
          </cell>
          <cell r="AA210">
            <v>82.115925909757806</v>
          </cell>
          <cell r="AD210">
            <v>0.19052876352239406</v>
          </cell>
          <cell r="AW210">
            <v>2</v>
          </cell>
          <cell r="AX210">
            <v>0.109</v>
          </cell>
        </row>
        <row r="211">
          <cell r="Q211">
            <v>208.74999999999983</v>
          </cell>
          <cell r="T211">
            <v>201.24999999999983</v>
          </cell>
          <cell r="AA211">
            <v>81.630802102756135</v>
          </cell>
          <cell r="AD211">
            <v>0.20506889297142006</v>
          </cell>
          <cell r="AW211">
            <v>0</v>
          </cell>
          <cell r="AX211" t="str">
            <v>NA</v>
          </cell>
        </row>
        <row r="212">
          <cell r="Q212">
            <v>200.5</v>
          </cell>
          <cell r="T212">
            <v>193</v>
          </cell>
          <cell r="AA212">
            <v>80.98156440416399</v>
          </cell>
          <cell r="AD212">
            <v>0.18860209053152044</v>
          </cell>
          <cell r="AW212">
            <v>2</v>
          </cell>
          <cell r="AX212">
            <v>0</v>
          </cell>
        </row>
        <row r="213">
          <cell r="Q213">
            <v>201.67375000000001</v>
          </cell>
          <cell r="T213">
            <v>194.17375000000001</v>
          </cell>
          <cell r="AA213">
            <v>80.912164704691108</v>
          </cell>
          <cell r="AD213">
            <v>0.20567350790280717</v>
          </cell>
          <cell r="AW213">
            <v>1</v>
          </cell>
          <cell r="AX213">
            <v>0</v>
          </cell>
        </row>
        <row r="214">
          <cell r="Q214">
            <v>202.87250000000003</v>
          </cell>
          <cell r="T214">
            <v>195.37250000000003</v>
          </cell>
          <cell r="AA214">
            <v>77.765754682776063</v>
          </cell>
          <cell r="AD214">
            <v>0.25179303794071428</v>
          </cell>
          <cell r="AW214">
            <v>1</v>
          </cell>
          <cell r="AX214">
            <v>0</v>
          </cell>
        </row>
        <row r="215">
          <cell r="Q215">
            <v>204.09625000000005</v>
          </cell>
          <cell r="T215">
            <v>196.59625000000005</v>
          </cell>
          <cell r="AA215">
            <v>79.204028856780923</v>
          </cell>
          <cell r="AD215">
            <v>0.2468083343006674</v>
          </cell>
          <cell r="AW215">
            <v>2</v>
          </cell>
          <cell r="AX215">
            <v>8.0000000000000002E-3</v>
          </cell>
        </row>
        <row r="216">
          <cell r="Q216">
            <v>205.32000000000008</v>
          </cell>
          <cell r="T216">
            <v>197.82000000000008</v>
          </cell>
          <cell r="AA216">
            <v>75.266710981592453</v>
          </cell>
          <cell r="AD216">
            <v>0.28063955844466448</v>
          </cell>
          <cell r="AW216">
            <v>2</v>
          </cell>
          <cell r="AX216">
            <v>0</v>
          </cell>
        </row>
        <row r="217">
          <cell r="Q217">
            <v>206.5437500000001</v>
          </cell>
          <cell r="T217">
            <v>199.0437500000001</v>
          </cell>
          <cell r="AA217">
            <v>78.740643071233819</v>
          </cell>
          <cell r="AD217">
            <v>0.25205427156000398</v>
          </cell>
          <cell r="AW217">
            <v>2</v>
          </cell>
          <cell r="AX217">
            <v>2.7799999999999998E-2</v>
          </cell>
        </row>
        <row r="218">
          <cell r="Q218">
            <v>207.69250000000011</v>
          </cell>
          <cell r="T218">
            <v>200.19250000000011</v>
          </cell>
          <cell r="AA218">
            <v>80.124149857704978</v>
          </cell>
          <cell r="AD218">
            <v>0.25529947343982951</v>
          </cell>
          <cell r="AW218">
            <v>0</v>
          </cell>
          <cell r="AX218" t="str">
            <v>NA</v>
          </cell>
        </row>
        <row r="219">
          <cell r="Q219">
            <v>208.81625000000014</v>
          </cell>
          <cell r="T219">
            <v>201.31625000000014</v>
          </cell>
          <cell r="AA219">
            <v>79.888401935105293</v>
          </cell>
          <cell r="AD219">
            <v>0.22824207330982085</v>
          </cell>
          <cell r="AW219">
            <v>0</v>
          </cell>
          <cell r="AX219" t="str">
            <v>NA</v>
          </cell>
        </row>
        <row r="220">
          <cell r="Q220">
            <v>209.99000000000015</v>
          </cell>
          <cell r="T220">
            <v>202.49000000000015</v>
          </cell>
          <cell r="AA220">
            <v>79.059564494691799</v>
          </cell>
          <cell r="AD220">
            <v>0.26495636846276999</v>
          </cell>
          <cell r="AW220">
            <v>1</v>
          </cell>
          <cell r="AX220">
            <v>0</v>
          </cell>
        </row>
        <row r="221">
          <cell r="Q221">
            <v>211.16375000000016</v>
          </cell>
          <cell r="T221">
            <v>203.66375000000016</v>
          </cell>
          <cell r="AA221">
            <v>83.57098238709203</v>
          </cell>
          <cell r="AD221">
            <v>0.20616041461411894</v>
          </cell>
          <cell r="AW221">
            <v>0</v>
          </cell>
          <cell r="AX221" t="str">
            <v>NA</v>
          </cell>
        </row>
        <row r="222">
          <cell r="Q222">
            <v>212.33750000000018</v>
          </cell>
          <cell r="T222">
            <v>204.83750000000018</v>
          </cell>
          <cell r="AA222">
            <v>85.001799166125622</v>
          </cell>
          <cell r="AD222">
            <v>0.18549536332640229</v>
          </cell>
          <cell r="AW222">
            <v>2</v>
          </cell>
          <cell r="AX222">
            <v>4.1200000000000001E-2</v>
          </cell>
        </row>
        <row r="223">
          <cell r="Q223">
            <v>213.53625000000019</v>
          </cell>
          <cell r="T223">
            <v>206.03625000000019</v>
          </cell>
          <cell r="AA223">
            <v>85.64213282787658</v>
          </cell>
          <cell r="AD223">
            <v>0.17983065717308352</v>
          </cell>
          <cell r="AW223">
            <v>1</v>
          </cell>
          <cell r="AX223">
            <v>0</v>
          </cell>
        </row>
        <row r="224">
          <cell r="Q224">
            <v>214.73500000000021</v>
          </cell>
          <cell r="T224">
            <v>207.23500000000021</v>
          </cell>
          <cell r="AA224">
            <v>84.425099120841224</v>
          </cell>
          <cell r="AD224">
            <v>0.18484883323463849</v>
          </cell>
          <cell r="AW224">
            <v>1</v>
          </cell>
          <cell r="AX224">
            <v>0</v>
          </cell>
        </row>
        <row r="225">
          <cell r="Q225">
            <v>215.93375000000023</v>
          </cell>
          <cell r="T225">
            <v>208.43375000000023</v>
          </cell>
          <cell r="AA225">
            <v>84.187394769891327</v>
          </cell>
          <cell r="AD225">
            <v>0.17493543227552258</v>
          </cell>
          <cell r="AW225">
            <v>0</v>
          </cell>
          <cell r="AX225" t="str">
            <v>NA</v>
          </cell>
        </row>
        <row r="226">
          <cell r="Q226">
            <v>217.13250000000025</v>
          </cell>
          <cell r="T226">
            <v>209.63250000000025</v>
          </cell>
          <cell r="AA226">
            <v>82.708450029425151</v>
          </cell>
          <cell r="AD226">
            <v>0.21039817823803258</v>
          </cell>
          <cell r="AW226">
            <v>2</v>
          </cell>
          <cell r="AX226">
            <v>1.5100000000000001E-2</v>
          </cell>
        </row>
        <row r="227">
          <cell r="Q227">
            <v>218.30625000000026</v>
          </cell>
          <cell r="T227">
            <v>210.80625000000026</v>
          </cell>
          <cell r="AA227">
            <v>83.591456650009334</v>
          </cell>
          <cell r="AD227">
            <v>0.19713670677046477</v>
          </cell>
          <cell r="AW227">
            <v>1</v>
          </cell>
          <cell r="AX227">
            <v>0.1065</v>
          </cell>
        </row>
        <row r="228">
          <cell r="Q228">
            <v>219.48000000000027</v>
          </cell>
          <cell r="T228">
            <v>211.98000000000027</v>
          </cell>
          <cell r="AA228">
            <v>84.74052941183173</v>
          </cell>
          <cell r="AD228">
            <v>0.17840106013502272</v>
          </cell>
          <cell r="AW228">
            <v>1</v>
          </cell>
          <cell r="AX228">
            <v>0</v>
          </cell>
        </row>
        <row r="229">
          <cell r="Q229">
            <v>220.67875000000029</v>
          </cell>
          <cell r="T229">
            <v>213.17875000000029</v>
          </cell>
          <cell r="AA229">
            <v>83.713741863384541</v>
          </cell>
          <cell r="AD229">
            <v>0.20383243577400995</v>
          </cell>
          <cell r="AW229">
            <v>1</v>
          </cell>
          <cell r="AX229">
            <v>2.3800000000000002E-2</v>
          </cell>
        </row>
        <row r="230">
          <cell r="Q230">
            <v>221.90250000000032</v>
          </cell>
          <cell r="T230">
            <v>214.40250000000032</v>
          </cell>
          <cell r="AA230">
            <v>84.981425254322673</v>
          </cell>
          <cell r="AD230">
            <v>0.16831708708826437</v>
          </cell>
          <cell r="AW230">
            <v>1</v>
          </cell>
          <cell r="AX230">
            <v>0</v>
          </cell>
        </row>
        <row r="231">
          <cell r="Q231">
            <v>222.95125000000033</v>
          </cell>
          <cell r="T231">
            <v>215.45125000000033</v>
          </cell>
          <cell r="AA231">
            <v>83.346463677745376</v>
          </cell>
          <cell r="AD231">
            <v>0.22339134425318269</v>
          </cell>
          <cell r="AW231">
            <v>0</v>
          </cell>
          <cell r="AX231" t="str">
            <v>NA</v>
          </cell>
        </row>
        <row r="232">
          <cell r="Q232">
            <v>223.92500000000035</v>
          </cell>
          <cell r="T232">
            <v>216.42500000000035</v>
          </cell>
          <cell r="AA232">
            <v>81.557310339073226</v>
          </cell>
          <cell r="AD232">
            <v>0.20769972608242063</v>
          </cell>
          <cell r="AW232">
            <v>0</v>
          </cell>
          <cell r="AX232" t="str">
            <v>NA</v>
          </cell>
        </row>
        <row r="233">
          <cell r="Q233">
            <v>225.04875000000035</v>
          </cell>
          <cell r="T233">
            <v>217.54875000000035</v>
          </cell>
          <cell r="AA233">
            <v>83.604779972241232</v>
          </cell>
          <cell r="AD233">
            <v>0.18551413822091031</v>
          </cell>
          <cell r="AW233">
            <v>0</v>
          </cell>
          <cell r="AX233" t="str">
            <v>NA</v>
          </cell>
        </row>
        <row r="234">
          <cell r="Q234">
            <v>226.22250000000037</v>
          </cell>
          <cell r="T234">
            <v>218.72250000000037</v>
          </cell>
          <cell r="AA234">
            <v>82.625232756183664</v>
          </cell>
          <cell r="AD234">
            <v>0.21479872345197795</v>
          </cell>
          <cell r="AW234">
            <v>0</v>
          </cell>
          <cell r="AX234" t="str">
            <v>NA</v>
          </cell>
        </row>
        <row r="235">
          <cell r="Q235">
            <v>227.39625000000038</v>
          </cell>
          <cell r="T235">
            <v>219.89625000000038</v>
          </cell>
          <cell r="AA235">
            <v>82.266320303733636</v>
          </cell>
          <cell r="AD235">
            <v>0.22581256359134508</v>
          </cell>
          <cell r="AW235">
            <v>0</v>
          </cell>
          <cell r="AX235" t="str">
            <v>NA</v>
          </cell>
        </row>
        <row r="236">
          <cell r="Q236">
            <v>228.5950000000004</v>
          </cell>
          <cell r="T236">
            <v>221.0950000000004</v>
          </cell>
          <cell r="AA236">
            <v>81.665127590241454</v>
          </cell>
          <cell r="AD236">
            <v>0.20863449434955372</v>
          </cell>
          <cell r="AW236">
            <v>2</v>
          </cell>
          <cell r="AX236">
            <v>2.46E-2</v>
          </cell>
        </row>
        <row r="237">
          <cell r="Q237">
            <v>229.81875000000042</v>
          </cell>
          <cell r="T237">
            <v>222.31875000000042</v>
          </cell>
          <cell r="AA237">
            <v>81.533320782045351</v>
          </cell>
          <cell r="AD237">
            <v>0.19886862922735943</v>
          </cell>
          <cell r="AW237">
            <v>0</v>
          </cell>
          <cell r="AX237" t="str">
            <v>NA</v>
          </cell>
        </row>
        <row r="238">
          <cell r="Q238">
            <v>231.04250000000044</v>
          </cell>
          <cell r="T238">
            <v>223.54250000000044</v>
          </cell>
          <cell r="AA238">
            <v>80.966196612914104</v>
          </cell>
          <cell r="AD238">
            <v>0.21727882919464636</v>
          </cell>
          <cell r="AW238">
            <v>1</v>
          </cell>
          <cell r="AX238">
            <v>0</v>
          </cell>
        </row>
        <row r="239">
          <cell r="Q239">
            <v>232.26625000000047</v>
          </cell>
          <cell r="T239">
            <v>224.76625000000047</v>
          </cell>
          <cell r="AA239">
            <v>81.926868598143727</v>
          </cell>
          <cell r="AD239">
            <v>0.21266359079562697</v>
          </cell>
          <cell r="AW239">
            <v>0</v>
          </cell>
          <cell r="AX239" t="str">
            <v>NA</v>
          </cell>
        </row>
        <row r="240">
          <cell r="Q240">
            <v>233.49000000000049</v>
          </cell>
          <cell r="T240">
            <v>225.99000000000049</v>
          </cell>
          <cell r="AA240">
            <v>81.32949510811936</v>
          </cell>
          <cell r="AD240">
            <v>0.23514516326588786</v>
          </cell>
          <cell r="AW240">
            <v>0</v>
          </cell>
          <cell r="AX240" t="str">
            <v>NA</v>
          </cell>
        </row>
        <row r="241">
          <cell r="Q241">
            <v>234.71375000000052</v>
          </cell>
          <cell r="T241">
            <v>227.21375000000052</v>
          </cell>
          <cell r="AA241">
            <v>81.180161600791848</v>
          </cell>
          <cell r="AD241">
            <v>0.22133412830912549</v>
          </cell>
          <cell r="AW241">
            <v>1</v>
          </cell>
          <cell r="AX241">
            <v>2.2800000000000001E-2</v>
          </cell>
        </row>
        <row r="242">
          <cell r="Q242">
            <v>235.93750000000054</v>
          </cell>
          <cell r="T242">
            <v>228.43750000000054</v>
          </cell>
          <cell r="AA242">
            <v>80.423225532194849</v>
          </cell>
          <cell r="AD242">
            <v>0.22187783684263729</v>
          </cell>
          <cell r="AW242">
            <v>0</v>
          </cell>
          <cell r="AX242" t="str">
            <v>NA</v>
          </cell>
        </row>
        <row r="243">
          <cell r="Q243">
            <v>237.18625000000054</v>
          </cell>
          <cell r="T243">
            <v>229.68625000000054</v>
          </cell>
          <cell r="AA243">
            <v>80.48230831182714</v>
          </cell>
          <cell r="AD243">
            <v>0.21812306103555026</v>
          </cell>
          <cell r="AW243">
            <v>0</v>
          </cell>
          <cell r="AX243" t="str">
            <v>NA</v>
          </cell>
        </row>
        <row r="244">
          <cell r="Q244">
            <v>238.43500000000057</v>
          </cell>
          <cell r="T244">
            <v>230.93500000000057</v>
          </cell>
          <cell r="AA244">
            <v>81.244080833018899</v>
          </cell>
          <cell r="AD244">
            <v>0.22461091360039945</v>
          </cell>
          <cell r="AW244">
            <v>0</v>
          </cell>
          <cell r="AX244" t="str">
            <v>NA</v>
          </cell>
        </row>
        <row r="245">
          <cell r="Q245">
            <v>239.63375000000059</v>
          </cell>
          <cell r="T245">
            <v>232.13375000000059</v>
          </cell>
          <cell r="AA245">
            <v>82.868110611087175</v>
          </cell>
          <cell r="AD245">
            <v>0.17279530214442104</v>
          </cell>
          <cell r="AW245">
            <v>2</v>
          </cell>
          <cell r="AX245">
            <v>6.4999999999999997E-3</v>
          </cell>
        </row>
        <row r="246">
          <cell r="Q246">
            <v>240.83250000000061</v>
          </cell>
          <cell r="T246">
            <v>233.33250000000061</v>
          </cell>
          <cell r="AA246">
            <v>83.694918784291858</v>
          </cell>
          <cell r="AD246">
            <v>0.22014297170072758</v>
          </cell>
          <cell r="AW246">
            <v>2</v>
          </cell>
          <cell r="AX246">
            <v>1.7000000000000001E-2</v>
          </cell>
        </row>
        <row r="247">
          <cell r="Q247">
            <v>242.05625000000063</v>
          </cell>
          <cell r="T247">
            <v>234.55625000000063</v>
          </cell>
          <cell r="AA247">
            <v>83.980657940730964</v>
          </cell>
          <cell r="AD247">
            <v>0.19495048897263134</v>
          </cell>
          <cell r="AW247">
            <v>0</v>
          </cell>
          <cell r="AX247" t="str">
            <v>NA</v>
          </cell>
        </row>
        <row r="248">
          <cell r="Q248">
            <v>243.25500000000065</v>
          </cell>
          <cell r="T248">
            <v>235.75500000000065</v>
          </cell>
          <cell r="AA248">
            <v>83.789308667175106</v>
          </cell>
          <cell r="AD248">
            <v>0.21863405520169849</v>
          </cell>
          <cell r="AW248">
            <v>0</v>
          </cell>
          <cell r="AX248" t="str">
            <v>NA</v>
          </cell>
        </row>
        <row r="249">
          <cell r="Q249">
            <v>244.47875000000067</v>
          </cell>
          <cell r="T249">
            <v>236.97875000000067</v>
          </cell>
          <cell r="AA249">
            <v>83.174633610640214</v>
          </cell>
          <cell r="AD249">
            <v>0.19863820172078139</v>
          </cell>
          <cell r="AW249">
            <v>0</v>
          </cell>
          <cell r="AX249" t="str">
            <v>NA</v>
          </cell>
        </row>
        <row r="250">
          <cell r="Q250">
            <v>245.70250000000067</v>
          </cell>
          <cell r="T250">
            <v>238.20250000000067</v>
          </cell>
          <cell r="AA250">
            <v>83.919405116734112</v>
          </cell>
          <cell r="AD250">
            <v>0.21257827102116675</v>
          </cell>
          <cell r="AW250">
            <v>0</v>
          </cell>
          <cell r="AX250" t="str">
            <v>NA</v>
          </cell>
        </row>
        <row r="251">
          <cell r="Q251">
            <v>246.92625000000066</v>
          </cell>
          <cell r="T251">
            <v>239.42625000000066</v>
          </cell>
          <cell r="AA251">
            <v>83.929187588767221</v>
          </cell>
          <cell r="AD251">
            <v>0.18777188840883099</v>
          </cell>
          <cell r="AW251">
            <v>0</v>
          </cell>
          <cell r="AX251" t="str">
            <v>NA</v>
          </cell>
        </row>
        <row r="252">
          <cell r="Q252">
            <v>248.57500000000067</v>
          </cell>
          <cell r="T252">
            <v>241.07500000000067</v>
          </cell>
          <cell r="AA252">
            <v>84.578734558658624</v>
          </cell>
          <cell r="AD252">
            <v>0.16214464525133865</v>
          </cell>
          <cell r="AW252">
            <v>0</v>
          </cell>
          <cell r="AX252" t="str">
            <v>NA</v>
          </cell>
        </row>
        <row r="253">
          <cell r="Q253">
            <v>240.55</v>
          </cell>
          <cell r="T253">
            <v>242.55</v>
          </cell>
          <cell r="AA253">
            <v>84.039732369791309</v>
          </cell>
          <cell r="AD253">
            <v>0.17497673975005273</v>
          </cell>
          <cell r="AW253">
            <v>0</v>
          </cell>
          <cell r="AX253" t="str">
            <v>NA</v>
          </cell>
        </row>
        <row r="254">
          <cell r="Q254">
            <v>241.87</v>
          </cell>
          <cell r="T254">
            <v>243.87</v>
          </cell>
          <cell r="AA254">
            <v>84.850223305098311</v>
          </cell>
          <cell r="AD254">
            <v>0.18144763976194714</v>
          </cell>
          <cell r="AW254">
            <v>1</v>
          </cell>
          <cell r="AX254">
            <v>0</v>
          </cell>
        </row>
        <row r="255">
          <cell r="Q255">
            <v>243.23999999999998</v>
          </cell>
          <cell r="T255">
            <v>245.23999999999998</v>
          </cell>
          <cell r="AA255">
            <v>85.916158970072473</v>
          </cell>
          <cell r="AD255">
            <v>0.157354573932278</v>
          </cell>
          <cell r="AW255">
            <v>2</v>
          </cell>
          <cell r="AX255">
            <v>1.3100000000000001E-2</v>
          </cell>
        </row>
        <row r="256">
          <cell r="Q256">
            <v>244.65999999999997</v>
          </cell>
          <cell r="T256">
            <v>246.65999999999997</v>
          </cell>
          <cell r="AA256">
            <v>85.989486238194218</v>
          </cell>
          <cell r="AD256">
            <v>0.16228068215011771</v>
          </cell>
          <cell r="AW256">
            <v>2</v>
          </cell>
          <cell r="AX256">
            <v>4.3E-3</v>
          </cell>
        </row>
        <row r="257">
          <cell r="Q257">
            <v>246.07999999999996</v>
          </cell>
          <cell r="T257">
            <v>248.07999999999996</v>
          </cell>
          <cell r="AA257">
            <v>86.312308717444623</v>
          </cell>
          <cell r="AD257">
            <v>0.16700637486861303</v>
          </cell>
          <cell r="AW257">
            <v>2</v>
          </cell>
          <cell r="AX257">
            <v>0</v>
          </cell>
        </row>
        <row r="258">
          <cell r="Q258">
            <v>247.42499999999995</v>
          </cell>
          <cell r="T258">
            <v>249.42499999999995</v>
          </cell>
          <cell r="AA258">
            <v>85.917441214069257</v>
          </cell>
          <cell r="AD258">
            <v>0.14997045582538518</v>
          </cell>
          <cell r="AW258">
            <v>1</v>
          </cell>
          <cell r="AX258">
            <v>0</v>
          </cell>
        </row>
        <row r="259">
          <cell r="Q259">
            <v>248.66999999999996</v>
          </cell>
          <cell r="T259">
            <v>250.66999999999996</v>
          </cell>
          <cell r="AA259">
            <v>85.552555319146521</v>
          </cell>
          <cell r="AD259">
            <v>0.16289466200531971</v>
          </cell>
          <cell r="AW259">
            <v>0</v>
          </cell>
          <cell r="AX259" t="str">
            <v>NA</v>
          </cell>
        </row>
        <row r="260">
          <cell r="Q260">
            <v>249.91499999999996</v>
          </cell>
          <cell r="T260">
            <v>251.91499999999996</v>
          </cell>
          <cell r="AA260">
            <v>85.592939526476229</v>
          </cell>
          <cell r="AD260">
            <v>0.14792638131032212</v>
          </cell>
          <cell r="AW260">
            <v>1</v>
          </cell>
          <cell r="AX260">
            <v>0</v>
          </cell>
        </row>
        <row r="261">
          <cell r="Q261">
            <v>251.15999999999997</v>
          </cell>
          <cell r="T261">
            <v>253.15999999999997</v>
          </cell>
          <cell r="AA261">
            <v>84.447739048348254</v>
          </cell>
          <cell r="AD261">
            <v>0.17774743099787679</v>
          </cell>
          <cell r="AW261">
            <v>0</v>
          </cell>
          <cell r="AX261" t="str">
            <v>NA</v>
          </cell>
        </row>
        <row r="262">
          <cell r="Q262">
            <v>252.37999999999997</v>
          </cell>
          <cell r="T262">
            <v>254.37999999999997</v>
          </cell>
          <cell r="AA262">
            <v>82.490401947569282</v>
          </cell>
          <cell r="AD262">
            <v>0.18987735844514733</v>
          </cell>
          <cell r="AW262">
            <v>2</v>
          </cell>
          <cell r="AX262">
            <v>8.9999999999999993E-3</v>
          </cell>
        </row>
        <row r="263">
          <cell r="Q263">
            <v>253.54999999999995</v>
          </cell>
          <cell r="T263">
            <v>255.54999999999995</v>
          </cell>
          <cell r="AA263">
            <v>84.462199744650604</v>
          </cell>
          <cell r="AD263">
            <v>0.17514318298247736</v>
          </cell>
          <cell r="AW263">
            <v>0</v>
          </cell>
          <cell r="AX263" t="str">
            <v>NA</v>
          </cell>
        </row>
        <row r="264">
          <cell r="Q264">
            <v>254.71999999999997</v>
          </cell>
          <cell r="T264">
            <v>256.71999999999997</v>
          </cell>
          <cell r="AA264">
            <v>85.080974641836875</v>
          </cell>
          <cell r="AD264">
            <v>0.14330159579573995</v>
          </cell>
          <cell r="AW264">
            <v>0</v>
          </cell>
          <cell r="AX264" t="str">
            <v>NA</v>
          </cell>
        </row>
        <row r="265">
          <cell r="Q265">
            <v>255.93999999999994</v>
          </cell>
          <cell r="T265">
            <v>257.93999999999994</v>
          </cell>
          <cell r="AA265">
            <v>85.289279092541619</v>
          </cell>
          <cell r="AD265">
            <v>0.16127772328219767</v>
          </cell>
          <cell r="AW265">
            <v>0</v>
          </cell>
          <cell r="AX265" t="str">
            <v>NA</v>
          </cell>
        </row>
        <row r="266">
          <cell r="Q266">
            <v>257.13499999999999</v>
          </cell>
          <cell r="T266">
            <v>259.13499999999999</v>
          </cell>
          <cell r="AA266">
            <v>85.149409672860671</v>
          </cell>
          <cell r="AD266">
            <v>0.16423467550688459</v>
          </cell>
          <cell r="AW266">
            <v>0</v>
          </cell>
          <cell r="AX266" t="str">
            <v>NA</v>
          </cell>
        </row>
        <row r="267">
          <cell r="Q267">
            <v>258.27999999999997</v>
          </cell>
          <cell r="T267">
            <v>260.27999999999997</v>
          </cell>
          <cell r="AA267">
            <v>85.538375856626246</v>
          </cell>
          <cell r="AD267">
            <v>0.17840046411679228</v>
          </cell>
          <cell r="AW267">
            <v>0</v>
          </cell>
          <cell r="AX267" t="str">
            <v>NA</v>
          </cell>
        </row>
        <row r="268">
          <cell r="Q268">
            <v>259.42499999999995</v>
          </cell>
          <cell r="T268">
            <v>261.42499999999995</v>
          </cell>
          <cell r="AA268">
            <v>83.880170687506805</v>
          </cell>
          <cell r="AD268">
            <v>0.19873112079561961</v>
          </cell>
          <cell r="AW268">
            <v>0</v>
          </cell>
          <cell r="AX268" t="str">
            <v>NA</v>
          </cell>
        </row>
        <row r="269">
          <cell r="Q269">
            <v>260.62</v>
          </cell>
          <cell r="T269">
            <v>262.62</v>
          </cell>
          <cell r="AA269">
            <v>86.694177735678451</v>
          </cell>
          <cell r="AD269">
            <v>0.13991480902773168</v>
          </cell>
          <cell r="AW269">
            <v>2</v>
          </cell>
          <cell r="AX269">
            <v>3.0599999999999999E-2</v>
          </cell>
        </row>
        <row r="270">
          <cell r="Q270">
            <v>261.84000000000003</v>
          </cell>
          <cell r="T270">
            <v>263.84000000000003</v>
          </cell>
          <cell r="AA270">
            <v>85.682588244605441</v>
          </cell>
          <cell r="AD270">
            <v>0.16844023294362231</v>
          </cell>
          <cell r="AW270">
            <v>0</v>
          </cell>
          <cell r="AX270" t="str">
            <v>NA</v>
          </cell>
        </row>
        <row r="271">
          <cell r="Q271">
            <v>263.06000000000006</v>
          </cell>
          <cell r="T271">
            <v>265.06000000000006</v>
          </cell>
          <cell r="AA271">
            <v>85.225709766524929</v>
          </cell>
          <cell r="AD271">
            <v>0.16920897632033627</v>
          </cell>
          <cell r="AW271">
            <v>2</v>
          </cell>
          <cell r="AX271">
            <v>1.9699999999999999E-2</v>
          </cell>
        </row>
        <row r="272">
          <cell r="Q272">
            <v>264.28000000000009</v>
          </cell>
          <cell r="T272">
            <v>266.28000000000009</v>
          </cell>
          <cell r="AA272">
            <v>84.83662041044434</v>
          </cell>
          <cell r="AD272">
            <v>0.1695075931297596</v>
          </cell>
          <cell r="AW272">
            <v>0</v>
          </cell>
          <cell r="AX272" t="str">
            <v>NA</v>
          </cell>
        </row>
        <row r="273">
          <cell r="Q273">
            <v>265.50000000000011</v>
          </cell>
          <cell r="T273">
            <v>267.50000000000011</v>
          </cell>
          <cell r="AA273">
            <v>85.679580029490324</v>
          </cell>
          <cell r="AD273">
            <v>0.14875413166942028</v>
          </cell>
          <cell r="AW273">
            <v>0</v>
          </cell>
          <cell r="AX273" t="str">
            <v>NA</v>
          </cell>
        </row>
        <row r="274">
          <cell r="Q274">
            <v>266.72000000000014</v>
          </cell>
          <cell r="T274">
            <v>268.72000000000014</v>
          </cell>
          <cell r="AA274">
            <v>83.99848077172139</v>
          </cell>
          <cell r="AD274">
            <v>0.16212697570181647</v>
          </cell>
          <cell r="AW274">
            <v>0</v>
          </cell>
          <cell r="AX274" t="str">
            <v>NA</v>
          </cell>
        </row>
        <row r="275">
          <cell r="Q275">
            <v>267.91500000000019</v>
          </cell>
          <cell r="T275">
            <v>269.91500000000019</v>
          </cell>
          <cell r="AA275">
            <v>84.118838336178484</v>
          </cell>
          <cell r="AD275">
            <v>0.1561475507304593</v>
          </cell>
          <cell r="AW275">
            <v>0</v>
          </cell>
          <cell r="AX275" t="str">
            <v>NA</v>
          </cell>
        </row>
        <row r="276">
          <cell r="Q276">
            <v>269.11000000000018</v>
          </cell>
          <cell r="T276">
            <v>271.11000000000018</v>
          </cell>
          <cell r="AA276">
            <v>84.679103438674659</v>
          </cell>
          <cell r="AD276">
            <v>0.1432467540506388</v>
          </cell>
          <cell r="AW276">
            <v>0</v>
          </cell>
          <cell r="AX276" t="str">
            <v>NA</v>
          </cell>
        </row>
        <row r="277">
          <cell r="Q277">
            <v>270.30500000000018</v>
          </cell>
          <cell r="T277">
            <v>272.30500000000018</v>
          </cell>
          <cell r="AA277">
            <v>85.70777330516681</v>
          </cell>
          <cell r="AD277">
            <v>0.16940727221056487</v>
          </cell>
          <cell r="AW277">
            <v>0</v>
          </cell>
          <cell r="AX277" t="str">
            <v>NA</v>
          </cell>
        </row>
        <row r="278">
          <cell r="Q278">
            <v>271.50000000000023</v>
          </cell>
          <cell r="T278">
            <v>273.50000000000023</v>
          </cell>
          <cell r="AA278">
            <v>85.306416360892669</v>
          </cell>
          <cell r="AD278">
            <v>0.16860847207627108</v>
          </cell>
          <cell r="AW278">
            <v>1</v>
          </cell>
          <cell r="AX278">
            <v>0</v>
          </cell>
        </row>
        <row r="279">
          <cell r="Q279">
            <v>272.72000000000025</v>
          </cell>
          <cell r="T279">
            <v>274.72000000000025</v>
          </cell>
          <cell r="AA279">
            <v>85.660900818659485</v>
          </cell>
          <cell r="AD279">
            <v>0.16932968693944042</v>
          </cell>
          <cell r="AW279">
            <v>0</v>
          </cell>
          <cell r="AX279" t="str">
            <v>NA</v>
          </cell>
        </row>
        <row r="280">
          <cell r="Q280">
            <v>273.94000000000028</v>
          </cell>
          <cell r="T280">
            <v>275.94000000000028</v>
          </cell>
          <cell r="AA280">
            <v>85.937699172329857</v>
          </cell>
          <cell r="AD280">
            <v>0.16899021806071626</v>
          </cell>
          <cell r="AW280">
            <v>0</v>
          </cell>
          <cell r="AX280" t="str">
            <v>NA</v>
          </cell>
        </row>
        <row r="281">
          <cell r="Q281">
            <v>275.16000000000031</v>
          </cell>
          <cell r="T281">
            <v>277.16000000000031</v>
          </cell>
          <cell r="AA281">
            <v>85.562101275459895</v>
          </cell>
          <cell r="AD281">
            <v>0.17110284501061571</v>
          </cell>
          <cell r="AW281">
            <v>0</v>
          </cell>
          <cell r="AX281" t="str">
            <v>NA</v>
          </cell>
        </row>
        <row r="282">
          <cell r="Q282">
            <v>276.38000000000034</v>
          </cell>
          <cell r="T282">
            <v>278.38000000000034</v>
          </cell>
          <cell r="AA282">
            <v>84.862451191339133</v>
          </cell>
          <cell r="AD282">
            <v>0.20702033714487561</v>
          </cell>
          <cell r="AW282">
            <v>0</v>
          </cell>
          <cell r="AX282" t="str">
            <v>NA</v>
          </cell>
        </row>
        <row r="283">
          <cell r="Q283">
            <v>277.60000000000036</v>
          </cell>
          <cell r="T283">
            <v>279.60000000000036</v>
          </cell>
          <cell r="AA283">
            <v>84.114820922327468</v>
          </cell>
          <cell r="AD283">
            <v>0.19488307208316902</v>
          </cell>
          <cell r="AW283">
            <v>0</v>
          </cell>
          <cell r="AX283" t="str">
            <v>NA</v>
          </cell>
        </row>
        <row r="284">
          <cell r="Q284">
            <v>278.82000000000039</v>
          </cell>
          <cell r="T284">
            <v>280.82000000000039</v>
          </cell>
          <cell r="AA284">
            <v>84.163882228300608</v>
          </cell>
          <cell r="AD284">
            <v>0.19519962931227344</v>
          </cell>
          <cell r="AW284">
            <v>0</v>
          </cell>
          <cell r="AX284" t="str">
            <v>NA</v>
          </cell>
        </row>
        <row r="285">
          <cell r="Q285">
            <v>280.01500000000044</v>
          </cell>
          <cell r="T285">
            <v>282.01500000000044</v>
          </cell>
          <cell r="AA285">
            <v>83.058353380524508</v>
          </cell>
          <cell r="AD285">
            <v>0.19955941342281039</v>
          </cell>
          <cell r="AW285">
            <v>0</v>
          </cell>
          <cell r="AX285" t="str">
            <v>NA</v>
          </cell>
        </row>
        <row r="286">
          <cell r="Q286">
            <v>281.21000000000043</v>
          </cell>
          <cell r="T286">
            <v>283.21000000000043</v>
          </cell>
          <cell r="AA286">
            <v>84.121253183661381</v>
          </cell>
          <cell r="AD286">
            <v>0.1917092144373673</v>
          </cell>
          <cell r="AW286">
            <v>0</v>
          </cell>
          <cell r="AX286" t="str">
            <v>NA</v>
          </cell>
        </row>
        <row r="287">
          <cell r="Q287">
            <v>282.40500000000043</v>
          </cell>
          <cell r="T287">
            <v>284.40500000000043</v>
          </cell>
          <cell r="AA287">
            <v>84.548695919302602</v>
          </cell>
          <cell r="AD287">
            <v>0.19866270012238257</v>
          </cell>
          <cell r="AW287">
            <v>0</v>
          </cell>
          <cell r="AX287" t="str">
            <v>NA</v>
          </cell>
        </row>
        <row r="288">
          <cell r="Q288">
            <v>283.60000000000048</v>
          </cell>
          <cell r="T288">
            <v>285.60000000000048</v>
          </cell>
          <cell r="AA288">
            <v>85.567658648235167</v>
          </cell>
          <cell r="AD288">
            <v>0.18208971305232571</v>
          </cell>
          <cell r="AW288">
            <v>0</v>
          </cell>
          <cell r="AX288" t="str">
            <v>NA</v>
          </cell>
        </row>
        <row r="289">
          <cell r="Q289">
            <v>284.79500000000053</v>
          </cell>
          <cell r="T289">
            <v>286.79500000000053</v>
          </cell>
          <cell r="AA289">
            <v>84.963339081484534</v>
          </cell>
          <cell r="AD289">
            <v>0.18713251718551915</v>
          </cell>
          <cell r="AW289">
            <v>0</v>
          </cell>
          <cell r="AX289" t="str">
            <v>NA</v>
          </cell>
        </row>
        <row r="290">
          <cell r="Q290">
            <v>285.99000000000052</v>
          </cell>
          <cell r="T290">
            <v>287.99000000000052</v>
          </cell>
          <cell r="AA290">
            <v>85.625735771088102</v>
          </cell>
          <cell r="AD290">
            <v>0.1706247280543105</v>
          </cell>
          <cell r="AW290">
            <v>0</v>
          </cell>
          <cell r="AX290" t="str">
            <v>NA</v>
          </cell>
        </row>
        <row r="291">
          <cell r="Q291">
            <v>287.26000000000056</v>
          </cell>
          <cell r="T291">
            <v>289.26000000000056</v>
          </cell>
          <cell r="AA291">
            <v>85.32146052716449</v>
          </cell>
          <cell r="AD291">
            <v>0.1482322614695768</v>
          </cell>
          <cell r="AW291">
            <v>2</v>
          </cell>
          <cell r="AX291">
            <v>2.0899999999999998E-2</v>
          </cell>
        </row>
        <row r="292">
          <cell r="Q292">
            <v>288.50500000000056</v>
          </cell>
          <cell r="T292">
            <v>290.50500000000056</v>
          </cell>
          <cell r="AA292">
            <v>85.712399291823033</v>
          </cell>
          <cell r="AD292">
            <v>0.1864296915783398</v>
          </cell>
          <cell r="AW292">
            <v>0</v>
          </cell>
          <cell r="AX292" t="str">
            <v>NA</v>
          </cell>
        </row>
        <row r="293">
          <cell r="Q293">
            <v>289.60000000000059</v>
          </cell>
          <cell r="T293">
            <v>291.60000000000059</v>
          </cell>
          <cell r="AA293">
            <v>84.942622048829904</v>
          </cell>
          <cell r="AD293">
            <v>0.19736888210317965</v>
          </cell>
          <cell r="AW293">
            <v>0</v>
          </cell>
          <cell r="AX293" t="str">
            <v>NA</v>
          </cell>
        </row>
        <row r="294">
          <cell r="Q294">
            <v>280.45</v>
          </cell>
          <cell r="T294">
            <v>284.45</v>
          </cell>
          <cell r="AA294">
            <v>81.704442790212724</v>
          </cell>
          <cell r="AD294">
            <v>0.19059574798417614</v>
          </cell>
          <cell r="AW294">
            <v>0</v>
          </cell>
          <cell r="AX294" t="str">
            <v>NA</v>
          </cell>
        </row>
        <row r="295">
          <cell r="Q295">
            <v>281.61858974358972</v>
          </cell>
          <cell r="T295">
            <v>285.61858974358972</v>
          </cell>
          <cell r="AA295">
            <v>82.1184727525592</v>
          </cell>
          <cell r="AD295">
            <v>0.19423451154777147</v>
          </cell>
          <cell r="AW295">
            <v>0</v>
          </cell>
          <cell r="AX295" t="str">
            <v>NA</v>
          </cell>
        </row>
        <row r="296">
          <cell r="Q296">
            <v>282.88717948717954</v>
          </cell>
          <cell r="T296">
            <v>286.88717948717954</v>
          </cell>
          <cell r="AA296">
            <v>83.921973444301315</v>
          </cell>
          <cell r="AD296">
            <v>0.15372671797892309</v>
          </cell>
          <cell r="AW296">
            <v>0</v>
          </cell>
          <cell r="AX296" t="str">
            <v>NA</v>
          </cell>
        </row>
        <row r="297">
          <cell r="Q297">
            <v>284.15576923076935</v>
          </cell>
          <cell r="T297">
            <v>288.15576923076935</v>
          </cell>
          <cell r="AA297">
            <v>83.106659311174269</v>
          </cell>
          <cell r="AD297">
            <v>0.17507728434404962</v>
          </cell>
          <cell r="AW297">
            <v>0</v>
          </cell>
          <cell r="AX297" t="str">
            <v>NA</v>
          </cell>
        </row>
        <row r="298">
          <cell r="Q298">
            <v>285.3743589743591</v>
          </cell>
          <cell r="T298">
            <v>289.3743589743591</v>
          </cell>
          <cell r="AA298">
            <v>80.334721210605835</v>
          </cell>
          <cell r="AD298">
            <v>0.19664169851380042</v>
          </cell>
          <cell r="AW298">
            <v>0</v>
          </cell>
          <cell r="AX298" t="str">
            <v>NA</v>
          </cell>
        </row>
        <row r="299">
          <cell r="Q299">
            <v>286.61794871794888</v>
          </cell>
          <cell r="T299">
            <v>290.61794871794888</v>
          </cell>
          <cell r="AA299">
            <v>79.448861691153283</v>
          </cell>
          <cell r="AD299">
            <v>0.22025354455733137</v>
          </cell>
          <cell r="AW299">
            <v>0</v>
          </cell>
          <cell r="AX299" t="str">
            <v>NA</v>
          </cell>
        </row>
        <row r="300">
          <cell r="Q300">
            <v>287.86153846153866</v>
          </cell>
          <cell r="T300">
            <v>291.86153846153866</v>
          </cell>
          <cell r="AA300">
            <v>81.947430318875107</v>
          </cell>
          <cell r="AD300">
            <v>0.21707593509999734</v>
          </cell>
          <cell r="AW300">
            <v>1</v>
          </cell>
          <cell r="AX300">
            <v>0</v>
          </cell>
        </row>
        <row r="301">
          <cell r="Q301">
            <v>289.05512820512843</v>
          </cell>
          <cell r="T301">
            <v>293.05512820512843</v>
          </cell>
          <cell r="AA301">
            <v>81.852862700909952</v>
          </cell>
          <cell r="AD301">
            <v>0.21002057785223352</v>
          </cell>
          <cell r="AW301">
            <v>2</v>
          </cell>
          <cell r="AX301">
            <v>0.15110000000000001</v>
          </cell>
        </row>
        <row r="302">
          <cell r="Q302">
            <v>290.27371794871817</v>
          </cell>
          <cell r="T302">
            <v>294.27371794871817</v>
          </cell>
          <cell r="AA302">
            <v>81.185250347556888</v>
          </cell>
          <cell r="AD302">
            <v>0.20857069081049567</v>
          </cell>
          <cell r="AW302">
            <v>0</v>
          </cell>
          <cell r="AX302" t="str">
            <v>NA</v>
          </cell>
        </row>
        <row r="303">
          <cell r="Q303">
            <v>291.51730769230801</v>
          </cell>
          <cell r="T303">
            <v>295.51730769230801</v>
          </cell>
          <cell r="AA303">
            <v>80.825953592079003</v>
          </cell>
          <cell r="AD303">
            <v>0.19274886730568888</v>
          </cell>
          <cell r="AW303">
            <v>0</v>
          </cell>
          <cell r="AX303" t="str">
            <v>NA</v>
          </cell>
        </row>
        <row r="304">
          <cell r="Q304">
            <v>292.73589743589775</v>
          </cell>
          <cell r="T304">
            <v>296.73589743589775</v>
          </cell>
          <cell r="AA304">
            <v>77.51381232408832</v>
          </cell>
          <cell r="AD304">
            <v>0.20752994815500619</v>
          </cell>
          <cell r="AW304">
            <v>1</v>
          </cell>
          <cell r="AX304">
            <v>0</v>
          </cell>
        </row>
        <row r="305">
          <cell r="Q305">
            <v>293.92948717948752</v>
          </cell>
          <cell r="T305">
            <v>297.92948717948752</v>
          </cell>
          <cell r="AA305">
            <v>80.636620456888139</v>
          </cell>
          <cell r="AD305">
            <v>0.21757151248104822</v>
          </cell>
          <cell r="AW305">
            <v>0</v>
          </cell>
          <cell r="AX305" t="str">
            <v>NA</v>
          </cell>
        </row>
        <row r="306">
          <cell r="Q306">
            <v>295.12307692307729</v>
          </cell>
          <cell r="T306">
            <v>299.12307692307729</v>
          </cell>
          <cell r="AA306">
            <v>79.019841793744533</v>
          </cell>
          <cell r="AD306">
            <v>0.23573797985430228</v>
          </cell>
          <cell r="AW306">
            <v>0</v>
          </cell>
          <cell r="AX306" t="str">
            <v>NA</v>
          </cell>
        </row>
        <row r="307">
          <cell r="Q307">
            <v>296.31666666666706</v>
          </cell>
          <cell r="T307">
            <v>300.31666666666706</v>
          </cell>
          <cell r="AA307">
            <v>76.171152082137567</v>
          </cell>
          <cell r="AD307">
            <v>0.26198100967209242</v>
          </cell>
          <cell r="AW307">
            <v>0</v>
          </cell>
          <cell r="AX307" t="str">
            <v>NA</v>
          </cell>
        </row>
        <row r="308">
          <cell r="Q308">
            <v>297.51025641025683</v>
          </cell>
          <cell r="T308">
            <v>301.51025641025683</v>
          </cell>
          <cell r="AA308">
            <v>77.377631549163752</v>
          </cell>
          <cell r="AD308">
            <v>0.26692490989103451</v>
          </cell>
          <cell r="AW308">
            <v>0</v>
          </cell>
          <cell r="AX308" t="str">
            <v>NA</v>
          </cell>
        </row>
        <row r="309">
          <cell r="Q309">
            <v>298.7038461538466</v>
          </cell>
          <cell r="T309">
            <v>302.7038461538466</v>
          </cell>
          <cell r="AA309">
            <v>77.59502470419423</v>
          </cell>
          <cell r="AD309">
            <v>0.26311188455624024</v>
          </cell>
          <cell r="AW309">
            <v>0</v>
          </cell>
          <cell r="AX309" t="str">
            <v>NA</v>
          </cell>
        </row>
        <row r="310">
          <cell r="Q310">
            <v>299.92243589743634</v>
          </cell>
          <cell r="T310">
            <v>303.92243589743634</v>
          </cell>
          <cell r="AA310">
            <v>78.014688082051677</v>
          </cell>
          <cell r="AD310">
            <v>0.2499480447994247</v>
          </cell>
          <cell r="AW310">
            <v>0</v>
          </cell>
          <cell r="AX310" t="str">
            <v>NA</v>
          </cell>
        </row>
        <row r="311">
          <cell r="Q311">
            <v>301.16602564102618</v>
          </cell>
          <cell r="T311">
            <v>305.16602564102618</v>
          </cell>
          <cell r="AA311">
            <v>78.035082667537679</v>
          </cell>
          <cell r="AD311">
            <v>0.28117263591362451</v>
          </cell>
          <cell r="AW311">
            <v>0</v>
          </cell>
          <cell r="AX311" t="str">
            <v>NA</v>
          </cell>
        </row>
        <row r="312">
          <cell r="Q312">
            <v>302.38461538461593</v>
          </cell>
          <cell r="T312">
            <v>306.38461538461593</v>
          </cell>
          <cell r="AA312">
            <v>78.357061580998021</v>
          </cell>
          <cell r="AD312">
            <v>0.26207033003827734</v>
          </cell>
          <cell r="AW312">
            <v>0</v>
          </cell>
          <cell r="AX312" t="str">
            <v>NA</v>
          </cell>
        </row>
        <row r="313">
          <cell r="Q313">
            <v>303.55320512820572</v>
          </cell>
          <cell r="T313">
            <v>307.55320512820572</v>
          </cell>
          <cell r="AA313">
            <v>79.311587544421982</v>
          </cell>
          <cell r="AD313">
            <v>0.28670382924649984</v>
          </cell>
          <cell r="AW313">
            <v>2</v>
          </cell>
          <cell r="AX313">
            <v>8.6499999999999994E-2</v>
          </cell>
        </row>
        <row r="314">
          <cell r="Q314">
            <v>304.69679487179542</v>
          </cell>
          <cell r="T314">
            <v>308.69679487179542</v>
          </cell>
          <cell r="AA314">
            <v>79.299131605660094</v>
          </cell>
          <cell r="AD314">
            <v>0.25726315050668197</v>
          </cell>
          <cell r="AW314">
            <v>0</v>
          </cell>
          <cell r="AX314" t="str">
            <v>NA</v>
          </cell>
        </row>
        <row r="315">
          <cell r="Q315">
            <v>305.86538461538521</v>
          </cell>
          <cell r="T315">
            <v>309.86538461538521</v>
          </cell>
          <cell r="AA315">
            <v>79.222213636109288</v>
          </cell>
          <cell r="AD315">
            <v>0.25036382390361173</v>
          </cell>
          <cell r="AW315">
            <v>0</v>
          </cell>
          <cell r="AX315" t="str">
            <v>NA</v>
          </cell>
        </row>
        <row r="316">
          <cell r="Q316">
            <v>307.08397435897496</v>
          </cell>
          <cell r="T316">
            <v>311.08397435897496</v>
          </cell>
          <cell r="AA316">
            <v>81.220051679021026</v>
          </cell>
          <cell r="AD316">
            <v>0.21455026312589121</v>
          </cell>
          <cell r="AW316">
            <v>0</v>
          </cell>
          <cell r="AX316" t="str">
            <v>NA</v>
          </cell>
        </row>
        <row r="317">
          <cell r="Q317">
            <v>308.35256410256477</v>
          </cell>
          <cell r="T317">
            <v>312.35256410256477</v>
          </cell>
          <cell r="AA317">
            <v>82.36136258368775</v>
          </cell>
          <cell r="AD317">
            <v>0.19826051717112556</v>
          </cell>
          <cell r="AW317">
            <v>0</v>
          </cell>
          <cell r="AX317" t="str">
            <v>NA</v>
          </cell>
        </row>
        <row r="318">
          <cell r="Q318">
            <v>309.64615384615456</v>
          </cell>
          <cell r="T318">
            <v>313.64615384615456</v>
          </cell>
          <cell r="AA318">
            <v>82.509939176312514</v>
          </cell>
          <cell r="AD318">
            <v>0.20767285007388508</v>
          </cell>
          <cell r="AW318">
            <v>0</v>
          </cell>
          <cell r="AX318" t="str">
            <v>NA</v>
          </cell>
        </row>
        <row r="319">
          <cell r="Q319">
            <v>310.93974358974435</v>
          </cell>
          <cell r="T319">
            <v>314.93974358974435</v>
          </cell>
          <cell r="AA319">
            <v>83.319647414842166</v>
          </cell>
          <cell r="AD319">
            <v>0.18483893559136777</v>
          </cell>
          <cell r="AW319">
            <v>0</v>
          </cell>
          <cell r="AX319" t="str">
            <v>NA</v>
          </cell>
        </row>
        <row r="320">
          <cell r="Q320">
            <v>312.23333333333414</v>
          </cell>
          <cell r="T320">
            <v>316.23333333333414</v>
          </cell>
          <cell r="AA320">
            <v>85.157476988362404</v>
          </cell>
          <cell r="AD320">
            <v>0.17652867039612305</v>
          </cell>
          <cell r="AW320">
            <v>0</v>
          </cell>
          <cell r="AX320" t="str">
            <v>NA</v>
          </cell>
        </row>
        <row r="321">
          <cell r="Q321">
            <v>313.47692307692392</v>
          </cell>
          <cell r="T321">
            <v>317.47692307692392</v>
          </cell>
          <cell r="AA321">
            <v>85.078008258752831</v>
          </cell>
          <cell r="AD321">
            <v>0.18177353541413033</v>
          </cell>
          <cell r="AW321">
            <v>0</v>
          </cell>
          <cell r="AX321" t="str">
            <v>NA</v>
          </cell>
        </row>
        <row r="322">
          <cell r="Q322">
            <v>314.7205128205137</v>
          </cell>
          <cell r="T322">
            <v>318.7205128205137</v>
          </cell>
          <cell r="AA322">
            <v>84.846492278188435</v>
          </cell>
          <cell r="AD322">
            <v>0.18530812520618778</v>
          </cell>
          <cell r="AW322">
            <v>0</v>
          </cell>
          <cell r="AX322" t="str">
            <v>NA</v>
          </cell>
        </row>
        <row r="323">
          <cell r="Q323">
            <v>315.96410256410348</v>
          </cell>
          <cell r="T323">
            <v>319.96410256410348</v>
          </cell>
          <cell r="AA323">
            <v>83.528222338019802</v>
          </cell>
          <cell r="AD323">
            <v>0.20319269077764296</v>
          </cell>
          <cell r="AW323">
            <v>0</v>
          </cell>
          <cell r="AX323" t="str">
            <v>NA</v>
          </cell>
        </row>
        <row r="324">
          <cell r="Q324">
            <v>317.20769230769326</v>
          </cell>
          <cell r="T324">
            <v>321.20769230769326</v>
          </cell>
          <cell r="AA324">
            <v>82.123764734766894</v>
          </cell>
          <cell r="AD324">
            <v>0.18246712108264562</v>
          </cell>
          <cell r="AW324">
            <v>0</v>
          </cell>
          <cell r="AX324" t="str">
            <v>NA</v>
          </cell>
        </row>
        <row r="325">
          <cell r="Q325">
            <v>318.52628205128303</v>
          </cell>
          <cell r="T325">
            <v>322.52628205128303</v>
          </cell>
          <cell r="AA325">
            <v>82.585354211291133</v>
          </cell>
          <cell r="AD325">
            <v>0.17996965838529355</v>
          </cell>
          <cell r="AW325">
            <v>0</v>
          </cell>
          <cell r="AX325" t="str">
            <v>NA</v>
          </cell>
        </row>
        <row r="326">
          <cell r="Q326">
            <v>319.79487179487279</v>
          </cell>
          <cell r="T326">
            <v>323.79487179487279</v>
          </cell>
          <cell r="AA326">
            <v>81.925198114467392</v>
          </cell>
          <cell r="AD326">
            <v>0.22840017626933418</v>
          </cell>
          <cell r="AW326">
            <v>0</v>
          </cell>
          <cell r="AX326" t="str">
            <v>NA</v>
          </cell>
        </row>
        <row r="327">
          <cell r="Q327">
            <v>320.98846153846256</v>
          </cell>
          <cell r="T327">
            <v>324.98846153846256</v>
          </cell>
          <cell r="AA327">
            <v>81.675958955604983</v>
          </cell>
          <cell r="AD327">
            <v>0.24981321590521871</v>
          </cell>
          <cell r="AW327">
            <v>0</v>
          </cell>
          <cell r="AX327" t="str">
            <v>NA</v>
          </cell>
        </row>
        <row r="328">
          <cell r="Q328">
            <v>322.23205128205234</v>
          </cell>
          <cell r="T328">
            <v>326.23205128205234</v>
          </cell>
          <cell r="AA328">
            <v>82.302188528651527</v>
          </cell>
          <cell r="AD328">
            <v>0.24130867533556841</v>
          </cell>
          <cell r="AW328">
            <v>0</v>
          </cell>
          <cell r="AX328" t="str">
            <v>NA</v>
          </cell>
        </row>
        <row r="329">
          <cell r="Q329">
            <v>323.52564102564213</v>
          </cell>
          <cell r="T329">
            <v>327.52564102564213</v>
          </cell>
          <cell r="AA329">
            <v>74.125571289104684</v>
          </cell>
          <cell r="AD329">
            <v>0.34967229760915713</v>
          </cell>
          <cell r="AW329">
            <v>1</v>
          </cell>
          <cell r="AX329">
            <v>0</v>
          </cell>
        </row>
        <row r="334">
          <cell r="Q334">
            <v>320.45</v>
          </cell>
          <cell r="T334">
            <v>320.45</v>
          </cell>
          <cell r="AA334">
            <v>79.982661267796502</v>
          </cell>
          <cell r="AD334">
            <v>0.17257342589359492</v>
          </cell>
          <cell r="AW334">
            <v>0</v>
          </cell>
          <cell r="AX334" t="str">
            <v>NA</v>
          </cell>
        </row>
        <row r="335">
          <cell r="Q335">
            <v>321.625</v>
          </cell>
          <cell r="T335">
            <v>321.625</v>
          </cell>
          <cell r="AA335">
            <v>78.579085657573287</v>
          </cell>
          <cell r="AD335">
            <v>0.22506644741734483</v>
          </cell>
          <cell r="AW335">
            <v>0</v>
          </cell>
          <cell r="AX335" t="str">
            <v>NA</v>
          </cell>
        </row>
        <row r="336">
          <cell r="Q336">
            <v>322.84999999999997</v>
          </cell>
          <cell r="T336">
            <v>322.84999999999997</v>
          </cell>
          <cell r="AA336">
            <v>79.656421445063444</v>
          </cell>
          <cell r="AD336">
            <v>0.21585573870500363</v>
          </cell>
          <cell r="AW336">
            <v>0</v>
          </cell>
          <cell r="AX336" t="str">
            <v>NA</v>
          </cell>
        </row>
        <row r="337">
          <cell r="Q337">
            <v>324.04999999999995</v>
          </cell>
          <cell r="T337">
            <v>324.04999999999995</v>
          </cell>
          <cell r="AA337">
            <v>82.500299768041558</v>
          </cell>
          <cell r="AD337">
            <v>0.19525757877203759</v>
          </cell>
          <cell r="AW337">
            <v>0</v>
          </cell>
          <cell r="AX337" t="str">
            <v>NA</v>
          </cell>
        </row>
        <row r="338">
          <cell r="Q338">
            <v>325.27499999999998</v>
          </cell>
          <cell r="T338">
            <v>325.27499999999998</v>
          </cell>
          <cell r="AA338">
            <v>82.669942969280442</v>
          </cell>
          <cell r="AD338">
            <v>0.19265626288994181</v>
          </cell>
          <cell r="AW338">
            <v>0</v>
          </cell>
          <cell r="AX338" t="str">
            <v>NA</v>
          </cell>
        </row>
        <row r="339">
          <cell r="Q339">
            <v>326.52499999999998</v>
          </cell>
          <cell r="T339">
            <v>326.52499999999998</v>
          </cell>
          <cell r="AA339">
            <v>81.829708223651394</v>
          </cell>
          <cell r="AD339">
            <v>0.17175591797745379</v>
          </cell>
          <cell r="AW339">
            <v>0</v>
          </cell>
          <cell r="AX339" t="str">
            <v>NA</v>
          </cell>
        </row>
        <row r="340">
          <cell r="Q340">
            <v>327.79999999999995</v>
          </cell>
          <cell r="T340">
            <v>327.79999999999995</v>
          </cell>
          <cell r="AA340">
            <v>82.570728576268706</v>
          </cell>
          <cell r="AD340">
            <v>0.17098043784185027</v>
          </cell>
          <cell r="AW340">
            <v>0</v>
          </cell>
          <cell r="AX340" t="str">
            <v>NA</v>
          </cell>
        </row>
        <row r="341">
          <cell r="Q341">
            <v>329.04999999999995</v>
          </cell>
          <cell r="T341">
            <v>329.04999999999995</v>
          </cell>
          <cell r="AA341">
            <v>80.711168055203586</v>
          </cell>
          <cell r="AD341">
            <v>0.20108303073236225</v>
          </cell>
          <cell r="AW341">
            <v>0</v>
          </cell>
          <cell r="AX341" t="str">
            <v>NA</v>
          </cell>
        </row>
        <row r="342">
          <cell r="Q342">
            <v>330.24999999999994</v>
          </cell>
          <cell r="T342">
            <v>330.24999999999994</v>
          </cell>
          <cell r="AA342">
            <v>81.07194789767955</v>
          </cell>
          <cell r="AD342">
            <v>0.20155026080574559</v>
          </cell>
          <cell r="AW342">
            <v>0</v>
          </cell>
          <cell r="AX342" t="str">
            <v>NA</v>
          </cell>
        </row>
        <row r="343">
          <cell r="Q343">
            <v>331.42499999999995</v>
          </cell>
          <cell r="T343">
            <v>331.42499999999995</v>
          </cell>
          <cell r="AA343">
            <v>79.772661620224696</v>
          </cell>
          <cell r="AD343">
            <v>0.2299842868159625</v>
          </cell>
          <cell r="AW343">
            <v>0</v>
          </cell>
          <cell r="AX343" t="str">
            <v>NA</v>
          </cell>
        </row>
        <row r="344">
          <cell r="Q344">
            <v>332.59999999999991</v>
          </cell>
          <cell r="T344">
            <v>332.59999999999991</v>
          </cell>
          <cell r="AA344">
            <v>54.159747733466865</v>
          </cell>
          <cell r="AD344">
            <v>0.28387632843422667</v>
          </cell>
          <cell r="AW344">
            <v>0</v>
          </cell>
          <cell r="AX344" t="str">
            <v>NA</v>
          </cell>
        </row>
        <row r="345">
          <cell r="Q345">
            <v>333.77499999999986</v>
          </cell>
          <cell r="T345">
            <v>333.77499999999986</v>
          </cell>
          <cell r="AA345">
            <v>79.611999957020203</v>
          </cell>
          <cell r="AD345">
            <v>0.23558808557132394</v>
          </cell>
          <cell r="AW345">
            <v>0</v>
          </cell>
          <cell r="AX345" t="str">
            <v>NA</v>
          </cell>
        </row>
        <row r="346">
          <cell r="Q346">
            <v>334.97499999999991</v>
          </cell>
          <cell r="T346">
            <v>334.97499999999991</v>
          </cell>
          <cell r="AA346">
            <v>81.425968887035708</v>
          </cell>
          <cell r="AD346">
            <v>0.19441756705354091</v>
          </cell>
          <cell r="AW346">
            <v>0</v>
          </cell>
          <cell r="AX346" t="str">
            <v>NA</v>
          </cell>
        </row>
        <row r="347">
          <cell r="Q347">
            <v>336.22499999999991</v>
          </cell>
          <cell r="T347">
            <v>336.22499999999991</v>
          </cell>
          <cell r="AA347">
            <v>81.249793572678925</v>
          </cell>
          <cell r="AD347">
            <v>0.19536672706252334</v>
          </cell>
          <cell r="AW347">
            <v>2</v>
          </cell>
          <cell r="AX347">
            <v>1.0500000000000001E-2</v>
          </cell>
        </row>
        <row r="348">
          <cell r="Q348">
            <v>337.44999999999987</v>
          </cell>
          <cell r="T348">
            <v>337.44999999999987</v>
          </cell>
          <cell r="AA348">
            <v>82.079971959660668</v>
          </cell>
          <cell r="AD348">
            <v>0.22578811382555788</v>
          </cell>
          <cell r="AW348">
            <v>0</v>
          </cell>
          <cell r="AX348" t="str">
            <v>NA</v>
          </cell>
        </row>
        <row r="349">
          <cell r="Q349">
            <v>338.69999999999987</v>
          </cell>
          <cell r="T349">
            <v>338.69999999999987</v>
          </cell>
          <cell r="AA349">
            <v>80.858999766340972</v>
          </cell>
          <cell r="AD349">
            <v>0.21191566671532092</v>
          </cell>
          <cell r="AW349">
            <v>0</v>
          </cell>
          <cell r="AX349" t="str">
            <v>NA</v>
          </cell>
        </row>
        <row r="350">
          <cell r="Q350">
            <v>339.94999999999987</v>
          </cell>
          <cell r="T350">
            <v>339.94999999999987</v>
          </cell>
          <cell r="AA350">
            <v>79.927492389559291</v>
          </cell>
          <cell r="AD350">
            <v>0.23365837924159999</v>
          </cell>
          <cell r="AW350">
            <v>0</v>
          </cell>
          <cell r="AX350" t="str">
            <v>NA</v>
          </cell>
        </row>
        <row r="351">
          <cell r="Q351">
            <v>341.17499999999984</v>
          </cell>
          <cell r="T351">
            <v>341.17499999999984</v>
          </cell>
          <cell r="AA351">
            <v>80.345067441253505</v>
          </cell>
          <cell r="AD351">
            <v>0.21207892391077734</v>
          </cell>
          <cell r="AW351">
            <v>0</v>
          </cell>
          <cell r="AX351" t="str">
            <v>NA</v>
          </cell>
        </row>
        <row r="352">
          <cell r="Q352">
            <v>342.42499999999984</v>
          </cell>
          <cell r="T352">
            <v>342.42499999999984</v>
          </cell>
          <cell r="AA352">
            <v>80.17060483865103</v>
          </cell>
          <cell r="AD352">
            <v>0.21785870931424128</v>
          </cell>
          <cell r="AW352">
            <v>0</v>
          </cell>
          <cell r="AX352" t="str">
            <v>NA</v>
          </cell>
        </row>
        <row r="353">
          <cell r="Q353">
            <v>343.67499999999984</v>
          </cell>
          <cell r="T353">
            <v>343.67499999999984</v>
          </cell>
          <cell r="AA353">
            <v>80.718927974936989</v>
          </cell>
          <cell r="AD353">
            <v>0.2484786653865981</v>
          </cell>
          <cell r="AW353">
            <v>0</v>
          </cell>
          <cell r="AX353" t="str">
            <v>NA</v>
          </cell>
        </row>
        <row r="354">
          <cell r="Q354">
            <v>344.92499999999984</v>
          </cell>
          <cell r="T354">
            <v>344.92499999999984</v>
          </cell>
          <cell r="AA354">
            <v>69.808537581039417</v>
          </cell>
          <cell r="AD354">
            <v>0.37146064121609862</v>
          </cell>
          <cell r="AW354">
            <v>0</v>
          </cell>
          <cell r="AX354" t="str">
            <v>NA</v>
          </cell>
        </row>
        <row r="355">
          <cell r="Q355">
            <v>346.17499999999984</v>
          </cell>
          <cell r="T355">
            <v>346.17499999999984</v>
          </cell>
          <cell r="AA355">
            <v>59.154299500565301</v>
          </cell>
          <cell r="AD355">
            <v>0.53756942067357194</v>
          </cell>
          <cell r="AW355">
            <v>0</v>
          </cell>
          <cell r="AX355" t="str">
            <v>NA</v>
          </cell>
        </row>
        <row r="356">
          <cell r="Q356">
            <v>347.42499999999984</v>
          </cell>
          <cell r="T356">
            <v>347.42499999999984</v>
          </cell>
          <cell r="AA356">
            <v>75.087576351372675</v>
          </cell>
          <cell r="AD356">
            <v>0.27139496395263368</v>
          </cell>
          <cell r="AW356">
            <v>0</v>
          </cell>
          <cell r="AX356" t="str">
            <v>NA</v>
          </cell>
        </row>
        <row r="357">
          <cell r="Q357">
            <v>348.64999999999986</v>
          </cell>
          <cell r="T357">
            <v>348.64999999999986</v>
          </cell>
          <cell r="AA357">
            <v>77.639235378067852</v>
          </cell>
          <cell r="AD357">
            <v>0.2400194489586793</v>
          </cell>
          <cell r="AW357">
            <v>2</v>
          </cell>
          <cell r="AX357">
            <v>4.6899999999999997E-2</v>
          </cell>
        </row>
        <row r="358">
          <cell r="Q358">
            <v>349.87499999999989</v>
          </cell>
          <cell r="T358">
            <v>349.87499999999989</v>
          </cell>
          <cell r="AA358">
            <v>78.798087269136801</v>
          </cell>
          <cell r="AD358">
            <v>0.20486593089629709</v>
          </cell>
          <cell r="AW358">
            <v>0</v>
          </cell>
          <cell r="AX358" t="str">
            <v>NA</v>
          </cell>
        </row>
        <row r="359">
          <cell r="Q359">
            <v>351.14999999999986</v>
          </cell>
          <cell r="T359">
            <v>351.14999999999986</v>
          </cell>
          <cell r="AA359">
            <v>79.222884501717331</v>
          </cell>
          <cell r="AD359">
            <v>0.2301942941685364</v>
          </cell>
          <cell r="AW359">
            <v>1</v>
          </cell>
          <cell r="AX359">
            <v>0</v>
          </cell>
        </row>
        <row r="360">
          <cell r="Q360">
            <v>352.39999999999986</v>
          </cell>
          <cell r="T360">
            <v>352.39999999999986</v>
          </cell>
          <cell r="AA360">
            <v>79.394832703828996</v>
          </cell>
          <cell r="AD360">
            <v>0.23690957557070846</v>
          </cell>
          <cell r="AW360">
            <v>0</v>
          </cell>
          <cell r="AX360" t="str">
            <v>NA</v>
          </cell>
        </row>
        <row r="361">
          <cell r="Q361">
            <v>353.64999999999986</v>
          </cell>
          <cell r="T361">
            <v>353.64999999999986</v>
          </cell>
          <cell r="AA361">
            <v>79.024211941418216</v>
          </cell>
          <cell r="AD361">
            <v>0.22361916395846529</v>
          </cell>
          <cell r="AW361">
            <v>1</v>
          </cell>
          <cell r="AX361">
            <v>0</v>
          </cell>
        </row>
        <row r="362">
          <cell r="Q362">
            <v>354.94999999999987</v>
          </cell>
          <cell r="T362">
            <v>354.94999999999987</v>
          </cell>
          <cell r="AA362">
            <v>79.216009210462474</v>
          </cell>
          <cell r="AD362">
            <v>0.20809177741319548</v>
          </cell>
          <cell r="AW362">
            <v>0</v>
          </cell>
          <cell r="AX362" t="str">
            <v>NA</v>
          </cell>
        </row>
        <row r="363">
          <cell r="Q363">
            <v>356.19999999999987</v>
          </cell>
          <cell r="T363">
            <v>356.19999999999987</v>
          </cell>
          <cell r="AA363">
            <v>75.515453678690605</v>
          </cell>
          <cell r="AD363">
            <v>0.27111964393856253</v>
          </cell>
          <cell r="AW363">
            <v>0</v>
          </cell>
          <cell r="AX363" t="str">
            <v>NA</v>
          </cell>
        </row>
        <row r="364">
          <cell r="Q364">
            <v>357.44999999999987</v>
          </cell>
          <cell r="T364">
            <v>357.44999999999987</v>
          </cell>
          <cell r="AA364">
            <v>77.997813650414059</v>
          </cell>
          <cell r="AD364">
            <v>0.23176292320092062</v>
          </cell>
          <cell r="AW364">
            <v>0</v>
          </cell>
          <cell r="AX364" t="str">
            <v>NA</v>
          </cell>
        </row>
        <row r="365">
          <cell r="Q365">
            <v>358.72499999999991</v>
          </cell>
          <cell r="T365">
            <v>358.72499999999991</v>
          </cell>
          <cell r="AA365">
            <v>78.527687910024099</v>
          </cell>
          <cell r="AD365">
            <v>0.25724989517461833</v>
          </cell>
          <cell r="AW365">
            <v>0</v>
          </cell>
          <cell r="AX365" t="str">
            <v>NA</v>
          </cell>
        </row>
        <row r="366">
          <cell r="Q366">
            <v>359.94999999999987</v>
          </cell>
          <cell r="T366">
            <v>359.94999999999987</v>
          </cell>
          <cell r="AA366">
            <v>76.217154025753004</v>
          </cell>
          <cell r="AD366">
            <v>0.30448500882441759</v>
          </cell>
          <cell r="AW366">
            <v>0</v>
          </cell>
          <cell r="AX366" t="str">
            <v>NA</v>
          </cell>
        </row>
        <row r="367">
          <cell r="Q367">
            <v>361.14999999999986</v>
          </cell>
          <cell r="T367">
            <v>361.14999999999986</v>
          </cell>
          <cell r="AA367">
            <v>75.426530239787112</v>
          </cell>
          <cell r="AD367">
            <v>0.30674479462703758</v>
          </cell>
          <cell r="AW367">
            <v>0</v>
          </cell>
          <cell r="AX367" t="str">
            <v>NA</v>
          </cell>
        </row>
        <row r="368">
          <cell r="Q368">
            <v>362.37499999999989</v>
          </cell>
          <cell r="T368">
            <v>362.37499999999989</v>
          </cell>
          <cell r="AA368">
            <v>75.613088441186989</v>
          </cell>
          <cell r="AD368">
            <v>0.27130399649213816</v>
          </cell>
          <cell r="AW368">
            <v>0</v>
          </cell>
          <cell r="AX368" t="str">
            <v>NA</v>
          </cell>
        </row>
        <row r="369">
          <cell r="Q369">
            <v>363.59999999999985</v>
          </cell>
          <cell r="T369">
            <v>363.59999999999985</v>
          </cell>
          <cell r="AA369">
            <v>78.812783711332628</v>
          </cell>
          <cell r="AD369">
            <v>0.25165012712641865</v>
          </cell>
          <cell r="AW369">
            <v>0</v>
          </cell>
          <cell r="AX369" t="str">
            <v>NA</v>
          </cell>
        </row>
        <row r="370">
          <cell r="Q370">
            <v>364.79999999999984</v>
          </cell>
          <cell r="T370">
            <v>364.79999999999984</v>
          </cell>
          <cell r="AA370">
            <v>80.505525952625746</v>
          </cell>
          <cell r="AD370">
            <v>0.21713761234436604</v>
          </cell>
          <cell r="AW370">
            <v>0</v>
          </cell>
          <cell r="AX370" t="str">
            <v>NA</v>
          </cell>
        </row>
        <row r="371">
          <cell r="Q371">
            <v>366.02499999999986</v>
          </cell>
          <cell r="T371">
            <v>366.02499999999986</v>
          </cell>
          <cell r="AA371">
            <v>77.720807937786262</v>
          </cell>
          <cell r="AD371">
            <v>0.21565586338657547</v>
          </cell>
          <cell r="AW371">
            <v>0</v>
          </cell>
          <cell r="AX371" t="str">
            <v>NA</v>
          </cell>
        </row>
        <row r="372">
          <cell r="Q372">
            <v>367.24999999999983</v>
          </cell>
          <cell r="T372">
            <v>367.24999999999983</v>
          </cell>
          <cell r="AA372">
            <v>76.506083285617962</v>
          </cell>
          <cell r="AD372">
            <v>0.26707492621960316</v>
          </cell>
          <cell r="AW372">
            <v>0</v>
          </cell>
          <cell r="AX372" t="str">
            <v>NA</v>
          </cell>
        </row>
        <row r="373">
          <cell r="Q373">
            <v>368.42499999999984</v>
          </cell>
          <cell r="T373">
            <v>368.42499999999984</v>
          </cell>
          <cell r="AA373">
            <v>76.381473978230957</v>
          </cell>
          <cell r="AD373">
            <v>0.2475015237711963</v>
          </cell>
          <cell r="AW373">
            <v>0</v>
          </cell>
          <cell r="AX373" t="str">
            <v>NA</v>
          </cell>
        </row>
        <row r="374">
          <cell r="Q374">
            <v>370.04999999999978</v>
          </cell>
          <cell r="T374">
            <v>370.04999999999978</v>
          </cell>
          <cell r="AA374">
            <v>77.826678621329975</v>
          </cell>
          <cell r="AD374">
            <v>0.21776287853391438</v>
          </cell>
          <cell r="AW374">
            <v>0</v>
          </cell>
          <cell r="AX374" t="str">
            <v>NA</v>
          </cell>
        </row>
        <row r="375">
          <cell r="Q375">
            <v>360.5</v>
          </cell>
          <cell r="T375">
            <v>359.5</v>
          </cell>
          <cell r="AA375">
            <v>79.755103485814672</v>
          </cell>
          <cell r="AD375">
            <v>0.18489853501921691</v>
          </cell>
          <cell r="AW375">
            <v>0</v>
          </cell>
          <cell r="AX375" t="str">
            <v>NA</v>
          </cell>
        </row>
        <row r="376">
          <cell r="Q376">
            <v>361.71500000000003</v>
          </cell>
          <cell r="T376">
            <v>360.71500000000003</v>
          </cell>
          <cell r="AA376">
            <v>80.738341718050052</v>
          </cell>
          <cell r="AD376">
            <v>0.18936475486835475</v>
          </cell>
          <cell r="AW376">
            <v>0</v>
          </cell>
          <cell r="AX376" t="str">
            <v>NA</v>
          </cell>
        </row>
        <row r="377">
          <cell r="Q377">
            <v>362.95500000000004</v>
          </cell>
          <cell r="T377">
            <v>361.95500000000004</v>
          </cell>
          <cell r="AA377">
            <v>78.627408002020616</v>
          </cell>
          <cell r="AD377">
            <v>0.2300917215374913</v>
          </cell>
          <cell r="AW377">
            <v>0</v>
          </cell>
          <cell r="AX377" t="str">
            <v>NA</v>
          </cell>
        </row>
        <row r="378">
          <cell r="Q378">
            <v>364.17</v>
          </cell>
          <cell r="T378">
            <v>363.17</v>
          </cell>
          <cell r="AA378">
            <v>77.761807326559392</v>
          </cell>
          <cell r="AD378">
            <v>0.2762027460376707</v>
          </cell>
          <cell r="AW378">
            <v>0</v>
          </cell>
          <cell r="AX378" t="str">
            <v>NA</v>
          </cell>
        </row>
        <row r="379">
          <cell r="Q379">
            <v>365.38499999999999</v>
          </cell>
          <cell r="T379">
            <v>364.38499999999999</v>
          </cell>
          <cell r="AA379">
            <v>77.255743614400856</v>
          </cell>
          <cell r="AD379">
            <v>0.25338378170596904</v>
          </cell>
          <cell r="AW379">
            <v>0</v>
          </cell>
          <cell r="AX379" t="str">
            <v>NA</v>
          </cell>
        </row>
        <row r="380">
          <cell r="Q380">
            <v>366.625</v>
          </cell>
          <cell r="T380">
            <v>365.625</v>
          </cell>
          <cell r="AA380">
            <v>78.636647036598447</v>
          </cell>
          <cell r="AD380">
            <v>0.23435675206514245</v>
          </cell>
          <cell r="AW380">
            <v>0</v>
          </cell>
          <cell r="AX380" t="str">
            <v>NA</v>
          </cell>
        </row>
        <row r="381">
          <cell r="Q381">
            <v>367.86500000000001</v>
          </cell>
          <cell r="T381">
            <v>366.86500000000001</v>
          </cell>
          <cell r="AA381">
            <v>77.001092817303629</v>
          </cell>
          <cell r="AD381">
            <v>0.29157161628854633</v>
          </cell>
          <cell r="AW381">
            <v>1</v>
          </cell>
          <cell r="AX381">
            <v>1.6299999999999999E-2</v>
          </cell>
        </row>
        <row r="382">
          <cell r="Q382">
            <v>369.08000000000004</v>
          </cell>
          <cell r="T382">
            <v>368.08000000000004</v>
          </cell>
          <cell r="AA382">
            <v>74.644557889225979</v>
          </cell>
          <cell r="AD382">
            <v>0.33396789997118165</v>
          </cell>
          <cell r="AW382">
            <v>0</v>
          </cell>
          <cell r="AX382" t="str">
            <v>NA</v>
          </cell>
        </row>
        <row r="383">
          <cell r="Q383">
            <v>370.27000000000004</v>
          </cell>
          <cell r="T383">
            <v>369.27000000000004</v>
          </cell>
          <cell r="AA383">
            <v>78.366586590117237</v>
          </cell>
          <cell r="AD383">
            <v>0.25613868856486105</v>
          </cell>
          <cell r="AW383">
            <v>0</v>
          </cell>
          <cell r="AX383">
            <v>0</v>
          </cell>
        </row>
        <row r="384">
          <cell r="Q384">
            <v>371.43500000000006</v>
          </cell>
          <cell r="T384">
            <v>370.43500000000006</v>
          </cell>
          <cell r="AA384">
            <v>79.041616632641194</v>
          </cell>
          <cell r="AD384">
            <v>0.2527677845113066</v>
          </cell>
          <cell r="AW384">
            <v>0</v>
          </cell>
          <cell r="AX384">
            <v>0</v>
          </cell>
        </row>
        <row r="385">
          <cell r="Q385">
            <v>372.6</v>
          </cell>
          <cell r="T385">
            <v>371.6</v>
          </cell>
          <cell r="AA385">
            <v>77.319803313443217</v>
          </cell>
          <cell r="AD385">
            <v>0.28715960491092035</v>
          </cell>
          <cell r="AW385">
            <v>0</v>
          </cell>
          <cell r="AX385">
            <v>6.3E-3</v>
          </cell>
        </row>
        <row r="386">
          <cell r="Q386">
            <v>373.76499999999999</v>
          </cell>
          <cell r="T386">
            <v>372.76499999999999</v>
          </cell>
          <cell r="AA386">
            <v>77.287784093355199</v>
          </cell>
          <cell r="AD386">
            <v>0.28657143566630661</v>
          </cell>
          <cell r="AW386">
            <v>0</v>
          </cell>
          <cell r="AX386">
            <v>0</v>
          </cell>
        </row>
        <row r="387">
          <cell r="Q387">
            <v>374.95500000000004</v>
          </cell>
          <cell r="T387">
            <v>373.95500000000004</v>
          </cell>
          <cell r="AA387">
            <v>72.511319181325177</v>
          </cell>
          <cell r="AD387">
            <v>0.30702545684197319</v>
          </cell>
          <cell r="AW387">
            <v>0</v>
          </cell>
          <cell r="AX387">
            <v>0</v>
          </cell>
        </row>
        <row r="388">
          <cell r="Q388">
            <v>376.14499999999998</v>
          </cell>
          <cell r="T388">
            <v>375.14499999999998</v>
          </cell>
          <cell r="AA388">
            <v>72.132191029240417</v>
          </cell>
          <cell r="AD388">
            <v>0.36492301395909665</v>
          </cell>
          <cell r="AW388">
            <v>2</v>
          </cell>
          <cell r="AX388">
            <v>5.4999999999999997E-3</v>
          </cell>
        </row>
        <row r="389">
          <cell r="Q389">
            <v>377.36</v>
          </cell>
          <cell r="T389">
            <v>376.36</v>
          </cell>
          <cell r="AA389">
            <v>75.617984339645218</v>
          </cell>
          <cell r="AD389">
            <v>0.24854470441515242</v>
          </cell>
          <cell r="AW389">
            <v>2</v>
          </cell>
          <cell r="AX389">
            <v>0</v>
          </cell>
        </row>
        <row r="390">
          <cell r="Q390">
            <v>378.6</v>
          </cell>
          <cell r="T390">
            <v>377.6</v>
          </cell>
          <cell r="AA390">
            <v>76.384915021364492</v>
          </cell>
          <cell r="AD390">
            <v>0.27892594358676215</v>
          </cell>
          <cell r="AW390">
            <v>0</v>
          </cell>
          <cell r="AX390">
            <v>0</v>
          </cell>
        </row>
        <row r="391">
          <cell r="Q391">
            <v>379.81500000000005</v>
          </cell>
          <cell r="T391">
            <v>378.81500000000005</v>
          </cell>
          <cell r="AA391">
            <v>77.668827289479509</v>
          </cell>
          <cell r="AD391">
            <v>0.2544052143674696</v>
          </cell>
          <cell r="AW391">
            <v>0</v>
          </cell>
          <cell r="AX391">
            <v>0</v>
          </cell>
        </row>
        <row r="392">
          <cell r="Q392">
            <v>381.03000000000003</v>
          </cell>
          <cell r="T392">
            <v>380.03000000000003</v>
          </cell>
          <cell r="AA392">
            <v>78.690583315891359</v>
          </cell>
          <cell r="AD392">
            <v>0.23927322650880198</v>
          </cell>
          <cell r="AW392">
            <v>2</v>
          </cell>
          <cell r="AX392">
            <v>0</v>
          </cell>
        </row>
        <row r="393">
          <cell r="Q393">
            <v>382.22</v>
          </cell>
          <cell r="T393">
            <v>381.22</v>
          </cell>
          <cell r="AA393">
            <v>78.282026947844457</v>
          </cell>
          <cell r="AD393">
            <v>0.25819164429471314</v>
          </cell>
          <cell r="AW393">
            <v>2</v>
          </cell>
          <cell r="AX393">
            <v>2.1499999999999998E-2</v>
          </cell>
        </row>
        <row r="394">
          <cell r="Q394">
            <v>383.43500000000006</v>
          </cell>
          <cell r="T394">
            <v>382.43500000000006</v>
          </cell>
          <cell r="AA394">
            <v>72.082176070064264</v>
          </cell>
          <cell r="AD394">
            <v>0.32962338772578836</v>
          </cell>
          <cell r="AW394">
            <v>1</v>
          </cell>
          <cell r="AX394">
            <v>1.2500000000000001E-2</v>
          </cell>
        </row>
        <row r="395">
          <cell r="Q395">
            <v>384.6</v>
          </cell>
          <cell r="T395">
            <v>383.6</v>
          </cell>
          <cell r="AA395">
            <v>76.174008446669362</v>
          </cell>
          <cell r="AD395">
            <v>0.27687126302208476</v>
          </cell>
          <cell r="AW395">
            <v>2</v>
          </cell>
          <cell r="AX395">
            <v>0</v>
          </cell>
        </row>
        <row r="396">
          <cell r="Q396">
            <v>385.71500000000003</v>
          </cell>
          <cell r="T396">
            <v>384.71500000000003</v>
          </cell>
          <cell r="AA396">
            <v>79.530888804739291</v>
          </cell>
          <cell r="AD396">
            <v>0.22813015869074271</v>
          </cell>
          <cell r="AW396">
            <v>0</v>
          </cell>
          <cell r="AX396">
            <v>0</v>
          </cell>
        </row>
        <row r="397">
          <cell r="Q397">
            <v>386.93</v>
          </cell>
          <cell r="T397">
            <v>385.93</v>
          </cell>
          <cell r="AA397">
            <v>78.577617904031186</v>
          </cell>
          <cell r="AD397">
            <v>0.25986163645871729</v>
          </cell>
          <cell r="AW397">
            <v>1</v>
          </cell>
          <cell r="AX397">
            <v>0</v>
          </cell>
        </row>
        <row r="398">
          <cell r="Q398">
            <v>388.22</v>
          </cell>
          <cell r="T398">
            <v>387.22</v>
          </cell>
          <cell r="AA398">
            <v>80.301629478928007</v>
          </cell>
          <cell r="AD398">
            <v>0.22218067082716764</v>
          </cell>
          <cell r="AW398">
            <v>0</v>
          </cell>
          <cell r="AX398">
            <v>0</v>
          </cell>
        </row>
        <row r="399">
          <cell r="Q399">
            <v>389.46000000000004</v>
          </cell>
          <cell r="T399">
            <v>388.46000000000004</v>
          </cell>
          <cell r="AA399">
            <v>80.943882048200365</v>
          </cell>
          <cell r="AD399">
            <v>0.23774537544299021</v>
          </cell>
          <cell r="AW399">
            <v>0</v>
          </cell>
          <cell r="AX399">
            <v>0</v>
          </cell>
        </row>
        <row r="400">
          <cell r="Q400">
            <v>390.65000000000003</v>
          </cell>
          <cell r="T400">
            <v>389.65000000000003</v>
          </cell>
          <cell r="AA400">
            <v>80.462501038312524</v>
          </cell>
          <cell r="AD400">
            <v>0.2408084172886121</v>
          </cell>
          <cell r="AW400">
            <v>2</v>
          </cell>
          <cell r="AX400">
            <v>4.1999999999999997E-3</v>
          </cell>
        </row>
        <row r="401">
          <cell r="Q401">
            <v>391.86500000000001</v>
          </cell>
          <cell r="T401">
            <v>390.86500000000001</v>
          </cell>
          <cell r="AA401">
            <v>80.031605462323611</v>
          </cell>
          <cell r="AD401">
            <v>0.20721701907480161</v>
          </cell>
          <cell r="AW401">
            <v>1</v>
          </cell>
          <cell r="AX401">
            <v>0</v>
          </cell>
        </row>
        <row r="402">
          <cell r="Q402">
            <v>393.13000000000005</v>
          </cell>
          <cell r="T402">
            <v>392.13000000000005</v>
          </cell>
          <cell r="AA402">
            <v>80.204438603635282</v>
          </cell>
          <cell r="AD402">
            <v>0.23922209759534205</v>
          </cell>
          <cell r="AW402">
            <v>0</v>
          </cell>
          <cell r="AX402">
            <v>0</v>
          </cell>
        </row>
        <row r="403">
          <cell r="Q403">
            <v>394.3950000000001</v>
          </cell>
          <cell r="T403">
            <v>393.3950000000001</v>
          </cell>
          <cell r="AA403">
            <v>79.104004926984004</v>
          </cell>
          <cell r="AD403">
            <v>0.24977034039161899</v>
          </cell>
          <cell r="AW403">
            <v>0</v>
          </cell>
          <cell r="AX403">
            <v>0</v>
          </cell>
        </row>
        <row r="404">
          <cell r="Q404">
            <v>395.61000000000007</v>
          </cell>
          <cell r="T404">
            <v>394.61000000000007</v>
          </cell>
          <cell r="AA404">
            <v>78.631110939608405</v>
          </cell>
          <cell r="AD404">
            <v>0.26680273597167575</v>
          </cell>
          <cell r="AW404">
            <v>1</v>
          </cell>
          <cell r="AX404">
            <v>0</v>
          </cell>
        </row>
        <row r="405">
          <cell r="Q405">
            <v>396.82500000000005</v>
          </cell>
          <cell r="T405">
            <v>395.82500000000005</v>
          </cell>
          <cell r="AA405">
            <v>77.710367899434701</v>
          </cell>
          <cell r="AD405">
            <v>0.30863854025405829</v>
          </cell>
          <cell r="AW405">
            <v>1</v>
          </cell>
          <cell r="AX405">
            <v>0</v>
          </cell>
        </row>
        <row r="406">
          <cell r="Q406">
            <v>398.04000000000008</v>
          </cell>
          <cell r="T406">
            <v>397.04000000000008</v>
          </cell>
          <cell r="AA406">
            <v>77.871090122087821</v>
          </cell>
          <cell r="AD406">
            <v>0.25245887164421116</v>
          </cell>
          <cell r="AW406">
            <v>0</v>
          </cell>
          <cell r="AX406">
            <v>0</v>
          </cell>
        </row>
        <row r="407">
          <cell r="Q407">
            <v>399.23000000000008</v>
          </cell>
          <cell r="T407">
            <v>398.23000000000008</v>
          </cell>
          <cell r="AA407">
            <v>75.166077472407309</v>
          </cell>
          <cell r="AD407">
            <v>0.29415917428770466</v>
          </cell>
          <cell r="AW407">
            <v>1</v>
          </cell>
          <cell r="AX407">
            <v>0</v>
          </cell>
        </row>
        <row r="408">
          <cell r="Q408">
            <v>400.42000000000007</v>
          </cell>
          <cell r="T408">
            <v>399.42000000000007</v>
          </cell>
          <cell r="AA408">
            <v>78.399017862411498</v>
          </cell>
          <cell r="AD408">
            <v>0.26335035356459785</v>
          </cell>
          <cell r="AW408">
            <v>0</v>
          </cell>
          <cell r="AX408">
            <v>0</v>
          </cell>
        </row>
        <row r="409">
          <cell r="Q409">
            <v>401.61000000000007</v>
          </cell>
          <cell r="T409">
            <v>400.61000000000007</v>
          </cell>
          <cell r="AA409">
            <v>79.625767849074109</v>
          </cell>
          <cell r="AD409">
            <v>0.24829285717152502</v>
          </cell>
          <cell r="AW409">
            <v>2</v>
          </cell>
          <cell r="AX409">
            <v>0.21329999999999999</v>
          </cell>
        </row>
        <row r="410">
          <cell r="Q410">
            <v>402.75000000000006</v>
          </cell>
          <cell r="T410">
            <v>401.75000000000006</v>
          </cell>
          <cell r="AA410">
            <v>80.615052660529258</v>
          </cell>
          <cell r="AD410">
            <v>0.26600637281675971</v>
          </cell>
          <cell r="AW410">
            <v>0</v>
          </cell>
          <cell r="AX410">
            <v>0</v>
          </cell>
        </row>
        <row r="411">
          <cell r="Q411">
            <v>403.89000000000004</v>
          </cell>
          <cell r="T411">
            <v>402.89000000000004</v>
          </cell>
          <cell r="AA411">
            <v>81.923949981940552</v>
          </cell>
          <cell r="AD411">
            <v>0.2201421582202529</v>
          </cell>
          <cell r="AW411">
            <v>0</v>
          </cell>
          <cell r="AX411">
            <v>0</v>
          </cell>
        </row>
        <row r="412">
          <cell r="Q412">
            <v>405.08000000000004</v>
          </cell>
          <cell r="T412">
            <v>404.08000000000004</v>
          </cell>
          <cell r="AA412">
            <v>81.459623173286218</v>
          </cell>
          <cell r="AD412">
            <v>0.22777028125081908</v>
          </cell>
          <cell r="AW412">
            <v>0</v>
          </cell>
          <cell r="AX412">
            <v>0</v>
          </cell>
        </row>
        <row r="413">
          <cell r="Q413">
            <v>406.27000000000004</v>
          </cell>
          <cell r="T413">
            <v>405.27000000000004</v>
          </cell>
          <cell r="AA413">
            <v>81.142591608067605</v>
          </cell>
          <cell r="AD413">
            <v>0.22606608631436145</v>
          </cell>
          <cell r="AW413">
            <v>0</v>
          </cell>
          <cell r="AX413">
            <v>0</v>
          </cell>
        </row>
        <row r="414">
          <cell r="Q414">
            <v>407.46000000000004</v>
          </cell>
          <cell r="T414">
            <v>406.46000000000004</v>
          </cell>
          <cell r="AA414">
            <v>77.114224344138748</v>
          </cell>
          <cell r="AD414">
            <v>0.29628687132871567</v>
          </cell>
          <cell r="AW414">
            <v>0</v>
          </cell>
          <cell r="AX414">
            <v>1.9900000000000001E-2</v>
          </cell>
        </row>
        <row r="415">
          <cell r="Q415">
            <v>409.07500000000005</v>
          </cell>
          <cell r="T415">
            <v>408.07500000000005</v>
          </cell>
          <cell r="AA415">
            <v>78.171984907211751</v>
          </cell>
          <cell r="AD415">
            <v>0.13920300406023445</v>
          </cell>
          <cell r="AW415">
            <v>0</v>
          </cell>
          <cell r="AX415">
            <v>9.1999999999999998E-3</v>
          </cell>
        </row>
        <row r="416">
          <cell r="Q416">
            <v>400.52499999999998</v>
          </cell>
          <cell r="T416">
            <v>403.52499999999998</v>
          </cell>
          <cell r="AA416">
            <v>80.030478335949127</v>
          </cell>
          <cell r="AD416">
            <v>0.1611716469851964</v>
          </cell>
          <cell r="AW416">
            <v>1</v>
          </cell>
          <cell r="AX416">
            <v>0</v>
          </cell>
        </row>
        <row r="417">
          <cell r="Q417">
            <v>401.75749999999999</v>
          </cell>
          <cell r="T417">
            <v>404.75749999999999</v>
          </cell>
          <cell r="AA417">
            <v>78.226018241745919</v>
          </cell>
          <cell r="AD417">
            <v>0.22695189242233327</v>
          </cell>
          <cell r="AW417">
            <v>0</v>
          </cell>
          <cell r="AX417">
            <v>6.3500000000000001E-2</v>
          </cell>
        </row>
        <row r="418">
          <cell r="Q418">
            <v>402.96499999999997</v>
          </cell>
          <cell r="T418">
            <v>405.96499999999997</v>
          </cell>
          <cell r="AA418">
            <v>80.592471271018212</v>
          </cell>
          <cell r="AD418">
            <v>0.27399009088081089</v>
          </cell>
          <cell r="AW418">
            <v>2</v>
          </cell>
          <cell r="AX418">
            <v>9.5299999999999996E-2</v>
          </cell>
        </row>
        <row r="419">
          <cell r="Q419">
            <v>404.19749999999999</v>
          </cell>
          <cell r="T419">
            <v>407.19749999999999</v>
          </cell>
          <cell r="AA419">
            <v>76.306202320431083</v>
          </cell>
          <cell r="AD419">
            <v>0.24180025173273728</v>
          </cell>
          <cell r="AW419">
            <v>2</v>
          </cell>
          <cell r="AX419">
            <v>0</v>
          </cell>
        </row>
        <row r="420">
          <cell r="Q420">
            <v>405.42999999999995</v>
          </cell>
          <cell r="T420">
            <v>408.42999999999995</v>
          </cell>
          <cell r="AA420">
            <v>77.657058368415704</v>
          </cell>
          <cell r="AD420">
            <v>0.2392899268695447</v>
          </cell>
          <cell r="AW420">
            <v>2</v>
          </cell>
          <cell r="AX420">
            <v>1.21E-2</v>
          </cell>
        </row>
        <row r="421">
          <cell r="Q421">
            <v>406.66249999999991</v>
          </cell>
          <cell r="T421">
            <v>409.66249999999991</v>
          </cell>
          <cell r="AA421">
            <v>77.257015701582802</v>
          </cell>
          <cell r="AD421">
            <v>0.23305032858153868</v>
          </cell>
          <cell r="AW421">
            <v>2</v>
          </cell>
          <cell r="AX421">
            <v>1.0200000000000001E-2</v>
          </cell>
        </row>
        <row r="422">
          <cell r="Q422">
            <v>407.89499999999992</v>
          </cell>
          <cell r="T422">
            <v>410.89499999999992</v>
          </cell>
          <cell r="AA422">
            <v>79.027828659415007</v>
          </cell>
          <cell r="AD422">
            <v>0.21544597040688099</v>
          </cell>
          <cell r="AW422">
            <v>0</v>
          </cell>
          <cell r="AX422">
            <v>0</v>
          </cell>
        </row>
        <row r="423">
          <cell r="Q423">
            <v>409.12749999999994</v>
          </cell>
          <cell r="T423">
            <v>412.12749999999994</v>
          </cell>
          <cell r="AA423">
            <v>80.919048830688538</v>
          </cell>
          <cell r="AD423">
            <v>0.20411540350419322</v>
          </cell>
          <cell r="AW423">
            <v>2</v>
          </cell>
          <cell r="AX423">
            <v>0.2404</v>
          </cell>
        </row>
        <row r="424">
          <cell r="Q424">
            <v>410.3599999999999</v>
          </cell>
          <cell r="T424">
            <v>413.3599999999999</v>
          </cell>
          <cell r="AA424">
            <v>71.759252865149463</v>
          </cell>
          <cell r="AD424">
            <v>0.3355201621597646</v>
          </cell>
          <cell r="AW424">
            <v>0</v>
          </cell>
          <cell r="AX424">
            <v>0</v>
          </cell>
        </row>
        <row r="425">
          <cell r="Q425">
            <v>411.5424999999999</v>
          </cell>
          <cell r="T425">
            <v>414.5424999999999</v>
          </cell>
          <cell r="AA425">
            <v>79.239560361596091</v>
          </cell>
          <cell r="AD425">
            <v>0.24802230471988729</v>
          </cell>
          <cell r="AW425">
            <v>0</v>
          </cell>
          <cell r="AX425">
            <v>0</v>
          </cell>
        </row>
        <row r="426">
          <cell r="Q426">
            <v>412.72499999999985</v>
          </cell>
          <cell r="T426">
            <v>415.72499999999985</v>
          </cell>
          <cell r="AA426">
            <v>82.018659639220331</v>
          </cell>
          <cell r="AD426">
            <v>0.18581328143430048</v>
          </cell>
          <cell r="AW426">
            <v>2</v>
          </cell>
          <cell r="AX426">
            <v>0</v>
          </cell>
        </row>
        <row r="427">
          <cell r="Q427">
            <v>413.93249999999983</v>
          </cell>
          <cell r="T427">
            <v>416.93249999999983</v>
          </cell>
          <cell r="AA427">
            <v>81.147209411013122</v>
          </cell>
          <cell r="AD427">
            <v>0.21233044350082564</v>
          </cell>
          <cell r="AW427">
            <v>0</v>
          </cell>
          <cell r="AX427">
            <v>0</v>
          </cell>
        </row>
        <row r="428">
          <cell r="Q428">
            <v>415.13999999999982</v>
          </cell>
          <cell r="T428">
            <v>418.13999999999982</v>
          </cell>
          <cell r="AA428">
            <v>79.132059474651044</v>
          </cell>
          <cell r="AD428">
            <v>0.23989799892368663</v>
          </cell>
          <cell r="AW428">
            <v>0</v>
          </cell>
          <cell r="AX428">
            <v>0</v>
          </cell>
        </row>
        <row r="429">
          <cell r="Q429">
            <v>416.3474999999998</v>
          </cell>
          <cell r="T429">
            <v>419.3474999999998</v>
          </cell>
          <cell r="AA429">
            <v>77.553561100194884</v>
          </cell>
          <cell r="AD429">
            <v>0.2818962543576839</v>
          </cell>
          <cell r="AW429">
            <v>0</v>
          </cell>
          <cell r="AX429">
            <v>0</v>
          </cell>
        </row>
        <row r="430">
          <cell r="Q430">
            <v>417.55499999999978</v>
          </cell>
          <cell r="T430">
            <v>420.55499999999978</v>
          </cell>
          <cell r="AA430">
            <v>80.156926420698198</v>
          </cell>
          <cell r="AD430">
            <v>0.22519668231099144</v>
          </cell>
          <cell r="AW430">
            <v>0</v>
          </cell>
          <cell r="AX430">
            <v>0</v>
          </cell>
        </row>
        <row r="431">
          <cell r="Q431">
            <v>418.7874999999998</v>
          </cell>
          <cell r="T431">
            <v>421.7874999999998</v>
          </cell>
          <cell r="AA431">
            <v>79.19501894373397</v>
          </cell>
          <cell r="AD431">
            <v>0.22229288758297711</v>
          </cell>
          <cell r="AW431">
            <v>0</v>
          </cell>
          <cell r="AX431">
            <v>0</v>
          </cell>
        </row>
        <row r="432">
          <cell r="Q432">
            <v>420.01999999999975</v>
          </cell>
          <cell r="T432">
            <v>423.01999999999975</v>
          </cell>
          <cell r="AA432">
            <v>79.294741837316664</v>
          </cell>
          <cell r="AD432">
            <v>0.25034830060886804</v>
          </cell>
          <cell r="AW432">
            <v>0</v>
          </cell>
          <cell r="AX432">
            <v>0</v>
          </cell>
        </row>
        <row r="433">
          <cell r="Q433">
            <v>421.27749999999975</v>
          </cell>
          <cell r="T433">
            <v>424.27749999999975</v>
          </cell>
          <cell r="AA433">
            <v>78.931922052548259</v>
          </cell>
          <cell r="AD433">
            <v>0.22315943561413315</v>
          </cell>
          <cell r="AW433">
            <v>0</v>
          </cell>
          <cell r="AX433">
            <v>0</v>
          </cell>
        </row>
        <row r="434">
          <cell r="Q434">
            <v>422.50999999999976</v>
          </cell>
          <cell r="T434">
            <v>425.50999999999976</v>
          </cell>
          <cell r="AA434">
            <v>78.984392764205055</v>
          </cell>
          <cell r="AD434">
            <v>0.23501692029870216</v>
          </cell>
          <cell r="AW434">
            <v>0</v>
          </cell>
          <cell r="AX434">
            <v>0</v>
          </cell>
        </row>
        <row r="435">
          <cell r="Q435">
            <v>423.69249999999971</v>
          </cell>
          <cell r="T435">
            <v>426.69249999999971</v>
          </cell>
          <cell r="AA435">
            <v>80.375771881388431</v>
          </cell>
          <cell r="AD435">
            <v>0.22362828686999625</v>
          </cell>
          <cell r="AW435">
            <v>0</v>
          </cell>
          <cell r="AX435">
            <v>0</v>
          </cell>
        </row>
        <row r="436">
          <cell r="Q436">
            <v>424.89999999999969</v>
          </cell>
          <cell r="T436">
            <v>427.89999999999969</v>
          </cell>
          <cell r="AA436">
            <v>78.349456829957205</v>
          </cell>
          <cell r="AD436">
            <v>0.23681102857714184</v>
          </cell>
          <cell r="AW436">
            <v>0</v>
          </cell>
          <cell r="AX436">
            <v>0</v>
          </cell>
        </row>
        <row r="437">
          <cell r="Q437">
            <v>426.08249999999964</v>
          </cell>
          <cell r="T437">
            <v>429.08249999999964</v>
          </cell>
          <cell r="AA437">
            <v>78.298994925380839</v>
          </cell>
          <cell r="AD437">
            <v>0.24736839811272579</v>
          </cell>
          <cell r="AW437">
            <v>0</v>
          </cell>
          <cell r="AX437">
            <v>1.4200000000000001E-2</v>
          </cell>
        </row>
        <row r="438">
          <cell r="Q438">
            <v>427.26499999999965</v>
          </cell>
          <cell r="T438">
            <v>430.26499999999965</v>
          </cell>
          <cell r="AA438">
            <v>78.231242705109992</v>
          </cell>
          <cell r="AD438">
            <v>0.26082363882016446</v>
          </cell>
          <cell r="AW438">
            <v>0</v>
          </cell>
          <cell r="AX438">
            <v>0</v>
          </cell>
        </row>
        <row r="439">
          <cell r="Q439">
            <v>428.44749999999965</v>
          </cell>
          <cell r="T439">
            <v>431.44749999999965</v>
          </cell>
          <cell r="AA439">
            <v>77.402931416356637</v>
          </cell>
          <cell r="AD439">
            <v>0.26400113344102599</v>
          </cell>
          <cell r="AW439">
            <v>0</v>
          </cell>
          <cell r="AX439">
            <v>0</v>
          </cell>
        </row>
        <row r="440">
          <cell r="Q440">
            <v>429.6299999999996</v>
          </cell>
          <cell r="T440">
            <v>432.6299999999996</v>
          </cell>
          <cell r="AA440">
            <v>75.434287547531014</v>
          </cell>
          <cell r="AD440">
            <v>0.2873187183486971</v>
          </cell>
          <cell r="AW440">
            <v>0</v>
          </cell>
          <cell r="AX440">
            <v>0</v>
          </cell>
        </row>
        <row r="441">
          <cell r="Q441">
            <v>430.83749999999958</v>
          </cell>
          <cell r="T441">
            <v>433.83749999999958</v>
          </cell>
          <cell r="AA441">
            <v>75.061234883269734</v>
          </cell>
          <cell r="AD441">
            <v>0.31465310787945133</v>
          </cell>
          <cell r="AW441">
            <v>0</v>
          </cell>
          <cell r="AX441">
            <v>0</v>
          </cell>
        </row>
        <row r="442">
          <cell r="Q442">
            <v>432.04499999999956</v>
          </cell>
          <cell r="T442">
            <v>435.04499999999956</v>
          </cell>
          <cell r="AA442">
            <v>76.398160308213775</v>
          </cell>
          <cell r="AD442">
            <v>0.29062787345023716</v>
          </cell>
          <cell r="AW442">
            <v>0</v>
          </cell>
          <cell r="AX442">
            <v>0</v>
          </cell>
        </row>
        <row r="443">
          <cell r="Q443">
            <v>433.25249999999954</v>
          </cell>
          <cell r="T443">
            <v>436.25249999999954</v>
          </cell>
          <cell r="AA443">
            <v>78.770556054766985</v>
          </cell>
          <cell r="AD443">
            <v>0.2550843244620804</v>
          </cell>
          <cell r="AW443">
            <v>0</v>
          </cell>
          <cell r="AX443">
            <v>0</v>
          </cell>
        </row>
        <row r="444">
          <cell r="Q444">
            <v>434.45999999999952</v>
          </cell>
          <cell r="T444">
            <v>437.45999999999952</v>
          </cell>
          <cell r="AA444">
            <v>78.758528742843708</v>
          </cell>
          <cell r="AD444">
            <v>0.2544432387093391</v>
          </cell>
          <cell r="AW444">
            <v>2</v>
          </cell>
          <cell r="AX444">
            <v>0</v>
          </cell>
        </row>
        <row r="445">
          <cell r="Q445">
            <v>435.71749999999952</v>
          </cell>
          <cell r="T445">
            <v>438.71749999999952</v>
          </cell>
          <cell r="AA445">
            <v>80.026785238632698</v>
          </cell>
          <cell r="AD445">
            <v>0.25716341176677004</v>
          </cell>
          <cell r="AW445">
            <v>0</v>
          </cell>
          <cell r="AX445">
            <v>0</v>
          </cell>
        </row>
        <row r="446">
          <cell r="Q446">
            <v>436.97499999999951</v>
          </cell>
          <cell r="T446">
            <v>439.97499999999951</v>
          </cell>
          <cell r="AA446">
            <v>78.656440130133504</v>
          </cell>
          <cell r="AD446">
            <v>0.25951460713841357</v>
          </cell>
          <cell r="AW446">
            <v>0</v>
          </cell>
          <cell r="AX446">
            <v>0</v>
          </cell>
        </row>
        <row r="447">
          <cell r="Q447">
            <v>438.18249999999949</v>
          </cell>
          <cell r="T447">
            <v>441.18249999999949</v>
          </cell>
          <cell r="AA447">
            <v>79.778148452275019</v>
          </cell>
          <cell r="AD447">
            <v>0.24803214542647073</v>
          </cell>
          <cell r="AW447">
            <v>0</v>
          </cell>
          <cell r="AX447">
            <v>0</v>
          </cell>
        </row>
        <row r="448">
          <cell r="Q448">
            <v>439.38999999999947</v>
          </cell>
          <cell r="T448">
            <v>442.38999999999947</v>
          </cell>
          <cell r="AA448">
            <v>80.877667890846908</v>
          </cell>
          <cell r="AD448">
            <v>0.23982415941539606</v>
          </cell>
          <cell r="AW448">
            <v>0</v>
          </cell>
          <cell r="AX448">
            <v>0</v>
          </cell>
        </row>
        <row r="449">
          <cell r="Q449">
            <v>440.67249999999945</v>
          </cell>
          <cell r="T449">
            <v>443.67249999999945</v>
          </cell>
          <cell r="AA449">
            <v>69.138694057411982</v>
          </cell>
          <cell r="AD449">
            <v>0.31238563216763954</v>
          </cell>
          <cell r="AW449">
            <v>2</v>
          </cell>
          <cell r="AX449">
            <v>4.2200000000000001E-2</v>
          </cell>
        </row>
        <row r="450">
          <cell r="Q450">
            <v>442.00499999999943</v>
          </cell>
          <cell r="T450">
            <v>445.00499999999943</v>
          </cell>
          <cell r="AA450">
            <v>73.420954553894532</v>
          </cell>
          <cell r="AD450">
            <v>0.29680648088991324</v>
          </cell>
          <cell r="AW450">
            <v>0</v>
          </cell>
          <cell r="AX450">
            <v>0</v>
          </cell>
        </row>
        <row r="451">
          <cell r="Q451">
            <v>443.28749999999945</v>
          </cell>
          <cell r="T451">
            <v>446.28749999999945</v>
          </cell>
          <cell r="AA451">
            <v>80.051941401320477</v>
          </cell>
          <cell r="AD451">
            <v>0.22653401084163058</v>
          </cell>
          <cell r="AW451">
            <v>0</v>
          </cell>
          <cell r="AX451">
            <v>0</v>
          </cell>
        </row>
        <row r="452">
          <cell r="Q452">
            <v>444.51999999999941</v>
          </cell>
          <cell r="T452">
            <v>447.51999999999941</v>
          </cell>
          <cell r="AA452">
            <v>80.821480454949764</v>
          </cell>
          <cell r="AD452">
            <v>0.23597955500589551</v>
          </cell>
          <cell r="AW452">
            <v>0</v>
          </cell>
          <cell r="AX452">
            <v>0</v>
          </cell>
        </row>
        <row r="453">
          <cell r="Q453">
            <v>445.7274999999994</v>
          </cell>
          <cell r="T453">
            <v>448.7274999999994</v>
          </cell>
          <cell r="AA453">
            <v>76.823138992529437</v>
          </cell>
          <cell r="AD453">
            <v>0.2405572809741888</v>
          </cell>
          <cell r="AW453">
            <v>0</v>
          </cell>
          <cell r="AX453">
            <v>0</v>
          </cell>
        </row>
        <row r="454">
          <cell r="Q454">
            <v>446.93499999999938</v>
          </cell>
          <cell r="T454">
            <v>449.93499999999938</v>
          </cell>
          <cell r="AA454">
            <v>82.650353537242992</v>
          </cell>
          <cell r="AD454">
            <v>0.21783083012240831</v>
          </cell>
          <cell r="AW454">
            <v>0</v>
          </cell>
          <cell r="AX454">
            <v>0</v>
          </cell>
        </row>
        <row r="455">
          <cell r="Q455">
            <v>448.14249999999936</v>
          </cell>
          <cell r="T455">
            <v>451.14249999999936</v>
          </cell>
          <cell r="AA455">
            <v>83.565583894075644</v>
          </cell>
          <cell r="AD455">
            <v>0.19132661691103384</v>
          </cell>
          <cell r="AW455">
            <v>0</v>
          </cell>
          <cell r="AX455">
            <v>0</v>
          </cell>
        </row>
        <row r="456">
          <cell r="Q456">
            <v>449.42499999999933</v>
          </cell>
          <cell r="T456">
            <v>452.42499999999933</v>
          </cell>
          <cell r="AA456">
            <v>87.544416150616584</v>
          </cell>
          <cell r="AD456">
            <v>0.14869754397001383</v>
          </cell>
          <cell r="AW456">
            <v>0</v>
          </cell>
          <cell r="AX456">
            <v>0</v>
          </cell>
        </row>
        <row r="457">
          <cell r="Q457">
            <v>440.47500000000002</v>
          </cell>
          <cell r="T457">
            <v>445.47500000000002</v>
          </cell>
          <cell r="AA457">
            <v>78.668810841101717</v>
          </cell>
          <cell r="AD457">
            <v>0.23688986899561101</v>
          </cell>
          <cell r="AW457">
            <v>0</v>
          </cell>
          <cell r="AX457">
            <v>0</v>
          </cell>
        </row>
        <row r="458">
          <cell r="Q458">
            <v>441.67171052631579</v>
          </cell>
          <cell r="T458">
            <v>446.67171052631579</v>
          </cell>
          <cell r="AA458">
            <v>79.26101193885124</v>
          </cell>
          <cell r="AD458">
            <v>0.21688468550650941</v>
          </cell>
          <cell r="AW458">
            <v>0</v>
          </cell>
          <cell r="AX458">
            <v>8.3999999999999995E-3</v>
          </cell>
        </row>
        <row r="459">
          <cell r="Q459">
            <v>442.86842105263156</v>
          </cell>
          <cell r="T459">
            <v>447.86842105263156</v>
          </cell>
          <cell r="AA459">
            <v>79.582918821280515</v>
          </cell>
          <cell r="AD459">
            <v>0.255829500888404</v>
          </cell>
          <cell r="AW459">
            <v>0</v>
          </cell>
          <cell r="AX459">
            <v>0</v>
          </cell>
        </row>
        <row r="460">
          <cell r="Q460">
            <v>444.06513157894739</v>
          </cell>
          <cell r="T460">
            <v>449.06513157894739</v>
          </cell>
          <cell r="AA460">
            <v>71.650236311997631</v>
          </cell>
          <cell r="AD460">
            <v>0.32488491581624568</v>
          </cell>
          <cell r="AW460">
            <v>2</v>
          </cell>
          <cell r="AX460">
            <v>9.1000000000000004E-3</v>
          </cell>
        </row>
        <row r="461">
          <cell r="Q461">
            <v>445.28684210526319</v>
          </cell>
          <cell r="T461">
            <v>450.28684210526319</v>
          </cell>
          <cell r="AA461">
            <v>74.212026805163802</v>
          </cell>
          <cell r="AD461">
            <v>0.29718357917354271</v>
          </cell>
          <cell r="AW461">
            <v>0</v>
          </cell>
          <cell r="AX461">
            <v>1.1599999999999999E-2</v>
          </cell>
        </row>
        <row r="462">
          <cell r="Q462">
            <v>446.58355263157898</v>
          </cell>
          <cell r="T462">
            <v>451.58355263157898</v>
          </cell>
          <cell r="AA462">
            <v>64.742741407367021</v>
          </cell>
          <cell r="AD462">
            <v>0.42840579710144921</v>
          </cell>
          <cell r="AW462">
            <v>2</v>
          </cell>
          <cell r="AX462">
            <v>0.1285</v>
          </cell>
        </row>
        <row r="463">
          <cell r="Q463">
            <v>447.9802631578948</v>
          </cell>
          <cell r="T463">
            <v>452.9802631578948</v>
          </cell>
          <cell r="AA463">
            <v>43.15539350329761</v>
          </cell>
          <cell r="AD463">
            <v>0.77340236748079516</v>
          </cell>
          <cell r="AW463">
            <v>2</v>
          </cell>
          <cell r="AX463">
            <v>1.3346</v>
          </cell>
        </row>
        <row r="464">
          <cell r="Q464">
            <v>449.35197368421058</v>
          </cell>
          <cell r="T464">
            <v>454.35197368421058</v>
          </cell>
          <cell r="AA464">
            <v>54.847562614650933</v>
          </cell>
          <cell r="AD464">
            <v>0.53701660781124616</v>
          </cell>
          <cell r="AW464">
            <v>2</v>
          </cell>
          <cell r="AX464">
            <v>1.8623000000000001</v>
          </cell>
        </row>
        <row r="465">
          <cell r="Q465">
            <v>450.62368421052639</v>
          </cell>
          <cell r="T465">
            <v>455.62368421052639</v>
          </cell>
          <cell r="AA465">
            <v>53.90724438962301</v>
          </cell>
          <cell r="AD465">
            <v>0.51545111924626363</v>
          </cell>
          <cell r="AW465">
            <v>2</v>
          </cell>
          <cell r="AX465">
            <v>0.61539999999999995</v>
          </cell>
        </row>
        <row r="466">
          <cell r="Q466">
            <v>451.8453947368422</v>
          </cell>
          <cell r="T466">
            <v>456.8453947368422</v>
          </cell>
          <cell r="AA466">
            <v>67.980015237832475</v>
          </cell>
          <cell r="AD466">
            <v>0.37525488615525221</v>
          </cell>
          <cell r="AW466">
            <v>2</v>
          </cell>
          <cell r="AX466">
            <v>0.9345</v>
          </cell>
        </row>
        <row r="467">
          <cell r="Q467">
            <v>453.11710526315801</v>
          </cell>
          <cell r="T467">
            <v>458.11710526315801</v>
          </cell>
          <cell r="AA467">
            <v>68.150190435944836</v>
          </cell>
          <cell r="AD467">
            <v>0.37762866642650339</v>
          </cell>
          <cell r="AW467">
            <v>2</v>
          </cell>
          <cell r="AX467">
            <v>0.27079999999999999</v>
          </cell>
        </row>
        <row r="468">
          <cell r="Q468">
            <v>454.48881578947385</v>
          </cell>
          <cell r="T468">
            <v>459.48881578947385</v>
          </cell>
          <cell r="AA468">
            <v>68.460905369746598</v>
          </cell>
          <cell r="AD468">
            <v>0.41756896200329613</v>
          </cell>
          <cell r="AW468">
            <v>2</v>
          </cell>
          <cell r="AX468">
            <v>0.15640000000000001</v>
          </cell>
        </row>
        <row r="469">
          <cell r="Q469">
            <v>455.8855263157896</v>
          </cell>
          <cell r="T469">
            <v>460.8855263157896</v>
          </cell>
          <cell r="AA469">
            <v>70.34176699663081</v>
          </cell>
          <cell r="AD469">
            <v>0.32535954952460067</v>
          </cell>
          <cell r="AW469">
            <v>2</v>
          </cell>
          <cell r="AX469">
            <v>5.1400000000000001E-2</v>
          </cell>
        </row>
        <row r="470">
          <cell r="Q470">
            <v>457.1822368421054</v>
          </cell>
          <cell r="T470">
            <v>462.1822368421054</v>
          </cell>
          <cell r="AA470">
            <v>73.698091041164574</v>
          </cell>
          <cell r="AD470">
            <v>0.23101061571125261</v>
          </cell>
          <cell r="AW470">
            <v>2</v>
          </cell>
          <cell r="AX470">
            <v>0.1923</v>
          </cell>
        </row>
        <row r="471">
          <cell r="Q471">
            <v>458.4039473684212</v>
          </cell>
          <cell r="T471">
            <v>463.4039473684212</v>
          </cell>
          <cell r="AA471">
            <v>61.485404395324949</v>
          </cell>
          <cell r="AD471">
            <v>0.5070217677179526</v>
          </cell>
          <cell r="AW471">
            <v>2</v>
          </cell>
          <cell r="AX471">
            <v>0.34110000000000001</v>
          </cell>
        </row>
        <row r="472">
          <cell r="Q472">
            <v>459.67565789473701</v>
          </cell>
          <cell r="T472">
            <v>464.67565789473701</v>
          </cell>
          <cell r="AA472">
            <v>65.690763480528801</v>
          </cell>
          <cell r="AD472">
            <v>0.45157209830579287</v>
          </cell>
          <cell r="AW472">
            <v>2</v>
          </cell>
          <cell r="AX472">
            <v>8.4500000000000006E-2</v>
          </cell>
        </row>
        <row r="473">
          <cell r="Q473">
            <v>460.99736842105284</v>
          </cell>
          <cell r="T473">
            <v>465.99736842105284</v>
          </cell>
          <cell r="AA473">
            <v>75.215920581623422</v>
          </cell>
          <cell r="AD473">
            <v>0.26096776138374739</v>
          </cell>
          <cell r="AW473">
            <v>2</v>
          </cell>
          <cell r="AX473">
            <v>0.28460000000000002</v>
          </cell>
        </row>
        <row r="474">
          <cell r="Q474">
            <v>462.29407894736869</v>
          </cell>
          <cell r="T474">
            <v>467.29407894736869</v>
          </cell>
          <cell r="AA474">
            <v>76.226505621399866</v>
          </cell>
          <cell r="AD474">
            <v>0.25293637490754478</v>
          </cell>
          <cell r="AW474">
            <v>0</v>
          </cell>
          <cell r="AX474">
            <v>0</v>
          </cell>
        </row>
        <row r="475">
          <cell r="Q475">
            <v>463.54078947368447</v>
          </cell>
          <cell r="T475">
            <v>468.54078947368447</v>
          </cell>
          <cell r="AA475">
            <v>76.310435472276666</v>
          </cell>
          <cell r="AD475">
            <v>0.27467790038627926</v>
          </cell>
          <cell r="AW475">
            <v>0</v>
          </cell>
          <cell r="AX475">
            <v>0</v>
          </cell>
        </row>
        <row r="476">
          <cell r="Q476">
            <v>464.78750000000025</v>
          </cell>
          <cell r="T476">
            <v>469.78750000000025</v>
          </cell>
          <cell r="AA476">
            <v>76.521861217778451</v>
          </cell>
          <cell r="AD476">
            <v>0.27106368507642381</v>
          </cell>
          <cell r="AW476">
            <v>2</v>
          </cell>
          <cell r="AX476">
            <v>2.9700000000000001E-2</v>
          </cell>
        </row>
        <row r="477">
          <cell r="Q477">
            <v>466.0842105263161</v>
          </cell>
          <cell r="T477">
            <v>471.0842105263161</v>
          </cell>
          <cell r="AA477">
            <v>35.365249372108138</v>
          </cell>
          <cell r="AD477">
            <v>1.0037504912566155</v>
          </cell>
          <cell r="AW477">
            <v>2</v>
          </cell>
          <cell r="AX477">
            <v>7.2125000000000004</v>
          </cell>
        </row>
        <row r="478">
          <cell r="Q478">
            <v>467.35592105263191</v>
          </cell>
          <cell r="T478">
            <v>472.35592105263191</v>
          </cell>
          <cell r="AA478">
            <v>57.602497440391723</v>
          </cell>
          <cell r="AD478">
            <v>0.47584904385133592</v>
          </cell>
          <cell r="AW478">
            <v>2</v>
          </cell>
          <cell r="AX478">
            <v>0</v>
          </cell>
        </row>
        <row r="479">
          <cell r="Q479">
            <v>468.62763157894773</v>
          </cell>
          <cell r="T479">
            <v>473.62763157894773</v>
          </cell>
          <cell r="AA479">
            <v>74.696710765466875</v>
          </cell>
          <cell r="AD479">
            <v>0.273782659992586</v>
          </cell>
          <cell r="AW479">
            <v>2</v>
          </cell>
          <cell r="AX479">
            <v>1.0200000000000001E-2</v>
          </cell>
        </row>
        <row r="480">
          <cell r="Q480">
            <v>469.94934210526355</v>
          </cell>
          <cell r="T480">
            <v>474.94934210526355</v>
          </cell>
          <cell r="AA480">
            <v>70.741273342920181</v>
          </cell>
          <cell r="AD480">
            <v>0.22309969237074678</v>
          </cell>
          <cell r="AW480">
            <v>2</v>
          </cell>
          <cell r="AX480">
            <v>0.23649999999999999</v>
          </cell>
        </row>
        <row r="481">
          <cell r="Q481">
            <v>471.22105263157937</v>
          </cell>
          <cell r="T481">
            <v>476.22105263157937</v>
          </cell>
          <cell r="AA481">
            <v>70.447396976682569</v>
          </cell>
          <cell r="AD481">
            <v>0.34854328851144134</v>
          </cell>
          <cell r="AW481">
            <v>2</v>
          </cell>
          <cell r="AX481">
            <v>5.2400000000000002E-2</v>
          </cell>
        </row>
        <row r="482">
          <cell r="Q482">
            <v>472.49276315789518</v>
          </cell>
          <cell r="T482">
            <v>477.49276315789518</v>
          </cell>
          <cell r="AA482">
            <v>75.924084999467922</v>
          </cell>
          <cell r="AD482">
            <v>0.25392212436127953</v>
          </cell>
          <cell r="AW482">
            <v>2</v>
          </cell>
          <cell r="AX482">
            <v>9.4000000000000004E-3</v>
          </cell>
        </row>
        <row r="483">
          <cell r="Q483">
            <v>473.78947368421098</v>
          </cell>
          <cell r="T483">
            <v>478.78947368421098</v>
          </cell>
          <cell r="AA483">
            <v>77.185034303537194</v>
          </cell>
          <cell r="AD483">
            <v>0.26936874142520334</v>
          </cell>
          <cell r="AW483">
            <v>2</v>
          </cell>
          <cell r="AX483">
            <v>2.0199999999999999E-2</v>
          </cell>
        </row>
        <row r="484">
          <cell r="Q484">
            <v>475.13618421052684</v>
          </cell>
          <cell r="T484">
            <v>480.13618421052684</v>
          </cell>
          <cell r="AA484">
            <v>76.671591775776449</v>
          </cell>
          <cell r="AD484">
            <v>0.24544013699946698</v>
          </cell>
          <cell r="AW484">
            <v>2</v>
          </cell>
          <cell r="AX484">
            <v>5.4399999999999997E-2</v>
          </cell>
        </row>
        <row r="485">
          <cell r="Q485">
            <v>476.55789473684263</v>
          </cell>
          <cell r="T485">
            <v>481.55789473684263</v>
          </cell>
          <cell r="AA485">
            <v>76.810409904608917</v>
          </cell>
          <cell r="AD485">
            <v>0.21959791099109535</v>
          </cell>
          <cell r="AW485">
            <v>0</v>
          </cell>
          <cell r="AX485">
            <v>0</v>
          </cell>
        </row>
        <row r="486">
          <cell r="Q486">
            <v>477.90460526315837</v>
          </cell>
          <cell r="T486">
            <v>482.90460526315837</v>
          </cell>
          <cell r="AA486">
            <v>76.045975328525941</v>
          </cell>
          <cell r="AD486">
            <v>0.28395214860127765</v>
          </cell>
          <cell r="AW486">
            <v>2</v>
          </cell>
          <cell r="AX486">
            <v>4.9399999999999999E-2</v>
          </cell>
        </row>
        <row r="487">
          <cell r="Q487">
            <v>479.2263157894742</v>
          </cell>
          <cell r="T487">
            <v>484.2263157894742</v>
          </cell>
          <cell r="AA487">
            <v>74.308648214023449</v>
          </cell>
          <cell r="AD487">
            <v>0.3149406504306933</v>
          </cell>
          <cell r="AW487">
            <v>2</v>
          </cell>
          <cell r="AX487">
            <v>5.8799999999999998E-2</v>
          </cell>
        </row>
        <row r="488">
          <cell r="Q488">
            <v>480.52302631578999</v>
          </cell>
          <cell r="T488">
            <v>485.52302631578999</v>
          </cell>
          <cell r="AA488">
            <v>74.935412480438544</v>
          </cell>
          <cell r="AD488">
            <v>0.32503734462745293</v>
          </cell>
          <cell r="AW488">
            <v>2</v>
          </cell>
          <cell r="AX488">
            <v>0.2031</v>
          </cell>
        </row>
        <row r="489">
          <cell r="Q489">
            <v>481.84473684210582</v>
          </cell>
          <cell r="T489">
            <v>486.84473684210582</v>
          </cell>
          <cell r="AA489">
            <v>72.208905890357244</v>
          </cell>
          <cell r="AD489">
            <v>0.31006753864031528</v>
          </cell>
          <cell r="AW489">
            <v>2</v>
          </cell>
          <cell r="AX489">
            <v>0.25890000000000002</v>
          </cell>
        </row>
        <row r="490">
          <cell r="Q490">
            <v>483.16644736842159</v>
          </cell>
          <cell r="T490">
            <v>488.16644736842159</v>
          </cell>
          <cell r="AA490">
            <v>72.076785618201541</v>
          </cell>
          <cell r="AD490">
            <v>0.30325814391809608</v>
          </cell>
          <cell r="AW490">
            <v>2</v>
          </cell>
          <cell r="AX490">
            <v>0.19520000000000001</v>
          </cell>
        </row>
        <row r="491">
          <cell r="Q491">
            <v>484.41315789473742</v>
          </cell>
          <cell r="T491">
            <v>489.41315789473742</v>
          </cell>
          <cell r="AA491">
            <v>74.390404381192909</v>
          </cell>
          <cell r="AD491">
            <v>0.28588157224579941</v>
          </cell>
          <cell r="AW491">
            <v>2</v>
          </cell>
          <cell r="AX491">
            <v>1.0178</v>
          </cell>
        </row>
        <row r="492">
          <cell r="Q492">
            <v>485.67236842105319</v>
          </cell>
          <cell r="T492">
            <v>490.67236842105319</v>
          </cell>
          <cell r="AA492">
            <v>69.381448995715218</v>
          </cell>
          <cell r="AD492">
            <v>0.38980733447145893</v>
          </cell>
          <cell r="AW492">
            <v>2</v>
          </cell>
          <cell r="AX492">
            <v>1.29E-2</v>
          </cell>
        </row>
        <row r="493">
          <cell r="Q493">
            <v>486.90657894736898</v>
          </cell>
          <cell r="T493">
            <v>491.90657894736898</v>
          </cell>
          <cell r="AA493">
            <v>46.437248765762469</v>
          </cell>
          <cell r="AD493">
            <v>1.2172039216378192</v>
          </cell>
          <cell r="AW493">
            <v>2</v>
          </cell>
          <cell r="AX493">
            <v>0.17799999999999999</v>
          </cell>
        </row>
        <row r="494">
          <cell r="Q494">
            <v>488.10328947368475</v>
          </cell>
          <cell r="T494">
            <v>493.10328947368475</v>
          </cell>
          <cell r="AA494">
            <v>77.877260946176591</v>
          </cell>
          <cell r="AD494">
            <v>0.26295706920672585</v>
          </cell>
          <cell r="AW494">
            <v>2</v>
          </cell>
          <cell r="AX494">
            <v>1.6799999999999999E-2</v>
          </cell>
        </row>
        <row r="495">
          <cell r="Q495">
            <v>489.40000000000055</v>
          </cell>
          <cell r="T495">
            <v>494.40000000000055</v>
          </cell>
          <cell r="AA495">
            <v>80.729229361773832</v>
          </cell>
          <cell r="AD495">
            <v>0.30646951176103548</v>
          </cell>
          <cell r="AW495">
            <v>2</v>
          </cell>
          <cell r="AX495">
            <v>2.6100000000000002E-2</v>
          </cell>
        </row>
        <row r="496">
          <cell r="Q496">
            <v>457.57499999999999</v>
          </cell>
          <cell r="T496">
            <v>457.57499999999999</v>
          </cell>
          <cell r="AA496">
            <v>68.134786507553287</v>
          </cell>
          <cell r="AD496">
            <v>0.3084694007607684</v>
          </cell>
          <cell r="AW496">
            <v>0</v>
          </cell>
          <cell r="AX496">
            <v>0</v>
          </cell>
        </row>
        <row r="497">
          <cell r="Q497">
            <v>458.91416666666669</v>
          </cell>
          <cell r="T497">
            <v>458.91416666666669</v>
          </cell>
          <cell r="AA497">
            <v>75.518433831413631</v>
          </cell>
          <cell r="AD497">
            <v>0.2977727551674309</v>
          </cell>
          <cell r="AW497">
            <v>2</v>
          </cell>
          <cell r="AX497">
            <v>1.6500000000000001E-2</v>
          </cell>
        </row>
        <row r="498">
          <cell r="Q498">
            <v>460.25333333333333</v>
          </cell>
          <cell r="T498">
            <v>460.25333333333333</v>
          </cell>
          <cell r="AA498">
            <v>76.669331761264885</v>
          </cell>
          <cell r="AD498">
            <v>0.2179072094525985</v>
          </cell>
          <cell r="AW498">
            <v>0</v>
          </cell>
          <cell r="AX498">
            <v>0</v>
          </cell>
        </row>
        <row r="499">
          <cell r="Q499">
            <v>461.61750000000001</v>
          </cell>
          <cell r="T499">
            <v>461.61750000000001</v>
          </cell>
          <cell r="AA499">
            <v>74.321239728295225</v>
          </cell>
          <cell r="AD499">
            <v>0.26334777674585658</v>
          </cell>
          <cell r="AW499">
            <v>0</v>
          </cell>
          <cell r="AX499">
            <v>3.6700000000000003E-2</v>
          </cell>
        </row>
        <row r="500">
          <cell r="Q500">
            <v>462.93166666666673</v>
          </cell>
          <cell r="T500">
            <v>462.93166666666673</v>
          </cell>
          <cell r="AA500">
            <v>74.472102072701702</v>
          </cell>
          <cell r="AD500">
            <v>0.27544240135280179</v>
          </cell>
          <cell r="AW500">
            <v>2</v>
          </cell>
          <cell r="AX500">
            <v>0.14360000000000001</v>
          </cell>
        </row>
        <row r="501">
          <cell r="Q501">
            <v>464.29583333333335</v>
          </cell>
          <cell r="T501">
            <v>464.29583333333335</v>
          </cell>
          <cell r="AA501">
            <v>73.570690170794251</v>
          </cell>
          <cell r="AD501">
            <v>0.25417806086341116</v>
          </cell>
          <cell r="AW501">
            <v>0</v>
          </cell>
          <cell r="AX501">
            <v>1.15E-2</v>
          </cell>
        </row>
        <row r="502">
          <cell r="Q502">
            <v>465.71000000000004</v>
          </cell>
          <cell r="T502">
            <v>465.71000000000004</v>
          </cell>
          <cell r="AA502">
            <v>73.343890239478995</v>
          </cell>
          <cell r="AD502">
            <v>0.27937650059882657</v>
          </cell>
          <cell r="AW502">
            <v>0</v>
          </cell>
          <cell r="AX502">
            <v>7.1000000000000004E-3</v>
          </cell>
        </row>
        <row r="503">
          <cell r="Q503">
            <v>467.09916666666669</v>
          </cell>
          <cell r="T503">
            <v>467.09916666666669</v>
          </cell>
          <cell r="AA503">
            <v>76.263583632171191</v>
          </cell>
          <cell r="AD503">
            <v>0.27407798626997593</v>
          </cell>
          <cell r="AW503">
            <v>0</v>
          </cell>
          <cell r="AX503">
            <v>0</v>
          </cell>
        </row>
        <row r="504">
          <cell r="Q504">
            <v>468.41333333333336</v>
          </cell>
          <cell r="T504">
            <v>468.41333333333336</v>
          </cell>
          <cell r="AA504">
            <v>75.963931839001972</v>
          </cell>
          <cell r="AD504">
            <v>0.27350347959424387</v>
          </cell>
          <cell r="AW504">
            <v>0</v>
          </cell>
          <cell r="AX504">
            <v>7.4999999999999997E-3</v>
          </cell>
        </row>
        <row r="505">
          <cell r="Q505">
            <v>469.72750000000002</v>
          </cell>
          <cell r="T505">
            <v>469.72750000000002</v>
          </cell>
          <cell r="AA505">
            <v>78.378592016893307</v>
          </cell>
          <cell r="AD505">
            <v>0.2185592371379998</v>
          </cell>
          <cell r="AW505">
            <v>0</v>
          </cell>
          <cell r="AX505">
            <v>0</v>
          </cell>
        </row>
        <row r="506">
          <cell r="Q506">
            <v>471.14166666666665</v>
          </cell>
          <cell r="T506">
            <v>471.14166666666665</v>
          </cell>
          <cell r="AA506">
            <v>74.813299420884718</v>
          </cell>
          <cell r="AD506">
            <v>0.29834970302599834</v>
          </cell>
          <cell r="AW506">
            <v>1</v>
          </cell>
          <cell r="AX506">
            <v>9.1000000000000004E-3</v>
          </cell>
        </row>
        <row r="507">
          <cell r="Q507">
            <v>472.58083333333332</v>
          </cell>
          <cell r="T507">
            <v>472.58083333333332</v>
          </cell>
          <cell r="AA507">
            <v>77.740467022934411</v>
          </cell>
          <cell r="AD507">
            <v>0.26573980587735713</v>
          </cell>
          <cell r="AW507">
            <v>1</v>
          </cell>
          <cell r="AX507">
            <v>0</v>
          </cell>
        </row>
        <row r="508">
          <cell r="Q508">
            <v>473.96500000000003</v>
          </cell>
          <cell r="T508">
            <v>473.96500000000003</v>
          </cell>
          <cell r="AA508">
            <v>74.616936590037369</v>
          </cell>
          <cell r="AD508">
            <v>0.27534974494157571</v>
          </cell>
          <cell r="AW508">
            <v>0</v>
          </cell>
          <cell r="AX508">
            <v>0</v>
          </cell>
        </row>
        <row r="509">
          <cell r="Q509">
            <v>475.24916666666667</v>
          </cell>
          <cell r="T509">
            <v>475.24916666666667</v>
          </cell>
          <cell r="AA509">
            <v>77.201295100338513</v>
          </cell>
          <cell r="AD509">
            <v>0.23276568766218447</v>
          </cell>
          <cell r="AW509">
            <v>0</v>
          </cell>
          <cell r="AX509">
            <v>6.1000000000000004E-3</v>
          </cell>
        </row>
        <row r="510">
          <cell r="Q510">
            <v>476.56333333333333</v>
          </cell>
          <cell r="T510">
            <v>476.56333333333333</v>
          </cell>
          <cell r="AA510">
            <v>76.156075898456194</v>
          </cell>
          <cell r="AD510">
            <v>0.26234364935498972</v>
          </cell>
          <cell r="AW510">
            <v>0</v>
          </cell>
          <cell r="AX510">
            <v>0</v>
          </cell>
        </row>
        <row r="511">
          <cell r="Q511">
            <v>477.92750000000001</v>
          </cell>
          <cell r="T511">
            <v>477.92750000000001</v>
          </cell>
          <cell r="AA511">
            <v>75.979318837809657</v>
          </cell>
          <cell r="AD511">
            <v>0.28359944190720243</v>
          </cell>
          <cell r="AW511">
            <v>2</v>
          </cell>
          <cell r="AX511">
            <v>6.08E-2</v>
          </cell>
        </row>
        <row r="512">
          <cell r="Q512">
            <v>479.26666666666671</v>
          </cell>
          <cell r="T512">
            <v>479.26666666666671</v>
          </cell>
          <cell r="AA512">
            <v>74.977141115513575</v>
          </cell>
          <cell r="AD512">
            <v>0.27593452034747906</v>
          </cell>
          <cell r="AW512">
            <v>0</v>
          </cell>
          <cell r="AX512">
            <v>0</v>
          </cell>
        </row>
        <row r="513">
          <cell r="Q513">
            <v>480.5558333333334</v>
          </cell>
          <cell r="T513">
            <v>480.5558333333334</v>
          </cell>
          <cell r="AA513">
            <v>74.52830368421354</v>
          </cell>
          <cell r="AD513">
            <v>0.25143364262152962</v>
          </cell>
          <cell r="AW513">
            <v>0</v>
          </cell>
          <cell r="AX513">
            <v>0</v>
          </cell>
        </row>
        <row r="514">
          <cell r="Q514">
            <v>481.7700000000001</v>
          </cell>
          <cell r="T514">
            <v>481.7700000000001</v>
          </cell>
          <cell r="AA514">
            <v>74.38061297688246</v>
          </cell>
          <cell r="AD514">
            <v>0.30897249736202181</v>
          </cell>
          <cell r="AW514">
            <v>2</v>
          </cell>
          <cell r="AX514">
            <v>0.13300000000000001</v>
          </cell>
        </row>
        <row r="515">
          <cell r="Q515">
            <v>483.05916666666673</v>
          </cell>
          <cell r="T515">
            <v>483.05916666666673</v>
          </cell>
          <cell r="AA515">
            <v>81.045916627683965</v>
          </cell>
          <cell r="AD515">
            <v>0.21643215639592189</v>
          </cell>
          <cell r="AW515">
            <v>0</v>
          </cell>
          <cell r="AX515">
            <v>0</v>
          </cell>
        </row>
        <row r="516">
          <cell r="Q516">
            <v>484.47333333333336</v>
          </cell>
          <cell r="T516">
            <v>484.47333333333336</v>
          </cell>
          <cell r="AA516">
            <v>81.673362534701482</v>
          </cell>
          <cell r="AD516">
            <v>0.20145235238007325</v>
          </cell>
          <cell r="AW516">
            <v>0</v>
          </cell>
          <cell r="AX516">
            <v>0</v>
          </cell>
        </row>
        <row r="517">
          <cell r="Q517">
            <v>485.96250000000009</v>
          </cell>
          <cell r="T517">
            <v>485.96250000000009</v>
          </cell>
          <cell r="AA517">
            <v>81.233346064465564</v>
          </cell>
          <cell r="AD517">
            <v>0.20812906926593364</v>
          </cell>
          <cell r="AW517">
            <v>0</v>
          </cell>
          <cell r="AX517">
            <v>0</v>
          </cell>
        </row>
        <row r="518">
          <cell r="Q518">
            <v>487.45166666666671</v>
          </cell>
          <cell r="T518">
            <v>487.45166666666671</v>
          </cell>
          <cell r="AA518">
            <v>80.829327797882286</v>
          </cell>
          <cell r="AD518">
            <v>0.2016292351367602</v>
          </cell>
          <cell r="AW518">
            <v>0</v>
          </cell>
          <cell r="AX518">
            <v>0</v>
          </cell>
        </row>
        <row r="519">
          <cell r="Q519">
            <v>488.89083333333338</v>
          </cell>
          <cell r="T519">
            <v>488.89083333333338</v>
          </cell>
          <cell r="AA519">
            <v>80.879257498374315</v>
          </cell>
          <cell r="AD519">
            <v>0.17544159191186245</v>
          </cell>
          <cell r="AW519">
            <v>0</v>
          </cell>
          <cell r="AX519">
            <v>0</v>
          </cell>
        </row>
        <row r="520">
          <cell r="Q520">
            <v>490.23000000000008</v>
          </cell>
          <cell r="T520">
            <v>490.23000000000008</v>
          </cell>
          <cell r="AA520">
            <v>79.98993233790307</v>
          </cell>
          <cell r="AD520">
            <v>0.2587771911722731</v>
          </cell>
          <cell r="AW520">
            <v>0</v>
          </cell>
          <cell r="AX520">
            <v>0</v>
          </cell>
        </row>
        <row r="521">
          <cell r="Q521">
            <v>491.46916666666675</v>
          </cell>
          <cell r="T521">
            <v>491.46916666666675</v>
          </cell>
          <cell r="AA521">
            <v>79.774377987775551</v>
          </cell>
          <cell r="AD521">
            <v>0.22553879792691933</v>
          </cell>
          <cell r="AW521">
            <v>0</v>
          </cell>
          <cell r="AX521">
            <v>0</v>
          </cell>
        </row>
        <row r="522">
          <cell r="Q522">
            <v>492.70833333333343</v>
          </cell>
          <cell r="T522">
            <v>492.70833333333343</v>
          </cell>
          <cell r="AA522">
            <v>77.10997395116739</v>
          </cell>
          <cell r="AD522">
            <v>0.31118618122722863</v>
          </cell>
          <cell r="AW522">
            <v>2</v>
          </cell>
          <cell r="AX522">
            <v>2.3099999999999999E-2</v>
          </cell>
        </row>
        <row r="523">
          <cell r="Q523">
            <v>493.99750000000012</v>
          </cell>
          <cell r="T523">
            <v>493.99750000000012</v>
          </cell>
          <cell r="AA523">
            <v>75.400140957058014</v>
          </cell>
          <cell r="AD523">
            <v>0.30875505586781554</v>
          </cell>
          <cell r="AW523">
            <v>2</v>
          </cell>
          <cell r="AX523">
            <v>0</v>
          </cell>
        </row>
        <row r="524">
          <cell r="Q524">
            <v>495.2866666666668</v>
          </cell>
          <cell r="T524">
            <v>495.2866666666668</v>
          </cell>
          <cell r="AA524">
            <v>76.886446651919343</v>
          </cell>
          <cell r="AD524">
            <v>0.24223910251369557</v>
          </cell>
          <cell r="AW524">
            <v>2</v>
          </cell>
          <cell r="AX524">
            <v>2.8400000000000002E-2</v>
          </cell>
        </row>
        <row r="525">
          <cell r="Q525">
            <v>496.55083333333346</v>
          </cell>
          <cell r="T525">
            <v>496.55083333333346</v>
          </cell>
          <cell r="AA525">
            <v>78.687334236360911</v>
          </cell>
          <cell r="AD525">
            <v>0.2388091553826113</v>
          </cell>
          <cell r="AW525">
            <v>0</v>
          </cell>
          <cell r="AX525">
            <v>5.1999999999999998E-3</v>
          </cell>
        </row>
        <row r="526">
          <cell r="Q526">
            <v>497.86500000000018</v>
          </cell>
          <cell r="T526">
            <v>497.86500000000018</v>
          </cell>
          <cell r="AA526">
            <v>79.835235539308243</v>
          </cell>
          <cell r="AD526">
            <v>0.24328029237988996</v>
          </cell>
          <cell r="AW526">
            <v>0</v>
          </cell>
          <cell r="AX526">
            <v>6.0000000000000001E-3</v>
          </cell>
        </row>
        <row r="527">
          <cell r="Q527">
            <v>499.15416666666687</v>
          </cell>
          <cell r="T527">
            <v>499.15416666666687</v>
          </cell>
          <cell r="AA527">
            <v>72.945373021017332</v>
          </cell>
          <cell r="AD527">
            <v>0.40887765348286259</v>
          </cell>
          <cell r="AW527">
            <v>2</v>
          </cell>
          <cell r="AX527">
            <v>6.2300000000000001E-2</v>
          </cell>
        </row>
        <row r="528">
          <cell r="Q528">
            <v>500.44333333333356</v>
          </cell>
          <cell r="T528">
            <v>500.44333333333356</v>
          </cell>
          <cell r="AA528">
            <v>74.380610670933265</v>
          </cell>
          <cell r="AD528">
            <v>0.31221538345904709</v>
          </cell>
          <cell r="AW528">
            <v>2</v>
          </cell>
          <cell r="AX528">
            <v>0.2281</v>
          </cell>
        </row>
        <row r="529">
          <cell r="Q529">
            <v>501.75750000000028</v>
          </cell>
          <cell r="T529">
            <v>501.75750000000028</v>
          </cell>
          <cell r="AA529">
            <v>76.60863472052641</v>
          </cell>
          <cell r="AD529">
            <v>0.26596959307234957</v>
          </cell>
          <cell r="AW529">
            <v>2</v>
          </cell>
          <cell r="AX529">
            <v>0</v>
          </cell>
        </row>
        <row r="530">
          <cell r="Q530">
            <v>503.07166666666694</v>
          </cell>
          <cell r="T530">
            <v>503.07166666666694</v>
          </cell>
          <cell r="AA530">
            <v>78.403648255697732</v>
          </cell>
          <cell r="AD530">
            <v>0.26448009458832189</v>
          </cell>
          <cell r="AW530">
            <v>0</v>
          </cell>
          <cell r="AX530">
            <v>0</v>
          </cell>
        </row>
        <row r="531">
          <cell r="Q531">
            <v>504.46083333333365</v>
          </cell>
          <cell r="T531">
            <v>504.46083333333365</v>
          </cell>
          <cell r="AA531">
            <v>81.747631497957968</v>
          </cell>
          <cell r="AD531">
            <v>0.16120943194312817</v>
          </cell>
          <cell r="AW531">
            <v>0</v>
          </cell>
          <cell r="AX531">
            <v>0</v>
          </cell>
        </row>
        <row r="532">
          <cell r="Q532">
            <v>506.15000000000032</v>
          </cell>
          <cell r="T532">
            <v>506.15000000000032</v>
          </cell>
          <cell r="AA532">
            <v>81.920756392509205</v>
          </cell>
          <cell r="AD532">
            <v>0.21462886359997491</v>
          </cell>
          <cell r="AW532">
            <v>0</v>
          </cell>
          <cell r="AX532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7CDE-3BE5-8348-94BA-6A7570A917DC}">
  <sheetPr>
    <pageSetUpPr fitToPage="1"/>
  </sheetPr>
  <dimension ref="A1:BN1305"/>
  <sheetViews>
    <sheetView tabSelected="1" zoomScale="60" zoomScaleNormal="60" workbookViewId="0">
      <pane ySplit="1" topLeftCell="A1103" activePane="bottomLeft" state="frozen"/>
      <selection pane="bottomLeft" activeCell="A1122" sqref="A1122:AS1305"/>
    </sheetView>
  </sheetViews>
  <sheetFormatPr baseColWidth="10" defaultColWidth="10.83203125" defaultRowHeight="16" x14ac:dyDescent="0.2"/>
  <cols>
    <col min="1" max="3" width="10.83203125" style="17"/>
    <col min="4" max="4" width="12" style="17" bestFit="1" customWidth="1"/>
    <col min="5" max="5" width="10.83203125" style="17"/>
    <col min="6" max="6" width="10.83203125" style="19" customWidth="1"/>
    <col min="7" max="10" width="10.83203125" style="17" customWidth="1"/>
    <col min="11" max="11" width="10.83203125" style="53" customWidth="1"/>
    <col min="12" max="23" width="10.83203125" style="17" customWidth="1"/>
    <col min="24" max="26" width="10.83203125" style="23" customWidth="1"/>
    <col min="27" max="30" width="10.83203125" style="22" customWidth="1"/>
    <col min="31" max="31" width="10.83203125" style="47" customWidth="1"/>
    <col min="32" max="32" width="10.83203125" style="48" customWidth="1"/>
    <col min="33" max="33" width="10.83203125" style="25" customWidth="1"/>
    <col min="34" max="34" width="10.83203125" style="48" customWidth="1"/>
    <col min="35" max="35" width="10.83203125" style="25" customWidth="1"/>
    <col min="36" max="36" width="10.83203125" style="48" customWidth="1"/>
    <col min="37" max="38" width="10.83203125" style="25" customWidth="1"/>
    <col min="39" max="48" width="10.83203125" style="48" customWidth="1"/>
    <col min="49" max="49" width="10.83203125" style="49" customWidth="1"/>
    <col min="50" max="50" width="10.83203125" style="25" customWidth="1"/>
    <col min="51" max="52" width="10.83203125" style="17" customWidth="1"/>
    <col min="53" max="53" width="22.5" style="17" bestFit="1" customWidth="1"/>
    <col min="54" max="54" width="14.5" style="27" bestFit="1" customWidth="1"/>
    <col min="55" max="16384" width="10.83203125" style="17"/>
  </cols>
  <sheetData>
    <row r="1" spans="1:54" s="44" customFormat="1" ht="34" x14ac:dyDescent="0.2">
      <c r="A1" s="17" t="s">
        <v>0</v>
      </c>
      <c r="B1" s="17" t="s">
        <v>1</v>
      </c>
      <c r="C1" s="17" t="s">
        <v>2</v>
      </c>
      <c r="D1" s="17" t="s">
        <v>66</v>
      </c>
      <c r="E1" s="38" t="s">
        <v>3</v>
      </c>
      <c r="F1" s="38" t="s">
        <v>4</v>
      </c>
      <c r="G1" s="17" t="s">
        <v>5</v>
      </c>
      <c r="H1" s="17" t="s">
        <v>6</v>
      </c>
      <c r="I1" s="27" t="s">
        <v>7</v>
      </c>
      <c r="J1" s="26" t="s">
        <v>8</v>
      </c>
      <c r="K1" s="53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27" t="s">
        <v>20</v>
      </c>
      <c r="W1" s="27" t="s">
        <v>21</v>
      </c>
      <c r="X1" s="39" t="s">
        <v>22</v>
      </c>
      <c r="Y1" s="39" t="s">
        <v>23</v>
      </c>
      <c r="Z1" s="40" t="s">
        <v>67</v>
      </c>
      <c r="AA1" s="41" t="s">
        <v>27</v>
      </c>
      <c r="AB1" s="26" t="s">
        <v>26</v>
      </c>
      <c r="AC1" s="26" t="s">
        <v>68</v>
      </c>
      <c r="AD1" s="26" t="s">
        <v>69</v>
      </c>
      <c r="AE1" s="42" t="s">
        <v>105</v>
      </c>
      <c r="AF1" s="42" t="s">
        <v>104</v>
      </c>
      <c r="AG1" s="42" t="s">
        <v>106</v>
      </c>
      <c r="AH1" s="43" t="s">
        <v>107</v>
      </c>
      <c r="AI1" s="43" t="s">
        <v>28</v>
      </c>
      <c r="AJ1" s="43" t="s">
        <v>29</v>
      </c>
      <c r="AK1" s="64" t="s">
        <v>30</v>
      </c>
      <c r="AL1" s="43" t="s">
        <v>108</v>
      </c>
      <c r="AM1" s="43" t="s">
        <v>109</v>
      </c>
    </row>
    <row r="2" spans="1:54" ht="17" x14ac:dyDescent="0.2">
      <c r="A2" s="17" t="s">
        <v>41</v>
      </c>
      <c r="B2" s="18" t="s">
        <v>42</v>
      </c>
      <c r="C2" s="18" t="str">
        <f>B2&amp;"."&amp;E2</f>
        <v>BI10.1</v>
      </c>
      <c r="D2" s="18" t="str">
        <f>C2&amp;"_"&amp;F2</f>
        <v>BI10.1_1</v>
      </c>
      <c r="E2" s="17">
        <v>1</v>
      </c>
      <c r="F2" s="19">
        <v>1</v>
      </c>
      <c r="G2" s="20">
        <v>2.2999999999999998</v>
      </c>
      <c r="H2" s="20">
        <v>2</v>
      </c>
      <c r="I2" s="20">
        <v>1.1000000000000001</v>
      </c>
      <c r="J2" s="20">
        <f t="shared" ref="J2:J65" si="0">(AVERAGE(G2:H2)*(AVERAGE(G2:H2)*3.14/4*I2))</f>
        <v>3.9915287500000001</v>
      </c>
      <c r="K2" s="53">
        <v>0.20555555555555532</v>
      </c>
      <c r="L2" s="45">
        <v>0</v>
      </c>
      <c r="M2" s="45">
        <f>L2+I2</f>
        <v>1.1000000000000001</v>
      </c>
      <c r="N2" s="46">
        <f>L2+((M2-L2)/2)</f>
        <v>0.55000000000000004</v>
      </c>
      <c r="O2" s="45">
        <v>0</v>
      </c>
      <c r="P2" s="45">
        <f>O2+I2</f>
        <v>1.1000000000000001</v>
      </c>
      <c r="Q2" s="46">
        <f>O2+((P2-O2)/2)</f>
        <v>0.55000000000000004</v>
      </c>
      <c r="R2" s="20">
        <f>O2</f>
        <v>0</v>
      </c>
      <c r="S2" s="20">
        <f>Q2</f>
        <v>0.55000000000000004</v>
      </c>
      <c r="T2" s="20">
        <f>Q2</f>
        <v>0.55000000000000004</v>
      </c>
      <c r="U2" s="20">
        <v>0.55000000000000004</v>
      </c>
      <c r="V2" s="22">
        <v>4.5571000000000002</v>
      </c>
      <c r="W2" s="22">
        <v>1.5743</v>
      </c>
      <c r="X2" s="23">
        <v>1.1476266666666668</v>
      </c>
      <c r="Y2" s="23">
        <f>V2-X2</f>
        <v>3.4094733333333336</v>
      </c>
      <c r="Z2" s="23">
        <f>W2-X2</f>
        <v>0.42667333333333324</v>
      </c>
      <c r="AA2" s="22">
        <f>((Y2-Z2)/Y2)*100</f>
        <v>87.485652720557042</v>
      </c>
      <c r="AB2" s="22">
        <f>100-AA2</f>
        <v>12.514347279442958</v>
      </c>
      <c r="AC2" s="22">
        <f>(V2-X2)/J2</f>
        <v>0.85417732074041397</v>
      </c>
      <c r="AD2" s="22">
        <f>(W2-X2)/J2</f>
        <v>0.10689471629969675</v>
      </c>
      <c r="AE2" s="24">
        <v>6.0132000000000003</v>
      </c>
      <c r="AF2" s="24">
        <v>6.1551</v>
      </c>
      <c r="AG2" s="24">
        <v>6.0266000000000002</v>
      </c>
      <c r="AH2" s="25">
        <f>AG2-AE2</f>
        <v>1.3399999999999856E-2</v>
      </c>
      <c r="AI2" s="25">
        <v>90.556730091613886</v>
      </c>
      <c r="AJ2" s="26">
        <v>4.5278365045806943</v>
      </c>
      <c r="AK2" s="63" t="s">
        <v>31</v>
      </c>
      <c r="AL2" s="26">
        <v>4.5287308831739512</v>
      </c>
      <c r="AM2" s="17">
        <f>1/1.73</f>
        <v>0.5780346820809249</v>
      </c>
      <c r="AN2" s="28" t="s">
        <v>43</v>
      </c>
      <c r="AO2" s="27">
        <v>50</v>
      </c>
      <c r="AP2" s="17"/>
      <c r="AQ2" s="17"/>
      <c r="AR2" s="17"/>
      <c r="AS2" s="17"/>
      <c r="AT2" s="17"/>
      <c r="AU2" s="17"/>
      <c r="AV2" s="17"/>
      <c r="AW2" s="17"/>
      <c r="AX2" s="17"/>
      <c r="BB2" s="17"/>
    </row>
    <row r="3" spans="1:54" x14ac:dyDescent="0.2">
      <c r="A3" s="17" t="s">
        <v>41</v>
      </c>
      <c r="B3" s="18" t="s">
        <v>42</v>
      </c>
      <c r="C3" s="18" t="str">
        <f t="shared" ref="C3:C66" si="1">B3&amp;"."&amp;E3</f>
        <v>BI10.1</v>
      </c>
      <c r="D3" s="18" t="str">
        <f t="shared" ref="D3:D66" si="2">C3&amp;"_"&amp;F3</f>
        <v>BI10.1_2</v>
      </c>
      <c r="E3" s="17">
        <v>1</v>
      </c>
      <c r="F3" s="19">
        <v>2</v>
      </c>
      <c r="G3" s="20">
        <v>2</v>
      </c>
      <c r="H3" s="20">
        <v>2.4500000000000002</v>
      </c>
      <c r="I3" s="20">
        <v>1.1000000000000001</v>
      </c>
      <c r="J3" s="20">
        <f t="shared" si="0"/>
        <v>4.2748646875000009</v>
      </c>
      <c r="K3" s="53">
        <v>0.20555555555555532</v>
      </c>
      <c r="L3" s="45">
        <f>M2+K3</f>
        <v>1.3055555555555554</v>
      </c>
      <c r="M3" s="45">
        <f>L3+I3</f>
        <v>2.4055555555555554</v>
      </c>
      <c r="N3" s="46">
        <f>L3+((M3-L3)/2)</f>
        <v>1.8555555555555554</v>
      </c>
      <c r="O3" s="20">
        <f>P2+K3</f>
        <v>1.3055555555555554</v>
      </c>
      <c r="P3" s="20">
        <f>O3+I3</f>
        <v>2.4055555555555554</v>
      </c>
      <c r="Q3" s="20">
        <f>O3+((P3-O3)/2)</f>
        <v>1.8555555555555554</v>
      </c>
      <c r="R3" s="20">
        <f t="shared" ref="R3:R42" si="3">O3</f>
        <v>1.3055555555555554</v>
      </c>
      <c r="S3" s="20">
        <f t="shared" ref="S3:S42" si="4">Q3</f>
        <v>1.8555555555555554</v>
      </c>
      <c r="T3" s="20">
        <f t="shared" ref="T3:T42" si="5">Q3</f>
        <v>1.8555555555555554</v>
      </c>
      <c r="U3" s="20">
        <v>1.8555555555555554</v>
      </c>
      <c r="V3" s="22">
        <v>5.6410999999999998</v>
      </c>
      <c r="W3" s="22">
        <v>1.6565000000000001</v>
      </c>
      <c r="X3" s="23">
        <v>1.1476266666666668</v>
      </c>
      <c r="Y3" s="23">
        <f t="shared" ref="Y3:Y66" si="6">V3-X3</f>
        <v>4.4934733333333332</v>
      </c>
      <c r="Z3" s="23">
        <f t="shared" ref="Z3:Z66" si="7">W3-X3</f>
        <v>0.50887333333333329</v>
      </c>
      <c r="AA3" s="22">
        <f t="shared" ref="AA3:AA66" si="8">((Y3-Z3)/Y3)*100</f>
        <v>88.675278663424436</v>
      </c>
      <c r="AB3" s="22">
        <f t="shared" ref="AB3:AB66" si="9">100-AA3</f>
        <v>11.324721336575564</v>
      </c>
      <c r="AC3" s="22">
        <f t="shared" ref="AC3:AC66" si="10">(V3-X3)/J3</f>
        <v>1.0511381439680556</v>
      </c>
      <c r="AD3" s="22">
        <f t="shared" ref="AD3:AD66" si="11">(W3-X3)/J3</f>
        <v>0.11903846566683479</v>
      </c>
      <c r="AE3" s="24">
        <v>4.7835999999999999</v>
      </c>
      <c r="AF3" s="24">
        <v>5.0388000000000002</v>
      </c>
      <c r="AG3" s="24">
        <v>4.8056000000000001</v>
      </c>
      <c r="AH3" s="25">
        <f>AG3-AE3</f>
        <v>2.2000000000000242E-2</v>
      </c>
      <c r="AI3" s="25">
        <v>91.379310344827502</v>
      </c>
      <c r="AJ3" s="26">
        <v>4.5689655172413755</v>
      </c>
      <c r="AK3" s="25">
        <v>45.689655172413751</v>
      </c>
      <c r="AL3" s="26">
        <v>4.5698518463666575</v>
      </c>
      <c r="AM3" s="17">
        <f t="shared" ref="AM3:AM66" si="12">1/1.73</f>
        <v>0.5780346820809249</v>
      </c>
      <c r="AN3" s="28" t="s">
        <v>44</v>
      </c>
      <c r="AO3" s="27" t="s">
        <v>45</v>
      </c>
      <c r="AP3" s="17"/>
      <c r="AQ3" s="17"/>
      <c r="AR3" s="17"/>
      <c r="AS3" s="17"/>
      <c r="AT3" s="17"/>
      <c r="AU3" s="17"/>
      <c r="AV3" s="17"/>
      <c r="AW3" s="17"/>
      <c r="AX3" s="17"/>
      <c r="BB3" s="17"/>
    </row>
    <row r="4" spans="1:54" x14ac:dyDescent="0.2">
      <c r="A4" s="17" t="s">
        <v>41</v>
      </c>
      <c r="B4" s="18" t="s">
        <v>42</v>
      </c>
      <c r="C4" s="18" t="str">
        <f t="shared" si="1"/>
        <v>BI10.1</v>
      </c>
      <c r="D4" s="18" t="str">
        <f t="shared" si="2"/>
        <v>BI10.1_3</v>
      </c>
      <c r="E4" s="17">
        <v>1</v>
      </c>
      <c r="F4" s="19">
        <v>3</v>
      </c>
      <c r="G4" s="20">
        <v>2.65</v>
      </c>
      <c r="H4" s="20">
        <v>2.4</v>
      </c>
      <c r="I4" s="20">
        <v>1.1000000000000001</v>
      </c>
      <c r="J4" s="20">
        <f t="shared" si="0"/>
        <v>5.5053521875000007</v>
      </c>
      <c r="K4" s="53">
        <v>0.20555555555555532</v>
      </c>
      <c r="L4" s="45">
        <f t="shared" ref="L4:L42" si="13">M3+K4</f>
        <v>2.6111111111111107</v>
      </c>
      <c r="M4" s="45">
        <f t="shared" ref="M4:M42" si="14">L4+I4</f>
        <v>3.7111111111111108</v>
      </c>
      <c r="N4" s="46">
        <f t="shared" ref="N4:N42" si="15">L4+((M4-L4)/2)</f>
        <v>3.1611111111111105</v>
      </c>
      <c r="O4" s="20">
        <f t="shared" ref="O4:O42" si="16">P3+K4</f>
        <v>2.6111111111111107</v>
      </c>
      <c r="P4" s="20">
        <f t="shared" ref="P4:P42" si="17">O4+I4</f>
        <v>3.7111111111111108</v>
      </c>
      <c r="Q4" s="20">
        <f t="shared" ref="Q4:Q67" si="18">O4+((P4-O4)/2)</f>
        <v>3.1611111111111105</v>
      </c>
      <c r="R4" s="20">
        <f t="shared" si="3"/>
        <v>2.6111111111111107</v>
      </c>
      <c r="S4" s="20">
        <f t="shared" si="4"/>
        <v>3.1611111111111105</v>
      </c>
      <c r="T4" s="20">
        <f t="shared" si="5"/>
        <v>3.1611111111111105</v>
      </c>
      <c r="U4" s="20">
        <v>3.1611111111111105</v>
      </c>
      <c r="V4" s="22">
        <v>6.9157000000000002</v>
      </c>
      <c r="W4" s="22">
        <v>1.7762</v>
      </c>
      <c r="X4" s="23">
        <v>1.1476266666666668</v>
      </c>
      <c r="Y4" s="23">
        <f t="shared" si="6"/>
        <v>5.7680733333333336</v>
      </c>
      <c r="Z4" s="23">
        <f t="shared" si="7"/>
        <v>0.62857333333333321</v>
      </c>
      <c r="AA4" s="22">
        <f t="shared" si="8"/>
        <v>89.102542616772084</v>
      </c>
      <c r="AB4" s="22">
        <f t="shared" si="9"/>
        <v>10.897457383227916</v>
      </c>
      <c r="AC4" s="22">
        <f t="shared" si="10"/>
        <v>1.0477210425211025</v>
      </c>
      <c r="AD4" s="22">
        <f t="shared" si="11"/>
        <v>0.11417495410384826</v>
      </c>
      <c r="AE4" s="24">
        <v>5.5643000000000002</v>
      </c>
      <c r="AF4" s="24">
        <v>5.7023999999999999</v>
      </c>
      <c r="AG4" s="24">
        <v>5.5808999999999997</v>
      </c>
      <c r="AH4" s="25">
        <f>AG4-AE4</f>
        <v>1.6599999999999504E-2</v>
      </c>
      <c r="AI4" s="25">
        <v>87.979724837074912</v>
      </c>
      <c r="AJ4" s="26">
        <v>4.3989862418537458</v>
      </c>
      <c r="AK4" s="25">
        <v>43.989862418537456</v>
      </c>
      <c r="AL4" s="26">
        <v>4.399906812197111</v>
      </c>
      <c r="AM4" s="17">
        <f t="shared" si="12"/>
        <v>0.5780346820809249</v>
      </c>
      <c r="AN4" s="28" t="s">
        <v>46</v>
      </c>
      <c r="AO4" s="29">
        <f>SUM(I2:I42)</f>
        <v>42.600000000000009</v>
      </c>
      <c r="AP4" s="17"/>
      <c r="AQ4" s="17"/>
      <c r="AR4" s="17"/>
      <c r="AS4" s="17"/>
      <c r="AT4" s="17"/>
      <c r="AU4" s="17"/>
      <c r="AV4" s="17"/>
      <c r="AW4" s="17"/>
      <c r="AX4" s="17"/>
      <c r="BB4" s="17"/>
    </row>
    <row r="5" spans="1:54" x14ac:dyDescent="0.2">
      <c r="A5" s="17" t="s">
        <v>41</v>
      </c>
      <c r="B5" s="18" t="s">
        <v>42</v>
      </c>
      <c r="C5" s="18" t="str">
        <f t="shared" si="1"/>
        <v>BI10.1</v>
      </c>
      <c r="D5" s="18" t="str">
        <f t="shared" si="2"/>
        <v>BI10.1_4</v>
      </c>
      <c r="E5" s="17">
        <v>1</v>
      </c>
      <c r="F5" s="19">
        <v>4</v>
      </c>
      <c r="G5" s="20">
        <v>1.8</v>
      </c>
      <c r="H5" s="20">
        <v>2.35</v>
      </c>
      <c r="I5" s="20">
        <v>1.1000000000000001</v>
      </c>
      <c r="J5" s="20">
        <f t="shared" si="0"/>
        <v>3.7179071875000012</v>
      </c>
      <c r="K5" s="53">
        <v>0.20555555555555532</v>
      </c>
      <c r="L5" s="45">
        <f t="shared" si="13"/>
        <v>3.9166666666666661</v>
      </c>
      <c r="M5" s="45">
        <f t="shared" si="14"/>
        <v>5.0166666666666657</v>
      </c>
      <c r="N5" s="46">
        <f t="shared" si="15"/>
        <v>4.4666666666666659</v>
      </c>
      <c r="O5" s="20">
        <f t="shared" si="16"/>
        <v>3.9166666666666661</v>
      </c>
      <c r="P5" s="20">
        <f t="shared" si="17"/>
        <v>5.0166666666666657</v>
      </c>
      <c r="Q5" s="20">
        <f t="shared" si="18"/>
        <v>4.4666666666666659</v>
      </c>
      <c r="R5" s="20">
        <f t="shared" si="3"/>
        <v>3.9166666666666661</v>
      </c>
      <c r="S5" s="20">
        <f t="shared" si="4"/>
        <v>4.4666666666666659</v>
      </c>
      <c r="T5" s="20">
        <f t="shared" si="5"/>
        <v>4.4666666666666659</v>
      </c>
      <c r="U5" s="20">
        <v>4.4666666666666659</v>
      </c>
      <c r="V5" s="22">
        <v>7.3775000000000004</v>
      </c>
      <c r="W5" s="22">
        <v>1.8008999999999999</v>
      </c>
      <c r="X5" s="23">
        <v>1.1476266666666668</v>
      </c>
      <c r="Y5" s="23">
        <f t="shared" si="6"/>
        <v>6.2298733333333338</v>
      </c>
      <c r="Z5" s="23">
        <f t="shared" si="7"/>
        <v>0.65327333333333315</v>
      </c>
      <c r="AA5" s="22">
        <f t="shared" si="8"/>
        <v>89.513858494715265</v>
      </c>
      <c r="AB5" s="22">
        <f t="shared" si="9"/>
        <v>10.486141505284735</v>
      </c>
      <c r="AC5" s="22">
        <f t="shared" si="10"/>
        <v>1.6756398207784287</v>
      </c>
      <c r="AD5" s="22">
        <f t="shared" si="11"/>
        <v>0.17570996272572578</v>
      </c>
      <c r="AE5" s="24">
        <v>5.0152000000000001</v>
      </c>
      <c r="AF5" s="24">
        <v>5.2637999999999998</v>
      </c>
      <c r="AG5" s="24">
        <v>5.0392999999999999</v>
      </c>
      <c r="AH5" s="25">
        <f>AG5-AE5</f>
        <v>2.4099999999999788E-2</v>
      </c>
      <c r="AI5" s="25">
        <v>90.305711987127992</v>
      </c>
      <c r="AJ5" s="26">
        <v>4.5152855993563996</v>
      </c>
      <c r="AK5" s="25">
        <v>45.152855993563996</v>
      </c>
      <c r="AL5" s="26">
        <v>4.5161824635144319</v>
      </c>
      <c r="AM5" s="17">
        <f t="shared" si="12"/>
        <v>0.5780346820809249</v>
      </c>
      <c r="AN5" s="28" t="s">
        <v>47</v>
      </c>
      <c r="AO5" s="29">
        <f>AO2-AO4</f>
        <v>7.3999999999999915</v>
      </c>
      <c r="AP5" s="17"/>
      <c r="AQ5" s="17"/>
      <c r="AR5" s="17"/>
      <c r="AS5" s="17"/>
      <c r="AT5" s="17"/>
      <c r="AU5" s="17"/>
      <c r="AV5" s="17"/>
      <c r="AW5" s="17"/>
      <c r="AX5" s="17"/>
      <c r="BB5" s="17"/>
    </row>
    <row r="6" spans="1:54" x14ac:dyDescent="0.2">
      <c r="A6" s="17" t="s">
        <v>41</v>
      </c>
      <c r="B6" s="18" t="s">
        <v>42</v>
      </c>
      <c r="C6" s="18" t="str">
        <f t="shared" si="1"/>
        <v>BI10.1</v>
      </c>
      <c r="D6" s="18" t="str">
        <f t="shared" si="2"/>
        <v>BI10.1_5</v>
      </c>
      <c r="E6" s="17">
        <v>1</v>
      </c>
      <c r="F6" s="19">
        <v>5</v>
      </c>
      <c r="G6" s="20">
        <v>2.2000000000000002</v>
      </c>
      <c r="H6" s="20">
        <v>2.7</v>
      </c>
      <c r="I6" s="20">
        <v>1.1000000000000001</v>
      </c>
      <c r="J6" s="20">
        <f t="shared" si="0"/>
        <v>5.1831587500000005</v>
      </c>
      <c r="K6" s="53">
        <v>0.20555555555555532</v>
      </c>
      <c r="L6" s="45">
        <f t="shared" si="13"/>
        <v>5.2222222222222214</v>
      </c>
      <c r="M6" s="45">
        <f t="shared" si="14"/>
        <v>6.3222222222222211</v>
      </c>
      <c r="N6" s="46">
        <f t="shared" si="15"/>
        <v>5.7722222222222213</v>
      </c>
      <c r="O6" s="20">
        <f t="shared" si="16"/>
        <v>5.2222222222222214</v>
      </c>
      <c r="P6" s="20">
        <f t="shared" si="17"/>
        <v>6.3222222222222211</v>
      </c>
      <c r="Q6" s="20">
        <f t="shared" si="18"/>
        <v>5.7722222222222213</v>
      </c>
      <c r="R6" s="20">
        <f t="shared" si="3"/>
        <v>5.2222222222222214</v>
      </c>
      <c r="S6" s="20">
        <f t="shared" si="4"/>
        <v>5.7722222222222213</v>
      </c>
      <c r="T6" s="20">
        <f t="shared" si="5"/>
        <v>5.7722222222222213</v>
      </c>
      <c r="U6" s="20">
        <v>5.7722222222222213</v>
      </c>
      <c r="V6" s="22">
        <v>5.7076000000000002</v>
      </c>
      <c r="W6" s="22">
        <v>1.5954999999999999</v>
      </c>
      <c r="X6" s="23">
        <v>1.1476266666666668</v>
      </c>
      <c r="Y6" s="23">
        <f t="shared" si="6"/>
        <v>4.5599733333333337</v>
      </c>
      <c r="Z6" s="23">
        <f t="shared" si="7"/>
        <v>0.44787333333333312</v>
      </c>
      <c r="AA6" s="22">
        <f t="shared" si="8"/>
        <v>90.178158936601989</v>
      </c>
      <c r="AB6" s="22">
        <f t="shared" si="9"/>
        <v>9.8218410633980113</v>
      </c>
      <c r="AC6" s="22">
        <f t="shared" si="10"/>
        <v>0.87976725261083955</v>
      </c>
      <c r="AD6" s="22">
        <f t="shared" si="11"/>
        <v>8.6409341279260074E-2</v>
      </c>
      <c r="AE6" s="24">
        <v>5.5797999999999996</v>
      </c>
      <c r="AF6" s="24">
        <v>5.8993000000000002</v>
      </c>
      <c r="AG6" s="24">
        <v>5.6013000000000002</v>
      </c>
      <c r="AH6" s="25">
        <f>AG6-AE6</f>
        <v>2.1500000000000519E-2</v>
      </c>
      <c r="AI6" s="25">
        <v>93.270735524256494</v>
      </c>
      <c r="AJ6" s="26">
        <v>4.6635367762128253</v>
      </c>
      <c r="AK6" s="25">
        <v>46.635367762128247</v>
      </c>
      <c r="AL6" s="26">
        <v>4.6644051349651772</v>
      </c>
      <c r="AM6" s="17">
        <f t="shared" si="12"/>
        <v>0.5780346820809249</v>
      </c>
      <c r="AN6" s="28" t="s">
        <v>48</v>
      </c>
      <c r="AO6" s="27">
        <v>36</v>
      </c>
      <c r="AP6" s="17"/>
      <c r="AQ6" s="17"/>
      <c r="AR6" s="17"/>
      <c r="AS6" s="17"/>
      <c r="AT6" s="17"/>
      <c r="AU6" s="17"/>
      <c r="AV6" s="17"/>
      <c r="AW6" s="17"/>
      <c r="AX6" s="17"/>
      <c r="BB6" s="17"/>
    </row>
    <row r="7" spans="1:54" x14ac:dyDescent="0.2">
      <c r="A7" s="17" t="s">
        <v>41</v>
      </c>
      <c r="B7" s="18" t="s">
        <v>42</v>
      </c>
      <c r="C7" s="18" t="str">
        <f t="shared" si="1"/>
        <v>BI10.1</v>
      </c>
      <c r="D7" s="18" t="str">
        <f t="shared" si="2"/>
        <v>BI10.1_6</v>
      </c>
      <c r="E7" s="17">
        <v>1</v>
      </c>
      <c r="F7" s="19">
        <v>6</v>
      </c>
      <c r="G7" s="20">
        <v>2.4</v>
      </c>
      <c r="H7" s="20">
        <v>2.7</v>
      </c>
      <c r="I7" s="20">
        <v>1.1000000000000001</v>
      </c>
      <c r="J7" s="20">
        <f t="shared" si="0"/>
        <v>5.6149087499999997</v>
      </c>
      <c r="K7" s="53">
        <v>0.20555555555555532</v>
      </c>
      <c r="L7" s="45">
        <f t="shared" si="13"/>
        <v>6.5277777777777768</v>
      </c>
      <c r="M7" s="45">
        <f t="shared" si="14"/>
        <v>7.6277777777777764</v>
      </c>
      <c r="N7" s="46">
        <f t="shared" si="15"/>
        <v>7.0777777777777766</v>
      </c>
      <c r="O7" s="20">
        <f t="shared" si="16"/>
        <v>6.5277777777777768</v>
      </c>
      <c r="P7" s="20">
        <f t="shared" si="17"/>
        <v>7.6277777777777764</v>
      </c>
      <c r="Q7" s="20">
        <f t="shared" si="18"/>
        <v>7.0777777777777766</v>
      </c>
      <c r="R7" s="20">
        <f t="shared" si="3"/>
        <v>6.5277777777777768</v>
      </c>
      <c r="S7" s="20">
        <f t="shared" si="4"/>
        <v>7.0777777777777766</v>
      </c>
      <c r="T7" s="20">
        <f t="shared" si="5"/>
        <v>7.0777777777777766</v>
      </c>
      <c r="U7" s="20">
        <v>7.0777777777777766</v>
      </c>
      <c r="V7" s="22">
        <v>6.6115000000000004</v>
      </c>
      <c r="W7" s="22">
        <v>1.7121999999999999</v>
      </c>
      <c r="X7" s="23">
        <v>1.1476266666666668</v>
      </c>
      <c r="Y7" s="23">
        <f t="shared" si="6"/>
        <v>5.4638733333333338</v>
      </c>
      <c r="Z7" s="23">
        <f t="shared" si="7"/>
        <v>0.56457333333333315</v>
      </c>
      <c r="AA7" s="22">
        <f t="shared" si="8"/>
        <v>89.667159194759279</v>
      </c>
      <c r="AB7" s="22">
        <f t="shared" si="9"/>
        <v>10.332840805240721</v>
      </c>
      <c r="AC7" s="22">
        <f t="shared" si="10"/>
        <v>0.97310100245766851</v>
      </c>
      <c r="AD7" s="22">
        <f t="shared" si="11"/>
        <v>0.10054897745815249</v>
      </c>
      <c r="AE7" s="24">
        <v>5.3776999999999999</v>
      </c>
      <c r="AF7" s="24">
        <v>5.5510000000000002</v>
      </c>
      <c r="AG7" s="24">
        <v>5.39</v>
      </c>
      <c r="AH7" s="25">
        <f>AG7-AE7</f>
        <v>1.2299999999999756E-2</v>
      </c>
      <c r="AI7" s="25">
        <v>92.902481246393691</v>
      </c>
      <c r="AJ7" s="26">
        <v>4.6451240623196846</v>
      </c>
      <c r="AK7" s="25">
        <v>46.451240623196846</v>
      </c>
      <c r="AL7" s="26">
        <v>4.645995862497224</v>
      </c>
      <c r="AM7" s="17">
        <f t="shared" si="12"/>
        <v>0.5780346820809249</v>
      </c>
      <c r="AN7" s="28" t="s">
        <v>49</v>
      </c>
      <c r="AO7" s="30">
        <f>AO5/AO6</f>
        <v>0.20555555555555532</v>
      </c>
      <c r="AP7" s="17"/>
      <c r="AQ7" s="17"/>
      <c r="AR7" s="17"/>
      <c r="AS7" s="17"/>
      <c r="AT7" s="17"/>
      <c r="AU7" s="17"/>
      <c r="AV7" s="17"/>
      <c r="AW7" s="17"/>
      <c r="AX7" s="17"/>
      <c r="BB7" s="17"/>
    </row>
    <row r="8" spans="1:54" x14ac:dyDescent="0.2">
      <c r="A8" s="17" t="s">
        <v>41</v>
      </c>
      <c r="B8" s="18" t="s">
        <v>42</v>
      </c>
      <c r="C8" s="18" t="str">
        <f t="shared" si="1"/>
        <v>BI10.1</v>
      </c>
      <c r="D8" s="18" t="str">
        <f t="shared" si="2"/>
        <v>BI10.1_7</v>
      </c>
      <c r="E8" s="17">
        <v>1</v>
      </c>
      <c r="F8" s="19">
        <v>7</v>
      </c>
      <c r="G8" s="20">
        <v>2.8</v>
      </c>
      <c r="H8" s="20">
        <v>2.2000000000000002</v>
      </c>
      <c r="I8" s="20">
        <v>1.1000000000000001</v>
      </c>
      <c r="J8" s="20">
        <f t="shared" si="0"/>
        <v>5.3968750000000014</v>
      </c>
      <c r="K8" s="53">
        <v>0.20555555555555532</v>
      </c>
      <c r="L8" s="45">
        <f t="shared" si="13"/>
        <v>7.8333333333333321</v>
      </c>
      <c r="M8" s="45">
        <f t="shared" si="14"/>
        <v>8.9333333333333318</v>
      </c>
      <c r="N8" s="46">
        <f t="shared" si="15"/>
        <v>8.3833333333333329</v>
      </c>
      <c r="O8" s="20">
        <f t="shared" si="16"/>
        <v>7.8333333333333321</v>
      </c>
      <c r="P8" s="20">
        <f t="shared" si="17"/>
        <v>8.9333333333333318</v>
      </c>
      <c r="Q8" s="20">
        <f t="shared" si="18"/>
        <v>8.3833333333333329</v>
      </c>
      <c r="R8" s="20">
        <f t="shared" si="3"/>
        <v>7.8333333333333321</v>
      </c>
      <c r="S8" s="20">
        <f t="shared" si="4"/>
        <v>8.3833333333333329</v>
      </c>
      <c r="T8" s="20">
        <f t="shared" si="5"/>
        <v>8.3833333333333329</v>
      </c>
      <c r="U8" s="20">
        <v>8.3833333333333329</v>
      </c>
      <c r="V8" s="22">
        <v>6.4619</v>
      </c>
      <c r="W8" s="22">
        <v>1.7310000000000001</v>
      </c>
      <c r="X8" s="23">
        <v>1.1476266666666668</v>
      </c>
      <c r="Y8" s="23">
        <f t="shared" si="6"/>
        <v>5.3142733333333334</v>
      </c>
      <c r="Z8" s="23">
        <f t="shared" si="7"/>
        <v>0.5833733333333333</v>
      </c>
      <c r="AA8" s="22">
        <f t="shared" si="8"/>
        <v>89.022519228091397</v>
      </c>
      <c r="AB8" s="22">
        <f t="shared" si="9"/>
        <v>10.977480771908603</v>
      </c>
      <c r="AC8" s="22">
        <f t="shared" si="10"/>
        <v>0.98469453773402793</v>
      </c>
      <c r="AD8" s="22">
        <f t="shared" si="11"/>
        <v>0.10809465354178727</v>
      </c>
      <c r="AE8" s="24">
        <v>6.1012000000000004</v>
      </c>
      <c r="AF8" s="24">
        <v>6.2358000000000002</v>
      </c>
      <c r="AG8" s="24">
        <v>6.1096000000000004</v>
      </c>
      <c r="AH8" s="25">
        <f>AG8-AE8</f>
        <v>8.3999999999999631E-3</v>
      </c>
      <c r="AI8" s="25">
        <v>93.759286775631523</v>
      </c>
      <c r="AJ8" s="26">
        <v>4.6879643387815761</v>
      </c>
      <c r="AK8" s="25">
        <v>46.879643387815761</v>
      </c>
      <c r="AL8" s="26">
        <v>4.6888281736152138</v>
      </c>
      <c r="AM8" s="17">
        <f t="shared" si="12"/>
        <v>0.5780346820809249</v>
      </c>
      <c r="AN8" s="17"/>
      <c r="AO8" s="27"/>
      <c r="AP8" s="17"/>
      <c r="AQ8" s="17"/>
      <c r="AR8" s="17"/>
      <c r="AS8" s="17"/>
      <c r="AT8" s="17"/>
      <c r="AU8" s="17"/>
      <c r="AV8" s="17"/>
      <c r="AW8" s="17"/>
      <c r="AX8" s="17"/>
      <c r="BB8" s="17"/>
    </row>
    <row r="9" spans="1:54" x14ac:dyDescent="0.2">
      <c r="A9" s="17" t="s">
        <v>41</v>
      </c>
      <c r="B9" s="18" t="s">
        <v>42</v>
      </c>
      <c r="C9" s="18" t="str">
        <f t="shared" si="1"/>
        <v>BI10.1</v>
      </c>
      <c r="D9" s="18" t="str">
        <f t="shared" si="2"/>
        <v>BI10.1_8</v>
      </c>
      <c r="E9" s="17">
        <v>1</v>
      </c>
      <c r="F9" s="19">
        <v>8</v>
      </c>
      <c r="G9" s="20">
        <v>2.2000000000000002</v>
      </c>
      <c r="H9" s="20">
        <v>2.65</v>
      </c>
      <c r="I9" s="20">
        <v>1.1000000000000001</v>
      </c>
      <c r="J9" s="20">
        <f t="shared" si="0"/>
        <v>5.0779196874999997</v>
      </c>
      <c r="K9" s="53">
        <v>0.20555555555555532</v>
      </c>
      <c r="L9" s="45">
        <f t="shared" si="13"/>
        <v>9.1388888888888875</v>
      </c>
      <c r="M9" s="45">
        <f t="shared" si="14"/>
        <v>10.238888888888887</v>
      </c>
      <c r="N9" s="46">
        <f t="shared" si="15"/>
        <v>9.6888888888888864</v>
      </c>
      <c r="O9" s="20">
        <f t="shared" si="16"/>
        <v>9.1388888888888875</v>
      </c>
      <c r="P9" s="20">
        <f t="shared" si="17"/>
        <v>10.238888888888887</v>
      </c>
      <c r="Q9" s="20">
        <f t="shared" si="18"/>
        <v>9.6888888888888864</v>
      </c>
      <c r="R9" s="20">
        <f t="shared" si="3"/>
        <v>9.1388888888888875</v>
      </c>
      <c r="S9" s="20">
        <f t="shared" si="4"/>
        <v>9.6888888888888864</v>
      </c>
      <c r="T9" s="20">
        <f t="shared" si="5"/>
        <v>9.6888888888888864</v>
      </c>
      <c r="U9" s="20">
        <v>9.6888888888888864</v>
      </c>
      <c r="V9" s="22">
        <v>6.4409000000000001</v>
      </c>
      <c r="W9" s="22">
        <v>1.7326999999999999</v>
      </c>
      <c r="X9" s="23">
        <v>1.1476266666666668</v>
      </c>
      <c r="Y9" s="23">
        <f t="shared" si="6"/>
        <v>5.2932733333333335</v>
      </c>
      <c r="Z9" s="23">
        <f t="shared" si="7"/>
        <v>0.58507333333333311</v>
      </c>
      <c r="AA9" s="22">
        <f t="shared" si="8"/>
        <v>88.946852042403506</v>
      </c>
      <c r="AB9" s="22">
        <f t="shared" si="9"/>
        <v>11.053147957596494</v>
      </c>
      <c r="AC9" s="22">
        <f t="shared" si="10"/>
        <v>1.042409817225636</v>
      </c>
      <c r="AD9" s="22">
        <f t="shared" si="11"/>
        <v>0.11521909942246071</v>
      </c>
      <c r="AE9" s="24">
        <v>5.5147000000000004</v>
      </c>
      <c r="AF9" s="24">
        <v>5.7987000000000002</v>
      </c>
      <c r="AG9" s="24">
        <v>5.5456000000000003</v>
      </c>
      <c r="AH9" s="25">
        <f>AG9-AE9</f>
        <v>3.0899999999999928E-2</v>
      </c>
      <c r="AI9" s="25">
        <v>89.119718309859181</v>
      </c>
      <c r="AJ9" s="26">
        <v>4.4559859154929589</v>
      </c>
      <c r="AK9" s="25">
        <v>44.55985915492959</v>
      </c>
      <c r="AL9" s="26">
        <v>4.4568947125853917</v>
      </c>
      <c r="AM9" s="17">
        <f t="shared" si="12"/>
        <v>0.5780346820809249</v>
      </c>
      <c r="AN9" s="17"/>
      <c r="AO9" s="27"/>
      <c r="AP9" s="17"/>
      <c r="AQ9" s="17"/>
      <c r="AR9" s="17"/>
      <c r="AS9" s="17"/>
      <c r="AT9" s="17"/>
      <c r="AU9" s="17"/>
      <c r="AV9" s="17"/>
      <c r="AW9" s="17"/>
      <c r="AX9" s="17"/>
      <c r="BB9" s="17"/>
    </row>
    <row r="10" spans="1:54" x14ac:dyDescent="0.2">
      <c r="A10" s="17" t="s">
        <v>41</v>
      </c>
      <c r="B10" s="18" t="s">
        <v>42</v>
      </c>
      <c r="C10" s="18" t="str">
        <f t="shared" si="1"/>
        <v>BI10.1</v>
      </c>
      <c r="D10" s="18" t="str">
        <f t="shared" si="2"/>
        <v>BI10.1_9</v>
      </c>
      <c r="E10" s="17">
        <v>1</v>
      </c>
      <c r="F10" s="19">
        <v>9</v>
      </c>
      <c r="G10" s="20">
        <v>2</v>
      </c>
      <c r="H10" s="20">
        <v>2.8</v>
      </c>
      <c r="I10" s="20">
        <v>1.05</v>
      </c>
      <c r="J10" s="20">
        <f t="shared" si="0"/>
        <v>4.7476799999999999</v>
      </c>
      <c r="K10" s="53">
        <v>0.20555555555555532</v>
      </c>
      <c r="L10" s="45">
        <f t="shared" si="13"/>
        <v>10.444444444444443</v>
      </c>
      <c r="M10" s="45">
        <f t="shared" si="14"/>
        <v>11.494444444444444</v>
      </c>
      <c r="N10" s="46">
        <f t="shared" si="15"/>
        <v>10.969444444444443</v>
      </c>
      <c r="O10" s="20">
        <f t="shared" si="16"/>
        <v>10.444444444444443</v>
      </c>
      <c r="P10" s="20">
        <f t="shared" si="17"/>
        <v>11.494444444444444</v>
      </c>
      <c r="Q10" s="20">
        <f t="shared" si="18"/>
        <v>10.969444444444443</v>
      </c>
      <c r="R10" s="20">
        <f t="shared" si="3"/>
        <v>10.444444444444443</v>
      </c>
      <c r="S10" s="20">
        <f t="shared" si="4"/>
        <v>10.969444444444443</v>
      </c>
      <c r="T10" s="20">
        <f t="shared" si="5"/>
        <v>10.969444444444443</v>
      </c>
      <c r="U10" s="20">
        <v>10.969444444444443</v>
      </c>
      <c r="V10" s="22">
        <v>6.1464999999999996</v>
      </c>
      <c r="W10" s="22">
        <v>1.7430000000000001</v>
      </c>
      <c r="X10" s="23">
        <v>1.1476266666666668</v>
      </c>
      <c r="Y10" s="23">
        <f t="shared" si="6"/>
        <v>4.9988733333333331</v>
      </c>
      <c r="Z10" s="23">
        <f t="shared" si="7"/>
        <v>0.59537333333333331</v>
      </c>
      <c r="AA10" s="22">
        <f t="shared" si="8"/>
        <v>88.089849579438564</v>
      </c>
      <c r="AB10" s="22">
        <f t="shared" si="9"/>
        <v>11.910150420561436</v>
      </c>
      <c r="AC10" s="22">
        <f t="shared" si="10"/>
        <v>1.0529086487154427</v>
      </c>
      <c r="AD10" s="22">
        <f t="shared" si="11"/>
        <v>0.12540300385311001</v>
      </c>
      <c r="AE10" s="24">
        <v>5.5845000000000002</v>
      </c>
      <c r="AF10" s="24">
        <v>5.8788</v>
      </c>
      <c r="AG10" s="24">
        <v>5.6085000000000003</v>
      </c>
      <c r="AH10" s="25">
        <f>AG10-AE10</f>
        <v>2.4000000000000021E-2</v>
      </c>
      <c r="AI10" s="25">
        <v>91.845056065239532</v>
      </c>
      <c r="AJ10" s="26">
        <v>4.5922528032619772</v>
      </c>
      <c r="AK10" s="25">
        <v>45.922528032619766</v>
      </c>
      <c r="AL10" s="26">
        <v>4.5931346386827689</v>
      </c>
      <c r="AM10" s="17">
        <f t="shared" si="12"/>
        <v>0.5780346820809249</v>
      </c>
      <c r="AN10" s="27" t="s">
        <v>50</v>
      </c>
      <c r="AO10" s="27">
        <v>68.857600000000005</v>
      </c>
      <c r="AP10" s="17"/>
      <c r="AQ10" s="17"/>
      <c r="AR10" s="17"/>
      <c r="AS10" s="17"/>
      <c r="AT10" s="17"/>
      <c r="AU10" s="17"/>
      <c r="AV10" s="17"/>
      <c r="AW10" s="17"/>
      <c r="AX10" s="17"/>
      <c r="BB10" s="17"/>
    </row>
    <row r="11" spans="1:54" x14ac:dyDescent="0.2">
      <c r="A11" s="17" t="s">
        <v>41</v>
      </c>
      <c r="B11" s="18" t="s">
        <v>42</v>
      </c>
      <c r="C11" s="18" t="str">
        <f t="shared" si="1"/>
        <v>BI10.1</v>
      </c>
      <c r="D11" s="18" t="str">
        <f t="shared" si="2"/>
        <v>BI10.1_10</v>
      </c>
      <c r="E11" s="17">
        <v>1</v>
      </c>
      <c r="F11" s="19">
        <v>10</v>
      </c>
      <c r="G11" s="20">
        <v>2.1</v>
      </c>
      <c r="H11" s="20">
        <v>2.6</v>
      </c>
      <c r="I11" s="20">
        <v>1.1000000000000001</v>
      </c>
      <c r="J11" s="20">
        <f t="shared" si="0"/>
        <v>4.7686787500000012</v>
      </c>
      <c r="K11" s="53">
        <v>0.20555555555555532</v>
      </c>
      <c r="L11" s="45">
        <f t="shared" si="13"/>
        <v>11.7</v>
      </c>
      <c r="M11" s="45">
        <f t="shared" si="14"/>
        <v>12.799999999999999</v>
      </c>
      <c r="N11" s="46">
        <f t="shared" si="15"/>
        <v>12.25</v>
      </c>
      <c r="O11" s="20">
        <f t="shared" si="16"/>
        <v>11.7</v>
      </c>
      <c r="P11" s="20">
        <f t="shared" si="17"/>
        <v>12.799999999999999</v>
      </c>
      <c r="Q11" s="20">
        <f t="shared" si="18"/>
        <v>12.25</v>
      </c>
      <c r="R11" s="20">
        <f t="shared" si="3"/>
        <v>11.7</v>
      </c>
      <c r="S11" s="20">
        <f t="shared" si="4"/>
        <v>12.25</v>
      </c>
      <c r="T11" s="20">
        <f t="shared" si="5"/>
        <v>12.25</v>
      </c>
      <c r="U11" s="20">
        <v>12.25</v>
      </c>
      <c r="V11" s="22">
        <v>6.2342000000000004</v>
      </c>
      <c r="W11" s="22">
        <v>1.8402000000000001</v>
      </c>
      <c r="X11" s="23">
        <v>1.1476266666666668</v>
      </c>
      <c r="Y11" s="23">
        <f t="shared" si="6"/>
        <v>5.0865733333333338</v>
      </c>
      <c r="Z11" s="23">
        <f t="shared" si="7"/>
        <v>0.69257333333333326</v>
      </c>
      <c r="AA11" s="22">
        <f t="shared" si="8"/>
        <v>86.384284901688886</v>
      </c>
      <c r="AB11" s="22">
        <f t="shared" si="9"/>
        <v>13.615715098311114</v>
      </c>
      <c r="AC11" s="22">
        <f t="shared" si="10"/>
        <v>1.0666630318373476</v>
      </c>
      <c r="AD11" s="22">
        <f t="shared" si="11"/>
        <v>0.14523379947398074</v>
      </c>
      <c r="AE11" s="24">
        <v>5.3647999999999998</v>
      </c>
      <c r="AF11" s="24">
        <v>5.6920999999999999</v>
      </c>
      <c r="AG11" s="24">
        <v>5.3952999999999998</v>
      </c>
      <c r="AH11" s="25">
        <f>AG11-AE11</f>
        <v>3.0499999999999972E-2</v>
      </c>
      <c r="AI11" s="25">
        <v>90.681332111212967</v>
      </c>
      <c r="AJ11" s="26">
        <v>4.5340666055606489</v>
      </c>
      <c r="AK11" s="25">
        <v>45.340666055606484</v>
      </c>
      <c r="AL11" s="26">
        <v>4.5349597554620331</v>
      </c>
      <c r="AM11" s="17">
        <f t="shared" si="12"/>
        <v>0.5780346820809249</v>
      </c>
      <c r="AN11" s="27" t="s">
        <v>51</v>
      </c>
      <c r="AO11" s="27">
        <f>AO10/60</f>
        <v>1.1476266666666668</v>
      </c>
      <c r="AP11" s="17"/>
      <c r="AQ11" s="17"/>
      <c r="AR11" s="17"/>
      <c r="AS11" s="17"/>
      <c r="AT11" s="17"/>
      <c r="AU11" s="17"/>
      <c r="AV11" s="17"/>
      <c r="AW11" s="17"/>
      <c r="AX11" s="17"/>
      <c r="BB11" s="17"/>
    </row>
    <row r="12" spans="1:54" x14ac:dyDescent="0.2">
      <c r="A12" s="17" t="s">
        <v>41</v>
      </c>
      <c r="B12" s="18" t="s">
        <v>42</v>
      </c>
      <c r="C12" s="18" t="str">
        <f t="shared" si="1"/>
        <v>BI10.1</v>
      </c>
      <c r="D12" s="18" t="str">
        <f t="shared" si="2"/>
        <v>BI10.1_11</v>
      </c>
      <c r="E12" s="17">
        <v>1</v>
      </c>
      <c r="F12" s="19">
        <v>11</v>
      </c>
      <c r="G12" s="20">
        <v>2.5499999999999998</v>
      </c>
      <c r="H12" s="20">
        <v>2.5</v>
      </c>
      <c r="I12" s="20">
        <v>1.1000000000000001</v>
      </c>
      <c r="J12" s="20">
        <f t="shared" si="0"/>
        <v>5.5053521875000007</v>
      </c>
      <c r="K12" s="53">
        <v>0.20555555555555532</v>
      </c>
      <c r="L12" s="45">
        <f t="shared" si="13"/>
        <v>13.005555555555555</v>
      </c>
      <c r="M12" s="45">
        <f t="shared" si="14"/>
        <v>14.105555555555554</v>
      </c>
      <c r="N12" s="46">
        <f t="shared" si="15"/>
        <v>13.555555555555554</v>
      </c>
      <c r="O12" s="20">
        <f t="shared" si="16"/>
        <v>13.005555555555555</v>
      </c>
      <c r="P12" s="20">
        <f t="shared" si="17"/>
        <v>14.105555555555554</v>
      </c>
      <c r="Q12" s="20">
        <f t="shared" si="18"/>
        <v>13.555555555555554</v>
      </c>
      <c r="R12" s="20">
        <f t="shared" si="3"/>
        <v>13.005555555555555</v>
      </c>
      <c r="S12" s="20">
        <f t="shared" si="4"/>
        <v>13.555555555555554</v>
      </c>
      <c r="T12" s="20">
        <f t="shared" si="5"/>
        <v>13.555555555555554</v>
      </c>
      <c r="U12" s="20">
        <v>13.555555555555554</v>
      </c>
      <c r="V12" s="22">
        <v>6.8930999999999996</v>
      </c>
      <c r="W12" s="22">
        <v>1.8527</v>
      </c>
      <c r="X12" s="23">
        <v>1.1476266666666668</v>
      </c>
      <c r="Y12" s="23">
        <f t="shared" si="6"/>
        <v>5.745473333333333</v>
      </c>
      <c r="Z12" s="23">
        <f t="shared" si="7"/>
        <v>0.70507333333333322</v>
      </c>
      <c r="AA12" s="22">
        <f t="shared" si="8"/>
        <v>87.72819413776179</v>
      </c>
      <c r="AB12" s="22">
        <f t="shared" si="9"/>
        <v>12.27180586223821</v>
      </c>
      <c r="AC12" s="22">
        <f t="shared" si="10"/>
        <v>1.0436159463836903</v>
      </c>
      <c r="AD12" s="22">
        <f t="shared" si="11"/>
        <v>0.12807052288756651</v>
      </c>
      <c r="AE12" s="24">
        <v>5.0393999999999997</v>
      </c>
      <c r="AF12" s="24">
        <v>5.2239000000000004</v>
      </c>
      <c r="AG12" s="24">
        <v>5.05</v>
      </c>
      <c r="AH12" s="25">
        <f>AG12-AE12</f>
        <v>1.0600000000000165E-2</v>
      </c>
      <c r="AI12" s="25">
        <v>94.254742547425408</v>
      </c>
      <c r="AJ12" s="26">
        <v>4.7127371273712706</v>
      </c>
      <c r="AK12" s="25">
        <v>47.127371273712704</v>
      </c>
      <c r="AL12" s="26">
        <v>4.7135964222346844</v>
      </c>
      <c r="AM12" s="17">
        <f t="shared" si="12"/>
        <v>0.5780346820809249</v>
      </c>
      <c r="AN12" s="17"/>
      <c r="AO12" s="27"/>
      <c r="AP12" s="17"/>
      <c r="AQ12" s="17"/>
      <c r="AR12" s="17"/>
      <c r="AS12" s="17"/>
      <c r="AT12" s="17"/>
      <c r="AU12" s="17"/>
      <c r="AV12" s="17"/>
      <c r="AW12" s="17"/>
      <c r="AX12" s="17"/>
      <c r="BB12" s="17"/>
    </row>
    <row r="13" spans="1:54" x14ac:dyDescent="0.2">
      <c r="A13" s="17" t="s">
        <v>41</v>
      </c>
      <c r="B13" s="18" t="s">
        <v>42</v>
      </c>
      <c r="C13" s="18" t="str">
        <f t="shared" si="1"/>
        <v>BI10.1</v>
      </c>
      <c r="D13" s="18" t="str">
        <f t="shared" si="2"/>
        <v>BI10.1_12</v>
      </c>
      <c r="E13" s="17">
        <v>1</v>
      </c>
      <c r="F13" s="19">
        <v>12</v>
      </c>
      <c r="G13" s="20">
        <v>2.25</v>
      </c>
      <c r="H13" s="20">
        <v>2.5</v>
      </c>
      <c r="I13" s="20">
        <v>1.05</v>
      </c>
      <c r="J13" s="20">
        <f t="shared" si="0"/>
        <v>4.6492851562500004</v>
      </c>
      <c r="K13" s="53">
        <v>0.20555555555555532</v>
      </c>
      <c r="L13" s="45">
        <f t="shared" si="13"/>
        <v>14.31111111111111</v>
      </c>
      <c r="M13" s="45">
        <f t="shared" si="14"/>
        <v>15.361111111111111</v>
      </c>
      <c r="N13" s="46">
        <f t="shared" si="15"/>
        <v>14.83611111111111</v>
      </c>
      <c r="O13" s="20">
        <f t="shared" si="16"/>
        <v>14.31111111111111</v>
      </c>
      <c r="P13" s="20">
        <f t="shared" si="17"/>
        <v>15.361111111111111</v>
      </c>
      <c r="Q13" s="20">
        <f t="shared" si="18"/>
        <v>14.83611111111111</v>
      </c>
      <c r="R13" s="20">
        <f t="shared" si="3"/>
        <v>14.31111111111111</v>
      </c>
      <c r="S13" s="20">
        <f t="shared" si="4"/>
        <v>14.83611111111111</v>
      </c>
      <c r="T13" s="20">
        <f t="shared" si="5"/>
        <v>14.83611111111111</v>
      </c>
      <c r="U13" s="20">
        <v>14.83611111111111</v>
      </c>
      <c r="V13" s="22">
        <v>6.0769000000000002</v>
      </c>
      <c r="W13" s="22">
        <v>1.7847</v>
      </c>
      <c r="X13" s="23">
        <v>1.1476266666666668</v>
      </c>
      <c r="Y13" s="23">
        <f t="shared" si="6"/>
        <v>4.9292733333333336</v>
      </c>
      <c r="Z13" s="23">
        <f t="shared" si="7"/>
        <v>0.63707333333333316</v>
      </c>
      <c r="AA13" s="22">
        <f t="shared" si="8"/>
        <v>87.075715014112959</v>
      </c>
      <c r="AB13" s="22">
        <f t="shared" si="9"/>
        <v>12.924284985887041</v>
      </c>
      <c r="AC13" s="22">
        <f t="shared" si="10"/>
        <v>1.0602217690835649</v>
      </c>
      <c r="AD13" s="22">
        <f t="shared" si="11"/>
        <v>0.13702608291877302</v>
      </c>
      <c r="AE13" s="24">
        <v>5.4263000000000003</v>
      </c>
      <c r="AF13" s="24">
        <v>5.5883000000000003</v>
      </c>
      <c r="AG13" s="24">
        <v>5.44</v>
      </c>
      <c r="AH13" s="25">
        <f>AG13-AE13</f>
        <v>1.3700000000000045E-2</v>
      </c>
      <c r="AI13" s="25">
        <v>91.543209876543173</v>
      </c>
      <c r="AJ13" s="26">
        <v>4.5771604938271588</v>
      </c>
      <c r="AK13" s="25">
        <v>45.771604938271587</v>
      </c>
      <c r="AL13" s="26">
        <v>4.5780452363702215</v>
      </c>
      <c r="AM13" s="17">
        <f t="shared" si="12"/>
        <v>0.5780346820809249</v>
      </c>
      <c r="AN13" s="17" t="s">
        <v>52</v>
      </c>
      <c r="AO13" s="17">
        <f>1/2.05</f>
        <v>0.48780487804878053</v>
      </c>
      <c r="AP13" s="17"/>
      <c r="AQ13" s="17"/>
      <c r="AR13" s="17"/>
      <c r="AS13" s="17"/>
      <c r="AT13" s="17"/>
      <c r="AU13" s="17"/>
      <c r="AV13" s="17"/>
      <c r="AW13" s="17"/>
      <c r="AX13" s="17"/>
      <c r="BB13" s="17"/>
    </row>
    <row r="14" spans="1:54" x14ac:dyDescent="0.2">
      <c r="A14" s="17" t="s">
        <v>41</v>
      </c>
      <c r="B14" s="18" t="s">
        <v>42</v>
      </c>
      <c r="C14" s="18" t="str">
        <f t="shared" si="1"/>
        <v>BI10.1</v>
      </c>
      <c r="D14" s="18" t="str">
        <f t="shared" si="2"/>
        <v>BI10.1_13</v>
      </c>
      <c r="E14" s="17">
        <v>1</v>
      </c>
      <c r="F14" s="19">
        <v>13</v>
      </c>
      <c r="G14" s="20">
        <v>2.2999999999999998</v>
      </c>
      <c r="H14" s="20">
        <v>2.5</v>
      </c>
      <c r="I14" s="20">
        <v>1</v>
      </c>
      <c r="J14" s="20">
        <f t="shared" si="0"/>
        <v>4.5215999999999994</v>
      </c>
      <c r="K14" s="53">
        <v>0.20555555555555532</v>
      </c>
      <c r="L14" s="45">
        <f t="shared" si="13"/>
        <v>15.566666666666666</v>
      </c>
      <c r="M14" s="45">
        <f t="shared" si="14"/>
        <v>16.566666666666666</v>
      </c>
      <c r="N14" s="46">
        <f t="shared" si="15"/>
        <v>16.066666666666666</v>
      </c>
      <c r="O14" s="20">
        <f t="shared" si="16"/>
        <v>15.566666666666666</v>
      </c>
      <c r="P14" s="20">
        <f t="shared" si="17"/>
        <v>16.566666666666666</v>
      </c>
      <c r="Q14" s="20">
        <f t="shared" si="18"/>
        <v>16.066666666666666</v>
      </c>
      <c r="R14" s="20">
        <f t="shared" si="3"/>
        <v>15.566666666666666</v>
      </c>
      <c r="S14" s="20">
        <f t="shared" si="4"/>
        <v>16.066666666666666</v>
      </c>
      <c r="T14" s="20">
        <f t="shared" si="5"/>
        <v>16.066666666666666</v>
      </c>
      <c r="U14" s="20">
        <v>16.066666666666666</v>
      </c>
      <c r="V14" s="22">
        <v>6.1780999999999997</v>
      </c>
      <c r="W14" s="22">
        <v>1.8001</v>
      </c>
      <c r="X14" s="23">
        <v>1.1476266666666668</v>
      </c>
      <c r="Y14" s="23">
        <f t="shared" si="6"/>
        <v>5.0304733333333331</v>
      </c>
      <c r="Z14" s="23">
        <f t="shared" si="7"/>
        <v>0.65247333333333324</v>
      </c>
      <c r="AA14" s="22">
        <f t="shared" si="8"/>
        <v>87.029583697226641</v>
      </c>
      <c r="AB14" s="22">
        <f t="shared" si="9"/>
        <v>12.970416302773359</v>
      </c>
      <c r="AC14" s="22">
        <f t="shared" si="10"/>
        <v>1.1125427577258789</v>
      </c>
      <c r="AD14" s="22">
        <f t="shared" si="11"/>
        <v>0.14430142722340175</v>
      </c>
      <c r="AE14" s="24">
        <v>5.4169999999999998</v>
      </c>
      <c r="AF14" s="24">
        <v>5.7374999999999998</v>
      </c>
      <c r="AG14" s="24">
        <v>5.4726999999999997</v>
      </c>
      <c r="AH14" s="25">
        <f>AG14-AE14</f>
        <v>5.5699999999999861E-2</v>
      </c>
      <c r="AI14" s="25">
        <v>82.620904836193489</v>
      </c>
      <c r="AJ14" s="26">
        <v>4.1310452418096748</v>
      </c>
      <c r="AK14" s="25">
        <v>41.310452418096745</v>
      </c>
      <c r="AL14" s="26">
        <v>4.1320255069249461</v>
      </c>
      <c r="AM14" s="17">
        <f t="shared" si="12"/>
        <v>0.5780346820809249</v>
      </c>
      <c r="AN14" s="17" t="s">
        <v>53</v>
      </c>
      <c r="AO14" s="17">
        <f>1/1.73</f>
        <v>0.5780346820809249</v>
      </c>
      <c r="AP14" s="17"/>
      <c r="AQ14" s="17"/>
      <c r="AR14" s="17"/>
      <c r="AS14" s="17"/>
      <c r="AT14" s="17"/>
      <c r="AU14" s="17"/>
      <c r="AV14" s="17"/>
      <c r="AW14" s="17"/>
      <c r="AX14" s="17"/>
      <c r="BB14" s="17"/>
    </row>
    <row r="15" spans="1:54" x14ac:dyDescent="0.2">
      <c r="A15" s="17" t="s">
        <v>41</v>
      </c>
      <c r="B15" s="18" t="s">
        <v>42</v>
      </c>
      <c r="C15" s="18" t="str">
        <f t="shared" si="1"/>
        <v>BI10.1</v>
      </c>
      <c r="D15" s="18" t="str">
        <f t="shared" si="2"/>
        <v>BI10.1_14</v>
      </c>
      <c r="E15" s="17">
        <v>1</v>
      </c>
      <c r="F15" s="19">
        <v>14</v>
      </c>
      <c r="G15" s="20">
        <v>2.6</v>
      </c>
      <c r="H15" s="20">
        <v>2.6</v>
      </c>
      <c r="I15" s="20">
        <v>1</v>
      </c>
      <c r="J15" s="20">
        <f t="shared" si="0"/>
        <v>5.3066000000000013</v>
      </c>
      <c r="K15" s="53">
        <v>0.20555555555555532</v>
      </c>
      <c r="L15" s="45">
        <f t="shared" si="13"/>
        <v>16.772222222222222</v>
      </c>
      <c r="M15" s="45">
        <f t="shared" si="14"/>
        <v>17.772222222222222</v>
      </c>
      <c r="N15" s="46">
        <f t="shared" si="15"/>
        <v>17.272222222222222</v>
      </c>
      <c r="O15" s="20">
        <f t="shared" si="16"/>
        <v>16.772222222222222</v>
      </c>
      <c r="P15" s="20">
        <f t="shared" si="17"/>
        <v>17.772222222222222</v>
      </c>
      <c r="Q15" s="20">
        <f t="shared" si="18"/>
        <v>17.272222222222222</v>
      </c>
      <c r="R15" s="20">
        <f t="shared" si="3"/>
        <v>16.772222222222222</v>
      </c>
      <c r="S15" s="20">
        <f t="shared" si="4"/>
        <v>17.272222222222222</v>
      </c>
      <c r="T15" s="20">
        <f t="shared" si="5"/>
        <v>17.272222222222222</v>
      </c>
      <c r="U15" s="20">
        <v>17.272222222222222</v>
      </c>
      <c r="V15" s="22">
        <v>7.2066999999999997</v>
      </c>
      <c r="W15" s="22">
        <v>1.9126000000000001</v>
      </c>
      <c r="X15" s="23">
        <v>1.1476266666666668</v>
      </c>
      <c r="Y15" s="23">
        <f t="shared" si="6"/>
        <v>6.0590733333333331</v>
      </c>
      <c r="Z15" s="23">
        <f t="shared" si="7"/>
        <v>0.76497333333333328</v>
      </c>
      <c r="AA15" s="22">
        <f t="shared" si="8"/>
        <v>87.374747073534905</v>
      </c>
      <c r="AB15" s="22">
        <f t="shared" si="9"/>
        <v>12.625252926465095</v>
      </c>
      <c r="AC15" s="22">
        <f t="shared" si="10"/>
        <v>1.1417995200944733</v>
      </c>
      <c r="AD15" s="22">
        <f t="shared" si="11"/>
        <v>0.14415507732509197</v>
      </c>
      <c r="AE15" s="24">
        <v>5.2689000000000004</v>
      </c>
      <c r="AF15" s="24">
        <v>5.5214999999999996</v>
      </c>
      <c r="AG15" s="24">
        <v>5.3102</v>
      </c>
      <c r="AH15" s="25">
        <f>AG15-AE15</f>
        <v>4.129999999999967E-2</v>
      </c>
      <c r="AI15" s="25">
        <v>83.650039588281956</v>
      </c>
      <c r="AJ15" s="26">
        <v>4.1825019794140976</v>
      </c>
      <c r="AK15" s="25">
        <v>41.825019794140978</v>
      </c>
      <c r="AL15" s="26">
        <v>4.1834701872731017</v>
      </c>
      <c r="AM15" s="17">
        <f t="shared" si="12"/>
        <v>0.5780346820809249</v>
      </c>
      <c r="AN15" s="17"/>
      <c r="AO15" s="27"/>
      <c r="AP15" s="17"/>
      <c r="AQ15" s="17"/>
      <c r="AR15" s="17"/>
      <c r="AS15" s="17"/>
      <c r="AT15" s="17"/>
      <c r="AU15" s="17"/>
      <c r="AV15" s="17"/>
      <c r="AW15" s="17"/>
      <c r="AX15" s="17"/>
      <c r="BB15" s="17"/>
    </row>
    <row r="16" spans="1:54" x14ac:dyDescent="0.2">
      <c r="A16" s="17" t="s">
        <v>41</v>
      </c>
      <c r="B16" s="18" t="s">
        <v>42</v>
      </c>
      <c r="C16" s="18" t="str">
        <f t="shared" si="1"/>
        <v>BI10.1</v>
      </c>
      <c r="D16" s="18" t="str">
        <f t="shared" si="2"/>
        <v>BI10.1_15</v>
      </c>
      <c r="E16" s="17">
        <v>1</v>
      </c>
      <c r="F16" s="19">
        <v>15</v>
      </c>
      <c r="G16" s="20">
        <v>2.6</v>
      </c>
      <c r="H16" s="20">
        <v>2.2999999999999998</v>
      </c>
      <c r="I16" s="20">
        <v>1.05</v>
      </c>
      <c r="J16" s="20">
        <f t="shared" si="0"/>
        <v>4.9475606250000004</v>
      </c>
      <c r="K16" s="53">
        <v>0.20555555555555532</v>
      </c>
      <c r="L16" s="45">
        <f t="shared" si="13"/>
        <v>17.977777777777778</v>
      </c>
      <c r="M16" s="45">
        <f t="shared" si="14"/>
        <v>19.027777777777779</v>
      </c>
      <c r="N16" s="46">
        <f t="shared" si="15"/>
        <v>18.50277777777778</v>
      </c>
      <c r="O16" s="20">
        <f t="shared" si="16"/>
        <v>17.977777777777778</v>
      </c>
      <c r="P16" s="20">
        <f t="shared" si="17"/>
        <v>19.027777777777779</v>
      </c>
      <c r="Q16" s="20">
        <f t="shared" si="18"/>
        <v>18.50277777777778</v>
      </c>
      <c r="R16" s="20">
        <f t="shared" si="3"/>
        <v>17.977777777777778</v>
      </c>
      <c r="S16" s="20">
        <f t="shared" si="4"/>
        <v>18.50277777777778</v>
      </c>
      <c r="T16" s="20">
        <f t="shared" si="5"/>
        <v>18.50277777777778</v>
      </c>
      <c r="U16" s="20">
        <v>18.50277777777778</v>
      </c>
      <c r="V16" s="22">
        <v>6.3783000000000003</v>
      </c>
      <c r="W16" s="22">
        <v>1.8856999999999999</v>
      </c>
      <c r="X16" s="23">
        <v>1.1476266666666668</v>
      </c>
      <c r="Y16" s="23">
        <f t="shared" si="6"/>
        <v>5.2306733333333337</v>
      </c>
      <c r="Z16" s="23">
        <f t="shared" si="7"/>
        <v>0.73807333333333314</v>
      </c>
      <c r="AA16" s="22">
        <f t="shared" si="8"/>
        <v>85.889515817593903</v>
      </c>
      <c r="AB16" s="22">
        <f t="shared" si="9"/>
        <v>14.110484182406097</v>
      </c>
      <c r="AC16" s="22">
        <f t="shared" si="10"/>
        <v>1.0572226860450715</v>
      </c>
      <c r="AD16" s="22">
        <f t="shared" si="11"/>
        <v>0.14917923988719856</v>
      </c>
      <c r="AE16" s="24">
        <v>5.7304000000000004</v>
      </c>
      <c r="AF16" s="24">
        <v>6.1886999999999999</v>
      </c>
      <c r="AG16" s="24">
        <v>5.8879000000000001</v>
      </c>
      <c r="AH16" s="25">
        <f>AG16-AE16</f>
        <v>0.15749999999999975</v>
      </c>
      <c r="AI16" s="25">
        <v>65.63386428103864</v>
      </c>
      <c r="AJ16" s="26">
        <v>3.2816932140519324</v>
      </c>
      <c r="AK16" s="25">
        <v>32.81693214051932</v>
      </c>
      <c r="AL16" s="26">
        <v>3.2829271011026884</v>
      </c>
      <c r="AM16" s="17">
        <f t="shared" si="12"/>
        <v>0.5780346820809249</v>
      </c>
      <c r="AN16" s="17"/>
      <c r="AO16" s="27"/>
      <c r="AP16" s="17"/>
      <c r="AQ16" s="17"/>
      <c r="AR16" s="17"/>
      <c r="AS16" s="17"/>
      <c r="AT16" s="17"/>
      <c r="AU16" s="17"/>
      <c r="AV16" s="17"/>
      <c r="AW16" s="17"/>
      <c r="AX16" s="17"/>
      <c r="BB16" s="17"/>
    </row>
    <row r="17" spans="1:54" x14ac:dyDescent="0.2">
      <c r="A17" s="17" t="s">
        <v>41</v>
      </c>
      <c r="B17" s="18" t="s">
        <v>42</v>
      </c>
      <c r="C17" s="18" t="str">
        <f t="shared" si="1"/>
        <v>BI10.1</v>
      </c>
      <c r="D17" s="18" t="str">
        <f t="shared" si="2"/>
        <v>BI10.1_16</v>
      </c>
      <c r="E17" s="17">
        <v>1</v>
      </c>
      <c r="F17" s="19">
        <v>16</v>
      </c>
      <c r="G17" s="20">
        <v>2.2999999999999998</v>
      </c>
      <c r="H17" s="20">
        <v>2.7</v>
      </c>
      <c r="I17" s="20">
        <v>1.05</v>
      </c>
      <c r="J17" s="20">
        <f t="shared" si="0"/>
        <v>5.1515625000000007</v>
      </c>
      <c r="K17" s="53">
        <v>0.20555555555555532</v>
      </c>
      <c r="L17" s="45">
        <f t="shared" si="13"/>
        <v>19.233333333333334</v>
      </c>
      <c r="M17" s="45">
        <f t="shared" si="14"/>
        <v>20.283333333333335</v>
      </c>
      <c r="N17" s="46">
        <f t="shared" si="15"/>
        <v>19.758333333333333</v>
      </c>
      <c r="O17" s="20">
        <f t="shared" si="16"/>
        <v>19.233333333333334</v>
      </c>
      <c r="P17" s="20">
        <f t="shared" si="17"/>
        <v>20.283333333333335</v>
      </c>
      <c r="Q17" s="20">
        <f t="shared" si="18"/>
        <v>19.758333333333333</v>
      </c>
      <c r="R17" s="20">
        <f t="shared" si="3"/>
        <v>19.233333333333334</v>
      </c>
      <c r="S17" s="20">
        <f t="shared" si="4"/>
        <v>19.758333333333333</v>
      </c>
      <c r="T17" s="20">
        <f t="shared" si="5"/>
        <v>19.758333333333333</v>
      </c>
      <c r="U17" s="20">
        <v>19.758333333333333</v>
      </c>
      <c r="V17" s="22">
        <v>6.7462</v>
      </c>
      <c r="W17" s="22">
        <v>2.0247000000000002</v>
      </c>
      <c r="X17" s="23">
        <v>1.1476266666666668</v>
      </c>
      <c r="Y17" s="23">
        <f t="shared" si="6"/>
        <v>5.5985733333333334</v>
      </c>
      <c r="Z17" s="23">
        <f t="shared" si="7"/>
        <v>0.87707333333333337</v>
      </c>
      <c r="AA17" s="22">
        <f t="shared" si="8"/>
        <v>84.333985086676847</v>
      </c>
      <c r="AB17" s="22">
        <f t="shared" si="9"/>
        <v>15.666014913323153</v>
      </c>
      <c r="AC17" s="22">
        <f t="shared" si="10"/>
        <v>1.0867718936406834</v>
      </c>
      <c r="AD17" s="22">
        <f t="shared" si="11"/>
        <v>0.17025384693155393</v>
      </c>
      <c r="AE17" s="24">
        <v>5.3700999999999999</v>
      </c>
      <c r="AF17" s="24">
        <v>5.8017000000000003</v>
      </c>
      <c r="AG17" s="24">
        <v>5.5342000000000002</v>
      </c>
      <c r="AH17" s="25">
        <f>AG17-AE17</f>
        <v>0.16410000000000036</v>
      </c>
      <c r="AI17" s="25">
        <v>61.978683966635728</v>
      </c>
      <c r="AJ17" s="26">
        <v>3.0989341983317864</v>
      </c>
      <c r="AK17" s="25">
        <v>30.989341983317864</v>
      </c>
      <c r="AL17" s="26">
        <v>3.1002408238055108</v>
      </c>
      <c r="AM17" s="17">
        <f t="shared" si="12"/>
        <v>0.5780346820809249</v>
      </c>
      <c r="AN17" s="17"/>
      <c r="AO17" s="27"/>
      <c r="AP17" s="17"/>
      <c r="AQ17" s="17"/>
      <c r="AR17" s="17"/>
      <c r="AS17" s="17"/>
      <c r="AT17" s="17"/>
      <c r="AU17" s="17"/>
      <c r="AV17" s="17"/>
      <c r="AW17" s="17"/>
      <c r="AX17" s="17"/>
      <c r="BB17" s="17"/>
    </row>
    <row r="18" spans="1:54" x14ac:dyDescent="0.2">
      <c r="A18" s="17" t="s">
        <v>41</v>
      </c>
      <c r="B18" s="18" t="s">
        <v>42</v>
      </c>
      <c r="C18" s="18" t="str">
        <f t="shared" si="1"/>
        <v>BI10.1</v>
      </c>
      <c r="D18" s="18" t="str">
        <f t="shared" si="2"/>
        <v>BI10.1_17</v>
      </c>
      <c r="E18" s="17">
        <v>1</v>
      </c>
      <c r="F18" s="19">
        <v>17</v>
      </c>
      <c r="G18" s="20">
        <v>2.5</v>
      </c>
      <c r="H18" s="20">
        <v>2.65</v>
      </c>
      <c r="I18" s="20">
        <v>1.05</v>
      </c>
      <c r="J18" s="20">
        <f t="shared" si="0"/>
        <v>5.4652926562500017</v>
      </c>
      <c r="K18" s="53">
        <v>0.20555555555555532</v>
      </c>
      <c r="L18" s="45">
        <f t="shared" si="13"/>
        <v>20.488888888888891</v>
      </c>
      <c r="M18" s="45">
        <f t="shared" si="14"/>
        <v>21.538888888888891</v>
      </c>
      <c r="N18" s="46">
        <f t="shared" si="15"/>
        <v>21.013888888888893</v>
      </c>
      <c r="O18" s="20">
        <f t="shared" si="16"/>
        <v>20.488888888888891</v>
      </c>
      <c r="P18" s="20">
        <f t="shared" si="17"/>
        <v>21.538888888888891</v>
      </c>
      <c r="Q18" s="20">
        <f t="shared" si="18"/>
        <v>21.013888888888893</v>
      </c>
      <c r="R18" s="20">
        <f t="shared" si="3"/>
        <v>20.488888888888891</v>
      </c>
      <c r="S18" s="20">
        <f t="shared" si="4"/>
        <v>21.013888888888893</v>
      </c>
      <c r="T18" s="20">
        <f t="shared" si="5"/>
        <v>21.013888888888893</v>
      </c>
      <c r="U18" s="20">
        <v>21.013888888888893</v>
      </c>
      <c r="V18" s="22">
        <v>7.3048999999999999</v>
      </c>
      <c r="W18" s="22">
        <v>2.1065999999999998</v>
      </c>
      <c r="X18" s="23">
        <v>1.1476266666666668</v>
      </c>
      <c r="Y18" s="23">
        <f t="shared" si="6"/>
        <v>6.1572733333333334</v>
      </c>
      <c r="Z18" s="23">
        <f t="shared" si="7"/>
        <v>0.95897333333333301</v>
      </c>
      <c r="AA18" s="22">
        <f t="shared" si="8"/>
        <v>84.42535711153532</v>
      </c>
      <c r="AB18" s="22">
        <f t="shared" si="9"/>
        <v>15.57464288846468</v>
      </c>
      <c r="AC18" s="22">
        <f t="shared" si="10"/>
        <v>1.1266136546762955</v>
      </c>
      <c r="AD18" s="22">
        <f t="shared" si="11"/>
        <v>0.17546605344851385</v>
      </c>
      <c r="AE18" s="24">
        <v>5.3875999999999999</v>
      </c>
      <c r="AF18" s="24">
        <v>5.8041</v>
      </c>
      <c r="AG18" s="24">
        <v>5.4886999999999997</v>
      </c>
      <c r="AH18" s="25">
        <f>AG18-AE18</f>
        <v>0.10109999999999975</v>
      </c>
      <c r="AI18" s="25">
        <v>75.726290516206546</v>
      </c>
      <c r="AJ18" s="26">
        <v>3.7863145258103277</v>
      </c>
      <c r="AK18" s="25">
        <v>37.863145258103273</v>
      </c>
      <c r="AL18" s="26">
        <v>3.7873840164897841</v>
      </c>
      <c r="AM18" s="17">
        <f t="shared" si="12"/>
        <v>0.5780346820809249</v>
      </c>
      <c r="AN18" s="17"/>
      <c r="AO18" s="27"/>
      <c r="AP18" s="17"/>
      <c r="AQ18" s="17"/>
      <c r="AR18" s="17"/>
      <c r="AS18" s="17"/>
      <c r="AT18" s="17"/>
      <c r="AU18" s="17"/>
      <c r="AV18" s="17"/>
      <c r="AW18" s="17"/>
      <c r="AX18" s="17"/>
      <c r="BB18" s="17"/>
    </row>
    <row r="19" spans="1:54" x14ac:dyDescent="0.2">
      <c r="A19" s="17" t="s">
        <v>41</v>
      </c>
      <c r="B19" s="18" t="s">
        <v>42</v>
      </c>
      <c r="C19" s="18" t="str">
        <f t="shared" si="1"/>
        <v>BI10.1</v>
      </c>
      <c r="D19" s="18" t="str">
        <f t="shared" si="2"/>
        <v>BI10.1_18</v>
      </c>
      <c r="E19" s="17">
        <v>1</v>
      </c>
      <c r="F19" s="19">
        <v>18</v>
      </c>
      <c r="G19" s="20">
        <v>2.4</v>
      </c>
      <c r="H19" s="20">
        <v>2.7</v>
      </c>
      <c r="I19" s="20">
        <v>1</v>
      </c>
      <c r="J19" s="20">
        <f t="shared" si="0"/>
        <v>5.1044624999999995</v>
      </c>
      <c r="K19" s="53">
        <v>0.20555555555555532</v>
      </c>
      <c r="L19" s="45">
        <f t="shared" si="13"/>
        <v>21.744444444444447</v>
      </c>
      <c r="M19" s="45">
        <f t="shared" si="14"/>
        <v>22.744444444444447</v>
      </c>
      <c r="N19" s="46">
        <f t="shared" si="15"/>
        <v>22.244444444444447</v>
      </c>
      <c r="O19" s="20">
        <f t="shared" si="16"/>
        <v>21.744444444444447</v>
      </c>
      <c r="P19" s="20">
        <f t="shared" si="17"/>
        <v>22.744444444444447</v>
      </c>
      <c r="Q19" s="20">
        <f t="shared" si="18"/>
        <v>22.244444444444447</v>
      </c>
      <c r="R19" s="20">
        <f t="shared" si="3"/>
        <v>21.744444444444447</v>
      </c>
      <c r="S19" s="20">
        <f t="shared" si="4"/>
        <v>22.244444444444447</v>
      </c>
      <c r="T19" s="20">
        <f t="shared" si="5"/>
        <v>22.244444444444447</v>
      </c>
      <c r="U19" s="20">
        <v>22.244444444444447</v>
      </c>
      <c r="V19" s="22">
        <v>7.2195</v>
      </c>
      <c r="W19" s="22">
        <v>2.1017000000000001</v>
      </c>
      <c r="X19" s="23">
        <v>1.1476266666666668</v>
      </c>
      <c r="Y19" s="23">
        <f t="shared" si="6"/>
        <v>6.0718733333333335</v>
      </c>
      <c r="Z19" s="23">
        <f t="shared" si="7"/>
        <v>0.95407333333333333</v>
      </c>
      <c r="AA19" s="22">
        <f t="shared" si="8"/>
        <v>84.287002034517627</v>
      </c>
      <c r="AB19" s="22">
        <f t="shared" si="9"/>
        <v>15.712997965482373</v>
      </c>
      <c r="AC19" s="22">
        <f t="shared" si="10"/>
        <v>1.1895225664471694</v>
      </c>
      <c r="AD19" s="22">
        <f t="shared" si="11"/>
        <v>0.18690965666479742</v>
      </c>
      <c r="AE19" s="24">
        <v>5.2882999999999996</v>
      </c>
      <c r="AF19" s="24">
        <v>5.8697999999999997</v>
      </c>
      <c r="AG19" s="24">
        <v>5.4882999999999997</v>
      </c>
      <c r="AH19" s="25">
        <f>AG19-AE19</f>
        <v>0.20000000000000018</v>
      </c>
      <c r="AI19" s="25">
        <v>65.606190885640558</v>
      </c>
      <c r="AJ19" s="26">
        <v>3.2803095442820283</v>
      </c>
      <c r="AK19" s="25">
        <v>32.803095442820279</v>
      </c>
      <c r="AL19" s="26">
        <v>3.2815439516038434</v>
      </c>
      <c r="AM19" s="17">
        <f t="shared" si="12"/>
        <v>0.5780346820809249</v>
      </c>
      <c r="AN19" s="17"/>
      <c r="AO19" s="27"/>
      <c r="AP19" s="17"/>
      <c r="AQ19" s="17"/>
      <c r="AR19" s="17"/>
      <c r="AS19" s="17"/>
      <c r="AT19" s="17"/>
      <c r="AU19" s="17"/>
      <c r="AV19" s="17"/>
      <c r="AW19" s="17"/>
      <c r="AX19" s="17"/>
      <c r="BB19" s="17"/>
    </row>
    <row r="20" spans="1:54" x14ac:dyDescent="0.2">
      <c r="A20" s="17" t="s">
        <v>41</v>
      </c>
      <c r="B20" s="18" t="s">
        <v>42</v>
      </c>
      <c r="C20" s="18" t="str">
        <f t="shared" si="1"/>
        <v>BI10.1</v>
      </c>
      <c r="D20" s="18" t="str">
        <f t="shared" si="2"/>
        <v>BI10.1_19</v>
      </c>
      <c r="E20" s="17">
        <v>1</v>
      </c>
      <c r="F20" s="19">
        <v>19</v>
      </c>
      <c r="G20" s="20">
        <v>2.4500000000000002</v>
      </c>
      <c r="H20" s="20">
        <v>2.5</v>
      </c>
      <c r="I20" s="20">
        <v>1.05</v>
      </c>
      <c r="J20" s="20">
        <f t="shared" si="0"/>
        <v>5.0490464062500005</v>
      </c>
      <c r="K20" s="53">
        <v>0.20555555555555532</v>
      </c>
      <c r="L20" s="45">
        <f t="shared" si="13"/>
        <v>22.950000000000003</v>
      </c>
      <c r="M20" s="45">
        <f t="shared" si="14"/>
        <v>24.000000000000004</v>
      </c>
      <c r="N20" s="46">
        <f t="shared" si="15"/>
        <v>23.475000000000001</v>
      </c>
      <c r="O20" s="20">
        <f t="shared" si="16"/>
        <v>22.950000000000003</v>
      </c>
      <c r="P20" s="20">
        <f t="shared" si="17"/>
        <v>24.000000000000004</v>
      </c>
      <c r="Q20" s="20">
        <f t="shared" si="18"/>
        <v>23.475000000000001</v>
      </c>
      <c r="R20" s="20">
        <f t="shared" si="3"/>
        <v>22.950000000000003</v>
      </c>
      <c r="S20" s="20">
        <f t="shared" si="4"/>
        <v>23.475000000000001</v>
      </c>
      <c r="T20" s="20">
        <f t="shared" si="5"/>
        <v>23.475000000000001</v>
      </c>
      <c r="U20" s="20">
        <v>23.475000000000001</v>
      </c>
      <c r="V20" s="22">
        <v>7.4071999999999996</v>
      </c>
      <c r="W20" s="22">
        <v>2.04</v>
      </c>
      <c r="X20" s="23">
        <v>1.1476266666666668</v>
      </c>
      <c r="Y20" s="23">
        <f t="shared" si="6"/>
        <v>6.259573333333333</v>
      </c>
      <c r="Z20" s="23">
        <f t="shared" si="7"/>
        <v>0.89237333333333324</v>
      </c>
      <c r="AA20" s="22">
        <f t="shared" si="8"/>
        <v>85.743863266505912</v>
      </c>
      <c r="AB20" s="22">
        <f t="shared" si="9"/>
        <v>14.256136733494088</v>
      </c>
      <c r="AC20" s="22">
        <f t="shared" si="10"/>
        <v>1.2397535751671589</v>
      </c>
      <c r="AD20" s="22">
        <f t="shared" si="11"/>
        <v>0.17674096483421151</v>
      </c>
      <c r="AE20" s="24">
        <v>5.5126999999999997</v>
      </c>
      <c r="AF20" s="24">
        <v>5.8655999999999997</v>
      </c>
      <c r="AG20" s="24">
        <v>5.5994000000000002</v>
      </c>
      <c r="AH20" s="25">
        <f>AG20-AE20</f>
        <v>8.6700000000000443E-2</v>
      </c>
      <c r="AI20" s="25">
        <v>75.432133748937247</v>
      </c>
      <c r="AJ20" s="26">
        <v>3.7716066874468623</v>
      </c>
      <c r="AK20" s="25">
        <v>37.716066874468623</v>
      </c>
      <c r="AL20" s="26">
        <v>3.7726803475505175</v>
      </c>
      <c r="AM20" s="17">
        <f t="shared" si="12"/>
        <v>0.5780346820809249</v>
      </c>
      <c r="AN20" s="17"/>
      <c r="AO20" s="27"/>
      <c r="AP20" s="17"/>
      <c r="AQ20" s="17"/>
      <c r="AR20" s="17"/>
      <c r="AS20" s="17"/>
      <c r="AT20" s="17"/>
      <c r="AU20" s="17"/>
      <c r="AV20" s="17"/>
      <c r="AW20" s="17"/>
      <c r="AX20" s="17"/>
      <c r="BB20" s="17"/>
    </row>
    <row r="21" spans="1:54" x14ac:dyDescent="0.2">
      <c r="A21" s="17" t="s">
        <v>41</v>
      </c>
      <c r="B21" s="18" t="s">
        <v>42</v>
      </c>
      <c r="C21" s="18" t="str">
        <f t="shared" si="1"/>
        <v>BI10.1</v>
      </c>
      <c r="D21" s="18" t="str">
        <f t="shared" si="2"/>
        <v>BI10.1_20</v>
      </c>
      <c r="E21" s="17">
        <v>1</v>
      </c>
      <c r="F21" s="19">
        <v>20</v>
      </c>
      <c r="G21" s="20">
        <v>2.7</v>
      </c>
      <c r="H21" s="20">
        <v>2.6</v>
      </c>
      <c r="I21" s="20">
        <v>1.05</v>
      </c>
      <c r="J21" s="20">
        <f t="shared" si="0"/>
        <v>5.7882956250000017</v>
      </c>
      <c r="K21" s="53">
        <v>0.20555555555555532</v>
      </c>
      <c r="L21" s="45">
        <f t="shared" si="13"/>
        <v>24.205555555555559</v>
      </c>
      <c r="M21" s="45">
        <f t="shared" si="14"/>
        <v>25.25555555555556</v>
      </c>
      <c r="N21" s="46">
        <f t="shared" si="15"/>
        <v>24.730555555555561</v>
      </c>
      <c r="O21" s="20">
        <f t="shared" si="16"/>
        <v>24.205555555555559</v>
      </c>
      <c r="P21" s="20">
        <f t="shared" si="17"/>
        <v>25.25555555555556</v>
      </c>
      <c r="Q21" s="20">
        <f t="shared" si="18"/>
        <v>24.730555555555561</v>
      </c>
      <c r="R21" s="20">
        <f t="shared" si="3"/>
        <v>24.205555555555559</v>
      </c>
      <c r="S21" s="20">
        <f t="shared" si="4"/>
        <v>24.730555555555561</v>
      </c>
      <c r="T21" s="20">
        <f t="shared" si="5"/>
        <v>24.730555555555561</v>
      </c>
      <c r="U21" s="20">
        <v>24.730555555555561</v>
      </c>
      <c r="V21" s="22">
        <v>7.1406999999999998</v>
      </c>
      <c r="W21" s="22">
        <v>2.1362999999999999</v>
      </c>
      <c r="X21" s="23">
        <v>1.1476266666666668</v>
      </c>
      <c r="Y21" s="23">
        <f t="shared" si="6"/>
        <v>5.9930733333333333</v>
      </c>
      <c r="Z21" s="23">
        <f t="shared" si="7"/>
        <v>0.98867333333333307</v>
      </c>
      <c r="AA21" s="22">
        <f t="shared" si="8"/>
        <v>83.503066317671184</v>
      </c>
      <c r="AB21" s="22">
        <f t="shared" si="9"/>
        <v>16.496933682328816</v>
      </c>
      <c r="AC21" s="22">
        <f t="shared" si="10"/>
        <v>1.0353778938741283</v>
      </c>
      <c r="AD21" s="22">
        <f t="shared" si="11"/>
        <v>0.1708056045139078</v>
      </c>
      <c r="AE21" s="24">
        <v>5.5511999999999997</v>
      </c>
      <c r="AF21" s="24">
        <v>6.1288</v>
      </c>
      <c r="AG21" s="24">
        <v>5.7938999999999998</v>
      </c>
      <c r="AH21" s="25">
        <f>AG21-AE21</f>
        <v>0.24270000000000014</v>
      </c>
      <c r="AI21" s="25">
        <v>57.98130193905817</v>
      </c>
      <c r="AJ21" s="26">
        <v>2.8990650969529086</v>
      </c>
      <c r="AK21" s="25">
        <v>28.990650969529085</v>
      </c>
      <c r="AL21" s="26">
        <v>2.9004617626113567</v>
      </c>
      <c r="AM21" s="17">
        <f t="shared" si="12"/>
        <v>0.5780346820809249</v>
      </c>
      <c r="AN21" s="17"/>
      <c r="AO21" s="27"/>
      <c r="AP21" s="17"/>
      <c r="AQ21" s="17"/>
      <c r="AR21" s="17"/>
      <c r="AS21" s="17"/>
      <c r="AT21" s="17"/>
      <c r="AU21" s="17"/>
      <c r="AV21" s="17"/>
      <c r="AW21" s="17"/>
      <c r="AX21" s="17"/>
      <c r="BB21" s="17"/>
    </row>
    <row r="22" spans="1:54" x14ac:dyDescent="0.2">
      <c r="A22" s="17" t="s">
        <v>41</v>
      </c>
      <c r="B22" s="18" t="s">
        <v>42</v>
      </c>
      <c r="C22" s="18" t="str">
        <f t="shared" si="1"/>
        <v>BI10.1</v>
      </c>
      <c r="D22" s="18" t="str">
        <f t="shared" si="2"/>
        <v>BI10.1_21</v>
      </c>
      <c r="E22" s="17">
        <v>1</v>
      </c>
      <c r="F22" s="19">
        <v>21</v>
      </c>
      <c r="G22" s="20">
        <v>2.5</v>
      </c>
      <c r="H22" s="20">
        <v>2.65</v>
      </c>
      <c r="I22" s="20">
        <v>1.05</v>
      </c>
      <c r="J22" s="20">
        <f t="shared" si="0"/>
        <v>5.4652926562500017</v>
      </c>
      <c r="K22" s="53">
        <v>0.20555555555555532</v>
      </c>
      <c r="L22" s="45">
        <f t="shared" si="13"/>
        <v>25.461111111111116</v>
      </c>
      <c r="M22" s="45">
        <f t="shared" si="14"/>
        <v>26.511111111111116</v>
      </c>
      <c r="N22" s="46">
        <f t="shared" si="15"/>
        <v>25.986111111111114</v>
      </c>
      <c r="O22" s="20">
        <f t="shared" si="16"/>
        <v>25.461111111111116</v>
      </c>
      <c r="P22" s="20">
        <f t="shared" si="17"/>
        <v>26.511111111111116</v>
      </c>
      <c r="Q22" s="20">
        <f t="shared" si="18"/>
        <v>25.986111111111114</v>
      </c>
      <c r="R22" s="20">
        <f t="shared" si="3"/>
        <v>25.461111111111116</v>
      </c>
      <c r="S22" s="20">
        <f t="shared" si="4"/>
        <v>25.986111111111114</v>
      </c>
      <c r="T22" s="20">
        <f t="shared" si="5"/>
        <v>25.986111111111114</v>
      </c>
      <c r="U22" s="20">
        <v>25.986111111111114</v>
      </c>
      <c r="V22" s="22">
        <v>7.1624999999999996</v>
      </c>
      <c r="W22" s="22">
        <v>2.2225000000000001</v>
      </c>
      <c r="X22" s="23">
        <v>1.1476266666666668</v>
      </c>
      <c r="Y22" s="23">
        <f t="shared" si="6"/>
        <v>6.0148733333333331</v>
      </c>
      <c r="Z22" s="23">
        <f t="shared" si="7"/>
        <v>1.0748733333333333</v>
      </c>
      <c r="AA22" s="22">
        <f t="shared" si="8"/>
        <v>82.129742826393681</v>
      </c>
      <c r="AB22" s="22">
        <f t="shared" si="9"/>
        <v>17.870257173606319</v>
      </c>
      <c r="AC22" s="22">
        <f t="shared" si="10"/>
        <v>1.100558325354241</v>
      </c>
      <c r="AD22" s="22">
        <f t="shared" si="11"/>
        <v>0.1966726030863378</v>
      </c>
      <c r="AE22" s="24">
        <v>5.7377000000000002</v>
      </c>
      <c r="AF22" s="24">
        <v>6.2774000000000001</v>
      </c>
      <c r="AG22" s="24">
        <v>5.9149000000000003</v>
      </c>
      <c r="AH22" s="25">
        <f>AG22-AE22</f>
        <v>0.17720000000000002</v>
      </c>
      <c r="AI22" s="25">
        <v>67.166944598851202</v>
      </c>
      <c r="AJ22" s="26">
        <v>3.3583472299425603</v>
      </c>
      <c r="AK22" s="25">
        <v>33.583472299425601</v>
      </c>
      <c r="AL22" s="26">
        <v>3.3595529638424915</v>
      </c>
      <c r="AM22" s="17">
        <f t="shared" si="12"/>
        <v>0.5780346820809249</v>
      </c>
      <c r="AN22" s="17"/>
      <c r="AO22" s="27"/>
      <c r="AP22" s="17"/>
      <c r="AQ22" s="17"/>
      <c r="AR22" s="17"/>
      <c r="AS22" s="17"/>
      <c r="AT22" s="17"/>
      <c r="AU22" s="17"/>
      <c r="AV22" s="17"/>
      <c r="AW22" s="17"/>
      <c r="AX22" s="17"/>
      <c r="BB22" s="17"/>
    </row>
    <row r="23" spans="1:54" x14ac:dyDescent="0.2">
      <c r="A23" s="17" t="s">
        <v>41</v>
      </c>
      <c r="B23" s="18" t="s">
        <v>42</v>
      </c>
      <c r="C23" s="18" t="str">
        <f t="shared" si="1"/>
        <v>BI10.1</v>
      </c>
      <c r="D23" s="18" t="str">
        <f t="shared" si="2"/>
        <v>BI10.1_22</v>
      </c>
      <c r="E23" s="17">
        <v>1</v>
      </c>
      <c r="F23" s="19">
        <v>22</v>
      </c>
      <c r="G23" s="20">
        <v>2.6</v>
      </c>
      <c r="H23" s="20">
        <v>2.65</v>
      </c>
      <c r="I23" s="20">
        <v>1.05</v>
      </c>
      <c r="J23" s="20">
        <f t="shared" si="0"/>
        <v>5.6795976562499995</v>
      </c>
      <c r="K23" s="53">
        <v>0.20555555555555532</v>
      </c>
      <c r="L23" s="45">
        <f t="shared" si="13"/>
        <v>26.716666666666672</v>
      </c>
      <c r="M23" s="45">
        <f t="shared" si="14"/>
        <v>27.766666666666673</v>
      </c>
      <c r="N23" s="46">
        <f t="shared" si="15"/>
        <v>27.241666666666674</v>
      </c>
      <c r="O23" s="20">
        <f t="shared" si="16"/>
        <v>26.716666666666672</v>
      </c>
      <c r="P23" s="20">
        <f t="shared" si="17"/>
        <v>27.766666666666673</v>
      </c>
      <c r="Q23" s="20">
        <f t="shared" si="18"/>
        <v>27.241666666666674</v>
      </c>
      <c r="R23" s="20">
        <f t="shared" si="3"/>
        <v>26.716666666666672</v>
      </c>
      <c r="S23" s="20">
        <f t="shared" si="4"/>
        <v>27.241666666666674</v>
      </c>
      <c r="T23" s="20">
        <f t="shared" si="5"/>
        <v>27.241666666666674</v>
      </c>
      <c r="U23" s="20">
        <v>27.241666666666674</v>
      </c>
      <c r="V23" s="22">
        <v>7.3369999999999997</v>
      </c>
      <c r="W23" s="22">
        <v>2.3641999999999999</v>
      </c>
      <c r="X23" s="23">
        <v>1.1476266666666668</v>
      </c>
      <c r="Y23" s="23">
        <f t="shared" si="6"/>
        <v>6.1893733333333332</v>
      </c>
      <c r="Z23" s="23">
        <f t="shared" si="7"/>
        <v>1.2165733333333331</v>
      </c>
      <c r="AA23" s="22">
        <f t="shared" si="8"/>
        <v>80.344159774926055</v>
      </c>
      <c r="AB23" s="22">
        <f t="shared" si="9"/>
        <v>19.655840225073945</v>
      </c>
      <c r="AC23" s="22">
        <f t="shared" si="10"/>
        <v>1.0897555967758317</v>
      </c>
      <c r="AD23" s="22">
        <f t="shared" si="11"/>
        <v>0.21420061894605849</v>
      </c>
      <c r="AE23" s="24">
        <v>5.3445999999999998</v>
      </c>
      <c r="AF23" s="24">
        <v>5.8105000000000002</v>
      </c>
      <c r="AG23" s="24">
        <v>5.4718</v>
      </c>
      <c r="AH23" s="25">
        <f>AG23-AE23</f>
        <v>0.1272000000000002</v>
      </c>
      <c r="AI23" s="25">
        <v>72.698003863490001</v>
      </c>
      <c r="AJ23" s="26">
        <v>3.6349001931745004</v>
      </c>
      <c r="AK23" s="25">
        <v>36.349001931745001</v>
      </c>
      <c r="AL23" s="26">
        <v>3.6360142208660324</v>
      </c>
      <c r="AM23" s="17">
        <f t="shared" si="12"/>
        <v>0.5780346820809249</v>
      </c>
      <c r="AN23" s="17"/>
      <c r="AO23" s="27"/>
      <c r="AP23" s="17"/>
      <c r="AQ23" s="17"/>
      <c r="AR23" s="17"/>
      <c r="AS23" s="17"/>
      <c r="AT23" s="17"/>
      <c r="AU23" s="17"/>
      <c r="AV23" s="17"/>
      <c r="AW23" s="17"/>
      <c r="AX23" s="17"/>
      <c r="BB23" s="17"/>
    </row>
    <row r="24" spans="1:54" x14ac:dyDescent="0.2">
      <c r="A24" s="17" t="s">
        <v>41</v>
      </c>
      <c r="B24" s="18" t="s">
        <v>42</v>
      </c>
      <c r="C24" s="18" t="str">
        <f t="shared" si="1"/>
        <v>BI10.1</v>
      </c>
      <c r="D24" s="18" t="str">
        <f t="shared" si="2"/>
        <v>BI10.1_23</v>
      </c>
      <c r="E24" s="17">
        <v>1</v>
      </c>
      <c r="F24" s="19">
        <v>23</v>
      </c>
      <c r="G24" s="20">
        <v>2.8</v>
      </c>
      <c r="H24" s="20">
        <v>2.7</v>
      </c>
      <c r="I24" s="20">
        <v>1.1000000000000001</v>
      </c>
      <c r="J24" s="20">
        <f t="shared" si="0"/>
        <v>6.5302187499999995</v>
      </c>
      <c r="K24" s="53">
        <v>0.20555555555555532</v>
      </c>
      <c r="L24" s="45">
        <f t="shared" si="13"/>
        <v>27.972222222222229</v>
      </c>
      <c r="M24" s="45">
        <f t="shared" si="14"/>
        <v>29.07222222222223</v>
      </c>
      <c r="N24" s="46">
        <f t="shared" si="15"/>
        <v>28.522222222222229</v>
      </c>
      <c r="O24" s="20">
        <f t="shared" si="16"/>
        <v>27.972222222222229</v>
      </c>
      <c r="P24" s="20">
        <f t="shared" si="17"/>
        <v>29.07222222222223</v>
      </c>
      <c r="Q24" s="20">
        <f t="shared" si="18"/>
        <v>28.522222222222229</v>
      </c>
      <c r="R24" s="20">
        <f t="shared" si="3"/>
        <v>27.972222222222229</v>
      </c>
      <c r="S24" s="20">
        <f t="shared" si="4"/>
        <v>28.522222222222229</v>
      </c>
      <c r="T24" s="20">
        <f t="shared" si="5"/>
        <v>28.522222222222229</v>
      </c>
      <c r="U24" s="20">
        <v>28.522222222222229</v>
      </c>
      <c r="V24" s="22">
        <v>7.6753999999999998</v>
      </c>
      <c r="W24" s="22">
        <v>2.1013000000000002</v>
      </c>
      <c r="X24" s="23">
        <v>1.1476266666666668</v>
      </c>
      <c r="Y24" s="23">
        <f t="shared" si="6"/>
        <v>6.5277733333333332</v>
      </c>
      <c r="Z24" s="23">
        <f t="shared" si="7"/>
        <v>0.95367333333333337</v>
      </c>
      <c r="AA24" s="22">
        <f t="shared" si="8"/>
        <v>85.390526223337005</v>
      </c>
      <c r="AB24" s="22">
        <f t="shared" si="9"/>
        <v>14.609473776662995</v>
      </c>
      <c r="AC24" s="22">
        <f t="shared" si="10"/>
        <v>0.99962552300921526</v>
      </c>
      <c r="AD24" s="22">
        <f t="shared" si="11"/>
        <v>0.14604002864886165</v>
      </c>
      <c r="AE24" s="24">
        <v>5.7371999999999996</v>
      </c>
      <c r="AF24" s="24">
        <v>6.1646999999999998</v>
      </c>
      <c r="AG24" s="24">
        <v>5.8376999999999999</v>
      </c>
      <c r="AH24" s="25">
        <f>AG24-AE24</f>
        <v>0.10050000000000026</v>
      </c>
      <c r="AI24" s="25">
        <v>76.491228070175382</v>
      </c>
      <c r="AJ24" s="26">
        <v>3.8245614035087692</v>
      </c>
      <c r="AK24" s="25">
        <v>38.245614035087691</v>
      </c>
      <c r="AL24" s="26">
        <v>3.8256202019030807</v>
      </c>
      <c r="AM24" s="17">
        <f t="shared" si="12"/>
        <v>0.5780346820809249</v>
      </c>
      <c r="AN24" s="17"/>
      <c r="AO24" s="27"/>
      <c r="AP24" s="17"/>
      <c r="AQ24" s="17"/>
      <c r="AR24" s="17"/>
      <c r="AS24" s="17"/>
      <c r="AT24" s="17"/>
      <c r="AU24" s="17"/>
      <c r="AV24" s="17"/>
      <c r="AW24" s="17"/>
      <c r="AX24" s="17"/>
      <c r="BB24" s="17"/>
    </row>
    <row r="25" spans="1:54" x14ac:dyDescent="0.2">
      <c r="A25" s="17" t="s">
        <v>41</v>
      </c>
      <c r="B25" s="18" t="s">
        <v>42</v>
      </c>
      <c r="C25" s="18" t="str">
        <f t="shared" si="1"/>
        <v>BI10.1</v>
      </c>
      <c r="D25" s="18" t="str">
        <f t="shared" si="2"/>
        <v>BI10.1_24</v>
      </c>
      <c r="E25" s="17">
        <v>1</v>
      </c>
      <c r="F25" s="19">
        <v>24</v>
      </c>
      <c r="G25" s="20">
        <v>2.65</v>
      </c>
      <c r="H25" s="20">
        <v>3.3</v>
      </c>
      <c r="I25" s="20">
        <v>1</v>
      </c>
      <c r="J25" s="20">
        <f t="shared" si="0"/>
        <v>6.9477406249999989</v>
      </c>
      <c r="K25" s="53">
        <v>0.20555555555555532</v>
      </c>
      <c r="L25" s="45">
        <f t="shared" si="13"/>
        <v>29.277777777777786</v>
      </c>
      <c r="M25" s="45">
        <f t="shared" si="14"/>
        <v>30.277777777777786</v>
      </c>
      <c r="N25" s="46">
        <f t="shared" si="15"/>
        <v>29.777777777777786</v>
      </c>
      <c r="O25" s="20">
        <f t="shared" si="16"/>
        <v>29.277777777777786</v>
      </c>
      <c r="P25" s="20">
        <f t="shared" si="17"/>
        <v>30.277777777777786</v>
      </c>
      <c r="Q25" s="20">
        <f t="shared" si="18"/>
        <v>29.777777777777786</v>
      </c>
      <c r="R25" s="20">
        <f t="shared" si="3"/>
        <v>29.277777777777786</v>
      </c>
      <c r="S25" s="20">
        <f t="shared" si="4"/>
        <v>29.777777777777786</v>
      </c>
      <c r="T25" s="20">
        <f t="shared" si="5"/>
        <v>29.777777777777786</v>
      </c>
      <c r="U25" s="20">
        <v>29.777777777777786</v>
      </c>
      <c r="V25" s="22">
        <v>8.0690000000000008</v>
      </c>
      <c r="W25" s="22">
        <v>2.1833999999999998</v>
      </c>
      <c r="X25" s="23">
        <v>1.1476266666666668</v>
      </c>
      <c r="Y25" s="23">
        <f t="shared" si="6"/>
        <v>6.9213733333333343</v>
      </c>
      <c r="Z25" s="23">
        <f t="shared" si="7"/>
        <v>1.035773333333333</v>
      </c>
      <c r="AA25" s="22">
        <f t="shared" si="8"/>
        <v>85.035147167325178</v>
      </c>
      <c r="AB25" s="22">
        <f t="shared" si="9"/>
        <v>14.964852832674822</v>
      </c>
      <c r="AC25" s="22">
        <f t="shared" si="10"/>
        <v>0.99620491133883327</v>
      </c>
      <c r="AD25" s="22">
        <f t="shared" si="11"/>
        <v>0.14908059889373507</v>
      </c>
      <c r="AE25" s="24">
        <v>5.5259</v>
      </c>
      <c r="AF25" s="24">
        <v>5.8353999999999999</v>
      </c>
      <c r="AG25" s="24">
        <v>5.5861000000000001</v>
      </c>
      <c r="AH25" s="25">
        <f>AG25-AE25</f>
        <v>6.0200000000000031E-2</v>
      </c>
      <c r="AI25" s="25">
        <v>80.549273021001596</v>
      </c>
      <c r="AJ25" s="26">
        <v>4.0274636510500796</v>
      </c>
      <c r="AK25" s="25">
        <v>40.274636510500798</v>
      </c>
      <c r="AL25" s="26">
        <v>4.0284691212084072</v>
      </c>
      <c r="AM25" s="17">
        <f t="shared" si="12"/>
        <v>0.5780346820809249</v>
      </c>
      <c r="AN25" s="17"/>
      <c r="AO25" s="27"/>
      <c r="AP25" s="17"/>
      <c r="AQ25" s="17"/>
      <c r="AR25" s="17"/>
      <c r="AS25" s="17"/>
      <c r="AT25" s="17"/>
      <c r="AU25" s="17"/>
      <c r="AV25" s="17"/>
      <c r="AW25" s="17"/>
      <c r="AX25" s="17"/>
      <c r="BB25" s="17"/>
    </row>
    <row r="26" spans="1:54" x14ac:dyDescent="0.2">
      <c r="A26" s="17" t="s">
        <v>41</v>
      </c>
      <c r="B26" s="18" t="s">
        <v>42</v>
      </c>
      <c r="C26" s="18" t="str">
        <f t="shared" si="1"/>
        <v>BI10.1</v>
      </c>
      <c r="D26" s="18" t="str">
        <f t="shared" si="2"/>
        <v>BI10.1_25</v>
      </c>
      <c r="E26" s="17">
        <v>1</v>
      </c>
      <c r="F26" s="19">
        <v>25</v>
      </c>
      <c r="G26" s="20">
        <v>2.7</v>
      </c>
      <c r="H26" s="20">
        <v>2.4500000000000002</v>
      </c>
      <c r="I26" s="20">
        <v>1</v>
      </c>
      <c r="J26" s="20">
        <f t="shared" si="0"/>
        <v>5.2050406250000014</v>
      </c>
      <c r="K26" s="53">
        <v>0.20555555555555532</v>
      </c>
      <c r="L26" s="45">
        <f t="shared" si="13"/>
        <v>30.483333333333341</v>
      </c>
      <c r="M26" s="45">
        <f t="shared" si="14"/>
        <v>31.483333333333341</v>
      </c>
      <c r="N26" s="46">
        <f t="shared" si="15"/>
        <v>30.983333333333341</v>
      </c>
      <c r="O26" s="20">
        <f t="shared" si="16"/>
        <v>30.483333333333341</v>
      </c>
      <c r="P26" s="20">
        <f t="shared" si="17"/>
        <v>31.483333333333341</v>
      </c>
      <c r="Q26" s="20">
        <f t="shared" si="18"/>
        <v>30.983333333333341</v>
      </c>
      <c r="R26" s="20">
        <f t="shared" si="3"/>
        <v>30.483333333333341</v>
      </c>
      <c r="S26" s="20">
        <f t="shared" si="4"/>
        <v>30.983333333333341</v>
      </c>
      <c r="T26" s="20">
        <f t="shared" si="5"/>
        <v>30.983333333333341</v>
      </c>
      <c r="U26" s="20">
        <v>30.983333333333341</v>
      </c>
      <c r="V26" s="22">
        <v>7.7588999999999997</v>
      </c>
      <c r="W26" s="22">
        <v>2.1141000000000001</v>
      </c>
      <c r="X26" s="23">
        <v>1.1476266666666668</v>
      </c>
      <c r="Y26" s="23">
        <f t="shared" si="6"/>
        <v>6.6112733333333331</v>
      </c>
      <c r="Z26" s="23">
        <f t="shared" si="7"/>
        <v>0.9664733333333333</v>
      </c>
      <c r="AA26" s="22">
        <f t="shared" si="8"/>
        <v>85.381434337913731</v>
      </c>
      <c r="AB26" s="22">
        <f t="shared" si="9"/>
        <v>14.618565662086269</v>
      </c>
      <c r="AC26" s="22">
        <f t="shared" si="10"/>
        <v>1.2701674798807803</v>
      </c>
      <c r="AD26" s="22">
        <f t="shared" si="11"/>
        <v>0.18568026706483834</v>
      </c>
      <c r="AE26" s="24">
        <v>5.6424000000000003</v>
      </c>
      <c r="AF26" s="24">
        <v>6.226</v>
      </c>
      <c r="AG26" s="24">
        <v>5.8372999999999999</v>
      </c>
      <c r="AH26" s="25">
        <f>AG26-AE26</f>
        <v>0.19489999999999963</v>
      </c>
      <c r="AI26" s="25">
        <v>66.603838245373595</v>
      </c>
      <c r="AJ26" s="26">
        <v>3.3301919122686798</v>
      </c>
      <c r="AK26" s="25">
        <v>33.301919122686797</v>
      </c>
      <c r="AL26" s="26">
        <v>3.3314078364168696</v>
      </c>
      <c r="AM26" s="17">
        <f t="shared" si="12"/>
        <v>0.5780346820809249</v>
      </c>
      <c r="AN26" s="17"/>
      <c r="AO26" s="27"/>
      <c r="AP26" s="17"/>
      <c r="AQ26" s="17"/>
      <c r="AR26" s="17"/>
      <c r="AS26" s="17"/>
      <c r="AT26" s="17"/>
      <c r="AU26" s="17"/>
      <c r="AV26" s="17"/>
      <c r="AW26" s="17"/>
      <c r="AX26" s="17"/>
      <c r="BB26" s="17"/>
    </row>
    <row r="27" spans="1:54" x14ac:dyDescent="0.2">
      <c r="A27" s="17" t="s">
        <v>41</v>
      </c>
      <c r="B27" s="18" t="s">
        <v>42</v>
      </c>
      <c r="C27" s="18" t="str">
        <f t="shared" si="1"/>
        <v>BI10.1</v>
      </c>
      <c r="D27" s="18" t="str">
        <f t="shared" si="2"/>
        <v>BI10.1_26</v>
      </c>
      <c r="E27" s="17">
        <v>1</v>
      </c>
      <c r="F27" s="19">
        <v>26</v>
      </c>
      <c r="G27" s="20">
        <v>2.7</v>
      </c>
      <c r="H27" s="20">
        <v>2.6</v>
      </c>
      <c r="I27" s="20">
        <v>0.95</v>
      </c>
      <c r="J27" s="20">
        <f t="shared" si="0"/>
        <v>5.2370293750000014</v>
      </c>
      <c r="K27" s="53">
        <v>0.20555555555555532</v>
      </c>
      <c r="L27" s="45">
        <f t="shared" si="13"/>
        <v>31.688888888888897</v>
      </c>
      <c r="M27" s="45">
        <f t="shared" si="14"/>
        <v>32.6388888888889</v>
      </c>
      <c r="N27" s="46">
        <f t="shared" si="15"/>
        <v>32.163888888888899</v>
      </c>
      <c r="O27" s="20">
        <f t="shared" si="16"/>
        <v>31.688888888888897</v>
      </c>
      <c r="P27" s="20">
        <f t="shared" si="17"/>
        <v>32.6388888888889</v>
      </c>
      <c r="Q27" s="20">
        <f t="shared" si="18"/>
        <v>32.163888888888899</v>
      </c>
      <c r="R27" s="20">
        <f t="shared" si="3"/>
        <v>31.688888888888897</v>
      </c>
      <c r="S27" s="20">
        <f t="shared" si="4"/>
        <v>32.163888888888899</v>
      </c>
      <c r="T27" s="20">
        <f t="shared" si="5"/>
        <v>32.163888888888899</v>
      </c>
      <c r="U27" s="20">
        <v>32.163888888888899</v>
      </c>
      <c r="V27" s="22">
        <v>6.9016999999999999</v>
      </c>
      <c r="W27" s="22">
        <v>2.294</v>
      </c>
      <c r="X27" s="23">
        <v>1.1476266666666668</v>
      </c>
      <c r="Y27" s="23">
        <f t="shared" si="6"/>
        <v>5.7540733333333334</v>
      </c>
      <c r="Z27" s="23">
        <f t="shared" si="7"/>
        <v>1.1463733333333332</v>
      </c>
      <c r="AA27" s="22">
        <f t="shared" si="8"/>
        <v>80.077185900770587</v>
      </c>
      <c r="AB27" s="22">
        <f t="shared" si="9"/>
        <v>19.922814099229413</v>
      </c>
      <c r="AC27" s="22">
        <f t="shared" si="10"/>
        <v>1.0987284816085898</v>
      </c>
      <c r="AD27" s="22">
        <f t="shared" si="11"/>
        <v>0.21889763284616537</v>
      </c>
      <c r="AE27" s="24">
        <v>5.1772999999999998</v>
      </c>
      <c r="AF27" s="24">
        <v>6.1219000000000001</v>
      </c>
      <c r="AG27" s="24">
        <v>5.867</v>
      </c>
      <c r="AH27" s="25">
        <f>AG27-AE27</f>
        <v>0.6897000000000002</v>
      </c>
      <c r="AI27" s="25">
        <v>26.98496718187593</v>
      </c>
      <c r="AJ27" s="26">
        <v>1.3492483590937967</v>
      </c>
      <c r="AK27" s="25">
        <v>13.492483590937965</v>
      </c>
      <c r="AL27" s="26">
        <v>1.3522466988376429</v>
      </c>
      <c r="AM27" s="17">
        <f t="shared" si="12"/>
        <v>0.5780346820809249</v>
      </c>
      <c r="AN27" s="17"/>
      <c r="AO27" s="27"/>
      <c r="AP27" s="17"/>
      <c r="AQ27" s="17"/>
      <c r="AR27" s="17"/>
      <c r="AS27" s="17"/>
      <c r="AT27" s="17"/>
      <c r="AU27" s="17"/>
      <c r="AV27" s="17"/>
      <c r="AW27" s="17"/>
      <c r="AX27" s="17"/>
      <c r="BB27" s="17"/>
    </row>
    <row r="28" spans="1:54" x14ac:dyDescent="0.2">
      <c r="A28" s="17" t="s">
        <v>41</v>
      </c>
      <c r="B28" s="18" t="s">
        <v>42</v>
      </c>
      <c r="C28" s="18" t="str">
        <f t="shared" si="1"/>
        <v>BI10.1</v>
      </c>
      <c r="D28" s="18" t="str">
        <f t="shared" si="2"/>
        <v>BI10.1_27</v>
      </c>
      <c r="E28" s="17">
        <v>1</v>
      </c>
      <c r="F28" s="19">
        <v>27</v>
      </c>
      <c r="G28" s="20">
        <v>2.7</v>
      </c>
      <c r="H28" s="20">
        <v>2.85</v>
      </c>
      <c r="I28" s="20">
        <v>1</v>
      </c>
      <c r="J28" s="20">
        <f t="shared" si="0"/>
        <v>6.0449906250000023</v>
      </c>
      <c r="K28" s="53">
        <v>0.20555555555555532</v>
      </c>
      <c r="L28" s="45">
        <f t="shared" si="13"/>
        <v>32.844444444444456</v>
      </c>
      <c r="M28" s="45">
        <f t="shared" si="14"/>
        <v>33.844444444444456</v>
      </c>
      <c r="N28" s="46">
        <f t="shared" si="15"/>
        <v>33.344444444444456</v>
      </c>
      <c r="O28" s="20">
        <f t="shared" si="16"/>
        <v>32.844444444444456</v>
      </c>
      <c r="P28" s="20">
        <f t="shared" si="17"/>
        <v>33.844444444444456</v>
      </c>
      <c r="Q28" s="20">
        <f t="shared" si="18"/>
        <v>33.344444444444456</v>
      </c>
      <c r="R28" s="20">
        <f t="shared" si="3"/>
        <v>32.844444444444456</v>
      </c>
      <c r="S28" s="20">
        <f t="shared" si="4"/>
        <v>33.344444444444456</v>
      </c>
      <c r="T28" s="20">
        <f t="shared" si="5"/>
        <v>33.344444444444456</v>
      </c>
      <c r="U28" s="20">
        <v>33.344444444444456</v>
      </c>
      <c r="V28" s="22">
        <v>7.5430000000000001</v>
      </c>
      <c r="W28" s="22">
        <v>2.2118000000000002</v>
      </c>
      <c r="X28" s="23">
        <v>1.1476266666666668</v>
      </c>
      <c r="Y28" s="23">
        <f t="shared" si="6"/>
        <v>6.3953733333333336</v>
      </c>
      <c r="Z28" s="23">
        <f t="shared" si="7"/>
        <v>1.0641733333333334</v>
      </c>
      <c r="AA28" s="22">
        <f t="shared" si="8"/>
        <v>83.360262523115665</v>
      </c>
      <c r="AB28" s="22">
        <f t="shared" si="9"/>
        <v>16.639737476884335</v>
      </c>
      <c r="AC28" s="22">
        <f t="shared" si="10"/>
        <v>1.0579624899473408</v>
      </c>
      <c r="AD28" s="22">
        <f t="shared" si="11"/>
        <v>0.17604218093114626</v>
      </c>
      <c r="AE28" s="24">
        <v>5.3865999999999996</v>
      </c>
      <c r="AF28" s="24">
        <v>5.7944000000000004</v>
      </c>
      <c r="AG28" s="24">
        <v>5.5441000000000003</v>
      </c>
      <c r="AH28" s="25">
        <f>AG28-AE28</f>
        <v>0.15750000000000064</v>
      </c>
      <c r="AI28" s="25">
        <v>61.378126532613955</v>
      </c>
      <c r="AJ28" s="26">
        <v>3.0689063266306977</v>
      </c>
      <c r="AK28" s="25">
        <v>30.689063266306977</v>
      </c>
      <c r="AL28" s="26">
        <v>3.0702257313809884</v>
      </c>
      <c r="AM28" s="17">
        <f t="shared" si="12"/>
        <v>0.5780346820809249</v>
      </c>
      <c r="AN28" s="17"/>
      <c r="AO28" s="27"/>
      <c r="AP28" s="17"/>
      <c r="AQ28" s="17"/>
      <c r="AR28" s="17"/>
      <c r="AS28" s="17"/>
      <c r="AT28" s="17"/>
      <c r="AU28" s="17"/>
      <c r="AV28" s="17"/>
      <c r="AW28" s="17"/>
      <c r="AX28" s="17"/>
      <c r="BB28" s="17"/>
    </row>
    <row r="29" spans="1:54" x14ac:dyDescent="0.2">
      <c r="A29" s="17" t="s">
        <v>41</v>
      </c>
      <c r="B29" s="18" t="s">
        <v>42</v>
      </c>
      <c r="C29" s="18" t="str">
        <f t="shared" si="1"/>
        <v>BI10.1</v>
      </c>
      <c r="D29" s="18" t="str">
        <f t="shared" si="2"/>
        <v>BI10.1_28</v>
      </c>
      <c r="E29" s="17">
        <v>1</v>
      </c>
      <c r="F29" s="19">
        <v>28</v>
      </c>
      <c r="G29" s="20">
        <v>2.4</v>
      </c>
      <c r="H29" s="20">
        <v>2.6</v>
      </c>
      <c r="I29" s="20">
        <v>0.9</v>
      </c>
      <c r="J29" s="20">
        <f t="shared" si="0"/>
        <v>4.4156250000000004</v>
      </c>
      <c r="K29" s="53">
        <v>0.20555555555555532</v>
      </c>
      <c r="L29" s="45">
        <f t="shared" si="13"/>
        <v>34.050000000000011</v>
      </c>
      <c r="M29" s="45">
        <f t="shared" si="14"/>
        <v>34.95000000000001</v>
      </c>
      <c r="N29" s="46">
        <f t="shared" si="15"/>
        <v>34.500000000000014</v>
      </c>
      <c r="O29" s="20">
        <f t="shared" si="16"/>
        <v>34.050000000000011</v>
      </c>
      <c r="P29" s="20">
        <f t="shared" si="17"/>
        <v>34.95000000000001</v>
      </c>
      <c r="Q29" s="20">
        <f t="shared" si="18"/>
        <v>34.500000000000014</v>
      </c>
      <c r="R29" s="20">
        <f t="shared" si="3"/>
        <v>34.050000000000011</v>
      </c>
      <c r="S29" s="20">
        <f t="shared" si="4"/>
        <v>34.500000000000014</v>
      </c>
      <c r="T29" s="20">
        <f t="shared" si="5"/>
        <v>34.500000000000014</v>
      </c>
      <c r="U29" s="20">
        <v>34.500000000000014</v>
      </c>
      <c r="V29" s="22">
        <v>6.3602999999999996</v>
      </c>
      <c r="W29" s="22">
        <v>2.0217999999999998</v>
      </c>
      <c r="X29" s="23">
        <v>1.1476266666666668</v>
      </c>
      <c r="Y29" s="23">
        <f t="shared" si="6"/>
        <v>5.212673333333333</v>
      </c>
      <c r="Z29" s="23">
        <f t="shared" si="7"/>
        <v>0.87417333333333302</v>
      </c>
      <c r="AA29" s="22">
        <f t="shared" si="8"/>
        <v>83.229846233730356</v>
      </c>
      <c r="AB29" s="22">
        <f t="shared" si="9"/>
        <v>16.770153766269644</v>
      </c>
      <c r="AC29" s="22">
        <f t="shared" si="10"/>
        <v>1.1805063458362819</v>
      </c>
      <c r="AD29" s="22">
        <f t="shared" si="11"/>
        <v>0.19797272941731531</v>
      </c>
      <c r="AE29" s="24">
        <v>5.6413000000000002</v>
      </c>
      <c r="AF29" s="24">
        <v>6.1196999999999999</v>
      </c>
      <c r="AG29" s="24">
        <v>5.7545999999999999</v>
      </c>
      <c r="AH29" s="25">
        <f>AG29-AE29</f>
        <v>0.11329999999999973</v>
      </c>
      <c r="AI29" s="25">
        <v>76.316889632107063</v>
      </c>
      <c r="AJ29" s="26">
        <v>3.8158444816053532</v>
      </c>
      <c r="AK29" s="25">
        <v>38.158444816053532</v>
      </c>
      <c r="AL29" s="26">
        <v>3.8169056980488825</v>
      </c>
      <c r="AM29" s="17">
        <f t="shared" si="12"/>
        <v>0.5780346820809249</v>
      </c>
      <c r="AN29" s="17"/>
      <c r="AO29" s="27"/>
      <c r="AP29" s="17"/>
      <c r="AQ29" s="17"/>
      <c r="AR29" s="17"/>
      <c r="AS29" s="17"/>
      <c r="AT29" s="17"/>
      <c r="AU29" s="17"/>
      <c r="AV29" s="17"/>
      <c r="AW29" s="17"/>
      <c r="AX29" s="17"/>
      <c r="BB29" s="17"/>
    </row>
    <row r="30" spans="1:54" x14ac:dyDescent="0.2">
      <c r="A30" s="17" t="s">
        <v>41</v>
      </c>
      <c r="B30" s="18" t="s">
        <v>42</v>
      </c>
      <c r="C30" s="18" t="str">
        <f t="shared" si="1"/>
        <v>BI10.1</v>
      </c>
      <c r="D30" s="18" t="str">
        <f t="shared" si="2"/>
        <v>BI10.1_29</v>
      </c>
      <c r="E30" s="17">
        <v>1</v>
      </c>
      <c r="F30" s="19">
        <v>29</v>
      </c>
      <c r="G30" s="20">
        <v>2.6</v>
      </c>
      <c r="H30" s="20">
        <v>2.8</v>
      </c>
      <c r="I30" s="20">
        <v>0.9</v>
      </c>
      <c r="J30" s="20">
        <f t="shared" si="0"/>
        <v>5.1503850000000009</v>
      </c>
      <c r="K30" s="53">
        <v>0.20555555555555532</v>
      </c>
      <c r="L30" s="45">
        <f t="shared" si="13"/>
        <v>35.155555555555566</v>
      </c>
      <c r="M30" s="45">
        <f t="shared" si="14"/>
        <v>36.055555555555564</v>
      </c>
      <c r="N30" s="46">
        <f t="shared" si="15"/>
        <v>35.605555555555569</v>
      </c>
      <c r="O30" s="20">
        <f t="shared" si="16"/>
        <v>35.155555555555566</v>
      </c>
      <c r="P30" s="20">
        <f t="shared" si="17"/>
        <v>36.055555555555564</v>
      </c>
      <c r="Q30" s="20">
        <f t="shared" si="18"/>
        <v>35.605555555555569</v>
      </c>
      <c r="R30" s="20">
        <f t="shared" si="3"/>
        <v>35.155555555555566</v>
      </c>
      <c r="S30" s="20">
        <f t="shared" si="4"/>
        <v>35.605555555555569</v>
      </c>
      <c r="T30" s="20">
        <f t="shared" si="5"/>
        <v>35.605555555555569</v>
      </c>
      <c r="U30" s="20">
        <v>35.605555555555569</v>
      </c>
      <c r="V30" s="22">
        <v>7.5545999999999998</v>
      </c>
      <c r="W30" s="22">
        <v>2.3418000000000001</v>
      </c>
      <c r="X30" s="23">
        <v>1.1476266666666668</v>
      </c>
      <c r="Y30" s="23">
        <f t="shared" si="6"/>
        <v>6.4069733333333332</v>
      </c>
      <c r="Z30" s="23">
        <f t="shared" si="7"/>
        <v>1.1941733333333333</v>
      </c>
      <c r="AA30" s="22">
        <f t="shared" si="8"/>
        <v>81.361350029030859</v>
      </c>
      <c r="AB30" s="22">
        <f t="shared" si="9"/>
        <v>18.638649970969141</v>
      </c>
      <c r="AC30" s="22">
        <f t="shared" si="10"/>
        <v>1.2439794953840018</v>
      </c>
      <c r="AD30" s="22">
        <f t="shared" si="11"/>
        <v>0.2318609838552522</v>
      </c>
      <c r="AE30" s="24">
        <v>5.5887000000000002</v>
      </c>
      <c r="AF30" s="24">
        <v>5.9634999999999998</v>
      </c>
      <c r="AG30" s="24">
        <v>5.6862000000000004</v>
      </c>
      <c r="AH30" s="25">
        <f>AG30-AE30</f>
        <v>9.7500000000000142E-2</v>
      </c>
      <c r="AI30" s="25">
        <v>73.986125933831318</v>
      </c>
      <c r="AJ30" s="26">
        <v>3.699306296691566</v>
      </c>
      <c r="AK30" s="25">
        <v>36.993062966915659</v>
      </c>
      <c r="AL30" s="26">
        <v>3.7004009345936919</v>
      </c>
      <c r="AM30" s="17">
        <f t="shared" si="12"/>
        <v>0.5780346820809249</v>
      </c>
      <c r="AN30" s="17"/>
      <c r="AO30" s="27"/>
      <c r="AP30" s="17"/>
      <c r="AQ30" s="17"/>
      <c r="AR30" s="17"/>
      <c r="AS30" s="17"/>
      <c r="AT30" s="17"/>
      <c r="AU30" s="17"/>
      <c r="AV30" s="17"/>
      <c r="AW30" s="17"/>
      <c r="AX30" s="17"/>
      <c r="BB30" s="17"/>
    </row>
    <row r="31" spans="1:54" x14ac:dyDescent="0.2">
      <c r="A31" s="17" t="s">
        <v>41</v>
      </c>
      <c r="B31" s="18" t="s">
        <v>42</v>
      </c>
      <c r="C31" s="18" t="str">
        <f t="shared" si="1"/>
        <v>BI10.1</v>
      </c>
      <c r="D31" s="18" t="str">
        <f t="shared" si="2"/>
        <v>BI10.1_30</v>
      </c>
      <c r="E31" s="17">
        <v>1</v>
      </c>
      <c r="F31" s="19">
        <v>30</v>
      </c>
      <c r="G31" s="20">
        <v>2.4</v>
      </c>
      <c r="H31" s="20">
        <v>2.6</v>
      </c>
      <c r="I31" s="20">
        <v>0.95</v>
      </c>
      <c r="J31" s="20">
        <f t="shared" si="0"/>
        <v>4.6609375000000002</v>
      </c>
      <c r="K31" s="53">
        <v>0.20555555555555532</v>
      </c>
      <c r="L31" s="45">
        <f t="shared" si="13"/>
        <v>36.26111111111112</v>
      </c>
      <c r="M31" s="45">
        <f t="shared" si="14"/>
        <v>37.211111111111123</v>
      </c>
      <c r="N31" s="46">
        <f t="shared" si="15"/>
        <v>36.736111111111121</v>
      </c>
      <c r="O31" s="20">
        <f t="shared" si="16"/>
        <v>36.26111111111112</v>
      </c>
      <c r="P31" s="20">
        <f t="shared" si="17"/>
        <v>37.211111111111123</v>
      </c>
      <c r="Q31" s="20">
        <f t="shared" si="18"/>
        <v>36.736111111111121</v>
      </c>
      <c r="R31" s="20">
        <f t="shared" si="3"/>
        <v>36.26111111111112</v>
      </c>
      <c r="S31" s="20">
        <f t="shared" si="4"/>
        <v>36.736111111111121</v>
      </c>
      <c r="T31" s="20">
        <f t="shared" si="5"/>
        <v>36.736111111111121</v>
      </c>
      <c r="U31" s="20">
        <v>36.736111111111121</v>
      </c>
      <c r="V31" s="22">
        <v>7.6462000000000003</v>
      </c>
      <c r="W31" s="22">
        <v>2.5636999999999999</v>
      </c>
      <c r="X31" s="23">
        <v>1.1476266666666668</v>
      </c>
      <c r="Y31" s="23">
        <f t="shared" si="6"/>
        <v>6.4985733333333338</v>
      </c>
      <c r="Z31" s="23">
        <f t="shared" si="7"/>
        <v>1.4160733333333331</v>
      </c>
      <c r="AA31" s="22">
        <f t="shared" si="8"/>
        <v>78.209473669092503</v>
      </c>
      <c r="AB31" s="22">
        <f t="shared" si="9"/>
        <v>21.790526330907497</v>
      </c>
      <c r="AC31" s="22">
        <f t="shared" si="10"/>
        <v>1.394263135545871</v>
      </c>
      <c r="AD31" s="22">
        <f t="shared" si="11"/>
        <v>0.3038172756732595</v>
      </c>
      <c r="AE31" s="24">
        <v>5.0591999999999997</v>
      </c>
      <c r="AF31" s="24">
        <v>5.5439999999999996</v>
      </c>
      <c r="AG31" s="24">
        <v>5.2435</v>
      </c>
      <c r="AH31" s="25">
        <f>AG31-AE31</f>
        <v>0.18430000000000035</v>
      </c>
      <c r="AI31" s="25">
        <v>61.98432343234316</v>
      </c>
      <c r="AJ31" s="26">
        <v>3.099216171617158</v>
      </c>
      <c r="AK31" s="25">
        <v>30.99216171617158</v>
      </c>
      <c r="AL31" s="26">
        <v>3.1005226782614113</v>
      </c>
      <c r="AM31" s="17">
        <f t="shared" si="12"/>
        <v>0.5780346820809249</v>
      </c>
      <c r="AN31" s="17"/>
      <c r="AO31" s="27"/>
      <c r="AP31" s="17"/>
      <c r="AQ31" s="17"/>
      <c r="AR31" s="17"/>
      <c r="AS31" s="17"/>
      <c r="AT31" s="17"/>
      <c r="AU31" s="17"/>
      <c r="AV31" s="17"/>
      <c r="AW31" s="17"/>
      <c r="AX31" s="17"/>
      <c r="BB31" s="17"/>
    </row>
    <row r="32" spans="1:54" x14ac:dyDescent="0.2">
      <c r="A32" s="17" t="s">
        <v>41</v>
      </c>
      <c r="B32" s="18" t="s">
        <v>42</v>
      </c>
      <c r="C32" s="18" t="str">
        <f t="shared" si="1"/>
        <v>BI10.1</v>
      </c>
      <c r="D32" s="18" t="str">
        <f t="shared" si="2"/>
        <v>BI10.1_31</v>
      </c>
      <c r="E32" s="17">
        <v>1</v>
      </c>
      <c r="F32" s="19">
        <v>31</v>
      </c>
      <c r="G32" s="20">
        <v>2.6</v>
      </c>
      <c r="H32" s="20">
        <v>2.7</v>
      </c>
      <c r="I32" s="20">
        <v>1</v>
      </c>
      <c r="J32" s="20">
        <f t="shared" si="0"/>
        <v>5.512662500000002</v>
      </c>
      <c r="K32" s="53">
        <v>0.20555555555555532</v>
      </c>
      <c r="L32" s="45">
        <f t="shared" si="13"/>
        <v>37.416666666666679</v>
      </c>
      <c r="M32" s="45">
        <f t="shared" si="14"/>
        <v>38.416666666666679</v>
      </c>
      <c r="N32" s="46">
        <f t="shared" si="15"/>
        <v>37.916666666666679</v>
      </c>
      <c r="O32" s="20">
        <f t="shared" si="16"/>
        <v>37.416666666666679</v>
      </c>
      <c r="P32" s="20">
        <f t="shared" si="17"/>
        <v>38.416666666666679</v>
      </c>
      <c r="Q32" s="20">
        <f t="shared" si="18"/>
        <v>37.916666666666679</v>
      </c>
      <c r="R32" s="20">
        <f t="shared" si="3"/>
        <v>37.416666666666679</v>
      </c>
      <c r="S32" s="20">
        <f t="shared" si="4"/>
        <v>37.916666666666679</v>
      </c>
      <c r="T32" s="20">
        <f t="shared" si="5"/>
        <v>37.916666666666679</v>
      </c>
      <c r="U32" s="20">
        <v>37.916666666666679</v>
      </c>
      <c r="V32" s="22">
        <v>8.3172999999999995</v>
      </c>
      <c r="W32" s="22">
        <v>2.7164000000000001</v>
      </c>
      <c r="X32" s="23">
        <v>1.1476266666666668</v>
      </c>
      <c r="Y32" s="23">
        <f t="shared" si="6"/>
        <v>7.1696733333333329</v>
      </c>
      <c r="Z32" s="23">
        <f t="shared" si="7"/>
        <v>1.5687733333333334</v>
      </c>
      <c r="AA32" s="22">
        <f t="shared" si="8"/>
        <v>78.11931924374052</v>
      </c>
      <c r="AB32" s="22">
        <f t="shared" si="9"/>
        <v>21.88068075625948</v>
      </c>
      <c r="AC32" s="22">
        <f t="shared" si="10"/>
        <v>1.3005826736777972</v>
      </c>
      <c r="AD32" s="22">
        <f t="shared" si="11"/>
        <v>0.28457634279866267</v>
      </c>
      <c r="AE32" s="24">
        <v>4.9819000000000004</v>
      </c>
      <c r="AF32" s="24">
        <v>5.7191999999999998</v>
      </c>
      <c r="AG32" s="24">
        <v>5.4198000000000004</v>
      </c>
      <c r="AH32" s="25">
        <f>AG32-AE32</f>
        <v>0.43789999999999996</v>
      </c>
      <c r="AI32" s="25">
        <v>40.607622406076182</v>
      </c>
      <c r="AJ32" s="26">
        <v>2.0303811203038094</v>
      </c>
      <c r="AK32" s="25">
        <v>20.303811203038091</v>
      </c>
      <c r="AL32" s="26">
        <v>2.0323748408416571</v>
      </c>
      <c r="AM32" s="17">
        <f t="shared" si="12"/>
        <v>0.5780346820809249</v>
      </c>
      <c r="AN32" s="17"/>
      <c r="AO32" s="27"/>
      <c r="AP32" s="17"/>
      <c r="AQ32" s="17"/>
      <c r="AR32" s="17"/>
      <c r="AS32" s="17"/>
      <c r="AT32" s="17"/>
      <c r="AU32" s="17"/>
      <c r="AV32" s="17"/>
      <c r="AW32" s="17"/>
      <c r="AX32" s="17"/>
      <c r="BB32" s="17"/>
    </row>
    <row r="33" spans="1:54" x14ac:dyDescent="0.2">
      <c r="A33" s="17" t="s">
        <v>41</v>
      </c>
      <c r="B33" s="18" t="s">
        <v>42</v>
      </c>
      <c r="C33" s="18" t="str">
        <f t="shared" si="1"/>
        <v>BI10.1</v>
      </c>
      <c r="D33" s="18" t="str">
        <f t="shared" si="2"/>
        <v>BI10.1_32</v>
      </c>
      <c r="E33" s="17">
        <v>1</v>
      </c>
      <c r="F33" s="19">
        <v>32</v>
      </c>
      <c r="G33" s="20">
        <v>2.6</v>
      </c>
      <c r="H33" s="20">
        <v>2.75</v>
      </c>
      <c r="I33" s="20">
        <v>1</v>
      </c>
      <c r="J33" s="20">
        <f t="shared" si="0"/>
        <v>5.6171656249999993</v>
      </c>
      <c r="K33" s="53">
        <v>0.20555555555555532</v>
      </c>
      <c r="L33" s="45">
        <f t="shared" si="13"/>
        <v>38.622222222222234</v>
      </c>
      <c r="M33" s="45">
        <f t="shared" si="14"/>
        <v>39.622222222222234</v>
      </c>
      <c r="N33" s="46">
        <f t="shared" si="15"/>
        <v>39.122222222222234</v>
      </c>
      <c r="O33" s="20">
        <f t="shared" si="16"/>
        <v>38.622222222222234</v>
      </c>
      <c r="P33" s="20">
        <f t="shared" si="17"/>
        <v>39.622222222222234</v>
      </c>
      <c r="Q33" s="20">
        <f t="shared" si="18"/>
        <v>39.122222222222234</v>
      </c>
      <c r="R33" s="20">
        <f t="shared" si="3"/>
        <v>38.622222222222234</v>
      </c>
      <c r="S33" s="20">
        <f t="shared" si="4"/>
        <v>39.122222222222234</v>
      </c>
      <c r="T33" s="20">
        <f t="shared" si="5"/>
        <v>39.122222222222234</v>
      </c>
      <c r="U33" s="20">
        <v>39.122222222222234</v>
      </c>
      <c r="V33" s="22">
        <v>8.2612000000000005</v>
      </c>
      <c r="W33" s="22">
        <v>2.3517000000000001</v>
      </c>
      <c r="X33" s="23">
        <v>1.1476266666666668</v>
      </c>
      <c r="Y33" s="23">
        <f t="shared" si="6"/>
        <v>7.113573333333334</v>
      </c>
      <c r="Z33" s="23">
        <f t="shared" si="7"/>
        <v>1.2040733333333333</v>
      </c>
      <c r="AA33" s="22">
        <f t="shared" si="8"/>
        <v>83.073579523090118</v>
      </c>
      <c r="AB33" s="22">
        <f t="shared" si="9"/>
        <v>16.926420476909882</v>
      </c>
      <c r="AC33" s="22">
        <f t="shared" si="10"/>
        <v>1.2663990717441833</v>
      </c>
      <c r="AD33" s="22">
        <f t="shared" si="11"/>
        <v>0.21435603179910392</v>
      </c>
      <c r="AE33" s="24">
        <v>5.7373000000000003</v>
      </c>
      <c r="AF33" s="24">
        <v>6.0217999999999998</v>
      </c>
      <c r="AG33" s="24">
        <v>5.8066000000000004</v>
      </c>
      <c r="AH33" s="25">
        <f>AG33-AE33</f>
        <v>6.9300000000000139E-2</v>
      </c>
      <c r="AI33" s="25">
        <v>75.641476274165115</v>
      </c>
      <c r="AJ33" s="26">
        <v>3.7820738137082559</v>
      </c>
      <c r="AK33" s="25">
        <v>37.820738137082557</v>
      </c>
      <c r="AL33" s="26">
        <v>3.7831445032324251</v>
      </c>
      <c r="AM33" s="17">
        <f t="shared" si="12"/>
        <v>0.5780346820809249</v>
      </c>
      <c r="AN33" s="17"/>
      <c r="AO33" s="27"/>
      <c r="AP33" s="17"/>
      <c r="AQ33" s="17"/>
      <c r="AR33" s="17"/>
      <c r="AS33" s="17"/>
      <c r="AT33" s="17"/>
      <c r="AU33" s="17"/>
      <c r="AV33" s="17"/>
      <c r="AW33" s="17"/>
      <c r="AX33" s="17"/>
      <c r="BB33" s="17"/>
    </row>
    <row r="34" spans="1:54" x14ac:dyDescent="0.2">
      <c r="A34" s="17" t="s">
        <v>41</v>
      </c>
      <c r="B34" s="18" t="s">
        <v>42</v>
      </c>
      <c r="C34" s="18" t="str">
        <f t="shared" si="1"/>
        <v>BI10.1</v>
      </c>
      <c r="D34" s="18" t="str">
        <f t="shared" si="2"/>
        <v>BI10.1_33</v>
      </c>
      <c r="E34" s="17">
        <v>1</v>
      </c>
      <c r="F34" s="19">
        <v>33</v>
      </c>
      <c r="G34" s="20">
        <v>2.2999999999999998</v>
      </c>
      <c r="H34" s="20">
        <v>2.7</v>
      </c>
      <c r="I34" s="20">
        <v>0.9</v>
      </c>
      <c r="J34" s="20">
        <f t="shared" si="0"/>
        <v>4.4156250000000004</v>
      </c>
      <c r="K34" s="53">
        <v>0.20555555555555532</v>
      </c>
      <c r="L34" s="45">
        <f t="shared" si="13"/>
        <v>39.82777777777779</v>
      </c>
      <c r="M34" s="45">
        <f t="shared" si="14"/>
        <v>40.727777777777789</v>
      </c>
      <c r="N34" s="46">
        <f t="shared" si="15"/>
        <v>40.277777777777786</v>
      </c>
      <c r="O34" s="20">
        <f t="shared" si="16"/>
        <v>39.82777777777779</v>
      </c>
      <c r="P34" s="20">
        <f t="shared" si="17"/>
        <v>40.727777777777789</v>
      </c>
      <c r="Q34" s="20">
        <f t="shared" si="18"/>
        <v>40.277777777777786</v>
      </c>
      <c r="R34" s="20">
        <f t="shared" si="3"/>
        <v>39.82777777777779</v>
      </c>
      <c r="S34" s="20">
        <f t="shared" si="4"/>
        <v>40.277777777777786</v>
      </c>
      <c r="T34" s="20">
        <f t="shared" si="5"/>
        <v>40.277777777777786</v>
      </c>
      <c r="U34" s="20">
        <v>40.277777777777786</v>
      </c>
      <c r="V34" s="22">
        <v>6.6294000000000004</v>
      </c>
      <c r="W34" s="22">
        <v>1.9587000000000001</v>
      </c>
      <c r="X34" s="23">
        <v>1.1476266666666668</v>
      </c>
      <c r="Y34" s="23">
        <f t="shared" si="6"/>
        <v>5.4817733333333338</v>
      </c>
      <c r="Z34" s="23">
        <f t="shared" si="7"/>
        <v>0.81107333333333331</v>
      </c>
      <c r="AA34" s="22">
        <f t="shared" si="8"/>
        <v>85.204179669352726</v>
      </c>
      <c r="AB34" s="22">
        <f t="shared" si="9"/>
        <v>14.795820330647274</v>
      </c>
      <c r="AC34" s="22">
        <f t="shared" si="10"/>
        <v>1.2414490209955178</v>
      </c>
      <c r="AD34" s="22">
        <f t="shared" si="11"/>
        <v>0.18368256664307617</v>
      </c>
      <c r="AE34" s="24">
        <v>5.4414999999999996</v>
      </c>
      <c r="AF34" s="24">
        <v>5.9737</v>
      </c>
      <c r="AG34" s="24">
        <v>5.6009000000000002</v>
      </c>
      <c r="AH34" s="25">
        <f>AG34-AE34</f>
        <v>0.15940000000000065</v>
      </c>
      <c r="AI34" s="25">
        <v>70.048853814355411</v>
      </c>
      <c r="AJ34" s="26">
        <v>3.5024426907177708</v>
      </c>
      <c r="AK34" s="25">
        <v>35.024426907177705</v>
      </c>
      <c r="AL34" s="26">
        <v>3.5035988357348131</v>
      </c>
      <c r="AM34" s="17">
        <f t="shared" si="12"/>
        <v>0.5780346820809249</v>
      </c>
      <c r="AN34" s="17"/>
      <c r="AO34" s="27"/>
      <c r="AP34" s="17"/>
      <c r="AQ34" s="17"/>
      <c r="AR34" s="17"/>
      <c r="AS34" s="17"/>
      <c r="AT34" s="17"/>
      <c r="AU34" s="17"/>
      <c r="AV34" s="17"/>
      <c r="AW34" s="17"/>
      <c r="AX34" s="17"/>
      <c r="BB34" s="17"/>
    </row>
    <row r="35" spans="1:54" x14ac:dyDescent="0.2">
      <c r="A35" s="17" t="s">
        <v>41</v>
      </c>
      <c r="B35" s="18" t="s">
        <v>42</v>
      </c>
      <c r="C35" s="18" t="str">
        <f t="shared" si="1"/>
        <v>BI10.1</v>
      </c>
      <c r="D35" s="18" t="str">
        <f t="shared" si="2"/>
        <v>BI10.1_34</v>
      </c>
      <c r="E35" s="17">
        <v>1</v>
      </c>
      <c r="F35" s="19">
        <v>34</v>
      </c>
      <c r="G35" s="20">
        <v>2.4</v>
      </c>
      <c r="H35" s="20">
        <v>2.6</v>
      </c>
      <c r="I35" s="20">
        <v>1</v>
      </c>
      <c r="J35" s="20">
        <f t="shared" si="0"/>
        <v>4.90625</v>
      </c>
      <c r="K35" s="53">
        <v>0.20555555555555532</v>
      </c>
      <c r="L35" s="45">
        <f t="shared" si="13"/>
        <v>40.933333333333344</v>
      </c>
      <c r="M35" s="45">
        <f t="shared" si="14"/>
        <v>41.933333333333344</v>
      </c>
      <c r="N35" s="46">
        <f t="shared" si="15"/>
        <v>41.433333333333344</v>
      </c>
      <c r="O35" s="20">
        <f t="shared" si="16"/>
        <v>40.933333333333344</v>
      </c>
      <c r="P35" s="20">
        <f t="shared" si="17"/>
        <v>41.933333333333344</v>
      </c>
      <c r="Q35" s="20">
        <f t="shared" si="18"/>
        <v>41.433333333333344</v>
      </c>
      <c r="R35" s="20">
        <f t="shared" si="3"/>
        <v>40.933333333333344</v>
      </c>
      <c r="S35" s="20">
        <f t="shared" si="4"/>
        <v>41.433333333333344</v>
      </c>
      <c r="T35" s="20">
        <f t="shared" si="5"/>
        <v>41.433333333333344</v>
      </c>
      <c r="U35" s="20">
        <v>41.433333333333344</v>
      </c>
      <c r="V35" s="22">
        <v>7.6886999999999999</v>
      </c>
      <c r="W35" s="22">
        <v>2.4214000000000002</v>
      </c>
      <c r="X35" s="23">
        <v>1.1476266666666668</v>
      </c>
      <c r="Y35" s="23">
        <f t="shared" si="6"/>
        <v>6.5410733333333333</v>
      </c>
      <c r="Z35" s="23">
        <f t="shared" si="7"/>
        <v>1.2737733333333334</v>
      </c>
      <c r="AA35" s="22">
        <f t="shared" si="8"/>
        <v>80.526539477211173</v>
      </c>
      <c r="AB35" s="22">
        <f t="shared" si="9"/>
        <v>19.473460522788827</v>
      </c>
      <c r="AC35" s="22">
        <f t="shared" si="10"/>
        <v>1.3332123991507432</v>
      </c>
      <c r="AD35" s="22">
        <f t="shared" si="11"/>
        <v>0.25962259023354567</v>
      </c>
      <c r="AE35" s="24">
        <v>5.4508000000000001</v>
      </c>
      <c r="AF35" s="24">
        <v>6.0471000000000004</v>
      </c>
      <c r="AG35" s="24">
        <v>5.7670000000000003</v>
      </c>
      <c r="AH35" s="25">
        <f>AG35-AE35</f>
        <v>0.31620000000000026</v>
      </c>
      <c r="AI35" s="25">
        <v>46.973000167700803</v>
      </c>
      <c r="AJ35" s="26">
        <v>2.3486500083850403</v>
      </c>
      <c r="AK35" s="25">
        <v>23.486500083850402</v>
      </c>
      <c r="AL35" s="26">
        <v>2.3503737706771344</v>
      </c>
      <c r="AM35" s="17">
        <f t="shared" si="12"/>
        <v>0.5780346820809249</v>
      </c>
      <c r="AN35" s="17"/>
      <c r="AO35" s="27"/>
      <c r="AP35" s="17"/>
      <c r="AQ35" s="17"/>
      <c r="AR35" s="17"/>
      <c r="AS35" s="17"/>
      <c r="AT35" s="17"/>
      <c r="AU35" s="17"/>
      <c r="AV35" s="17"/>
      <c r="AW35" s="17"/>
      <c r="AX35" s="17"/>
      <c r="BB35" s="17"/>
    </row>
    <row r="36" spans="1:54" x14ac:dyDescent="0.2">
      <c r="A36" s="17" t="s">
        <v>41</v>
      </c>
      <c r="B36" s="18" t="s">
        <v>42</v>
      </c>
      <c r="C36" s="18" t="str">
        <f t="shared" si="1"/>
        <v>BI10.1</v>
      </c>
      <c r="D36" s="18" t="str">
        <f t="shared" si="2"/>
        <v>BI10.1_35</v>
      </c>
      <c r="E36" s="17">
        <v>1</v>
      </c>
      <c r="F36" s="19">
        <v>35</v>
      </c>
      <c r="G36" s="20">
        <v>2.4</v>
      </c>
      <c r="H36" s="20">
        <v>2.5</v>
      </c>
      <c r="I36" s="20">
        <v>0.95</v>
      </c>
      <c r="J36" s="20">
        <f t="shared" si="0"/>
        <v>4.4763643750000002</v>
      </c>
      <c r="K36" s="53">
        <v>0.20555555555555532</v>
      </c>
      <c r="L36" s="45">
        <f t="shared" si="13"/>
        <v>42.1388888888889</v>
      </c>
      <c r="M36" s="45">
        <f t="shared" si="14"/>
        <v>43.088888888888903</v>
      </c>
      <c r="N36" s="46">
        <f t="shared" si="15"/>
        <v>42.613888888888901</v>
      </c>
      <c r="O36" s="20">
        <f t="shared" si="16"/>
        <v>42.1388888888889</v>
      </c>
      <c r="P36" s="20">
        <f t="shared" si="17"/>
        <v>43.088888888888903</v>
      </c>
      <c r="Q36" s="20">
        <f t="shared" si="18"/>
        <v>42.613888888888901</v>
      </c>
      <c r="R36" s="20">
        <f t="shared" si="3"/>
        <v>42.1388888888889</v>
      </c>
      <c r="S36" s="20">
        <f t="shared" si="4"/>
        <v>42.613888888888901</v>
      </c>
      <c r="T36" s="20">
        <f t="shared" si="5"/>
        <v>42.613888888888901</v>
      </c>
      <c r="U36" s="20">
        <v>42.613888888888901</v>
      </c>
      <c r="V36" s="22">
        <v>7.1139000000000001</v>
      </c>
      <c r="W36" s="22">
        <v>2.0874000000000001</v>
      </c>
      <c r="X36" s="23">
        <v>1.1476266666666668</v>
      </c>
      <c r="Y36" s="23">
        <f t="shared" si="6"/>
        <v>5.9662733333333335</v>
      </c>
      <c r="Z36" s="23">
        <f t="shared" si="7"/>
        <v>0.93977333333333335</v>
      </c>
      <c r="AA36" s="22">
        <f t="shared" si="8"/>
        <v>84.248570576160887</v>
      </c>
      <c r="AB36" s="22">
        <f t="shared" si="9"/>
        <v>15.751429423839113</v>
      </c>
      <c r="AC36" s="22">
        <f t="shared" si="10"/>
        <v>1.3328390706204147</v>
      </c>
      <c r="AD36" s="22">
        <f t="shared" si="11"/>
        <v>0.20994120554212778</v>
      </c>
      <c r="AE36" s="24">
        <v>5.0738000000000003</v>
      </c>
      <c r="AF36" s="24">
        <v>5.3733000000000004</v>
      </c>
      <c r="AG36" s="24">
        <v>5.1440000000000001</v>
      </c>
      <c r="AH36" s="25">
        <f>AG36-AE36</f>
        <v>7.0199999999999818E-2</v>
      </c>
      <c r="AI36" s="25">
        <v>76.560934891485871</v>
      </c>
      <c r="AJ36" s="26">
        <v>3.8280467445742938</v>
      </c>
      <c r="AK36" s="25">
        <v>38.280467445742936</v>
      </c>
      <c r="AL36" s="26">
        <v>3.8291045792255205</v>
      </c>
      <c r="AM36" s="17">
        <f t="shared" si="12"/>
        <v>0.5780346820809249</v>
      </c>
      <c r="AN36" s="17"/>
      <c r="AO36" s="27"/>
      <c r="AP36" s="17"/>
      <c r="AQ36" s="17"/>
      <c r="AR36" s="17"/>
      <c r="AS36" s="17"/>
      <c r="AT36" s="17"/>
      <c r="AU36" s="17"/>
      <c r="AV36" s="17"/>
      <c r="AW36" s="17"/>
      <c r="AX36" s="17"/>
      <c r="BB36" s="17"/>
    </row>
    <row r="37" spans="1:54" x14ac:dyDescent="0.2">
      <c r="A37" s="17" t="s">
        <v>41</v>
      </c>
      <c r="B37" s="18" t="s">
        <v>42</v>
      </c>
      <c r="C37" s="18" t="str">
        <f t="shared" si="1"/>
        <v>BI10.1</v>
      </c>
      <c r="D37" s="18" t="str">
        <f t="shared" si="2"/>
        <v>BI10.1_36</v>
      </c>
      <c r="E37" s="17">
        <v>1</v>
      </c>
      <c r="F37" s="19">
        <v>36</v>
      </c>
      <c r="G37" s="20">
        <v>2.5</v>
      </c>
      <c r="H37" s="20">
        <v>2.4500000000000002</v>
      </c>
      <c r="I37" s="20">
        <v>0.95</v>
      </c>
      <c r="J37" s="20">
        <f t="shared" si="0"/>
        <v>4.5681848437500001</v>
      </c>
      <c r="K37" s="53">
        <v>0.20555555555555532</v>
      </c>
      <c r="L37" s="45">
        <f t="shared" si="13"/>
        <v>43.294444444444458</v>
      </c>
      <c r="M37" s="45">
        <f t="shared" si="14"/>
        <v>44.244444444444461</v>
      </c>
      <c r="N37" s="46">
        <f t="shared" si="15"/>
        <v>43.76944444444446</v>
      </c>
      <c r="O37" s="20">
        <f t="shared" si="16"/>
        <v>43.294444444444458</v>
      </c>
      <c r="P37" s="20">
        <f t="shared" si="17"/>
        <v>44.244444444444461</v>
      </c>
      <c r="Q37" s="20">
        <f t="shared" si="18"/>
        <v>43.76944444444446</v>
      </c>
      <c r="R37" s="20">
        <f t="shared" si="3"/>
        <v>43.294444444444458</v>
      </c>
      <c r="S37" s="20">
        <f t="shared" si="4"/>
        <v>43.76944444444446</v>
      </c>
      <c r="T37" s="20">
        <f t="shared" si="5"/>
        <v>43.76944444444446</v>
      </c>
      <c r="U37" s="20">
        <v>43.76944444444446</v>
      </c>
      <c r="V37" s="22">
        <v>6.8640999999999996</v>
      </c>
      <c r="W37" s="22">
        <v>2.1029</v>
      </c>
      <c r="X37" s="23">
        <v>1.1476266666666668</v>
      </c>
      <c r="Y37" s="23">
        <f t="shared" si="6"/>
        <v>5.7164733333333331</v>
      </c>
      <c r="Z37" s="23">
        <f t="shared" si="7"/>
        <v>0.9552733333333332</v>
      </c>
      <c r="AA37" s="22">
        <f t="shared" si="8"/>
        <v>83.289114150799264</v>
      </c>
      <c r="AB37" s="22">
        <f t="shared" si="9"/>
        <v>16.710885849200736</v>
      </c>
      <c r="AC37" s="22">
        <f t="shared" si="10"/>
        <v>1.2513664680522667</v>
      </c>
      <c r="AD37" s="22">
        <f t="shared" si="11"/>
        <v>0.20911442203138919</v>
      </c>
      <c r="AE37" s="24">
        <v>5.6794000000000002</v>
      </c>
      <c r="AF37" s="24">
        <v>6.0171999999999999</v>
      </c>
      <c r="AG37" s="24">
        <v>5.8080999999999996</v>
      </c>
      <c r="AH37" s="25">
        <f>AG37-AE37</f>
        <v>0.12869999999999937</v>
      </c>
      <c r="AI37" s="25">
        <v>61.900532859680432</v>
      </c>
      <c r="AJ37" s="26">
        <v>3.0950266429840219</v>
      </c>
      <c r="AK37" s="25">
        <v>30.950266429840216</v>
      </c>
      <c r="AL37" s="26">
        <v>3.0963349174113812</v>
      </c>
      <c r="AM37" s="17">
        <f t="shared" si="12"/>
        <v>0.5780346820809249</v>
      </c>
      <c r="AN37" s="17"/>
      <c r="AO37" s="27"/>
      <c r="AP37" s="17"/>
      <c r="AQ37" s="17"/>
      <c r="AR37" s="17"/>
      <c r="AS37" s="17"/>
      <c r="AT37" s="17"/>
      <c r="AU37" s="17"/>
      <c r="AV37" s="17"/>
      <c r="AW37" s="17"/>
      <c r="AX37" s="17"/>
      <c r="BB37" s="17"/>
    </row>
    <row r="38" spans="1:54" x14ac:dyDescent="0.2">
      <c r="A38" s="17" t="s">
        <v>41</v>
      </c>
      <c r="B38" s="18" t="s">
        <v>42</v>
      </c>
      <c r="C38" s="18" t="str">
        <f t="shared" si="1"/>
        <v>BI10.1</v>
      </c>
      <c r="D38" s="18" t="str">
        <f t="shared" si="2"/>
        <v>BI10.1_37</v>
      </c>
      <c r="E38" s="17">
        <v>1</v>
      </c>
      <c r="F38" s="19">
        <v>37</v>
      </c>
      <c r="G38" s="20">
        <v>2.1</v>
      </c>
      <c r="H38" s="20">
        <v>2.5</v>
      </c>
      <c r="I38" s="20">
        <v>0.9</v>
      </c>
      <c r="J38" s="20">
        <f t="shared" si="0"/>
        <v>3.7373849999999993</v>
      </c>
      <c r="K38" s="53">
        <v>0.20555555555555532</v>
      </c>
      <c r="L38" s="45">
        <f t="shared" si="13"/>
        <v>44.450000000000017</v>
      </c>
      <c r="M38" s="45">
        <f t="shared" si="14"/>
        <v>45.350000000000016</v>
      </c>
      <c r="N38" s="46">
        <f t="shared" si="15"/>
        <v>44.90000000000002</v>
      </c>
      <c r="O38" s="20">
        <f t="shared" si="16"/>
        <v>44.450000000000017</v>
      </c>
      <c r="P38" s="20">
        <f t="shared" si="17"/>
        <v>45.350000000000016</v>
      </c>
      <c r="Q38" s="20">
        <f t="shared" si="18"/>
        <v>44.90000000000002</v>
      </c>
      <c r="R38" s="20">
        <f t="shared" si="3"/>
        <v>44.450000000000017</v>
      </c>
      <c r="S38" s="20">
        <f t="shared" si="4"/>
        <v>44.90000000000002</v>
      </c>
      <c r="T38" s="20">
        <f t="shared" si="5"/>
        <v>44.90000000000002</v>
      </c>
      <c r="U38" s="20">
        <v>44.90000000000002</v>
      </c>
      <c r="V38" s="22">
        <v>5.3632</v>
      </c>
      <c r="W38" s="22">
        <v>1.8949</v>
      </c>
      <c r="X38" s="23">
        <v>1.1476266666666668</v>
      </c>
      <c r="Y38" s="23">
        <f t="shared" si="6"/>
        <v>4.2155733333333334</v>
      </c>
      <c r="Z38" s="23">
        <f t="shared" si="7"/>
        <v>0.74727333333333323</v>
      </c>
      <c r="AA38" s="22">
        <f t="shared" si="8"/>
        <v>82.273506490220399</v>
      </c>
      <c r="AB38" s="22">
        <f t="shared" si="9"/>
        <v>17.726493509779601</v>
      </c>
      <c r="AC38" s="22">
        <f t="shared" si="10"/>
        <v>1.127947303618261</v>
      </c>
      <c r="AD38" s="22">
        <f t="shared" si="11"/>
        <v>0.19994550556962512</v>
      </c>
      <c r="AE38" s="24">
        <v>5.0137999999999998</v>
      </c>
      <c r="AF38" s="24">
        <v>5.3554000000000004</v>
      </c>
      <c r="AG38" s="24">
        <v>5.0965999999999996</v>
      </c>
      <c r="AH38" s="25">
        <f>AG38-AE38</f>
        <v>8.2799999999999763E-2</v>
      </c>
      <c r="AI38" s="25">
        <v>75.761124121779972</v>
      </c>
      <c r="AJ38" s="26">
        <v>3.7880562060889988</v>
      </c>
      <c r="AK38" s="25">
        <v>37.880562060889986</v>
      </c>
      <c r="AL38" s="26">
        <v>3.7891252051745901</v>
      </c>
      <c r="AM38" s="17">
        <f t="shared" si="12"/>
        <v>0.5780346820809249</v>
      </c>
      <c r="AN38" s="17"/>
      <c r="AO38" s="27"/>
      <c r="AP38" s="17"/>
      <c r="AQ38" s="17"/>
      <c r="AR38" s="17"/>
      <c r="AS38" s="17"/>
      <c r="AT38" s="17"/>
      <c r="AU38" s="17"/>
      <c r="AV38" s="17"/>
      <c r="AW38" s="17"/>
      <c r="AX38" s="17"/>
      <c r="BB38" s="17"/>
    </row>
    <row r="39" spans="1:54" x14ac:dyDescent="0.2">
      <c r="A39" s="17" t="s">
        <v>41</v>
      </c>
      <c r="B39" s="18" t="s">
        <v>42</v>
      </c>
      <c r="C39" s="18" t="str">
        <f t="shared" si="1"/>
        <v>BI10.1</v>
      </c>
      <c r="D39" s="18" t="str">
        <f t="shared" si="2"/>
        <v>BI10.1_38</v>
      </c>
      <c r="E39" s="17">
        <v>1</v>
      </c>
      <c r="F39" s="19">
        <v>38</v>
      </c>
      <c r="G39" s="20">
        <v>2.2000000000000002</v>
      </c>
      <c r="H39" s="20">
        <v>2.4</v>
      </c>
      <c r="I39" s="20">
        <v>0.9</v>
      </c>
      <c r="J39" s="20">
        <f t="shared" si="0"/>
        <v>3.7373849999999993</v>
      </c>
      <c r="K39" s="53">
        <v>0.20555555555555532</v>
      </c>
      <c r="L39" s="45">
        <f t="shared" si="13"/>
        <v>45.555555555555571</v>
      </c>
      <c r="M39" s="45">
        <f t="shared" si="14"/>
        <v>46.45555555555557</v>
      </c>
      <c r="N39" s="46">
        <f t="shared" si="15"/>
        <v>46.005555555555574</v>
      </c>
      <c r="O39" s="20">
        <f t="shared" si="16"/>
        <v>45.555555555555571</v>
      </c>
      <c r="P39" s="20">
        <f t="shared" si="17"/>
        <v>46.45555555555557</v>
      </c>
      <c r="Q39" s="20">
        <f t="shared" si="18"/>
        <v>46.005555555555574</v>
      </c>
      <c r="R39" s="20">
        <f t="shared" si="3"/>
        <v>45.555555555555571</v>
      </c>
      <c r="S39" s="20">
        <f t="shared" si="4"/>
        <v>46.005555555555574</v>
      </c>
      <c r="T39" s="20">
        <f t="shared" si="5"/>
        <v>46.005555555555574</v>
      </c>
      <c r="U39" s="20">
        <v>46.005555555555574</v>
      </c>
      <c r="V39" s="22">
        <v>6.0327999999999999</v>
      </c>
      <c r="W39" s="22">
        <v>1.8285</v>
      </c>
      <c r="X39" s="23">
        <v>1.1476266666666668</v>
      </c>
      <c r="Y39" s="23">
        <f t="shared" si="6"/>
        <v>4.8851733333333334</v>
      </c>
      <c r="Z39" s="23">
        <f t="shared" si="7"/>
        <v>0.68087333333333322</v>
      </c>
      <c r="AA39" s="22">
        <f t="shared" si="8"/>
        <v>86.062452918763711</v>
      </c>
      <c r="AB39" s="22">
        <f t="shared" si="9"/>
        <v>13.937547081236289</v>
      </c>
      <c r="AC39" s="22">
        <f t="shared" si="10"/>
        <v>1.3071100069522765</v>
      </c>
      <c r="AD39" s="22">
        <f t="shared" si="11"/>
        <v>0.18217907262252439</v>
      </c>
      <c r="AE39" s="24">
        <v>5.3922999999999996</v>
      </c>
      <c r="AF39" s="24">
        <v>5.665</v>
      </c>
      <c r="AG39" s="24">
        <v>5.4740000000000002</v>
      </c>
      <c r="AH39" s="25">
        <f>AG39-AE39</f>
        <v>8.170000000000055E-2</v>
      </c>
      <c r="AI39" s="25">
        <v>70.040337367069881</v>
      </c>
      <c r="AJ39" s="26">
        <v>3.5020168683534942</v>
      </c>
      <c r="AK39" s="25">
        <v>35.020168683534941</v>
      </c>
      <c r="AL39" s="26">
        <v>3.5031731539038171</v>
      </c>
      <c r="AM39" s="17">
        <f t="shared" si="12"/>
        <v>0.5780346820809249</v>
      </c>
      <c r="AN39" s="17"/>
      <c r="AO39" s="27"/>
      <c r="AP39" s="17"/>
      <c r="AQ39" s="17"/>
      <c r="AR39" s="17"/>
      <c r="AS39" s="17"/>
      <c r="AT39" s="17"/>
      <c r="AU39" s="17"/>
      <c r="AV39" s="17"/>
      <c r="AW39" s="17"/>
      <c r="AX39" s="17"/>
      <c r="BB39" s="17"/>
    </row>
    <row r="40" spans="1:54" x14ac:dyDescent="0.2">
      <c r="A40" s="17" t="s">
        <v>41</v>
      </c>
      <c r="B40" s="18" t="s">
        <v>42</v>
      </c>
      <c r="C40" s="18" t="str">
        <f t="shared" si="1"/>
        <v>BI10.1</v>
      </c>
      <c r="D40" s="18" t="str">
        <f t="shared" si="2"/>
        <v>BI10.1_39</v>
      </c>
      <c r="E40" s="17">
        <v>1</v>
      </c>
      <c r="F40" s="19">
        <v>39</v>
      </c>
      <c r="G40" s="20">
        <v>2.1</v>
      </c>
      <c r="H40" s="20">
        <v>2.5</v>
      </c>
      <c r="I40" s="20">
        <v>0.95</v>
      </c>
      <c r="J40" s="20">
        <f t="shared" si="0"/>
        <v>3.9450174999999992</v>
      </c>
      <c r="K40" s="53">
        <v>0.20555555555555532</v>
      </c>
      <c r="L40" s="45">
        <f t="shared" si="13"/>
        <v>46.661111111111126</v>
      </c>
      <c r="M40" s="45">
        <f t="shared" si="14"/>
        <v>47.611111111111128</v>
      </c>
      <c r="N40" s="46">
        <f t="shared" si="15"/>
        <v>47.136111111111127</v>
      </c>
      <c r="O40" s="20">
        <f t="shared" si="16"/>
        <v>46.661111111111126</v>
      </c>
      <c r="P40" s="20">
        <f t="shared" si="17"/>
        <v>47.611111111111128</v>
      </c>
      <c r="Q40" s="20">
        <f t="shared" si="18"/>
        <v>47.136111111111127</v>
      </c>
      <c r="R40" s="20">
        <f t="shared" si="3"/>
        <v>46.661111111111126</v>
      </c>
      <c r="S40" s="20">
        <f t="shared" si="4"/>
        <v>47.136111111111127</v>
      </c>
      <c r="T40" s="20">
        <f t="shared" si="5"/>
        <v>47.136111111111127</v>
      </c>
      <c r="U40" s="20">
        <v>47.136111111111127</v>
      </c>
      <c r="V40" s="22">
        <v>5.2168000000000001</v>
      </c>
      <c r="W40" s="22">
        <v>1.6580999999999999</v>
      </c>
      <c r="X40" s="23">
        <v>1.1476266666666668</v>
      </c>
      <c r="Y40" s="23">
        <f t="shared" si="6"/>
        <v>4.0691733333333335</v>
      </c>
      <c r="Z40" s="23">
        <f t="shared" si="7"/>
        <v>0.51047333333333311</v>
      </c>
      <c r="AA40" s="22">
        <f t="shared" si="8"/>
        <v>87.455109637338296</v>
      </c>
      <c r="AB40" s="22">
        <f t="shared" si="9"/>
        <v>12.544890362661704</v>
      </c>
      <c r="AC40" s="22">
        <f t="shared" si="10"/>
        <v>1.0314715545199316</v>
      </c>
      <c r="AD40" s="22">
        <f t="shared" si="11"/>
        <v>0.12939697563656771</v>
      </c>
      <c r="AE40" s="24">
        <v>5.6681999999999997</v>
      </c>
      <c r="AF40" s="24">
        <v>5.8834999999999997</v>
      </c>
      <c r="AG40" s="24">
        <v>5.7043999999999997</v>
      </c>
      <c r="AH40" s="25">
        <f>AG40-AE40</f>
        <v>3.620000000000001E-2</v>
      </c>
      <c r="AI40" s="25">
        <v>83.186251741755683</v>
      </c>
      <c r="AJ40" s="26">
        <v>4.1593125870877845</v>
      </c>
      <c r="AK40" s="25">
        <v>41.593125870877842</v>
      </c>
      <c r="AL40" s="26">
        <v>4.1602861917309095</v>
      </c>
      <c r="AM40" s="17">
        <f t="shared" si="12"/>
        <v>0.5780346820809249</v>
      </c>
      <c r="AN40" s="17"/>
      <c r="AO40" s="27"/>
      <c r="AP40" s="17"/>
      <c r="AQ40" s="17"/>
      <c r="AR40" s="17"/>
      <c r="AS40" s="17"/>
      <c r="AT40" s="17"/>
      <c r="AU40" s="17"/>
      <c r="AV40" s="17"/>
      <c r="AW40" s="17"/>
      <c r="AX40" s="17"/>
      <c r="BB40" s="17"/>
    </row>
    <row r="41" spans="1:54" x14ac:dyDescent="0.2">
      <c r="A41" s="17" t="s">
        <v>41</v>
      </c>
      <c r="B41" s="18" t="s">
        <v>42</v>
      </c>
      <c r="C41" s="18" t="str">
        <f t="shared" si="1"/>
        <v>BI10.1</v>
      </c>
      <c r="D41" s="18" t="str">
        <f t="shared" si="2"/>
        <v>BI10.1_40</v>
      </c>
      <c r="E41" s="17">
        <v>1</v>
      </c>
      <c r="F41" s="19">
        <v>40</v>
      </c>
      <c r="G41" s="20">
        <v>2.4</v>
      </c>
      <c r="H41" s="20">
        <v>2.2999999999999998</v>
      </c>
      <c r="I41" s="20">
        <v>0.95</v>
      </c>
      <c r="J41" s="20">
        <f t="shared" si="0"/>
        <v>4.118404374999999</v>
      </c>
      <c r="K41" s="53">
        <v>0.20555555555555532</v>
      </c>
      <c r="L41" s="45">
        <f t="shared" si="13"/>
        <v>47.816666666666684</v>
      </c>
      <c r="M41" s="45">
        <f t="shared" si="14"/>
        <v>48.766666666666687</v>
      </c>
      <c r="N41" s="46">
        <f t="shared" si="15"/>
        <v>48.291666666666686</v>
      </c>
      <c r="O41" s="20">
        <f t="shared" si="16"/>
        <v>47.816666666666684</v>
      </c>
      <c r="P41" s="20">
        <f t="shared" si="17"/>
        <v>48.766666666666687</v>
      </c>
      <c r="Q41" s="20">
        <f t="shared" si="18"/>
        <v>48.291666666666686</v>
      </c>
      <c r="R41" s="20">
        <f t="shared" si="3"/>
        <v>47.816666666666684</v>
      </c>
      <c r="S41" s="20">
        <f t="shared" si="4"/>
        <v>48.291666666666686</v>
      </c>
      <c r="T41" s="20">
        <f t="shared" si="5"/>
        <v>48.291666666666686</v>
      </c>
      <c r="U41" s="20">
        <v>48.291666666666686</v>
      </c>
      <c r="V41" s="22">
        <v>5.7156000000000002</v>
      </c>
      <c r="W41" s="22">
        <v>1.7033</v>
      </c>
      <c r="X41" s="23">
        <v>1.1476266666666668</v>
      </c>
      <c r="Y41" s="23">
        <f t="shared" si="6"/>
        <v>4.5679733333333337</v>
      </c>
      <c r="Z41" s="23">
        <f t="shared" si="7"/>
        <v>0.55567333333333324</v>
      </c>
      <c r="AA41" s="22">
        <f t="shared" si="8"/>
        <v>87.835451462063418</v>
      </c>
      <c r="AB41" s="22">
        <f t="shared" si="9"/>
        <v>12.164548537936582</v>
      </c>
      <c r="AC41" s="22">
        <f t="shared" si="10"/>
        <v>1.1091609558940736</v>
      </c>
      <c r="AD41" s="22">
        <f t="shared" si="11"/>
        <v>0.134924422843576</v>
      </c>
      <c r="AE41" s="24">
        <v>5.3857999999999997</v>
      </c>
      <c r="AF41" s="24">
        <v>5.5636000000000001</v>
      </c>
      <c r="AG41" s="24">
        <v>5.4080000000000004</v>
      </c>
      <c r="AH41" s="25">
        <f>AG41-AE41</f>
        <v>2.2200000000000664E-2</v>
      </c>
      <c r="AI41" s="25">
        <v>87.514060742406855</v>
      </c>
      <c r="AJ41" s="26">
        <v>4.3757030371203429</v>
      </c>
      <c r="AK41" s="25">
        <v>43.757030371203427</v>
      </c>
      <c r="AL41" s="26">
        <v>4.376628504804148</v>
      </c>
      <c r="AM41" s="17">
        <f t="shared" si="12"/>
        <v>0.5780346820809249</v>
      </c>
      <c r="AN41" s="17"/>
      <c r="AO41" s="27"/>
      <c r="AP41" s="17"/>
      <c r="AQ41" s="17"/>
      <c r="AR41" s="17"/>
      <c r="AS41" s="17"/>
      <c r="AT41" s="17"/>
      <c r="AU41" s="17"/>
      <c r="AV41" s="17"/>
      <c r="AW41" s="17"/>
      <c r="AX41" s="17"/>
      <c r="BB41" s="17"/>
    </row>
    <row r="42" spans="1:54" x14ac:dyDescent="0.2">
      <c r="A42" s="17" t="s">
        <v>41</v>
      </c>
      <c r="B42" s="18" t="s">
        <v>42</v>
      </c>
      <c r="C42" s="18" t="str">
        <f t="shared" si="1"/>
        <v>BI10.1</v>
      </c>
      <c r="D42" s="18" t="str">
        <f t="shared" si="2"/>
        <v>BI10.1_41</v>
      </c>
      <c r="E42" s="17">
        <v>1</v>
      </c>
      <c r="F42" s="19">
        <v>41</v>
      </c>
      <c r="G42" s="20">
        <v>2</v>
      </c>
      <c r="H42" s="20">
        <v>2.35</v>
      </c>
      <c r="I42" s="20">
        <v>1.85</v>
      </c>
      <c r="J42" s="20">
        <f t="shared" si="0"/>
        <v>6.8700501562499996</v>
      </c>
      <c r="K42" s="53">
        <v>0.20555555555555532</v>
      </c>
      <c r="L42" s="45">
        <f t="shared" si="13"/>
        <v>48.972222222222243</v>
      </c>
      <c r="M42" s="45">
        <f t="shared" si="14"/>
        <v>50.822222222222244</v>
      </c>
      <c r="N42" s="46">
        <f t="shared" si="15"/>
        <v>49.89722222222224</v>
      </c>
      <c r="O42" s="20">
        <f t="shared" si="16"/>
        <v>48.972222222222243</v>
      </c>
      <c r="P42" s="20">
        <f t="shared" si="17"/>
        <v>50.822222222222244</v>
      </c>
      <c r="Q42" s="20">
        <f t="shared" si="18"/>
        <v>49.89722222222224</v>
      </c>
      <c r="R42" s="20">
        <f t="shared" si="3"/>
        <v>48.972222222222243</v>
      </c>
      <c r="S42" s="20">
        <f t="shared" si="4"/>
        <v>49.89722222222224</v>
      </c>
      <c r="T42" s="20">
        <f t="shared" si="5"/>
        <v>49.89722222222224</v>
      </c>
      <c r="U42" s="20">
        <v>49.89722222222224</v>
      </c>
      <c r="V42" s="22">
        <v>9.3064</v>
      </c>
      <c r="W42" s="22">
        <v>2.1705000000000001</v>
      </c>
      <c r="X42" s="23">
        <v>1.1476266666666668</v>
      </c>
      <c r="Y42" s="23">
        <f t="shared" si="6"/>
        <v>8.1587733333333325</v>
      </c>
      <c r="Z42" s="23">
        <f t="shared" si="7"/>
        <v>1.0228733333333333</v>
      </c>
      <c r="AA42" s="22">
        <f t="shared" si="8"/>
        <v>87.462902920046801</v>
      </c>
      <c r="AB42" s="22">
        <f t="shared" si="9"/>
        <v>12.537097079953199</v>
      </c>
      <c r="AC42" s="22">
        <f t="shared" si="10"/>
        <v>1.1875857013810769</v>
      </c>
      <c r="AD42" s="22">
        <f t="shared" si="11"/>
        <v>0.14888877228978867</v>
      </c>
      <c r="AE42" s="24">
        <v>5.5164</v>
      </c>
      <c r="AF42" s="24">
        <v>5.8188000000000004</v>
      </c>
      <c r="AG42" s="24">
        <v>5.5823999999999998</v>
      </c>
      <c r="AH42" s="25">
        <f>AG42-AE42</f>
        <v>6.5999999999999837E-2</v>
      </c>
      <c r="AI42" s="25">
        <v>78.174603174603263</v>
      </c>
      <c r="AJ42" s="26">
        <v>3.9087301587301635</v>
      </c>
      <c r="AK42" s="25">
        <v>39.087301587301631</v>
      </c>
      <c r="AL42" s="26">
        <v>3.9097661635661449</v>
      </c>
      <c r="AM42" s="17">
        <f t="shared" si="12"/>
        <v>0.5780346820809249</v>
      </c>
      <c r="AN42" s="17"/>
      <c r="AO42" s="27"/>
      <c r="AP42" s="17"/>
      <c r="AQ42" s="17"/>
      <c r="AR42" s="17"/>
      <c r="AS42" s="17"/>
      <c r="AT42" s="17"/>
      <c r="AU42" s="17"/>
      <c r="AV42" s="17"/>
      <c r="AW42" s="17"/>
      <c r="AX42" s="17"/>
      <c r="BB42" s="17"/>
    </row>
    <row r="43" spans="1:54" x14ac:dyDescent="0.2">
      <c r="A43" s="17" t="s">
        <v>41</v>
      </c>
      <c r="B43" s="18" t="s">
        <v>42</v>
      </c>
      <c r="C43" s="18" t="str">
        <f t="shared" si="1"/>
        <v>BI10.2</v>
      </c>
      <c r="D43" s="18" t="str">
        <f t="shared" si="2"/>
        <v>BI10.2_42</v>
      </c>
      <c r="E43" s="17">
        <v>2</v>
      </c>
      <c r="F43" s="19">
        <v>42</v>
      </c>
      <c r="G43" s="20">
        <v>2.35</v>
      </c>
      <c r="H43" s="20">
        <v>1.8</v>
      </c>
      <c r="I43" s="20">
        <v>1.5</v>
      </c>
      <c r="J43" s="20">
        <f t="shared" si="0"/>
        <v>5.069873437500001</v>
      </c>
      <c r="K43" s="53">
        <v>0.13658536585365874</v>
      </c>
      <c r="L43" s="20">
        <f>O43-40</f>
        <v>0</v>
      </c>
      <c r="M43" s="20">
        <f t="shared" ref="M43:N58" si="19">P43-40</f>
        <v>1.5</v>
      </c>
      <c r="N43" s="20">
        <f t="shared" si="19"/>
        <v>0.75</v>
      </c>
      <c r="O43" s="20">
        <v>40</v>
      </c>
      <c r="P43" s="20">
        <f>O43+I43</f>
        <v>41.5</v>
      </c>
      <c r="Q43" s="20">
        <f t="shared" si="18"/>
        <v>40.75</v>
      </c>
      <c r="R43" s="20">
        <f>O43-6</f>
        <v>34</v>
      </c>
      <c r="S43" s="20">
        <f t="shared" ref="S43:S106" si="20">R43+I43</f>
        <v>35.5</v>
      </c>
      <c r="T43" s="20">
        <f t="shared" ref="T43:T106" si="21">AVERAGE(R43:S43)</f>
        <v>34.75</v>
      </c>
      <c r="U43" s="20">
        <v>34.75</v>
      </c>
      <c r="V43" s="22">
        <v>4.5117000000000003</v>
      </c>
      <c r="W43" s="22">
        <v>2.0688</v>
      </c>
      <c r="X43" s="23">
        <v>1.1476266666666668</v>
      </c>
      <c r="Y43" s="23">
        <f t="shared" si="6"/>
        <v>3.3640733333333337</v>
      </c>
      <c r="Z43" s="23">
        <f t="shared" si="7"/>
        <v>0.92117333333333318</v>
      </c>
      <c r="AA43" s="22">
        <f t="shared" si="8"/>
        <v>72.617323046861856</v>
      </c>
      <c r="AB43" s="22">
        <f t="shared" si="9"/>
        <v>27.382676953138144</v>
      </c>
      <c r="AC43" s="22">
        <f t="shared" si="10"/>
        <v>0.66354187630217998</v>
      </c>
      <c r="AD43" s="22">
        <f t="shared" si="11"/>
        <v>0.18169552843661751</v>
      </c>
      <c r="AE43" s="24">
        <v>5.5387000000000004</v>
      </c>
      <c r="AF43" s="24">
        <v>5.8331</v>
      </c>
      <c r="AG43" s="24">
        <v>5.6440999999999999</v>
      </c>
      <c r="AH43" s="25">
        <f>AG43-AE43</f>
        <v>0.10539999999999949</v>
      </c>
      <c r="AI43" s="25">
        <v>64.198369565217504</v>
      </c>
      <c r="AJ43" s="26">
        <v>3.2099184782608754</v>
      </c>
      <c r="AK43" s="25">
        <v>32.099184782608752</v>
      </c>
      <c r="AL43" s="26">
        <v>3.2111799446746385</v>
      </c>
      <c r="AM43" s="17">
        <f t="shared" si="12"/>
        <v>0.5780346820809249</v>
      </c>
      <c r="AN43" s="28" t="s">
        <v>43</v>
      </c>
      <c r="AO43" s="27">
        <v>50</v>
      </c>
      <c r="AP43" s="17"/>
      <c r="AQ43" s="17"/>
      <c r="AR43" s="17"/>
      <c r="AS43" s="17"/>
      <c r="AT43" s="17"/>
      <c r="AU43" s="17"/>
      <c r="AV43" s="17"/>
      <c r="AW43" s="17"/>
      <c r="AX43" s="17"/>
      <c r="BB43" s="17"/>
    </row>
    <row r="44" spans="1:54" x14ac:dyDescent="0.2">
      <c r="A44" s="17" t="s">
        <v>41</v>
      </c>
      <c r="B44" s="18" t="s">
        <v>42</v>
      </c>
      <c r="C44" s="18" t="str">
        <f t="shared" si="1"/>
        <v>BI10.2</v>
      </c>
      <c r="D44" s="18" t="str">
        <f t="shared" si="2"/>
        <v>BI10.2_43</v>
      </c>
      <c r="E44" s="17">
        <v>2</v>
      </c>
      <c r="F44" s="19">
        <v>43</v>
      </c>
      <c r="G44" s="20">
        <v>1.1000000000000001</v>
      </c>
      <c r="H44" s="20">
        <v>2.4</v>
      </c>
      <c r="I44" s="20">
        <v>1.1000000000000001</v>
      </c>
      <c r="J44" s="20">
        <f t="shared" si="0"/>
        <v>2.6444687500000001</v>
      </c>
      <c r="K44" s="53">
        <v>0.13658536585365874</v>
      </c>
      <c r="L44" s="20">
        <f t="shared" ref="L44:N84" si="22">O44-40</f>
        <v>1.6365853658536622</v>
      </c>
      <c r="M44" s="20">
        <f t="shared" si="19"/>
        <v>2.7365853658536636</v>
      </c>
      <c r="N44" s="20">
        <f t="shared" si="19"/>
        <v>2.1865853658536594</v>
      </c>
      <c r="O44" s="20">
        <f>P43+K44</f>
        <v>41.636585365853662</v>
      </c>
      <c r="P44" s="20">
        <f t="shared" ref="P44:P107" si="23">O44+I44</f>
        <v>42.736585365853664</v>
      </c>
      <c r="Q44" s="20">
        <f t="shared" si="18"/>
        <v>42.186585365853659</v>
      </c>
      <c r="R44" s="20">
        <f t="shared" ref="R44:R84" si="24">O44-6</f>
        <v>35.636585365853662</v>
      </c>
      <c r="S44" s="20">
        <f t="shared" si="20"/>
        <v>36.736585365853664</v>
      </c>
      <c r="T44" s="20">
        <f t="shared" si="21"/>
        <v>36.186585365853659</v>
      </c>
      <c r="U44" s="20">
        <v>36.186585365853659</v>
      </c>
      <c r="V44" s="22">
        <v>5.9507000000000003</v>
      </c>
      <c r="W44" s="22">
        <v>2.1396000000000002</v>
      </c>
      <c r="X44" s="23">
        <v>1.1476266666666668</v>
      </c>
      <c r="Y44" s="23">
        <f t="shared" si="6"/>
        <v>4.8030733333333337</v>
      </c>
      <c r="Z44" s="23">
        <f t="shared" si="7"/>
        <v>0.99197333333333337</v>
      </c>
      <c r="AA44" s="22">
        <f t="shared" si="8"/>
        <v>79.347112473818854</v>
      </c>
      <c r="AB44" s="22">
        <f t="shared" si="9"/>
        <v>20.652887526181146</v>
      </c>
      <c r="AC44" s="22">
        <f t="shared" si="10"/>
        <v>1.8162715416218602</v>
      </c>
      <c r="AD44" s="22">
        <f t="shared" si="11"/>
        <v>0.37511251866119927</v>
      </c>
      <c r="AE44" s="24">
        <v>4.8875000000000002</v>
      </c>
      <c r="AF44" s="24">
        <v>5.0865999999999998</v>
      </c>
      <c r="AG44" s="24">
        <v>4.9208999999999996</v>
      </c>
      <c r="AH44" s="25">
        <f>AG44-AE44</f>
        <v>3.339999999999943E-2</v>
      </c>
      <c r="AI44" s="25">
        <v>83.224510296333747</v>
      </c>
      <c r="AJ44" s="26">
        <v>4.1612255148166879</v>
      </c>
      <c r="AK44" s="25">
        <v>41.612255148166874</v>
      </c>
      <c r="AL44" s="26">
        <v>4.1621986719955366</v>
      </c>
      <c r="AM44" s="17">
        <f t="shared" si="12"/>
        <v>0.5780346820809249</v>
      </c>
      <c r="AN44" s="28" t="s">
        <v>44</v>
      </c>
      <c r="AO44" s="27" t="s">
        <v>54</v>
      </c>
      <c r="AP44" s="17"/>
      <c r="AQ44" s="17"/>
      <c r="AR44" s="17"/>
      <c r="AS44" s="17"/>
      <c r="AT44" s="17"/>
      <c r="AU44" s="17"/>
      <c r="AV44" s="17"/>
      <c r="AW44" s="17"/>
      <c r="AX44" s="17"/>
      <c r="BB44" s="17"/>
    </row>
    <row r="45" spans="1:54" x14ac:dyDescent="0.2">
      <c r="A45" s="17" t="s">
        <v>41</v>
      </c>
      <c r="B45" s="18" t="s">
        <v>42</v>
      </c>
      <c r="C45" s="18" t="str">
        <f t="shared" si="1"/>
        <v>BI10.2</v>
      </c>
      <c r="D45" s="18" t="str">
        <f t="shared" si="2"/>
        <v>BI10.2_44</v>
      </c>
      <c r="E45" s="17">
        <v>2</v>
      </c>
      <c r="F45" s="19">
        <v>44</v>
      </c>
      <c r="G45" s="20">
        <v>2.35</v>
      </c>
      <c r="H45" s="20">
        <v>2.5</v>
      </c>
      <c r="I45" s="20">
        <v>1</v>
      </c>
      <c r="J45" s="20">
        <f t="shared" si="0"/>
        <v>4.6162906249999995</v>
      </c>
      <c r="K45" s="53">
        <v>0.13658536585365874</v>
      </c>
      <c r="L45" s="20">
        <f t="shared" si="22"/>
        <v>2.8731707317073258</v>
      </c>
      <c r="M45" s="20">
        <f t="shared" si="19"/>
        <v>3.8731707317073258</v>
      </c>
      <c r="N45" s="20">
        <f t="shared" si="19"/>
        <v>3.3731707317073258</v>
      </c>
      <c r="O45" s="20">
        <f>P44+$AO$48</f>
        <v>42.873170731707326</v>
      </c>
      <c r="P45" s="20">
        <f t="shared" si="23"/>
        <v>43.873170731707326</v>
      </c>
      <c r="Q45" s="20">
        <f t="shared" si="18"/>
        <v>43.373170731707326</v>
      </c>
      <c r="R45" s="20">
        <f t="shared" si="24"/>
        <v>36.873170731707326</v>
      </c>
      <c r="S45" s="20">
        <f t="shared" si="20"/>
        <v>37.873170731707326</v>
      </c>
      <c r="T45" s="20">
        <f t="shared" si="21"/>
        <v>37.373170731707326</v>
      </c>
      <c r="U45" s="20">
        <v>37.373170731707326</v>
      </c>
      <c r="V45" s="22">
        <v>6.49</v>
      </c>
      <c r="W45" s="22">
        <v>2.5424000000000002</v>
      </c>
      <c r="X45" s="23">
        <v>1.1476266666666668</v>
      </c>
      <c r="Y45" s="23">
        <f t="shared" si="6"/>
        <v>5.3423733333333336</v>
      </c>
      <c r="Z45" s="23">
        <f t="shared" si="7"/>
        <v>1.3947733333333334</v>
      </c>
      <c r="AA45" s="22">
        <f t="shared" si="8"/>
        <v>73.89225263178912</v>
      </c>
      <c r="AB45" s="22">
        <f t="shared" si="9"/>
        <v>26.10774736821088</v>
      </c>
      <c r="AC45" s="22">
        <f t="shared" si="10"/>
        <v>1.157287044364399</v>
      </c>
      <c r="AD45" s="22">
        <f t="shared" si="11"/>
        <v>0.30214157786769191</v>
      </c>
      <c r="AE45" s="24">
        <v>5.5072000000000001</v>
      </c>
      <c r="AF45" s="24">
        <v>5.7647000000000004</v>
      </c>
      <c r="AG45" s="24">
        <v>5.5686999999999998</v>
      </c>
      <c r="AH45" s="25">
        <f>AG45-AE45</f>
        <v>6.1499999999999666E-2</v>
      </c>
      <c r="AI45" s="25">
        <v>76.116504854369097</v>
      </c>
      <c r="AJ45" s="26">
        <v>3.8058252427184551</v>
      </c>
      <c r="AK45" s="25">
        <v>38.058252427184549</v>
      </c>
      <c r="AL45" s="26">
        <v>3.8068892521470845</v>
      </c>
      <c r="AM45" s="17">
        <f t="shared" si="12"/>
        <v>0.5780346820809249</v>
      </c>
      <c r="AN45" s="28" t="s">
        <v>46</v>
      </c>
      <c r="AO45" s="29">
        <f>SUM(I43:I84)</f>
        <v>44.399999999999991</v>
      </c>
      <c r="AP45" s="17"/>
      <c r="AQ45" s="17"/>
      <c r="AR45" s="17"/>
      <c r="AS45" s="17"/>
      <c r="AT45" s="17"/>
      <c r="AU45" s="17"/>
      <c r="AV45" s="17"/>
      <c r="AW45" s="17"/>
      <c r="AX45" s="17"/>
      <c r="BB45" s="17"/>
    </row>
    <row r="46" spans="1:54" x14ac:dyDescent="0.2">
      <c r="A46" s="17" t="s">
        <v>41</v>
      </c>
      <c r="B46" s="18" t="s">
        <v>42</v>
      </c>
      <c r="C46" s="18" t="str">
        <f t="shared" si="1"/>
        <v>BI10.2</v>
      </c>
      <c r="D46" s="18" t="str">
        <f t="shared" si="2"/>
        <v>BI10.2_45</v>
      </c>
      <c r="E46" s="17">
        <v>2</v>
      </c>
      <c r="F46" s="19">
        <v>45</v>
      </c>
      <c r="G46" s="20">
        <v>2.35</v>
      </c>
      <c r="H46" s="20">
        <v>2.4</v>
      </c>
      <c r="I46" s="20">
        <v>1</v>
      </c>
      <c r="J46" s="20">
        <f t="shared" si="0"/>
        <v>4.4278906249999999</v>
      </c>
      <c r="K46" s="53">
        <v>0.13658536585365874</v>
      </c>
      <c r="L46" s="20">
        <f t="shared" si="22"/>
        <v>4.0097560975609881</v>
      </c>
      <c r="M46" s="20">
        <f t="shared" si="19"/>
        <v>5.0097560975609881</v>
      </c>
      <c r="N46" s="20">
        <f t="shared" si="19"/>
        <v>4.5097560975609881</v>
      </c>
      <c r="O46" s="20">
        <f>P45+$AO$48</f>
        <v>44.009756097560988</v>
      </c>
      <c r="P46" s="20">
        <f t="shared" si="23"/>
        <v>45.009756097560988</v>
      </c>
      <c r="Q46" s="20">
        <f t="shared" si="18"/>
        <v>44.509756097560988</v>
      </c>
      <c r="R46" s="20">
        <f t="shared" si="24"/>
        <v>38.009756097560988</v>
      </c>
      <c r="S46" s="20">
        <f t="shared" si="20"/>
        <v>39.009756097560988</v>
      </c>
      <c r="T46" s="20">
        <f t="shared" si="21"/>
        <v>38.509756097560988</v>
      </c>
      <c r="U46" s="20">
        <v>38.509756097560988</v>
      </c>
      <c r="V46" s="22">
        <v>7.0636000000000001</v>
      </c>
      <c r="W46" s="22">
        <v>2.7025999999999999</v>
      </c>
      <c r="X46" s="23">
        <v>1.1476266666666668</v>
      </c>
      <c r="Y46" s="23">
        <f t="shared" si="6"/>
        <v>5.9159733333333335</v>
      </c>
      <c r="Z46" s="23">
        <f t="shared" si="7"/>
        <v>1.5549733333333331</v>
      </c>
      <c r="AA46" s="22">
        <f t="shared" si="8"/>
        <v>73.715680485375202</v>
      </c>
      <c r="AB46" s="22">
        <f t="shared" si="9"/>
        <v>26.284319514624798</v>
      </c>
      <c r="AC46" s="22">
        <f t="shared" si="10"/>
        <v>1.3360703401144498</v>
      </c>
      <c r="AD46" s="22">
        <f t="shared" si="11"/>
        <v>0.35117699713581635</v>
      </c>
      <c r="AE46" s="24">
        <v>5.4839000000000002</v>
      </c>
      <c r="AF46" s="24">
        <v>6.0464000000000002</v>
      </c>
      <c r="AG46" s="24">
        <v>5.7914000000000003</v>
      </c>
      <c r="AH46" s="25">
        <f>AG46-AE46</f>
        <v>0.30750000000000011</v>
      </c>
      <c r="AI46" s="25">
        <v>45.333333333333314</v>
      </c>
      <c r="AJ46" s="26">
        <v>2.2666666666666657</v>
      </c>
      <c r="AK46" s="25">
        <v>22.666666666666657</v>
      </c>
      <c r="AL46" s="26">
        <v>2.2684527276929916</v>
      </c>
      <c r="AM46" s="17">
        <f t="shared" si="12"/>
        <v>0.5780346820809249</v>
      </c>
      <c r="AN46" s="28" t="s">
        <v>47</v>
      </c>
      <c r="AO46" s="29">
        <f>AO43-AO45</f>
        <v>5.6000000000000085</v>
      </c>
      <c r="AP46" s="17"/>
      <c r="AQ46" s="17"/>
      <c r="AR46" s="17"/>
      <c r="AS46" s="17"/>
      <c r="AT46" s="17"/>
      <c r="AU46" s="17"/>
      <c r="AV46" s="17"/>
      <c r="AW46" s="17"/>
      <c r="AX46" s="17"/>
      <c r="BB46" s="17"/>
    </row>
    <row r="47" spans="1:54" x14ac:dyDescent="0.2">
      <c r="A47" s="17" t="s">
        <v>41</v>
      </c>
      <c r="B47" s="18" t="s">
        <v>42</v>
      </c>
      <c r="C47" s="18" t="str">
        <f t="shared" si="1"/>
        <v>BI10.2</v>
      </c>
      <c r="D47" s="18" t="str">
        <f t="shared" si="2"/>
        <v>BI10.2_46</v>
      </c>
      <c r="E47" s="17">
        <v>2</v>
      </c>
      <c r="F47" s="19">
        <v>46</v>
      </c>
      <c r="G47" s="20">
        <v>2.4</v>
      </c>
      <c r="H47" s="20">
        <v>2.5</v>
      </c>
      <c r="I47" s="20">
        <v>2.0499999999999998</v>
      </c>
      <c r="J47" s="20">
        <f t="shared" si="0"/>
        <v>9.6595231249999998</v>
      </c>
      <c r="K47" s="53">
        <v>0.13658536585365874</v>
      </c>
      <c r="L47" s="20">
        <f t="shared" si="22"/>
        <v>5.1463414634146503</v>
      </c>
      <c r="M47" s="20">
        <f t="shared" si="19"/>
        <v>7.1963414634146474</v>
      </c>
      <c r="N47" s="20">
        <f t="shared" si="19"/>
        <v>6.1713414634146488</v>
      </c>
      <c r="O47" s="20">
        <f>P46+$AO$48</f>
        <v>45.14634146341465</v>
      </c>
      <c r="P47" s="20">
        <f t="shared" si="23"/>
        <v>47.196341463414647</v>
      </c>
      <c r="Q47" s="20">
        <f t="shared" si="18"/>
        <v>46.171341463414649</v>
      </c>
      <c r="R47" s="20">
        <f t="shared" si="24"/>
        <v>39.14634146341465</v>
      </c>
      <c r="S47" s="20">
        <f t="shared" si="20"/>
        <v>41.196341463414647</v>
      </c>
      <c r="T47" s="20">
        <f t="shared" si="21"/>
        <v>40.171341463414649</v>
      </c>
      <c r="U47" s="20">
        <v>40.171341463414649</v>
      </c>
      <c r="V47" s="22">
        <v>6.4748999999999999</v>
      </c>
      <c r="W47" s="22">
        <v>2.0758000000000001</v>
      </c>
      <c r="X47" s="23">
        <v>1.1476266666666668</v>
      </c>
      <c r="Y47" s="23">
        <f t="shared" si="6"/>
        <v>5.3272733333333333</v>
      </c>
      <c r="Z47" s="23">
        <f t="shared" si="7"/>
        <v>0.92817333333333329</v>
      </c>
      <c r="AA47" s="22">
        <f t="shared" si="8"/>
        <v>82.576953062917738</v>
      </c>
      <c r="AB47" s="22">
        <f t="shared" si="9"/>
        <v>17.423046937082262</v>
      </c>
      <c r="AC47" s="22">
        <f t="shared" si="10"/>
        <v>0.5515047962922428</v>
      </c>
      <c r="AD47" s="22">
        <f t="shared" si="11"/>
        <v>9.6088939518257352E-2</v>
      </c>
      <c r="AE47" s="24">
        <v>5.6776</v>
      </c>
      <c r="AF47" s="24">
        <v>6.0498000000000003</v>
      </c>
      <c r="AG47" s="24">
        <v>5.7545999999999999</v>
      </c>
      <c r="AH47" s="25">
        <f>AG47-AE47</f>
        <v>7.6999999999999957E-2</v>
      </c>
      <c r="AI47" s="25">
        <v>79.312197743148872</v>
      </c>
      <c r="AJ47" s="26">
        <v>3.9656098871574437</v>
      </c>
      <c r="AK47" s="25">
        <v>39.656098871574436</v>
      </c>
      <c r="AL47" s="26">
        <v>3.9666310361717376</v>
      </c>
      <c r="AM47" s="17">
        <f t="shared" si="12"/>
        <v>0.5780346820809249</v>
      </c>
      <c r="AN47" s="28" t="s">
        <v>48</v>
      </c>
      <c r="AO47" s="27">
        <v>41</v>
      </c>
      <c r="AP47" s="17"/>
      <c r="AQ47" s="17"/>
      <c r="AR47" s="17"/>
      <c r="AS47" s="17"/>
      <c r="AT47" s="17"/>
      <c r="AU47" s="17"/>
      <c r="AV47" s="17"/>
      <c r="AW47" s="17"/>
      <c r="AX47" s="17"/>
      <c r="BB47" s="17"/>
    </row>
    <row r="48" spans="1:54" x14ac:dyDescent="0.2">
      <c r="A48" s="17" t="s">
        <v>41</v>
      </c>
      <c r="B48" s="18" t="s">
        <v>42</v>
      </c>
      <c r="C48" s="18" t="str">
        <f t="shared" si="1"/>
        <v>BI10.2</v>
      </c>
      <c r="D48" s="18" t="str">
        <f t="shared" si="2"/>
        <v>BI10.2_47</v>
      </c>
      <c r="E48" s="17">
        <v>2</v>
      </c>
      <c r="F48" s="19">
        <v>47</v>
      </c>
      <c r="G48" s="20">
        <v>2.8</v>
      </c>
      <c r="H48" s="20">
        <v>2.5</v>
      </c>
      <c r="I48" s="20">
        <v>1</v>
      </c>
      <c r="J48" s="20">
        <f t="shared" si="0"/>
        <v>5.5126624999999994</v>
      </c>
      <c r="K48" s="53">
        <v>0.13658536585365874</v>
      </c>
      <c r="L48" s="20">
        <f t="shared" si="22"/>
        <v>7.3329268292683096</v>
      </c>
      <c r="M48" s="20">
        <f t="shared" si="19"/>
        <v>8.3329268292683096</v>
      </c>
      <c r="N48" s="20">
        <f t="shared" si="19"/>
        <v>7.8329268292683096</v>
      </c>
      <c r="O48" s="20">
        <f>P47+$AO$48</f>
        <v>47.33292682926831</v>
      </c>
      <c r="P48" s="20">
        <f t="shared" si="23"/>
        <v>48.33292682926831</v>
      </c>
      <c r="Q48" s="20">
        <f t="shared" si="18"/>
        <v>47.83292682926831</v>
      </c>
      <c r="R48" s="20">
        <f t="shared" si="24"/>
        <v>41.33292682926831</v>
      </c>
      <c r="S48" s="20">
        <f t="shared" si="20"/>
        <v>42.33292682926831</v>
      </c>
      <c r="T48" s="20">
        <f t="shared" si="21"/>
        <v>41.83292682926831</v>
      </c>
      <c r="U48" s="20">
        <v>41.83292682926831</v>
      </c>
      <c r="V48" s="22">
        <v>7.3022999999999998</v>
      </c>
      <c r="W48" s="22">
        <v>2.0911</v>
      </c>
      <c r="X48" s="23">
        <v>1.1476266666666668</v>
      </c>
      <c r="Y48" s="23">
        <f t="shared" si="6"/>
        <v>6.1546733333333332</v>
      </c>
      <c r="Z48" s="23">
        <f t="shared" si="7"/>
        <v>0.94347333333333316</v>
      </c>
      <c r="AA48" s="22">
        <f t="shared" si="8"/>
        <v>84.670618857648549</v>
      </c>
      <c r="AB48" s="22">
        <f t="shared" si="9"/>
        <v>15.329381142351451</v>
      </c>
      <c r="AC48" s="22">
        <f t="shared" si="10"/>
        <v>1.1164611171703933</v>
      </c>
      <c r="AD48" s="22">
        <f t="shared" si="11"/>
        <v>0.17114657995720459</v>
      </c>
      <c r="AE48" s="24">
        <v>5.4767999999999999</v>
      </c>
      <c r="AF48" s="24">
        <v>5.6619000000000002</v>
      </c>
      <c r="AG48" s="24">
        <v>5.5061</v>
      </c>
      <c r="AH48" s="25">
        <f>AG48-AE48</f>
        <v>2.9300000000000104E-2</v>
      </c>
      <c r="AI48" s="25">
        <v>84.170718530523999</v>
      </c>
      <c r="AJ48" s="26">
        <v>4.2085359265262001</v>
      </c>
      <c r="AK48" s="25">
        <v>42.085359265261999</v>
      </c>
      <c r="AL48" s="26">
        <v>4.2094981464376175</v>
      </c>
      <c r="AM48" s="17">
        <f t="shared" si="12"/>
        <v>0.5780346820809249</v>
      </c>
      <c r="AN48" s="28" t="s">
        <v>49</v>
      </c>
      <c r="AO48" s="30">
        <f>AO46/AO47</f>
        <v>0.13658536585365874</v>
      </c>
      <c r="AP48" s="17"/>
      <c r="AQ48" s="17"/>
      <c r="AR48" s="17"/>
      <c r="AS48" s="17"/>
      <c r="AT48" s="17"/>
      <c r="AU48" s="17"/>
      <c r="AV48" s="17"/>
      <c r="AW48" s="17"/>
      <c r="AX48" s="17"/>
      <c r="BB48" s="17"/>
    </row>
    <row r="49" spans="1:54" x14ac:dyDescent="0.2">
      <c r="A49" s="17" t="s">
        <v>41</v>
      </c>
      <c r="B49" s="18" t="s">
        <v>42</v>
      </c>
      <c r="C49" s="18" t="str">
        <f t="shared" si="1"/>
        <v>BI10.2</v>
      </c>
      <c r="D49" s="18" t="str">
        <f t="shared" si="2"/>
        <v>BI10.2_48</v>
      </c>
      <c r="E49" s="17">
        <v>2</v>
      </c>
      <c r="F49" s="19">
        <v>48</v>
      </c>
      <c r="G49" s="20">
        <v>2.2000000000000002</v>
      </c>
      <c r="H49" s="20">
        <v>2.6</v>
      </c>
      <c r="I49" s="20">
        <v>1.05</v>
      </c>
      <c r="J49" s="20">
        <f t="shared" si="0"/>
        <v>4.7476800000000017</v>
      </c>
      <c r="K49" s="53">
        <v>0.13658536585365874</v>
      </c>
      <c r="L49" s="20">
        <f t="shared" si="22"/>
        <v>8.4695121951219718</v>
      </c>
      <c r="M49" s="20">
        <f t="shared" si="19"/>
        <v>9.519512195121969</v>
      </c>
      <c r="N49" s="20">
        <f t="shared" si="19"/>
        <v>8.9945121951219704</v>
      </c>
      <c r="O49" s="20">
        <f>P48+$AO$48</f>
        <v>48.469512195121972</v>
      </c>
      <c r="P49" s="20">
        <f t="shared" si="23"/>
        <v>49.519512195121969</v>
      </c>
      <c r="Q49" s="20">
        <f t="shared" si="18"/>
        <v>48.99451219512197</v>
      </c>
      <c r="R49" s="20">
        <f t="shared" si="24"/>
        <v>42.469512195121972</v>
      </c>
      <c r="S49" s="20">
        <f t="shared" si="20"/>
        <v>43.519512195121969</v>
      </c>
      <c r="T49" s="20">
        <f t="shared" si="21"/>
        <v>42.99451219512197</v>
      </c>
      <c r="U49" s="20">
        <v>42.99451219512197</v>
      </c>
      <c r="V49" s="22">
        <v>6.6382000000000003</v>
      </c>
      <c r="W49" s="22">
        <v>1.9830000000000001</v>
      </c>
      <c r="X49" s="23">
        <v>1.1476266666666668</v>
      </c>
      <c r="Y49" s="23">
        <f t="shared" si="6"/>
        <v>5.4905733333333337</v>
      </c>
      <c r="Z49" s="23">
        <f t="shared" si="7"/>
        <v>0.8353733333333333</v>
      </c>
      <c r="AA49" s="22">
        <f t="shared" si="8"/>
        <v>84.785316894653391</v>
      </c>
      <c r="AB49" s="22">
        <f t="shared" si="9"/>
        <v>15.214683105346609</v>
      </c>
      <c r="AC49" s="22">
        <f t="shared" si="10"/>
        <v>1.1564750221862745</v>
      </c>
      <c r="AD49" s="22">
        <f t="shared" si="11"/>
        <v>0.17595400981812864</v>
      </c>
      <c r="AE49" s="24">
        <v>5.2446000000000002</v>
      </c>
      <c r="AF49" s="24">
        <v>5.4934000000000003</v>
      </c>
      <c r="AG49" s="24">
        <v>5.2859999999999996</v>
      </c>
      <c r="AH49" s="25">
        <f>AG49-AE49</f>
        <v>4.1399999999999437E-2</v>
      </c>
      <c r="AI49" s="25">
        <v>83.360128617363586</v>
      </c>
      <c r="AJ49" s="26">
        <v>4.1680064308681795</v>
      </c>
      <c r="AK49" s="25">
        <v>41.680064308681793</v>
      </c>
      <c r="AL49" s="26">
        <v>4.1689780051900609</v>
      </c>
      <c r="AM49" s="17">
        <f t="shared" si="12"/>
        <v>0.5780346820809249</v>
      </c>
      <c r="AN49" s="17"/>
      <c r="AO49" s="27"/>
      <c r="AP49" s="17"/>
      <c r="AQ49" s="17"/>
      <c r="AR49" s="17"/>
      <c r="AS49" s="17"/>
      <c r="AT49" s="17"/>
      <c r="AU49" s="17"/>
      <c r="AV49" s="17"/>
      <c r="AW49" s="17"/>
      <c r="AX49" s="17"/>
      <c r="BB49" s="17"/>
    </row>
    <row r="50" spans="1:54" x14ac:dyDescent="0.2">
      <c r="A50" s="17" t="s">
        <v>41</v>
      </c>
      <c r="B50" s="18" t="s">
        <v>42</v>
      </c>
      <c r="C50" s="18" t="str">
        <f t="shared" si="1"/>
        <v>BI10.2</v>
      </c>
      <c r="D50" s="18" t="str">
        <f t="shared" si="2"/>
        <v>BI10.2_49</v>
      </c>
      <c r="E50" s="17">
        <v>2</v>
      </c>
      <c r="F50" s="19">
        <v>49</v>
      </c>
      <c r="G50" s="20">
        <v>2.7</v>
      </c>
      <c r="H50" s="20">
        <v>2.7</v>
      </c>
      <c r="I50" s="20">
        <v>1</v>
      </c>
      <c r="J50" s="20">
        <f t="shared" si="0"/>
        <v>5.7226500000000016</v>
      </c>
      <c r="K50" s="53">
        <v>0.13658536585365874</v>
      </c>
      <c r="L50" s="20">
        <f t="shared" si="22"/>
        <v>9.6560975609756312</v>
      </c>
      <c r="M50" s="20">
        <f t="shared" si="19"/>
        <v>10.656097560975631</v>
      </c>
      <c r="N50" s="20">
        <f t="shared" si="19"/>
        <v>10.156097560975631</v>
      </c>
      <c r="O50" s="20">
        <f>P49+$AO$48</f>
        <v>49.656097560975631</v>
      </c>
      <c r="P50" s="20">
        <f t="shared" si="23"/>
        <v>50.656097560975631</v>
      </c>
      <c r="Q50" s="20">
        <f t="shared" si="18"/>
        <v>50.156097560975631</v>
      </c>
      <c r="R50" s="20">
        <f t="shared" si="24"/>
        <v>43.656097560975631</v>
      </c>
      <c r="S50" s="20">
        <f t="shared" si="20"/>
        <v>44.656097560975631</v>
      </c>
      <c r="T50" s="20">
        <f t="shared" si="21"/>
        <v>44.156097560975631</v>
      </c>
      <c r="U50" s="20">
        <v>44.156097560975631</v>
      </c>
      <c r="V50" s="22">
        <v>7.7412000000000001</v>
      </c>
      <c r="W50" s="22">
        <v>2.2183999999999999</v>
      </c>
      <c r="X50" s="23">
        <v>1.1476266666666668</v>
      </c>
      <c r="Y50" s="23">
        <f t="shared" si="6"/>
        <v>6.5935733333333335</v>
      </c>
      <c r="Z50" s="23">
        <f t="shared" si="7"/>
        <v>1.0707733333333331</v>
      </c>
      <c r="AA50" s="22">
        <f t="shared" si="8"/>
        <v>83.760348460521143</v>
      </c>
      <c r="AB50" s="22">
        <f t="shared" si="9"/>
        <v>16.239651539478857</v>
      </c>
      <c r="AC50" s="22">
        <f t="shared" si="10"/>
        <v>1.1521888169525187</v>
      </c>
      <c r="AD50" s="22">
        <f t="shared" si="11"/>
        <v>0.18711144894993278</v>
      </c>
      <c r="AE50" s="24">
        <v>5.7537000000000003</v>
      </c>
      <c r="AF50" s="24">
        <v>6.1241000000000003</v>
      </c>
      <c r="AG50" s="24">
        <v>5.8124000000000002</v>
      </c>
      <c r="AH50" s="25">
        <f>AG50-AE50</f>
        <v>5.8699999999999974E-2</v>
      </c>
      <c r="AI50" s="25">
        <v>84.152267818574529</v>
      </c>
      <c r="AJ50" s="26">
        <v>4.207613390928727</v>
      </c>
      <c r="AK50" s="25">
        <v>42.076133909287265</v>
      </c>
      <c r="AL50" s="26">
        <v>4.2085758217623619</v>
      </c>
      <c r="AM50" s="17">
        <f t="shared" si="12"/>
        <v>0.5780346820809249</v>
      </c>
      <c r="AN50" s="17"/>
      <c r="AO50" s="27"/>
      <c r="AP50" s="17"/>
      <c r="AQ50" s="17"/>
      <c r="AR50" s="17"/>
      <c r="AS50" s="17"/>
      <c r="AT50" s="17"/>
      <c r="AU50" s="17"/>
      <c r="AV50" s="17"/>
      <c r="AW50" s="17"/>
      <c r="AX50" s="17"/>
      <c r="BB50" s="17"/>
    </row>
    <row r="51" spans="1:54" x14ac:dyDescent="0.2">
      <c r="A51" s="17" t="s">
        <v>41</v>
      </c>
      <c r="B51" s="18" t="s">
        <v>42</v>
      </c>
      <c r="C51" s="18" t="str">
        <f t="shared" si="1"/>
        <v>BI10.2</v>
      </c>
      <c r="D51" s="18" t="str">
        <f t="shared" si="2"/>
        <v>BI10.2_50</v>
      </c>
      <c r="E51" s="17">
        <v>2</v>
      </c>
      <c r="F51" s="19">
        <v>50</v>
      </c>
      <c r="G51" s="20">
        <v>3</v>
      </c>
      <c r="H51" s="20">
        <v>2.7</v>
      </c>
      <c r="I51" s="20">
        <v>1</v>
      </c>
      <c r="J51" s="20">
        <f t="shared" si="0"/>
        <v>6.3761625000000004</v>
      </c>
      <c r="K51" s="53">
        <v>0.13658536585365874</v>
      </c>
      <c r="L51" s="20">
        <f t="shared" si="22"/>
        <v>10.792682926829293</v>
      </c>
      <c r="M51" s="20">
        <f t="shared" si="19"/>
        <v>11.792682926829293</v>
      </c>
      <c r="N51" s="20">
        <f t="shared" si="19"/>
        <v>11.292682926829293</v>
      </c>
      <c r="O51" s="20">
        <f>P50+$AO$48</f>
        <v>50.792682926829293</v>
      </c>
      <c r="P51" s="20">
        <f t="shared" si="23"/>
        <v>51.792682926829293</v>
      </c>
      <c r="Q51" s="20">
        <f t="shared" si="18"/>
        <v>51.292682926829293</v>
      </c>
      <c r="R51" s="20">
        <f t="shared" si="24"/>
        <v>44.792682926829293</v>
      </c>
      <c r="S51" s="20">
        <f t="shared" si="20"/>
        <v>45.792682926829293</v>
      </c>
      <c r="T51" s="20">
        <f t="shared" si="21"/>
        <v>45.292682926829293</v>
      </c>
      <c r="U51" s="20">
        <v>45.292682926829293</v>
      </c>
      <c r="V51" s="22">
        <v>8.1473999999999993</v>
      </c>
      <c r="W51" s="22">
        <v>2.1345000000000001</v>
      </c>
      <c r="X51" s="23">
        <v>1.1476266666666668</v>
      </c>
      <c r="Y51" s="23">
        <f t="shared" si="6"/>
        <v>6.9997733333333327</v>
      </c>
      <c r="Z51" s="23">
        <f t="shared" si="7"/>
        <v>0.98687333333333327</v>
      </c>
      <c r="AA51" s="22">
        <f t="shared" si="8"/>
        <v>85.901352996192259</v>
      </c>
      <c r="AB51" s="22">
        <f t="shared" si="9"/>
        <v>14.098647003807741</v>
      </c>
      <c r="AC51" s="22">
        <f t="shared" si="10"/>
        <v>1.0978034724386858</v>
      </c>
      <c r="AD51" s="22">
        <f t="shared" si="11"/>
        <v>0.15477543637467414</v>
      </c>
      <c r="AE51" s="24">
        <v>5.6189</v>
      </c>
      <c r="AF51" s="24">
        <v>5.8859000000000004</v>
      </c>
      <c r="AG51" s="24">
        <v>5.6566000000000001</v>
      </c>
      <c r="AH51" s="25">
        <f>AG51-AE51</f>
        <v>3.7700000000000067E-2</v>
      </c>
      <c r="AI51" s="25">
        <v>85.880149812734075</v>
      </c>
      <c r="AJ51" s="26">
        <v>4.2940074906367043</v>
      </c>
      <c r="AK51" s="25">
        <v>42.940074906367037</v>
      </c>
      <c r="AL51" s="26">
        <v>4.2949505619557629</v>
      </c>
      <c r="AM51" s="17">
        <f t="shared" si="12"/>
        <v>0.5780346820809249</v>
      </c>
      <c r="AN51" s="17"/>
      <c r="AO51" s="27"/>
      <c r="AP51" s="17"/>
      <c r="AQ51" s="17"/>
      <c r="AR51" s="17"/>
      <c r="AS51" s="17"/>
      <c r="AT51" s="17"/>
      <c r="AU51" s="17"/>
      <c r="AV51" s="17"/>
      <c r="AW51" s="17"/>
      <c r="AX51" s="17"/>
      <c r="BB51" s="17"/>
    </row>
    <row r="52" spans="1:54" x14ac:dyDescent="0.2">
      <c r="A52" s="17" t="s">
        <v>41</v>
      </c>
      <c r="B52" s="18" t="s">
        <v>42</v>
      </c>
      <c r="C52" s="18" t="str">
        <f t="shared" si="1"/>
        <v>BI10.2</v>
      </c>
      <c r="D52" s="18" t="str">
        <f t="shared" si="2"/>
        <v>BI10.2_51</v>
      </c>
      <c r="E52" s="17">
        <v>2</v>
      </c>
      <c r="F52" s="19">
        <v>51</v>
      </c>
      <c r="G52" s="20">
        <v>2.65</v>
      </c>
      <c r="H52" s="20">
        <v>2.8</v>
      </c>
      <c r="I52" s="20">
        <v>1</v>
      </c>
      <c r="J52" s="20">
        <f t="shared" si="0"/>
        <v>5.8291156249999991</v>
      </c>
      <c r="K52" s="53">
        <v>0.13658536585365874</v>
      </c>
      <c r="L52" s="20">
        <f t="shared" si="22"/>
        <v>11.929268292682956</v>
      </c>
      <c r="M52" s="20">
        <f t="shared" si="19"/>
        <v>12.929268292682956</v>
      </c>
      <c r="N52" s="20">
        <f t="shared" si="19"/>
        <v>12.429268292682956</v>
      </c>
      <c r="O52" s="20">
        <f>P51+$AO$48</f>
        <v>51.929268292682956</v>
      </c>
      <c r="P52" s="20">
        <f t="shared" si="23"/>
        <v>52.929268292682956</v>
      </c>
      <c r="Q52" s="20">
        <f t="shared" si="18"/>
        <v>52.429268292682956</v>
      </c>
      <c r="R52" s="20">
        <f t="shared" si="24"/>
        <v>45.929268292682956</v>
      </c>
      <c r="S52" s="20">
        <f t="shared" si="20"/>
        <v>46.929268292682956</v>
      </c>
      <c r="T52" s="20">
        <f t="shared" si="21"/>
        <v>46.429268292682956</v>
      </c>
      <c r="U52" s="20">
        <v>46.429268292682956</v>
      </c>
      <c r="V52" s="22">
        <v>8.0279000000000007</v>
      </c>
      <c r="W52" s="22">
        <v>2.1890999999999998</v>
      </c>
      <c r="X52" s="23">
        <v>1.1476266666666668</v>
      </c>
      <c r="Y52" s="23">
        <f t="shared" si="6"/>
        <v>6.8802733333333341</v>
      </c>
      <c r="Z52" s="23">
        <f t="shared" si="7"/>
        <v>1.041473333333333</v>
      </c>
      <c r="AA52" s="22">
        <f t="shared" si="8"/>
        <v>84.862907578284194</v>
      </c>
      <c r="AB52" s="22">
        <f t="shared" si="9"/>
        <v>15.137092421715806</v>
      </c>
      <c r="AC52" s="22">
        <f t="shared" si="10"/>
        <v>1.1803288484834842</v>
      </c>
      <c r="AD52" s="22">
        <f t="shared" si="11"/>
        <v>0.17866746867511882</v>
      </c>
      <c r="AE52" s="24">
        <v>5.1134000000000004</v>
      </c>
      <c r="AF52" s="24">
        <v>5.4199000000000002</v>
      </c>
      <c r="AG52" s="24">
        <v>5.1538000000000004</v>
      </c>
      <c r="AH52" s="25">
        <f>AG52-AE52</f>
        <v>4.0399999999999991E-2</v>
      </c>
      <c r="AI52" s="25">
        <v>86.81892332789559</v>
      </c>
      <c r="AJ52" s="26">
        <v>4.3409461663947795</v>
      </c>
      <c r="AK52" s="25">
        <v>43.409461663947795</v>
      </c>
      <c r="AL52" s="26">
        <v>4.3418790424812075</v>
      </c>
      <c r="AM52" s="17">
        <f t="shared" si="12"/>
        <v>0.5780346820809249</v>
      </c>
      <c r="AN52" s="17"/>
      <c r="AO52" s="27"/>
      <c r="AP52" s="17"/>
      <c r="AQ52" s="17"/>
      <c r="AR52" s="17"/>
      <c r="AS52" s="17"/>
      <c r="AT52" s="17"/>
      <c r="AU52" s="17"/>
      <c r="AV52" s="17"/>
      <c r="AW52" s="17"/>
      <c r="AX52" s="17"/>
      <c r="BB52" s="17"/>
    </row>
    <row r="53" spans="1:54" x14ac:dyDescent="0.2">
      <c r="A53" s="17" t="s">
        <v>41</v>
      </c>
      <c r="B53" s="18" t="s">
        <v>42</v>
      </c>
      <c r="C53" s="18" t="str">
        <f t="shared" si="1"/>
        <v>BI10.2</v>
      </c>
      <c r="D53" s="18" t="str">
        <f t="shared" si="2"/>
        <v>BI10.2_52</v>
      </c>
      <c r="E53" s="17">
        <v>2</v>
      </c>
      <c r="F53" s="19">
        <v>52</v>
      </c>
      <c r="G53" s="20">
        <v>2.6</v>
      </c>
      <c r="H53" s="20">
        <v>2.85</v>
      </c>
      <c r="I53" s="20">
        <v>1</v>
      </c>
      <c r="J53" s="20">
        <f t="shared" si="0"/>
        <v>5.829115625</v>
      </c>
      <c r="K53" s="53">
        <v>0.13658536585365874</v>
      </c>
      <c r="L53" s="20">
        <f t="shared" si="22"/>
        <v>13.065853658536618</v>
      </c>
      <c r="M53" s="20">
        <f t="shared" si="19"/>
        <v>14.065853658536618</v>
      </c>
      <c r="N53" s="20">
        <f t="shared" si="19"/>
        <v>13.565853658536618</v>
      </c>
      <c r="O53" s="20">
        <f>P52+$AO$48</f>
        <v>53.065853658536618</v>
      </c>
      <c r="P53" s="20">
        <f t="shared" si="23"/>
        <v>54.065853658536618</v>
      </c>
      <c r="Q53" s="20">
        <f t="shared" si="18"/>
        <v>53.565853658536618</v>
      </c>
      <c r="R53" s="20">
        <f t="shared" si="24"/>
        <v>47.065853658536618</v>
      </c>
      <c r="S53" s="20">
        <f t="shared" si="20"/>
        <v>48.065853658536618</v>
      </c>
      <c r="T53" s="20">
        <f t="shared" si="21"/>
        <v>47.565853658536618</v>
      </c>
      <c r="U53" s="20">
        <v>47.565853658536618</v>
      </c>
      <c r="V53" s="22">
        <v>7.8719000000000001</v>
      </c>
      <c r="W53" s="22">
        <v>2.1192000000000002</v>
      </c>
      <c r="X53" s="23">
        <v>1.1476266666666668</v>
      </c>
      <c r="Y53" s="23">
        <f t="shared" si="6"/>
        <v>6.7242733333333335</v>
      </c>
      <c r="Z53" s="23">
        <f t="shared" si="7"/>
        <v>0.9715733333333334</v>
      </c>
      <c r="AA53" s="22">
        <f t="shared" si="8"/>
        <v>85.551251634625203</v>
      </c>
      <c r="AB53" s="22">
        <f t="shared" si="9"/>
        <v>14.448748365374797</v>
      </c>
      <c r="AC53" s="22">
        <f t="shared" si="10"/>
        <v>1.1535666413090466</v>
      </c>
      <c r="AD53" s="22">
        <f t="shared" si="11"/>
        <v>0.16667594122964979</v>
      </c>
      <c r="AE53" s="24">
        <v>5.4028</v>
      </c>
      <c r="AF53" s="24">
        <v>5.7626999999999997</v>
      </c>
      <c r="AG53" s="24">
        <v>5.4706999999999999</v>
      </c>
      <c r="AH53" s="25">
        <f>AG53-AE53</f>
        <v>6.7899999999999849E-2</v>
      </c>
      <c r="AI53" s="25">
        <v>81.133648235621024</v>
      </c>
      <c r="AJ53" s="26">
        <v>4.0566824117810514</v>
      </c>
      <c r="AK53" s="25">
        <v>40.566824117810512</v>
      </c>
      <c r="AL53" s="26">
        <v>4.0576806417033024</v>
      </c>
      <c r="AM53" s="17">
        <f t="shared" si="12"/>
        <v>0.5780346820809249</v>
      </c>
      <c r="AN53" s="17"/>
      <c r="AO53" s="27"/>
      <c r="AP53" s="17"/>
      <c r="AQ53" s="17"/>
      <c r="AR53" s="17"/>
      <c r="AS53" s="17"/>
      <c r="AT53" s="17"/>
      <c r="AU53" s="17"/>
      <c r="AV53" s="17"/>
      <c r="AW53" s="17"/>
      <c r="AX53" s="17"/>
      <c r="BB53" s="17"/>
    </row>
    <row r="54" spans="1:54" x14ac:dyDescent="0.2">
      <c r="A54" s="17" t="s">
        <v>41</v>
      </c>
      <c r="B54" s="18" t="s">
        <v>42</v>
      </c>
      <c r="C54" s="18" t="str">
        <f t="shared" si="1"/>
        <v>BI10.2</v>
      </c>
      <c r="D54" s="18" t="str">
        <f t="shared" si="2"/>
        <v>BI10.2_53</v>
      </c>
      <c r="E54" s="17">
        <v>2</v>
      </c>
      <c r="F54" s="19">
        <v>53</v>
      </c>
      <c r="G54" s="20">
        <v>2.5499999999999998</v>
      </c>
      <c r="H54" s="20">
        <v>2.8</v>
      </c>
      <c r="I54" s="20">
        <v>1</v>
      </c>
      <c r="J54" s="20">
        <f t="shared" si="0"/>
        <v>5.6171656249999993</v>
      </c>
      <c r="K54" s="53">
        <v>0.13658536585365874</v>
      </c>
      <c r="L54" s="20">
        <f t="shared" si="22"/>
        <v>14.20243902439028</v>
      </c>
      <c r="M54" s="20">
        <f t="shared" si="19"/>
        <v>15.20243902439028</v>
      </c>
      <c r="N54" s="20">
        <f t="shared" si="19"/>
        <v>14.70243902439028</v>
      </c>
      <c r="O54" s="20">
        <f>P53+$AO$48</f>
        <v>54.20243902439028</v>
      </c>
      <c r="P54" s="20">
        <f t="shared" si="23"/>
        <v>55.20243902439028</v>
      </c>
      <c r="Q54" s="20">
        <f t="shared" si="18"/>
        <v>54.70243902439028</v>
      </c>
      <c r="R54" s="20">
        <f t="shared" si="24"/>
        <v>48.20243902439028</v>
      </c>
      <c r="S54" s="20">
        <f t="shared" si="20"/>
        <v>49.20243902439028</v>
      </c>
      <c r="T54" s="20">
        <f t="shared" si="21"/>
        <v>48.70243902439028</v>
      </c>
      <c r="U54" s="20">
        <v>48.70243902439028</v>
      </c>
      <c r="V54" s="22">
        <v>7.4650999999999996</v>
      </c>
      <c r="W54" s="22">
        <v>2.1854</v>
      </c>
      <c r="X54" s="23">
        <v>1.1476266666666668</v>
      </c>
      <c r="Y54" s="23">
        <f t="shared" si="6"/>
        <v>6.3174733333333331</v>
      </c>
      <c r="Z54" s="23">
        <f t="shared" si="7"/>
        <v>1.0377733333333332</v>
      </c>
      <c r="AA54" s="22">
        <f t="shared" si="8"/>
        <v>83.572968518004558</v>
      </c>
      <c r="AB54" s="22">
        <f t="shared" si="9"/>
        <v>16.427031481995442</v>
      </c>
      <c r="AC54" s="22">
        <f t="shared" si="10"/>
        <v>1.1246727896390512</v>
      </c>
      <c r="AD54" s="22">
        <f t="shared" si="11"/>
        <v>0.18475035322344324</v>
      </c>
      <c r="AE54" s="24">
        <v>4.9500999999999999</v>
      </c>
      <c r="AF54" s="24">
        <v>5.3681999999999999</v>
      </c>
      <c r="AG54" s="24">
        <v>5.1165000000000003</v>
      </c>
      <c r="AH54" s="25">
        <f>AG54-AE54</f>
        <v>0.16640000000000033</v>
      </c>
      <c r="AI54" s="25">
        <v>60.200908873475157</v>
      </c>
      <c r="AJ54" s="26">
        <v>3.010045443673758</v>
      </c>
      <c r="AK54" s="25">
        <v>30.100454436737579</v>
      </c>
      <c r="AL54" s="26">
        <v>3.0113906377255595</v>
      </c>
      <c r="AM54" s="17">
        <f t="shared" si="12"/>
        <v>0.5780346820809249</v>
      </c>
      <c r="AN54" s="17"/>
      <c r="AO54" s="27"/>
      <c r="AP54" s="17"/>
      <c r="AQ54" s="17"/>
      <c r="AR54" s="17"/>
      <c r="AS54" s="17"/>
      <c r="AT54" s="17"/>
      <c r="AU54" s="17"/>
      <c r="AV54" s="17"/>
      <c r="AW54" s="17"/>
      <c r="AX54" s="17"/>
      <c r="BB54" s="17"/>
    </row>
    <row r="55" spans="1:54" x14ac:dyDescent="0.2">
      <c r="A55" s="17" t="s">
        <v>41</v>
      </c>
      <c r="B55" s="18" t="s">
        <v>42</v>
      </c>
      <c r="C55" s="18" t="str">
        <f t="shared" si="1"/>
        <v>BI10.2</v>
      </c>
      <c r="D55" s="18" t="str">
        <f t="shared" si="2"/>
        <v>BI10.2_54</v>
      </c>
      <c r="E55" s="17">
        <v>2</v>
      </c>
      <c r="F55" s="19">
        <v>54</v>
      </c>
      <c r="G55" s="20">
        <v>2.6</v>
      </c>
      <c r="H55" s="20">
        <v>2.8</v>
      </c>
      <c r="I55" s="20">
        <v>1</v>
      </c>
      <c r="J55" s="20">
        <f t="shared" si="0"/>
        <v>5.7226500000000016</v>
      </c>
      <c r="K55" s="53">
        <v>0.13658536585365874</v>
      </c>
      <c r="L55" s="20">
        <f t="shared" si="22"/>
        <v>15.339024390243942</v>
      </c>
      <c r="M55" s="20">
        <f t="shared" si="19"/>
        <v>16.339024390243942</v>
      </c>
      <c r="N55" s="20">
        <f t="shared" si="19"/>
        <v>15.839024390243942</v>
      </c>
      <c r="O55" s="20">
        <f>P54+$AO$48</f>
        <v>55.339024390243942</v>
      </c>
      <c r="P55" s="20">
        <f t="shared" si="23"/>
        <v>56.339024390243942</v>
      </c>
      <c r="Q55" s="20">
        <f t="shared" si="18"/>
        <v>55.839024390243942</v>
      </c>
      <c r="R55" s="20">
        <f t="shared" si="24"/>
        <v>49.339024390243942</v>
      </c>
      <c r="S55" s="20">
        <f t="shared" si="20"/>
        <v>50.339024390243942</v>
      </c>
      <c r="T55" s="20">
        <f t="shared" si="21"/>
        <v>49.839024390243942</v>
      </c>
      <c r="U55" s="20">
        <v>49.839024390243942</v>
      </c>
      <c r="V55" s="22">
        <v>8.2327999999999992</v>
      </c>
      <c r="W55" s="22">
        <v>2.7323</v>
      </c>
      <c r="X55" s="23">
        <v>1.1476266666666668</v>
      </c>
      <c r="Y55" s="23">
        <f t="shared" si="6"/>
        <v>7.0851733333333327</v>
      </c>
      <c r="Z55" s="23">
        <f t="shared" si="7"/>
        <v>1.5846733333333332</v>
      </c>
      <c r="AA55" s="22">
        <f t="shared" si="8"/>
        <v>77.63395108658834</v>
      </c>
      <c r="AB55" s="22">
        <f t="shared" si="9"/>
        <v>22.36604891341166</v>
      </c>
      <c r="AC55" s="22">
        <f t="shared" si="10"/>
        <v>1.238093074595394</v>
      </c>
      <c r="AD55" s="22">
        <f t="shared" si="11"/>
        <v>0.27691250265756823</v>
      </c>
      <c r="AE55" s="24">
        <v>5.6909000000000001</v>
      </c>
      <c r="AF55" s="24">
        <v>6.3505000000000003</v>
      </c>
      <c r="AG55" s="24">
        <v>6.0255000000000001</v>
      </c>
      <c r="AH55" s="25">
        <f>AG55-AE55</f>
        <v>0.33460000000000001</v>
      </c>
      <c r="AI55" s="25">
        <v>49.272286234081278</v>
      </c>
      <c r="AJ55" s="26">
        <v>2.4636143117040641</v>
      </c>
      <c r="AK55" s="25">
        <v>24.636143117040639</v>
      </c>
      <c r="AL55" s="26">
        <v>2.465257689742208</v>
      </c>
      <c r="AM55" s="17">
        <f t="shared" si="12"/>
        <v>0.5780346820809249</v>
      </c>
      <c r="AN55" s="17"/>
      <c r="AO55" s="27"/>
      <c r="AP55" s="17"/>
      <c r="AQ55" s="17"/>
      <c r="AR55" s="17"/>
      <c r="AS55" s="17"/>
      <c r="AT55" s="17"/>
      <c r="AU55" s="17"/>
      <c r="AV55" s="17"/>
      <c r="AW55" s="17"/>
      <c r="AX55" s="17"/>
      <c r="BB55" s="17"/>
    </row>
    <row r="56" spans="1:54" x14ac:dyDescent="0.2">
      <c r="A56" s="17" t="s">
        <v>41</v>
      </c>
      <c r="B56" s="18" t="s">
        <v>42</v>
      </c>
      <c r="C56" s="18" t="str">
        <f t="shared" si="1"/>
        <v>BI10.2</v>
      </c>
      <c r="D56" s="18" t="str">
        <f t="shared" si="2"/>
        <v>BI10.2_55</v>
      </c>
      <c r="E56" s="17">
        <v>2</v>
      </c>
      <c r="F56" s="19">
        <v>55</v>
      </c>
      <c r="G56" s="20">
        <v>2.7</v>
      </c>
      <c r="H56" s="20">
        <v>2.8</v>
      </c>
      <c r="I56" s="20">
        <v>1</v>
      </c>
      <c r="J56" s="20">
        <f t="shared" si="0"/>
        <v>5.9365625</v>
      </c>
      <c r="K56" s="53">
        <v>0.13658536585365874</v>
      </c>
      <c r="L56" s="20">
        <f t="shared" si="22"/>
        <v>16.475609756097604</v>
      </c>
      <c r="M56" s="20">
        <f t="shared" si="19"/>
        <v>17.475609756097604</v>
      </c>
      <c r="N56" s="20">
        <f t="shared" si="19"/>
        <v>16.975609756097604</v>
      </c>
      <c r="O56" s="20">
        <f>P55+$AO$48</f>
        <v>56.475609756097604</v>
      </c>
      <c r="P56" s="20">
        <f t="shared" si="23"/>
        <v>57.475609756097604</v>
      </c>
      <c r="Q56" s="20">
        <f t="shared" si="18"/>
        <v>56.975609756097604</v>
      </c>
      <c r="R56" s="20">
        <f t="shared" si="24"/>
        <v>50.475609756097604</v>
      </c>
      <c r="S56" s="20">
        <f t="shared" si="20"/>
        <v>51.475609756097604</v>
      </c>
      <c r="T56" s="20">
        <f t="shared" si="21"/>
        <v>50.975609756097604</v>
      </c>
      <c r="U56" s="20">
        <v>50.975609756097604</v>
      </c>
      <c r="V56" s="22">
        <v>8.2140000000000004</v>
      </c>
      <c r="W56" s="22">
        <v>2.1236000000000002</v>
      </c>
      <c r="X56" s="23">
        <v>1.1476266666666668</v>
      </c>
      <c r="Y56" s="23">
        <f t="shared" si="6"/>
        <v>7.0663733333333338</v>
      </c>
      <c r="Z56" s="23">
        <f t="shared" si="7"/>
        <v>0.97597333333333336</v>
      </c>
      <c r="AA56" s="22">
        <f t="shared" si="8"/>
        <v>86.188483295533018</v>
      </c>
      <c r="AB56" s="22">
        <f t="shared" si="9"/>
        <v>13.811516704466982</v>
      </c>
      <c r="AC56" s="22">
        <f t="shared" si="10"/>
        <v>1.1903139794002562</v>
      </c>
      <c r="AD56" s="22">
        <f t="shared" si="11"/>
        <v>0.16440041410047201</v>
      </c>
      <c r="AE56" s="24">
        <v>5.5651000000000002</v>
      </c>
      <c r="AF56" s="24">
        <v>6.0308000000000002</v>
      </c>
      <c r="AG56" s="24">
        <v>5.7435</v>
      </c>
      <c r="AH56" s="25">
        <f>AG56-AE56</f>
        <v>0.17839999999999989</v>
      </c>
      <c r="AI56" s="25">
        <v>61.692076444062728</v>
      </c>
      <c r="AJ56" s="26">
        <v>3.0846038222031367</v>
      </c>
      <c r="AK56" s="25">
        <v>30.846038222031364</v>
      </c>
      <c r="AL56" s="26">
        <v>3.0859165153889374</v>
      </c>
      <c r="AM56" s="17">
        <f t="shared" si="12"/>
        <v>0.5780346820809249</v>
      </c>
      <c r="AN56" s="17"/>
      <c r="AO56" s="27"/>
      <c r="AP56" s="17"/>
      <c r="AQ56" s="17"/>
      <c r="AR56" s="17"/>
      <c r="AS56" s="17"/>
      <c r="AT56" s="17"/>
      <c r="AU56" s="17"/>
      <c r="AV56" s="17"/>
      <c r="AW56" s="17"/>
      <c r="AX56" s="17"/>
      <c r="BB56" s="17"/>
    </row>
    <row r="57" spans="1:54" x14ac:dyDescent="0.2">
      <c r="A57" s="17" t="s">
        <v>41</v>
      </c>
      <c r="B57" s="18" t="s">
        <v>42</v>
      </c>
      <c r="C57" s="18" t="str">
        <f t="shared" si="1"/>
        <v>BI10.2</v>
      </c>
      <c r="D57" s="18" t="str">
        <f t="shared" si="2"/>
        <v>BI10.2_56</v>
      </c>
      <c r="E57" s="17">
        <v>2</v>
      </c>
      <c r="F57" s="19">
        <v>56</v>
      </c>
      <c r="G57" s="20">
        <v>2.5499999999999998</v>
      </c>
      <c r="H57" s="20">
        <v>2.9</v>
      </c>
      <c r="I57" s="20">
        <v>1</v>
      </c>
      <c r="J57" s="20">
        <f t="shared" si="0"/>
        <v>5.8291156249999991</v>
      </c>
      <c r="K57" s="53">
        <v>0.13658536585365874</v>
      </c>
      <c r="L57" s="20">
        <f t="shared" si="22"/>
        <v>17.612195121951267</v>
      </c>
      <c r="M57" s="20">
        <f t="shared" si="19"/>
        <v>18.612195121951267</v>
      </c>
      <c r="N57" s="20">
        <f t="shared" si="19"/>
        <v>18.112195121951267</v>
      </c>
      <c r="O57" s="20">
        <f>P56+$AO$48</f>
        <v>57.612195121951267</v>
      </c>
      <c r="P57" s="20">
        <f t="shared" si="23"/>
        <v>58.612195121951267</v>
      </c>
      <c r="Q57" s="20">
        <f t="shared" si="18"/>
        <v>58.112195121951267</v>
      </c>
      <c r="R57" s="20">
        <f t="shared" si="24"/>
        <v>51.612195121951267</v>
      </c>
      <c r="S57" s="20">
        <f t="shared" si="20"/>
        <v>52.612195121951267</v>
      </c>
      <c r="T57" s="20">
        <f t="shared" si="21"/>
        <v>52.112195121951267</v>
      </c>
      <c r="U57" s="20">
        <v>52.112195121951267</v>
      </c>
      <c r="V57" s="22">
        <v>8.2333999999999996</v>
      </c>
      <c r="W57" s="22">
        <v>2.0825</v>
      </c>
      <c r="X57" s="23">
        <v>1.1476266666666668</v>
      </c>
      <c r="Y57" s="23">
        <f t="shared" si="6"/>
        <v>7.085773333333333</v>
      </c>
      <c r="Z57" s="23">
        <f t="shared" si="7"/>
        <v>0.93487333333333322</v>
      </c>
      <c r="AA57" s="22">
        <f t="shared" si="8"/>
        <v>86.80633306550402</v>
      </c>
      <c r="AB57" s="22">
        <f t="shared" si="9"/>
        <v>13.19366693449598</v>
      </c>
      <c r="AC57" s="22">
        <f t="shared" si="10"/>
        <v>1.2155829098575024</v>
      </c>
      <c r="AD57" s="22">
        <f t="shared" si="11"/>
        <v>0.16037996043925332</v>
      </c>
      <c r="AE57" s="24">
        <v>5.5728</v>
      </c>
      <c r="AF57" s="24">
        <v>5.9558</v>
      </c>
      <c r="AG57" s="24">
        <v>5.6384999999999996</v>
      </c>
      <c r="AH57" s="25">
        <f>AG57-AE57</f>
        <v>6.5699999999999648E-2</v>
      </c>
      <c r="AI57" s="25">
        <v>82.845953002611054</v>
      </c>
      <c r="AJ57" s="26">
        <v>4.1422976501305531</v>
      </c>
      <c r="AK57" s="25">
        <v>41.422976501305527</v>
      </c>
      <c r="AL57" s="26">
        <v>4.1432752530186914</v>
      </c>
      <c r="AM57" s="17">
        <f t="shared" si="12"/>
        <v>0.5780346820809249</v>
      </c>
      <c r="AN57" s="17"/>
      <c r="AO57" s="27"/>
      <c r="AP57" s="17"/>
      <c r="AQ57" s="17"/>
      <c r="AR57" s="17"/>
      <c r="AS57" s="17"/>
      <c r="AT57" s="17"/>
      <c r="AU57" s="17"/>
      <c r="AV57" s="17"/>
      <c r="AW57" s="17"/>
      <c r="AX57" s="17"/>
      <c r="BB57" s="17"/>
    </row>
    <row r="58" spans="1:54" x14ac:dyDescent="0.2">
      <c r="A58" s="17" t="s">
        <v>41</v>
      </c>
      <c r="B58" s="18" t="s">
        <v>42</v>
      </c>
      <c r="C58" s="18" t="str">
        <f t="shared" si="1"/>
        <v>BI10.2</v>
      </c>
      <c r="D58" s="18" t="str">
        <f t="shared" si="2"/>
        <v>BI10.2_57</v>
      </c>
      <c r="E58" s="17">
        <v>2</v>
      </c>
      <c r="F58" s="19">
        <v>57</v>
      </c>
      <c r="G58" s="20">
        <v>2.85</v>
      </c>
      <c r="H58" s="20">
        <v>1.9</v>
      </c>
      <c r="I58" s="20">
        <v>1</v>
      </c>
      <c r="J58" s="20">
        <f t="shared" si="0"/>
        <v>4.4278906249999999</v>
      </c>
      <c r="K58" s="53">
        <v>0.13658536585365874</v>
      </c>
      <c r="L58" s="20">
        <f t="shared" si="22"/>
        <v>18.748780487804929</v>
      </c>
      <c r="M58" s="20">
        <f t="shared" si="19"/>
        <v>19.748780487804929</v>
      </c>
      <c r="N58" s="20">
        <f t="shared" si="19"/>
        <v>19.248780487804929</v>
      </c>
      <c r="O58" s="20">
        <f>P57+$AO$48</f>
        <v>58.748780487804929</v>
      </c>
      <c r="P58" s="20">
        <f t="shared" si="23"/>
        <v>59.748780487804929</v>
      </c>
      <c r="Q58" s="20">
        <f t="shared" si="18"/>
        <v>59.248780487804929</v>
      </c>
      <c r="R58" s="20">
        <f t="shared" si="24"/>
        <v>52.748780487804929</v>
      </c>
      <c r="S58" s="20">
        <f t="shared" si="20"/>
        <v>53.748780487804929</v>
      </c>
      <c r="T58" s="20">
        <f t="shared" si="21"/>
        <v>53.248780487804929</v>
      </c>
      <c r="U58" s="20">
        <v>53.248780487804929</v>
      </c>
      <c r="V58" s="22">
        <v>8.7914999999999992</v>
      </c>
      <c r="W58" s="22">
        <v>2.1829999999999998</v>
      </c>
      <c r="X58" s="23">
        <v>1.1476266666666668</v>
      </c>
      <c r="Y58" s="23">
        <f t="shared" si="6"/>
        <v>7.6438733333333326</v>
      </c>
      <c r="Z58" s="23">
        <f t="shared" si="7"/>
        <v>1.035373333333333</v>
      </c>
      <c r="AA58" s="22">
        <f t="shared" si="8"/>
        <v>86.454860145074804</v>
      </c>
      <c r="AB58" s="22">
        <f t="shared" si="9"/>
        <v>13.545139854925196</v>
      </c>
      <c r="AC58" s="22">
        <f t="shared" si="10"/>
        <v>1.7263012979986001</v>
      </c>
      <c r="AD58" s="22">
        <f t="shared" si="11"/>
        <v>0.23382992513129952</v>
      </c>
      <c r="AE58" s="24">
        <v>5.1859000000000002</v>
      </c>
      <c r="AF58" s="24">
        <v>5.4836999999999998</v>
      </c>
      <c r="AG58" s="24">
        <v>5.22</v>
      </c>
      <c r="AH58" s="25">
        <f>AG58-AE58</f>
        <v>3.4099999999999575E-2</v>
      </c>
      <c r="AI58" s="25">
        <v>88.549361987911482</v>
      </c>
      <c r="AJ58" s="26">
        <v>4.4274680993955746</v>
      </c>
      <c r="AK58" s="25">
        <v>44.274680993955741</v>
      </c>
      <c r="AL58" s="26">
        <v>4.4283827489463308</v>
      </c>
      <c r="AM58" s="17">
        <f t="shared" si="12"/>
        <v>0.5780346820809249</v>
      </c>
      <c r="AN58" s="17"/>
      <c r="AO58" s="27"/>
      <c r="AP58" s="17"/>
      <c r="AQ58" s="17"/>
      <c r="AR58" s="17"/>
      <c r="AS58" s="17"/>
      <c r="AT58" s="17"/>
      <c r="AU58" s="17"/>
      <c r="AV58" s="17"/>
      <c r="AW58" s="17"/>
      <c r="AX58" s="17"/>
      <c r="BB58" s="17"/>
    </row>
    <row r="59" spans="1:54" x14ac:dyDescent="0.2">
      <c r="A59" s="17" t="s">
        <v>41</v>
      </c>
      <c r="B59" s="18" t="s">
        <v>42</v>
      </c>
      <c r="C59" s="18" t="str">
        <f t="shared" si="1"/>
        <v>BI10.2</v>
      </c>
      <c r="D59" s="18" t="str">
        <f t="shared" si="2"/>
        <v>BI10.2_58</v>
      </c>
      <c r="E59" s="17">
        <v>2</v>
      </c>
      <c r="F59" s="19">
        <v>58</v>
      </c>
      <c r="G59" s="20">
        <v>2.7</v>
      </c>
      <c r="H59" s="20">
        <v>2.95</v>
      </c>
      <c r="I59" s="20">
        <v>1</v>
      </c>
      <c r="J59" s="20">
        <f t="shared" si="0"/>
        <v>6.2647906250000016</v>
      </c>
      <c r="K59" s="53">
        <v>0.13658536585365874</v>
      </c>
      <c r="L59" s="20">
        <f t="shared" si="22"/>
        <v>19.885365853658591</v>
      </c>
      <c r="M59" s="20">
        <f t="shared" si="22"/>
        <v>20.885365853658591</v>
      </c>
      <c r="N59" s="20">
        <f t="shared" si="22"/>
        <v>20.385365853658591</v>
      </c>
      <c r="O59" s="20">
        <f>P58+$AO$48</f>
        <v>59.885365853658591</v>
      </c>
      <c r="P59" s="20">
        <f t="shared" si="23"/>
        <v>60.885365853658591</v>
      </c>
      <c r="Q59" s="20">
        <f t="shared" si="18"/>
        <v>60.385365853658591</v>
      </c>
      <c r="R59" s="20">
        <f t="shared" si="24"/>
        <v>53.885365853658591</v>
      </c>
      <c r="S59" s="20">
        <f t="shared" si="20"/>
        <v>54.885365853658591</v>
      </c>
      <c r="T59" s="20">
        <f t="shared" si="21"/>
        <v>54.385365853658591</v>
      </c>
      <c r="U59" s="20">
        <v>54.385365853658591</v>
      </c>
      <c r="V59" s="22">
        <v>9.0463000000000005</v>
      </c>
      <c r="W59" s="22">
        <v>2.1648000000000001</v>
      </c>
      <c r="X59" s="23">
        <v>1.1476266666666668</v>
      </c>
      <c r="Y59" s="23">
        <f t="shared" si="6"/>
        <v>7.8986733333333339</v>
      </c>
      <c r="Z59" s="23">
        <f t="shared" si="7"/>
        <v>1.0171733333333333</v>
      </c>
      <c r="AA59" s="22">
        <f t="shared" si="8"/>
        <v>87.122225588938576</v>
      </c>
      <c r="AB59" s="22">
        <f t="shared" si="9"/>
        <v>12.877774411061424</v>
      </c>
      <c r="AC59" s="22">
        <f t="shared" si="10"/>
        <v>1.260804040571321</v>
      </c>
      <c r="AD59" s="22">
        <f t="shared" si="11"/>
        <v>0.16236350011032219</v>
      </c>
      <c r="AE59" s="24">
        <v>5.5293999999999999</v>
      </c>
      <c r="AF59" s="24">
        <v>5.7945000000000002</v>
      </c>
      <c r="AG59" s="24">
        <v>5.5574000000000003</v>
      </c>
      <c r="AH59" s="25">
        <f>AG59-AE59</f>
        <v>2.8000000000000469E-2</v>
      </c>
      <c r="AI59" s="25">
        <v>89.437947944171853</v>
      </c>
      <c r="AJ59" s="26">
        <v>4.4718973972085925</v>
      </c>
      <c r="AK59" s="25">
        <v>44.718973972085927</v>
      </c>
      <c r="AL59" s="26">
        <v>4.4728029613611398</v>
      </c>
      <c r="AM59" s="17">
        <f t="shared" si="12"/>
        <v>0.5780346820809249</v>
      </c>
      <c r="AN59" s="17"/>
      <c r="AO59" s="27"/>
      <c r="AP59" s="17"/>
      <c r="AQ59" s="17"/>
      <c r="AR59" s="17"/>
      <c r="AS59" s="17"/>
      <c r="AT59" s="17"/>
      <c r="AU59" s="17"/>
      <c r="AV59" s="17"/>
      <c r="AW59" s="17"/>
      <c r="AX59" s="17"/>
      <c r="BB59" s="17"/>
    </row>
    <row r="60" spans="1:54" x14ac:dyDescent="0.2">
      <c r="A60" s="17" t="s">
        <v>41</v>
      </c>
      <c r="B60" s="18" t="s">
        <v>42</v>
      </c>
      <c r="C60" s="18" t="str">
        <f t="shared" si="1"/>
        <v>BI10.2</v>
      </c>
      <c r="D60" s="18" t="str">
        <f t="shared" si="2"/>
        <v>BI10.2_59</v>
      </c>
      <c r="E60" s="17">
        <v>2</v>
      </c>
      <c r="F60" s="19">
        <v>59</v>
      </c>
      <c r="G60" s="20">
        <v>2.5</v>
      </c>
      <c r="H60" s="20">
        <v>2.95</v>
      </c>
      <c r="I60" s="20">
        <v>1</v>
      </c>
      <c r="J60" s="20">
        <f t="shared" si="0"/>
        <v>5.829115625</v>
      </c>
      <c r="K60" s="53">
        <v>0.13658536585365874</v>
      </c>
      <c r="L60" s="20">
        <f t="shared" si="22"/>
        <v>21.021951219512253</v>
      </c>
      <c r="M60" s="20">
        <f t="shared" si="22"/>
        <v>22.021951219512253</v>
      </c>
      <c r="N60" s="20">
        <f t="shared" si="22"/>
        <v>21.521951219512253</v>
      </c>
      <c r="O60" s="20">
        <f>P59+$AO$48</f>
        <v>61.021951219512253</v>
      </c>
      <c r="P60" s="20">
        <f t="shared" si="23"/>
        <v>62.021951219512253</v>
      </c>
      <c r="Q60" s="20">
        <f t="shared" si="18"/>
        <v>61.521951219512253</v>
      </c>
      <c r="R60" s="20">
        <f t="shared" si="24"/>
        <v>55.021951219512253</v>
      </c>
      <c r="S60" s="20">
        <f t="shared" si="20"/>
        <v>56.021951219512253</v>
      </c>
      <c r="T60" s="20">
        <f t="shared" si="21"/>
        <v>55.521951219512253</v>
      </c>
      <c r="U60" s="20">
        <v>55.521951219512253</v>
      </c>
      <c r="V60" s="22">
        <v>8.4303000000000008</v>
      </c>
      <c r="W60" s="22">
        <v>2.0956999999999999</v>
      </c>
      <c r="X60" s="23">
        <v>1.1476266666666668</v>
      </c>
      <c r="Y60" s="23">
        <f t="shared" si="6"/>
        <v>7.2826733333333342</v>
      </c>
      <c r="Z60" s="23">
        <f t="shared" si="7"/>
        <v>0.9480733333333331</v>
      </c>
      <c r="AA60" s="22">
        <f t="shared" si="8"/>
        <v>86.981795146654022</v>
      </c>
      <c r="AB60" s="22">
        <f t="shared" si="9"/>
        <v>13.018204853345978</v>
      </c>
      <c r="AC60" s="22">
        <f t="shared" si="10"/>
        <v>1.249361618784725</v>
      </c>
      <c r="AD60" s="22">
        <f t="shared" si="11"/>
        <v>0.16264445489247489</v>
      </c>
      <c r="AE60" s="24">
        <v>5.3574999999999999</v>
      </c>
      <c r="AF60" s="24">
        <v>5.7900999999999998</v>
      </c>
      <c r="AG60" s="24">
        <v>5.4185999999999996</v>
      </c>
      <c r="AH60" s="25">
        <f>AG60-AE60</f>
        <v>6.109999999999971E-2</v>
      </c>
      <c r="AI60" s="25">
        <v>85.876098012020407</v>
      </c>
      <c r="AJ60" s="26">
        <v>4.2938049006010202</v>
      </c>
      <c r="AK60" s="25">
        <v>42.938049006010203</v>
      </c>
      <c r="AL60" s="26">
        <v>4.2947480164062402</v>
      </c>
      <c r="AM60" s="17">
        <f t="shared" si="12"/>
        <v>0.5780346820809249</v>
      </c>
      <c r="AN60" s="17"/>
      <c r="AO60" s="27"/>
      <c r="AP60" s="17"/>
      <c r="AQ60" s="17"/>
      <c r="AR60" s="17"/>
      <c r="AS60" s="17"/>
      <c r="AT60" s="17"/>
      <c r="AU60" s="17"/>
      <c r="AV60" s="17"/>
      <c r="AW60" s="17"/>
      <c r="AX60" s="17"/>
      <c r="BB60" s="17"/>
    </row>
    <row r="61" spans="1:54" x14ac:dyDescent="0.2">
      <c r="A61" s="17" t="s">
        <v>41</v>
      </c>
      <c r="B61" s="18" t="s">
        <v>42</v>
      </c>
      <c r="C61" s="18" t="str">
        <f t="shared" si="1"/>
        <v>BI10.2</v>
      </c>
      <c r="D61" s="18" t="str">
        <f t="shared" si="2"/>
        <v>BI10.2_60</v>
      </c>
      <c r="E61" s="17">
        <v>2</v>
      </c>
      <c r="F61" s="19">
        <v>60</v>
      </c>
      <c r="G61" s="20">
        <v>2.6</v>
      </c>
      <c r="H61" s="20">
        <v>3</v>
      </c>
      <c r="I61" s="20">
        <v>1</v>
      </c>
      <c r="J61" s="20">
        <f t="shared" si="0"/>
        <v>6.1543999999999999</v>
      </c>
      <c r="K61" s="53">
        <v>0.13658536585365874</v>
      </c>
      <c r="L61" s="20">
        <f t="shared" si="22"/>
        <v>22.158536585365916</v>
      </c>
      <c r="M61" s="20">
        <f t="shared" si="22"/>
        <v>23.158536585365916</v>
      </c>
      <c r="N61" s="20">
        <f t="shared" si="22"/>
        <v>22.658536585365916</v>
      </c>
      <c r="O61" s="20">
        <f>P60+$AO$48</f>
        <v>62.158536585365916</v>
      </c>
      <c r="P61" s="20">
        <f t="shared" si="23"/>
        <v>63.158536585365916</v>
      </c>
      <c r="Q61" s="20">
        <f t="shared" si="18"/>
        <v>62.658536585365916</v>
      </c>
      <c r="R61" s="20">
        <f t="shared" si="24"/>
        <v>56.158536585365916</v>
      </c>
      <c r="S61" s="20">
        <f t="shared" si="20"/>
        <v>57.158536585365916</v>
      </c>
      <c r="T61" s="20">
        <f t="shared" si="21"/>
        <v>56.658536585365916</v>
      </c>
      <c r="U61" s="20">
        <v>56.658536585365916</v>
      </c>
      <c r="V61" s="22">
        <v>8.9312000000000005</v>
      </c>
      <c r="W61" s="22">
        <v>2.1713</v>
      </c>
      <c r="X61" s="23">
        <v>1.1476266666666668</v>
      </c>
      <c r="Y61" s="23">
        <f t="shared" si="6"/>
        <v>7.7835733333333339</v>
      </c>
      <c r="Z61" s="23">
        <f t="shared" si="7"/>
        <v>1.0236733333333332</v>
      </c>
      <c r="AA61" s="22">
        <f t="shared" si="8"/>
        <v>86.848285620314925</v>
      </c>
      <c r="AB61" s="22">
        <f t="shared" si="9"/>
        <v>13.151714379685075</v>
      </c>
      <c r="AC61" s="22">
        <f t="shared" si="10"/>
        <v>1.2647168421508732</v>
      </c>
      <c r="AD61" s="22">
        <f t="shared" si="11"/>
        <v>0.16633194679145541</v>
      </c>
      <c r="AE61" s="24">
        <v>5.8258000000000001</v>
      </c>
      <c r="AF61" s="24">
        <v>6.1420000000000003</v>
      </c>
      <c r="AG61" s="24">
        <v>5.8552</v>
      </c>
      <c r="AH61" s="25">
        <f>AG61-AE61</f>
        <v>2.9399999999999871E-2</v>
      </c>
      <c r="AI61" s="25">
        <v>90.702087286527572</v>
      </c>
      <c r="AJ61" s="26">
        <v>4.5351043643263784</v>
      </c>
      <c r="AK61" s="25">
        <v>45.351043643263786</v>
      </c>
      <c r="AL61" s="26">
        <v>4.5359973098903144</v>
      </c>
      <c r="AM61" s="17">
        <f t="shared" si="12"/>
        <v>0.5780346820809249</v>
      </c>
      <c r="AN61" s="17"/>
      <c r="AO61" s="27"/>
      <c r="AP61" s="17"/>
      <c r="AQ61" s="17"/>
      <c r="AR61" s="17"/>
      <c r="AS61" s="17"/>
      <c r="AT61" s="17"/>
      <c r="AU61" s="17"/>
      <c r="AV61" s="17"/>
      <c r="AW61" s="17"/>
      <c r="AX61" s="17"/>
      <c r="BB61" s="17"/>
    </row>
    <row r="62" spans="1:54" x14ac:dyDescent="0.2">
      <c r="A62" s="17" t="s">
        <v>41</v>
      </c>
      <c r="B62" s="18" t="s">
        <v>42</v>
      </c>
      <c r="C62" s="18" t="str">
        <f t="shared" si="1"/>
        <v>BI10.2</v>
      </c>
      <c r="D62" s="18" t="str">
        <f t="shared" si="2"/>
        <v>BI10.2_61</v>
      </c>
      <c r="E62" s="17">
        <v>2</v>
      </c>
      <c r="F62" s="19">
        <v>61</v>
      </c>
      <c r="G62" s="20">
        <v>2.5</v>
      </c>
      <c r="H62" s="20">
        <v>3</v>
      </c>
      <c r="I62" s="20">
        <v>1</v>
      </c>
      <c r="J62" s="20">
        <f t="shared" si="0"/>
        <v>5.9365625</v>
      </c>
      <c r="K62" s="53">
        <v>0.13658536585365874</v>
      </c>
      <c r="L62" s="20">
        <f t="shared" si="22"/>
        <v>23.295121951219578</v>
      </c>
      <c r="M62" s="20">
        <f t="shared" si="22"/>
        <v>24.295121951219585</v>
      </c>
      <c r="N62" s="20">
        <f t="shared" si="22"/>
        <v>23.795121951219585</v>
      </c>
      <c r="O62" s="20">
        <f>P61+$AO$48</f>
        <v>63.295121951219578</v>
      </c>
      <c r="P62" s="20">
        <f t="shared" si="23"/>
        <v>64.295121951219585</v>
      </c>
      <c r="Q62" s="20">
        <f t="shared" si="18"/>
        <v>63.795121951219585</v>
      </c>
      <c r="R62" s="20">
        <f t="shared" si="24"/>
        <v>57.295121951219578</v>
      </c>
      <c r="S62" s="20">
        <f t="shared" si="20"/>
        <v>58.295121951219578</v>
      </c>
      <c r="T62" s="20">
        <f t="shared" si="21"/>
        <v>57.795121951219578</v>
      </c>
      <c r="U62" s="20">
        <v>57.795121951219578</v>
      </c>
      <c r="V62" s="22">
        <v>8.5927000000000007</v>
      </c>
      <c r="W62" s="22">
        <v>2.1480999999999999</v>
      </c>
      <c r="X62" s="23">
        <v>1.1476266666666668</v>
      </c>
      <c r="Y62" s="23">
        <f t="shared" si="6"/>
        <v>7.4450733333333341</v>
      </c>
      <c r="Z62" s="23">
        <f t="shared" si="7"/>
        <v>1.0004733333333331</v>
      </c>
      <c r="AA62" s="22">
        <f t="shared" si="8"/>
        <v>86.561941185267045</v>
      </c>
      <c r="AB62" s="22">
        <f t="shared" si="9"/>
        <v>13.438058814732955</v>
      </c>
      <c r="AC62" s="22">
        <f t="shared" si="10"/>
        <v>1.2541051043147164</v>
      </c>
      <c r="AD62" s="22">
        <f t="shared" si="11"/>
        <v>0.16852738151637975</v>
      </c>
      <c r="AE62" s="24">
        <v>4.7576999999999998</v>
      </c>
      <c r="AF62" s="24">
        <v>5.1093000000000002</v>
      </c>
      <c r="AG62" s="24">
        <v>4.7931999999999997</v>
      </c>
      <c r="AH62" s="25">
        <f>AG62-AE62</f>
        <v>3.5499999999999865E-2</v>
      </c>
      <c r="AI62" s="25">
        <v>89.903299203640557</v>
      </c>
      <c r="AJ62" s="26">
        <v>4.495164960182028</v>
      </c>
      <c r="AK62" s="25">
        <v>44.951649601820279</v>
      </c>
      <c r="AL62" s="26">
        <v>4.4960658379574792</v>
      </c>
      <c r="AM62" s="17">
        <f t="shared" si="12"/>
        <v>0.5780346820809249</v>
      </c>
      <c r="AN62" s="17"/>
      <c r="AO62" s="27"/>
      <c r="AP62" s="17"/>
      <c r="AQ62" s="17"/>
      <c r="AR62" s="17"/>
      <c r="AS62" s="17"/>
      <c r="AT62" s="17"/>
      <c r="AU62" s="17"/>
      <c r="AV62" s="17"/>
      <c r="AW62" s="17"/>
      <c r="AX62" s="17"/>
      <c r="BB62" s="17"/>
    </row>
    <row r="63" spans="1:54" x14ac:dyDescent="0.2">
      <c r="A63" s="17" t="s">
        <v>41</v>
      </c>
      <c r="B63" s="18" t="s">
        <v>42</v>
      </c>
      <c r="C63" s="18" t="str">
        <f t="shared" si="1"/>
        <v>BI10.2</v>
      </c>
      <c r="D63" s="18" t="str">
        <f t="shared" si="2"/>
        <v>BI10.2_62</v>
      </c>
      <c r="E63" s="17">
        <v>2</v>
      </c>
      <c r="F63" s="19">
        <v>62</v>
      </c>
      <c r="G63" s="20">
        <v>2.5</v>
      </c>
      <c r="H63" s="20">
        <v>2.9</v>
      </c>
      <c r="I63" s="20">
        <v>1</v>
      </c>
      <c r="J63" s="20">
        <f t="shared" si="0"/>
        <v>5.7226500000000016</v>
      </c>
      <c r="K63" s="53">
        <v>0.13658536585365874</v>
      </c>
      <c r="L63" s="20">
        <f t="shared" si="22"/>
        <v>24.431707317073247</v>
      </c>
      <c r="M63" s="20">
        <f t="shared" si="22"/>
        <v>25.431707317073247</v>
      </c>
      <c r="N63" s="20">
        <f t="shared" si="22"/>
        <v>24.931707317073247</v>
      </c>
      <c r="O63" s="20">
        <f>P62+$AO$48</f>
        <v>64.431707317073247</v>
      </c>
      <c r="P63" s="20">
        <f t="shared" si="23"/>
        <v>65.431707317073247</v>
      </c>
      <c r="Q63" s="20">
        <f t="shared" si="18"/>
        <v>64.931707317073247</v>
      </c>
      <c r="R63" s="20">
        <f t="shared" si="24"/>
        <v>58.431707317073247</v>
      </c>
      <c r="S63" s="20">
        <f t="shared" si="20"/>
        <v>59.431707317073247</v>
      </c>
      <c r="T63" s="20">
        <f t="shared" si="21"/>
        <v>58.931707317073247</v>
      </c>
      <c r="U63" s="20">
        <v>58.931707317073247</v>
      </c>
      <c r="V63" s="22">
        <v>7.8857999999999997</v>
      </c>
      <c r="W63" s="22">
        <v>1.9702999999999999</v>
      </c>
      <c r="X63" s="23">
        <v>1.1476266666666668</v>
      </c>
      <c r="Y63" s="23">
        <f t="shared" si="6"/>
        <v>6.7381733333333331</v>
      </c>
      <c r="Z63" s="23">
        <f t="shared" si="7"/>
        <v>0.82267333333333315</v>
      </c>
      <c r="AA63" s="22">
        <f t="shared" si="8"/>
        <v>87.790855286200227</v>
      </c>
      <c r="AB63" s="22">
        <f t="shared" si="9"/>
        <v>12.209144713799773</v>
      </c>
      <c r="AC63" s="22">
        <f t="shared" si="10"/>
        <v>1.1774568308971074</v>
      </c>
      <c r="AD63" s="22">
        <f t="shared" si="11"/>
        <v>0.14375740842674861</v>
      </c>
      <c r="AE63" s="24">
        <v>4.7782</v>
      </c>
      <c r="AF63" s="24">
        <v>5.1547999999999998</v>
      </c>
      <c r="AG63" s="24">
        <v>4.8194999999999997</v>
      </c>
      <c r="AH63" s="25">
        <f>AG63-AE63</f>
        <v>4.129999999999967E-2</v>
      </c>
      <c r="AI63" s="25">
        <v>89.033457249070707</v>
      </c>
      <c r="AJ63" s="26">
        <v>4.4516728624535356</v>
      </c>
      <c r="AK63" s="25">
        <v>44.516728624535354</v>
      </c>
      <c r="AL63" s="26">
        <v>4.4525825398643937</v>
      </c>
      <c r="AM63" s="17">
        <f t="shared" si="12"/>
        <v>0.5780346820809249</v>
      </c>
      <c r="AN63" s="17"/>
      <c r="AO63" s="27"/>
      <c r="AP63" s="17"/>
      <c r="AQ63" s="17"/>
      <c r="AR63" s="17"/>
      <c r="AS63" s="17"/>
      <c r="AT63" s="17"/>
      <c r="AU63" s="17"/>
      <c r="AV63" s="17"/>
      <c r="AW63" s="17"/>
      <c r="AX63" s="17"/>
      <c r="BB63" s="17"/>
    </row>
    <row r="64" spans="1:54" x14ac:dyDescent="0.2">
      <c r="A64" s="17" t="s">
        <v>41</v>
      </c>
      <c r="B64" s="18" t="s">
        <v>42</v>
      </c>
      <c r="C64" s="18" t="str">
        <f t="shared" si="1"/>
        <v>BI10.2</v>
      </c>
      <c r="D64" s="18" t="str">
        <f t="shared" si="2"/>
        <v>BI10.2_63</v>
      </c>
      <c r="E64" s="17">
        <v>2</v>
      </c>
      <c r="F64" s="19">
        <v>63</v>
      </c>
      <c r="G64" s="20">
        <v>2.4</v>
      </c>
      <c r="H64" s="20">
        <v>2.95</v>
      </c>
      <c r="I64" s="20">
        <v>1</v>
      </c>
      <c r="J64" s="20">
        <f t="shared" si="0"/>
        <v>5.6171656249999993</v>
      </c>
      <c r="K64" s="53">
        <v>0.13658536585365874</v>
      </c>
      <c r="L64" s="20">
        <f t="shared" si="22"/>
        <v>25.568292682926909</v>
      </c>
      <c r="M64" s="20">
        <f t="shared" si="22"/>
        <v>26.568292682926909</v>
      </c>
      <c r="N64" s="20">
        <f t="shared" si="22"/>
        <v>26.068292682926909</v>
      </c>
      <c r="O64" s="20">
        <f>P63+$AO$48</f>
        <v>65.568292682926909</v>
      </c>
      <c r="P64" s="20">
        <f t="shared" si="23"/>
        <v>66.568292682926909</v>
      </c>
      <c r="Q64" s="20">
        <f t="shared" si="18"/>
        <v>66.068292682926909</v>
      </c>
      <c r="R64" s="20">
        <f t="shared" si="24"/>
        <v>59.568292682926909</v>
      </c>
      <c r="S64" s="20">
        <f t="shared" si="20"/>
        <v>60.568292682926909</v>
      </c>
      <c r="T64" s="20">
        <f t="shared" si="21"/>
        <v>60.068292682926909</v>
      </c>
      <c r="U64" s="20">
        <v>60.068292682926909</v>
      </c>
      <c r="V64" s="22">
        <v>8.2562999999999995</v>
      </c>
      <c r="W64" s="22">
        <v>2.1089000000000002</v>
      </c>
      <c r="X64" s="23">
        <v>1.1476266666666668</v>
      </c>
      <c r="Y64" s="23">
        <f t="shared" si="6"/>
        <v>7.108673333333333</v>
      </c>
      <c r="Z64" s="23">
        <f t="shared" si="7"/>
        <v>0.96127333333333342</v>
      </c>
      <c r="AA64" s="22">
        <f t="shared" si="8"/>
        <v>86.47745805358899</v>
      </c>
      <c r="AB64" s="22">
        <f t="shared" si="9"/>
        <v>13.52254194641101</v>
      </c>
      <c r="AC64" s="22">
        <f t="shared" si="10"/>
        <v>1.2655267456767101</v>
      </c>
      <c r="AD64" s="22">
        <f t="shared" si="11"/>
        <v>0.17113138502718328</v>
      </c>
      <c r="AE64" s="24">
        <v>4.7233000000000001</v>
      </c>
      <c r="AF64" s="24">
        <v>5.2443999999999997</v>
      </c>
      <c r="AG64" s="24">
        <v>4.8949999999999996</v>
      </c>
      <c r="AH64" s="25">
        <f>AG64-AE64</f>
        <v>0.17169999999999952</v>
      </c>
      <c r="AI64" s="25">
        <v>67.050470159278518</v>
      </c>
      <c r="AJ64" s="26">
        <v>3.3525235079639262</v>
      </c>
      <c r="AK64" s="25">
        <v>33.525235079639259</v>
      </c>
      <c r="AL64" s="26">
        <v>3.3537313356097487</v>
      </c>
      <c r="AM64" s="17">
        <f t="shared" si="12"/>
        <v>0.5780346820809249</v>
      </c>
      <c r="AN64" s="17"/>
      <c r="AO64" s="27"/>
      <c r="AP64" s="17"/>
      <c r="AQ64" s="17"/>
      <c r="AR64" s="17"/>
      <c r="AS64" s="17"/>
      <c r="AT64" s="17"/>
      <c r="AU64" s="17"/>
      <c r="AV64" s="17"/>
      <c r="AW64" s="17"/>
      <c r="AX64" s="17"/>
      <c r="BB64" s="17"/>
    </row>
    <row r="65" spans="1:54" x14ac:dyDescent="0.2">
      <c r="A65" s="17" t="s">
        <v>41</v>
      </c>
      <c r="B65" s="18" t="s">
        <v>42</v>
      </c>
      <c r="C65" s="18" t="str">
        <f t="shared" si="1"/>
        <v>BI10.2</v>
      </c>
      <c r="D65" s="18" t="str">
        <f t="shared" si="2"/>
        <v>BI10.2_64</v>
      </c>
      <c r="E65" s="17">
        <v>2</v>
      </c>
      <c r="F65" s="19">
        <v>64</v>
      </c>
      <c r="G65" s="20">
        <v>2.9</v>
      </c>
      <c r="H65" s="20">
        <v>2.4500000000000002</v>
      </c>
      <c r="I65" s="20">
        <v>1</v>
      </c>
      <c r="J65" s="20">
        <f t="shared" si="0"/>
        <v>5.6171656249999993</v>
      </c>
      <c r="K65" s="53">
        <v>0.13658536585365874</v>
      </c>
      <c r="L65" s="20">
        <f t="shared" si="22"/>
        <v>26.704878048780571</v>
      </c>
      <c r="M65" s="20">
        <f t="shared" si="22"/>
        <v>27.704878048780571</v>
      </c>
      <c r="N65" s="20">
        <f t="shared" si="22"/>
        <v>27.204878048780571</v>
      </c>
      <c r="O65" s="20">
        <f>P64+$AO$48</f>
        <v>66.704878048780571</v>
      </c>
      <c r="P65" s="20">
        <f t="shared" si="23"/>
        <v>67.704878048780571</v>
      </c>
      <c r="Q65" s="20">
        <f t="shared" si="18"/>
        <v>67.204878048780571</v>
      </c>
      <c r="R65" s="20">
        <f t="shared" si="24"/>
        <v>60.704878048780571</v>
      </c>
      <c r="S65" s="20">
        <f t="shared" si="20"/>
        <v>61.704878048780571</v>
      </c>
      <c r="T65" s="20">
        <f t="shared" si="21"/>
        <v>61.204878048780571</v>
      </c>
      <c r="U65" s="20">
        <v>61.204878048780571</v>
      </c>
      <c r="V65" s="22">
        <v>8.4381000000000004</v>
      </c>
      <c r="W65" s="22">
        <v>2.1945999999999999</v>
      </c>
      <c r="X65" s="23">
        <v>1.1476266666666668</v>
      </c>
      <c r="Y65" s="23">
        <f t="shared" si="6"/>
        <v>7.2904733333333338</v>
      </c>
      <c r="Z65" s="23">
        <f t="shared" si="7"/>
        <v>1.0469733333333331</v>
      </c>
      <c r="AA65" s="22">
        <f t="shared" si="8"/>
        <v>85.639158317109732</v>
      </c>
      <c r="AB65" s="22">
        <f t="shared" si="9"/>
        <v>14.360841682890268</v>
      </c>
      <c r="AC65" s="22">
        <f t="shared" si="10"/>
        <v>1.297891823037234</v>
      </c>
      <c r="AD65" s="22">
        <f t="shared" si="11"/>
        <v>0.18638818992155554</v>
      </c>
      <c r="AE65" s="24">
        <v>4.7683</v>
      </c>
      <c r="AF65" s="24">
        <v>5.2709000000000001</v>
      </c>
      <c r="AG65" s="24">
        <v>4.8521999999999998</v>
      </c>
      <c r="AH65" s="25">
        <f>AG65-AE65</f>
        <v>8.3899999999999864E-2</v>
      </c>
      <c r="AI65" s="25">
        <v>83.306804615996839</v>
      </c>
      <c r="AJ65" s="26">
        <v>4.1653402307998419</v>
      </c>
      <c r="AK65" s="25">
        <v>41.653402307998419</v>
      </c>
      <c r="AL65" s="26">
        <v>4.1663124268733949</v>
      </c>
      <c r="AM65" s="17">
        <f t="shared" si="12"/>
        <v>0.5780346820809249</v>
      </c>
      <c r="AN65" s="17"/>
      <c r="AO65" s="27"/>
      <c r="AP65" s="17"/>
      <c r="AQ65" s="17"/>
      <c r="AR65" s="17"/>
      <c r="AS65" s="17"/>
      <c r="AT65" s="17"/>
      <c r="AU65" s="17"/>
      <c r="AV65" s="17"/>
      <c r="AW65" s="17"/>
      <c r="AX65" s="17"/>
      <c r="BB65" s="17"/>
    </row>
    <row r="66" spans="1:54" x14ac:dyDescent="0.2">
      <c r="A66" s="17" t="s">
        <v>41</v>
      </c>
      <c r="B66" s="18" t="s">
        <v>42</v>
      </c>
      <c r="C66" s="18" t="str">
        <f t="shared" si="1"/>
        <v>BI10.2</v>
      </c>
      <c r="D66" s="18" t="str">
        <f t="shared" si="2"/>
        <v>BI10.2_65</v>
      </c>
      <c r="E66" s="17">
        <v>2</v>
      </c>
      <c r="F66" s="19">
        <v>65</v>
      </c>
      <c r="G66" s="20">
        <v>2.6</v>
      </c>
      <c r="H66" s="20">
        <v>2.85</v>
      </c>
      <c r="I66" s="20">
        <v>1</v>
      </c>
      <c r="J66" s="20">
        <f t="shared" ref="J66:J129" si="25">(AVERAGE(G66:H66)*(AVERAGE(G66:H66)*3.14/4*I66))</f>
        <v>5.829115625</v>
      </c>
      <c r="K66" s="53">
        <v>0.13658536585365874</v>
      </c>
      <c r="L66" s="20">
        <f t="shared" si="22"/>
        <v>27.841463414634234</v>
      </c>
      <c r="M66" s="20">
        <f t="shared" si="22"/>
        <v>28.841463414634234</v>
      </c>
      <c r="N66" s="20">
        <f t="shared" si="22"/>
        <v>28.341463414634234</v>
      </c>
      <c r="O66" s="20">
        <f>P65+$AO$48</f>
        <v>67.841463414634234</v>
      </c>
      <c r="P66" s="20">
        <f t="shared" si="23"/>
        <v>68.841463414634234</v>
      </c>
      <c r="Q66" s="20">
        <f t="shared" si="18"/>
        <v>68.341463414634234</v>
      </c>
      <c r="R66" s="20">
        <f t="shared" si="24"/>
        <v>61.841463414634234</v>
      </c>
      <c r="S66" s="20">
        <f t="shared" si="20"/>
        <v>62.841463414634234</v>
      </c>
      <c r="T66" s="20">
        <f t="shared" si="21"/>
        <v>62.341463414634234</v>
      </c>
      <c r="U66" s="20">
        <v>62.341463414634234</v>
      </c>
      <c r="V66" s="22">
        <v>8.5229999999999997</v>
      </c>
      <c r="W66" s="22">
        <v>2.1594000000000002</v>
      </c>
      <c r="X66" s="23">
        <v>1.1476266666666668</v>
      </c>
      <c r="Y66" s="23">
        <f t="shared" si="6"/>
        <v>7.3753733333333331</v>
      </c>
      <c r="Z66" s="23">
        <f t="shared" si="7"/>
        <v>1.0117733333333334</v>
      </c>
      <c r="AA66" s="22">
        <f t="shared" si="8"/>
        <v>86.28173398679931</v>
      </c>
      <c r="AB66" s="22">
        <f t="shared" si="9"/>
        <v>13.71826601320069</v>
      </c>
      <c r="AC66" s="22">
        <f t="shared" si="10"/>
        <v>1.265264545740304</v>
      </c>
      <c r="AD66" s="22">
        <f t="shared" si="11"/>
        <v>0.1735723561553702</v>
      </c>
      <c r="AE66" s="24">
        <v>4.8948</v>
      </c>
      <c r="AF66" s="24">
        <v>5.3207000000000004</v>
      </c>
      <c r="AG66" s="24">
        <v>4.9710999999999999</v>
      </c>
      <c r="AH66" s="25">
        <f>AG66-AE66</f>
        <v>7.6299999999999812E-2</v>
      </c>
      <c r="AI66" s="25">
        <v>82.084996478046548</v>
      </c>
      <c r="AJ66" s="26">
        <v>4.104249823902328</v>
      </c>
      <c r="AK66" s="25">
        <v>41.042498239023274</v>
      </c>
      <c r="AL66" s="26">
        <v>4.1052364873417817</v>
      </c>
      <c r="AM66" s="17">
        <f t="shared" si="12"/>
        <v>0.5780346820809249</v>
      </c>
      <c r="AN66" s="17"/>
      <c r="AO66" s="27"/>
      <c r="AP66" s="17"/>
      <c r="AQ66" s="17"/>
      <c r="AR66" s="17"/>
      <c r="AS66" s="17"/>
      <c r="AT66" s="17"/>
      <c r="AU66" s="17"/>
      <c r="AV66" s="17"/>
      <c r="AW66" s="17"/>
      <c r="AX66" s="17"/>
      <c r="BB66" s="17"/>
    </row>
    <row r="67" spans="1:54" x14ac:dyDescent="0.2">
      <c r="A67" s="17" t="s">
        <v>41</v>
      </c>
      <c r="B67" s="18" t="s">
        <v>42</v>
      </c>
      <c r="C67" s="18" t="str">
        <f t="shared" ref="C67:C130" si="26">B67&amp;"."&amp;E67</f>
        <v>BI10.2</v>
      </c>
      <c r="D67" s="18" t="str">
        <f t="shared" ref="D67:D130" si="27">C67&amp;"_"&amp;F67</f>
        <v>BI10.2_66</v>
      </c>
      <c r="E67" s="17">
        <v>2</v>
      </c>
      <c r="F67" s="19">
        <v>66</v>
      </c>
      <c r="G67" s="20">
        <v>2.75</v>
      </c>
      <c r="H67" s="20">
        <v>2.4</v>
      </c>
      <c r="I67" s="20">
        <v>1</v>
      </c>
      <c r="J67" s="20">
        <f t="shared" si="25"/>
        <v>5.2050406250000014</v>
      </c>
      <c r="K67" s="53">
        <v>0.13658536585365874</v>
      </c>
      <c r="L67" s="20">
        <f t="shared" si="22"/>
        <v>28.978048780487896</v>
      </c>
      <c r="M67" s="20">
        <f t="shared" si="22"/>
        <v>29.978048780487896</v>
      </c>
      <c r="N67" s="20">
        <f t="shared" si="22"/>
        <v>29.478048780487896</v>
      </c>
      <c r="O67" s="20">
        <f>P66+$AO$48</f>
        <v>68.978048780487896</v>
      </c>
      <c r="P67" s="20">
        <f t="shared" si="23"/>
        <v>69.978048780487896</v>
      </c>
      <c r="Q67" s="20">
        <f t="shared" si="18"/>
        <v>69.478048780487896</v>
      </c>
      <c r="R67" s="20">
        <f t="shared" si="24"/>
        <v>62.978048780487896</v>
      </c>
      <c r="S67" s="20">
        <f t="shared" si="20"/>
        <v>63.978048780487896</v>
      </c>
      <c r="T67" s="20">
        <f t="shared" si="21"/>
        <v>63.478048780487896</v>
      </c>
      <c r="U67" s="20">
        <v>63.478048780487896</v>
      </c>
      <c r="V67" s="22">
        <v>8.2345000000000006</v>
      </c>
      <c r="W67" s="22">
        <v>2.2597999999999998</v>
      </c>
      <c r="X67" s="23">
        <v>1.1476266666666668</v>
      </c>
      <c r="Y67" s="23">
        <f t="shared" ref="Y67:Y130" si="28">V67-X67</f>
        <v>7.086873333333334</v>
      </c>
      <c r="Z67" s="23">
        <f t="shared" ref="Z67:Z130" si="29">W67-X67</f>
        <v>1.112173333333333</v>
      </c>
      <c r="AA67" s="22">
        <f t="shared" ref="AA67:AA130" si="30">((Y67-Z67)/Y67)*100</f>
        <v>84.306572432977035</v>
      </c>
      <c r="AB67" s="22">
        <f t="shared" ref="AB67:AB130" si="31">100-AA67</f>
        <v>15.693427567022965</v>
      </c>
      <c r="AC67" s="22">
        <f t="shared" ref="AC67:AC130" si="32">(V67-X67)/J67</f>
        <v>1.3615404458698788</v>
      </c>
      <c r="AD67" s="22">
        <f t="shared" ref="AD67:AD130" si="33">(W67-X67)/J67</f>
        <v>0.21367236366831099</v>
      </c>
      <c r="AE67" s="24">
        <v>5.0422000000000002</v>
      </c>
      <c r="AF67" s="24">
        <v>5.4913999999999996</v>
      </c>
      <c r="AG67" s="24">
        <v>5.1082000000000001</v>
      </c>
      <c r="AH67" s="25">
        <f>AG67-AE67</f>
        <v>6.5999999999999837E-2</v>
      </c>
      <c r="AI67" s="25">
        <v>85.307212822796103</v>
      </c>
      <c r="AJ67" s="26">
        <v>4.2653606411398055</v>
      </c>
      <c r="AK67" s="25">
        <v>42.653606411398052</v>
      </c>
      <c r="AL67" s="26">
        <v>4.2663100448730367</v>
      </c>
      <c r="AM67" s="17">
        <f t="shared" ref="AM67:AM130" si="34">1/1.73</f>
        <v>0.5780346820809249</v>
      </c>
      <c r="AN67" s="17"/>
      <c r="AO67" s="27"/>
      <c r="AP67" s="17"/>
      <c r="AQ67" s="17"/>
      <c r="AR67" s="17"/>
      <c r="AS67" s="17"/>
      <c r="AT67" s="17"/>
      <c r="AU67" s="17"/>
      <c r="AV67" s="17"/>
      <c r="AW67" s="17"/>
      <c r="AX67" s="17"/>
      <c r="BB67" s="17"/>
    </row>
    <row r="68" spans="1:54" x14ac:dyDescent="0.2">
      <c r="A68" s="17" t="s">
        <v>41</v>
      </c>
      <c r="B68" s="18" t="s">
        <v>42</v>
      </c>
      <c r="C68" s="18" t="str">
        <f t="shared" si="26"/>
        <v>BI10.2</v>
      </c>
      <c r="D68" s="18" t="str">
        <f t="shared" si="27"/>
        <v>BI10.2_67</v>
      </c>
      <c r="E68" s="17">
        <v>2</v>
      </c>
      <c r="F68" s="19">
        <v>67</v>
      </c>
      <c r="G68" s="20">
        <v>2.5</v>
      </c>
      <c r="H68" s="20">
        <v>2.7</v>
      </c>
      <c r="I68" s="20">
        <v>1.05</v>
      </c>
      <c r="J68" s="20">
        <f t="shared" si="25"/>
        <v>5.5719300000000018</v>
      </c>
      <c r="K68" s="53">
        <v>0.13658536585365874</v>
      </c>
      <c r="L68" s="20">
        <f t="shared" si="22"/>
        <v>30.114634146341558</v>
      </c>
      <c r="M68" s="20">
        <f t="shared" si="22"/>
        <v>31.164634146341555</v>
      </c>
      <c r="N68" s="20">
        <f t="shared" si="22"/>
        <v>30.639634146341564</v>
      </c>
      <c r="O68" s="20">
        <f>P67+$AO$48</f>
        <v>70.114634146341558</v>
      </c>
      <c r="P68" s="20">
        <f t="shared" si="23"/>
        <v>71.164634146341555</v>
      </c>
      <c r="Q68" s="20">
        <f t="shared" ref="Q68:Q131" si="35">O68+((P68-O68)/2)</f>
        <v>70.639634146341564</v>
      </c>
      <c r="R68" s="20">
        <f t="shared" si="24"/>
        <v>64.114634146341558</v>
      </c>
      <c r="S68" s="20">
        <f t="shared" si="20"/>
        <v>65.164634146341555</v>
      </c>
      <c r="T68" s="20">
        <f t="shared" si="21"/>
        <v>64.639634146341564</v>
      </c>
      <c r="U68" s="20">
        <v>64.639634146341564</v>
      </c>
      <c r="V68" s="22">
        <v>8.7416999999999998</v>
      </c>
      <c r="W68" s="22">
        <v>2.8931</v>
      </c>
      <c r="X68" s="23">
        <v>1.1476266666666668</v>
      </c>
      <c r="Y68" s="23">
        <f t="shared" si="28"/>
        <v>7.5940733333333332</v>
      </c>
      <c r="Z68" s="23">
        <f t="shared" si="29"/>
        <v>1.7454733333333332</v>
      </c>
      <c r="AA68" s="22">
        <f t="shared" si="30"/>
        <v>77.015321597280689</v>
      </c>
      <c r="AB68" s="22">
        <f t="shared" si="31"/>
        <v>22.984678402719311</v>
      </c>
      <c r="AC68" s="22">
        <f t="shared" si="32"/>
        <v>1.3629161409661159</v>
      </c>
      <c r="AD68" s="22">
        <f t="shared" si="33"/>
        <v>0.31326189189981435</v>
      </c>
      <c r="AE68" s="24">
        <v>4.6050000000000004</v>
      </c>
      <c r="AF68" s="24">
        <v>4.9652000000000003</v>
      </c>
      <c r="AG68" s="24">
        <v>4.6749999999999998</v>
      </c>
      <c r="AH68" s="25">
        <f>AG68-AE68</f>
        <v>6.9999999999999396E-2</v>
      </c>
      <c r="AI68" s="25">
        <v>80.566352026652027</v>
      </c>
      <c r="AJ68" s="26">
        <v>4.0283176013326019</v>
      </c>
      <c r="AK68" s="25">
        <v>40.283176013326013</v>
      </c>
      <c r="AL68" s="26">
        <v>4.0293228583976797</v>
      </c>
      <c r="AM68" s="17">
        <f t="shared" si="34"/>
        <v>0.5780346820809249</v>
      </c>
      <c r="AN68" s="17"/>
      <c r="AO68" s="27"/>
      <c r="AP68" s="17"/>
      <c r="AQ68" s="17"/>
      <c r="AR68" s="17"/>
      <c r="AS68" s="17"/>
      <c r="AT68" s="17"/>
      <c r="AU68" s="17"/>
      <c r="AV68" s="17"/>
      <c r="AW68" s="17"/>
      <c r="AX68" s="17"/>
      <c r="BB68" s="17"/>
    </row>
    <row r="69" spans="1:54" x14ac:dyDescent="0.2">
      <c r="A69" s="17" t="s">
        <v>41</v>
      </c>
      <c r="B69" s="18" t="s">
        <v>42</v>
      </c>
      <c r="C69" s="18" t="str">
        <f t="shared" si="26"/>
        <v>BI10.2</v>
      </c>
      <c r="D69" s="18" t="str">
        <f t="shared" si="27"/>
        <v>BI10.2_68</v>
      </c>
      <c r="E69" s="17">
        <v>2</v>
      </c>
      <c r="F69" s="19">
        <v>68</v>
      </c>
      <c r="G69" s="20">
        <v>2.5</v>
      </c>
      <c r="H69" s="20">
        <v>2.9</v>
      </c>
      <c r="I69" s="20">
        <v>0.95</v>
      </c>
      <c r="J69" s="20">
        <f t="shared" si="25"/>
        <v>5.4365175000000017</v>
      </c>
      <c r="K69" s="53">
        <v>0.13658536585365874</v>
      </c>
      <c r="L69" s="20">
        <f t="shared" si="22"/>
        <v>31.301219512195217</v>
      </c>
      <c r="M69" s="20">
        <f t="shared" si="22"/>
        <v>32.25121951219522</v>
      </c>
      <c r="N69" s="20">
        <f t="shared" si="22"/>
        <v>31.776219512195212</v>
      </c>
      <c r="O69" s="20">
        <f>P68+$AO$48</f>
        <v>71.301219512195217</v>
      </c>
      <c r="P69" s="20">
        <f t="shared" si="23"/>
        <v>72.25121951219522</v>
      </c>
      <c r="Q69" s="20">
        <f t="shared" si="35"/>
        <v>71.776219512195212</v>
      </c>
      <c r="R69" s="20">
        <f t="shared" si="24"/>
        <v>65.301219512195217</v>
      </c>
      <c r="S69" s="20">
        <f t="shared" si="20"/>
        <v>66.25121951219522</v>
      </c>
      <c r="T69" s="20">
        <f t="shared" si="21"/>
        <v>65.776219512195212</v>
      </c>
      <c r="U69" s="20">
        <v>65.776219512195212</v>
      </c>
      <c r="V69" s="22">
        <v>7.9497</v>
      </c>
      <c r="W69" s="22">
        <v>2.4584999999999999</v>
      </c>
      <c r="X69" s="23">
        <v>1.1476266666666668</v>
      </c>
      <c r="Y69" s="23">
        <f t="shared" si="28"/>
        <v>6.8020733333333334</v>
      </c>
      <c r="Z69" s="23">
        <f t="shared" si="29"/>
        <v>1.3108733333333331</v>
      </c>
      <c r="AA69" s="22">
        <f t="shared" si="30"/>
        <v>80.728326951292303</v>
      </c>
      <c r="AB69" s="22">
        <f t="shared" si="31"/>
        <v>19.271673048707697</v>
      </c>
      <c r="AC69" s="22">
        <f t="shared" si="32"/>
        <v>1.2511820909862483</v>
      </c>
      <c r="AD69" s="22">
        <f t="shared" si="33"/>
        <v>0.24112372181885419</v>
      </c>
      <c r="AE69" s="24">
        <v>4.7229999999999999</v>
      </c>
      <c r="AF69" s="24">
        <v>5.2446000000000002</v>
      </c>
      <c r="AG69" s="24">
        <v>4.9710000000000001</v>
      </c>
      <c r="AH69" s="25">
        <f>AG69-AE69</f>
        <v>0.24800000000000022</v>
      </c>
      <c r="AI69" s="25">
        <v>52.453987730061336</v>
      </c>
      <c r="AJ69" s="26">
        <v>2.6226993865030668</v>
      </c>
      <c r="AK69" s="25">
        <v>26.226993865030668</v>
      </c>
      <c r="AL69" s="26">
        <v>2.6242431426915385</v>
      </c>
      <c r="AM69" s="17">
        <f t="shared" si="34"/>
        <v>0.5780346820809249</v>
      </c>
      <c r="AN69" s="17"/>
      <c r="AO69" s="27"/>
      <c r="AP69" s="17"/>
      <c r="AQ69" s="17"/>
      <c r="AR69" s="17"/>
      <c r="AS69" s="17"/>
      <c r="AT69" s="17"/>
      <c r="AU69" s="17"/>
      <c r="AV69" s="17"/>
      <c r="AW69" s="17"/>
      <c r="AX69" s="17"/>
      <c r="BB69" s="17"/>
    </row>
    <row r="70" spans="1:54" x14ac:dyDescent="0.2">
      <c r="A70" s="17" t="s">
        <v>41</v>
      </c>
      <c r="B70" s="18" t="s">
        <v>42</v>
      </c>
      <c r="C70" s="18" t="str">
        <f t="shared" si="26"/>
        <v>BI10.2</v>
      </c>
      <c r="D70" s="18" t="str">
        <f t="shared" si="27"/>
        <v>BI10.2_69</v>
      </c>
      <c r="E70" s="17">
        <v>2</v>
      </c>
      <c r="F70" s="19">
        <v>69</v>
      </c>
      <c r="G70" s="20">
        <v>2.65</v>
      </c>
      <c r="H70" s="20">
        <v>2.2999999999999998</v>
      </c>
      <c r="I70" s="20">
        <v>1</v>
      </c>
      <c r="J70" s="20">
        <f t="shared" si="25"/>
        <v>4.8086156249999989</v>
      </c>
      <c r="K70" s="53">
        <v>0.13658536585365874</v>
      </c>
      <c r="L70" s="20">
        <f t="shared" si="22"/>
        <v>32.387804878048883</v>
      </c>
      <c r="M70" s="20">
        <f t="shared" si="22"/>
        <v>33.387804878048883</v>
      </c>
      <c r="N70" s="20">
        <f t="shared" si="22"/>
        <v>32.887804878048883</v>
      </c>
      <c r="O70" s="20">
        <f>P69+$AO$48</f>
        <v>72.387804878048883</v>
      </c>
      <c r="P70" s="20">
        <f t="shared" si="23"/>
        <v>73.387804878048883</v>
      </c>
      <c r="Q70" s="20">
        <f t="shared" si="35"/>
        <v>72.887804878048883</v>
      </c>
      <c r="R70" s="20">
        <f t="shared" si="24"/>
        <v>66.387804878048883</v>
      </c>
      <c r="S70" s="20">
        <f t="shared" si="20"/>
        <v>67.387804878048883</v>
      </c>
      <c r="T70" s="20">
        <f t="shared" si="21"/>
        <v>66.887804878048883</v>
      </c>
      <c r="U70" s="20">
        <v>66.887804878048883</v>
      </c>
      <c r="V70" s="22">
        <v>7.5240999999999998</v>
      </c>
      <c r="W70" s="22">
        <v>2.4952999999999999</v>
      </c>
      <c r="X70" s="23">
        <v>1.1476266666666668</v>
      </c>
      <c r="Y70" s="23">
        <f t="shared" si="28"/>
        <v>6.3764733333333332</v>
      </c>
      <c r="Z70" s="23">
        <f t="shared" si="29"/>
        <v>1.3476733333333331</v>
      </c>
      <c r="AA70" s="22">
        <f t="shared" si="30"/>
        <v>78.864910697762923</v>
      </c>
      <c r="AB70" s="22">
        <f t="shared" si="31"/>
        <v>21.135089302237077</v>
      </c>
      <c r="AC70" s="22">
        <f t="shared" si="32"/>
        <v>1.3260517850880074</v>
      </c>
      <c r="AD70" s="22">
        <f t="shared" si="33"/>
        <v>0.28026222897225922</v>
      </c>
      <c r="AE70" s="24">
        <v>5.4867999999999997</v>
      </c>
      <c r="AF70" s="24">
        <v>6.2888000000000002</v>
      </c>
      <c r="AG70" s="24">
        <v>5.9640000000000004</v>
      </c>
      <c r="AH70" s="25">
        <f>AG70-AE70</f>
        <v>0.47720000000000073</v>
      </c>
      <c r="AI70" s="25">
        <v>40.498753117206924</v>
      </c>
      <c r="AJ70" s="26">
        <v>2.0249376558603465</v>
      </c>
      <c r="AK70" s="25">
        <v>20.249376558603462</v>
      </c>
      <c r="AL70" s="26">
        <v>2.0269367306655615</v>
      </c>
      <c r="AM70" s="17">
        <f t="shared" si="34"/>
        <v>0.5780346820809249</v>
      </c>
      <c r="AN70" s="17"/>
      <c r="AO70" s="27"/>
      <c r="AP70" s="17"/>
      <c r="AQ70" s="17"/>
      <c r="AR70" s="17"/>
      <c r="AS70" s="17"/>
      <c r="AT70" s="17"/>
      <c r="AU70" s="17"/>
      <c r="AV70" s="17"/>
      <c r="AW70" s="17"/>
      <c r="AX70" s="17"/>
      <c r="BB70" s="17"/>
    </row>
    <row r="71" spans="1:54" x14ac:dyDescent="0.2">
      <c r="A71" s="17" t="s">
        <v>41</v>
      </c>
      <c r="B71" s="18" t="s">
        <v>42</v>
      </c>
      <c r="C71" s="18" t="str">
        <f t="shared" si="26"/>
        <v>BI10.2</v>
      </c>
      <c r="D71" s="18" t="str">
        <f t="shared" si="27"/>
        <v>BI10.2_70</v>
      </c>
      <c r="E71" s="17">
        <v>2</v>
      </c>
      <c r="F71" s="19">
        <v>70</v>
      </c>
      <c r="G71" s="20">
        <v>2.7</v>
      </c>
      <c r="H71" s="20">
        <v>2.4</v>
      </c>
      <c r="I71" s="20">
        <v>1</v>
      </c>
      <c r="J71" s="20">
        <f t="shared" si="25"/>
        <v>5.1044624999999995</v>
      </c>
      <c r="K71" s="53">
        <v>0.13658536585365874</v>
      </c>
      <c r="L71" s="20">
        <f t="shared" si="22"/>
        <v>33.524390243902545</v>
      </c>
      <c r="M71" s="20">
        <f t="shared" si="22"/>
        <v>34.524390243902545</v>
      </c>
      <c r="N71" s="20">
        <f t="shared" si="22"/>
        <v>34.024390243902545</v>
      </c>
      <c r="O71" s="20">
        <f>P70+$AO$48</f>
        <v>73.524390243902545</v>
      </c>
      <c r="P71" s="20">
        <f t="shared" si="23"/>
        <v>74.524390243902545</v>
      </c>
      <c r="Q71" s="20">
        <f t="shared" si="35"/>
        <v>74.024390243902545</v>
      </c>
      <c r="R71" s="20">
        <f t="shared" si="24"/>
        <v>67.524390243902545</v>
      </c>
      <c r="S71" s="20">
        <f t="shared" si="20"/>
        <v>68.524390243902545</v>
      </c>
      <c r="T71" s="20">
        <f t="shared" si="21"/>
        <v>68.024390243902545</v>
      </c>
      <c r="U71" s="20">
        <v>68.024390243902545</v>
      </c>
      <c r="V71" s="22">
        <v>7.5479000000000003</v>
      </c>
      <c r="W71" s="22">
        <v>2.3012000000000001</v>
      </c>
      <c r="X71" s="23">
        <v>1.1476266666666668</v>
      </c>
      <c r="Y71" s="23">
        <f t="shared" si="28"/>
        <v>6.4002733333333337</v>
      </c>
      <c r="Z71" s="23">
        <f t="shared" si="29"/>
        <v>1.1535733333333333</v>
      </c>
      <c r="AA71" s="22">
        <f t="shared" si="30"/>
        <v>81.976186433704399</v>
      </c>
      <c r="AB71" s="22">
        <f t="shared" si="31"/>
        <v>18.023813566295601</v>
      </c>
      <c r="AC71" s="22">
        <f t="shared" si="32"/>
        <v>1.2538584294298047</v>
      </c>
      <c r="AD71" s="22">
        <f t="shared" si="33"/>
        <v>0.22599310570571016</v>
      </c>
      <c r="AE71" s="24">
        <v>5.1158999999999999</v>
      </c>
      <c r="AF71" s="24">
        <v>5.5431999999999997</v>
      </c>
      <c r="AG71" s="24">
        <v>5.2123999999999997</v>
      </c>
      <c r="AH71" s="25">
        <f>AG71-AE71</f>
        <v>9.6499999999999808E-2</v>
      </c>
      <c r="AI71" s="25">
        <v>77.416335127545082</v>
      </c>
      <c r="AJ71" s="26">
        <v>3.8708167563772542</v>
      </c>
      <c r="AK71" s="25">
        <v>38.708167563772541</v>
      </c>
      <c r="AL71" s="26">
        <v>3.8718629058181966</v>
      </c>
      <c r="AM71" s="17">
        <f t="shared" si="34"/>
        <v>0.5780346820809249</v>
      </c>
      <c r="AN71" s="17"/>
      <c r="AO71" s="27"/>
      <c r="AP71" s="17"/>
      <c r="AQ71" s="17"/>
      <c r="AR71" s="17"/>
      <c r="AS71" s="17"/>
      <c r="AT71" s="17"/>
      <c r="AU71" s="17"/>
      <c r="AV71" s="17"/>
      <c r="AW71" s="17"/>
      <c r="AX71" s="17"/>
      <c r="BB71" s="17"/>
    </row>
    <row r="72" spans="1:54" x14ac:dyDescent="0.2">
      <c r="A72" s="17" t="s">
        <v>41</v>
      </c>
      <c r="B72" s="18" t="s">
        <v>42</v>
      </c>
      <c r="C72" s="18" t="str">
        <f t="shared" si="26"/>
        <v>BI10.2</v>
      </c>
      <c r="D72" s="18" t="str">
        <f t="shared" si="27"/>
        <v>BI10.2_71</v>
      </c>
      <c r="E72" s="17">
        <v>2</v>
      </c>
      <c r="F72" s="19">
        <v>71</v>
      </c>
      <c r="G72" s="20">
        <v>2.4500000000000002</v>
      </c>
      <c r="H72" s="20">
        <v>2.7</v>
      </c>
      <c r="I72" s="20">
        <v>1.1000000000000001</v>
      </c>
      <c r="J72" s="20">
        <f t="shared" si="25"/>
        <v>5.7255446875000011</v>
      </c>
      <c r="K72" s="53">
        <v>0.13658536585365874</v>
      </c>
      <c r="L72" s="20">
        <f t="shared" si="22"/>
        <v>34.660975609756207</v>
      </c>
      <c r="M72" s="20">
        <f t="shared" si="22"/>
        <v>35.760975609756201</v>
      </c>
      <c r="N72" s="20">
        <f t="shared" si="22"/>
        <v>35.210975609756204</v>
      </c>
      <c r="O72" s="20">
        <f>P71+$AO$48</f>
        <v>74.660975609756207</v>
      </c>
      <c r="P72" s="20">
        <f t="shared" si="23"/>
        <v>75.760975609756201</v>
      </c>
      <c r="Q72" s="20">
        <f t="shared" si="35"/>
        <v>75.210975609756204</v>
      </c>
      <c r="R72" s="20">
        <f t="shared" si="24"/>
        <v>68.660975609756207</v>
      </c>
      <c r="S72" s="20">
        <f t="shared" si="20"/>
        <v>69.760975609756201</v>
      </c>
      <c r="T72" s="20">
        <f t="shared" si="21"/>
        <v>69.210975609756204</v>
      </c>
      <c r="U72" s="20">
        <v>69.210975609756204</v>
      </c>
      <c r="V72" s="22">
        <v>8.6515000000000004</v>
      </c>
      <c r="W72" s="22">
        <v>2.8852000000000002</v>
      </c>
      <c r="X72" s="23">
        <v>1.1476266666666668</v>
      </c>
      <c r="Y72" s="23">
        <f t="shared" si="28"/>
        <v>7.5038733333333338</v>
      </c>
      <c r="Z72" s="23">
        <f t="shared" si="29"/>
        <v>1.7375733333333334</v>
      </c>
      <c r="AA72" s="22">
        <f t="shared" si="30"/>
        <v>76.844314180854155</v>
      </c>
      <c r="AB72" s="22">
        <f t="shared" si="31"/>
        <v>23.155685819145845</v>
      </c>
      <c r="AC72" s="22">
        <f t="shared" si="32"/>
        <v>1.3105955403187712</v>
      </c>
      <c r="AD72" s="22">
        <f t="shared" si="33"/>
        <v>0.30347738567595156</v>
      </c>
      <c r="AE72" s="24">
        <v>5.0019999999999998</v>
      </c>
      <c r="AF72" s="24">
        <v>5.5674999999999999</v>
      </c>
      <c r="AG72" s="24">
        <v>5.1984000000000004</v>
      </c>
      <c r="AH72" s="25">
        <f>AG72-AE72</f>
        <v>0.19640000000000057</v>
      </c>
      <c r="AI72" s="25">
        <v>65.269672855879662</v>
      </c>
      <c r="AJ72" s="26">
        <v>3.2634836427939833</v>
      </c>
      <c r="AK72" s="25">
        <v>32.634836427939831</v>
      </c>
      <c r="AL72" s="26">
        <v>3.264724412072769</v>
      </c>
      <c r="AM72" s="17">
        <f t="shared" si="34"/>
        <v>0.5780346820809249</v>
      </c>
      <c r="AN72" s="17"/>
      <c r="AO72" s="27"/>
      <c r="AP72" s="17"/>
      <c r="AQ72" s="17"/>
      <c r="AR72" s="17"/>
      <c r="AS72" s="17"/>
      <c r="AT72" s="17"/>
      <c r="AU72" s="17"/>
      <c r="AV72" s="17"/>
      <c r="AW72" s="17"/>
      <c r="AX72" s="17"/>
      <c r="BB72" s="17"/>
    </row>
    <row r="73" spans="1:54" x14ac:dyDescent="0.2">
      <c r="A73" s="17" t="s">
        <v>41</v>
      </c>
      <c r="B73" s="18" t="s">
        <v>42</v>
      </c>
      <c r="C73" s="18" t="str">
        <f t="shared" si="26"/>
        <v>BI10.2</v>
      </c>
      <c r="D73" s="18" t="str">
        <f t="shared" si="27"/>
        <v>BI10.2_72</v>
      </c>
      <c r="E73" s="17">
        <v>2</v>
      </c>
      <c r="F73" s="19">
        <v>72</v>
      </c>
      <c r="G73" s="20">
        <v>2.5</v>
      </c>
      <c r="H73" s="20">
        <v>2.75</v>
      </c>
      <c r="I73" s="20">
        <v>1</v>
      </c>
      <c r="J73" s="20">
        <f t="shared" si="25"/>
        <v>5.409140625</v>
      </c>
      <c r="K73" s="53">
        <v>0.13658536585365874</v>
      </c>
      <c r="L73" s="20">
        <f t="shared" si="22"/>
        <v>35.897560975609863</v>
      </c>
      <c r="M73" s="20">
        <f t="shared" si="22"/>
        <v>36.897560975609863</v>
      </c>
      <c r="N73" s="20">
        <f t="shared" si="22"/>
        <v>36.397560975609863</v>
      </c>
      <c r="O73" s="20">
        <f>P72+$AO$48</f>
        <v>75.897560975609863</v>
      </c>
      <c r="P73" s="20">
        <f t="shared" si="23"/>
        <v>76.897560975609863</v>
      </c>
      <c r="Q73" s="20">
        <f t="shared" si="35"/>
        <v>76.397560975609863</v>
      </c>
      <c r="R73" s="20">
        <f t="shared" si="24"/>
        <v>69.897560975609863</v>
      </c>
      <c r="S73" s="20">
        <f t="shared" si="20"/>
        <v>70.897560975609863</v>
      </c>
      <c r="T73" s="20">
        <f t="shared" si="21"/>
        <v>70.397560975609863</v>
      </c>
      <c r="U73" s="20">
        <v>70.397560975609863</v>
      </c>
      <c r="V73" s="22">
        <v>8.0909999999999993</v>
      </c>
      <c r="W73" s="22">
        <v>2.3662000000000001</v>
      </c>
      <c r="X73" s="23">
        <v>1.1476266666666668</v>
      </c>
      <c r="Y73" s="23">
        <f t="shared" si="28"/>
        <v>6.9433733333333327</v>
      </c>
      <c r="Z73" s="23">
        <f t="shared" si="29"/>
        <v>1.2185733333333333</v>
      </c>
      <c r="AA73" s="22">
        <f t="shared" si="30"/>
        <v>82.449837062868568</v>
      </c>
      <c r="AB73" s="22">
        <f t="shared" si="31"/>
        <v>17.550162937131432</v>
      </c>
      <c r="AC73" s="22">
        <f t="shared" si="32"/>
        <v>1.283637053405934</v>
      </c>
      <c r="AD73" s="22">
        <f t="shared" si="33"/>
        <v>0.22528039439413414</v>
      </c>
      <c r="AE73" s="24">
        <v>5.2134999999999998</v>
      </c>
      <c r="AF73" s="24">
        <v>5.6699000000000002</v>
      </c>
      <c r="AG73" s="24">
        <v>5.2756999999999996</v>
      </c>
      <c r="AH73" s="25">
        <f>AG73-AE73</f>
        <v>6.2199999999999811E-2</v>
      </c>
      <c r="AI73" s="25">
        <v>86.371603856266489</v>
      </c>
      <c r="AJ73" s="26">
        <v>4.3185801928133243</v>
      </c>
      <c r="AK73" s="25">
        <v>43.185801928133245</v>
      </c>
      <c r="AL73" s="26">
        <v>4.3195178992289831</v>
      </c>
      <c r="AM73" s="17">
        <f t="shared" si="34"/>
        <v>0.5780346820809249</v>
      </c>
      <c r="AN73" s="17"/>
      <c r="AO73" s="27"/>
      <c r="AP73" s="17"/>
      <c r="AQ73" s="17"/>
      <c r="AR73" s="17"/>
      <c r="AS73" s="17"/>
      <c r="AT73" s="17"/>
      <c r="AU73" s="17"/>
      <c r="AV73" s="17"/>
      <c r="AW73" s="17"/>
      <c r="AX73" s="17"/>
      <c r="BB73" s="17"/>
    </row>
    <row r="74" spans="1:54" x14ac:dyDescent="0.2">
      <c r="A74" s="17" t="s">
        <v>41</v>
      </c>
      <c r="B74" s="18" t="s">
        <v>42</v>
      </c>
      <c r="C74" s="18" t="str">
        <f t="shared" si="26"/>
        <v>BI10.2</v>
      </c>
      <c r="D74" s="18" t="str">
        <f t="shared" si="27"/>
        <v>BI10.2_73</v>
      </c>
      <c r="E74" s="17">
        <v>2</v>
      </c>
      <c r="F74" s="19">
        <v>73</v>
      </c>
      <c r="G74" s="20">
        <v>2.6</v>
      </c>
      <c r="H74" s="20">
        <v>2.7</v>
      </c>
      <c r="I74" s="20">
        <v>1.1000000000000001</v>
      </c>
      <c r="J74" s="20">
        <f t="shared" si="25"/>
        <v>6.0639287500000023</v>
      </c>
      <c r="K74" s="53">
        <v>0.13658536585365874</v>
      </c>
      <c r="L74" s="20">
        <f t="shared" si="22"/>
        <v>37.034146341463526</v>
      </c>
      <c r="M74" s="20">
        <f t="shared" si="22"/>
        <v>38.13414634146352</v>
      </c>
      <c r="N74" s="20">
        <f t="shared" si="22"/>
        <v>37.584146341463523</v>
      </c>
      <c r="O74" s="20">
        <f>P73+$AO$48</f>
        <v>77.034146341463526</v>
      </c>
      <c r="P74" s="20">
        <f t="shared" si="23"/>
        <v>78.13414634146352</v>
      </c>
      <c r="Q74" s="20">
        <f t="shared" si="35"/>
        <v>77.584146341463523</v>
      </c>
      <c r="R74" s="20">
        <f t="shared" si="24"/>
        <v>71.034146341463526</v>
      </c>
      <c r="S74" s="20">
        <f t="shared" si="20"/>
        <v>72.13414634146352</v>
      </c>
      <c r="T74" s="20">
        <f t="shared" si="21"/>
        <v>71.584146341463523</v>
      </c>
      <c r="U74" s="20">
        <v>71.584146341463523</v>
      </c>
      <c r="V74" s="22">
        <v>8.3576999999999995</v>
      </c>
      <c r="W74" s="22">
        <v>2.3052000000000001</v>
      </c>
      <c r="X74" s="23">
        <v>1.1476266666666668</v>
      </c>
      <c r="Y74" s="23">
        <f t="shared" si="28"/>
        <v>7.2100733333333329</v>
      </c>
      <c r="Z74" s="23">
        <f t="shared" si="29"/>
        <v>1.1575733333333333</v>
      </c>
      <c r="AA74" s="22">
        <f t="shared" si="30"/>
        <v>83.94505465039191</v>
      </c>
      <c r="AB74" s="22">
        <f t="shared" si="31"/>
        <v>16.05494534960809</v>
      </c>
      <c r="AC74" s="22">
        <f t="shared" si="32"/>
        <v>1.1890102325713061</v>
      </c>
      <c r="AD74" s="22">
        <f t="shared" si="33"/>
        <v>0.19089494304057134</v>
      </c>
      <c r="AE74" s="24">
        <v>4.6327999999999996</v>
      </c>
      <c r="AF74" s="24">
        <v>5.0712000000000002</v>
      </c>
      <c r="AG74" s="24">
        <v>4.7009999999999996</v>
      </c>
      <c r="AH74" s="25">
        <f>AG74-AE74</f>
        <v>6.8200000000000038E-2</v>
      </c>
      <c r="AI74" s="25">
        <v>84.443430656934311</v>
      </c>
      <c r="AJ74" s="26">
        <v>4.2221715328467155</v>
      </c>
      <c r="AK74" s="25">
        <v>42.221715328467155</v>
      </c>
      <c r="AL74" s="26">
        <v>4.2231306459522635</v>
      </c>
      <c r="AM74" s="17">
        <f t="shared" si="34"/>
        <v>0.5780346820809249</v>
      </c>
      <c r="AN74" s="17"/>
      <c r="AO74" s="27"/>
      <c r="AP74" s="17"/>
      <c r="AQ74" s="17"/>
      <c r="AR74" s="17"/>
      <c r="AS74" s="17"/>
      <c r="AT74" s="17"/>
      <c r="AU74" s="17"/>
      <c r="AV74" s="17"/>
      <c r="AW74" s="17"/>
      <c r="AX74" s="17"/>
      <c r="BB74" s="17"/>
    </row>
    <row r="75" spans="1:54" x14ac:dyDescent="0.2">
      <c r="A75" s="17" t="s">
        <v>41</v>
      </c>
      <c r="B75" s="18" t="s">
        <v>42</v>
      </c>
      <c r="C75" s="18" t="str">
        <f t="shared" si="26"/>
        <v>BI10.2</v>
      </c>
      <c r="D75" s="18" t="str">
        <f t="shared" si="27"/>
        <v>BI10.2_74</v>
      </c>
      <c r="E75" s="17">
        <v>2</v>
      </c>
      <c r="F75" s="19">
        <v>74</v>
      </c>
      <c r="G75" s="20">
        <v>2.4</v>
      </c>
      <c r="H75" s="20">
        <v>2.7</v>
      </c>
      <c r="I75" s="20">
        <v>1.05</v>
      </c>
      <c r="J75" s="20">
        <f t="shared" si="25"/>
        <v>5.3596856249999991</v>
      </c>
      <c r="K75" s="53">
        <v>0.13658536585365874</v>
      </c>
      <c r="L75" s="20">
        <f t="shared" si="22"/>
        <v>38.270731707317182</v>
      </c>
      <c r="M75" s="20">
        <f t="shared" si="22"/>
        <v>39.320731707317179</v>
      </c>
      <c r="N75" s="20">
        <f t="shared" si="22"/>
        <v>38.795731707317174</v>
      </c>
      <c r="O75" s="20">
        <f>P74+$AO$48</f>
        <v>78.270731707317182</v>
      </c>
      <c r="P75" s="20">
        <f t="shared" si="23"/>
        <v>79.320731707317179</v>
      </c>
      <c r="Q75" s="20">
        <f t="shared" si="35"/>
        <v>78.795731707317174</v>
      </c>
      <c r="R75" s="20">
        <f t="shared" si="24"/>
        <v>72.270731707317182</v>
      </c>
      <c r="S75" s="20">
        <f t="shared" si="20"/>
        <v>73.320731707317179</v>
      </c>
      <c r="T75" s="20">
        <f t="shared" si="21"/>
        <v>72.795731707317174</v>
      </c>
      <c r="U75" s="20">
        <v>72.795731707317174</v>
      </c>
      <c r="V75" s="22">
        <v>7.5580999999999996</v>
      </c>
      <c r="W75" s="22">
        <v>2.0998999999999999</v>
      </c>
      <c r="X75" s="23">
        <v>1.1476266666666668</v>
      </c>
      <c r="Y75" s="23">
        <f t="shared" si="28"/>
        <v>6.410473333333333</v>
      </c>
      <c r="Z75" s="23">
        <f t="shared" si="29"/>
        <v>0.95227333333333308</v>
      </c>
      <c r="AA75" s="22">
        <f t="shared" si="30"/>
        <v>85.145038691890662</v>
      </c>
      <c r="AB75" s="22">
        <f t="shared" si="31"/>
        <v>14.854961308109338</v>
      </c>
      <c r="AC75" s="22">
        <f t="shared" si="32"/>
        <v>1.1960539818663962</v>
      </c>
      <c r="AD75" s="22">
        <f t="shared" si="33"/>
        <v>0.17767335623035413</v>
      </c>
      <c r="AE75" s="24">
        <v>4.6657999999999999</v>
      </c>
      <c r="AF75" s="24">
        <v>5.1653000000000002</v>
      </c>
      <c r="AG75" s="24">
        <v>4.8181000000000003</v>
      </c>
      <c r="AH75" s="25">
        <f>AG75-AE75</f>
        <v>0.15230000000000032</v>
      </c>
      <c r="AI75" s="25">
        <v>69.509509509509456</v>
      </c>
      <c r="AJ75" s="26">
        <v>3.4754754754754731</v>
      </c>
      <c r="AK75" s="25">
        <v>34.754754754754728</v>
      </c>
      <c r="AL75" s="26">
        <v>3.4766405883598992</v>
      </c>
      <c r="AM75" s="17">
        <f t="shared" si="34"/>
        <v>0.5780346820809249</v>
      </c>
      <c r="AN75" s="17"/>
      <c r="AO75" s="27"/>
      <c r="AP75" s="17"/>
      <c r="AQ75" s="17"/>
      <c r="AR75" s="17"/>
      <c r="AS75" s="17"/>
      <c r="AT75" s="17"/>
      <c r="AU75" s="17"/>
      <c r="AV75" s="17"/>
      <c r="AW75" s="17"/>
      <c r="AX75" s="17"/>
      <c r="BB75" s="17"/>
    </row>
    <row r="76" spans="1:54" x14ac:dyDescent="0.2">
      <c r="A76" s="17" t="s">
        <v>41</v>
      </c>
      <c r="B76" s="18" t="s">
        <v>42</v>
      </c>
      <c r="C76" s="18" t="str">
        <f t="shared" si="26"/>
        <v>BI10.2</v>
      </c>
      <c r="D76" s="18" t="str">
        <f t="shared" si="27"/>
        <v>BI10.2_75</v>
      </c>
      <c r="E76" s="17">
        <v>2</v>
      </c>
      <c r="F76" s="19">
        <v>75</v>
      </c>
      <c r="G76" s="20">
        <v>2.6</v>
      </c>
      <c r="H76" s="20">
        <v>2.7</v>
      </c>
      <c r="I76" s="20">
        <v>1.05</v>
      </c>
      <c r="J76" s="20">
        <f t="shared" si="25"/>
        <v>5.7882956250000017</v>
      </c>
      <c r="K76" s="53">
        <v>0.13658536585365874</v>
      </c>
      <c r="L76" s="20">
        <f t="shared" si="22"/>
        <v>39.457317073170842</v>
      </c>
      <c r="M76" s="20">
        <f t="shared" si="22"/>
        <v>40.507317073170839</v>
      </c>
      <c r="N76" s="20">
        <f t="shared" si="22"/>
        <v>39.982317073170833</v>
      </c>
      <c r="O76" s="20">
        <f>P75+$AO$48</f>
        <v>79.457317073170842</v>
      </c>
      <c r="P76" s="20">
        <f t="shared" si="23"/>
        <v>80.507317073170839</v>
      </c>
      <c r="Q76" s="20">
        <f t="shared" si="35"/>
        <v>79.982317073170833</v>
      </c>
      <c r="R76" s="20">
        <f t="shared" si="24"/>
        <v>73.457317073170842</v>
      </c>
      <c r="S76" s="20">
        <f t="shared" si="20"/>
        <v>74.507317073170839</v>
      </c>
      <c r="T76" s="20">
        <f t="shared" si="21"/>
        <v>73.982317073170833</v>
      </c>
      <c r="U76" s="20">
        <v>73.982317073170833</v>
      </c>
      <c r="V76" s="22">
        <v>8.6340000000000003</v>
      </c>
      <c r="W76" s="22">
        <v>2.3174999999999999</v>
      </c>
      <c r="X76" s="23">
        <v>1.1476266666666668</v>
      </c>
      <c r="Y76" s="23">
        <f t="shared" si="28"/>
        <v>7.4863733333333338</v>
      </c>
      <c r="Z76" s="23">
        <f t="shared" si="29"/>
        <v>1.1698733333333331</v>
      </c>
      <c r="AA76" s="22">
        <f t="shared" si="30"/>
        <v>84.373296905666834</v>
      </c>
      <c r="AB76" s="22">
        <f t="shared" si="31"/>
        <v>15.626703094333166</v>
      </c>
      <c r="AC76" s="22">
        <f t="shared" si="32"/>
        <v>1.2933640260181651</v>
      </c>
      <c r="AD76" s="22">
        <f t="shared" si="33"/>
        <v>0.20211015627477263</v>
      </c>
      <c r="AE76" s="24">
        <v>4.8887</v>
      </c>
      <c r="AF76" s="24">
        <v>5.1858000000000004</v>
      </c>
      <c r="AG76" s="24">
        <v>4.9360999999999997</v>
      </c>
      <c r="AH76" s="25">
        <f>AG76-AE76</f>
        <v>4.7399999999999665E-2</v>
      </c>
      <c r="AI76" s="25">
        <v>84.045775833052971</v>
      </c>
      <c r="AJ76" s="26">
        <v>4.2022887916526486</v>
      </c>
      <c r="AK76" s="25">
        <v>42.022887916526486</v>
      </c>
      <c r="AL76" s="26">
        <v>4.2032524416753123</v>
      </c>
      <c r="AM76" s="17">
        <f t="shared" si="34"/>
        <v>0.5780346820809249</v>
      </c>
      <c r="AN76" s="17"/>
      <c r="AO76" s="27"/>
      <c r="AP76" s="17"/>
      <c r="AQ76" s="17"/>
      <c r="AR76" s="17"/>
      <c r="AS76" s="17"/>
      <c r="AT76" s="17"/>
      <c r="AU76" s="17"/>
      <c r="AV76" s="17"/>
      <c r="AW76" s="17"/>
      <c r="AX76" s="17"/>
      <c r="BB76" s="17"/>
    </row>
    <row r="77" spans="1:54" x14ac:dyDescent="0.2">
      <c r="A77" s="17" t="s">
        <v>41</v>
      </c>
      <c r="B77" s="18" t="s">
        <v>42</v>
      </c>
      <c r="C77" s="18" t="str">
        <f t="shared" si="26"/>
        <v>BI10.2</v>
      </c>
      <c r="D77" s="18" t="str">
        <f t="shared" si="27"/>
        <v>BI10.2_76</v>
      </c>
      <c r="E77" s="17">
        <v>2</v>
      </c>
      <c r="F77" s="19">
        <v>76</v>
      </c>
      <c r="G77" s="20">
        <v>2.25</v>
      </c>
      <c r="H77" s="20">
        <v>2.5</v>
      </c>
      <c r="I77" s="20">
        <v>1</v>
      </c>
      <c r="J77" s="20">
        <f t="shared" si="25"/>
        <v>4.4278906249999999</v>
      </c>
      <c r="K77" s="53">
        <v>0.13658536585365874</v>
      </c>
      <c r="L77" s="20">
        <f t="shared" si="22"/>
        <v>40.643902439024501</v>
      </c>
      <c r="M77" s="20">
        <f t="shared" si="22"/>
        <v>41.643902439024501</v>
      </c>
      <c r="N77" s="20">
        <f t="shared" si="22"/>
        <v>41.143902439024501</v>
      </c>
      <c r="O77" s="20">
        <f>P76+$AO$48</f>
        <v>80.643902439024501</v>
      </c>
      <c r="P77" s="20">
        <f t="shared" si="23"/>
        <v>81.643902439024501</v>
      </c>
      <c r="Q77" s="20">
        <f t="shared" si="35"/>
        <v>81.143902439024501</v>
      </c>
      <c r="R77" s="20">
        <f t="shared" si="24"/>
        <v>74.643902439024501</v>
      </c>
      <c r="S77" s="20">
        <f t="shared" si="20"/>
        <v>75.643902439024501</v>
      </c>
      <c r="T77" s="20">
        <f t="shared" si="21"/>
        <v>75.143902439024501</v>
      </c>
      <c r="U77" s="20">
        <v>75.143902439024501</v>
      </c>
      <c r="V77" s="22">
        <v>7.3739999999999997</v>
      </c>
      <c r="W77" s="22">
        <v>2.1371000000000002</v>
      </c>
      <c r="X77" s="23">
        <v>1.1476266666666668</v>
      </c>
      <c r="Y77" s="23">
        <f t="shared" si="28"/>
        <v>6.2263733333333331</v>
      </c>
      <c r="Z77" s="23">
        <f t="shared" si="29"/>
        <v>0.98947333333333343</v>
      </c>
      <c r="AA77" s="22">
        <f t="shared" si="30"/>
        <v>84.108351999451799</v>
      </c>
      <c r="AB77" s="22">
        <f t="shared" si="31"/>
        <v>15.891648000548201</v>
      </c>
      <c r="AC77" s="22">
        <f t="shared" si="32"/>
        <v>1.40617143932577</v>
      </c>
      <c r="AD77" s="22">
        <f t="shared" si="33"/>
        <v>0.2234638154218937</v>
      </c>
      <c r="AE77" s="24">
        <v>5.0476000000000001</v>
      </c>
      <c r="AF77" s="24">
        <v>5.4192999999999998</v>
      </c>
      <c r="AG77" s="24">
        <v>5.1235999999999997</v>
      </c>
      <c r="AH77" s="25">
        <f>AG77-AE77</f>
        <v>7.5999999999999623E-2</v>
      </c>
      <c r="AI77" s="25">
        <v>79.553403282216934</v>
      </c>
      <c r="AJ77" s="26">
        <v>3.977670164110847</v>
      </c>
      <c r="AK77" s="25">
        <v>39.776701641108467</v>
      </c>
      <c r="AL77" s="26">
        <v>3.9786882177996321</v>
      </c>
      <c r="AM77" s="17">
        <f t="shared" si="34"/>
        <v>0.5780346820809249</v>
      </c>
      <c r="AN77" s="17"/>
      <c r="AO77" s="27"/>
      <c r="AP77" s="17"/>
      <c r="AQ77" s="17"/>
      <c r="AR77" s="17"/>
      <c r="AS77" s="17"/>
      <c r="AT77" s="17"/>
      <c r="AU77" s="17"/>
      <c r="AV77" s="17"/>
      <c r="AW77" s="17"/>
      <c r="AX77" s="17"/>
      <c r="BB77" s="17"/>
    </row>
    <row r="78" spans="1:54" x14ac:dyDescent="0.2">
      <c r="A78" s="17" t="s">
        <v>41</v>
      </c>
      <c r="B78" s="18" t="s">
        <v>42</v>
      </c>
      <c r="C78" s="18" t="str">
        <f t="shared" si="26"/>
        <v>BI10.2</v>
      </c>
      <c r="D78" s="18" t="str">
        <f t="shared" si="27"/>
        <v>BI10.2_77</v>
      </c>
      <c r="E78" s="17">
        <v>2</v>
      </c>
      <c r="F78" s="19">
        <v>77</v>
      </c>
      <c r="G78" s="20">
        <v>2.35</v>
      </c>
      <c r="H78" s="20">
        <v>2.5499999999999998</v>
      </c>
      <c r="I78" s="20">
        <v>1</v>
      </c>
      <c r="J78" s="20">
        <f t="shared" si="25"/>
        <v>4.7119625000000003</v>
      </c>
      <c r="K78" s="53">
        <v>0.13658536585365874</v>
      </c>
      <c r="L78" s="20">
        <f t="shared" si="22"/>
        <v>41.780487804878163</v>
      </c>
      <c r="M78" s="20">
        <f t="shared" si="22"/>
        <v>42.780487804878163</v>
      </c>
      <c r="N78" s="20">
        <f t="shared" si="22"/>
        <v>42.280487804878163</v>
      </c>
      <c r="O78" s="20">
        <f>P77+$AO$48</f>
        <v>81.780487804878163</v>
      </c>
      <c r="P78" s="20">
        <f t="shared" si="23"/>
        <v>82.780487804878163</v>
      </c>
      <c r="Q78" s="20">
        <f t="shared" si="35"/>
        <v>82.280487804878163</v>
      </c>
      <c r="R78" s="20">
        <f t="shared" si="24"/>
        <v>75.780487804878163</v>
      </c>
      <c r="S78" s="20">
        <f t="shared" si="20"/>
        <v>76.780487804878163</v>
      </c>
      <c r="T78" s="20">
        <f t="shared" si="21"/>
        <v>76.280487804878163</v>
      </c>
      <c r="U78" s="20">
        <v>76.280487804878163</v>
      </c>
      <c r="V78" s="22">
        <v>7.4817</v>
      </c>
      <c r="W78" s="22">
        <v>2.1311</v>
      </c>
      <c r="X78" s="23">
        <v>1.1476266666666668</v>
      </c>
      <c r="Y78" s="23">
        <f t="shared" si="28"/>
        <v>6.3340733333333334</v>
      </c>
      <c r="Z78" s="23">
        <f t="shared" si="29"/>
        <v>0.9834733333333332</v>
      </c>
      <c r="AA78" s="22">
        <f t="shared" si="30"/>
        <v>84.473287857945024</v>
      </c>
      <c r="AB78" s="22">
        <f t="shared" si="31"/>
        <v>15.526712142054976</v>
      </c>
      <c r="AC78" s="22">
        <f t="shared" si="32"/>
        <v>1.3442537654604283</v>
      </c>
      <c r="AD78" s="22">
        <f t="shared" si="33"/>
        <v>0.20871841262177557</v>
      </c>
      <c r="AE78" s="24">
        <v>4.6643999999999997</v>
      </c>
      <c r="AF78" s="24">
        <v>5.0800999999999998</v>
      </c>
      <c r="AG78" s="24">
        <v>4.835</v>
      </c>
      <c r="AH78" s="25">
        <f>AG78-AE78</f>
        <v>0.17060000000000031</v>
      </c>
      <c r="AI78" s="25">
        <v>58.960789030550821</v>
      </c>
      <c r="AJ78" s="26">
        <v>2.9480394515275412</v>
      </c>
      <c r="AK78" s="25">
        <v>29.48039451527541</v>
      </c>
      <c r="AL78" s="26">
        <v>2.9494129259503166</v>
      </c>
      <c r="AM78" s="17">
        <f t="shared" si="34"/>
        <v>0.5780346820809249</v>
      </c>
      <c r="AN78" s="17"/>
      <c r="AO78" s="27"/>
      <c r="AP78" s="17"/>
      <c r="AQ78" s="17"/>
      <c r="AR78" s="17"/>
      <c r="AS78" s="17"/>
      <c r="AT78" s="17"/>
      <c r="AU78" s="17"/>
      <c r="AV78" s="17"/>
      <c r="AW78" s="17"/>
      <c r="AX78" s="17"/>
      <c r="BB78" s="17"/>
    </row>
    <row r="79" spans="1:54" x14ac:dyDescent="0.2">
      <c r="A79" s="17" t="s">
        <v>41</v>
      </c>
      <c r="B79" s="18" t="s">
        <v>42</v>
      </c>
      <c r="C79" s="18" t="str">
        <f t="shared" si="26"/>
        <v>BI10.2</v>
      </c>
      <c r="D79" s="18" t="str">
        <f t="shared" si="27"/>
        <v>BI10.2_78</v>
      </c>
      <c r="E79" s="17">
        <v>2</v>
      </c>
      <c r="F79" s="19">
        <v>78</v>
      </c>
      <c r="G79" s="20">
        <v>2.2000000000000002</v>
      </c>
      <c r="H79" s="20">
        <v>2.5</v>
      </c>
      <c r="I79" s="20">
        <v>1</v>
      </c>
      <c r="J79" s="20">
        <f t="shared" si="25"/>
        <v>4.3351625</v>
      </c>
      <c r="K79" s="53">
        <v>0.13658536585365874</v>
      </c>
      <c r="L79" s="20">
        <f t="shared" si="22"/>
        <v>42.917073170731825</v>
      </c>
      <c r="M79" s="20">
        <f t="shared" si="22"/>
        <v>43.917073170731825</v>
      </c>
      <c r="N79" s="20">
        <f t="shared" si="22"/>
        <v>43.417073170731825</v>
      </c>
      <c r="O79" s="20">
        <f>P78+$AO$48</f>
        <v>82.917073170731825</v>
      </c>
      <c r="P79" s="20">
        <f t="shared" si="23"/>
        <v>83.917073170731825</v>
      </c>
      <c r="Q79" s="20">
        <f t="shared" si="35"/>
        <v>83.417073170731825</v>
      </c>
      <c r="R79" s="20">
        <f t="shared" si="24"/>
        <v>76.917073170731825</v>
      </c>
      <c r="S79" s="20">
        <f t="shared" si="20"/>
        <v>77.917073170731825</v>
      </c>
      <c r="T79" s="20">
        <f t="shared" si="21"/>
        <v>77.417073170731825</v>
      </c>
      <c r="U79" s="20">
        <v>77.417073170731825</v>
      </c>
      <c r="V79" s="22">
        <v>6.64</v>
      </c>
      <c r="W79" s="22">
        <v>2.1059999999999999</v>
      </c>
      <c r="X79" s="23">
        <v>1.1476266666666668</v>
      </c>
      <c r="Y79" s="23">
        <f t="shared" si="28"/>
        <v>5.4923733333333331</v>
      </c>
      <c r="Z79" s="23">
        <f t="shared" si="29"/>
        <v>0.95837333333333308</v>
      </c>
      <c r="AA79" s="22">
        <f t="shared" si="30"/>
        <v>82.550834126352186</v>
      </c>
      <c r="AB79" s="22">
        <f t="shared" si="31"/>
        <v>17.449165873647814</v>
      </c>
      <c r="AC79" s="22">
        <f t="shared" si="32"/>
        <v>1.2669359760639498</v>
      </c>
      <c r="AD79" s="22">
        <f t="shared" si="33"/>
        <v>0.22106975997631761</v>
      </c>
      <c r="AE79" s="24">
        <v>4.8710000000000004</v>
      </c>
      <c r="AF79" s="24">
        <v>5.3262</v>
      </c>
      <c r="AG79" s="24">
        <v>4.9926000000000004</v>
      </c>
      <c r="AH79" s="25">
        <f>AG79-AE79</f>
        <v>0.12159999999999993</v>
      </c>
      <c r="AI79" s="25">
        <v>73.286467486818978</v>
      </c>
      <c r="AJ79" s="26">
        <v>3.6643233743409489</v>
      </c>
      <c r="AK79" s="25">
        <v>36.643233743409489</v>
      </c>
      <c r="AL79" s="26">
        <v>3.6654284595039415</v>
      </c>
      <c r="AM79" s="17">
        <f t="shared" si="34"/>
        <v>0.5780346820809249</v>
      </c>
      <c r="AN79" s="17"/>
      <c r="AO79" s="27"/>
      <c r="AP79" s="17"/>
      <c r="AQ79" s="17"/>
      <c r="AR79" s="17"/>
      <c r="AS79" s="17"/>
      <c r="AT79" s="17"/>
      <c r="AU79" s="17"/>
      <c r="AV79" s="17"/>
      <c r="AW79" s="17"/>
      <c r="AX79" s="17"/>
      <c r="BB79" s="17"/>
    </row>
    <row r="80" spans="1:54" x14ac:dyDescent="0.2">
      <c r="A80" s="17" t="s">
        <v>41</v>
      </c>
      <c r="B80" s="18" t="s">
        <v>42</v>
      </c>
      <c r="C80" s="18" t="str">
        <f t="shared" si="26"/>
        <v>BI10.2</v>
      </c>
      <c r="D80" s="18" t="str">
        <f t="shared" si="27"/>
        <v>BI10.2_79</v>
      </c>
      <c r="E80" s="17">
        <v>2</v>
      </c>
      <c r="F80" s="19">
        <v>79</v>
      </c>
      <c r="G80" s="20">
        <v>2.0499999999999998</v>
      </c>
      <c r="H80" s="20">
        <v>2.2999999999999998</v>
      </c>
      <c r="I80" s="20">
        <v>1.05</v>
      </c>
      <c r="J80" s="20">
        <f t="shared" si="25"/>
        <v>3.8992176562499994</v>
      </c>
      <c r="K80" s="53">
        <v>0.13658536585365874</v>
      </c>
      <c r="L80" s="20">
        <f t="shared" si="22"/>
        <v>44.053658536585488</v>
      </c>
      <c r="M80" s="20">
        <f t="shared" si="22"/>
        <v>45.103658536585485</v>
      </c>
      <c r="N80" s="20">
        <f t="shared" si="22"/>
        <v>44.578658536585493</v>
      </c>
      <c r="O80" s="20">
        <f>P79+$AO$48</f>
        <v>84.053658536585488</v>
      </c>
      <c r="P80" s="20">
        <f t="shared" si="23"/>
        <v>85.103658536585485</v>
      </c>
      <c r="Q80" s="20">
        <f t="shared" si="35"/>
        <v>84.578658536585493</v>
      </c>
      <c r="R80" s="20">
        <f t="shared" si="24"/>
        <v>78.053658536585488</v>
      </c>
      <c r="S80" s="20">
        <f t="shared" si="20"/>
        <v>79.103658536585485</v>
      </c>
      <c r="T80" s="20">
        <f t="shared" si="21"/>
        <v>78.578658536585493</v>
      </c>
      <c r="U80" s="20">
        <v>78.578658536585493</v>
      </c>
      <c r="V80" s="22">
        <v>6.0677000000000003</v>
      </c>
      <c r="W80" s="22">
        <v>1.9668000000000001</v>
      </c>
      <c r="X80" s="23">
        <v>1.1476266666666668</v>
      </c>
      <c r="Y80" s="23">
        <f t="shared" si="28"/>
        <v>4.9200733333333337</v>
      </c>
      <c r="Z80" s="23">
        <f t="shared" si="29"/>
        <v>0.81917333333333331</v>
      </c>
      <c r="AA80" s="22">
        <f t="shared" si="30"/>
        <v>83.350383666368117</v>
      </c>
      <c r="AB80" s="22">
        <f t="shared" si="31"/>
        <v>16.649616333631883</v>
      </c>
      <c r="AC80" s="22">
        <f t="shared" si="32"/>
        <v>1.2618103853338425</v>
      </c>
      <c r="AD80" s="22">
        <f t="shared" si="33"/>
        <v>0.21008658801600683</v>
      </c>
      <c r="AE80" s="24">
        <v>4.7153999999999998</v>
      </c>
      <c r="AF80" s="24">
        <v>5.0932000000000004</v>
      </c>
      <c r="AG80" s="24">
        <v>4.8101000000000003</v>
      </c>
      <c r="AH80" s="25">
        <f>AG80-AE80</f>
        <v>9.470000000000045E-2</v>
      </c>
      <c r="AI80" s="25">
        <v>74.933827421916277</v>
      </c>
      <c r="AJ80" s="26">
        <v>3.7466913710958138</v>
      </c>
      <c r="AK80" s="25">
        <v>37.466913710958138</v>
      </c>
      <c r="AL80" s="26">
        <v>3.7477721689350103</v>
      </c>
      <c r="AM80" s="17">
        <f t="shared" si="34"/>
        <v>0.5780346820809249</v>
      </c>
      <c r="AN80" s="17"/>
      <c r="AO80" s="27"/>
      <c r="AP80" s="17"/>
      <c r="AQ80" s="17"/>
      <c r="AR80" s="17"/>
      <c r="AS80" s="17"/>
      <c r="AT80" s="17"/>
      <c r="AU80" s="17"/>
      <c r="AV80" s="17"/>
      <c r="AW80" s="17"/>
      <c r="AX80" s="17"/>
      <c r="BB80" s="17"/>
    </row>
    <row r="81" spans="1:54" x14ac:dyDescent="0.2">
      <c r="A81" s="17" t="s">
        <v>41</v>
      </c>
      <c r="B81" s="18" t="s">
        <v>42</v>
      </c>
      <c r="C81" s="18" t="str">
        <f t="shared" si="26"/>
        <v>BI10.2</v>
      </c>
      <c r="D81" s="18" t="str">
        <f t="shared" si="27"/>
        <v>BI10.2_80</v>
      </c>
      <c r="E81" s="17">
        <v>2</v>
      </c>
      <c r="F81" s="19">
        <v>80</v>
      </c>
      <c r="G81" s="20">
        <v>2.5</v>
      </c>
      <c r="H81" s="20">
        <v>2.1</v>
      </c>
      <c r="I81" s="20">
        <v>1.1000000000000001</v>
      </c>
      <c r="J81" s="20">
        <f t="shared" si="25"/>
        <v>4.5679150000000002</v>
      </c>
      <c r="K81" s="53">
        <v>0.13658536585365874</v>
      </c>
      <c r="L81" s="20">
        <f t="shared" si="22"/>
        <v>45.240243902439147</v>
      </c>
      <c r="M81" s="20">
        <f t="shared" si="22"/>
        <v>46.340243902439141</v>
      </c>
      <c r="N81" s="20">
        <f t="shared" si="22"/>
        <v>45.790243902439144</v>
      </c>
      <c r="O81" s="20">
        <f>P80+$AO$48</f>
        <v>85.240243902439147</v>
      </c>
      <c r="P81" s="20">
        <f t="shared" si="23"/>
        <v>86.340243902439141</v>
      </c>
      <c r="Q81" s="20">
        <f t="shared" si="35"/>
        <v>85.790243902439144</v>
      </c>
      <c r="R81" s="20">
        <f t="shared" si="24"/>
        <v>79.240243902439147</v>
      </c>
      <c r="S81" s="20">
        <f t="shared" si="20"/>
        <v>80.340243902439141</v>
      </c>
      <c r="T81" s="20">
        <f t="shared" si="21"/>
        <v>79.790243902439144</v>
      </c>
      <c r="U81" s="20">
        <v>79.790243902439144</v>
      </c>
      <c r="V81" s="22">
        <v>5.5797999999999996</v>
      </c>
      <c r="W81" s="22">
        <v>2.0865</v>
      </c>
      <c r="X81" s="23">
        <v>1.1476266666666668</v>
      </c>
      <c r="Y81" s="23">
        <f t="shared" si="28"/>
        <v>4.4321733333333331</v>
      </c>
      <c r="Z81" s="23">
        <f t="shared" si="29"/>
        <v>0.93887333333333323</v>
      </c>
      <c r="AA81" s="22">
        <f t="shared" si="30"/>
        <v>78.816863359736232</v>
      </c>
      <c r="AB81" s="22">
        <f t="shared" si="31"/>
        <v>21.183136640263768</v>
      </c>
      <c r="AC81" s="22">
        <f t="shared" si="32"/>
        <v>0.97028367063164112</v>
      </c>
      <c r="AD81" s="22">
        <f t="shared" si="33"/>
        <v>0.20553651574806739</v>
      </c>
      <c r="AE81" s="24">
        <v>4.7043999999999997</v>
      </c>
      <c r="AF81" s="24">
        <v>4.9233000000000002</v>
      </c>
      <c r="AG81" s="24">
        <v>4.7576000000000001</v>
      </c>
      <c r="AH81" s="25">
        <f>AG81-AE81</f>
        <v>5.3200000000000358E-2</v>
      </c>
      <c r="AI81" s="25">
        <v>75.696665143901214</v>
      </c>
      <c r="AJ81" s="26">
        <v>3.7848332571950607</v>
      </c>
      <c r="AK81" s="25">
        <v>37.848332571950607</v>
      </c>
      <c r="AL81" s="26">
        <v>3.7859031663223734</v>
      </c>
      <c r="AM81" s="17">
        <f t="shared" si="34"/>
        <v>0.5780346820809249</v>
      </c>
      <c r="AN81" s="17"/>
      <c r="AO81" s="27"/>
      <c r="AP81" s="17"/>
      <c r="AQ81" s="17"/>
      <c r="AR81" s="17"/>
      <c r="AS81" s="17"/>
      <c r="AT81" s="17"/>
      <c r="AU81" s="17"/>
      <c r="AV81" s="17"/>
      <c r="AW81" s="17"/>
      <c r="AX81" s="17"/>
      <c r="BB81" s="17"/>
    </row>
    <row r="82" spans="1:54" x14ac:dyDescent="0.2">
      <c r="A82" s="17" t="s">
        <v>41</v>
      </c>
      <c r="B82" s="18" t="s">
        <v>42</v>
      </c>
      <c r="C82" s="18" t="str">
        <f t="shared" si="26"/>
        <v>BI10.2</v>
      </c>
      <c r="D82" s="18" t="str">
        <f t="shared" si="27"/>
        <v>BI10.2_81</v>
      </c>
      <c r="E82" s="17">
        <v>2</v>
      </c>
      <c r="F82" s="19">
        <v>81</v>
      </c>
      <c r="G82" s="20">
        <v>2.25</v>
      </c>
      <c r="H82" s="20">
        <v>2</v>
      </c>
      <c r="I82" s="20">
        <v>1</v>
      </c>
      <c r="J82" s="20">
        <f t="shared" si="25"/>
        <v>3.5447656250000001</v>
      </c>
      <c r="K82" s="53">
        <v>0.13658536585365874</v>
      </c>
      <c r="L82" s="20">
        <f t="shared" si="22"/>
        <v>46.476829268292803</v>
      </c>
      <c r="M82" s="20">
        <f t="shared" si="22"/>
        <v>47.476829268292803</v>
      </c>
      <c r="N82" s="20">
        <f t="shared" si="22"/>
        <v>46.976829268292803</v>
      </c>
      <c r="O82" s="20">
        <f>P81+$AO$48</f>
        <v>86.476829268292803</v>
      </c>
      <c r="P82" s="20">
        <f t="shared" si="23"/>
        <v>87.476829268292803</v>
      </c>
      <c r="Q82" s="20">
        <f t="shared" si="35"/>
        <v>86.976829268292803</v>
      </c>
      <c r="R82" s="20">
        <f t="shared" si="24"/>
        <v>80.476829268292803</v>
      </c>
      <c r="S82" s="20">
        <f t="shared" si="20"/>
        <v>81.476829268292803</v>
      </c>
      <c r="T82" s="20">
        <f t="shared" si="21"/>
        <v>80.976829268292803</v>
      </c>
      <c r="U82" s="20">
        <v>80.976829268292803</v>
      </c>
      <c r="V82" s="22">
        <v>5.5654000000000003</v>
      </c>
      <c r="W82" s="22">
        <v>2.2157</v>
      </c>
      <c r="X82" s="23">
        <v>1.1476266666666668</v>
      </c>
      <c r="Y82" s="23">
        <f t="shared" si="28"/>
        <v>4.4177733333333338</v>
      </c>
      <c r="Z82" s="23">
        <f t="shared" si="29"/>
        <v>1.0680733333333332</v>
      </c>
      <c r="AA82" s="22">
        <f t="shared" si="30"/>
        <v>75.823265415759977</v>
      </c>
      <c r="AB82" s="22">
        <f t="shared" si="31"/>
        <v>24.176734584240023</v>
      </c>
      <c r="AC82" s="22">
        <f t="shared" si="32"/>
        <v>1.2462807984190305</v>
      </c>
      <c r="AD82" s="22">
        <f t="shared" si="33"/>
        <v>0.30131000080811637</v>
      </c>
      <c r="AE82" s="24">
        <v>4.8234000000000004</v>
      </c>
      <c r="AF82" s="24">
        <v>5.1097000000000001</v>
      </c>
      <c r="AG82" s="24">
        <v>4.8940999999999999</v>
      </c>
      <c r="AH82" s="25">
        <f>AG82-AE82</f>
        <v>7.0699999999999541E-2</v>
      </c>
      <c r="AI82" s="25">
        <v>75.305623471882782</v>
      </c>
      <c r="AJ82" s="26">
        <v>3.7652811735941394</v>
      </c>
      <c r="AK82" s="25">
        <v>37.652811735941391</v>
      </c>
      <c r="AL82" s="26">
        <v>3.766356636886961</v>
      </c>
      <c r="AM82" s="17">
        <f t="shared" si="34"/>
        <v>0.5780346820809249</v>
      </c>
      <c r="AN82" s="17"/>
      <c r="AO82" s="27"/>
      <c r="AP82" s="17"/>
      <c r="AQ82" s="17"/>
      <c r="AR82" s="17"/>
      <c r="AS82" s="17"/>
      <c r="AT82" s="17"/>
      <c r="AU82" s="17"/>
      <c r="AV82" s="17"/>
      <c r="AW82" s="17"/>
      <c r="AX82" s="17"/>
      <c r="BB82" s="17"/>
    </row>
    <row r="83" spans="1:54" x14ac:dyDescent="0.2">
      <c r="A83" s="17" t="s">
        <v>41</v>
      </c>
      <c r="B83" s="18" t="s">
        <v>42</v>
      </c>
      <c r="C83" s="18" t="str">
        <f t="shared" si="26"/>
        <v>BI10.2</v>
      </c>
      <c r="D83" s="18" t="str">
        <f t="shared" si="27"/>
        <v>BI10.2_82</v>
      </c>
      <c r="E83" s="17">
        <v>2</v>
      </c>
      <c r="F83" s="19">
        <v>82</v>
      </c>
      <c r="G83" s="20">
        <v>2</v>
      </c>
      <c r="H83" s="20">
        <v>2.5</v>
      </c>
      <c r="I83" s="20">
        <v>1</v>
      </c>
      <c r="J83" s="20">
        <f t="shared" si="25"/>
        <v>3.9740625000000001</v>
      </c>
      <c r="K83" s="53">
        <v>0.13658536585365874</v>
      </c>
      <c r="L83" s="20">
        <f t="shared" si="22"/>
        <v>47.613414634146466</v>
      </c>
      <c r="M83" s="20">
        <f t="shared" si="22"/>
        <v>48.613414634146466</v>
      </c>
      <c r="N83" s="20">
        <f t="shared" si="22"/>
        <v>48.113414634146466</v>
      </c>
      <c r="O83" s="20">
        <f>P82+$AO$48</f>
        <v>87.613414634146466</v>
      </c>
      <c r="P83" s="20">
        <f t="shared" si="23"/>
        <v>88.613414634146466</v>
      </c>
      <c r="Q83" s="20">
        <f t="shared" si="35"/>
        <v>88.113414634146466</v>
      </c>
      <c r="R83" s="20">
        <f t="shared" si="24"/>
        <v>81.613414634146466</v>
      </c>
      <c r="S83" s="20">
        <f t="shared" si="20"/>
        <v>82.613414634146466</v>
      </c>
      <c r="T83" s="20">
        <f t="shared" si="21"/>
        <v>82.113414634146466</v>
      </c>
      <c r="U83" s="20">
        <v>82.113414634146466</v>
      </c>
      <c r="V83" s="22">
        <v>5.5094000000000003</v>
      </c>
      <c r="W83" s="22">
        <v>2.1507999999999998</v>
      </c>
      <c r="X83" s="23">
        <v>1.1476266666666668</v>
      </c>
      <c r="Y83" s="23">
        <f t="shared" si="28"/>
        <v>4.3617733333333337</v>
      </c>
      <c r="Z83" s="23">
        <f t="shared" si="29"/>
        <v>1.003173333333333</v>
      </c>
      <c r="AA83" s="22">
        <f t="shared" si="30"/>
        <v>77.000791726912311</v>
      </c>
      <c r="AB83" s="22">
        <f t="shared" si="31"/>
        <v>22.999208273087689</v>
      </c>
      <c r="AC83" s="22">
        <f t="shared" si="32"/>
        <v>1.0975603260727111</v>
      </c>
      <c r="AD83" s="22">
        <f t="shared" si="33"/>
        <v>0.25243018531624328</v>
      </c>
      <c r="AE83" s="24">
        <v>4.8362999999999996</v>
      </c>
      <c r="AF83" s="24">
        <v>5.2553000000000001</v>
      </c>
      <c r="AG83" s="24">
        <v>4.9904999999999999</v>
      </c>
      <c r="AH83" s="25">
        <f>AG83-AE83</f>
        <v>0.15420000000000034</v>
      </c>
      <c r="AI83" s="25">
        <v>63.198090692124062</v>
      </c>
      <c r="AJ83" s="26">
        <v>3.1599045346062034</v>
      </c>
      <c r="AK83" s="25">
        <v>31.599045346062031</v>
      </c>
      <c r="AL83" s="26">
        <v>3.1611859590705587</v>
      </c>
      <c r="AM83" s="17">
        <f t="shared" si="34"/>
        <v>0.5780346820809249</v>
      </c>
      <c r="AN83" s="17"/>
      <c r="AO83" s="27"/>
      <c r="AP83" s="17"/>
      <c r="AQ83" s="17"/>
      <c r="AR83" s="17"/>
      <c r="AS83" s="17"/>
      <c r="AT83" s="17"/>
      <c r="AU83" s="17"/>
      <c r="AV83" s="17"/>
      <c r="AW83" s="17"/>
      <c r="AX83" s="17"/>
      <c r="BB83" s="17"/>
    </row>
    <row r="84" spans="1:54" x14ac:dyDescent="0.2">
      <c r="A84" s="17" t="s">
        <v>41</v>
      </c>
      <c r="B84" s="18" t="s">
        <v>42</v>
      </c>
      <c r="C84" s="18" t="str">
        <f t="shared" si="26"/>
        <v>BI10.2</v>
      </c>
      <c r="D84" s="18" t="str">
        <f t="shared" si="27"/>
        <v>BI10.2_83</v>
      </c>
      <c r="E84" s="17">
        <v>2</v>
      </c>
      <c r="F84" s="19">
        <v>83</v>
      </c>
      <c r="G84" s="20">
        <v>2.2999999999999998</v>
      </c>
      <c r="H84" s="20">
        <v>1.85</v>
      </c>
      <c r="I84" s="20">
        <v>1.25</v>
      </c>
      <c r="J84" s="20">
        <f t="shared" si="25"/>
        <v>4.2248945312500013</v>
      </c>
      <c r="K84" s="53">
        <v>0.13658536585365874</v>
      </c>
      <c r="L84" s="20">
        <f t="shared" si="22"/>
        <v>48.750000000000128</v>
      </c>
      <c r="M84" s="20">
        <f t="shared" si="22"/>
        <v>50.000000000000128</v>
      </c>
      <c r="N84" s="20">
        <f t="shared" si="22"/>
        <v>49.375000000000128</v>
      </c>
      <c r="O84" s="20">
        <f>P83+$AO$48</f>
        <v>88.750000000000128</v>
      </c>
      <c r="P84" s="20">
        <f t="shared" si="23"/>
        <v>90.000000000000128</v>
      </c>
      <c r="Q84" s="20">
        <f t="shared" si="35"/>
        <v>89.375000000000128</v>
      </c>
      <c r="R84" s="20">
        <f t="shared" si="24"/>
        <v>82.750000000000128</v>
      </c>
      <c r="S84" s="20">
        <f t="shared" si="20"/>
        <v>84.000000000000128</v>
      </c>
      <c r="T84" s="20">
        <f t="shared" si="21"/>
        <v>83.375000000000128</v>
      </c>
      <c r="U84" s="20">
        <v>83.375000000000128</v>
      </c>
      <c r="V84" s="22">
        <v>5.9446000000000003</v>
      </c>
      <c r="W84" s="22">
        <v>2.1158000000000001</v>
      </c>
      <c r="X84" s="23">
        <v>1.1476266666666668</v>
      </c>
      <c r="Y84" s="23">
        <f t="shared" si="28"/>
        <v>4.7969733333333338</v>
      </c>
      <c r="Z84" s="23">
        <f t="shared" si="29"/>
        <v>0.96817333333333333</v>
      </c>
      <c r="AA84" s="22">
        <f t="shared" si="30"/>
        <v>79.816995716743605</v>
      </c>
      <c r="AB84" s="22">
        <f t="shared" si="31"/>
        <v>20.183004283256395</v>
      </c>
      <c r="AC84" s="22">
        <f t="shared" si="32"/>
        <v>1.1354066469238167</v>
      </c>
      <c r="AD84" s="22">
        <f t="shared" si="33"/>
        <v>0.22915917218101159</v>
      </c>
      <c r="AE84" s="24">
        <v>4.8933999999999997</v>
      </c>
      <c r="AF84" s="24">
        <v>5.1723999999999997</v>
      </c>
      <c r="AG84" s="24">
        <v>5.0088999999999997</v>
      </c>
      <c r="AH84" s="25">
        <f>AG84-AE84</f>
        <v>0.11549999999999994</v>
      </c>
      <c r="AI84" s="25">
        <v>58.602150537634422</v>
      </c>
      <c r="AJ84" s="26">
        <v>2.9301075268817214</v>
      </c>
      <c r="AK84" s="25">
        <v>29.301075268817211</v>
      </c>
      <c r="AL84" s="26">
        <v>2.9314894028614393</v>
      </c>
      <c r="AM84" s="17">
        <f t="shared" si="34"/>
        <v>0.5780346820809249</v>
      </c>
      <c r="AN84" s="17"/>
      <c r="AO84" s="27"/>
      <c r="AP84" s="17"/>
      <c r="AQ84" s="17"/>
      <c r="AR84" s="17"/>
      <c r="AS84" s="17"/>
      <c r="AT84" s="17"/>
      <c r="AU84" s="17"/>
      <c r="AV84" s="17"/>
      <c r="AW84" s="17"/>
      <c r="AX84" s="17"/>
      <c r="BB84" s="17"/>
    </row>
    <row r="85" spans="1:54" x14ac:dyDescent="0.2">
      <c r="A85" s="17" t="s">
        <v>41</v>
      </c>
      <c r="B85" s="18" t="s">
        <v>42</v>
      </c>
      <c r="C85" s="18" t="str">
        <f t="shared" si="26"/>
        <v>BI10.3</v>
      </c>
      <c r="D85" s="18" t="str">
        <f t="shared" si="27"/>
        <v>BI10.3_84</v>
      </c>
      <c r="E85" s="17">
        <v>3</v>
      </c>
      <c r="F85" s="19">
        <v>84</v>
      </c>
      <c r="G85" s="20">
        <v>2</v>
      </c>
      <c r="H85" s="20">
        <v>2.2999999999999998</v>
      </c>
      <c r="I85" s="20">
        <v>1</v>
      </c>
      <c r="J85" s="20">
        <f t="shared" si="25"/>
        <v>3.6286624999999999</v>
      </c>
      <c r="K85" s="53">
        <v>0.1595238095238096</v>
      </c>
      <c r="L85" s="20">
        <f>O85-80</f>
        <v>0</v>
      </c>
      <c r="M85" s="20">
        <f t="shared" ref="M85:N100" si="36">P85-80</f>
        <v>1</v>
      </c>
      <c r="N85" s="20">
        <f t="shared" si="36"/>
        <v>0.5</v>
      </c>
      <c r="O85" s="20">
        <v>80</v>
      </c>
      <c r="P85" s="20">
        <f t="shared" si="23"/>
        <v>81</v>
      </c>
      <c r="Q85" s="20">
        <f t="shared" si="35"/>
        <v>80.5</v>
      </c>
      <c r="R85" s="20">
        <v>80</v>
      </c>
      <c r="S85" s="20">
        <f t="shared" si="20"/>
        <v>81</v>
      </c>
      <c r="T85" s="20">
        <f t="shared" si="21"/>
        <v>80.5</v>
      </c>
      <c r="U85" s="20">
        <v>80.5</v>
      </c>
      <c r="V85" s="22">
        <v>4.9766000000000004</v>
      </c>
      <c r="W85" s="22">
        <v>1.7699</v>
      </c>
      <c r="X85" s="23">
        <v>1.1476266666666668</v>
      </c>
      <c r="Y85" s="23">
        <f t="shared" si="28"/>
        <v>3.8289733333333338</v>
      </c>
      <c r="Z85" s="23">
        <f t="shared" si="29"/>
        <v>0.62227333333333323</v>
      </c>
      <c r="AA85" s="22">
        <f t="shared" si="30"/>
        <v>83.748298064233069</v>
      </c>
      <c r="AB85" s="22">
        <f t="shared" si="31"/>
        <v>16.251701935766931</v>
      </c>
      <c r="AC85" s="22">
        <f t="shared" si="32"/>
        <v>1.0552023874728866</v>
      </c>
      <c r="AD85" s="22">
        <f t="shared" si="33"/>
        <v>0.17148834683119007</v>
      </c>
      <c r="AE85" s="24">
        <v>5.1360999999999999</v>
      </c>
      <c r="AF85" s="24">
        <v>5.4722999999999997</v>
      </c>
      <c r="AG85" s="24">
        <v>5.2290000000000001</v>
      </c>
      <c r="AH85" s="25">
        <f>AG85-AE85</f>
        <v>9.2900000000000205E-2</v>
      </c>
      <c r="AI85" s="25">
        <v>72.367638310529372</v>
      </c>
      <c r="AJ85" s="26">
        <v>3.6183819155264687</v>
      </c>
      <c r="AK85" s="25">
        <v>36.183819155264686</v>
      </c>
      <c r="AL85" s="26">
        <v>3.6195010272976851</v>
      </c>
      <c r="AM85" s="17">
        <f t="shared" si="34"/>
        <v>0.5780346820809249</v>
      </c>
      <c r="AN85" s="28" t="s">
        <v>43</v>
      </c>
      <c r="AO85" s="27">
        <v>50.5</v>
      </c>
      <c r="AP85" s="17"/>
      <c r="AQ85" s="17"/>
      <c r="AR85" s="17"/>
      <c r="AS85" s="17"/>
      <c r="AT85" s="17"/>
      <c r="AU85" s="17"/>
      <c r="AV85" s="17"/>
      <c r="AW85" s="17"/>
      <c r="AX85" s="17"/>
      <c r="BB85" s="17"/>
    </row>
    <row r="86" spans="1:54" x14ac:dyDescent="0.2">
      <c r="A86" s="17" t="s">
        <v>41</v>
      </c>
      <c r="B86" s="18" t="s">
        <v>42</v>
      </c>
      <c r="C86" s="18" t="str">
        <f t="shared" si="26"/>
        <v>BI10.3</v>
      </c>
      <c r="D86" s="18" t="str">
        <f t="shared" si="27"/>
        <v>BI10.3_85</v>
      </c>
      <c r="E86" s="17">
        <v>3</v>
      </c>
      <c r="F86" s="19">
        <v>85</v>
      </c>
      <c r="G86" s="20">
        <v>2.35</v>
      </c>
      <c r="H86" s="20">
        <v>2.35</v>
      </c>
      <c r="I86" s="20">
        <v>1.05</v>
      </c>
      <c r="J86" s="20">
        <f t="shared" si="25"/>
        <v>4.5519206250000011</v>
      </c>
      <c r="K86" s="53">
        <v>0.1595238095238096</v>
      </c>
      <c r="L86" s="20">
        <f t="shared" ref="L86:N127" si="37">O86-80</f>
        <v>1.1595238095238045</v>
      </c>
      <c r="M86" s="20">
        <f t="shared" si="36"/>
        <v>2.2095238095238017</v>
      </c>
      <c r="N86" s="20">
        <f t="shared" si="36"/>
        <v>1.684523809523796</v>
      </c>
      <c r="O86" s="20">
        <f>P85+$AO$90</f>
        <v>81.159523809523805</v>
      </c>
      <c r="P86" s="20">
        <f t="shared" si="23"/>
        <v>82.209523809523802</v>
      </c>
      <c r="Q86" s="20">
        <f t="shared" si="35"/>
        <v>81.684523809523796</v>
      </c>
      <c r="R86" s="20">
        <f>S85+$AO$90</f>
        <v>81.159523809523805</v>
      </c>
      <c r="S86" s="20">
        <f t="shared" si="20"/>
        <v>82.209523809523802</v>
      </c>
      <c r="T86" s="20">
        <f t="shared" si="21"/>
        <v>81.684523809523796</v>
      </c>
      <c r="U86" s="20">
        <v>81.684523809523796</v>
      </c>
      <c r="V86" s="22">
        <v>6.3734000000000002</v>
      </c>
      <c r="W86" s="22">
        <v>2.0326</v>
      </c>
      <c r="X86" s="23">
        <v>1.1476266666666668</v>
      </c>
      <c r="Y86" s="23">
        <f t="shared" si="28"/>
        <v>5.2257733333333336</v>
      </c>
      <c r="Z86" s="23">
        <f t="shared" si="29"/>
        <v>0.88497333333333317</v>
      </c>
      <c r="AA86" s="22">
        <f t="shared" si="30"/>
        <v>83.06521777956948</v>
      </c>
      <c r="AB86" s="22">
        <f t="shared" si="31"/>
        <v>16.93478222043052</v>
      </c>
      <c r="AC86" s="22">
        <f t="shared" si="32"/>
        <v>1.1480370076385795</v>
      </c>
      <c r="AD86" s="22">
        <f t="shared" si="33"/>
        <v>0.19441756705354082</v>
      </c>
      <c r="AE86" s="24">
        <v>4.5530999999999997</v>
      </c>
      <c r="AF86" s="24">
        <v>4.8827999999999996</v>
      </c>
      <c r="AG86" s="24">
        <v>4.6249000000000002</v>
      </c>
      <c r="AH86" s="25">
        <f>AG86-AE86</f>
        <v>7.180000000000053E-2</v>
      </c>
      <c r="AI86" s="25">
        <v>78.222626630269772</v>
      </c>
      <c r="AJ86" s="26">
        <v>3.9111313315134888</v>
      </c>
      <c r="AK86" s="25">
        <v>39.111313315134886</v>
      </c>
      <c r="AL86" s="26">
        <v>3.9121667004802436</v>
      </c>
      <c r="AM86" s="17">
        <f t="shared" si="34"/>
        <v>0.5780346820809249</v>
      </c>
      <c r="AN86" s="28" t="s">
        <v>44</v>
      </c>
      <c r="AO86" s="27" t="s">
        <v>55</v>
      </c>
      <c r="AP86" s="17"/>
      <c r="AQ86" s="17"/>
      <c r="AR86" s="17"/>
      <c r="AS86" s="17"/>
      <c r="AT86" s="17"/>
      <c r="AU86" s="17"/>
      <c r="AV86" s="17"/>
      <c r="AW86" s="17"/>
      <c r="AX86" s="17"/>
      <c r="BB86" s="17"/>
    </row>
    <row r="87" spans="1:54" x14ac:dyDescent="0.2">
      <c r="A87" s="17" t="s">
        <v>41</v>
      </c>
      <c r="B87" s="18" t="s">
        <v>42</v>
      </c>
      <c r="C87" s="18" t="str">
        <f t="shared" si="26"/>
        <v>BI10.3</v>
      </c>
      <c r="D87" s="18" t="str">
        <f t="shared" si="27"/>
        <v>BI10.3_86</v>
      </c>
      <c r="E87" s="17">
        <v>3</v>
      </c>
      <c r="F87" s="19">
        <v>86</v>
      </c>
      <c r="G87" s="20">
        <v>2.2999999999999998</v>
      </c>
      <c r="H87" s="20">
        <v>2.35</v>
      </c>
      <c r="I87" s="20">
        <v>1.05</v>
      </c>
      <c r="J87" s="20">
        <f t="shared" si="25"/>
        <v>4.455586406250001</v>
      </c>
      <c r="K87" s="53">
        <v>0.1595238095238096</v>
      </c>
      <c r="L87" s="20">
        <f t="shared" si="37"/>
        <v>2.3690476190476062</v>
      </c>
      <c r="M87" s="20">
        <f t="shared" si="36"/>
        <v>3.4190476190476033</v>
      </c>
      <c r="N87" s="20">
        <f t="shared" si="36"/>
        <v>2.8940476190475977</v>
      </c>
      <c r="O87" s="20">
        <f>P86+$AO$90</f>
        <v>82.369047619047606</v>
      </c>
      <c r="P87" s="20">
        <f t="shared" si="23"/>
        <v>83.419047619047603</v>
      </c>
      <c r="Q87" s="20">
        <f t="shared" si="35"/>
        <v>82.894047619047598</v>
      </c>
      <c r="R87" s="20">
        <f>S86+$AO$90</f>
        <v>82.369047619047606</v>
      </c>
      <c r="S87" s="20">
        <f t="shared" si="20"/>
        <v>83.419047619047603</v>
      </c>
      <c r="T87" s="20">
        <f t="shared" si="21"/>
        <v>82.894047619047598</v>
      </c>
      <c r="U87" s="20">
        <v>82.894047619047598</v>
      </c>
      <c r="V87" s="22">
        <v>5.7134</v>
      </c>
      <c r="W87" s="22">
        <v>1.9563999999999999</v>
      </c>
      <c r="X87" s="23">
        <v>1.1476266666666668</v>
      </c>
      <c r="Y87" s="23">
        <f t="shared" si="28"/>
        <v>4.5657733333333335</v>
      </c>
      <c r="Z87" s="23">
        <f t="shared" si="29"/>
        <v>0.80877333333333312</v>
      </c>
      <c r="AA87" s="22">
        <f t="shared" si="30"/>
        <v>82.286169849284391</v>
      </c>
      <c r="AB87" s="22">
        <f t="shared" si="31"/>
        <v>17.713830150715609</v>
      </c>
      <c r="AC87" s="22">
        <f t="shared" si="32"/>
        <v>1.0247300617778996</v>
      </c>
      <c r="AD87" s="22">
        <f t="shared" si="33"/>
        <v>0.18151894264666027</v>
      </c>
      <c r="AE87" s="24">
        <v>4.9504999999999999</v>
      </c>
      <c r="AF87" s="24">
        <v>5.2862</v>
      </c>
      <c r="AG87" s="24">
        <v>5.0359999999999996</v>
      </c>
      <c r="AH87" s="25">
        <f>AG87-AE87</f>
        <v>8.5499999999999687E-2</v>
      </c>
      <c r="AI87" s="25">
        <v>74.530831099195822</v>
      </c>
      <c r="AJ87" s="26">
        <v>3.7265415549597911</v>
      </c>
      <c r="AK87" s="25">
        <v>37.265415549597911</v>
      </c>
      <c r="AL87" s="26">
        <v>3.7276281950916372</v>
      </c>
      <c r="AM87" s="17">
        <f t="shared" si="34"/>
        <v>0.5780346820809249</v>
      </c>
      <c r="AN87" s="28" t="s">
        <v>46</v>
      </c>
      <c r="AO87" s="29">
        <f>SUM(I85:I127)</f>
        <v>43.8</v>
      </c>
      <c r="AP87" s="17"/>
      <c r="AQ87" s="17"/>
      <c r="AR87" s="17"/>
      <c r="AS87" s="17"/>
      <c r="AT87" s="17"/>
      <c r="AU87" s="17"/>
      <c r="AV87" s="17"/>
      <c r="AW87" s="17"/>
      <c r="AX87" s="17"/>
      <c r="BB87" s="17"/>
    </row>
    <row r="88" spans="1:54" x14ac:dyDescent="0.2">
      <c r="A88" s="17" t="s">
        <v>41</v>
      </c>
      <c r="B88" s="18" t="s">
        <v>42</v>
      </c>
      <c r="C88" s="18" t="str">
        <f t="shared" si="26"/>
        <v>BI10.3</v>
      </c>
      <c r="D88" s="18" t="str">
        <f t="shared" si="27"/>
        <v>BI10.3_87</v>
      </c>
      <c r="E88" s="17">
        <v>3</v>
      </c>
      <c r="F88" s="19">
        <v>87</v>
      </c>
      <c r="G88" s="20">
        <v>2.65</v>
      </c>
      <c r="H88" s="20">
        <v>2.1</v>
      </c>
      <c r="I88" s="20">
        <v>1.05</v>
      </c>
      <c r="J88" s="20">
        <f t="shared" si="25"/>
        <v>4.6492851562500004</v>
      </c>
      <c r="K88" s="53">
        <v>0.1595238095238096</v>
      </c>
      <c r="L88" s="20">
        <f t="shared" si="37"/>
        <v>3.5785714285714079</v>
      </c>
      <c r="M88" s="20">
        <f t="shared" si="36"/>
        <v>4.628571428571405</v>
      </c>
      <c r="N88" s="20">
        <f t="shared" si="36"/>
        <v>4.1035714285713993</v>
      </c>
      <c r="O88" s="20">
        <f>P87+$AO$90</f>
        <v>83.578571428571408</v>
      </c>
      <c r="P88" s="20">
        <f t="shared" si="23"/>
        <v>84.628571428571405</v>
      </c>
      <c r="Q88" s="20">
        <f t="shared" si="35"/>
        <v>84.103571428571399</v>
      </c>
      <c r="R88" s="20">
        <f>S87+$AO$90</f>
        <v>83.578571428571408</v>
      </c>
      <c r="S88" s="20">
        <f t="shared" si="20"/>
        <v>84.628571428571405</v>
      </c>
      <c r="T88" s="20">
        <f t="shared" si="21"/>
        <v>84.103571428571399</v>
      </c>
      <c r="U88" s="20">
        <v>84.103571428571399</v>
      </c>
      <c r="V88" s="22">
        <v>6.9968000000000004</v>
      </c>
      <c r="W88" s="22">
        <v>2.0939999999999999</v>
      </c>
      <c r="X88" s="23">
        <v>1.1476266666666668</v>
      </c>
      <c r="Y88" s="23">
        <f t="shared" si="28"/>
        <v>5.8491733333333338</v>
      </c>
      <c r="Z88" s="23">
        <f t="shared" si="29"/>
        <v>0.94637333333333307</v>
      </c>
      <c r="AA88" s="22">
        <f t="shared" si="30"/>
        <v>83.820391713472901</v>
      </c>
      <c r="AB88" s="22">
        <f t="shared" si="31"/>
        <v>16.179608286527099</v>
      </c>
      <c r="AC88" s="22">
        <f t="shared" si="32"/>
        <v>1.2580801428086923</v>
      </c>
      <c r="AD88" s="22">
        <f t="shared" si="33"/>
        <v>0.20355243903702708</v>
      </c>
      <c r="AE88" s="24">
        <v>4.6749000000000001</v>
      </c>
      <c r="AF88" s="24">
        <v>5.0312999999999999</v>
      </c>
      <c r="AG88" s="24">
        <v>4.7549999999999999</v>
      </c>
      <c r="AH88" s="25">
        <f>AG88-AE88</f>
        <v>8.0099999999999838E-2</v>
      </c>
      <c r="AI88" s="25">
        <v>77.525252525252569</v>
      </c>
      <c r="AJ88" s="26">
        <v>3.8762626262626285</v>
      </c>
      <c r="AK88" s="25">
        <v>38.762626262626284</v>
      </c>
      <c r="AL88" s="26">
        <v>3.8773073063352164</v>
      </c>
      <c r="AM88" s="17">
        <f t="shared" si="34"/>
        <v>0.5780346820809249</v>
      </c>
      <c r="AN88" s="28" t="s">
        <v>47</v>
      </c>
      <c r="AO88" s="29">
        <f>AO85-AO87</f>
        <v>6.7000000000000028</v>
      </c>
      <c r="AP88" s="17"/>
      <c r="AQ88" s="17"/>
      <c r="AR88" s="17"/>
      <c r="AS88" s="17"/>
      <c r="AT88" s="17"/>
      <c r="AU88" s="17"/>
      <c r="AV88" s="17"/>
      <c r="AW88" s="17"/>
      <c r="AX88" s="17"/>
      <c r="BB88" s="17"/>
    </row>
    <row r="89" spans="1:54" x14ac:dyDescent="0.2">
      <c r="A89" s="17" t="s">
        <v>41</v>
      </c>
      <c r="B89" s="18" t="s">
        <v>42</v>
      </c>
      <c r="C89" s="18" t="str">
        <f t="shared" si="26"/>
        <v>BI10.3</v>
      </c>
      <c r="D89" s="18" t="str">
        <f t="shared" si="27"/>
        <v>BI10.3_88</v>
      </c>
      <c r="E89" s="17">
        <v>3</v>
      </c>
      <c r="F89" s="19">
        <v>88</v>
      </c>
      <c r="G89" s="20">
        <v>2.4</v>
      </c>
      <c r="H89" s="20">
        <v>2.5</v>
      </c>
      <c r="I89" s="20">
        <v>1.05</v>
      </c>
      <c r="J89" s="20">
        <f t="shared" si="25"/>
        <v>4.9475606250000004</v>
      </c>
      <c r="K89" s="53">
        <v>0.1595238095238096</v>
      </c>
      <c r="L89" s="20">
        <f t="shared" si="37"/>
        <v>4.7880952380952095</v>
      </c>
      <c r="M89" s="20">
        <f t="shared" si="36"/>
        <v>5.8380952380952067</v>
      </c>
      <c r="N89" s="20">
        <f t="shared" si="36"/>
        <v>5.313095238095201</v>
      </c>
      <c r="O89" s="20">
        <f>P88+$AO$90</f>
        <v>84.78809523809521</v>
      </c>
      <c r="P89" s="20">
        <f t="shared" si="23"/>
        <v>85.838095238095207</v>
      </c>
      <c r="Q89" s="20">
        <f t="shared" si="35"/>
        <v>85.313095238095201</v>
      </c>
      <c r="R89" s="20">
        <f>S88+$AO$90</f>
        <v>84.78809523809521</v>
      </c>
      <c r="S89" s="20">
        <f t="shared" si="20"/>
        <v>85.838095238095207</v>
      </c>
      <c r="T89" s="20">
        <f t="shared" si="21"/>
        <v>85.313095238095201</v>
      </c>
      <c r="U89" s="20">
        <v>85.313095238095201</v>
      </c>
      <c r="V89" s="22">
        <v>6.6314000000000002</v>
      </c>
      <c r="W89" s="22">
        <v>2.0592000000000001</v>
      </c>
      <c r="X89" s="23">
        <v>1.1476266666666668</v>
      </c>
      <c r="Y89" s="23">
        <f t="shared" si="28"/>
        <v>5.4837733333333336</v>
      </c>
      <c r="Z89" s="23">
        <f t="shared" si="29"/>
        <v>0.91157333333333335</v>
      </c>
      <c r="AA89" s="22">
        <f t="shared" si="30"/>
        <v>83.376896200426472</v>
      </c>
      <c r="AB89" s="22">
        <f t="shared" si="31"/>
        <v>16.623103799573528</v>
      </c>
      <c r="AC89" s="22">
        <f t="shared" si="32"/>
        <v>1.1083792092660478</v>
      </c>
      <c r="AD89" s="22">
        <f t="shared" si="33"/>
        <v>0.18424702644918742</v>
      </c>
      <c r="AE89" s="24">
        <v>4.9036999999999997</v>
      </c>
      <c r="AF89" s="24">
        <v>5.2061000000000002</v>
      </c>
      <c r="AG89" s="24">
        <v>4.9851000000000001</v>
      </c>
      <c r="AH89" s="25">
        <f>AG89-AE89</f>
        <v>8.1400000000000361E-2</v>
      </c>
      <c r="AI89" s="25">
        <v>73.082010582010497</v>
      </c>
      <c r="AJ89" s="26">
        <v>3.6541005291005249</v>
      </c>
      <c r="AK89" s="25">
        <v>36.541005291005249</v>
      </c>
      <c r="AL89" s="26">
        <v>3.6552087049541693</v>
      </c>
      <c r="AM89" s="17">
        <f t="shared" si="34"/>
        <v>0.5780346820809249</v>
      </c>
      <c r="AN89" s="28" t="s">
        <v>48</v>
      </c>
      <c r="AO89" s="27">
        <v>42</v>
      </c>
      <c r="AP89" s="17"/>
      <c r="AQ89" s="17"/>
      <c r="AR89" s="17"/>
      <c r="AS89" s="17"/>
      <c r="AT89" s="17"/>
      <c r="AU89" s="17"/>
      <c r="AV89" s="17"/>
      <c r="AW89" s="17"/>
      <c r="AX89" s="17"/>
      <c r="BB89" s="17"/>
    </row>
    <row r="90" spans="1:54" x14ac:dyDescent="0.2">
      <c r="A90" s="17" t="s">
        <v>41</v>
      </c>
      <c r="B90" s="18" t="s">
        <v>42</v>
      </c>
      <c r="C90" s="18" t="str">
        <f t="shared" si="26"/>
        <v>BI10.3</v>
      </c>
      <c r="D90" s="18" t="str">
        <f t="shared" si="27"/>
        <v>BI10.3_89</v>
      </c>
      <c r="E90" s="17">
        <v>3</v>
      </c>
      <c r="F90" s="19">
        <v>89</v>
      </c>
      <c r="G90" s="20">
        <v>2.2999999999999998</v>
      </c>
      <c r="H90" s="20">
        <v>2.5499999999999998</v>
      </c>
      <c r="I90" s="20">
        <v>1.05</v>
      </c>
      <c r="J90" s="20">
        <f t="shared" si="25"/>
        <v>4.8471051562499996</v>
      </c>
      <c r="K90" s="53">
        <v>0.1595238095238096</v>
      </c>
      <c r="L90" s="20">
        <f t="shared" si="37"/>
        <v>5.9976190476190112</v>
      </c>
      <c r="M90" s="20">
        <f t="shared" si="36"/>
        <v>7.0476190476190084</v>
      </c>
      <c r="N90" s="20">
        <f t="shared" si="36"/>
        <v>6.5226190476190027</v>
      </c>
      <c r="O90" s="20">
        <f>P89+$AO$90</f>
        <v>85.997619047619011</v>
      </c>
      <c r="P90" s="20">
        <f t="shared" si="23"/>
        <v>87.047619047619008</v>
      </c>
      <c r="Q90" s="20">
        <f t="shared" si="35"/>
        <v>86.522619047619003</v>
      </c>
      <c r="R90" s="20">
        <f>S89+$AO$90</f>
        <v>85.997619047619011</v>
      </c>
      <c r="S90" s="20">
        <f t="shared" si="20"/>
        <v>87.047619047619008</v>
      </c>
      <c r="T90" s="20">
        <f t="shared" si="21"/>
        <v>86.522619047619003</v>
      </c>
      <c r="U90" s="20">
        <v>86.522619047619003</v>
      </c>
      <c r="V90" s="22">
        <v>6.8352000000000004</v>
      </c>
      <c r="W90" s="22">
        <v>1.9951000000000001</v>
      </c>
      <c r="X90" s="23">
        <v>1.1476266666666668</v>
      </c>
      <c r="Y90" s="23">
        <f t="shared" si="28"/>
        <v>5.6875733333333338</v>
      </c>
      <c r="Z90" s="23">
        <f t="shared" si="29"/>
        <v>0.8474733333333333</v>
      </c>
      <c r="AA90" s="22">
        <f t="shared" si="30"/>
        <v>85.099562086232439</v>
      </c>
      <c r="AB90" s="22">
        <f t="shared" si="31"/>
        <v>14.900437913767561</v>
      </c>
      <c r="AC90" s="22">
        <f t="shared" si="32"/>
        <v>1.1733959033258459</v>
      </c>
      <c r="AD90" s="22">
        <f t="shared" si="33"/>
        <v>0.17484112805775964</v>
      </c>
      <c r="AE90" s="24">
        <v>4.8045</v>
      </c>
      <c r="AF90" s="24">
        <v>5.1306000000000003</v>
      </c>
      <c r="AG90" s="24">
        <v>4.8490000000000002</v>
      </c>
      <c r="AH90" s="25">
        <f>AG90-AE90</f>
        <v>4.4500000000000206E-2</v>
      </c>
      <c r="AI90" s="25">
        <v>86.353879178166153</v>
      </c>
      <c r="AJ90" s="26">
        <v>4.3176939589083076</v>
      </c>
      <c r="AK90" s="25">
        <v>43.176939589083076</v>
      </c>
      <c r="AL90" s="26">
        <v>4.3186318577523242</v>
      </c>
      <c r="AM90" s="17">
        <f t="shared" si="34"/>
        <v>0.5780346820809249</v>
      </c>
      <c r="AN90" s="28" t="s">
        <v>49</v>
      </c>
      <c r="AO90" s="30">
        <f>AO88/AO89</f>
        <v>0.1595238095238096</v>
      </c>
      <c r="AP90" s="17"/>
      <c r="AQ90" s="17"/>
      <c r="AR90" s="17"/>
      <c r="AS90" s="17"/>
      <c r="AT90" s="17"/>
      <c r="AU90" s="17"/>
      <c r="AV90" s="17"/>
      <c r="AW90" s="17"/>
      <c r="AX90" s="17"/>
      <c r="BB90" s="17"/>
    </row>
    <row r="91" spans="1:54" x14ac:dyDescent="0.2">
      <c r="A91" s="17" t="s">
        <v>41</v>
      </c>
      <c r="B91" s="18" t="s">
        <v>42</v>
      </c>
      <c r="C91" s="18" t="str">
        <f t="shared" si="26"/>
        <v>BI10.3</v>
      </c>
      <c r="D91" s="18" t="str">
        <f t="shared" si="27"/>
        <v>BI10.3_90</v>
      </c>
      <c r="E91" s="17">
        <v>3</v>
      </c>
      <c r="F91" s="19">
        <v>90</v>
      </c>
      <c r="G91" s="20">
        <v>2.75</v>
      </c>
      <c r="H91" s="20">
        <v>2.6</v>
      </c>
      <c r="I91" s="20">
        <v>1</v>
      </c>
      <c r="J91" s="20">
        <f t="shared" si="25"/>
        <v>5.6171656249999993</v>
      </c>
      <c r="K91" s="53">
        <v>0.1595238095238096</v>
      </c>
      <c r="L91" s="20">
        <f t="shared" si="37"/>
        <v>7.2071428571428129</v>
      </c>
      <c r="M91" s="20">
        <f t="shared" si="36"/>
        <v>8.2071428571428129</v>
      </c>
      <c r="N91" s="20">
        <f t="shared" si="36"/>
        <v>7.7071428571428129</v>
      </c>
      <c r="O91" s="20">
        <f>P90+$AO$90</f>
        <v>87.207142857142813</v>
      </c>
      <c r="P91" s="20">
        <f t="shared" si="23"/>
        <v>88.207142857142813</v>
      </c>
      <c r="Q91" s="20">
        <f t="shared" si="35"/>
        <v>87.707142857142813</v>
      </c>
      <c r="R91" s="20">
        <f>S90+$AO$90</f>
        <v>87.207142857142813</v>
      </c>
      <c r="S91" s="20">
        <f t="shared" si="20"/>
        <v>88.207142857142813</v>
      </c>
      <c r="T91" s="20">
        <f t="shared" si="21"/>
        <v>87.707142857142813</v>
      </c>
      <c r="U91" s="20">
        <v>87.707142857142813</v>
      </c>
      <c r="V91" s="22">
        <v>7.6548999999999996</v>
      </c>
      <c r="W91" s="22">
        <v>2.1202999999999999</v>
      </c>
      <c r="X91" s="23">
        <v>1.1476266666666668</v>
      </c>
      <c r="Y91" s="23">
        <f t="shared" si="28"/>
        <v>6.507273333333333</v>
      </c>
      <c r="Z91" s="23">
        <f t="shared" si="29"/>
        <v>0.97267333333333306</v>
      </c>
      <c r="AA91" s="22">
        <f t="shared" si="30"/>
        <v>85.05252071784291</v>
      </c>
      <c r="AB91" s="22">
        <f t="shared" si="31"/>
        <v>14.94747928215709</v>
      </c>
      <c r="AC91" s="22">
        <f t="shared" si="32"/>
        <v>1.1584620728240205</v>
      </c>
      <c r="AD91" s="22">
        <f t="shared" si="33"/>
        <v>0.17316087832701804</v>
      </c>
      <c r="AE91" s="24">
        <v>5.0590999999999999</v>
      </c>
      <c r="AF91" s="24">
        <v>5.4505999999999997</v>
      </c>
      <c r="AG91" s="24">
        <v>5.1276999999999999</v>
      </c>
      <c r="AH91" s="25">
        <f>AG91-AE91</f>
        <v>6.8599999999999994E-2</v>
      </c>
      <c r="AI91" s="25">
        <v>82.477650063856956</v>
      </c>
      <c r="AJ91" s="26">
        <v>4.1238825031928483</v>
      </c>
      <c r="AK91" s="25">
        <v>41.238825031928478</v>
      </c>
      <c r="AL91" s="26">
        <v>4.124864470517803</v>
      </c>
      <c r="AM91" s="17">
        <f t="shared" si="34"/>
        <v>0.5780346820809249</v>
      </c>
      <c r="AN91" s="17"/>
      <c r="AO91" s="27"/>
      <c r="AP91" s="17"/>
      <c r="AQ91" s="17"/>
      <c r="AR91" s="17"/>
      <c r="AS91" s="17"/>
      <c r="AT91" s="17"/>
      <c r="AU91" s="17"/>
      <c r="AV91" s="17"/>
      <c r="AW91" s="17"/>
      <c r="AX91" s="17"/>
      <c r="BB91" s="17"/>
    </row>
    <row r="92" spans="1:54" x14ac:dyDescent="0.2">
      <c r="A92" s="17" t="s">
        <v>41</v>
      </c>
      <c r="B92" s="18" t="s">
        <v>42</v>
      </c>
      <c r="C92" s="18" t="str">
        <f t="shared" si="26"/>
        <v>BI10.3</v>
      </c>
      <c r="D92" s="18" t="str">
        <f t="shared" si="27"/>
        <v>BI10.3_91</v>
      </c>
      <c r="E92" s="17">
        <v>3</v>
      </c>
      <c r="F92" s="19">
        <v>91</v>
      </c>
      <c r="G92" s="20">
        <v>2.65</v>
      </c>
      <c r="H92" s="20">
        <v>2.4</v>
      </c>
      <c r="I92" s="20">
        <v>0.95</v>
      </c>
      <c r="J92" s="20">
        <f t="shared" si="25"/>
        <v>4.7546223437499995</v>
      </c>
      <c r="K92" s="53">
        <v>0.1595238095238096</v>
      </c>
      <c r="L92" s="20">
        <f t="shared" si="37"/>
        <v>8.3666666666666174</v>
      </c>
      <c r="M92" s="20">
        <f t="shared" si="36"/>
        <v>9.3166666666666202</v>
      </c>
      <c r="N92" s="20">
        <f t="shared" si="36"/>
        <v>8.8416666666666117</v>
      </c>
      <c r="O92" s="20">
        <f>P91+$AO$90</f>
        <v>88.366666666666617</v>
      </c>
      <c r="P92" s="20">
        <f t="shared" si="23"/>
        <v>89.31666666666662</v>
      </c>
      <c r="Q92" s="20">
        <f t="shared" si="35"/>
        <v>88.841666666666612</v>
      </c>
      <c r="R92" s="20">
        <f>S91+$AO$90</f>
        <v>88.366666666666617</v>
      </c>
      <c r="S92" s="20">
        <f t="shared" si="20"/>
        <v>89.31666666666662</v>
      </c>
      <c r="T92" s="20">
        <f t="shared" si="21"/>
        <v>88.841666666666612</v>
      </c>
      <c r="U92" s="20">
        <v>88.841666666666612</v>
      </c>
      <c r="V92" s="22">
        <v>7.2839999999999998</v>
      </c>
      <c r="W92" s="22">
        <v>2.0539999999999998</v>
      </c>
      <c r="X92" s="23">
        <v>1.1476266666666668</v>
      </c>
      <c r="Y92" s="23">
        <f t="shared" si="28"/>
        <v>6.1363733333333332</v>
      </c>
      <c r="Z92" s="23">
        <f t="shared" si="29"/>
        <v>0.90637333333333303</v>
      </c>
      <c r="AA92" s="22">
        <f t="shared" si="30"/>
        <v>85.229494945983305</v>
      </c>
      <c r="AB92" s="22">
        <f t="shared" si="31"/>
        <v>14.770505054016695</v>
      </c>
      <c r="AC92" s="22">
        <f t="shared" si="32"/>
        <v>1.2906121432335547</v>
      </c>
      <c r="AD92" s="22">
        <f t="shared" si="33"/>
        <v>0.19062993184406543</v>
      </c>
      <c r="AE92" s="24">
        <v>4.9409999999999998</v>
      </c>
      <c r="AF92" s="24">
        <v>5.2053000000000003</v>
      </c>
      <c r="AG92" s="24">
        <v>4.9954000000000001</v>
      </c>
      <c r="AH92" s="25">
        <f>AG92-AE92</f>
        <v>5.4400000000000226E-2</v>
      </c>
      <c r="AI92" s="25">
        <v>79.417328793038166</v>
      </c>
      <c r="AJ92" s="26">
        <v>3.9708664396519087</v>
      </c>
      <c r="AK92" s="25">
        <v>39.708664396519083</v>
      </c>
      <c r="AL92" s="26">
        <v>3.9718862372371424</v>
      </c>
      <c r="AM92" s="17">
        <f t="shared" si="34"/>
        <v>0.5780346820809249</v>
      </c>
      <c r="AN92" s="17"/>
      <c r="AO92" s="27"/>
      <c r="AP92" s="17"/>
      <c r="AQ92" s="17"/>
      <c r="AR92" s="17"/>
      <c r="AS92" s="17"/>
      <c r="AT92" s="17"/>
      <c r="AU92" s="17"/>
      <c r="AV92" s="17"/>
      <c r="AW92" s="17"/>
      <c r="AX92" s="17"/>
      <c r="BB92" s="17"/>
    </row>
    <row r="93" spans="1:54" x14ac:dyDescent="0.2">
      <c r="A93" s="17" t="s">
        <v>41</v>
      </c>
      <c r="B93" s="18" t="s">
        <v>42</v>
      </c>
      <c r="C93" s="18" t="str">
        <f t="shared" si="26"/>
        <v>BI10.3</v>
      </c>
      <c r="D93" s="18" t="str">
        <f t="shared" si="27"/>
        <v>BI10.3_92</v>
      </c>
      <c r="E93" s="17">
        <v>3</v>
      </c>
      <c r="F93" s="19">
        <v>92</v>
      </c>
      <c r="G93" s="20">
        <v>2.4500000000000002</v>
      </c>
      <c r="H93" s="20">
        <v>2.75</v>
      </c>
      <c r="I93" s="20">
        <v>1</v>
      </c>
      <c r="J93" s="20">
        <f t="shared" si="25"/>
        <v>5.3066000000000013</v>
      </c>
      <c r="K93" s="53">
        <v>0.1595238095238096</v>
      </c>
      <c r="L93" s="20">
        <f t="shared" si="37"/>
        <v>9.4761904761904248</v>
      </c>
      <c r="M93" s="20">
        <f t="shared" si="36"/>
        <v>10.476190476190425</v>
      </c>
      <c r="N93" s="20">
        <f t="shared" si="36"/>
        <v>9.9761904761904248</v>
      </c>
      <c r="O93" s="20">
        <f>P92+$AO$90</f>
        <v>89.476190476190425</v>
      </c>
      <c r="P93" s="20">
        <f t="shared" si="23"/>
        <v>90.476190476190425</v>
      </c>
      <c r="Q93" s="20">
        <f t="shared" si="35"/>
        <v>89.976190476190425</v>
      </c>
      <c r="R93" s="20">
        <f>S92+$AO$90</f>
        <v>89.476190476190425</v>
      </c>
      <c r="S93" s="20">
        <f t="shared" si="20"/>
        <v>90.476190476190425</v>
      </c>
      <c r="T93" s="20">
        <f t="shared" si="21"/>
        <v>89.976190476190425</v>
      </c>
      <c r="U93" s="20">
        <v>89.976190476190425</v>
      </c>
      <c r="V93" s="22">
        <v>6.9668000000000001</v>
      </c>
      <c r="W93" s="22">
        <v>2.1791999999999998</v>
      </c>
      <c r="X93" s="23">
        <v>1.1476266666666668</v>
      </c>
      <c r="Y93" s="23">
        <f t="shared" si="28"/>
        <v>5.8191733333333335</v>
      </c>
      <c r="Z93" s="23">
        <f t="shared" si="29"/>
        <v>1.031573333333333</v>
      </c>
      <c r="AA93" s="22">
        <f t="shared" si="30"/>
        <v>82.272854334407171</v>
      </c>
      <c r="AB93" s="22">
        <f t="shared" si="31"/>
        <v>17.727145665592829</v>
      </c>
      <c r="AC93" s="22">
        <f t="shared" si="32"/>
        <v>1.0965916657244434</v>
      </c>
      <c r="AD93" s="22">
        <f t="shared" si="33"/>
        <v>0.19439440193972274</v>
      </c>
      <c r="AE93" s="24">
        <v>4.8300999999999998</v>
      </c>
      <c r="AF93" s="24">
        <v>5.2039999999999997</v>
      </c>
      <c r="AG93" s="24">
        <v>4.8872</v>
      </c>
      <c r="AH93" s="25">
        <f>AG93-AE93</f>
        <v>5.7100000000000151E-2</v>
      </c>
      <c r="AI93" s="25">
        <v>84.728537041989796</v>
      </c>
      <c r="AJ93" s="26">
        <v>4.2364268520994903</v>
      </c>
      <c r="AK93" s="25">
        <v>42.364268520994898</v>
      </c>
      <c r="AL93" s="26">
        <v>4.2373827385769154</v>
      </c>
      <c r="AM93" s="17">
        <f t="shared" si="34"/>
        <v>0.5780346820809249</v>
      </c>
      <c r="AN93" s="17"/>
      <c r="AO93" s="27"/>
      <c r="AP93" s="17"/>
      <c r="AQ93" s="17"/>
      <c r="AR93" s="17"/>
      <c r="AS93" s="17"/>
      <c r="AT93" s="17"/>
      <c r="AU93" s="17"/>
      <c r="AV93" s="17"/>
      <c r="AW93" s="17"/>
      <c r="AX93" s="17"/>
      <c r="BB93" s="17"/>
    </row>
    <row r="94" spans="1:54" x14ac:dyDescent="0.2">
      <c r="A94" s="17" t="s">
        <v>41</v>
      </c>
      <c r="B94" s="18" t="s">
        <v>42</v>
      </c>
      <c r="C94" s="18" t="str">
        <f t="shared" si="26"/>
        <v>BI10.3</v>
      </c>
      <c r="D94" s="18" t="str">
        <f t="shared" si="27"/>
        <v>BI10.3_93</v>
      </c>
      <c r="E94" s="17">
        <v>3</v>
      </c>
      <c r="F94" s="19">
        <v>93</v>
      </c>
      <c r="G94" s="20">
        <v>2.5</v>
      </c>
      <c r="H94" s="20">
        <v>2.85</v>
      </c>
      <c r="I94" s="20">
        <v>1</v>
      </c>
      <c r="J94" s="20">
        <f t="shared" si="25"/>
        <v>5.6171656249999993</v>
      </c>
      <c r="K94" s="53">
        <v>0.1595238095238096</v>
      </c>
      <c r="L94" s="20">
        <f t="shared" si="37"/>
        <v>10.635714285714229</v>
      </c>
      <c r="M94" s="20">
        <f t="shared" si="36"/>
        <v>11.635714285714229</v>
      </c>
      <c r="N94" s="20">
        <f t="shared" si="36"/>
        <v>11.135714285714229</v>
      </c>
      <c r="O94" s="20">
        <f>P93+$AO$90</f>
        <v>90.635714285714229</v>
      </c>
      <c r="P94" s="20">
        <f t="shared" si="23"/>
        <v>91.635714285714229</v>
      </c>
      <c r="Q94" s="20">
        <f t="shared" si="35"/>
        <v>91.135714285714229</v>
      </c>
      <c r="R94" s="20">
        <f>S93+$AO$90</f>
        <v>90.635714285714229</v>
      </c>
      <c r="S94" s="20">
        <f t="shared" si="20"/>
        <v>91.635714285714229</v>
      </c>
      <c r="T94" s="20">
        <f t="shared" si="21"/>
        <v>91.135714285714229</v>
      </c>
      <c r="U94" s="20">
        <v>91.135714285714229</v>
      </c>
      <c r="V94" s="22">
        <v>7.1531000000000002</v>
      </c>
      <c r="W94" s="22">
        <v>2.1225000000000001</v>
      </c>
      <c r="X94" s="23">
        <v>1.1476266666666668</v>
      </c>
      <c r="Y94" s="23">
        <f t="shared" si="28"/>
        <v>6.0054733333333337</v>
      </c>
      <c r="Z94" s="23">
        <f t="shared" si="29"/>
        <v>0.97487333333333326</v>
      </c>
      <c r="AA94" s="22">
        <f t="shared" si="30"/>
        <v>83.766919288071662</v>
      </c>
      <c r="AB94" s="22">
        <f t="shared" si="31"/>
        <v>16.233080711928338</v>
      </c>
      <c r="AC94" s="22">
        <f t="shared" si="32"/>
        <v>1.0691287624856769</v>
      </c>
      <c r="AD94" s="22">
        <f t="shared" si="33"/>
        <v>0.17355253492874056</v>
      </c>
      <c r="AE94" s="24">
        <v>4.7324999999999999</v>
      </c>
      <c r="AF94" s="24">
        <v>5.1436999999999999</v>
      </c>
      <c r="AG94" s="24">
        <v>4.8037999999999998</v>
      </c>
      <c r="AH94" s="25">
        <f>AG94-AE94</f>
        <v>7.1299999999999919E-2</v>
      </c>
      <c r="AI94" s="25">
        <v>82.660505836575894</v>
      </c>
      <c r="AJ94" s="26">
        <v>4.1330252918287949</v>
      </c>
      <c r="AK94" s="25">
        <v>41.330252918287947</v>
      </c>
      <c r="AL94" s="26">
        <v>4.1340050874299239</v>
      </c>
      <c r="AM94" s="17">
        <f t="shared" si="34"/>
        <v>0.5780346820809249</v>
      </c>
      <c r="AN94" s="17"/>
      <c r="AO94" s="27"/>
      <c r="AP94" s="17"/>
      <c r="AQ94" s="17"/>
      <c r="AR94" s="17"/>
      <c r="AS94" s="17"/>
      <c r="AT94" s="17"/>
      <c r="AU94" s="17"/>
      <c r="AV94" s="17"/>
      <c r="AW94" s="17"/>
      <c r="AX94" s="17"/>
      <c r="BB94" s="17"/>
    </row>
    <row r="95" spans="1:54" x14ac:dyDescent="0.2">
      <c r="A95" s="17" t="s">
        <v>41</v>
      </c>
      <c r="B95" s="18" t="s">
        <v>42</v>
      </c>
      <c r="C95" s="18" t="str">
        <f t="shared" si="26"/>
        <v>BI10.3</v>
      </c>
      <c r="D95" s="18" t="str">
        <f t="shared" si="27"/>
        <v>BI10.3_94</v>
      </c>
      <c r="E95" s="17">
        <v>3</v>
      </c>
      <c r="F95" s="19">
        <v>94</v>
      </c>
      <c r="G95" s="20">
        <v>2.6</v>
      </c>
      <c r="H95" s="20">
        <v>2.85</v>
      </c>
      <c r="I95" s="20">
        <v>1</v>
      </c>
      <c r="J95" s="20">
        <f t="shared" si="25"/>
        <v>5.829115625</v>
      </c>
      <c r="K95" s="53">
        <v>0.1595238095238096</v>
      </c>
      <c r="L95" s="20">
        <f t="shared" si="37"/>
        <v>11.795238095238034</v>
      </c>
      <c r="M95" s="20">
        <f t="shared" si="36"/>
        <v>12.795238095238034</v>
      </c>
      <c r="N95" s="20">
        <f t="shared" si="36"/>
        <v>12.295238095238034</v>
      </c>
      <c r="O95" s="20">
        <f>P94+$AO$90</f>
        <v>91.795238095238034</v>
      </c>
      <c r="P95" s="20">
        <f t="shared" si="23"/>
        <v>92.795238095238034</v>
      </c>
      <c r="Q95" s="20">
        <f t="shared" si="35"/>
        <v>92.295238095238034</v>
      </c>
      <c r="R95" s="20">
        <f>S94+$AO$90</f>
        <v>91.795238095238034</v>
      </c>
      <c r="S95" s="20">
        <f t="shared" si="20"/>
        <v>92.795238095238034</v>
      </c>
      <c r="T95" s="20">
        <f t="shared" si="21"/>
        <v>92.295238095238034</v>
      </c>
      <c r="U95" s="20">
        <v>92.295238095238034</v>
      </c>
      <c r="V95" s="22">
        <v>7.6083999999999996</v>
      </c>
      <c r="W95" s="22">
        <v>2.1762999999999999</v>
      </c>
      <c r="X95" s="23">
        <v>1.1476266666666668</v>
      </c>
      <c r="Y95" s="23">
        <f t="shared" si="28"/>
        <v>6.460773333333333</v>
      </c>
      <c r="Z95" s="23">
        <f t="shared" si="29"/>
        <v>1.0286733333333331</v>
      </c>
      <c r="AA95" s="22">
        <f t="shared" si="30"/>
        <v>84.078170208726306</v>
      </c>
      <c r="AB95" s="22">
        <f t="shared" si="31"/>
        <v>15.921829791273694</v>
      </c>
      <c r="AC95" s="22">
        <f t="shared" si="32"/>
        <v>1.1083625285496603</v>
      </c>
      <c r="AD95" s="22">
        <f t="shared" si="33"/>
        <v>0.1764715952659342</v>
      </c>
      <c r="AE95" s="24">
        <v>4.9447000000000001</v>
      </c>
      <c r="AF95" s="24">
        <v>5.7313999999999998</v>
      </c>
      <c r="AG95" s="24">
        <v>5.5446999999999997</v>
      </c>
      <c r="AH95" s="25">
        <f>AG95-AE95</f>
        <v>0.59999999999999964</v>
      </c>
      <c r="AI95" s="25">
        <v>23.732045252319836</v>
      </c>
      <c r="AJ95" s="26">
        <v>1.1866022626159918</v>
      </c>
      <c r="AK95" s="25">
        <v>11.866022626159918</v>
      </c>
      <c r="AL95" s="26">
        <v>1.190010474594821</v>
      </c>
      <c r="AM95" s="17">
        <f t="shared" si="34"/>
        <v>0.5780346820809249</v>
      </c>
      <c r="AN95" s="17"/>
      <c r="AO95" s="27"/>
      <c r="AP95" s="17"/>
      <c r="AQ95" s="17"/>
      <c r="AR95" s="17"/>
      <c r="AS95" s="17"/>
      <c r="AT95" s="17"/>
      <c r="AU95" s="17"/>
      <c r="AV95" s="17"/>
      <c r="AW95" s="17"/>
      <c r="AX95" s="17"/>
      <c r="BB95" s="17"/>
    </row>
    <row r="96" spans="1:54" x14ac:dyDescent="0.2">
      <c r="A96" s="17" t="s">
        <v>41</v>
      </c>
      <c r="B96" s="18" t="s">
        <v>42</v>
      </c>
      <c r="C96" s="18" t="str">
        <f t="shared" si="26"/>
        <v>BI10.3</v>
      </c>
      <c r="D96" s="18" t="str">
        <f t="shared" si="27"/>
        <v>BI10.3_95</v>
      </c>
      <c r="E96" s="17">
        <v>3</v>
      </c>
      <c r="F96" s="19">
        <v>95</v>
      </c>
      <c r="G96" s="20">
        <v>2.4500000000000002</v>
      </c>
      <c r="H96" s="20">
        <v>2.8</v>
      </c>
      <c r="I96" s="20">
        <v>1</v>
      </c>
      <c r="J96" s="20">
        <f t="shared" si="25"/>
        <v>5.409140625</v>
      </c>
      <c r="K96" s="53">
        <v>0.1595238095238096</v>
      </c>
      <c r="L96" s="20">
        <f t="shared" si="37"/>
        <v>12.954761904761838</v>
      </c>
      <c r="M96" s="20">
        <f t="shared" si="36"/>
        <v>13.954761904761838</v>
      </c>
      <c r="N96" s="20">
        <f t="shared" si="36"/>
        <v>13.454761904761838</v>
      </c>
      <c r="O96" s="20">
        <f>P95+$AO$90</f>
        <v>92.954761904761838</v>
      </c>
      <c r="P96" s="20">
        <f t="shared" si="23"/>
        <v>93.954761904761838</v>
      </c>
      <c r="Q96" s="20">
        <f t="shared" si="35"/>
        <v>93.454761904761838</v>
      </c>
      <c r="R96" s="20">
        <f>S95+$AO$90</f>
        <v>92.954761904761838</v>
      </c>
      <c r="S96" s="20">
        <f t="shared" si="20"/>
        <v>93.954761904761838</v>
      </c>
      <c r="T96" s="20">
        <f t="shared" si="21"/>
        <v>93.454761904761838</v>
      </c>
      <c r="U96" s="20">
        <v>93.454761904761838</v>
      </c>
      <c r="V96" s="22">
        <v>7.0746000000000002</v>
      </c>
      <c r="W96" s="22">
        <v>2.0659000000000001</v>
      </c>
      <c r="X96" s="23">
        <v>1.1476266666666668</v>
      </c>
      <c r="Y96" s="23">
        <f t="shared" si="28"/>
        <v>5.9269733333333336</v>
      </c>
      <c r="Z96" s="23">
        <f t="shared" si="29"/>
        <v>0.91827333333333327</v>
      </c>
      <c r="AA96" s="22">
        <f t="shared" si="30"/>
        <v>84.506875909682961</v>
      </c>
      <c r="AB96" s="22">
        <f t="shared" si="31"/>
        <v>15.493124090317039</v>
      </c>
      <c r="AC96" s="22">
        <f t="shared" si="32"/>
        <v>1.0957328981132439</v>
      </c>
      <c r="AD96" s="22">
        <f t="shared" si="33"/>
        <v>0.16976325760311201</v>
      </c>
      <c r="AE96" s="24">
        <v>4.4537000000000004</v>
      </c>
      <c r="AF96" s="24">
        <v>4.8090000000000002</v>
      </c>
      <c r="AG96" s="24">
        <v>4.5541</v>
      </c>
      <c r="AH96" s="25">
        <f>AG96-AE96</f>
        <v>0.1003999999999996</v>
      </c>
      <c r="AI96" s="25">
        <v>71.742189698846133</v>
      </c>
      <c r="AJ96" s="26">
        <v>3.5871094849423066</v>
      </c>
      <c r="AK96" s="25">
        <v>35.871094849423066</v>
      </c>
      <c r="AL96" s="26">
        <v>3.5882383500769652</v>
      </c>
      <c r="AM96" s="17">
        <f t="shared" si="34"/>
        <v>0.5780346820809249</v>
      </c>
      <c r="AN96" s="17"/>
      <c r="AO96" s="27"/>
      <c r="AP96" s="17"/>
      <c r="AQ96" s="17"/>
      <c r="AR96" s="17"/>
      <c r="AS96" s="17"/>
      <c r="AT96" s="17"/>
      <c r="AU96" s="17"/>
      <c r="AV96" s="17"/>
      <c r="AW96" s="17"/>
      <c r="AX96" s="17"/>
      <c r="BB96" s="17"/>
    </row>
    <row r="97" spans="1:54" x14ac:dyDescent="0.2">
      <c r="A97" s="17" t="s">
        <v>41</v>
      </c>
      <c r="B97" s="18" t="s">
        <v>42</v>
      </c>
      <c r="C97" s="18" t="str">
        <f t="shared" si="26"/>
        <v>BI10.3</v>
      </c>
      <c r="D97" s="18" t="str">
        <f t="shared" si="27"/>
        <v>BI10.3_96</v>
      </c>
      <c r="E97" s="17">
        <v>3</v>
      </c>
      <c r="F97" s="19">
        <v>96</v>
      </c>
      <c r="G97" s="20">
        <v>2.5499999999999998</v>
      </c>
      <c r="H97" s="20">
        <v>2.75</v>
      </c>
      <c r="I97" s="20">
        <v>0.85</v>
      </c>
      <c r="J97" s="20">
        <f t="shared" si="25"/>
        <v>4.6857631249999994</v>
      </c>
      <c r="K97" s="53">
        <v>0.1595238095238096</v>
      </c>
      <c r="L97" s="20">
        <f t="shared" si="37"/>
        <v>14.114285714285643</v>
      </c>
      <c r="M97" s="20">
        <f t="shared" si="36"/>
        <v>14.964285714285637</v>
      </c>
      <c r="N97" s="20">
        <f t="shared" si="36"/>
        <v>14.53928571428564</v>
      </c>
      <c r="O97" s="20">
        <f>P96+$AO$90</f>
        <v>94.114285714285643</v>
      </c>
      <c r="P97" s="20">
        <f t="shared" si="23"/>
        <v>94.964285714285637</v>
      </c>
      <c r="Q97" s="20">
        <f t="shared" si="35"/>
        <v>94.53928571428564</v>
      </c>
      <c r="R97" s="20">
        <f>S96+$AO$90</f>
        <v>94.114285714285643</v>
      </c>
      <c r="S97" s="20">
        <f t="shared" si="20"/>
        <v>94.964285714285637</v>
      </c>
      <c r="T97" s="20">
        <f t="shared" si="21"/>
        <v>94.53928571428564</v>
      </c>
      <c r="U97" s="20">
        <v>94.53928571428564</v>
      </c>
      <c r="V97" s="22">
        <v>6.1262999999999996</v>
      </c>
      <c r="W97" s="22">
        <v>2.2641</v>
      </c>
      <c r="X97" s="23">
        <v>1.1476266666666668</v>
      </c>
      <c r="Y97" s="23">
        <f t="shared" si="28"/>
        <v>4.9786733333333331</v>
      </c>
      <c r="Z97" s="23">
        <f t="shared" si="29"/>
        <v>1.1164733333333332</v>
      </c>
      <c r="AA97" s="22">
        <f t="shared" si="30"/>
        <v>77.574882733151128</v>
      </c>
      <c r="AB97" s="22">
        <f t="shared" si="31"/>
        <v>22.425117266848872</v>
      </c>
      <c r="AC97" s="22">
        <f t="shared" si="32"/>
        <v>1.0625106733992948</v>
      </c>
      <c r="AD97" s="22">
        <f t="shared" si="33"/>
        <v>0.2382692644825774</v>
      </c>
      <c r="AE97" s="24">
        <v>4.8274999999999997</v>
      </c>
      <c r="AF97" s="24">
        <v>5.3303000000000003</v>
      </c>
      <c r="AG97" s="24">
        <v>5.1120999999999999</v>
      </c>
      <c r="AH97" s="25">
        <f>AG97-AE97</f>
        <v>0.28460000000000019</v>
      </c>
      <c r="AI97" s="25">
        <v>43.396976929196526</v>
      </c>
      <c r="AJ97" s="26">
        <v>2.1698488464598262</v>
      </c>
      <c r="AK97" s="25">
        <v>21.698488464598263</v>
      </c>
      <c r="AL97" s="26">
        <v>2.1717145338379624</v>
      </c>
      <c r="AM97" s="17">
        <f t="shared" si="34"/>
        <v>0.5780346820809249</v>
      </c>
      <c r="AN97" s="17"/>
      <c r="AO97" s="27"/>
      <c r="AP97" s="17"/>
      <c r="AQ97" s="17"/>
      <c r="AR97" s="17"/>
      <c r="AS97" s="17"/>
      <c r="AT97" s="17"/>
      <c r="AU97" s="17"/>
      <c r="AV97" s="17"/>
      <c r="AW97" s="17"/>
      <c r="AX97" s="17"/>
      <c r="BB97" s="17"/>
    </row>
    <row r="98" spans="1:54" x14ac:dyDescent="0.2">
      <c r="A98" s="17" t="s">
        <v>41</v>
      </c>
      <c r="B98" s="18" t="s">
        <v>42</v>
      </c>
      <c r="C98" s="18" t="str">
        <f t="shared" si="26"/>
        <v>BI10.3</v>
      </c>
      <c r="D98" s="18" t="str">
        <f t="shared" si="27"/>
        <v>BI10.3_97</v>
      </c>
      <c r="E98" s="17">
        <v>3</v>
      </c>
      <c r="F98" s="19">
        <v>97</v>
      </c>
      <c r="G98" s="20">
        <v>2.7</v>
      </c>
      <c r="H98" s="20">
        <v>2.85</v>
      </c>
      <c r="I98" s="20">
        <v>1</v>
      </c>
      <c r="J98" s="20">
        <f t="shared" si="25"/>
        <v>6.0449906250000023</v>
      </c>
      <c r="K98" s="53">
        <v>0.1595238095238096</v>
      </c>
      <c r="L98" s="20">
        <f t="shared" si="37"/>
        <v>15.123809523809442</v>
      </c>
      <c r="M98" s="20">
        <f t="shared" si="36"/>
        <v>16.123809523809442</v>
      </c>
      <c r="N98" s="20">
        <f t="shared" si="36"/>
        <v>15.623809523809442</v>
      </c>
      <c r="O98" s="20">
        <f>P97+$AO$90</f>
        <v>95.123809523809442</v>
      </c>
      <c r="P98" s="20">
        <f t="shared" si="23"/>
        <v>96.123809523809442</v>
      </c>
      <c r="Q98" s="20">
        <f t="shared" si="35"/>
        <v>95.623809523809442</v>
      </c>
      <c r="R98" s="20">
        <f>S97+$AO$90</f>
        <v>95.123809523809442</v>
      </c>
      <c r="S98" s="20">
        <f t="shared" si="20"/>
        <v>96.123809523809442</v>
      </c>
      <c r="T98" s="20">
        <f t="shared" si="21"/>
        <v>95.623809523809442</v>
      </c>
      <c r="U98" s="20">
        <v>95.623809523809442</v>
      </c>
      <c r="V98" s="22">
        <v>8.0181000000000004</v>
      </c>
      <c r="W98" s="22">
        <v>3.1459000000000001</v>
      </c>
      <c r="X98" s="23">
        <v>1.1476266666666668</v>
      </c>
      <c r="Y98" s="23">
        <f t="shared" si="28"/>
        <v>6.8704733333333339</v>
      </c>
      <c r="Z98" s="23">
        <f t="shared" si="29"/>
        <v>1.9982733333333333</v>
      </c>
      <c r="AA98" s="22">
        <f t="shared" si="30"/>
        <v>70.915055828273836</v>
      </c>
      <c r="AB98" s="22">
        <f t="shared" si="31"/>
        <v>29.084944171726164</v>
      </c>
      <c r="AC98" s="22">
        <f t="shared" si="32"/>
        <v>1.1365564910753407</v>
      </c>
      <c r="AD98" s="22">
        <f t="shared" si="33"/>
        <v>0.33056682090939266</v>
      </c>
      <c r="AE98" s="24">
        <v>4.7138</v>
      </c>
      <c r="AF98" s="24">
        <v>5.3749000000000002</v>
      </c>
      <c r="AG98" s="24">
        <v>5.0919999999999996</v>
      </c>
      <c r="AH98" s="25">
        <f>AG98-AE98</f>
        <v>0.37819999999999965</v>
      </c>
      <c r="AI98" s="25">
        <v>42.792315837241034</v>
      </c>
      <c r="AJ98" s="26">
        <v>2.139615791862052</v>
      </c>
      <c r="AK98" s="25">
        <v>21.396157918620517</v>
      </c>
      <c r="AL98" s="26">
        <v>2.1415078185207439</v>
      </c>
      <c r="AM98" s="17">
        <f t="shared" si="34"/>
        <v>0.5780346820809249</v>
      </c>
      <c r="AN98" s="17"/>
      <c r="AO98" s="27"/>
      <c r="AP98" s="17"/>
      <c r="AQ98" s="17"/>
      <c r="AR98" s="17"/>
      <c r="AS98" s="17"/>
      <c r="AT98" s="17"/>
      <c r="AU98" s="17"/>
      <c r="AV98" s="17"/>
      <c r="AW98" s="17"/>
      <c r="AX98" s="17"/>
      <c r="BB98" s="17"/>
    </row>
    <row r="99" spans="1:54" x14ac:dyDescent="0.2">
      <c r="A99" s="17" t="s">
        <v>41</v>
      </c>
      <c r="B99" s="18" t="s">
        <v>42</v>
      </c>
      <c r="C99" s="18" t="str">
        <f t="shared" si="26"/>
        <v>BI10.3</v>
      </c>
      <c r="D99" s="18" t="str">
        <f t="shared" si="27"/>
        <v>BI10.3_98</v>
      </c>
      <c r="E99" s="17">
        <v>3</v>
      </c>
      <c r="F99" s="19">
        <v>98</v>
      </c>
      <c r="G99" s="20">
        <v>2.65</v>
      </c>
      <c r="H99" s="20">
        <v>2.7</v>
      </c>
      <c r="I99" s="20">
        <v>1</v>
      </c>
      <c r="J99" s="20">
        <f t="shared" si="25"/>
        <v>5.6171656249999993</v>
      </c>
      <c r="K99" s="53">
        <v>0.1595238095238096</v>
      </c>
      <c r="L99" s="20">
        <f t="shared" si="37"/>
        <v>16.283333333333246</v>
      </c>
      <c r="M99" s="20">
        <f t="shared" si="36"/>
        <v>17.283333333333246</v>
      </c>
      <c r="N99" s="20">
        <f t="shared" si="36"/>
        <v>16.783333333333246</v>
      </c>
      <c r="O99" s="20">
        <f>P98+$AO$90</f>
        <v>96.283333333333246</v>
      </c>
      <c r="P99" s="20">
        <f t="shared" si="23"/>
        <v>97.283333333333246</v>
      </c>
      <c r="Q99" s="20">
        <f t="shared" si="35"/>
        <v>96.783333333333246</v>
      </c>
      <c r="R99" s="20">
        <f>S98+$AO$90</f>
        <v>96.283333333333246</v>
      </c>
      <c r="S99" s="20">
        <f t="shared" si="20"/>
        <v>97.283333333333246</v>
      </c>
      <c r="T99" s="20">
        <f t="shared" si="21"/>
        <v>96.783333333333246</v>
      </c>
      <c r="U99" s="20">
        <v>96.783333333333246</v>
      </c>
      <c r="V99" s="22">
        <v>8.2383000000000006</v>
      </c>
      <c r="W99" s="22">
        <v>3.0863</v>
      </c>
      <c r="X99" s="23">
        <v>1.1476266666666668</v>
      </c>
      <c r="Y99" s="23">
        <f t="shared" si="28"/>
        <v>7.090673333333334</v>
      </c>
      <c r="Z99" s="23">
        <f t="shared" si="29"/>
        <v>1.9386733333333332</v>
      </c>
      <c r="AA99" s="22">
        <f t="shared" si="30"/>
        <v>72.658826007121107</v>
      </c>
      <c r="AB99" s="22">
        <f t="shared" si="31"/>
        <v>27.341173992878893</v>
      </c>
      <c r="AC99" s="22">
        <f t="shared" si="32"/>
        <v>1.262322282571708</v>
      </c>
      <c r="AD99" s="22">
        <f t="shared" si="33"/>
        <v>0.34513373162881117</v>
      </c>
      <c r="AE99" s="24">
        <v>4.8754</v>
      </c>
      <c r="AF99" s="24">
        <v>5.2271000000000001</v>
      </c>
      <c r="AG99" s="24">
        <v>4.9505999999999997</v>
      </c>
      <c r="AH99" s="25">
        <f>AG99-AE99</f>
        <v>7.5199999999999712E-2</v>
      </c>
      <c r="AI99" s="25">
        <v>78.618140460619941</v>
      </c>
      <c r="AJ99" s="26">
        <v>3.930907023030997</v>
      </c>
      <c r="AK99" s="25">
        <v>39.30907023030997</v>
      </c>
      <c r="AL99" s="26">
        <v>3.9319371846094411</v>
      </c>
      <c r="AM99" s="17">
        <f t="shared" si="34"/>
        <v>0.5780346820809249</v>
      </c>
      <c r="AN99" s="17"/>
      <c r="AO99" s="27"/>
      <c r="AP99" s="17"/>
      <c r="AQ99" s="17"/>
      <c r="AR99" s="17"/>
      <c r="AS99" s="17"/>
      <c r="AT99" s="17"/>
      <c r="AU99" s="17"/>
      <c r="AV99" s="17"/>
      <c r="AW99" s="17"/>
      <c r="AX99" s="17"/>
      <c r="BB99" s="17"/>
    </row>
    <row r="100" spans="1:54" x14ac:dyDescent="0.2">
      <c r="A100" s="17" t="s">
        <v>41</v>
      </c>
      <c r="B100" s="18" t="s">
        <v>42</v>
      </c>
      <c r="C100" s="18" t="str">
        <f t="shared" si="26"/>
        <v>BI10.3</v>
      </c>
      <c r="D100" s="18" t="str">
        <f t="shared" si="27"/>
        <v>BI10.3_99</v>
      </c>
      <c r="E100" s="17">
        <v>3</v>
      </c>
      <c r="F100" s="19">
        <v>99</v>
      </c>
      <c r="G100" s="20">
        <v>2.5499999999999998</v>
      </c>
      <c r="H100" s="20">
        <v>2.85</v>
      </c>
      <c r="I100" s="20">
        <v>1</v>
      </c>
      <c r="J100" s="20">
        <f t="shared" si="25"/>
        <v>5.7226500000000016</v>
      </c>
      <c r="K100" s="53">
        <v>0.1595238095238096</v>
      </c>
      <c r="L100" s="20">
        <f t="shared" si="37"/>
        <v>17.442857142857051</v>
      </c>
      <c r="M100" s="20">
        <f t="shared" si="36"/>
        <v>18.442857142857051</v>
      </c>
      <c r="N100" s="20">
        <f t="shared" si="36"/>
        <v>17.942857142857051</v>
      </c>
      <c r="O100" s="20">
        <f>P99+$AO$90</f>
        <v>97.442857142857051</v>
      </c>
      <c r="P100" s="20">
        <f t="shared" si="23"/>
        <v>98.442857142857051</v>
      </c>
      <c r="Q100" s="20">
        <f t="shared" si="35"/>
        <v>97.942857142857051</v>
      </c>
      <c r="R100" s="20">
        <f>S99+$AO$90</f>
        <v>97.442857142857051</v>
      </c>
      <c r="S100" s="20">
        <f t="shared" si="20"/>
        <v>98.442857142857051</v>
      </c>
      <c r="T100" s="20">
        <f t="shared" si="21"/>
        <v>97.942857142857051</v>
      </c>
      <c r="U100" s="20">
        <v>97.942857142857051</v>
      </c>
      <c r="V100" s="22">
        <v>7.8895</v>
      </c>
      <c r="W100" s="22">
        <v>2.5891000000000002</v>
      </c>
      <c r="X100" s="23">
        <v>1.1476266666666668</v>
      </c>
      <c r="Y100" s="23">
        <f t="shared" si="28"/>
        <v>6.7418733333333334</v>
      </c>
      <c r="Z100" s="23">
        <f t="shared" si="29"/>
        <v>1.4414733333333334</v>
      </c>
      <c r="AA100" s="22">
        <f t="shared" si="30"/>
        <v>78.619097955958821</v>
      </c>
      <c r="AB100" s="22">
        <f t="shared" si="31"/>
        <v>21.380902044041179</v>
      </c>
      <c r="AC100" s="22">
        <f t="shared" si="32"/>
        <v>1.178103384504265</v>
      </c>
      <c r="AD100" s="22">
        <f t="shared" si="33"/>
        <v>0.25188913061839058</v>
      </c>
      <c r="AE100" s="24">
        <v>4.5620000000000003</v>
      </c>
      <c r="AF100" s="24">
        <v>5.2511999999999999</v>
      </c>
      <c r="AG100" s="24">
        <v>4.8856000000000002</v>
      </c>
      <c r="AH100" s="25">
        <f>AG100-AE100</f>
        <v>0.32359999999999989</v>
      </c>
      <c r="AI100" s="25">
        <v>53.047011027277989</v>
      </c>
      <c r="AJ100" s="26">
        <v>2.6523505513638996</v>
      </c>
      <c r="AK100" s="25">
        <v>26.523505513638995</v>
      </c>
      <c r="AL100" s="26">
        <v>2.6538770595715966</v>
      </c>
      <c r="AM100" s="17">
        <f t="shared" si="34"/>
        <v>0.5780346820809249</v>
      </c>
      <c r="AN100" s="17"/>
      <c r="AO100" s="27"/>
      <c r="AP100" s="17"/>
      <c r="AQ100" s="17"/>
      <c r="AR100" s="17"/>
      <c r="AS100" s="17"/>
      <c r="AT100" s="17"/>
      <c r="AU100" s="17"/>
      <c r="AV100" s="17"/>
      <c r="AW100" s="17"/>
      <c r="AX100" s="17"/>
      <c r="BB100" s="17"/>
    </row>
    <row r="101" spans="1:54" x14ac:dyDescent="0.2">
      <c r="A101" s="17" t="s">
        <v>41</v>
      </c>
      <c r="B101" s="18" t="s">
        <v>42</v>
      </c>
      <c r="C101" s="18" t="str">
        <f t="shared" si="26"/>
        <v>BI10.3</v>
      </c>
      <c r="D101" s="18" t="str">
        <f t="shared" si="27"/>
        <v>BI10.3_100</v>
      </c>
      <c r="E101" s="17">
        <v>3</v>
      </c>
      <c r="F101" s="19">
        <v>100</v>
      </c>
      <c r="G101" s="20">
        <v>2.2000000000000002</v>
      </c>
      <c r="H101" s="20">
        <v>2.75</v>
      </c>
      <c r="I101" s="20">
        <v>1</v>
      </c>
      <c r="J101" s="20">
        <f t="shared" si="25"/>
        <v>4.8086156250000007</v>
      </c>
      <c r="K101" s="53">
        <v>0.1595238095238096</v>
      </c>
      <c r="L101" s="20">
        <f t="shared" si="37"/>
        <v>18.602380952380855</v>
      </c>
      <c r="M101" s="20">
        <f t="shared" si="37"/>
        <v>19.602380952380855</v>
      </c>
      <c r="N101" s="20">
        <f t="shared" si="37"/>
        <v>19.102380952380855</v>
      </c>
      <c r="O101" s="20">
        <f>P100+$AO$90</f>
        <v>98.602380952380855</v>
      </c>
      <c r="P101" s="20">
        <f t="shared" si="23"/>
        <v>99.602380952380855</v>
      </c>
      <c r="Q101" s="20">
        <f t="shared" si="35"/>
        <v>99.102380952380855</v>
      </c>
      <c r="R101" s="20">
        <f>S100+$AO$90</f>
        <v>98.602380952380855</v>
      </c>
      <c r="S101" s="20">
        <f t="shared" si="20"/>
        <v>99.602380952380855</v>
      </c>
      <c r="T101" s="20">
        <f t="shared" si="21"/>
        <v>99.102380952380855</v>
      </c>
      <c r="U101" s="20">
        <v>99.102380952380855</v>
      </c>
      <c r="V101" s="22">
        <v>6.8032000000000004</v>
      </c>
      <c r="W101" s="22">
        <v>2.1307999999999998</v>
      </c>
      <c r="X101" s="23">
        <v>1.1476266666666668</v>
      </c>
      <c r="Y101" s="23">
        <f t="shared" si="28"/>
        <v>5.6555733333333338</v>
      </c>
      <c r="Z101" s="23">
        <f t="shared" si="29"/>
        <v>0.98317333333333301</v>
      </c>
      <c r="AA101" s="22">
        <f t="shared" si="30"/>
        <v>82.615850323456755</v>
      </c>
      <c r="AB101" s="22">
        <f t="shared" si="31"/>
        <v>17.384149676543245</v>
      </c>
      <c r="AC101" s="22">
        <f t="shared" si="32"/>
        <v>1.176133376918296</v>
      </c>
      <c r="AD101" s="22">
        <f t="shared" si="33"/>
        <v>0.20446078663925918</v>
      </c>
      <c r="AE101" s="24">
        <v>4.9203999999999999</v>
      </c>
      <c r="AF101" s="24">
        <v>5.4112</v>
      </c>
      <c r="AG101" s="24">
        <v>4.9927999999999999</v>
      </c>
      <c r="AH101" s="25">
        <f>AG101-AE101</f>
        <v>7.240000000000002E-2</v>
      </c>
      <c r="AI101" s="25">
        <v>85.248573757131226</v>
      </c>
      <c r="AJ101" s="26">
        <v>4.2624286878565618</v>
      </c>
      <c r="AK101" s="25">
        <v>42.624286878565613</v>
      </c>
      <c r="AL101" s="26">
        <v>4.2633787445009634</v>
      </c>
      <c r="AM101" s="17">
        <f t="shared" si="34"/>
        <v>0.5780346820809249</v>
      </c>
      <c r="AN101" s="17"/>
      <c r="AO101" s="27"/>
      <c r="AP101" s="17"/>
      <c r="AQ101" s="17"/>
      <c r="AR101" s="17"/>
      <c r="AS101" s="17"/>
      <c r="AT101" s="17"/>
      <c r="AU101" s="17"/>
      <c r="AV101" s="17"/>
      <c r="AW101" s="17"/>
      <c r="AX101" s="17"/>
      <c r="BB101" s="17"/>
    </row>
    <row r="102" spans="1:54" x14ac:dyDescent="0.2">
      <c r="A102" s="17" t="s">
        <v>41</v>
      </c>
      <c r="B102" s="18" t="s">
        <v>42</v>
      </c>
      <c r="C102" s="18" t="str">
        <f t="shared" si="26"/>
        <v>BI10.3</v>
      </c>
      <c r="D102" s="18" t="str">
        <f t="shared" si="27"/>
        <v>BI10.3_101</v>
      </c>
      <c r="E102" s="17">
        <v>3</v>
      </c>
      <c r="F102" s="19">
        <v>101</v>
      </c>
      <c r="G102" s="20">
        <v>2.5499999999999998</v>
      </c>
      <c r="H102" s="20">
        <v>2.85</v>
      </c>
      <c r="I102" s="20">
        <v>1.05</v>
      </c>
      <c r="J102" s="20">
        <f t="shared" si="25"/>
        <v>6.0087825000000015</v>
      </c>
      <c r="K102" s="53">
        <v>0.1595238095238096</v>
      </c>
      <c r="L102" s="20">
        <f t="shared" si="37"/>
        <v>19.76190476190466</v>
      </c>
      <c r="M102" s="20">
        <f t="shared" si="37"/>
        <v>20.811904761904657</v>
      </c>
      <c r="N102" s="20">
        <f t="shared" si="37"/>
        <v>20.286904761904651</v>
      </c>
      <c r="O102" s="20">
        <f>P101+$AO$90</f>
        <v>99.76190476190466</v>
      </c>
      <c r="P102" s="20">
        <f t="shared" si="23"/>
        <v>100.81190476190466</v>
      </c>
      <c r="Q102" s="20">
        <f t="shared" si="35"/>
        <v>100.28690476190465</v>
      </c>
      <c r="R102" s="20">
        <f>S101+$AO$90</f>
        <v>99.76190476190466</v>
      </c>
      <c r="S102" s="20">
        <f t="shared" si="20"/>
        <v>100.81190476190466</v>
      </c>
      <c r="T102" s="20">
        <f t="shared" si="21"/>
        <v>100.28690476190465</v>
      </c>
      <c r="U102" s="20">
        <v>100.28690476190465</v>
      </c>
      <c r="V102" s="22">
        <v>7.6962999999999999</v>
      </c>
      <c r="W102" s="22">
        <v>2.3028</v>
      </c>
      <c r="X102" s="23">
        <v>1.1476266666666668</v>
      </c>
      <c r="Y102" s="23">
        <f t="shared" si="28"/>
        <v>6.5486733333333333</v>
      </c>
      <c r="Z102" s="23">
        <f t="shared" si="29"/>
        <v>1.1551733333333332</v>
      </c>
      <c r="AA102" s="22">
        <f t="shared" si="30"/>
        <v>82.360193056914326</v>
      </c>
      <c r="AB102" s="22">
        <f t="shared" si="31"/>
        <v>17.639806943085674</v>
      </c>
      <c r="AC102" s="22">
        <f t="shared" si="32"/>
        <v>1.0898502871976696</v>
      </c>
      <c r="AD102" s="22">
        <f t="shared" si="33"/>
        <v>0.19224748663033367</v>
      </c>
      <c r="AE102" s="24">
        <v>4.9017999999999997</v>
      </c>
      <c r="AF102" s="24">
        <v>5.2584</v>
      </c>
      <c r="AG102" s="24">
        <v>4.9535999999999998</v>
      </c>
      <c r="AH102" s="25">
        <f>AG102-AE102</f>
        <v>5.1800000000000068E-2</v>
      </c>
      <c r="AI102" s="25">
        <v>85.473920358945591</v>
      </c>
      <c r="AJ102" s="26">
        <v>4.2736960179472794</v>
      </c>
      <c r="AK102" s="25">
        <v>42.736960179472796</v>
      </c>
      <c r="AL102" s="26">
        <v>4.2746435703831995</v>
      </c>
      <c r="AM102" s="17">
        <f t="shared" si="34"/>
        <v>0.5780346820809249</v>
      </c>
      <c r="AN102" s="17"/>
      <c r="AO102" s="27"/>
      <c r="AP102" s="17"/>
      <c r="AQ102" s="17"/>
      <c r="AR102" s="17"/>
      <c r="AS102" s="17"/>
      <c r="AT102" s="17"/>
      <c r="AU102" s="17"/>
      <c r="AV102" s="17"/>
      <c r="AW102" s="17"/>
      <c r="AX102" s="17"/>
      <c r="BB102" s="17"/>
    </row>
    <row r="103" spans="1:54" x14ac:dyDescent="0.2">
      <c r="A103" s="17" t="s">
        <v>41</v>
      </c>
      <c r="B103" s="18" t="s">
        <v>42</v>
      </c>
      <c r="C103" s="18" t="str">
        <f t="shared" si="26"/>
        <v>BI10.3</v>
      </c>
      <c r="D103" s="18" t="str">
        <f t="shared" si="27"/>
        <v>BI10.3_102</v>
      </c>
      <c r="E103" s="17">
        <v>3</v>
      </c>
      <c r="F103" s="19">
        <v>102</v>
      </c>
      <c r="G103" s="20">
        <v>2.5</v>
      </c>
      <c r="H103" s="20">
        <v>2.9</v>
      </c>
      <c r="I103" s="20">
        <v>0.95</v>
      </c>
      <c r="J103" s="20">
        <f t="shared" si="25"/>
        <v>5.4365175000000017</v>
      </c>
      <c r="K103" s="53">
        <v>0.1595238095238096</v>
      </c>
      <c r="L103" s="20">
        <f t="shared" si="37"/>
        <v>20.971428571428461</v>
      </c>
      <c r="M103" s="20">
        <f t="shared" si="37"/>
        <v>21.921428571428464</v>
      </c>
      <c r="N103" s="20">
        <f t="shared" si="37"/>
        <v>21.44642857142847</v>
      </c>
      <c r="O103" s="20">
        <f>P102+$AO$90</f>
        <v>100.97142857142846</v>
      </c>
      <c r="P103" s="20">
        <f t="shared" si="23"/>
        <v>101.92142857142846</v>
      </c>
      <c r="Q103" s="20">
        <f t="shared" si="35"/>
        <v>101.44642857142847</v>
      </c>
      <c r="R103" s="20">
        <f>S102+$AO$90</f>
        <v>100.97142857142846</v>
      </c>
      <c r="S103" s="20">
        <f t="shared" si="20"/>
        <v>101.92142857142846</v>
      </c>
      <c r="T103" s="20">
        <f t="shared" si="21"/>
        <v>101.44642857142847</v>
      </c>
      <c r="U103" s="20">
        <v>101.44642857142847</v>
      </c>
      <c r="V103" s="22">
        <v>6.9943</v>
      </c>
      <c r="W103" s="22">
        <v>2.1503000000000001</v>
      </c>
      <c r="X103" s="23">
        <v>1.1476266666666668</v>
      </c>
      <c r="Y103" s="23">
        <f t="shared" si="28"/>
        <v>5.8466733333333334</v>
      </c>
      <c r="Z103" s="23">
        <f t="shared" si="29"/>
        <v>1.0026733333333333</v>
      </c>
      <c r="AA103" s="22">
        <f t="shared" si="30"/>
        <v>82.850532667579628</v>
      </c>
      <c r="AB103" s="22">
        <f t="shared" si="31"/>
        <v>17.149467332420372</v>
      </c>
      <c r="AC103" s="22">
        <f t="shared" si="32"/>
        <v>1.0754445899113416</v>
      </c>
      <c r="AD103" s="22">
        <f t="shared" si="33"/>
        <v>0.18443301862512776</v>
      </c>
      <c r="AE103" s="24">
        <v>4.9192999999999998</v>
      </c>
      <c r="AF103" s="24">
        <v>5.2663000000000002</v>
      </c>
      <c r="AG103" s="24">
        <v>4.9928999999999997</v>
      </c>
      <c r="AH103" s="25">
        <f>AG103-AE103</f>
        <v>7.3599999999999888E-2</v>
      </c>
      <c r="AI103" s="25">
        <v>78.789625360230602</v>
      </c>
      <c r="AJ103" s="26">
        <v>3.9394812680115301</v>
      </c>
      <c r="AK103" s="25">
        <v>39.394812680115301</v>
      </c>
      <c r="AL103" s="26">
        <v>3.940509188038233</v>
      </c>
      <c r="AM103" s="17">
        <f t="shared" si="34"/>
        <v>0.5780346820809249</v>
      </c>
      <c r="AN103" s="17"/>
      <c r="AO103" s="27"/>
      <c r="AP103" s="17"/>
      <c r="AQ103" s="17"/>
      <c r="AR103" s="17"/>
      <c r="AS103" s="17"/>
      <c r="AT103" s="17"/>
      <c r="AU103" s="17"/>
      <c r="AV103" s="17"/>
      <c r="AW103" s="17"/>
      <c r="AX103" s="17"/>
      <c r="BB103" s="17"/>
    </row>
    <row r="104" spans="1:54" x14ac:dyDescent="0.2">
      <c r="A104" s="17" t="s">
        <v>41</v>
      </c>
      <c r="B104" s="18" t="s">
        <v>42</v>
      </c>
      <c r="C104" s="18" t="str">
        <f t="shared" si="26"/>
        <v>BI10.3</v>
      </c>
      <c r="D104" s="18" t="str">
        <f t="shared" si="27"/>
        <v>BI10.3_103</v>
      </c>
      <c r="E104" s="17">
        <v>3</v>
      </c>
      <c r="F104" s="19">
        <v>103</v>
      </c>
      <c r="G104" s="20">
        <v>2.6</v>
      </c>
      <c r="H104" s="20">
        <v>2.9</v>
      </c>
      <c r="I104" s="20">
        <v>1</v>
      </c>
      <c r="J104" s="20">
        <f t="shared" si="25"/>
        <v>5.9365625</v>
      </c>
      <c r="K104" s="53">
        <v>0.1595238095238096</v>
      </c>
      <c r="L104" s="20">
        <f t="shared" si="37"/>
        <v>22.080952380952269</v>
      </c>
      <c r="M104" s="20">
        <f t="shared" si="37"/>
        <v>23.080952380952269</v>
      </c>
      <c r="N104" s="20">
        <f t="shared" si="37"/>
        <v>22.580952380952269</v>
      </c>
      <c r="O104" s="20">
        <f>P103+$AO$90</f>
        <v>102.08095238095227</v>
      </c>
      <c r="P104" s="20">
        <f t="shared" si="23"/>
        <v>103.08095238095227</v>
      </c>
      <c r="Q104" s="20">
        <f t="shared" si="35"/>
        <v>102.58095238095227</v>
      </c>
      <c r="R104" s="20">
        <f>S103+$AO$90</f>
        <v>102.08095238095227</v>
      </c>
      <c r="S104" s="20">
        <f t="shared" si="20"/>
        <v>103.08095238095227</v>
      </c>
      <c r="T104" s="20">
        <f t="shared" si="21"/>
        <v>102.58095238095227</v>
      </c>
      <c r="U104" s="20">
        <v>102.58095238095227</v>
      </c>
      <c r="V104" s="22">
        <v>7.8270999999999997</v>
      </c>
      <c r="W104" s="22">
        <v>2.1993999999999998</v>
      </c>
      <c r="X104" s="23">
        <v>1.1476266666666668</v>
      </c>
      <c r="Y104" s="23">
        <f t="shared" si="28"/>
        <v>6.6794733333333332</v>
      </c>
      <c r="Z104" s="23">
        <f t="shared" si="29"/>
        <v>1.051773333333333</v>
      </c>
      <c r="AA104" s="22">
        <f t="shared" si="30"/>
        <v>84.25364874076898</v>
      </c>
      <c r="AB104" s="22">
        <f t="shared" si="31"/>
        <v>15.74635125923102</v>
      </c>
      <c r="AC104" s="22">
        <f t="shared" si="32"/>
        <v>1.125141583758839</v>
      </c>
      <c r="AD104" s="22">
        <f t="shared" si="33"/>
        <v>0.17716874594234172</v>
      </c>
      <c r="AE104" s="24">
        <v>4.6733000000000002</v>
      </c>
      <c r="AF104" s="24">
        <v>5.1101000000000001</v>
      </c>
      <c r="AG104" s="24">
        <v>4.7380000000000004</v>
      </c>
      <c r="AH104" s="25">
        <f>AG104-AE104</f>
        <v>6.4700000000000202E-2</v>
      </c>
      <c r="AI104" s="25">
        <v>85.187728937728892</v>
      </c>
      <c r="AJ104" s="26">
        <v>4.2593864468864444</v>
      </c>
      <c r="AK104" s="25">
        <v>42.593864468864446</v>
      </c>
      <c r="AL104" s="26">
        <v>4.260337181951674</v>
      </c>
      <c r="AM104" s="17">
        <f t="shared" si="34"/>
        <v>0.5780346820809249</v>
      </c>
      <c r="AN104" s="17"/>
      <c r="AO104" s="27"/>
      <c r="AP104" s="17"/>
      <c r="AQ104" s="17"/>
      <c r="AR104" s="17"/>
      <c r="AS104" s="17"/>
      <c r="AT104" s="17"/>
      <c r="AU104" s="17"/>
      <c r="AV104" s="17"/>
      <c r="AW104" s="17"/>
      <c r="AX104" s="17"/>
      <c r="BB104" s="17"/>
    </row>
    <row r="105" spans="1:54" x14ac:dyDescent="0.2">
      <c r="A105" s="17" t="s">
        <v>41</v>
      </c>
      <c r="B105" s="18" t="s">
        <v>42</v>
      </c>
      <c r="C105" s="18" t="str">
        <f t="shared" si="26"/>
        <v>BI10.3</v>
      </c>
      <c r="D105" s="18" t="str">
        <f t="shared" si="27"/>
        <v>BI10.3_104</v>
      </c>
      <c r="E105" s="17">
        <v>3</v>
      </c>
      <c r="F105" s="19">
        <v>104</v>
      </c>
      <c r="G105" s="20">
        <v>2.4500000000000002</v>
      </c>
      <c r="H105" s="20">
        <v>2.9</v>
      </c>
      <c r="I105" s="20">
        <v>0.95</v>
      </c>
      <c r="J105" s="20">
        <f t="shared" si="25"/>
        <v>5.3363073437499997</v>
      </c>
      <c r="K105" s="53">
        <v>0.1595238095238096</v>
      </c>
      <c r="L105" s="20">
        <f t="shared" si="37"/>
        <v>23.240476190476073</v>
      </c>
      <c r="M105" s="20">
        <f t="shared" si="37"/>
        <v>24.190476190476076</v>
      </c>
      <c r="N105" s="20">
        <f t="shared" si="37"/>
        <v>23.715476190476068</v>
      </c>
      <c r="O105" s="20">
        <f>P104+$AO$90</f>
        <v>103.24047619047607</v>
      </c>
      <c r="P105" s="20">
        <f t="shared" si="23"/>
        <v>104.19047619047608</v>
      </c>
      <c r="Q105" s="20">
        <f t="shared" si="35"/>
        <v>103.71547619047607</v>
      </c>
      <c r="R105" s="20">
        <f>S104+$AO$90</f>
        <v>103.24047619047607</v>
      </c>
      <c r="S105" s="20">
        <f t="shared" si="20"/>
        <v>104.19047619047608</v>
      </c>
      <c r="T105" s="20">
        <f t="shared" si="21"/>
        <v>103.71547619047607</v>
      </c>
      <c r="U105" s="20">
        <v>103.71547619047607</v>
      </c>
      <c r="V105" s="22">
        <v>7.2046000000000001</v>
      </c>
      <c r="W105" s="22">
        <v>2.1669999999999998</v>
      </c>
      <c r="X105" s="23">
        <v>1.1476266666666668</v>
      </c>
      <c r="Y105" s="23">
        <f t="shared" si="28"/>
        <v>6.0569733333333335</v>
      </c>
      <c r="Z105" s="23">
        <f t="shared" si="29"/>
        <v>1.019373333333333</v>
      </c>
      <c r="AA105" s="22">
        <f t="shared" si="30"/>
        <v>83.170252249198171</v>
      </c>
      <c r="AB105" s="22">
        <f t="shared" si="31"/>
        <v>16.829747750801829</v>
      </c>
      <c r="AC105" s="22">
        <f t="shared" si="32"/>
        <v>1.1350495657689945</v>
      </c>
      <c r="AD105" s="22">
        <f t="shared" si="33"/>
        <v>0.19102597876549324</v>
      </c>
      <c r="AE105" s="24">
        <v>4.9823000000000004</v>
      </c>
      <c r="AF105" s="24">
        <v>5.3625999999999996</v>
      </c>
      <c r="AG105" s="24">
        <v>5.0427</v>
      </c>
      <c r="AH105" s="25">
        <f>AG105-AE105</f>
        <v>6.0399999999999565E-2</v>
      </c>
      <c r="AI105" s="25">
        <v>84.117801735472071</v>
      </c>
      <c r="AJ105" s="26">
        <v>4.2058900867736035</v>
      </c>
      <c r="AK105" s="25">
        <v>42.058900867736035</v>
      </c>
      <c r="AL105" s="26">
        <v>4.2068529118594657</v>
      </c>
      <c r="AM105" s="17">
        <f t="shared" si="34"/>
        <v>0.5780346820809249</v>
      </c>
      <c r="AN105" s="17"/>
      <c r="AO105" s="27"/>
      <c r="AP105" s="17"/>
      <c r="AQ105" s="17"/>
      <c r="AR105" s="17"/>
      <c r="AS105" s="17"/>
      <c r="AT105" s="17"/>
      <c r="AU105" s="17"/>
      <c r="AV105" s="17"/>
      <c r="AW105" s="17"/>
      <c r="AX105" s="17"/>
      <c r="BB105" s="17"/>
    </row>
    <row r="106" spans="1:54" x14ac:dyDescent="0.2">
      <c r="A106" s="17" t="s">
        <v>41</v>
      </c>
      <c r="B106" s="18" t="s">
        <v>42</v>
      </c>
      <c r="C106" s="18" t="str">
        <f t="shared" si="26"/>
        <v>BI10.3</v>
      </c>
      <c r="D106" s="18" t="str">
        <f t="shared" si="27"/>
        <v>BI10.3_105</v>
      </c>
      <c r="E106" s="17">
        <v>3</v>
      </c>
      <c r="F106" s="19">
        <v>105</v>
      </c>
      <c r="G106" s="20">
        <v>2.75</v>
      </c>
      <c r="H106" s="20">
        <v>2.9</v>
      </c>
      <c r="I106" s="20">
        <v>1</v>
      </c>
      <c r="J106" s="20">
        <f t="shared" si="25"/>
        <v>6.2647906250000016</v>
      </c>
      <c r="K106" s="53">
        <v>0.1595238095238096</v>
      </c>
      <c r="L106" s="20">
        <f t="shared" si="37"/>
        <v>24.349999999999881</v>
      </c>
      <c r="M106" s="20">
        <f t="shared" si="37"/>
        <v>25.349999999999881</v>
      </c>
      <c r="N106" s="20">
        <f t="shared" si="37"/>
        <v>24.849999999999881</v>
      </c>
      <c r="O106" s="20">
        <f>P105+$AO$90</f>
        <v>104.34999999999988</v>
      </c>
      <c r="P106" s="20">
        <f t="shared" si="23"/>
        <v>105.34999999999988</v>
      </c>
      <c r="Q106" s="20">
        <f t="shared" si="35"/>
        <v>104.84999999999988</v>
      </c>
      <c r="R106" s="20">
        <f>S105+$AO$90</f>
        <v>104.34999999999988</v>
      </c>
      <c r="S106" s="20">
        <f t="shared" si="20"/>
        <v>105.34999999999988</v>
      </c>
      <c r="T106" s="20">
        <f t="shared" si="21"/>
        <v>104.84999999999988</v>
      </c>
      <c r="U106" s="20">
        <v>104.84999999999988</v>
      </c>
      <c r="V106" s="22">
        <v>8.2735000000000003</v>
      </c>
      <c r="W106" s="22">
        <v>2.3239000000000001</v>
      </c>
      <c r="X106" s="23">
        <v>1.1476266666666668</v>
      </c>
      <c r="Y106" s="23">
        <f t="shared" si="28"/>
        <v>7.1258733333333337</v>
      </c>
      <c r="Z106" s="23">
        <f t="shared" si="29"/>
        <v>1.1762733333333333</v>
      </c>
      <c r="AA106" s="22">
        <f t="shared" si="30"/>
        <v>83.492923908274165</v>
      </c>
      <c r="AB106" s="22">
        <f t="shared" si="31"/>
        <v>16.507076091725835</v>
      </c>
      <c r="AC106" s="22">
        <f t="shared" si="32"/>
        <v>1.1374479627295337</v>
      </c>
      <c r="AD106" s="22">
        <f t="shared" si="33"/>
        <v>0.1877594007115494</v>
      </c>
      <c r="AE106" s="24">
        <v>4.78</v>
      </c>
      <c r="AF106" s="24">
        <v>5.1109999999999998</v>
      </c>
      <c r="AG106" s="24">
        <v>4.8224</v>
      </c>
      <c r="AH106" s="25">
        <f>AG106-AE106</f>
        <v>4.2399999999999771E-2</v>
      </c>
      <c r="AI106" s="25">
        <v>87.190332326284036</v>
      </c>
      <c r="AJ106" s="26">
        <v>4.3595166163142016</v>
      </c>
      <c r="AK106" s="25">
        <v>43.595166163142018</v>
      </c>
      <c r="AL106" s="26">
        <v>4.3604455194302822</v>
      </c>
      <c r="AM106" s="17">
        <f t="shared" si="34"/>
        <v>0.5780346820809249</v>
      </c>
      <c r="AN106" s="17"/>
      <c r="AO106" s="27"/>
      <c r="AP106" s="17"/>
      <c r="AQ106" s="17"/>
      <c r="AR106" s="17"/>
      <c r="AS106" s="17"/>
      <c r="AT106" s="17"/>
      <c r="AU106" s="17"/>
      <c r="AV106" s="17"/>
      <c r="AW106" s="17"/>
      <c r="AX106" s="17"/>
      <c r="BB106" s="17"/>
    </row>
    <row r="107" spans="1:54" x14ac:dyDescent="0.2">
      <c r="A107" s="17" t="s">
        <v>41</v>
      </c>
      <c r="B107" s="18" t="s">
        <v>42</v>
      </c>
      <c r="C107" s="18" t="str">
        <f t="shared" si="26"/>
        <v>BI10.3</v>
      </c>
      <c r="D107" s="18" t="str">
        <f t="shared" si="27"/>
        <v>BI10.3_106</v>
      </c>
      <c r="E107" s="17">
        <v>3</v>
      </c>
      <c r="F107" s="19">
        <v>106</v>
      </c>
      <c r="G107" s="20">
        <v>2.9</v>
      </c>
      <c r="H107" s="20">
        <v>2.25</v>
      </c>
      <c r="I107" s="20">
        <v>1</v>
      </c>
      <c r="J107" s="20">
        <f t="shared" si="25"/>
        <v>5.2050406250000014</v>
      </c>
      <c r="K107" s="53">
        <v>0.1595238095238096</v>
      </c>
      <c r="L107" s="20">
        <f t="shared" si="37"/>
        <v>25.509523809523685</v>
      </c>
      <c r="M107" s="20">
        <f t="shared" si="37"/>
        <v>26.509523809523685</v>
      </c>
      <c r="N107" s="20">
        <f t="shared" si="37"/>
        <v>26.009523809523685</v>
      </c>
      <c r="O107" s="20">
        <f>P106+$AO$90</f>
        <v>105.50952380952369</v>
      </c>
      <c r="P107" s="20">
        <f t="shared" si="23"/>
        <v>106.50952380952369</v>
      </c>
      <c r="Q107" s="20">
        <f t="shared" si="35"/>
        <v>106.00952380952369</v>
      </c>
      <c r="R107" s="20">
        <f>S106+$AO$90</f>
        <v>105.50952380952369</v>
      </c>
      <c r="S107" s="20">
        <f t="shared" ref="S107:S170" si="38">R107+I107</f>
        <v>106.50952380952369</v>
      </c>
      <c r="T107" s="20">
        <f t="shared" ref="T107:T170" si="39">AVERAGE(R107:S107)</f>
        <v>106.00952380952369</v>
      </c>
      <c r="U107" s="20">
        <v>106.00952380952369</v>
      </c>
      <c r="V107" s="22">
        <v>7.5045999999999999</v>
      </c>
      <c r="W107" s="22">
        <v>2.1103000000000001</v>
      </c>
      <c r="X107" s="23">
        <v>1.1476266666666668</v>
      </c>
      <c r="Y107" s="23">
        <f t="shared" si="28"/>
        <v>6.3569733333333334</v>
      </c>
      <c r="Z107" s="23">
        <f t="shared" si="29"/>
        <v>0.96267333333333327</v>
      </c>
      <c r="AA107" s="22">
        <f t="shared" si="30"/>
        <v>84.85642014124123</v>
      </c>
      <c r="AB107" s="22">
        <f t="shared" si="31"/>
        <v>15.14357985875877</v>
      </c>
      <c r="AC107" s="22">
        <f t="shared" si="32"/>
        <v>1.2213109928096539</v>
      </c>
      <c r="AD107" s="22">
        <f t="shared" si="33"/>
        <v>0.18495020551992963</v>
      </c>
      <c r="AE107" s="24">
        <v>4.6932999999999998</v>
      </c>
      <c r="AF107" s="24">
        <v>5.1477000000000004</v>
      </c>
      <c r="AG107" s="24">
        <v>4.7740999999999998</v>
      </c>
      <c r="AH107" s="25">
        <f>AG107-AE107</f>
        <v>8.0799999999999983E-2</v>
      </c>
      <c r="AI107" s="25">
        <v>82.218309859154957</v>
      </c>
      <c r="AJ107" s="26">
        <v>4.1109154929577478</v>
      </c>
      <c r="AK107" s="25">
        <v>41.109154929577478</v>
      </c>
      <c r="AL107" s="26">
        <v>4.1119005569493092</v>
      </c>
      <c r="AM107" s="17">
        <f t="shared" si="34"/>
        <v>0.5780346820809249</v>
      </c>
      <c r="AN107" s="17"/>
      <c r="AO107" s="27"/>
      <c r="AP107" s="17"/>
      <c r="AQ107" s="17"/>
      <c r="AR107" s="17"/>
      <c r="AS107" s="17"/>
      <c r="AT107" s="17"/>
      <c r="AU107" s="17"/>
      <c r="AV107" s="17"/>
      <c r="AW107" s="17"/>
      <c r="AX107" s="17"/>
      <c r="BB107" s="17"/>
    </row>
    <row r="108" spans="1:54" x14ac:dyDescent="0.2">
      <c r="A108" s="17" t="s">
        <v>41</v>
      </c>
      <c r="B108" s="18" t="s">
        <v>42</v>
      </c>
      <c r="C108" s="18" t="str">
        <f t="shared" si="26"/>
        <v>BI10.3</v>
      </c>
      <c r="D108" s="18" t="str">
        <f t="shared" si="27"/>
        <v>BI10.3_107</v>
      </c>
      <c r="E108" s="17">
        <v>3</v>
      </c>
      <c r="F108" s="19">
        <v>107</v>
      </c>
      <c r="G108" s="20">
        <v>2.9</v>
      </c>
      <c r="H108" s="20">
        <v>2.7</v>
      </c>
      <c r="I108" s="20">
        <v>1.05</v>
      </c>
      <c r="J108" s="20">
        <f t="shared" si="25"/>
        <v>6.4621199999999996</v>
      </c>
      <c r="K108" s="53">
        <v>0.1595238095238096</v>
      </c>
      <c r="L108" s="20">
        <f t="shared" si="37"/>
        <v>26.66904761904749</v>
      </c>
      <c r="M108" s="20">
        <f t="shared" si="37"/>
        <v>27.719047619047487</v>
      </c>
      <c r="N108" s="20">
        <f t="shared" si="37"/>
        <v>27.194047619047495</v>
      </c>
      <c r="O108" s="20">
        <f>P107+$AO$90</f>
        <v>106.66904761904749</v>
      </c>
      <c r="P108" s="20">
        <f t="shared" ref="P108:P171" si="40">O108+I108</f>
        <v>107.71904761904749</v>
      </c>
      <c r="Q108" s="20">
        <f t="shared" si="35"/>
        <v>107.1940476190475</v>
      </c>
      <c r="R108" s="20">
        <f>S107+$AO$90</f>
        <v>106.66904761904749</v>
      </c>
      <c r="S108" s="20">
        <f t="shared" si="38"/>
        <v>107.71904761904749</v>
      </c>
      <c r="T108" s="20">
        <f t="shared" si="39"/>
        <v>107.1940476190475</v>
      </c>
      <c r="U108" s="20">
        <v>107.1940476190475</v>
      </c>
      <c r="V108" s="22">
        <v>9.0616000000000003</v>
      </c>
      <c r="W108" s="22">
        <v>2.5009000000000001</v>
      </c>
      <c r="X108" s="23">
        <v>1.1476266666666668</v>
      </c>
      <c r="Y108" s="23">
        <f t="shared" si="28"/>
        <v>7.9139733333333337</v>
      </c>
      <c r="Z108" s="23">
        <f t="shared" si="29"/>
        <v>1.3532733333333333</v>
      </c>
      <c r="AA108" s="22">
        <f t="shared" si="30"/>
        <v>82.900203521871859</v>
      </c>
      <c r="AB108" s="22">
        <f t="shared" si="31"/>
        <v>17.099796478128141</v>
      </c>
      <c r="AC108" s="22">
        <f t="shared" si="32"/>
        <v>1.2246713668785683</v>
      </c>
      <c r="AD108" s="22">
        <f t="shared" si="33"/>
        <v>0.20941631126214516</v>
      </c>
      <c r="AE108" s="24">
        <v>4.7046000000000001</v>
      </c>
      <c r="AF108" s="24">
        <v>5.0957999999999997</v>
      </c>
      <c r="AG108" s="24">
        <v>4.7553999999999998</v>
      </c>
      <c r="AH108" s="25">
        <f>AG108-AE108</f>
        <v>5.0799999999999734E-2</v>
      </c>
      <c r="AI108" s="25">
        <v>87.014314928425406</v>
      </c>
      <c r="AJ108" s="26">
        <v>4.3507157464212707</v>
      </c>
      <c r="AK108" s="25">
        <v>43.507157464212703</v>
      </c>
      <c r="AL108" s="26">
        <v>4.351646528172755</v>
      </c>
      <c r="AM108" s="17">
        <f t="shared" si="34"/>
        <v>0.5780346820809249</v>
      </c>
      <c r="AN108" s="17"/>
      <c r="AO108" s="27"/>
      <c r="AP108" s="17"/>
      <c r="AQ108" s="17"/>
      <c r="AR108" s="17"/>
      <c r="AS108" s="17"/>
      <c r="AT108" s="17"/>
      <c r="AU108" s="17"/>
      <c r="AV108" s="17"/>
      <c r="AW108" s="17"/>
      <c r="AX108" s="17"/>
      <c r="BB108" s="17"/>
    </row>
    <row r="109" spans="1:54" x14ac:dyDescent="0.2">
      <c r="A109" s="17" t="s">
        <v>41</v>
      </c>
      <c r="B109" s="18" t="s">
        <v>42</v>
      </c>
      <c r="C109" s="18" t="str">
        <f t="shared" si="26"/>
        <v>BI10.3</v>
      </c>
      <c r="D109" s="18" t="str">
        <f t="shared" si="27"/>
        <v>BI10.3_108</v>
      </c>
      <c r="E109" s="17">
        <v>3</v>
      </c>
      <c r="F109" s="19">
        <v>108</v>
      </c>
      <c r="G109" s="20">
        <v>2.4</v>
      </c>
      <c r="H109" s="20">
        <v>2.9</v>
      </c>
      <c r="I109" s="20">
        <v>1</v>
      </c>
      <c r="J109" s="20">
        <f t="shared" si="25"/>
        <v>5.5126624999999994</v>
      </c>
      <c r="K109" s="53">
        <v>0.1595238095238096</v>
      </c>
      <c r="L109" s="20">
        <f t="shared" si="37"/>
        <v>27.878571428571291</v>
      </c>
      <c r="M109" s="20">
        <f t="shared" si="37"/>
        <v>28.878571428571291</v>
      </c>
      <c r="N109" s="20">
        <f t="shared" si="37"/>
        <v>28.378571428571291</v>
      </c>
      <c r="O109" s="20">
        <f>P108+$AO$90</f>
        <v>107.87857142857129</v>
      </c>
      <c r="P109" s="20">
        <f t="shared" si="40"/>
        <v>108.87857142857129</v>
      </c>
      <c r="Q109" s="20">
        <f t="shared" si="35"/>
        <v>108.37857142857129</v>
      </c>
      <c r="R109" s="20">
        <f>S108+$AO$90</f>
        <v>107.87857142857129</v>
      </c>
      <c r="S109" s="20">
        <f t="shared" si="38"/>
        <v>108.87857142857129</v>
      </c>
      <c r="T109" s="20">
        <f t="shared" si="39"/>
        <v>108.37857142857129</v>
      </c>
      <c r="U109" s="20">
        <v>108.37857142857129</v>
      </c>
      <c r="V109" s="22">
        <v>7.6172000000000004</v>
      </c>
      <c r="W109" s="22">
        <v>2.2435999999999998</v>
      </c>
      <c r="X109" s="23">
        <v>1.1476266666666668</v>
      </c>
      <c r="Y109" s="23">
        <f t="shared" si="28"/>
        <v>6.4695733333333338</v>
      </c>
      <c r="Z109" s="23">
        <f t="shared" si="29"/>
        <v>1.095973333333333</v>
      </c>
      <c r="AA109" s="22">
        <f t="shared" si="30"/>
        <v>83.059573222757606</v>
      </c>
      <c r="AB109" s="22">
        <f t="shared" si="31"/>
        <v>16.940426777242394</v>
      </c>
      <c r="AC109" s="22">
        <f t="shared" si="32"/>
        <v>1.1735841498247597</v>
      </c>
      <c r="AD109" s="22">
        <f t="shared" si="33"/>
        <v>0.19881016357038603</v>
      </c>
      <c r="AE109" s="24">
        <v>4.6840000000000002</v>
      </c>
      <c r="AF109" s="24">
        <v>5.1757999999999997</v>
      </c>
      <c r="AG109" s="24">
        <v>4.7469999999999999</v>
      </c>
      <c r="AH109" s="25">
        <f>AG109-AE109</f>
        <v>6.2999999999999723E-2</v>
      </c>
      <c r="AI109" s="25">
        <v>87.189914599430708</v>
      </c>
      <c r="AJ109" s="26">
        <v>4.3594957299715356</v>
      </c>
      <c r="AK109" s="25">
        <v>43.594957299715354</v>
      </c>
      <c r="AL109" s="26">
        <v>4.3604246375370428</v>
      </c>
      <c r="AM109" s="17">
        <f t="shared" si="34"/>
        <v>0.5780346820809249</v>
      </c>
      <c r="AN109" s="17"/>
      <c r="AO109" s="27"/>
      <c r="AP109" s="17"/>
      <c r="AQ109" s="17"/>
      <c r="AR109" s="17"/>
      <c r="AS109" s="17"/>
      <c r="AT109" s="17"/>
      <c r="AU109" s="17"/>
      <c r="AV109" s="17"/>
      <c r="AW109" s="17"/>
      <c r="AX109" s="17"/>
      <c r="BB109" s="17"/>
    </row>
    <row r="110" spans="1:54" x14ac:dyDescent="0.2">
      <c r="A110" s="17" t="s">
        <v>41</v>
      </c>
      <c r="B110" s="18" t="s">
        <v>42</v>
      </c>
      <c r="C110" s="18" t="str">
        <f t="shared" si="26"/>
        <v>BI10.3</v>
      </c>
      <c r="D110" s="18" t="str">
        <f t="shared" si="27"/>
        <v>BI10.3_109</v>
      </c>
      <c r="E110" s="17">
        <v>3</v>
      </c>
      <c r="F110" s="19">
        <v>109</v>
      </c>
      <c r="G110" s="20">
        <v>2.4</v>
      </c>
      <c r="H110" s="20">
        <v>2.9</v>
      </c>
      <c r="I110" s="20">
        <v>1</v>
      </c>
      <c r="J110" s="20">
        <f t="shared" si="25"/>
        <v>5.5126624999999994</v>
      </c>
      <c r="K110" s="53">
        <v>0.1595238095238096</v>
      </c>
      <c r="L110" s="20">
        <f t="shared" si="37"/>
        <v>29.038095238095096</v>
      </c>
      <c r="M110" s="20">
        <f t="shared" si="37"/>
        <v>30.038095238095096</v>
      </c>
      <c r="N110" s="20">
        <f t="shared" si="37"/>
        <v>29.538095238095096</v>
      </c>
      <c r="O110" s="20">
        <f>P109+$AO$90</f>
        <v>109.0380952380951</v>
      </c>
      <c r="P110" s="20">
        <f t="shared" si="40"/>
        <v>110.0380952380951</v>
      </c>
      <c r="Q110" s="20">
        <f t="shared" si="35"/>
        <v>109.5380952380951</v>
      </c>
      <c r="R110" s="20">
        <f>S109+$AO$90</f>
        <v>109.0380952380951</v>
      </c>
      <c r="S110" s="20">
        <f t="shared" si="38"/>
        <v>110.0380952380951</v>
      </c>
      <c r="T110" s="20">
        <f t="shared" si="39"/>
        <v>109.5380952380951</v>
      </c>
      <c r="U110" s="20">
        <v>109.5380952380951</v>
      </c>
      <c r="V110" s="22">
        <v>7.7778999999999998</v>
      </c>
      <c r="W110" s="22">
        <v>2.3485</v>
      </c>
      <c r="X110" s="23">
        <v>1.1476266666666668</v>
      </c>
      <c r="Y110" s="23">
        <f t="shared" si="28"/>
        <v>6.6302733333333332</v>
      </c>
      <c r="Z110" s="23">
        <f t="shared" si="29"/>
        <v>1.2008733333333332</v>
      </c>
      <c r="AA110" s="22">
        <f t="shared" si="30"/>
        <v>81.888026737962534</v>
      </c>
      <c r="AB110" s="22">
        <f t="shared" si="31"/>
        <v>18.111973262037466</v>
      </c>
      <c r="AC110" s="22">
        <f t="shared" si="32"/>
        <v>1.2027352179338631</v>
      </c>
      <c r="AD110" s="22">
        <f t="shared" si="33"/>
        <v>0.21783908108528927</v>
      </c>
      <c r="AE110" s="24">
        <v>4.8958000000000004</v>
      </c>
      <c r="AF110" s="24">
        <v>5.2723000000000004</v>
      </c>
      <c r="AG110" s="24">
        <v>4.9695999999999998</v>
      </c>
      <c r="AH110" s="25">
        <f>AG110-AE110</f>
        <v>7.3799999999999422E-2</v>
      </c>
      <c r="AI110" s="25">
        <v>80.398406374502144</v>
      </c>
      <c r="AJ110" s="26">
        <v>4.0199203187251076</v>
      </c>
      <c r="AK110" s="25">
        <v>40.199203187251072</v>
      </c>
      <c r="AL110" s="26">
        <v>4.0209276751639003</v>
      </c>
      <c r="AM110" s="17">
        <f t="shared" si="34"/>
        <v>0.5780346820809249</v>
      </c>
      <c r="AN110" s="17"/>
      <c r="AO110" s="27"/>
      <c r="AP110" s="17"/>
      <c r="AQ110" s="17"/>
      <c r="AR110" s="17"/>
      <c r="AS110" s="17"/>
      <c r="AT110" s="17"/>
      <c r="AU110" s="17"/>
      <c r="AV110" s="17"/>
      <c r="AW110" s="17"/>
      <c r="AX110" s="17"/>
      <c r="BB110" s="17"/>
    </row>
    <row r="111" spans="1:54" x14ac:dyDescent="0.2">
      <c r="A111" s="17" t="s">
        <v>41</v>
      </c>
      <c r="B111" s="18" t="s">
        <v>42</v>
      </c>
      <c r="C111" s="18" t="str">
        <f t="shared" si="26"/>
        <v>BI10.3</v>
      </c>
      <c r="D111" s="18" t="str">
        <f t="shared" si="27"/>
        <v>BI10.3_110</v>
      </c>
      <c r="E111" s="17">
        <v>3</v>
      </c>
      <c r="F111" s="19">
        <v>110</v>
      </c>
      <c r="G111" s="20">
        <v>2.9</v>
      </c>
      <c r="H111" s="20">
        <v>2.4</v>
      </c>
      <c r="I111" s="20">
        <v>1</v>
      </c>
      <c r="J111" s="20">
        <f t="shared" si="25"/>
        <v>5.5126624999999994</v>
      </c>
      <c r="K111" s="53">
        <v>0.1595238095238096</v>
      </c>
      <c r="L111" s="20">
        <f t="shared" si="37"/>
        <v>30.1976190476189</v>
      </c>
      <c r="M111" s="20">
        <f t="shared" si="37"/>
        <v>31.1976190476189</v>
      </c>
      <c r="N111" s="20">
        <f t="shared" si="37"/>
        <v>30.6976190476189</v>
      </c>
      <c r="O111" s="20">
        <f>P110+$AO$90</f>
        <v>110.1976190476189</v>
      </c>
      <c r="P111" s="20">
        <f t="shared" si="40"/>
        <v>111.1976190476189</v>
      </c>
      <c r="Q111" s="20">
        <f t="shared" si="35"/>
        <v>110.6976190476189</v>
      </c>
      <c r="R111" s="20">
        <f>S110+$AO$90</f>
        <v>110.1976190476189</v>
      </c>
      <c r="S111" s="20">
        <f t="shared" si="38"/>
        <v>111.1976190476189</v>
      </c>
      <c r="T111" s="20">
        <f t="shared" si="39"/>
        <v>110.6976190476189</v>
      </c>
      <c r="U111" s="20">
        <v>110.6976190476189</v>
      </c>
      <c r="V111" s="22">
        <v>8.3600999999999992</v>
      </c>
      <c r="W111" s="22">
        <v>2.3782000000000001</v>
      </c>
      <c r="X111" s="23">
        <v>1.1476266666666668</v>
      </c>
      <c r="Y111" s="23">
        <f t="shared" si="28"/>
        <v>7.2124733333333326</v>
      </c>
      <c r="Z111" s="23">
        <f t="shared" si="29"/>
        <v>1.2305733333333333</v>
      </c>
      <c r="AA111" s="22">
        <f t="shared" si="30"/>
        <v>82.93826158571585</v>
      </c>
      <c r="AB111" s="22">
        <f t="shared" si="31"/>
        <v>17.06173841428415</v>
      </c>
      <c r="AC111" s="22">
        <f t="shared" si="32"/>
        <v>1.308346617144317</v>
      </c>
      <c r="AD111" s="22">
        <f t="shared" si="33"/>
        <v>0.22322667736929905</v>
      </c>
      <c r="AE111" s="24">
        <v>4.9706000000000001</v>
      </c>
      <c r="AF111" s="24">
        <v>5.5298999999999996</v>
      </c>
      <c r="AG111" s="24">
        <v>5.0862999999999996</v>
      </c>
      <c r="AH111" s="25">
        <f>AG111-AE111</f>
        <v>0.11569999999999947</v>
      </c>
      <c r="AI111" s="25">
        <v>79.313427498659124</v>
      </c>
      <c r="AJ111" s="26">
        <v>3.9656713749329562</v>
      </c>
      <c r="AK111" s="25">
        <v>39.656713749329562</v>
      </c>
      <c r="AL111" s="26">
        <v>3.9666925081184004</v>
      </c>
      <c r="AM111" s="17">
        <f t="shared" si="34"/>
        <v>0.5780346820809249</v>
      </c>
      <c r="AN111" s="17"/>
      <c r="AO111" s="27"/>
      <c r="AP111" s="17"/>
      <c r="AQ111" s="17"/>
      <c r="AR111" s="17"/>
      <c r="AS111" s="17"/>
      <c r="AT111" s="17"/>
      <c r="AU111" s="17"/>
      <c r="AV111" s="17"/>
      <c r="AW111" s="17"/>
      <c r="AX111" s="17"/>
      <c r="BB111" s="17"/>
    </row>
    <row r="112" spans="1:54" x14ac:dyDescent="0.2">
      <c r="A112" s="17" t="s">
        <v>41</v>
      </c>
      <c r="B112" s="18" t="s">
        <v>42</v>
      </c>
      <c r="C112" s="18" t="str">
        <f t="shared" si="26"/>
        <v>BI10.3</v>
      </c>
      <c r="D112" s="18" t="str">
        <f t="shared" si="27"/>
        <v>BI10.3_111</v>
      </c>
      <c r="E112" s="17">
        <v>3</v>
      </c>
      <c r="F112" s="19">
        <v>111</v>
      </c>
      <c r="G112" s="20">
        <v>2.1</v>
      </c>
      <c r="H112" s="20">
        <v>2.85</v>
      </c>
      <c r="I112" s="20">
        <v>1</v>
      </c>
      <c r="J112" s="20">
        <f t="shared" si="25"/>
        <v>4.8086156250000007</v>
      </c>
      <c r="K112" s="53">
        <v>0.1595238095238096</v>
      </c>
      <c r="L112" s="20">
        <f t="shared" si="37"/>
        <v>31.357142857142705</v>
      </c>
      <c r="M112" s="20">
        <f t="shared" si="37"/>
        <v>32.357142857142705</v>
      </c>
      <c r="N112" s="20">
        <f t="shared" si="37"/>
        <v>31.857142857142705</v>
      </c>
      <c r="O112" s="20">
        <f>P111+$AO$90</f>
        <v>111.3571428571427</v>
      </c>
      <c r="P112" s="20">
        <f t="shared" si="40"/>
        <v>112.3571428571427</v>
      </c>
      <c r="Q112" s="20">
        <f t="shared" si="35"/>
        <v>111.8571428571427</v>
      </c>
      <c r="R112" s="20">
        <f>S111+$AO$90</f>
        <v>111.3571428571427</v>
      </c>
      <c r="S112" s="20">
        <f t="shared" si="38"/>
        <v>112.3571428571427</v>
      </c>
      <c r="T112" s="20">
        <f t="shared" si="39"/>
        <v>111.8571428571427</v>
      </c>
      <c r="U112" s="20">
        <v>111.8571428571427</v>
      </c>
      <c r="V112" s="22">
        <v>8.5318000000000005</v>
      </c>
      <c r="W112" s="22">
        <v>2.3879000000000001</v>
      </c>
      <c r="X112" s="23">
        <v>1.1476266666666668</v>
      </c>
      <c r="Y112" s="23">
        <f t="shared" si="28"/>
        <v>7.3841733333333339</v>
      </c>
      <c r="Z112" s="23">
        <f t="shared" si="29"/>
        <v>1.2402733333333333</v>
      </c>
      <c r="AA112" s="22">
        <f t="shared" si="30"/>
        <v>83.203626494863798</v>
      </c>
      <c r="AB112" s="22">
        <f t="shared" si="31"/>
        <v>16.796373505136202</v>
      </c>
      <c r="AC112" s="22">
        <f t="shared" si="32"/>
        <v>1.5356131388300209</v>
      </c>
      <c r="AD112" s="22">
        <f t="shared" si="33"/>
        <v>0.25792731839183614</v>
      </c>
      <c r="AE112" s="24">
        <v>4.3689</v>
      </c>
      <c r="AF112" s="24">
        <v>4.7994000000000003</v>
      </c>
      <c r="AG112" s="24">
        <v>4.4493999999999998</v>
      </c>
      <c r="AH112" s="25">
        <f>AG112-AE112</f>
        <v>8.0499999999999794E-2</v>
      </c>
      <c r="AI112" s="25">
        <v>81.300813008130149</v>
      </c>
      <c r="AJ112" s="26">
        <v>4.065040650406508</v>
      </c>
      <c r="AK112" s="25">
        <v>40.650406504065074</v>
      </c>
      <c r="AL112" s="26">
        <v>4.066036828344938</v>
      </c>
      <c r="AM112" s="17">
        <f t="shared" si="34"/>
        <v>0.5780346820809249</v>
      </c>
      <c r="AN112" s="17"/>
      <c r="AO112" s="27"/>
      <c r="AP112" s="17"/>
      <c r="AQ112" s="17"/>
      <c r="AR112" s="17"/>
      <c r="AS112" s="17"/>
      <c r="AT112" s="17"/>
      <c r="AU112" s="17"/>
      <c r="AV112" s="17"/>
      <c r="AW112" s="17"/>
      <c r="AX112" s="17"/>
      <c r="BB112" s="17"/>
    </row>
    <row r="113" spans="1:54" x14ac:dyDescent="0.2">
      <c r="A113" s="17" t="s">
        <v>41</v>
      </c>
      <c r="B113" s="18" t="s">
        <v>42</v>
      </c>
      <c r="C113" s="18" t="str">
        <f t="shared" si="26"/>
        <v>BI10.3</v>
      </c>
      <c r="D113" s="18" t="str">
        <f t="shared" si="27"/>
        <v>BI10.3_112</v>
      </c>
      <c r="E113" s="17">
        <v>3</v>
      </c>
      <c r="F113" s="19">
        <v>112</v>
      </c>
      <c r="G113" s="20">
        <v>2.5499999999999998</v>
      </c>
      <c r="H113" s="20">
        <v>3.1</v>
      </c>
      <c r="I113" s="20">
        <v>1.05</v>
      </c>
      <c r="J113" s="20">
        <f t="shared" si="25"/>
        <v>6.5780301562500023</v>
      </c>
      <c r="K113" s="53">
        <v>0.1595238095238096</v>
      </c>
      <c r="L113" s="20">
        <f t="shared" si="37"/>
        <v>32.516666666666509</v>
      </c>
      <c r="M113" s="20">
        <f t="shared" si="37"/>
        <v>33.566666666666507</v>
      </c>
      <c r="N113" s="20">
        <f t="shared" si="37"/>
        <v>33.041666666666515</v>
      </c>
      <c r="O113" s="20">
        <f>P112+$AO$90</f>
        <v>112.51666666666651</v>
      </c>
      <c r="P113" s="20">
        <f t="shared" si="40"/>
        <v>113.56666666666651</v>
      </c>
      <c r="Q113" s="20">
        <f t="shared" si="35"/>
        <v>113.04166666666652</v>
      </c>
      <c r="R113" s="20">
        <f>S112+$AO$90</f>
        <v>112.51666666666651</v>
      </c>
      <c r="S113" s="20">
        <f t="shared" si="38"/>
        <v>113.56666666666651</v>
      </c>
      <c r="T113" s="20">
        <f t="shared" si="39"/>
        <v>113.04166666666652</v>
      </c>
      <c r="U113" s="20">
        <v>113.04166666666652</v>
      </c>
      <c r="V113" s="22">
        <v>8.8939000000000004</v>
      </c>
      <c r="W113" s="22">
        <v>2.3734999999999999</v>
      </c>
      <c r="X113" s="23">
        <v>1.1476266666666668</v>
      </c>
      <c r="Y113" s="23">
        <f t="shared" si="28"/>
        <v>7.7462733333333338</v>
      </c>
      <c r="Z113" s="23">
        <f t="shared" si="29"/>
        <v>1.2258733333333331</v>
      </c>
      <c r="AA113" s="22">
        <f t="shared" si="30"/>
        <v>84.174669798208342</v>
      </c>
      <c r="AB113" s="22">
        <f t="shared" si="31"/>
        <v>15.825330201791658</v>
      </c>
      <c r="AC113" s="22">
        <f t="shared" si="32"/>
        <v>1.177597722925205</v>
      </c>
      <c r="AD113" s="22">
        <f t="shared" si="33"/>
        <v>0.18635872810169329</v>
      </c>
      <c r="AE113" s="24">
        <v>4.8395000000000001</v>
      </c>
      <c r="AF113" s="24">
        <v>5.2394999999999996</v>
      </c>
      <c r="AG113" s="24">
        <v>4.9089</v>
      </c>
      <c r="AH113" s="25">
        <f>AG113-AE113</f>
        <v>6.9399999999999906E-2</v>
      </c>
      <c r="AI113" s="25">
        <v>82.65</v>
      </c>
      <c r="AJ113" s="26">
        <v>4.1325000000000003</v>
      </c>
      <c r="AK113" s="25">
        <v>41.325000000000003</v>
      </c>
      <c r="AL113" s="26">
        <v>4.1334799201157368</v>
      </c>
      <c r="AM113" s="17">
        <f t="shared" si="34"/>
        <v>0.5780346820809249</v>
      </c>
      <c r="AN113" s="17"/>
      <c r="AO113" s="27"/>
      <c r="AP113" s="17"/>
      <c r="AQ113" s="17"/>
      <c r="AR113" s="17"/>
      <c r="AS113" s="17"/>
      <c r="AT113" s="17"/>
      <c r="AU113" s="17"/>
      <c r="AV113" s="17"/>
      <c r="AW113" s="17"/>
      <c r="AX113" s="17"/>
      <c r="BB113" s="17"/>
    </row>
    <row r="114" spans="1:54" x14ac:dyDescent="0.2">
      <c r="A114" s="17" t="s">
        <v>41</v>
      </c>
      <c r="B114" s="18" t="s">
        <v>42</v>
      </c>
      <c r="C114" s="18" t="str">
        <f t="shared" si="26"/>
        <v>BI10.3</v>
      </c>
      <c r="D114" s="18" t="str">
        <f t="shared" si="27"/>
        <v>BI10.3_113</v>
      </c>
      <c r="E114" s="17">
        <v>3</v>
      </c>
      <c r="F114" s="19">
        <v>113</v>
      </c>
      <c r="G114" s="20">
        <v>2.1</v>
      </c>
      <c r="H114" s="20">
        <v>2.6</v>
      </c>
      <c r="I114" s="20">
        <v>1.05</v>
      </c>
      <c r="J114" s="20">
        <f t="shared" si="25"/>
        <v>4.5519206250000011</v>
      </c>
      <c r="K114" s="53">
        <v>0.1595238095238096</v>
      </c>
      <c r="L114" s="20">
        <f t="shared" si="37"/>
        <v>33.726190476190311</v>
      </c>
      <c r="M114" s="20">
        <f t="shared" si="37"/>
        <v>34.776190476190308</v>
      </c>
      <c r="N114" s="20">
        <f t="shared" si="37"/>
        <v>34.251190476190317</v>
      </c>
      <c r="O114" s="20">
        <f>P113+$AO$90</f>
        <v>113.72619047619031</v>
      </c>
      <c r="P114" s="20">
        <f t="shared" si="40"/>
        <v>114.77619047619031</v>
      </c>
      <c r="Q114" s="20">
        <f t="shared" si="35"/>
        <v>114.25119047619032</v>
      </c>
      <c r="R114" s="20">
        <f>S113+$AO$90</f>
        <v>113.72619047619031</v>
      </c>
      <c r="S114" s="20">
        <f t="shared" si="38"/>
        <v>114.77619047619031</v>
      </c>
      <c r="T114" s="20">
        <f t="shared" si="39"/>
        <v>114.25119047619032</v>
      </c>
      <c r="U114" s="20">
        <v>114.25119047619032</v>
      </c>
      <c r="V114" s="22">
        <v>8.8384</v>
      </c>
      <c r="W114" s="22">
        <v>2.2974999999999999</v>
      </c>
      <c r="X114" s="23">
        <v>1.1476266666666668</v>
      </c>
      <c r="Y114" s="23">
        <f t="shared" si="28"/>
        <v>7.6907733333333335</v>
      </c>
      <c r="Z114" s="23">
        <f t="shared" si="29"/>
        <v>1.1498733333333331</v>
      </c>
      <c r="AA114" s="22">
        <f t="shared" si="30"/>
        <v>85.048664373587059</v>
      </c>
      <c r="AB114" s="22">
        <f t="shared" si="31"/>
        <v>14.951335626412941</v>
      </c>
      <c r="AC114" s="22">
        <f t="shared" si="32"/>
        <v>1.6895666613987435</v>
      </c>
      <c r="AD114" s="22">
        <f t="shared" si="33"/>
        <v>0.25261278217770611</v>
      </c>
      <c r="AE114" s="24">
        <v>5.0481999999999996</v>
      </c>
      <c r="AF114" s="24">
        <v>5.4927000000000001</v>
      </c>
      <c r="AG114" s="24">
        <v>5.1147</v>
      </c>
      <c r="AH114" s="25">
        <f>AG114-AE114</f>
        <v>6.6500000000000448E-2</v>
      </c>
      <c r="AI114" s="25">
        <v>85.039370078740077</v>
      </c>
      <c r="AJ114" s="26">
        <v>4.2519685039370039</v>
      </c>
      <c r="AK114" s="25">
        <v>42.519685039370039</v>
      </c>
      <c r="AL114" s="26">
        <v>4.252920897274282</v>
      </c>
      <c r="AM114" s="17">
        <f t="shared" si="34"/>
        <v>0.5780346820809249</v>
      </c>
      <c r="AN114" s="17"/>
      <c r="AO114" s="27"/>
      <c r="AP114" s="17"/>
      <c r="AQ114" s="17"/>
      <c r="AR114" s="17"/>
      <c r="AS114" s="17"/>
      <c r="AT114" s="17"/>
      <c r="AU114" s="17"/>
      <c r="AV114" s="17"/>
      <c r="AW114" s="17"/>
      <c r="AX114" s="17"/>
      <c r="BB114" s="17"/>
    </row>
    <row r="115" spans="1:54" x14ac:dyDescent="0.2">
      <c r="A115" s="17" t="s">
        <v>41</v>
      </c>
      <c r="B115" s="18" t="s">
        <v>42</v>
      </c>
      <c r="C115" s="18" t="str">
        <f t="shared" si="26"/>
        <v>BI10.3</v>
      </c>
      <c r="D115" s="18" t="str">
        <f t="shared" si="27"/>
        <v>BI10.3_114</v>
      </c>
      <c r="E115" s="17">
        <v>3</v>
      </c>
      <c r="F115" s="19">
        <v>114</v>
      </c>
      <c r="G115" s="20">
        <v>2</v>
      </c>
      <c r="H115" s="20">
        <v>2.5</v>
      </c>
      <c r="I115" s="20">
        <v>1</v>
      </c>
      <c r="J115" s="20">
        <f t="shared" si="25"/>
        <v>3.9740625000000001</v>
      </c>
      <c r="K115" s="53">
        <v>0.1595238095238096</v>
      </c>
      <c r="L115" s="20">
        <f t="shared" si="37"/>
        <v>34.935714285714113</v>
      </c>
      <c r="M115" s="20">
        <f t="shared" si="37"/>
        <v>35.935714285714113</v>
      </c>
      <c r="N115" s="20">
        <f t="shared" si="37"/>
        <v>35.435714285714113</v>
      </c>
      <c r="O115" s="20">
        <f>P114+$AO$90</f>
        <v>114.93571428571411</v>
      </c>
      <c r="P115" s="20">
        <f t="shared" si="40"/>
        <v>115.93571428571411</v>
      </c>
      <c r="Q115" s="20">
        <f t="shared" si="35"/>
        <v>115.43571428571411</v>
      </c>
      <c r="R115" s="20">
        <f>S114+$AO$90</f>
        <v>114.93571428571411</v>
      </c>
      <c r="S115" s="20">
        <f t="shared" si="38"/>
        <v>115.93571428571411</v>
      </c>
      <c r="T115" s="20">
        <f t="shared" si="39"/>
        <v>115.43571428571411</v>
      </c>
      <c r="U115" s="20">
        <v>115.43571428571411</v>
      </c>
      <c r="V115" s="22">
        <v>9.0539000000000005</v>
      </c>
      <c r="W115" s="22">
        <v>2.2422</v>
      </c>
      <c r="X115" s="23">
        <v>1.1476266666666668</v>
      </c>
      <c r="Y115" s="23">
        <f t="shared" si="28"/>
        <v>7.9062733333333339</v>
      </c>
      <c r="Z115" s="23">
        <f t="shared" si="29"/>
        <v>1.0945733333333332</v>
      </c>
      <c r="AA115" s="22">
        <f t="shared" si="30"/>
        <v>86.155635061103382</v>
      </c>
      <c r="AB115" s="22">
        <f t="shared" si="31"/>
        <v>13.844364938896618</v>
      </c>
      <c r="AC115" s="22">
        <f t="shared" si="32"/>
        <v>1.989468795051244</v>
      </c>
      <c r="AD115" s="22">
        <f t="shared" si="33"/>
        <v>0.27542932033236345</v>
      </c>
      <c r="AE115" s="24">
        <v>4.8643000000000001</v>
      </c>
      <c r="AF115" s="24">
        <v>5.2083000000000004</v>
      </c>
      <c r="AG115" s="24">
        <v>4.9158999999999997</v>
      </c>
      <c r="AH115" s="25">
        <f>AG115-AE115</f>
        <v>5.1599999999999646E-2</v>
      </c>
      <c r="AI115" s="25">
        <v>85.000000000000114</v>
      </c>
      <c r="AJ115" s="26">
        <v>4.2500000000000062</v>
      </c>
      <c r="AK115" s="25">
        <v>42.500000000000057</v>
      </c>
      <c r="AL115" s="26">
        <v>4.2509528343654965</v>
      </c>
      <c r="AM115" s="17">
        <f t="shared" si="34"/>
        <v>0.5780346820809249</v>
      </c>
      <c r="AN115" s="17"/>
      <c r="AO115" s="27"/>
      <c r="AP115" s="17"/>
      <c r="AQ115" s="17"/>
      <c r="AR115" s="17"/>
      <c r="AS115" s="17"/>
      <c r="AT115" s="17"/>
      <c r="AU115" s="17"/>
      <c r="AV115" s="17"/>
      <c r="AW115" s="17"/>
      <c r="AX115" s="17"/>
      <c r="BB115" s="17"/>
    </row>
    <row r="116" spans="1:54" x14ac:dyDescent="0.2">
      <c r="A116" s="17" t="s">
        <v>41</v>
      </c>
      <c r="B116" s="18" t="s">
        <v>42</v>
      </c>
      <c r="C116" s="18" t="str">
        <f t="shared" si="26"/>
        <v>BI10.3</v>
      </c>
      <c r="D116" s="18" t="str">
        <f t="shared" si="27"/>
        <v>BI10.3_115</v>
      </c>
      <c r="E116" s="17">
        <v>3</v>
      </c>
      <c r="F116" s="19">
        <v>115</v>
      </c>
      <c r="G116" s="20">
        <v>2.6</v>
      </c>
      <c r="H116" s="20">
        <v>2</v>
      </c>
      <c r="I116" s="20">
        <v>1</v>
      </c>
      <c r="J116" s="20">
        <f t="shared" si="25"/>
        <v>4.1526499999999995</v>
      </c>
      <c r="K116" s="53">
        <v>0.1595238095238096</v>
      </c>
      <c r="L116" s="20">
        <f t="shared" si="37"/>
        <v>36.095238095237917</v>
      </c>
      <c r="M116" s="20">
        <f t="shared" si="37"/>
        <v>37.095238095237917</v>
      </c>
      <c r="N116" s="20">
        <f t="shared" si="37"/>
        <v>36.595238095237917</v>
      </c>
      <c r="O116" s="20">
        <f>P115+$AO$90</f>
        <v>116.09523809523792</v>
      </c>
      <c r="P116" s="20">
        <f t="shared" si="40"/>
        <v>117.09523809523792</v>
      </c>
      <c r="Q116" s="20">
        <f t="shared" si="35"/>
        <v>116.59523809523792</v>
      </c>
      <c r="R116" s="20">
        <f>S115+$AO$90</f>
        <v>116.09523809523792</v>
      </c>
      <c r="S116" s="20">
        <f t="shared" si="38"/>
        <v>117.09523809523792</v>
      </c>
      <c r="T116" s="20">
        <f t="shared" si="39"/>
        <v>116.59523809523792</v>
      </c>
      <c r="U116" s="20">
        <v>116.59523809523792</v>
      </c>
      <c r="V116" s="22">
        <v>8.8682999999999996</v>
      </c>
      <c r="W116" s="22">
        <v>2.1758000000000002</v>
      </c>
      <c r="X116" s="23">
        <v>1.1476266666666668</v>
      </c>
      <c r="Y116" s="23">
        <f t="shared" si="28"/>
        <v>7.7206733333333331</v>
      </c>
      <c r="Z116" s="23">
        <f t="shared" si="29"/>
        <v>1.0281733333333334</v>
      </c>
      <c r="AA116" s="22">
        <f t="shared" si="30"/>
        <v>86.682854086128941</v>
      </c>
      <c r="AB116" s="22">
        <f t="shared" si="31"/>
        <v>13.317145913871059</v>
      </c>
      <c r="AC116" s="22">
        <f t="shared" si="32"/>
        <v>1.859216002632857</v>
      </c>
      <c r="AD116" s="22">
        <f t="shared" si="33"/>
        <v>0.24759450792465859</v>
      </c>
      <c r="AE116" s="24">
        <v>4.5730000000000004</v>
      </c>
      <c r="AF116" s="24">
        <v>4.9810999999999996</v>
      </c>
      <c r="AG116" s="24">
        <v>4.62</v>
      </c>
      <c r="AH116" s="25">
        <f>AG116-AE116</f>
        <v>4.6999999999999709E-2</v>
      </c>
      <c r="AI116" s="25">
        <v>88.483214898309299</v>
      </c>
      <c r="AJ116" s="26">
        <v>4.424160744915465</v>
      </c>
      <c r="AK116" s="25">
        <v>44.24160744915465</v>
      </c>
      <c r="AL116" s="26">
        <v>4.4250760780862244</v>
      </c>
      <c r="AM116" s="17">
        <f t="shared" si="34"/>
        <v>0.5780346820809249</v>
      </c>
      <c r="AN116" s="17"/>
      <c r="AO116" s="27"/>
      <c r="AP116" s="17"/>
      <c r="AQ116" s="17"/>
      <c r="AR116" s="17"/>
      <c r="AS116" s="17"/>
      <c r="AT116" s="17"/>
      <c r="AU116" s="17"/>
      <c r="AV116" s="17"/>
      <c r="AW116" s="17"/>
      <c r="AX116" s="17"/>
      <c r="BB116" s="17"/>
    </row>
    <row r="117" spans="1:54" x14ac:dyDescent="0.2">
      <c r="A117" s="17" t="s">
        <v>41</v>
      </c>
      <c r="B117" s="18" t="s">
        <v>42</v>
      </c>
      <c r="C117" s="18" t="str">
        <f t="shared" si="26"/>
        <v>BI10.3</v>
      </c>
      <c r="D117" s="18" t="str">
        <f t="shared" si="27"/>
        <v>BI10.3_116</v>
      </c>
      <c r="E117" s="17">
        <v>3</v>
      </c>
      <c r="F117" s="19">
        <v>116</v>
      </c>
      <c r="G117" s="20">
        <v>2.4</v>
      </c>
      <c r="H117" s="20">
        <v>3</v>
      </c>
      <c r="I117" s="20">
        <v>1</v>
      </c>
      <c r="J117" s="20">
        <f t="shared" si="25"/>
        <v>5.7226500000000016</v>
      </c>
      <c r="K117" s="53">
        <v>0.1595238095238096</v>
      </c>
      <c r="L117" s="20">
        <f t="shared" si="37"/>
        <v>37.254761904761722</v>
      </c>
      <c r="M117" s="20">
        <f t="shared" si="37"/>
        <v>38.254761904761722</v>
      </c>
      <c r="N117" s="20">
        <f t="shared" si="37"/>
        <v>37.754761904761722</v>
      </c>
      <c r="O117" s="20">
        <f>P116+$AO$90</f>
        <v>117.25476190476172</v>
      </c>
      <c r="P117" s="20">
        <f t="shared" si="40"/>
        <v>118.25476190476172</v>
      </c>
      <c r="Q117" s="20">
        <f t="shared" si="35"/>
        <v>117.75476190476172</v>
      </c>
      <c r="R117" s="20">
        <f>S116+$AO$90</f>
        <v>117.25476190476172</v>
      </c>
      <c r="S117" s="20">
        <f t="shared" si="38"/>
        <v>118.25476190476172</v>
      </c>
      <c r="T117" s="20">
        <f t="shared" si="39"/>
        <v>117.75476190476172</v>
      </c>
      <c r="U117" s="20">
        <v>117.75476190476172</v>
      </c>
      <c r="V117" s="22">
        <v>7.9572000000000003</v>
      </c>
      <c r="W117" s="22">
        <v>2.0411000000000001</v>
      </c>
      <c r="X117" s="23">
        <v>1.1476266666666668</v>
      </c>
      <c r="Y117" s="23">
        <f t="shared" si="28"/>
        <v>6.8095733333333337</v>
      </c>
      <c r="Z117" s="23">
        <f t="shared" si="29"/>
        <v>0.89347333333333334</v>
      </c>
      <c r="AA117" s="22">
        <f t="shared" si="30"/>
        <v>86.879158361365754</v>
      </c>
      <c r="AB117" s="22">
        <f t="shared" si="31"/>
        <v>13.120841638634246</v>
      </c>
      <c r="AC117" s="22">
        <f t="shared" si="32"/>
        <v>1.1899335680730661</v>
      </c>
      <c r="AD117" s="22">
        <f t="shared" si="33"/>
        <v>0.15612929907181691</v>
      </c>
      <c r="AE117" s="24">
        <v>4.7183000000000002</v>
      </c>
      <c r="AF117" s="24">
        <v>5.1638999999999999</v>
      </c>
      <c r="AG117" s="24">
        <v>4.7682000000000002</v>
      </c>
      <c r="AH117" s="25">
        <f>AG117-AE117</f>
        <v>4.9900000000000055E-2</v>
      </c>
      <c r="AI117" s="25">
        <v>88.801615798922782</v>
      </c>
      <c r="AJ117" s="26">
        <v>4.4400807899461396</v>
      </c>
      <c r="AK117" s="25">
        <v>44.400807899461391</v>
      </c>
      <c r="AL117" s="26">
        <v>4.4409928418371418</v>
      </c>
      <c r="AM117" s="17">
        <f t="shared" si="34"/>
        <v>0.5780346820809249</v>
      </c>
      <c r="AN117" s="17"/>
      <c r="AO117" s="27"/>
      <c r="AP117" s="17"/>
      <c r="AQ117" s="17"/>
      <c r="AR117" s="17"/>
      <c r="AS117" s="17"/>
      <c r="AT117" s="17"/>
      <c r="AU117" s="17"/>
      <c r="AV117" s="17"/>
      <c r="AW117" s="17"/>
      <c r="AX117" s="17"/>
      <c r="BB117" s="17"/>
    </row>
    <row r="118" spans="1:54" x14ac:dyDescent="0.2">
      <c r="A118" s="17" t="s">
        <v>41</v>
      </c>
      <c r="B118" s="18" t="s">
        <v>42</v>
      </c>
      <c r="C118" s="18" t="str">
        <f t="shared" si="26"/>
        <v>BI10.3</v>
      </c>
      <c r="D118" s="18" t="str">
        <f t="shared" si="27"/>
        <v>BI10.3_117</v>
      </c>
      <c r="E118" s="17">
        <v>3</v>
      </c>
      <c r="F118" s="19">
        <v>117</v>
      </c>
      <c r="G118" s="20">
        <v>3</v>
      </c>
      <c r="H118" s="20">
        <v>2.5</v>
      </c>
      <c r="I118" s="20">
        <v>1</v>
      </c>
      <c r="J118" s="20">
        <f t="shared" si="25"/>
        <v>5.9365625</v>
      </c>
      <c r="K118" s="53">
        <v>0.1595238095238096</v>
      </c>
      <c r="L118" s="20">
        <f t="shared" si="37"/>
        <v>38.414285714285526</v>
      </c>
      <c r="M118" s="20">
        <f t="shared" si="37"/>
        <v>39.414285714285526</v>
      </c>
      <c r="N118" s="20">
        <f t="shared" si="37"/>
        <v>38.914285714285526</v>
      </c>
      <c r="O118" s="20">
        <f>P117+$AO$90</f>
        <v>118.41428571428553</v>
      </c>
      <c r="P118" s="20">
        <f t="shared" si="40"/>
        <v>119.41428571428553</v>
      </c>
      <c r="Q118" s="20">
        <f t="shared" si="35"/>
        <v>118.91428571428553</v>
      </c>
      <c r="R118" s="20">
        <f>S117+$AO$90</f>
        <v>118.41428571428553</v>
      </c>
      <c r="S118" s="20">
        <f t="shared" si="38"/>
        <v>119.41428571428553</v>
      </c>
      <c r="T118" s="20">
        <f t="shared" si="39"/>
        <v>118.91428571428553</v>
      </c>
      <c r="U118" s="20">
        <v>118.91428571428553</v>
      </c>
      <c r="V118" s="22">
        <v>8.6812000000000005</v>
      </c>
      <c r="W118" s="22">
        <v>2.1501000000000001</v>
      </c>
      <c r="X118" s="23">
        <v>1.1476266666666668</v>
      </c>
      <c r="Y118" s="23">
        <f t="shared" si="28"/>
        <v>7.5335733333333339</v>
      </c>
      <c r="Z118" s="23">
        <f t="shared" si="29"/>
        <v>1.0024733333333333</v>
      </c>
      <c r="AA118" s="22">
        <f t="shared" si="30"/>
        <v>86.693255790081025</v>
      </c>
      <c r="AB118" s="22">
        <f t="shared" si="31"/>
        <v>13.306744209918975</v>
      </c>
      <c r="AC118" s="22">
        <f t="shared" si="32"/>
        <v>1.2690127213068731</v>
      </c>
      <c r="AD118" s="22">
        <f t="shared" si="33"/>
        <v>0.16886427681563757</v>
      </c>
      <c r="AE118" s="24">
        <v>5.2396000000000003</v>
      </c>
      <c r="AF118" s="24">
        <v>5.6069000000000004</v>
      </c>
      <c r="AG118" s="24">
        <v>5.2804000000000002</v>
      </c>
      <c r="AH118" s="25">
        <f>AG118-AE118</f>
        <v>4.0799999999999947E-2</v>
      </c>
      <c r="AI118" s="25">
        <v>88.891913966784671</v>
      </c>
      <c r="AJ118" s="26">
        <v>4.4445956983392341</v>
      </c>
      <c r="AK118" s="25">
        <v>44.445956983392335</v>
      </c>
      <c r="AL118" s="26">
        <v>4.4455068239398328</v>
      </c>
      <c r="AM118" s="17">
        <f t="shared" si="34"/>
        <v>0.5780346820809249</v>
      </c>
      <c r="AN118" s="17"/>
      <c r="AO118" s="27"/>
      <c r="AP118" s="17"/>
      <c r="AQ118" s="17"/>
      <c r="AR118" s="17"/>
      <c r="AS118" s="17"/>
      <c r="AT118" s="17"/>
      <c r="AU118" s="17"/>
      <c r="AV118" s="17"/>
      <c r="AW118" s="17"/>
      <c r="AX118" s="17"/>
      <c r="BB118" s="17"/>
    </row>
    <row r="119" spans="1:54" x14ac:dyDescent="0.2">
      <c r="A119" s="17" t="s">
        <v>41</v>
      </c>
      <c r="B119" s="18" t="s">
        <v>42</v>
      </c>
      <c r="C119" s="18" t="str">
        <f t="shared" si="26"/>
        <v>BI10.3</v>
      </c>
      <c r="D119" s="18" t="str">
        <f t="shared" si="27"/>
        <v>BI10.3_118</v>
      </c>
      <c r="E119" s="17">
        <v>3</v>
      </c>
      <c r="F119" s="19">
        <v>118</v>
      </c>
      <c r="G119" s="20">
        <v>2.35</v>
      </c>
      <c r="H119" s="20">
        <v>2.85</v>
      </c>
      <c r="I119" s="20">
        <v>1</v>
      </c>
      <c r="J119" s="20">
        <f t="shared" si="25"/>
        <v>5.3066000000000013</v>
      </c>
      <c r="K119" s="53">
        <v>0.1595238095238096</v>
      </c>
      <c r="L119" s="20">
        <f t="shared" si="37"/>
        <v>39.573809523809331</v>
      </c>
      <c r="M119" s="20">
        <f t="shared" si="37"/>
        <v>40.573809523809331</v>
      </c>
      <c r="N119" s="20">
        <f t="shared" si="37"/>
        <v>40.073809523809331</v>
      </c>
      <c r="O119" s="20">
        <f>P118+$AO$90</f>
        <v>119.57380952380933</v>
      </c>
      <c r="P119" s="20">
        <f t="shared" si="40"/>
        <v>120.57380952380933</v>
      </c>
      <c r="Q119" s="20">
        <f t="shared" si="35"/>
        <v>120.07380952380933</v>
      </c>
      <c r="R119" s="20">
        <f>S118+$AO$90</f>
        <v>119.57380952380933</v>
      </c>
      <c r="S119" s="20">
        <f t="shared" si="38"/>
        <v>120.57380952380933</v>
      </c>
      <c r="T119" s="20">
        <f t="shared" si="39"/>
        <v>120.07380952380933</v>
      </c>
      <c r="U119" s="20">
        <v>120.07380952380933</v>
      </c>
      <c r="V119" s="22">
        <v>8.0831</v>
      </c>
      <c r="W119" s="22">
        <v>2.0638000000000001</v>
      </c>
      <c r="X119" s="23">
        <v>1.1476266666666668</v>
      </c>
      <c r="Y119" s="23">
        <f t="shared" si="28"/>
        <v>6.9354733333333334</v>
      </c>
      <c r="Z119" s="23">
        <f t="shared" si="29"/>
        <v>0.91617333333333328</v>
      </c>
      <c r="AA119" s="22">
        <f t="shared" si="30"/>
        <v>86.790038843779953</v>
      </c>
      <c r="AB119" s="22">
        <f t="shared" si="31"/>
        <v>13.209961156220047</v>
      </c>
      <c r="AC119" s="22">
        <f t="shared" si="32"/>
        <v>1.3069523486475958</v>
      </c>
      <c r="AD119" s="22">
        <f t="shared" si="33"/>
        <v>0.17264789758665305</v>
      </c>
      <c r="AE119" s="24">
        <v>5.1176000000000004</v>
      </c>
      <c r="AF119" s="24">
        <v>5.4927999999999999</v>
      </c>
      <c r="AG119" s="24">
        <v>5.1600999999999999</v>
      </c>
      <c r="AH119" s="25">
        <f>AG119-AE119</f>
        <v>4.2499999999999538E-2</v>
      </c>
      <c r="AI119" s="25">
        <v>88.672707889125917</v>
      </c>
      <c r="AJ119" s="26">
        <v>4.4336353944562958</v>
      </c>
      <c r="AK119" s="25">
        <v>44.336353944562958</v>
      </c>
      <c r="AL119" s="26">
        <v>4.4345487719694354</v>
      </c>
      <c r="AM119" s="17">
        <f t="shared" si="34"/>
        <v>0.5780346820809249</v>
      </c>
      <c r="AN119" s="17"/>
      <c r="AO119" s="27"/>
      <c r="AP119" s="17"/>
      <c r="AQ119" s="17"/>
      <c r="AR119" s="17"/>
      <c r="AS119" s="17"/>
      <c r="AT119" s="17"/>
      <c r="AU119" s="17"/>
      <c r="AV119" s="17"/>
      <c r="AW119" s="17"/>
      <c r="AX119" s="17"/>
      <c r="BB119" s="17"/>
    </row>
    <row r="120" spans="1:54" x14ac:dyDescent="0.2">
      <c r="A120" s="17" t="s">
        <v>41</v>
      </c>
      <c r="B120" s="18" t="s">
        <v>42</v>
      </c>
      <c r="C120" s="18" t="str">
        <f t="shared" si="26"/>
        <v>BI10.3</v>
      </c>
      <c r="D120" s="18" t="str">
        <f t="shared" si="27"/>
        <v>BI10.3_119</v>
      </c>
      <c r="E120" s="17">
        <v>3</v>
      </c>
      <c r="F120" s="19">
        <v>119</v>
      </c>
      <c r="G120" s="20">
        <v>2.2999999999999998</v>
      </c>
      <c r="H120" s="20">
        <v>2.9</v>
      </c>
      <c r="I120" s="20">
        <v>0.95</v>
      </c>
      <c r="J120" s="20">
        <f t="shared" si="25"/>
        <v>5.041269999999999</v>
      </c>
      <c r="K120" s="53">
        <v>0.1595238095238096</v>
      </c>
      <c r="L120" s="20">
        <f t="shared" si="37"/>
        <v>40.733333333333135</v>
      </c>
      <c r="M120" s="20">
        <f t="shared" si="37"/>
        <v>41.683333333333138</v>
      </c>
      <c r="N120" s="20">
        <f t="shared" si="37"/>
        <v>41.208333333333144</v>
      </c>
      <c r="O120" s="20">
        <f>P119+$AO$90</f>
        <v>120.73333333333314</v>
      </c>
      <c r="P120" s="20">
        <f t="shared" si="40"/>
        <v>121.68333333333314</v>
      </c>
      <c r="Q120" s="20">
        <f t="shared" si="35"/>
        <v>121.20833333333314</v>
      </c>
      <c r="R120" s="20">
        <f>S119+$AO$90</f>
        <v>120.73333333333314</v>
      </c>
      <c r="S120" s="20">
        <f t="shared" si="38"/>
        <v>121.68333333333314</v>
      </c>
      <c r="T120" s="20">
        <f t="shared" si="39"/>
        <v>121.20833333333314</v>
      </c>
      <c r="U120" s="20">
        <v>121.20833333333314</v>
      </c>
      <c r="V120" s="22">
        <v>8.4305000000000003</v>
      </c>
      <c r="W120" s="22">
        <v>2.0731000000000002</v>
      </c>
      <c r="X120" s="23">
        <v>1.1476266666666668</v>
      </c>
      <c r="Y120" s="23">
        <f t="shared" si="28"/>
        <v>7.2828733333333338</v>
      </c>
      <c r="Z120" s="23">
        <f t="shared" si="29"/>
        <v>0.92547333333333337</v>
      </c>
      <c r="AA120" s="22">
        <f t="shared" si="30"/>
        <v>87.292469730353673</v>
      </c>
      <c r="AB120" s="22">
        <f t="shared" si="31"/>
        <v>12.707530269646327</v>
      </c>
      <c r="AC120" s="22">
        <f t="shared" si="32"/>
        <v>1.4446505212641527</v>
      </c>
      <c r="AD120" s="22">
        <f t="shared" si="33"/>
        <v>0.18357940228024555</v>
      </c>
      <c r="AE120" s="24">
        <v>4.9192</v>
      </c>
      <c r="AF120" s="24">
        <v>5.2518000000000002</v>
      </c>
      <c r="AG120" s="24">
        <v>4.9573999999999998</v>
      </c>
      <c r="AH120" s="25">
        <f>AG120-AE120</f>
        <v>3.819999999999979E-2</v>
      </c>
      <c r="AI120" s="25">
        <v>88.514732411304948</v>
      </c>
      <c r="AJ120" s="26">
        <v>4.4257366205652477</v>
      </c>
      <c r="AK120" s="25">
        <v>44.257366205652474</v>
      </c>
      <c r="AL120" s="26">
        <v>4.4266516278799601</v>
      </c>
      <c r="AM120" s="17">
        <f t="shared" si="34"/>
        <v>0.5780346820809249</v>
      </c>
      <c r="AN120" s="17"/>
      <c r="AO120" s="27"/>
      <c r="AP120" s="17"/>
      <c r="AQ120" s="17"/>
      <c r="AR120" s="17"/>
      <c r="AS120" s="17"/>
      <c r="AT120" s="17"/>
      <c r="AU120" s="17"/>
      <c r="AV120" s="17"/>
      <c r="AW120" s="17"/>
      <c r="AX120" s="17"/>
      <c r="BB120" s="17"/>
    </row>
    <row r="121" spans="1:54" x14ac:dyDescent="0.2">
      <c r="A121" s="17" t="s">
        <v>41</v>
      </c>
      <c r="B121" s="18" t="s">
        <v>42</v>
      </c>
      <c r="C121" s="18" t="str">
        <f t="shared" si="26"/>
        <v>BI10.3</v>
      </c>
      <c r="D121" s="18" t="str">
        <f t="shared" si="27"/>
        <v>BI10.3_120</v>
      </c>
      <c r="E121" s="17">
        <v>3</v>
      </c>
      <c r="F121" s="19">
        <v>120</v>
      </c>
      <c r="G121" s="20">
        <v>2.8</v>
      </c>
      <c r="H121" s="20">
        <v>2.4</v>
      </c>
      <c r="I121" s="20">
        <v>0.9</v>
      </c>
      <c r="J121" s="20">
        <f t="shared" si="25"/>
        <v>4.7759399999999994</v>
      </c>
      <c r="K121" s="53">
        <v>0.1595238095238096</v>
      </c>
      <c r="L121" s="20">
        <f t="shared" si="37"/>
        <v>41.842857142856943</v>
      </c>
      <c r="M121" s="20">
        <f t="shared" si="37"/>
        <v>42.742857142856948</v>
      </c>
      <c r="N121" s="20">
        <f t="shared" si="37"/>
        <v>42.292857142856946</v>
      </c>
      <c r="O121" s="20">
        <f>P120+$AO$90</f>
        <v>121.84285714285694</v>
      </c>
      <c r="P121" s="20">
        <f t="shared" si="40"/>
        <v>122.74285714285695</v>
      </c>
      <c r="Q121" s="20">
        <f t="shared" si="35"/>
        <v>122.29285714285695</v>
      </c>
      <c r="R121" s="20">
        <f>S120+$AO$90</f>
        <v>121.84285714285694</v>
      </c>
      <c r="S121" s="20">
        <f t="shared" si="38"/>
        <v>122.74285714285695</v>
      </c>
      <c r="T121" s="20">
        <f t="shared" si="39"/>
        <v>122.29285714285695</v>
      </c>
      <c r="U121" s="20">
        <v>122.29285714285695</v>
      </c>
      <c r="V121" s="22">
        <v>7.0904999999999996</v>
      </c>
      <c r="W121" s="22">
        <v>1.8733</v>
      </c>
      <c r="X121" s="23">
        <v>1.1476266666666668</v>
      </c>
      <c r="Y121" s="23">
        <f t="shared" si="28"/>
        <v>5.942873333333333</v>
      </c>
      <c r="Z121" s="23">
        <f t="shared" si="29"/>
        <v>0.72567333333333317</v>
      </c>
      <c r="AA121" s="22">
        <f t="shared" si="30"/>
        <v>87.789183907672054</v>
      </c>
      <c r="AB121" s="22">
        <f t="shared" si="31"/>
        <v>12.210816092327946</v>
      </c>
      <c r="AC121" s="22">
        <f t="shared" si="32"/>
        <v>1.2443358445318269</v>
      </c>
      <c r="AD121" s="22">
        <f t="shared" si="33"/>
        <v>0.15194356154669725</v>
      </c>
      <c r="AE121" s="24">
        <v>5.0183999999999997</v>
      </c>
      <c r="AF121" s="24">
        <v>5.2797000000000001</v>
      </c>
      <c r="AG121" s="24">
        <v>5.0468999999999999</v>
      </c>
      <c r="AH121" s="25">
        <f>AG121-AE121</f>
        <v>2.8500000000000192E-2</v>
      </c>
      <c r="AI121" s="25">
        <v>89.092996555683058</v>
      </c>
      <c r="AJ121" s="26">
        <v>4.4546498277841531</v>
      </c>
      <c r="AK121" s="25">
        <v>44.546498277841529</v>
      </c>
      <c r="AL121" s="26">
        <v>4.4555588973974274</v>
      </c>
      <c r="AM121" s="17">
        <f t="shared" si="34"/>
        <v>0.5780346820809249</v>
      </c>
      <c r="AN121" s="17"/>
      <c r="AO121" s="27"/>
      <c r="AP121" s="17"/>
      <c r="AQ121" s="17"/>
      <c r="AR121" s="17"/>
      <c r="AS121" s="17"/>
      <c r="AT121" s="17"/>
      <c r="AU121" s="17"/>
      <c r="AV121" s="17"/>
      <c r="AW121" s="17"/>
      <c r="AX121" s="17"/>
      <c r="BB121" s="17"/>
    </row>
    <row r="122" spans="1:54" x14ac:dyDescent="0.2">
      <c r="A122" s="17" t="s">
        <v>41</v>
      </c>
      <c r="B122" s="18" t="s">
        <v>42</v>
      </c>
      <c r="C122" s="18" t="str">
        <f t="shared" si="26"/>
        <v>BI10.3</v>
      </c>
      <c r="D122" s="18" t="str">
        <f t="shared" si="27"/>
        <v>BI10.3_121</v>
      </c>
      <c r="E122" s="17">
        <v>3</v>
      </c>
      <c r="F122" s="19">
        <v>121</v>
      </c>
      <c r="G122" s="20">
        <v>2.4</v>
      </c>
      <c r="H122" s="20">
        <v>2.65</v>
      </c>
      <c r="I122" s="20">
        <v>0.9</v>
      </c>
      <c r="J122" s="20">
        <f t="shared" si="25"/>
        <v>4.5043790625</v>
      </c>
      <c r="K122" s="53">
        <v>0.1595238095238096</v>
      </c>
      <c r="L122" s="20">
        <f t="shared" si="37"/>
        <v>42.902380952380753</v>
      </c>
      <c r="M122" s="20">
        <f t="shared" si="37"/>
        <v>43.802380952380759</v>
      </c>
      <c r="N122" s="20">
        <f t="shared" si="37"/>
        <v>43.352380952380756</v>
      </c>
      <c r="O122" s="20">
        <f>P121+$AO$90</f>
        <v>122.90238095238075</v>
      </c>
      <c r="P122" s="20">
        <f t="shared" si="40"/>
        <v>123.80238095238076</v>
      </c>
      <c r="Q122" s="20">
        <f t="shared" si="35"/>
        <v>123.35238095238076</v>
      </c>
      <c r="R122" s="20">
        <f>S121+$AO$90</f>
        <v>122.90238095238075</v>
      </c>
      <c r="S122" s="20">
        <f t="shared" si="38"/>
        <v>123.80238095238076</v>
      </c>
      <c r="T122" s="20">
        <f t="shared" si="39"/>
        <v>123.35238095238076</v>
      </c>
      <c r="U122" s="20">
        <v>123.35238095238076</v>
      </c>
      <c r="V122" s="22">
        <v>7.2293000000000003</v>
      </c>
      <c r="W122" s="22">
        <v>1.9032</v>
      </c>
      <c r="X122" s="23">
        <v>1.1476266666666668</v>
      </c>
      <c r="Y122" s="23">
        <f t="shared" si="28"/>
        <v>6.0816733333333337</v>
      </c>
      <c r="Z122" s="23">
        <f t="shared" si="29"/>
        <v>0.75557333333333321</v>
      </c>
      <c r="AA122" s="22">
        <f t="shared" si="30"/>
        <v>87.576226279828688</v>
      </c>
      <c r="AB122" s="22">
        <f t="shared" si="31"/>
        <v>12.423773720171312</v>
      </c>
      <c r="AC122" s="22">
        <f t="shared" si="32"/>
        <v>1.350169079677302</v>
      </c>
      <c r="AD122" s="22">
        <f t="shared" si="33"/>
        <v>0.16774195129882749</v>
      </c>
      <c r="AE122" s="24">
        <v>6.0119100000000003</v>
      </c>
      <c r="AF122" s="24">
        <v>6.2774999999999999</v>
      </c>
      <c r="AG122" s="24">
        <v>6.0515999999999996</v>
      </c>
      <c r="AH122" s="25">
        <f>AG122-AE122</f>
        <v>3.9689999999999337E-2</v>
      </c>
      <c r="AI122" s="25">
        <v>85.055913249746069</v>
      </c>
      <c r="AJ122" s="26">
        <v>4.252795662487304</v>
      </c>
      <c r="AK122" s="25">
        <v>42.527956624873035</v>
      </c>
      <c r="AL122" s="26">
        <v>4.2537478706278335</v>
      </c>
      <c r="AM122" s="17">
        <f t="shared" si="34"/>
        <v>0.5780346820809249</v>
      </c>
      <c r="AN122" s="17"/>
      <c r="AO122" s="27"/>
      <c r="AP122" s="17"/>
      <c r="AQ122" s="17"/>
      <c r="AR122" s="17"/>
      <c r="AS122" s="17"/>
      <c r="AT122" s="17"/>
      <c r="AU122" s="17"/>
      <c r="AV122" s="17"/>
      <c r="AW122" s="17"/>
      <c r="AX122" s="17"/>
      <c r="BB122" s="17"/>
    </row>
    <row r="123" spans="1:54" x14ac:dyDescent="0.2">
      <c r="A123" s="17" t="s">
        <v>41</v>
      </c>
      <c r="B123" s="18" t="s">
        <v>42</v>
      </c>
      <c r="C123" s="18" t="str">
        <f t="shared" si="26"/>
        <v>BI10.3</v>
      </c>
      <c r="D123" s="18" t="str">
        <f t="shared" si="27"/>
        <v>BI10.3_122</v>
      </c>
      <c r="E123" s="17">
        <v>3</v>
      </c>
      <c r="F123" s="19">
        <v>122</v>
      </c>
      <c r="G123" s="20">
        <v>2.5</v>
      </c>
      <c r="H123" s="20">
        <v>2.75</v>
      </c>
      <c r="I123" s="20">
        <v>1</v>
      </c>
      <c r="J123" s="20">
        <f t="shared" si="25"/>
        <v>5.409140625</v>
      </c>
      <c r="K123" s="53">
        <v>0.1595238095238096</v>
      </c>
      <c r="L123" s="20">
        <f t="shared" si="37"/>
        <v>43.961904761904563</v>
      </c>
      <c r="M123" s="20">
        <f t="shared" si="37"/>
        <v>44.961904761904563</v>
      </c>
      <c r="N123" s="20">
        <f t="shared" si="37"/>
        <v>44.461904761904563</v>
      </c>
      <c r="O123" s="20">
        <f>P122+$AO$90</f>
        <v>123.96190476190456</v>
      </c>
      <c r="P123" s="20">
        <f t="shared" si="40"/>
        <v>124.96190476190456</v>
      </c>
      <c r="Q123" s="20">
        <f t="shared" si="35"/>
        <v>124.46190476190456</v>
      </c>
      <c r="R123" s="20">
        <f>S122+$AO$90</f>
        <v>123.96190476190456</v>
      </c>
      <c r="S123" s="20">
        <f t="shared" si="38"/>
        <v>124.96190476190456</v>
      </c>
      <c r="T123" s="20">
        <f t="shared" si="39"/>
        <v>124.46190476190456</v>
      </c>
      <c r="U123" s="20">
        <v>124.46190476190456</v>
      </c>
      <c r="V123" s="22">
        <v>8.3173999999999992</v>
      </c>
      <c r="W123" s="22">
        <v>2.0221</v>
      </c>
      <c r="X123" s="23">
        <v>1.1476266666666668</v>
      </c>
      <c r="Y123" s="23">
        <f t="shared" si="28"/>
        <v>7.1697733333333327</v>
      </c>
      <c r="Z123" s="23">
        <f t="shared" si="29"/>
        <v>0.87447333333333321</v>
      </c>
      <c r="AA123" s="22">
        <f t="shared" si="30"/>
        <v>87.803333624679908</v>
      </c>
      <c r="AB123" s="22">
        <f t="shared" si="31"/>
        <v>12.196666375320092</v>
      </c>
      <c r="AC123" s="22">
        <f t="shared" si="32"/>
        <v>1.3254921308934047</v>
      </c>
      <c r="AD123" s="22">
        <f t="shared" si="33"/>
        <v>0.16166585303618969</v>
      </c>
      <c r="AE123" s="24">
        <v>4.7820600000000004</v>
      </c>
      <c r="AF123" s="24">
        <v>5.0281000000000002</v>
      </c>
      <c r="AG123" s="24">
        <v>4.8151000000000002</v>
      </c>
      <c r="AH123" s="25">
        <f>AG123-AE123</f>
        <v>3.3039999999999736E-2</v>
      </c>
      <c r="AI123" s="25">
        <v>86.571289221264934</v>
      </c>
      <c r="AJ123" s="26">
        <v>4.3285644610632472</v>
      </c>
      <c r="AK123" s="25">
        <v>43.285644610632467</v>
      </c>
      <c r="AL123" s="26">
        <v>4.3295000050328856</v>
      </c>
      <c r="AM123" s="17">
        <f t="shared" si="34"/>
        <v>0.5780346820809249</v>
      </c>
      <c r="AN123" s="17"/>
      <c r="AO123" s="27"/>
      <c r="AP123" s="17"/>
      <c r="AQ123" s="17"/>
      <c r="AR123" s="17"/>
      <c r="AS123" s="17"/>
      <c r="AT123" s="17"/>
      <c r="AU123" s="17"/>
      <c r="AV123" s="17"/>
      <c r="AW123" s="17"/>
      <c r="AX123" s="17"/>
      <c r="BB123" s="17"/>
    </row>
    <row r="124" spans="1:54" x14ac:dyDescent="0.2">
      <c r="A124" s="17" t="s">
        <v>41</v>
      </c>
      <c r="B124" s="18" t="s">
        <v>42</v>
      </c>
      <c r="C124" s="18" t="str">
        <f t="shared" si="26"/>
        <v>BI10.3</v>
      </c>
      <c r="D124" s="18" t="str">
        <f t="shared" si="27"/>
        <v>BI10.3_123</v>
      </c>
      <c r="E124" s="17">
        <v>3</v>
      </c>
      <c r="F124" s="19">
        <v>123</v>
      </c>
      <c r="G124" s="20">
        <v>2.35</v>
      </c>
      <c r="H124" s="20">
        <v>2.65</v>
      </c>
      <c r="I124" s="20">
        <v>1</v>
      </c>
      <c r="J124" s="20">
        <f t="shared" si="25"/>
        <v>4.90625</v>
      </c>
      <c r="K124" s="53">
        <v>0.1595238095238096</v>
      </c>
      <c r="L124" s="20">
        <f t="shared" si="37"/>
        <v>45.121428571428368</v>
      </c>
      <c r="M124" s="20">
        <f t="shared" si="37"/>
        <v>46.121428571428368</v>
      </c>
      <c r="N124" s="20">
        <f t="shared" si="37"/>
        <v>45.621428571428368</v>
      </c>
      <c r="O124" s="20">
        <f>P123+$AO$90</f>
        <v>125.12142857142837</v>
      </c>
      <c r="P124" s="20">
        <f t="shared" si="40"/>
        <v>126.12142857142837</v>
      </c>
      <c r="Q124" s="20">
        <f t="shared" si="35"/>
        <v>125.62142857142837</v>
      </c>
      <c r="R124" s="20">
        <f>S123+$AO$90</f>
        <v>125.12142857142837</v>
      </c>
      <c r="S124" s="20">
        <f t="shared" si="38"/>
        <v>126.12142857142837</v>
      </c>
      <c r="T124" s="20">
        <f t="shared" si="39"/>
        <v>125.62142857142837</v>
      </c>
      <c r="U124" s="20">
        <v>125.62142857142837</v>
      </c>
      <c r="V124" s="22">
        <v>7.7689000000000004</v>
      </c>
      <c r="W124" s="22">
        <v>1.9427000000000001</v>
      </c>
      <c r="X124" s="23">
        <v>1.1476266666666668</v>
      </c>
      <c r="Y124" s="23">
        <f t="shared" si="28"/>
        <v>6.6212733333333338</v>
      </c>
      <c r="Z124" s="23">
        <f t="shared" si="29"/>
        <v>0.7950733333333333</v>
      </c>
      <c r="AA124" s="22">
        <f t="shared" si="30"/>
        <v>87.992138470848005</v>
      </c>
      <c r="AB124" s="22">
        <f t="shared" si="31"/>
        <v>12.007861529151995</v>
      </c>
      <c r="AC124" s="22">
        <f t="shared" si="32"/>
        <v>1.3495588959660298</v>
      </c>
      <c r="AD124" s="22">
        <f t="shared" si="33"/>
        <v>0.16205316348195328</v>
      </c>
      <c r="AE124" s="24">
        <v>5.5629099999999996</v>
      </c>
      <c r="AF124" s="24">
        <v>5.8201999999999998</v>
      </c>
      <c r="AG124" s="24">
        <v>5.6006999999999998</v>
      </c>
      <c r="AH124" s="25">
        <f>AG124-AE124</f>
        <v>3.7790000000000212E-2</v>
      </c>
      <c r="AI124" s="25">
        <v>85.312293520929614</v>
      </c>
      <c r="AJ124" s="26">
        <v>4.2656146760464813</v>
      </c>
      <c r="AK124" s="25">
        <v>42.656146760464807</v>
      </c>
      <c r="AL124" s="26">
        <v>4.2665640232513944</v>
      </c>
      <c r="AM124" s="17">
        <f t="shared" si="34"/>
        <v>0.5780346820809249</v>
      </c>
      <c r="AN124" s="17"/>
      <c r="AO124" s="27"/>
      <c r="AP124" s="17"/>
      <c r="AQ124" s="17"/>
      <c r="AR124" s="17"/>
      <c r="AS124" s="17"/>
      <c r="AT124" s="17"/>
      <c r="AU124" s="17"/>
      <c r="AV124" s="17"/>
      <c r="AW124" s="17"/>
      <c r="AX124" s="17"/>
      <c r="BB124" s="17"/>
    </row>
    <row r="125" spans="1:54" x14ac:dyDescent="0.2">
      <c r="A125" s="17" t="s">
        <v>41</v>
      </c>
      <c r="B125" s="18" t="s">
        <v>42</v>
      </c>
      <c r="C125" s="18" t="str">
        <f t="shared" si="26"/>
        <v>BI10.3</v>
      </c>
      <c r="D125" s="18" t="str">
        <f t="shared" si="27"/>
        <v>BI10.3_124</v>
      </c>
      <c r="E125" s="17">
        <v>3</v>
      </c>
      <c r="F125" s="19">
        <v>124</v>
      </c>
      <c r="G125" s="20">
        <v>2.6</v>
      </c>
      <c r="H125" s="20">
        <v>2.6</v>
      </c>
      <c r="I125" s="20">
        <v>1</v>
      </c>
      <c r="J125" s="20">
        <f t="shared" si="25"/>
        <v>5.3066000000000013</v>
      </c>
      <c r="K125" s="53">
        <v>0.1595238095238096</v>
      </c>
      <c r="L125" s="20">
        <f t="shared" si="37"/>
        <v>46.280952380952172</v>
      </c>
      <c r="M125" s="20">
        <f t="shared" si="37"/>
        <v>47.280952380952172</v>
      </c>
      <c r="N125" s="20">
        <f t="shared" si="37"/>
        <v>46.780952380952172</v>
      </c>
      <c r="O125" s="20">
        <f>P124+$AO$90</f>
        <v>126.28095238095217</v>
      </c>
      <c r="P125" s="20">
        <f t="shared" si="40"/>
        <v>127.28095238095217</v>
      </c>
      <c r="Q125" s="20">
        <f t="shared" si="35"/>
        <v>126.78095238095217</v>
      </c>
      <c r="R125" s="20">
        <f>S124+$AO$90</f>
        <v>126.28095238095217</v>
      </c>
      <c r="S125" s="20">
        <f t="shared" si="38"/>
        <v>127.28095238095217</v>
      </c>
      <c r="T125" s="20">
        <f t="shared" si="39"/>
        <v>126.78095238095217</v>
      </c>
      <c r="U125" s="20">
        <v>126.78095238095217</v>
      </c>
      <c r="V125" s="22">
        <v>7.8087999999999997</v>
      </c>
      <c r="W125" s="22">
        <v>2.0613000000000001</v>
      </c>
      <c r="X125" s="23">
        <v>1.1476266666666668</v>
      </c>
      <c r="Y125" s="23">
        <f t="shared" si="28"/>
        <v>6.6611733333333332</v>
      </c>
      <c r="Z125" s="23">
        <f t="shared" si="29"/>
        <v>0.91367333333333334</v>
      </c>
      <c r="AA125" s="22">
        <f t="shared" si="30"/>
        <v>86.283597684492022</v>
      </c>
      <c r="AB125" s="22">
        <f t="shared" si="31"/>
        <v>13.716402315507978</v>
      </c>
      <c r="AC125" s="22">
        <f t="shared" si="32"/>
        <v>1.2552620007789039</v>
      </c>
      <c r="AD125" s="22">
        <f t="shared" si="33"/>
        <v>0.17217678614052936</v>
      </c>
      <c r="AE125" s="24">
        <v>5.0138999999999996</v>
      </c>
      <c r="AF125" s="24">
        <v>5.1913</v>
      </c>
      <c r="AG125" s="24">
        <v>5.0397999999999996</v>
      </c>
      <c r="AH125" s="25">
        <f>AG125-AE125</f>
        <v>2.5900000000000034E-2</v>
      </c>
      <c r="AI125" s="25">
        <v>85.400225479143202</v>
      </c>
      <c r="AJ125" s="26">
        <v>4.2700112739571603</v>
      </c>
      <c r="AK125" s="25">
        <v>42.700112739571601</v>
      </c>
      <c r="AL125" s="26">
        <v>4.2709596438881565</v>
      </c>
      <c r="AM125" s="17">
        <f t="shared" si="34"/>
        <v>0.5780346820809249</v>
      </c>
      <c r="AN125" s="17"/>
      <c r="AO125" s="27"/>
      <c r="AP125" s="17"/>
      <c r="AQ125" s="17"/>
      <c r="AR125" s="17"/>
      <c r="AS125" s="17"/>
      <c r="AT125" s="17"/>
      <c r="AU125" s="17"/>
      <c r="AV125" s="17"/>
      <c r="AW125" s="17"/>
      <c r="AX125" s="17"/>
      <c r="BB125" s="17"/>
    </row>
    <row r="126" spans="1:54" x14ac:dyDescent="0.2">
      <c r="A126" s="17" t="s">
        <v>41</v>
      </c>
      <c r="B126" s="18" t="s">
        <v>42</v>
      </c>
      <c r="C126" s="18" t="str">
        <f t="shared" si="26"/>
        <v>BI10.3</v>
      </c>
      <c r="D126" s="18" t="str">
        <f t="shared" si="27"/>
        <v>BI10.3_125</v>
      </c>
      <c r="E126" s="17">
        <v>3</v>
      </c>
      <c r="F126" s="19">
        <v>125</v>
      </c>
      <c r="G126" s="20">
        <v>2.4500000000000002</v>
      </c>
      <c r="H126" s="20">
        <v>2.35</v>
      </c>
      <c r="I126" s="20">
        <v>1.1000000000000001</v>
      </c>
      <c r="J126" s="20">
        <f t="shared" si="25"/>
        <v>4.9737600000000022</v>
      </c>
      <c r="K126" s="53">
        <v>0.1595238095238096</v>
      </c>
      <c r="L126" s="20">
        <f t="shared" si="37"/>
        <v>47.440476190475977</v>
      </c>
      <c r="M126" s="20">
        <f t="shared" si="37"/>
        <v>48.540476190475971</v>
      </c>
      <c r="N126" s="20">
        <f t="shared" si="37"/>
        <v>47.990476190475974</v>
      </c>
      <c r="O126" s="20">
        <f>P125+$AO$90</f>
        <v>127.44047619047598</v>
      </c>
      <c r="P126" s="20">
        <f t="shared" si="40"/>
        <v>128.54047619047597</v>
      </c>
      <c r="Q126" s="20">
        <f t="shared" si="35"/>
        <v>127.99047619047597</v>
      </c>
      <c r="R126" s="20">
        <f>S125+$AO$90</f>
        <v>127.44047619047598</v>
      </c>
      <c r="S126" s="20">
        <f t="shared" si="38"/>
        <v>128.54047619047597</v>
      </c>
      <c r="T126" s="20">
        <f t="shared" si="39"/>
        <v>127.99047619047597</v>
      </c>
      <c r="U126" s="20">
        <v>127.99047619047597</v>
      </c>
      <c r="V126" s="22">
        <v>7.3066000000000004</v>
      </c>
      <c r="W126" s="22">
        <v>2.1073</v>
      </c>
      <c r="X126" s="23">
        <v>1.1476266666666668</v>
      </c>
      <c r="Y126" s="23">
        <f t="shared" si="28"/>
        <v>6.1589733333333339</v>
      </c>
      <c r="Z126" s="23">
        <f t="shared" si="29"/>
        <v>0.95967333333333316</v>
      </c>
      <c r="AA126" s="22">
        <f t="shared" si="30"/>
        <v>84.418290494303179</v>
      </c>
      <c r="AB126" s="22">
        <f t="shared" si="31"/>
        <v>15.581709505696821</v>
      </c>
      <c r="AC126" s="22">
        <f t="shared" si="32"/>
        <v>1.2382932295352673</v>
      </c>
      <c r="AD126" s="22">
        <f t="shared" si="33"/>
        <v>0.19294725385489706</v>
      </c>
      <c r="AE126" s="24">
        <v>5.5784900000000004</v>
      </c>
      <c r="AF126" s="24">
        <v>5.8661000000000003</v>
      </c>
      <c r="AG126" s="24">
        <v>5.6170999999999998</v>
      </c>
      <c r="AH126" s="25">
        <f>AG126-AE126</f>
        <v>3.8609999999999367E-2</v>
      </c>
      <c r="AI126" s="25">
        <v>86.575571085845638</v>
      </c>
      <c r="AJ126" s="26">
        <v>4.3287785542922821</v>
      </c>
      <c r="AK126" s="25">
        <v>43.287785542922819</v>
      </c>
      <c r="AL126" s="26">
        <v>4.3297140520016768</v>
      </c>
      <c r="AM126" s="17">
        <f t="shared" si="34"/>
        <v>0.5780346820809249</v>
      </c>
      <c r="AN126" s="17"/>
      <c r="AO126" s="27"/>
      <c r="AP126" s="17"/>
      <c r="AQ126" s="17"/>
      <c r="AR126" s="17"/>
      <c r="AS126" s="17"/>
      <c r="AT126" s="17"/>
      <c r="AU126" s="17"/>
      <c r="AV126" s="17"/>
      <c r="AW126" s="17"/>
      <c r="AX126" s="17"/>
      <c r="BB126" s="17"/>
    </row>
    <row r="127" spans="1:54" x14ac:dyDescent="0.2">
      <c r="A127" s="17" t="s">
        <v>41</v>
      </c>
      <c r="B127" s="18" t="s">
        <v>42</v>
      </c>
      <c r="C127" s="18" t="str">
        <f t="shared" si="26"/>
        <v>BI10.3</v>
      </c>
      <c r="D127" s="18" t="str">
        <f t="shared" si="27"/>
        <v>BI10.3_126</v>
      </c>
      <c r="E127" s="17">
        <v>3</v>
      </c>
      <c r="F127" s="19">
        <v>126</v>
      </c>
      <c r="G127" s="20">
        <v>2.1</v>
      </c>
      <c r="H127" s="20">
        <v>2.7</v>
      </c>
      <c r="I127" s="20">
        <v>1.8</v>
      </c>
      <c r="J127" s="20">
        <f t="shared" si="25"/>
        <v>8.1388800000000039</v>
      </c>
      <c r="K127" s="53">
        <v>0.1595238095238096</v>
      </c>
      <c r="L127" s="20">
        <f t="shared" si="37"/>
        <v>48.69999999999979</v>
      </c>
      <c r="M127" s="20">
        <f t="shared" si="37"/>
        <v>50.499999999999801</v>
      </c>
      <c r="N127" s="20">
        <f t="shared" si="37"/>
        <v>49.599999999999795</v>
      </c>
      <c r="O127" s="20">
        <f>P126+$AO$90</f>
        <v>128.69999999999979</v>
      </c>
      <c r="P127" s="20">
        <f t="shared" si="40"/>
        <v>130.4999999999998</v>
      </c>
      <c r="Q127" s="20">
        <f t="shared" si="35"/>
        <v>129.5999999999998</v>
      </c>
      <c r="R127" s="20">
        <f>S126+$AO$90</f>
        <v>128.69999999999979</v>
      </c>
      <c r="S127" s="20">
        <f t="shared" si="38"/>
        <v>130.4999999999998</v>
      </c>
      <c r="T127" s="20">
        <f t="shared" si="39"/>
        <v>129.5999999999998</v>
      </c>
      <c r="U127" s="20">
        <v>129.5999999999998</v>
      </c>
      <c r="V127" s="22">
        <v>10.8908</v>
      </c>
      <c r="W127" s="22">
        <v>2.5857999999999999</v>
      </c>
      <c r="X127" s="23">
        <v>1.1476266666666668</v>
      </c>
      <c r="Y127" s="23">
        <f t="shared" si="28"/>
        <v>9.743173333333333</v>
      </c>
      <c r="Z127" s="23">
        <f t="shared" si="29"/>
        <v>1.4381733333333331</v>
      </c>
      <c r="AA127" s="22">
        <f t="shared" si="30"/>
        <v>85.239169168703427</v>
      </c>
      <c r="AB127" s="22">
        <f t="shared" si="31"/>
        <v>14.760830831296573</v>
      </c>
      <c r="AC127" s="22">
        <f t="shared" si="32"/>
        <v>1.1971147545280589</v>
      </c>
      <c r="AD127" s="22">
        <f t="shared" si="33"/>
        <v>0.17670408377237806</v>
      </c>
      <c r="AE127" s="24">
        <v>5.3763899999999998</v>
      </c>
      <c r="AF127" s="24">
        <v>5.6656000000000004</v>
      </c>
      <c r="AG127" s="24">
        <v>5.4279000000000002</v>
      </c>
      <c r="AH127" s="25">
        <f>AG127-AE127</f>
        <v>5.1510000000000389E-2</v>
      </c>
      <c r="AI127" s="25">
        <v>82.189412537602337</v>
      </c>
      <c r="AJ127" s="26">
        <v>4.1094706268801167</v>
      </c>
      <c r="AK127" s="25">
        <v>41.094706268801168</v>
      </c>
      <c r="AL127" s="26">
        <v>4.1104560371314589</v>
      </c>
      <c r="AM127" s="17">
        <f t="shared" si="34"/>
        <v>0.5780346820809249</v>
      </c>
      <c r="AN127" s="17"/>
      <c r="AO127" s="27"/>
      <c r="AP127" s="17"/>
      <c r="AQ127" s="17"/>
      <c r="AR127" s="17"/>
      <c r="AS127" s="17"/>
      <c r="AT127" s="17"/>
      <c r="AU127" s="17"/>
      <c r="AV127" s="17"/>
      <c r="AW127" s="17"/>
      <c r="AX127" s="17"/>
      <c r="BB127" s="17"/>
    </row>
    <row r="128" spans="1:54" x14ac:dyDescent="0.2">
      <c r="A128" s="17" t="s">
        <v>41</v>
      </c>
      <c r="B128" s="18" t="s">
        <v>42</v>
      </c>
      <c r="C128" s="18" t="str">
        <f t="shared" si="26"/>
        <v>BI10.4</v>
      </c>
      <c r="D128" s="18" t="str">
        <f t="shared" si="27"/>
        <v>BI10.4_127</v>
      </c>
      <c r="E128" s="17">
        <v>4</v>
      </c>
      <c r="F128" s="19">
        <v>127</v>
      </c>
      <c r="G128" s="20">
        <v>2.25</v>
      </c>
      <c r="H128" s="20">
        <v>1.95</v>
      </c>
      <c r="I128" s="20">
        <v>1.05</v>
      </c>
      <c r="J128" s="20">
        <f t="shared" si="25"/>
        <v>3.6349425000000002</v>
      </c>
      <c r="K128" s="53">
        <v>0.17365853658536595</v>
      </c>
      <c r="L128" s="20">
        <f>O128-120</f>
        <v>0</v>
      </c>
      <c r="M128" s="20">
        <f t="shared" ref="M128:N143" si="41">P128-120</f>
        <v>1.0499999999999972</v>
      </c>
      <c r="N128" s="20">
        <f t="shared" si="41"/>
        <v>0.52500000000000568</v>
      </c>
      <c r="O128" s="20">
        <v>120</v>
      </c>
      <c r="P128" s="20">
        <f t="shared" si="40"/>
        <v>121.05</v>
      </c>
      <c r="Q128" s="20">
        <f t="shared" si="35"/>
        <v>120.52500000000001</v>
      </c>
      <c r="R128" s="20">
        <f>O128-9</f>
        <v>111</v>
      </c>
      <c r="S128" s="20">
        <f t="shared" si="38"/>
        <v>112.05</v>
      </c>
      <c r="T128" s="20">
        <f t="shared" si="39"/>
        <v>111.52500000000001</v>
      </c>
      <c r="U128" s="20">
        <v>111.52500000000001</v>
      </c>
      <c r="V128" s="22">
        <v>5.3598999999999997</v>
      </c>
      <c r="W128" s="22">
        <v>1.6884999999999999</v>
      </c>
      <c r="X128" s="23">
        <v>1.1476266666666668</v>
      </c>
      <c r="Y128" s="23">
        <f t="shared" si="28"/>
        <v>4.2122733333333331</v>
      </c>
      <c r="Z128" s="23">
        <f t="shared" si="29"/>
        <v>0.5408733333333331</v>
      </c>
      <c r="AA128" s="22">
        <f t="shared" si="30"/>
        <v>87.159586035094279</v>
      </c>
      <c r="AB128" s="22">
        <f t="shared" si="31"/>
        <v>12.840413964905721</v>
      </c>
      <c r="AC128" s="22">
        <f t="shared" si="32"/>
        <v>1.1588280511544082</v>
      </c>
      <c r="AD128" s="22">
        <f t="shared" si="33"/>
        <v>0.14879831890967549</v>
      </c>
      <c r="AE128" s="24">
        <v>6.0998299999999999</v>
      </c>
      <c r="AF128" s="24">
        <v>6.4459</v>
      </c>
      <c r="AG128" s="24">
        <v>6.2343999999999999</v>
      </c>
      <c r="AH128" s="25">
        <f>AG128-AE128</f>
        <v>0.13457000000000008</v>
      </c>
      <c r="AI128" s="25">
        <v>61.114803363481364</v>
      </c>
      <c r="AJ128" s="26">
        <v>3.0557401681740686</v>
      </c>
      <c r="AK128" s="25">
        <v>30.557401681740682</v>
      </c>
      <c r="AL128" s="26">
        <v>3.0570652553376232</v>
      </c>
      <c r="AM128" s="17">
        <f t="shared" si="34"/>
        <v>0.5780346820809249</v>
      </c>
      <c r="AN128" s="28" t="s">
        <v>43</v>
      </c>
      <c r="AO128" s="27">
        <v>50</v>
      </c>
      <c r="AP128" s="17"/>
      <c r="AQ128" s="17"/>
      <c r="AR128" s="17"/>
      <c r="AS128" s="17"/>
      <c r="AT128" s="17"/>
      <c r="AU128" s="17"/>
      <c r="AV128" s="17"/>
      <c r="AW128" s="17"/>
      <c r="AX128" s="17"/>
      <c r="BB128" s="17"/>
    </row>
    <row r="129" spans="1:54" x14ac:dyDescent="0.2">
      <c r="A129" s="17" t="s">
        <v>41</v>
      </c>
      <c r="B129" s="18" t="s">
        <v>42</v>
      </c>
      <c r="C129" s="18" t="str">
        <f t="shared" si="26"/>
        <v>BI10.4</v>
      </c>
      <c r="D129" s="18" t="str">
        <f t="shared" si="27"/>
        <v>BI10.4_128</v>
      </c>
      <c r="E129" s="17">
        <v>4</v>
      </c>
      <c r="F129" s="19">
        <v>128</v>
      </c>
      <c r="G129" s="20">
        <v>2.4500000000000002</v>
      </c>
      <c r="H129" s="20">
        <v>2.4500000000000002</v>
      </c>
      <c r="I129" s="20">
        <v>1.05</v>
      </c>
      <c r="J129" s="20">
        <f t="shared" si="25"/>
        <v>4.9475606250000004</v>
      </c>
      <c r="K129" s="53">
        <v>0.17365853658536595</v>
      </c>
      <c r="L129" s="20">
        <f t="shared" ref="L129:N169" si="42">O129-120</f>
        <v>1.2236585365853614</v>
      </c>
      <c r="M129" s="20">
        <f t="shared" si="41"/>
        <v>2.2736585365853585</v>
      </c>
      <c r="N129" s="20">
        <f t="shared" si="41"/>
        <v>1.7486585365853671</v>
      </c>
      <c r="O129" s="20">
        <f>P128+$AO$133</f>
        <v>121.22365853658536</v>
      </c>
      <c r="P129" s="20">
        <f t="shared" si="40"/>
        <v>122.27365853658536</v>
      </c>
      <c r="Q129" s="20">
        <f t="shared" si="35"/>
        <v>121.74865853658537</v>
      </c>
      <c r="R129" s="20">
        <f t="shared" ref="R129:R169" si="43">O129-9</f>
        <v>112.22365853658536</v>
      </c>
      <c r="S129" s="20">
        <f t="shared" si="38"/>
        <v>113.27365853658536</v>
      </c>
      <c r="T129" s="20">
        <f t="shared" si="39"/>
        <v>112.74865853658537</v>
      </c>
      <c r="U129" s="20">
        <v>112.74865853658537</v>
      </c>
      <c r="V129" s="22">
        <v>6.7584</v>
      </c>
      <c r="W129" s="22">
        <v>1.9277</v>
      </c>
      <c r="X129" s="23">
        <v>1.1476266666666668</v>
      </c>
      <c r="Y129" s="23">
        <f t="shared" si="28"/>
        <v>5.6107733333333334</v>
      </c>
      <c r="Z129" s="23">
        <f t="shared" si="29"/>
        <v>0.78007333333333317</v>
      </c>
      <c r="AA129" s="22">
        <f t="shared" si="30"/>
        <v>86.096866029162939</v>
      </c>
      <c r="AB129" s="22">
        <f t="shared" si="31"/>
        <v>13.903133970837061</v>
      </c>
      <c r="AC129" s="22">
        <f t="shared" si="32"/>
        <v>1.1340484247898091</v>
      </c>
      <c r="AD129" s="22">
        <f t="shared" si="33"/>
        <v>0.15766827179269444</v>
      </c>
      <c r="AE129" s="24">
        <v>5.5133900000000002</v>
      </c>
      <c r="AF129" s="24">
        <v>5.8509000000000002</v>
      </c>
      <c r="AG129" s="24">
        <v>5.5495999999999999</v>
      </c>
      <c r="AH129" s="25">
        <f>AG129-AE129</f>
        <v>3.6209999999999631E-2</v>
      </c>
      <c r="AI129" s="25">
        <v>89.271428994696564</v>
      </c>
      <c r="AJ129" s="26">
        <v>4.463571449734828</v>
      </c>
      <c r="AK129" s="25">
        <v>44.635714497348282</v>
      </c>
      <c r="AL129" s="26">
        <v>4.4644787027029116</v>
      </c>
      <c r="AM129" s="17">
        <f t="shared" si="34"/>
        <v>0.5780346820809249</v>
      </c>
      <c r="AN129" s="28" t="s">
        <v>44</v>
      </c>
      <c r="AO129" s="27" t="s">
        <v>56</v>
      </c>
      <c r="AP129" s="17"/>
      <c r="AQ129" s="17"/>
      <c r="AR129" s="17"/>
      <c r="AS129" s="17"/>
      <c r="AT129" s="17"/>
      <c r="AU129" s="17"/>
      <c r="AV129" s="17"/>
      <c r="AW129" s="17"/>
      <c r="AX129" s="17"/>
      <c r="BB129" s="17"/>
    </row>
    <row r="130" spans="1:54" x14ac:dyDescent="0.2">
      <c r="A130" s="17" t="s">
        <v>41</v>
      </c>
      <c r="B130" s="18" t="s">
        <v>42</v>
      </c>
      <c r="C130" s="18" t="str">
        <f t="shared" si="26"/>
        <v>BI10.4</v>
      </c>
      <c r="D130" s="18" t="str">
        <f t="shared" si="27"/>
        <v>BI10.4_129</v>
      </c>
      <c r="E130" s="17">
        <v>4</v>
      </c>
      <c r="F130" s="19">
        <v>129</v>
      </c>
      <c r="G130" s="20">
        <v>2.7</v>
      </c>
      <c r="H130" s="20">
        <v>2.7</v>
      </c>
      <c r="I130" s="20">
        <v>1</v>
      </c>
      <c r="J130" s="20">
        <f t="shared" ref="J130:J193" si="44">(AVERAGE(G130:H130)*(AVERAGE(G130:H130)*3.14/4*I130))</f>
        <v>5.7226500000000016</v>
      </c>
      <c r="K130" s="53">
        <v>0.17365853658536595</v>
      </c>
      <c r="L130" s="20">
        <f t="shared" si="42"/>
        <v>2.4473170731707228</v>
      </c>
      <c r="M130" s="20">
        <f t="shared" si="41"/>
        <v>3.4473170731707228</v>
      </c>
      <c r="N130" s="20">
        <f t="shared" si="41"/>
        <v>2.9473170731707228</v>
      </c>
      <c r="O130" s="20">
        <f>P129+$AO$133</f>
        <v>122.44731707317072</v>
      </c>
      <c r="P130" s="20">
        <f t="shared" si="40"/>
        <v>123.44731707317072</v>
      </c>
      <c r="Q130" s="20">
        <f t="shared" si="35"/>
        <v>122.94731707317072</v>
      </c>
      <c r="R130" s="20">
        <f t="shared" si="43"/>
        <v>113.44731707317072</v>
      </c>
      <c r="S130" s="20">
        <f t="shared" si="38"/>
        <v>114.44731707317072</v>
      </c>
      <c r="T130" s="20">
        <f t="shared" si="39"/>
        <v>113.94731707317072</v>
      </c>
      <c r="U130" s="20">
        <v>113.94731707317072</v>
      </c>
      <c r="V130" s="22">
        <v>7.6387</v>
      </c>
      <c r="W130" s="22">
        <v>2.0666000000000002</v>
      </c>
      <c r="X130" s="23">
        <v>1.1476266666666668</v>
      </c>
      <c r="Y130" s="23">
        <f t="shared" si="28"/>
        <v>6.4910733333333335</v>
      </c>
      <c r="Z130" s="23">
        <f t="shared" si="29"/>
        <v>0.91897333333333342</v>
      </c>
      <c r="AA130" s="22">
        <f t="shared" si="30"/>
        <v>85.84250575919134</v>
      </c>
      <c r="AB130" s="22">
        <f t="shared" si="31"/>
        <v>14.15749424080866</v>
      </c>
      <c r="AC130" s="22">
        <f t="shared" si="32"/>
        <v>1.1342775345920739</v>
      </c>
      <c r="AD130" s="22">
        <f t="shared" si="33"/>
        <v>0.16058527663465932</v>
      </c>
      <c r="AE130" s="24">
        <v>5.5831799999999996</v>
      </c>
      <c r="AF130" s="24">
        <v>5.9707999999999997</v>
      </c>
      <c r="AG130" s="24">
        <v>5.6360000000000001</v>
      </c>
      <c r="AH130" s="25">
        <f>AG130-AE130</f>
        <v>5.2820000000000533E-2</v>
      </c>
      <c r="AI130" s="25">
        <v>86.373252154171482</v>
      </c>
      <c r="AJ130" s="26">
        <v>4.3186626077085739</v>
      </c>
      <c r="AK130" s="25">
        <v>43.186626077085741</v>
      </c>
      <c r="AL130" s="26">
        <v>4.319600296233463</v>
      </c>
      <c r="AM130" s="17">
        <f t="shared" si="34"/>
        <v>0.5780346820809249</v>
      </c>
      <c r="AN130" s="28" t="s">
        <v>46</v>
      </c>
      <c r="AO130" s="29">
        <f>SUM(I128:I169)</f>
        <v>42.879999999999995</v>
      </c>
      <c r="AP130" s="17"/>
      <c r="AQ130" s="17"/>
      <c r="AR130" s="17"/>
      <c r="AS130" s="17"/>
      <c r="AT130" s="17"/>
      <c r="AU130" s="17"/>
      <c r="AV130" s="17"/>
      <c r="AW130" s="17"/>
      <c r="AX130" s="17"/>
      <c r="BB130" s="17"/>
    </row>
    <row r="131" spans="1:54" x14ac:dyDescent="0.2">
      <c r="A131" s="17" t="s">
        <v>41</v>
      </c>
      <c r="B131" s="18" t="s">
        <v>42</v>
      </c>
      <c r="C131" s="18" t="str">
        <f t="shared" ref="C131:C194" si="45">B131&amp;"."&amp;E131</f>
        <v>BI10.4</v>
      </c>
      <c r="D131" s="18" t="str">
        <f t="shared" ref="D131:D194" si="46">C131&amp;"_"&amp;F131</f>
        <v>BI10.4_130</v>
      </c>
      <c r="E131" s="17">
        <v>4</v>
      </c>
      <c r="F131" s="19">
        <v>130</v>
      </c>
      <c r="G131" s="20">
        <v>2.65</v>
      </c>
      <c r="H131" s="20">
        <v>2.7</v>
      </c>
      <c r="I131" s="20">
        <v>1</v>
      </c>
      <c r="J131" s="20">
        <f t="shared" si="44"/>
        <v>5.6171656249999993</v>
      </c>
      <c r="K131" s="53">
        <v>0.17365853658536595</v>
      </c>
      <c r="L131" s="20">
        <f t="shared" si="42"/>
        <v>3.620975609756087</v>
      </c>
      <c r="M131" s="20">
        <f t="shared" si="41"/>
        <v>4.620975609756087</v>
      </c>
      <c r="N131" s="20">
        <f t="shared" si="41"/>
        <v>4.120975609756087</v>
      </c>
      <c r="O131" s="20">
        <f>P130+$AO$133</f>
        <v>123.62097560975609</v>
      </c>
      <c r="P131" s="20">
        <f t="shared" si="40"/>
        <v>124.62097560975609</v>
      </c>
      <c r="Q131" s="20">
        <f t="shared" si="35"/>
        <v>124.12097560975609</v>
      </c>
      <c r="R131" s="20">
        <f t="shared" si="43"/>
        <v>114.62097560975609</v>
      </c>
      <c r="S131" s="20">
        <f t="shared" si="38"/>
        <v>115.62097560975609</v>
      </c>
      <c r="T131" s="20">
        <f t="shared" si="39"/>
        <v>115.12097560975609</v>
      </c>
      <c r="U131" s="20">
        <v>115.12097560975609</v>
      </c>
      <c r="V131" s="22">
        <v>8.0458999999999996</v>
      </c>
      <c r="W131" s="22">
        <v>2.121</v>
      </c>
      <c r="X131" s="23">
        <v>1.1476266666666668</v>
      </c>
      <c r="Y131" s="23">
        <f t="shared" ref="Y131:Y194" si="47">V131-X131</f>
        <v>6.898273333333333</v>
      </c>
      <c r="Z131" s="23">
        <f t="shared" ref="Z131:Z194" si="48">W131-X131</f>
        <v>0.9733733333333332</v>
      </c>
      <c r="AA131" s="22">
        <f t="shared" ref="AA131:AA194" si="49">((Y131-Z131)/Y131)*100</f>
        <v>85.889609090584031</v>
      </c>
      <c r="AB131" s="22">
        <f t="shared" ref="AB131:AB194" si="50">100-AA131</f>
        <v>14.110390909415969</v>
      </c>
      <c r="AC131" s="22">
        <f t="shared" ref="AC131:AC194" si="51">(V131-X131)/J131</f>
        <v>1.2280701324937937</v>
      </c>
      <c r="AD131" s="22">
        <f t="shared" ref="AD131:AD194" si="52">(W131-X131)/J131</f>
        <v>0.17328549633665705</v>
      </c>
      <c r="AE131" s="24">
        <v>5.3635900000000003</v>
      </c>
      <c r="AF131" s="24">
        <v>5.6513999999999998</v>
      </c>
      <c r="AG131" s="24">
        <v>5.4039000000000001</v>
      </c>
      <c r="AH131" s="25">
        <f>AG131-AE131</f>
        <v>4.0309999999999846E-2</v>
      </c>
      <c r="AI131" s="25">
        <v>85.994232306035258</v>
      </c>
      <c r="AJ131" s="26">
        <v>4.2997116153017627</v>
      </c>
      <c r="AK131" s="25">
        <v>42.997116153017629</v>
      </c>
      <c r="AL131" s="26">
        <v>4.3006534357886697</v>
      </c>
      <c r="AM131" s="17">
        <f t="shared" ref="AM131:AM194" si="53">1/1.73</f>
        <v>0.5780346820809249</v>
      </c>
      <c r="AN131" s="28" t="s">
        <v>47</v>
      </c>
      <c r="AO131" s="29">
        <f>AO128-AO130</f>
        <v>7.1200000000000045</v>
      </c>
      <c r="AP131" s="17"/>
      <c r="AQ131" s="17"/>
      <c r="AR131" s="17"/>
      <c r="AS131" s="17"/>
      <c r="AT131" s="17"/>
      <c r="AU131" s="17"/>
      <c r="AV131" s="17"/>
      <c r="AW131" s="17"/>
      <c r="AX131" s="17"/>
      <c r="BB131" s="17"/>
    </row>
    <row r="132" spans="1:54" x14ac:dyDescent="0.2">
      <c r="A132" s="17" t="s">
        <v>41</v>
      </c>
      <c r="B132" s="18" t="s">
        <v>42</v>
      </c>
      <c r="C132" s="18" t="str">
        <f t="shared" si="45"/>
        <v>BI10.4</v>
      </c>
      <c r="D132" s="18" t="str">
        <f t="shared" si="46"/>
        <v>BI10.4_131</v>
      </c>
      <c r="E132" s="17">
        <v>4</v>
      </c>
      <c r="F132" s="19">
        <v>131</v>
      </c>
      <c r="G132" s="20">
        <v>2.7</v>
      </c>
      <c r="H132" s="20">
        <v>2.8</v>
      </c>
      <c r="I132" s="20">
        <v>0.95</v>
      </c>
      <c r="J132" s="20">
        <f t="shared" si="44"/>
        <v>5.6397343749999989</v>
      </c>
      <c r="K132" s="53">
        <v>0.17365853658536595</v>
      </c>
      <c r="L132" s="20">
        <f t="shared" si="42"/>
        <v>4.7946341463414512</v>
      </c>
      <c r="M132" s="20">
        <f t="shared" si="41"/>
        <v>5.7446341463414541</v>
      </c>
      <c r="N132" s="20">
        <f t="shared" si="41"/>
        <v>5.2696341463414456</v>
      </c>
      <c r="O132" s="20">
        <f>P131+$AO$133</f>
        <v>124.79463414634145</v>
      </c>
      <c r="P132" s="20">
        <f t="shared" si="40"/>
        <v>125.74463414634145</v>
      </c>
      <c r="Q132" s="20">
        <f t="shared" ref="Q132:Q195" si="54">O132+((P132-O132)/2)</f>
        <v>125.26963414634145</v>
      </c>
      <c r="R132" s="20">
        <f t="shared" si="43"/>
        <v>115.79463414634145</v>
      </c>
      <c r="S132" s="20">
        <f t="shared" si="38"/>
        <v>116.74463414634145</v>
      </c>
      <c r="T132" s="20">
        <f t="shared" si="39"/>
        <v>116.26963414634145</v>
      </c>
      <c r="U132" s="20">
        <v>116.26963414634145</v>
      </c>
      <c r="V132" s="22">
        <v>7.9964000000000004</v>
      </c>
      <c r="W132" s="22">
        <v>2.1978</v>
      </c>
      <c r="X132" s="23">
        <v>1.1476266666666668</v>
      </c>
      <c r="Y132" s="23">
        <f t="shared" si="47"/>
        <v>6.8487733333333338</v>
      </c>
      <c r="Z132" s="23">
        <f t="shared" si="48"/>
        <v>1.0501733333333332</v>
      </c>
      <c r="AA132" s="22">
        <f t="shared" si="49"/>
        <v>84.666256536450319</v>
      </c>
      <c r="AB132" s="22">
        <f t="shared" si="50"/>
        <v>15.333743463549681</v>
      </c>
      <c r="AC132" s="22">
        <f t="shared" si="51"/>
        <v>1.2143787061484319</v>
      </c>
      <c r="AD132" s="22">
        <f t="shared" si="52"/>
        <v>0.18620971547677428</v>
      </c>
      <c r="AE132" s="24">
        <v>5.0380900000000004</v>
      </c>
      <c r="AF132" s="24">
        <v>5.3727</v>
      </c>
      <c r="AG132" s="24">
        <v>5.0922999999999998</v>
      </c>
      <c r="AH132" s="25">
        <f>AG132-AE132</f>
        <v>5.4209999999999425E-2</v>
      </c>
      <c r="AI132" s="25">
        <v>83.799049639879414</v>
      </c>
      <c r="AJ132" s="26">
        <v>4.1899524819939709</v>
      </c>
      <c r="AK132" s="25">
        <v>41.899524819939707</v>
      </c>
      <c r="AL132" s="26">
        <v>4.1909189685995401</v>
      </c>
      <c r="AM132" s="17">
        <f t="shared" si="53"/>
        <v>0.5780346820809249</v>
      </c>
      <c r="AN132" s="28" t="s">
        <v>48</v>
      </c>
      <c r="AO132" s="27">
        <v>41</v>
      </c>
      <c r="AP132" s="17"/>
      <c r="AQ132" s="17"/>
      <c r="AR132" s="17"/>
      <c r="AS132" s="17"/>
      <c r="AT132" s="17"/>
      <c r="AU132" s="17"/>
      <c r="AV132" s="17"/>
      <c r="AW132" s="17"/>
      <c r="AX132" s="17"/>
      <c r="BB132" s="17"/>
    </row>
    <row r="133" spans="1:54" x14ac:dyDescent="0.2">
      <c r="A133" s="17" t="s">
        <v>41</v>
      </c>
      <c r="B133" s="18" t="s">
        <v>42</v>
      </c>
      <c r="C133" s="18" t="str">
        <f t="shared" si="45"/>
        <v>BI10.4</v>
      </c>
      <c r="D133" s="18" t="str">
        <f t="shared" si="46"/>
        <v>BI10.4_132</v>
      </c>
      <c r="E133" s="17">
        <v>4</v>
      </c>
      <c r="F133" s="19">
        <v>132</v>
      </c>
      <c r="G133" s="20">
        <v>2.65</v>
      </c>
      <c r="H133" s="20">
        <v>2.9</v>
      </c>
      <c r="I133" s="20">
        <v>0.95</v>
      </c>
      <c r="J133" s="20">
        <f t="shared" si="44"/>
        <v>5.7427410937499994</v>
      </c>
      <c r="K133" s="53">
        <v>0.17365853658536595</v>
      </c>
      <c r="L133" s="20">
        <f t="shared" si="42"/>
        <v>5.9182926829268183</v>
      </c>
      <c r="M133" s="20">
        <f t="shared" si="41"/>
        <v>6.8682926829268212</v>
      </c>
      <c r="N133" s="20">
        <f t="shared" si="41"/>
        <v>6.3932926829268126</v>
      </c>
      <c r="O133" s="20">
        <f>P132+$AO$133</f>
        <v>125.91829268292682</v>
      </c>
      <c r="P133" s="20">
        <f t="shared" si="40"/>
        <v>126.86829268292682</v>
      </c>
      <c r="Q133" s="20">
        <f t="shared" si="54"/>
        <v>126.39329268292681</v>
      </c>
      <c r="R133" s="20">
        <f t="shared" si="43"/>
        <v>116.91829268292682</v>
      </c>
      <c r="S133" s="20">
        <f t="shared" si="38"/>
        <v>117.86829268292682</v>
      </c>
      <c r="T133" s="20">
        <f t="shared" si="39"/>
        <v>117.39329268292681</v>
      </c>
      <c r="U133" s="20">
        <v>117.39329268292681</v>
      </c>
      <c r="V133" s="22">
        <v>7.7847999999999997</v>
      </c>
      <c r="W133" s="22">
        <v>2.1225999999999998</v>
      </c>
      <c r="X133" s="23">
        <v>1.1476266666666668</v>
      </c>
      <c r="Y133" s="23">
        <f t="shared" si="47"/>
        <v>6.6371733333333331</v>
      </c>
      <c r="Z133" s="23">
        <f t="shared" si="48"/>
        <v>0.97497333333333303</v>
      </c>
      <c r="AA133" s="22">
        <f t="shared" si="49"/>
        <v>85.310413268298959</v>
      </c>
      <c r="AB133" s="22">
        <f t="shared" si="50"/>
        <v>14.689586731701041</v>
      </c>
      <c r="AC133" s="22">
        <f t="shared" si="51"/>
        <v>1.1557500547180808</v>
      </c>
      <c r="AD133" s="22">
        <f t="shared" si="52"/>
        <v>0.16977490668949471</v>
      </c>
      <c r="AE133" s="24">
        <v>5.4249400000000003</v>
      </c>
      <c r="AF133" s="24">
        <v>5.7789999999999999</v>
      </c>
      <c r="AG133" s="24">
        <v>5.4630000000000001</v>
      </c>
      <c r="AH133" s="25">
        <f>AG133-AE133</f>
        <v>3.8059999999999761E-2</v>
      </c>
      <c r="AI133" s="25">
        <v>89.250409535107096</v>
      </c>
      <c r="AJ133" s="26">
        <v>4.4625204767553548</v>
      </c>
      <c r="AK133" s="25">
        <v>44.625204767553548</v>
      </c>
      <c r="AL133" s="26">
        <v>4.4634279433481208</v>
      </c>
      <c r="AM133" s="17">
        <f t="shared" si="53"/>
        <v>0.5780346820809249</v>
      </c>
      <c r="AN133" s="28" t="s">
        <v>49</v>
      </c>
      <c r="AO133" s="30">
        <f>AO131/AO132</f>
        <v>0.17365853658536595</v>
      </c>
      <c r="AP133" s="17"/>
      <c r="AQ133" s="17"/>
      <c r="AR133" s="17"/>
      <c r="AS133" s="17"/>
      <c r="AT133" s="17"/>
      <c r="AU133" s="17"/>
      <c r="AV133" s="17"/>
      <c r="AW133" s="17"/>
      <c r="AX133" s="17"/>
      <c r="BB133" s="17"/>
    </row>
    <row r="134" spans="1:54" x14ac:dyDescent="0.2">
      <c r="A134" s="17" t="s">
        <v>41</v>
      </c>
      <c r="B134" s="18" t="s">
        <v>42</v>
      </c>
      <c r="C134" s="18" t="str">
        <f t="shared" si="45"/>
        <v>BI10.4</v>
      </c>
      <c r="D134" s="18" t="str">
        <f t="shared" si="46"/>
        <v>BI10.4_133</v>
      </c>
      <c r="E134" s="17">
        <v>4</v>
      </c>
      <c r="F134" s="19">
        <v>133</v>
      </c>
      <c r="G134" s="20">
        <v>2.7</v>
      </c>
      <c r="H134" s="20">
        <v>2.9</v>
      </c>
      <c r="I134" s="20">
        <v>1</v>
      </c>
      <c r="J134" s="20">
        <f t="shared" si="44"/>
        <v>6.1543999999999999</v>
      </c>
      <c r="K134" s="53">
        <v>0.17365853658536595</v>
      </c>
      <c r="L134" s="20">
        <f t="shared" si="42"/>
        <v>7.0419512195121854</v>
      </c>
      <c r="M134" s="20">
        <f t="shared" si="41"/>
        <v>8.0419512195121854</v>
      </c>
      <c r="N134" s="20">
        <f t="shared" si="41"/>
        <v>7.5419512195121854</v>
      </c>
      <c r="O134" s="20">
        <f>P133+$AO$133</f>
        <v>127.04195121951219</v>
      </c>
      <c r="P134" s="20">
        <f t="shared" si="40"/>
        <v>128.04195121951219</v>
      </c>
      <c r="Q134" s="20">
        <f t="shared" si="54"/>
        <v>127.54195121951219</v>
      </c>
      <c r="R134" s="20">
        <f t="shared" si="43"/>
        <v>118.04195121951219</v>
      </c>
      <c r="S134" s="20">
        <f t="shared" si="38"/>
        <v>119.04195121951219</v>
      </c>
      <c r="T134" s="20">
        <f t="shared" si="39"/>
        <v>118.54195121951219</v>
      </c>
      <c r="U134" s="20">
        <v>118.54195121951219</v>
      </c>
      <c r="V134" s="22">
        <v>8.4780999999999995</v>
      </c>
      <c r="W134" s="22">
        <v>2.3087</v>
      </c>
      <c r="X134" s="23">
        <v>1.1476266666666668</v>
      </c>
      <c r="Y134" s="23">
        <f t="shared" si="47"/>
        <v>7.330473333333333</v>
      </c>
      <c r="Z134" s="23">
        <f t="shared" si="48"/>
        <v>1.1610733333333332</v>
      </c>
      <c r="AA134" s="22">
        <f t="shared" si="49"/>
        <v>84.161004609979699</v>
      </c>
      <c r="AB134" s="22">
        <f t="shared" si="50"/>
        <v>15.838995390020301</v>
      </c>
      <c r="AC134" s="22">
        <f t="shared" si="51"/>
        <v>1.1910947181420339</v>
      </c>
      <c r="AD134" s="22">
        <f t="shared" si="52"/>
        <v>0.18865743749729189</v>
      </c>
      <c r="AE134" s="24">
        <v>5.4156899999999997</v>
      </c>
      <c r="AF134" s="24">
        <v>5.7754000000000003</v>
      </c>
      <c r="AG134" s="24">
        <v>5.4603999999999999</v>
      </c>
      <c r="AH134" s="25">
        <f>AG134-AE134</f>
        <v>4.471000000000025E-2</v>
      </c>
      <c r="AI134" s="25">
        <v>87.57054293736617</v>
      </c>
      <c r="AJ134" s="26">
        <v>4.3785271468683087</v>
      </c>
      <c r="AK134" s="25">
        <v>43.785271468683085</v>
      </c>
      <c r="AL134" s="26">
        <v>4.3794520177600678</v>
      </c>
      <c r="AM134" s="17">
        <f t="shared" si="53"/>
        <v>0.5780346820809249</v>
      </c>
      <c r="AN134" s="17"/>
      <c r="AO134" s="27"/>
      <c r="AP134" s="17"/>
      <c r="AQ134" s="17"/>
      <c r="AR134" s="17"/>
      <c r="AS134" s="17"/>
      <c r="AT134" s="17"/>
      <c r="AU134" s="17"/>
      <c r="AV134" s="17"/>
      <c r="AW134" s="17"/>
      <c r="AX134" s="17"/>
      <c r="BB134" s="17"/>
    </row>
    <row r="135" spans="1:54" x14ac:dyDescent="0.2">
      <c r="A135" s="17" t="s">
        <v>41</v>
      </c>
      <c r="B135" s="18" t="s">
        <v>42</v>
      </c>
      <c r="C135" s="18" t="str">
        <f t="shared" si="45"/>
        <v>BI10.4</v>
      </c>
      <c r="D135" s="18" t="str">
        <f t="shared" si="46"/>
        <v>BI10.4_134</v>
      </c>
      <c r="E135" s="17">
        <v>4</v>
      </c>
      <c r="F135" s="19">
        <v>134</v>
      </c>
      <c r="G135" s="20">
        <v>2.8</v>
      </c>
      <c r="H135" s="20">
        <v>2.5</v>
      </c>
      <c r="I135" s="20">
        <v>1</v>
      </c>
      <c r="J135" s="20">
        <f t="shared" si="44"/>
        <v>5.5126624999999994</v>
      </c>
      <c r="K135" s="53">
        <v>0.17365853658536595</v>
      </c>
      <c r="L135" s="20">
        <f t="shared" si="42"/>
        <v>8.2156097560975638</v>
      </c>
      <c r="M135" s="20">
        <f t="shared" si="41"/>
        <v>9.2156097560975638</v>
      </c>
      <c r="N135" s="20">
        <f t="shared" si="41"/>
        <v>8.7156097560975638</v>
      </c>
      <c r="O135" s="20">
        <f>P134+$AO$133</f>
        <v>128.21560975609756</v>
      </c>
      <c r="P135" s="20">
        <f t="shared" si="40"/>
        <v>129.21560975609756</v>
      </c>
      <c r="Q135" s="20">
        <f t="shared" si="54"/>
        <v>128.71560975609756</v>
      </c>
      <c r="R135" s="20">
        <f t="shared" si="43"/>
        <v>119.21560975609756</v>
      </c>
      <c r="S135" s="20">
        <f t="shared" si="38"/>
        <v>120.21560975609756</v>
      </c>
      <c r="T135" s="20">
        <f t="shared" si="39"/>
        <v>119.71560975609756</v>
      </c>
      <c r="U135" s="20">
        <v>119.71560975609756</v>
      </c>
      <c r="V135" s="22">
        <v>8.2545000000000002</v>
      </c>
      <c r="W135" s="22">
        <v>2.2121</v>
      </c>
      <c r="X135" s="23">
        <v>1.1476266666666668</v>
      </c>
      <c r="Y135" s="23">
        <f t="shared" si="47"/>
        <v>7.1068733333333336</v>
      </c>
      <c r="Z135" s="23">
        <f t="shared" si="48"/>
        <v>1.0644733333333332</v>
      </c>
      <c r="AA135" s="22">
        <f t="shared" si="49"/>
        <v>85.02191774910861</v>
      </c>
      <c r="AB135" s="22">
        <f t="shared" si="50"/>
        <v>14.97808225089139</v>
      </c>
      <c r="AC135" s="22">
        <f t="shared" si="51"/>
        <v>1.2891907192456158</v>
      </c>
      <c r="AD135" s="22">
        <f t="shared" si="52"/>
        <v>0.19309604629946661</v>
      </c>
      <c r="AE135" s="24">
        <v>5.2675900000000002</v>
      </c>
      <c r="AF135" s="24">
        <v>5.6204999999999998</v>
      </c>
      <c r="AG135" s="24">
        <v>5.3025000000000002</v>
      </c>
      <c r="AH135" s="25">
        <f>AG135-AE135</f>
        <v>3.4909999999999997E-2</v>
      </c>
      <c r="AI135" s="25">
        <v>90.10795953642571</v>
      </c>
      <c r="AJ135" s="26">
        <v>4.5053979768212855</v>
      </c>
      <c r="AK135" s="25">
        <v>45.053979768212855</v>
      </c>
      <c r="AL135" s="26">
        <v>4.5062968088603901</v>
      </c>
      <c r="AM135" s="17">
        <f t="shared" si="53"/>
        <v>0.5780346820809249</v>
      </c>
      <c r="AN135" s="17"/>
      <c r="AO135" s="27"/>
      <c r="AP135" s="17"/>
      <c r="AQ135" s="17"/>
      <c r="AR135" s="17"/>
      <c r="AS135" s="17"/>
      <c r="AT135" s="17"/>
      <c r="AU135" s="17"/>
      <c r="AV135" s="17"/>
      <c r="AW135" s="17"/>
      <c r="AX135" s="17"/>
      <c r="BB135" s="17"/>
    </row>
    <row r="136" spans="1:54" x14ac:dyDescent="0.2">
      <c r="A136" s="17" t="s">
        <v>41</v>
      </c>
      <c r="B136" s="18" t="s">
        <v>42</v>
      </c>
      <c r="C136" s="18" t="str">
        <f t="shared" si="45"/>
        <v>BI10.4</v>
      </c>
      <c r="D136" s="18" t="str">
        <f t="shared" si="46"/>
        <v>BI10.4_135</v>
      </c>
      <c r="E136" s="17">
        <v>4</v>
      </c>
      <c r="F136" s="19">
        <v>135</v>
      </c>
      <c r="G136" s="20">
        <v>2.8</v>
      </c>
      <c r="H136" s="20">
        <v>2.7</v>
      </c>
      <c r="I136" s="20">
        <v>1.05</v>
      </c>
      <c r="J136" s="20">
        <f t="shared" si="44"/>
        <v>6.2333906250000002</v>
      </c>
      <c r="K136" s="53">
        <v>0.17365853658536595</v>
      </c>
      <c r="L136" s="20">
        <f t="shared" si="42"/>
        <v>9.3892682926829423</v>
      </c>
      <c r="M136" s="20">
        <f t="shared" si="41"/>
        <v>10.439268292682954</v>
      </c>
      <c r="N136" s="20">
        <f t="shared" si="41"/>
        <v>9.914268292682948</v>
      </c>
      <c r="O136" s="20">
        <f>P135+$AO$133</f>
        <v>129.38926829268294</v>
      </c>
      <c r="P136" s="20">
        <f t="shared" si="40"/>
        <v>130.43926829268295</v>
      </c>
      <c r="Q136" s="20">
        <f t="shared" si="54"/>
        <v>129.91426829268295</v>
      </c>
      <c r="R136" s="20">
        <f t="shared" si="43"/>
        <v>120.38926829268294</v>
      </c>
      <c r="S136" s="20">
        <f t="shared" si="38"/>
        <v>121.43926829268294</v>
      </c>
      <c r="T136" s="20">
        <f t="shared" si="39"/>
        <v>120.91426829268295</v>
      </c>
      <c r="U136" s="20">
        <v>120.91426829268295</v>
      </c>
      <c r="V136" s="22">
        <v>8.5006000000000004</v>
      </c>
      <c r="W136" s="22">
        <v>2.3826999999999998</v>
      </c>
      <c r="X136" s="23">
        <v>1.1476266666666668</v>
      </c>
      <c r="Y136" s="23">
        <f t="shared" si="47"/>
        <v>7.3529733333333338</v>
      </c>
      <c r="Z136" s="23">
        <f t="shared" si="48"/>
        <v>1.235073333333333</v>
      </c>
      <c r="AA136" s="22">
        <f t="shared" si="49"/>
        <v>83.203076125213755</v>
      </c>
      <c r="AB136" s="22">
        <f t="shared" si="50"/>
        <v>16.796923874786245</v>
      </c>
      <c r="AC136" s="22">
        <f t="shared" si="51"/>
        <v>1.179610548365615</v>
      </c>
      <c r="AD136" s="22">
        <f t="shared" si="52"/>
        <v>0.19813828582792098</v>
      </c>
      <c r="AE136" s="24">
        <v>5.7292300000000003</v>
      </c>
      <c r="AF136" s="24">
        <v>6.1261999999999999</v>
      </c>
      <c r="AG136" s="24">
        <v>5.8023999999999996</v>
      </c>
      <c r="AH136" s="25">
        <f>AG136-AE136</f>
        <v>7.3169999999999291E-2</v>
      </c>
      <c r="AI136" s="25">
        <v>81.567876665743171</v>
      </c>
      <c r="AJ136" s="26">
        <v>4.0783938332871585</v>
      </c>
      <c r="AK136" s="25">
        <v>40.783938332871585</v>
      </c>
      <c r="AL136" s="26">
        <v>4.0793867504068206</v>
      </c>
      <c r="AM136" s="17">
        <f t="shared" si="53"/>
        <v>0.5780346820809249</v>
      </c>
      <c r="AN136" s="17"/>
      <c r="AO136" s="27"/>
      <c r="AP136" s="17"/>
      <c r="AQ136" s="17"/>
      <c r="AR136" s="17"/>
      <c r="AS136" s="17"/>
      <c r="AT136" s="17"/>
      <c r="AU136" s="17"/>
      <c r="AV136" s="17"/>
      <c r="AW136" s="17"/>
      <c r="AX136" s="17"/>
      <c r="BB136" s="17"/>
    </row>
    <row r="137" spans="1:54" x14ac:dyDescent="0.2">
      <c r="A137" s="17" t="s">
        <v>41</v>
      </c>
      <c r="B137" s="18" t="s">
        <v>42</v>
      </c>
      <c r="C137" s="18" t="str">
        <f t="shared" si="45"/>
        <v>BI10.4</v>
      </c>
      <c r="D137" s="18" t="str">
        <f t="shared" si="46"/>
        <v>BI10.4_136</v>
      </c>
      <c r="E137" s="17">
        <v>4</v>
      </c>
      <c r="F137" s="19">
        <v>136</v>
      </c>
      <c r="G137" s="20">
        <v>2.75</v>
      </c>
      <c r="H137" s="20">
        <v>3</v>
      </c>
      <c r="I137" s="20">
        <v>0.95</v>
      </c>
      <c r="J137" s="20">
        <f t="shared" si="44"/>
        <v>6.1640898437499994</v>
      </c>
      <c r="K137" s="53">
        <v>0.17365853658536595</v>
      </c>
      <c r="L137" s="20">
        <f t="shared" si="42"/>
        <v>10.612926829268332</v>
      </c>
      <c r="M137" s="20">
        <f t="shared" si="41"/>
        <v>11.562926829268321</v>
      </c>
      <c r="N137" s="20">
        <f t="shared" si="41"/>
        <v>11.087926829268326</v>
      </c>
      <c r="O137" s="20">
        <f>P136+$AO$133</f>
        <v>130.61292682926833</v>
      </c>
      <c r="P137" s="20">
        <f t="shared" si="40"/>
        <v>131.56292682926832</v>
      </c>
      <c r="Q137" s="20">
        <f t="shared" si="54"/>
        <v>131.08792682926833</v>
      </c>
      <c r="R137" s="20">
        <f t="shared" si="43"/>
        <v>121.61292682926833</v>
      </c>
      <c r="S137" s="20">
        <f t="shared" si="38"/>
        <v>122.56292682926833</v>
      </c>
      <c r="T137" s="20">
        <f t="shared" si="39"/>
        <v>122.08792682926833</v>
      </c>
      <c r="U137" s="20">
        <v>122.08792682926833</v>
      </c>
      <c r="V137" s="22">
        <v>8.2844999999999995</v>
      </c>
      <c r="W137" s="22">
        <v>2.327</v>
      </c>
      <c r="X137" s="23">
        <v>1.1476266666666668</v>
      </c>
      <c r="Y137" s="23">
        <f t="shared" si="47"/>
        <v>7.136873333333333</v>
      </c>
      <c r="Z137" s="23">
        <f t="shared" si="48"/>
        <v>1.1793733333333332</v>
      </c>
      <c r="AA137" s="22">
        <f t="shared" si="49"/>
        <v>83.474929731133429</v>
      </c>
      <c r="AB137" s="22">
        <f t="shared" si="50"/>
        <v>16.525070268866571</v>
      </c>
      <c r="AC137" s="22">
        <f t="shared" si="51"/>
        <v>1.1578146189043099</v>
      </c>
      <c r="AD137" s="22">
        <f t="shared" si="52"/>
        <v>0.1913296793571469</v>
      </c>
      <c r="AE137" s="24">
        <v>5.3688399999999996</v>
      </c>
      <c r="AF137" s="24">
        <v>5.8029999999999999</v>
      </c>
      <c r="AG137" s="24">
        <v>5.4370000000000003</v>
      </c>
      <c r="AH137" s="25">
        <f>AG137-AE137</f>
        <v>6.8160000000000664E-2</v>
      </c>
      <c r="AI137" s="25">
        <v>84.300718629076698</v>
      </c>
      <c r="AJ137" s="26">
        <v>4.2150359314538353</v>
      </c>
      <c r="AK137" s="25">
        <v>42.150359314538349</v>
      </c>
      <c r="AL137" s="26">
        <v>4.2159966678647764</v>
      </c>
      <c r="AM137" s="17">
        <f t="shared" si="53"/>
        <v>0.5780346820809249</v>
      </c>
      <c r="AN137" s="17"/>
      <c r="AO137" s="27"/>
      <c r="AP137" s="17"/>
      <c r="AQ137" s="17"/>
      <c r="AR137" s="17"/>
      <c r="AS137" s="17"/>
      <c r="AT137" s="17"/>
      <c r="AU137" s="17"/>
      <c r="AV137" s="17"/>
      <c r="AW137" s="17"/>
      <c r="AX137" s="17"/>
      <c r="BB137" s="17"/>
    </row>
    <row r="138" spans="1:54" x14ac:dyDescent="0.2">
      <c r="A138" s="17" t="s">
        <v>41</v>
      </c>
      <c r="B138" s="18" t="s">
        <v>42</v>
      </c>
      <c r="C138" s="18" t="str">
        <f t="shared" si="45"/>
        <v>BI10.4</v>
      </c>
      <c r="D138" s="18" t="str">
        <f t="shared" si="46"/>
        <v>BI10.4_137</v>
      </c>
      <c r="E138" s="17">
        <v>4</v>
      </c>
      <c r="F138" s="19">
        <v>137</v>
      </c>
      <c r="G138" s="20">
        <v>2.75</v>
      </c>
      <c r="H138" s="20">
        <v>2.95</v>
      </c>
      <c r="I138" s="20">
        <v>1</v>
      </c>
      <c r="J138" s="20">
        <f t="shared" si="44"/>
        <v>6.3761625000000004</v>
      </c>
      <c r="K138" s="53">
        <v>0.17365853658536595</v>
      </c>
      <c r="L138" s="20">
        <f t="shared" si="42"/>
        <v>11.736585365853699</v>
      </c>
      <c r="M138" s="20">
        <f t="shared" si="41"/>
        <v>12.736585365853699</v>
      </c>
      <c r="N138" s="20">
        <f t="shared" si="41"/>
        <v>12.236585365853699</v>
      </c>
      <c r="O138" s="20">
        <f>P137+$AO$133</f>
        <v>131.7365853658537</v>
      </c>
      <c r="P138" s="20">
        <f t="shared" si="40"/>
        <v>132.7365853658537</v>
      </c>
      <c r="Q138" s="20">
        <f t="shared" si="54"/>
        <v>132.2365853658537</v>
      </c>
      <c r="R138" s="20">
        <f t="shared" si="43"/>
        <v>122.7365853658537</v>
      </c>
      <c r="S138" s="20">
        <f t="shared" si="38"/>
        <v>123.7365853658537</v>
      </c>
      <c r="T138" s="20">
        <f t="shared" si="39"/>
        <v>123.2365853658537</v>
      </c>
      <c r="U138" s="20">
        <v>123.2365853658537</v>
      </c>
      <c r="V138" s="22">
        <v>8.6234999999999999</v>
      </c>
      <c r="W138" s="22">
        <v>2.3262</v>
      </c>
      <c r="X138" s="23">
        <v>1.1476266666666668</v>
      </c>
      <c r="Y138" s="23">
        <f t="shared" si="47"/>
        <v>7.4758733333333334</v>
      </c>
      <c r="Z138" s="23">
        <f t="shared" si="48"/>
        <v>1.1785733333333333</v>
      </c>
      <c r="AA138" s="22">
        <f t="shared" si="49"/>
        <v>84.234974553697626</v>
      </c>
      <c r="AB138" s="22">
        <f t="shared" si="50"/>
        <v>15.765025446302374</v>
      </c>
      <c r="AC138" s="22">
        <f t="shared" si="51"/>
        <v>1.1724722093160789</v>
      </c>
      <c r="AD138" s="22">
        <f t="shared" si="52"/>
        <v>0.18484054214950343</v>
      </c>
      <c r="AE138" s="24">
        <v>5.3861100000000004</v>
      </c>
      <c r="AF138" s="24">
        <v>5.8045</v>
      </c>
      <c r="AG138" s="24">
        <v>5.4577</v>
      </c>
      <c r="AH138" s="25">
        <f>AG138-AE138</f>
        <v>7.1589999999999598E-2</v>
      </c>
      <c r="AI138" s="25">
        <v>82.889170391261828</v>
      </c>
      <c r="AJ138" s="26">
        <v>4.1444585195630914</v>
      </c>
      <c r="AK138" s="25">
        <v>41.444585195630914</v>
      </c>
      <c r="AL138" s="26">
        <v>4.1454356128613421</v>
      </c>
      <c r="AM138" s="17">
        <f t="shared" si="53"/>
        <v>0.5780346820809249</v>
      </c>
      <c r="AN138" s="17"/>
      <c r="AO138" s="27"/>
      <c r="AP138" s="17"/>
      <c r="AQ138" s="17"/>
      <c r="AR138" s="17"/>
      <c r="AS138" s="17"/>
      <c r="AT138" s="17"/>
      <c r="AU138" s="17"/>
      <c r="AV138" s="17"/>
      <c r="AW138" s="17"/>
      <c r="AX138" s="17"/>
      <c r="BB138" s="17"/>
    </row>
    <row r="139" spans="1:54" x14ac:dyDescent="0.2">
      <c r="A139" s="17" t="s">
        <v>41</v>
      </c>
      <c r="B139" s="18" t="s">
        <v>42</v>
      </c>
      <c r="C139" s="18" t="str">
        <f t="shared" si="45"/>
        <v>BI10.4</v>
      </c>
      <c r="D139" s="18" t="str">
        <f t="shared" si="46"/>
        <v>BI10.4_138</v>
      </c>
      <c r="E139" s="17">
        <v>4</v>
      </c>
      <c r="F139" s="19">
        <v>138</v>
      </c>
      <c r="G139" s="20">
        <v>3</v>
      </c>
      <c r="H139" s="20">
        <v>2.95</v>
      </c>
      <c r="I139" s="20">
        <v>1</v>
      </c>
      <c r="J139" s="20">
        <f t="shared" si="44"/>
        <v>6.9477406249999998</v>
      </c>
      <c r="K139" s="53">
        <v>0.17365853658536595</v>
      </c>
      <c r="L139" s="20">
        <f t="shared" si="42"/>
        <v>12.910243902439078</v>
      </c>
      <c r="M139" s="20">
        <f t="shared" si="41"/>
        <v>13.910243902439078</v>
      </c>
      <c r="N139" s="20">
        <f t="shared" si="41"/>
        <v>13.410243902439078</v>
      </c>
      <c r="O139" s="20">
        <f>P138+$AO$133</f>
        <v>132.91024390243908</v>
      </c>
      <c r="P139" s="20">
        <f t="shared" si="40"/>
        <v>133.91024390243908</v>
      </c>
      <c r="Q139" s="20">
        <f t="shared" si="54"/>
        <v>133.41024390243908</v>
      </c>
      <c r="R139" s="20">
        <f t="shared" si="43"/>
        <v>123.91024390243908</v>
      </c>
      <c r="S139" s="20">
        <f t="shared" si="38"/>
        <v>124.91024390243908</v>
      </c>
      <c r="T139" s="20">
        <f t="shared" si="39"/>
        <v>124.41024390243908</v>
      </c>
      <c r="U139" s="20">
        <v>124.41024390243908</v>
      </c>
      <c r="V139" s="22">
        <v>9.1172000000000004</v>
      </c>
      <c r="W139" s="22">
        <v>2.4205999999999999</v>
      </c>
      <c r="X139" s="23">
        <v>1.1476266666666668</v>
      </c>
      <c r="Y139" s="23">
        <f t="shared" si="47"/>
        <v>7.9695733333333338</v>
      </c>
      <c r="Z139" s="23">
        <f t="shared" si="48"/>
        <v>1.2729733333333331</v>
      </c>
      <c r="AA139" s="22">
        <f t="shared" si="49"/>
        <v>84.027083005698344</v>
      </c>
      <c r="AB139" s="22">
        <f t="shared" si="50"/>
        <v>15.972916994301656</v>
      </c>
      <c r="AC139" s="22">
        <f t="shared" si="51"/>
        <v>1.1470741012778285</v>
      </c>
      <c r="AD139" s="22">
        <f t="shared" si="52"/>
        <v>0.18322119406023926</v>
      </c>
      <c r="AE139" s="24">
        <v>5.2869799999999998</v>
      </c>
      <c r="AF139" s="24">
        <v>5.6638999999999999</v>
      </c>
      <c r="AG139" s="24">
        <v>5.3384999999999998</v>
      </c>
      <c r="AH139" s="25">
        <f>AG139-AE139</f>
        <v>5.152000000000001E-2</v>
      </c>
      <c r="AI139" s="25">
        <v>86.331316990342771</v>
      </c>
      <c r="AJ139" s="26">
        <v>4.3165658495171391</v>
      </c>
      <c r="AK139" s="25">
        <v>43.165658495171385</v>
      </c>
      <c r="AL139" s="26">
        <v>4.3175039934223127</v>
      </c>
      <c r="AM139" s="17">
        <f t="shared" si="53"/>
        <v>0.5780346820809249</v>
      </c>
      <c r="AN139" s="17"/>
      <c r="AO139" s="27"/>
      <c r="AP139" s="17"/>
      <c r="AQ139" s="17"/>
      <c r="AR139" s="17"/>
      <c r="AS139" s="17"/>
      <c r="AT139" s="17"/>
      <c r="AU139" s="17"/>
      <c r="AV139" s="17"/>
      <c r="AW139" s="17"/>
      <c r="AX139" s="17"/>
      <c r="BB139" s="17"/>
    </row>
    <row r="140" spans="1:54" x14ac:dyDescent="0.2">
      <c r="A140" s="17" t="s">
        <v>41</v>
      </c>
      <c r="B140" s="18" t="s">
        <v>42</v>
      </c>
      <c r="C140" s="18" t="str">
        <f t="shared" si="45"/>
        <v>BI10.4</v>
      </c>
      <c r="D140" s="18" t="str">
        <f t="shared" si="46"/>
        <v>BI10.4_139</v>
      </c>
      <c r="E140" s="17">
        <v>4</v>
      </c>
      <c r="F140" s="19">
        <v>139</v>
      </c>
      <c r="G140" s="20">
        <v>3</v>
      </c>
      <c r="H140" s="20">
        <v>2.95</v>
      </c>
      <c r="I140" s="20">
        <v>1</v>
      </c>
      <c r="J140" s="20">
        <f t="shared" si="44"/>
        <v>6.9477406249999998</v>
      </c>
      <c r="K140" s="53">
        <v>0.17365853658536595</v>
      </c>
      <c r="L140" s="20">
        <f t="shared" si="42"/>
        <v>14.083902439024456</v>
      </c>
      <c r="M140" s="20">
        <f t="shared" si="41"/>
        <v>15.083902439024456</v>
      </c>
      <c r="N140" s="20">
        <f t="shared" si="41"/>
        <v>14.583902439024456</v>
      </c>
      <c r="O140" s="20">
        <f>P139+$AO$133</f>
        <v>134.08390243902446</v>
      </c>
      <c r="P140" s="20">
        <f t="shared" si="40"/>
        <v>135.08390243902446</v>
      </c>
      <c r="Q140" s="20">
        <f t="shared" si="54"/>
        <v>134.58390243902446</v>
      </c>
      <c r="R140" s="20">
        <f t="shared" si="43"/>
        <v>125.08390243902446</v>
      </c>
      <c r="S140" s="20">
        <f t="shared" si="38"/>
        <v>126.08390243902446</v>
      </c>
      <c r="T140" s="20">
        <f t="shared" si="39"/>
        <v>125.58390243902446</v>
      </c>
      <c r="U140" s="20">
        <v>125.58390243902446</v>
      </c>
      <c r="V140" s="22">
        <v>8.9968000000000004</v>
      </c>
      <c r="W140" s="22">
        <v>2.4091</v>
      </c>
      <c r="X140" s="23">
        <v>1.1476266666666668</v>
      </c>
      <c r="Y140" s="23">
        <f t="shared" si="47"/>
        <v>7.8491733333333338</v>
      </c>
      <c r="Z140" s="23">
        <f t="shared" si="48"/>
        <v>1.2614733333333332</v>
      </c>
      <c r="AA140" s="22">
        <f t="shared" si="49"/>
        <v>83.928583562090623</v>
      </c>
      <c r="AB140" s="22">
        <f t="shared" si="50"/>
        <v>16.071416437909377</v>
      </c>
      <c r="AC140" s="22">
        <f t="shared" si="51"/>
        <v>1.1297447266654883</v>
      </c>
      <c r="AD140" s="22">
        <f t="shared" si="52"/>
        <v>0.18156597970773172</v>
      </c>
      <c r="AE140" s="24">
        <v>5.5114000000000001</v>
      </c>
      <c r="AF140" s="24">
        <v>5.7897999999999996</v>
      </c>
      <c r="AG140" s="24">
        <v>5.5549999999999997</v>
      </c>
      <c r="AH140" s="25">
        <f>AG140-AE140</f>
        <v>4.3599999999999639E-2</v>
      </c>
      <c r="AI140" s="25">
        <v>84.339080459770216</v>
      </c>
      <c r="AJ140" s="26">
        <v>4.216954022988511</v>
      </c>
      <c r="AK140" s="25">
        <v>42.169540229885108</v>
      </c>
      <c r="AL140" s="26">
        <v>4.2179143225057318</v>
      </c>
      <c r="AM140" s="17">
        <f t="shared" si="53"/>
        <v>0.5780346820809249</v>
      </c>
      <c r="AN140" s="17"/>
      <c r="AO140" s="27"/>
      <c r="AP140" s="17"/>
      <c r="AQ140" s="17"/>
      <c r="AR140" s="17"/>
      <c r="AS140" s="17"/>
      <c r="AT140" s="17"/>
      <c r="AU140" s="17"/>
      <c r="AV140" s="17"/>
      <c r="AW140" s="17"/>
      <c r="AX140" s="17"/>
      <c r="BB140" s="17"/>
    </row>
    <row r="141" spans="1:54" x14ac:dyDescent="0.2">
      <c r="A141" s="17" t="s">
        <v>41</v>
      </c>
      <c r="B141" s="18" t="s">
        <v>42</v>
      </c>
      <c r="C141" s="18" t="str">
        <f t="shared" si="45"/>
        <v>BI10.4</v>
      </c>
      <c r="D141" s="18" t="str">
        <f t="shared" si="46"/>
        <v>BI10.4_140</v>
      </c>
      <c r="E141" s="17">
        <v>4</v>
      </c>
      <c r="F141" s="19">
        <v>140</v>
      </c>
      <c r="G141" s="20">
        <v>2.65</v>
      </c>
      <c r="H141" s="20">
        <v>3.2</v>
      </c>
      <c r="I141" s="20">
        <v>0.95</v>
      </c>
      <c r="J141" s="20">
        <f t="shared" si="44"/>
        <v>6.3803573437499992</v>
      </c>
      <c r="K141" s="53">
        <v>0.17365853658536595</v>
      </c>
      <c r="L141" s="20">
        <f t="shared" si="42"/>
        <v>15.257560975609834</v>
      </c>
      <c r="M141" s="20">
        <f t="shared" si="41"/>
        <v>16.207560975609823</v>
      </c>
      <c r="N141" s="20">
        <f t="shared" si="41"/>
        <v>15.732560975609829</v>
      </c>
      <c r="O141" s="20">
        <f>P140+$AO$133</f>
        <v>135.25756097560983</v>
      </c>
      <c r="P141" s="20">
        <f t="shared" si="40"/>
        <v>136.20756097560982</v>
      </c>
      <c r="Q141" s="20">
        <f t="shared" si="54"/>
        <v>135.73256097560983</v>
      </c>
      <c r="R141" s="20">
        <f t="shared" si="43"/>
        <v>126.25756097560983</v>
      </c>
      <c r="S141" s="20">
        <f t="shared" si="38"/>
        <v>127.20756097560984</v>
      </c>
      <c r="T141" s="20">
        <f t="shared" si="39"/>
        <v>126.73256097560983</v>
      </c>
      <c r="U141" s="20">
        <v>126.73256097560983</v>
      </c>
      <c r="V141" s="22">
        <v>8.2205999999999992</v>
      </c>
      <c r="W141" s="22">
        <v>2.3229000000000002</v>
      </c>
      <c r="X141" s="23">
        <v>1.1476266666666668</v>
      </c>
      <c r="Y141" s="23">
        <f t="shared" si="47"/>
        <v>7.0729733333333327</v>
      </c>
      <c r="Z141" s="23">
        <f t="shared" si="48"/>
        <v>1.1752733333333334</v>
      </c>
      <c r="AA141" s="22">
        <f t="shared" si="49"/>
        <v>83.383602935493414</v>
      </c>
      <c r="AB141" s="22">
        <f t="shared" si="50"/>
        <v>16.616397064506586</v>
      </c>
      <c r="AC141" s="22">
        <f t="shared" si="51"/>
        <v>1.1085544198024895</v>
      </c>
      <c r="AD141" s="22">
        <f t="shared" si="52"/>
        <v>0.18420180407051884</v>
      </c>
      <c r="AE141" s="24">
        <v>5.5499299999999998</v>
      </c>
      <c r="AF141" s="24">
        <v>5.8475999999999999</v>
      </c>
      <c r="AG141" s="24">
        <v>5.5949</v>
      </c>
      <c r="AH141" s="25">
        <f>AG141-AE141</f>
        <v>4.4970000000000176E-2</v>
      </c>
      <c r="AI141" s="25">
        <v>84.892666375516455</v>
      </c>
      <c r="AJ141" s="26">
        <v>4.2446333187758229</v>
      </c>
      <c r="AK141" s="25">
        <v>42.446333187758228</v>
      </c>
      <c r="AL141" s="26">
        <v>4.2455873575822061</v>
      </c>
      <c r="AM141" s="17">
        <f t="shared" si="53"/>
        <v>0.5780346820809249</v>
      </c>
      <c r="AN141" s="17"/>
      <c r="AO141" s="27"/>
      <c r="AP141" s="17"/>
      <c r="AQ141" s="17"/>
      <c r="AR141" s="17"/>
      <c r="AS141" s="17"/>
      <c r="AT141" s="17"/>
      <c r="AU141" s="17"/>
      <c r="AV141" s="17"/>
      <c r="AW141" s="17"/>
      <c r="AX141" s="17"/>
      <c r="BB141" s="17"/>
    </row>
    <row r="142" spans="1:54" x14ac:dyDescent="0.2">
      <c r="A142" s="17" t="s">
        <v>41</v>
      </c>
      <c r="B142" s="18" t="s">
        <v>42</v>
      </c>
      <c r="C142" s="18" t="str">
        <f t="shared" si="45"/>
        <v>BI10.4</v>
      </c>
      <c r="D142" s="18" t="str">
        <f t="shared" si="46"/>
        <v>BI10.4_141</v>
      </c>
      <c r="E142" s="17">
        <v>4</v>
      </c>
      <c r="F142" s="19">
        <v>141</v>
      </c>
      <c r="G142" s="20">
        <v>2.65</v>
      </c>
      <c r="H142" s="20">
        <v>3.05</v>
      </c>
      <c r="I142" s="20">
        <v>1</v>
      </c>
      <c r="J142" s="20">
        <f t="shared" si="44"/>
        <v>6.3761624999999995</v>
      </c>
      <c r="K142" s="53">
        <v>0.17365853658536595</v>
      </c>
      <c r="L142" s="20">
        <f t="shared" si="42"/>
        <v>16.381219512195202</v>
      </c>
      <c r="M142" s="20">
        <f t="shared" si="41"/>
        <v>17.381219512195202</v>
      </c>
      <c r="N142" s="20">
        <f t="shared" si="41"/>
        <v>16.881219512195202</v>
      </c>
      <c r="O142" s="20">
        <f>P141+$AO$133</f>
        <v>136.3812195121952</v>
      </c>
      <c r="P142" s="20">
        <f t="shared" si="40"/>
        <v>137.3812195121952</v>
      </c>
      <c r="Q142" s="20">
        <f t="shared" si="54"/>
        <v>136.8812195121952</v>
      </c>
      <c r="R142" s="20">
        <f t="shared" si="43"/>
        <v>127.3812195121952</v>
      </c>
      <c r="S142" s="20">
        <f t="shared" si="38"/>
        <v>128.3812195121952</v>
      </c>
      <c r="T142" s="20">
        <f t="shared" si="39"/>
        <v>127.8812195121952</v>
      </c>
      <c r="U142" s="20">
        <v>127.8812195121952</v>
      </c>
      <c r="V142" s="22">
        <v>8.8560999999999996</v>
      </c>
      <c r="W142" s="22">
        <v>2.302</v>
      </c>
      <c r="X142" s="23">
        <v>1.1476266666666668</v>
      </c>
      <c r="Y142" s="23">
        <f t="shared" si="47"/>
        <v>7.7084733333333331</v>
      </c>
      <c r="Z142" s="23">
        <f t="shared" si="48"/>
        <v>1.1543733333333333</v>
      </c>
      <c r="AA142" s="22">
        <f t="shared" si="49"/>
        <v>85.024617931263521</v>
      </c>
      <c r="AB142" s="22">
        <f t="shared" si="50"/>
        <v>14.975382068736479</v>
      </c>
      <c r="AC142" s="22">
        <f t="shared" si="51"/>
        <v>1.2089518316594556</v>
      </c>
      <c r="AD142" s="22">
        <f t="shared" si="52"/>
        <v>0.18104515581799135</v>
      </c>
      <c r="AE142" s="24">
        <v>5.73644</v>
      </c>
      <c r="AF142" s="24">
        <v>6.0648999999999997</v>
      </c>
      <c r="AG142" s="24">
        <v>5.7805</v>
      </c>
      <c r="AH142" s="25">
        <f>AG142-AE142</f>
        <v>4.4059999999999988E-2</v>
      </c>
      <c r="AI142" s="25">
        <v>86.58588564817633</v>
      </c>
      <c r="AJ142" s="26">
        <v>4.3292942824088163</v>
      </c>
      <c r="AK142" s="25">
        <v>43.292942824088165</v>
      </c>
      <c r="AL142" s="26">
        <v>4.3302296687009187</v>
      </c>
      <c r="AM142" s="17">
        <f t="shared" si="53"/>
        <v>0.5780346820809249</v>
      </c>
      <c r="AN142" s="17"/>
      <c r="AO142" s="27"/>
      <c r="AP142" s="17"/>
      <c r="AQ142" s="17"/>
      <c r="AR142" s="17"/>
      <c r="AS142" s="17"/>
      <c r="AT142" s="17"/>
      <c r="AU142" s="17"/>
      <c r="AV142" s="17"/>
      <c r="AW142" s="17"/>
      <c r="AX142" s="17"/>
      <c r="BB142" s="17"/>
    </row>
    <row r="143" spans="1:54" x14ac:dyDescent="0.2">
      <c r="A143" s="17" t="s">
        <v>41</v>
      </c>
      <c r="B143" s="18" t="s">
        <v>42</v>
      </c>
      <c r="C143" s="18" t="str">
        <f t="shared" si="45"/>
        <v>BI10.4</v>
      </c>
      <c r="D143" s="18" t="str">
        <f t="shared" si="46"/>
        <v>BI10.4_142</v>
      </c>
      <c r="E143" s="17">
        <v>4</v>
      </c>
      <c r="F143" s="19">
        <v>142</v>
      </c>
      <c r="G143" s="20">
        <v>2.5</v>
      </c>
      <c r="H143" s="20">
        <v>3</v>
      </c>
      <c r="I143" s="20">
        <v>0.95</v>
      </c>
      <c r="J143" s="20">
        <f t="shared" si="44"/>
        <v>5.6397343749999989</v>
      </c>
      <c r="K143" s="53">
        <v>0.17365853658536595</v>
      </c>
      <c r="L143" s="20">
        <f t="shared" si="42"/>
        <v>17.55487804878058</v>
      </c>
      <c r="M143" s="20">
        <f t="shared" si="41"/>
        <v>18.504878048780569</v>
      </c>
      <c r="N143" s="20">
        <f t="shared" si="41"/>
        <v>18.029878048780574</v>
      </c>
      <c r="O143" s="20">
        <f>P142+$AO$133</f>
        <v>137.55487804878058</v>
      </c>
      <c r="P143" s="20">
        <f t="shared" si="40"/>
        <v>138.50487804878057</v>
      </c>
      <c r="Q143" s="20">
        <f t="shared" si="54"/>
        <v>138.02987804878057</v>
      </c>
      <c r="R143" s="20">
        <f t="shared" si="43"/>
        <v>128.55487804878058</v>
      </c>
      <c r="S143" s="20">
        <f t="shared" si="38"/>
        <v>129.50487804878057</v>
      </c>
      <c r="T143" s="20">
        <f t="shared" si="39"/>
        <v>129.02987804878057</v>
      </c>
      <c r="U143" s="20">
        <v>129.02987804878057</v>
      </c>
      <c r="V143" s="22">
        <v>8.2684999999999995</v>
      </c>
      <c r="W143" s="22">
        <v>2.3037999999999998</v>
      </c>
      <c r="X143" s="23">
        <v>1.1476266666666668</v>
      </c>
      <c r="Y143" s="23">
        <f t="shared" si="47"/>
        <v>7.1208733333333329</v>
      </c>
      <c r="Z143" s="23">
        <f t="shared" si="48"/>
        <v>1.1561733333333331</v>
      </c>
      <c r="AA143" s="22">
        <f t="shared" si="49"/>
        <v>83.763602030088066</v>
      </c>
      <c r="AB143" s="22">
        <f t="shared" si="50"/>
        <v>16.236397969911934</v>
      </c>
      <c r="AC143" s="22">
        <f t="shared" si="51"/>
        <v>1.2626256592684535</v>
      </c>
      <c r="AD143" s="22">
        <f t="shared" si="52"/>
        <v>0.20500492690905026</v>
      </c>
      <c r="AE143" s="24">
        <v>5.3433099999999998</v>
      </c>
      <c r="AF143" s="24">
        <v>5.7754000000000003</v>
      </c>
      <c r="AG143" s="24">
        <v>5.4146999999999998</v>
      </c>
      <c r="AH143" s="25">
        <f>AG143-AE143</f>
        <v>7.1390000000000065E-2</v>
      </c>
      <c r="AI143" s="25">
        <v>83.477979124719397</v>
      </c>
      <c r="AJ143" s="26">
        <v>4.1738989562359698</v>
      </c>
      <c r="AK143" s="25">
        <v>41.738989562359698</v>
      </c>
      <c r="AL143" s="26">
        <v>4.1748691592513074</v>
      </c>
      <c r="AM143" s="17">
        <f t="shared" si="53"/>
        <v>0.5780346820809249</v>
      </c>
      <c r="AN143" s="17"/>
      <c r="AO143" s="27"/>
      <c r="AP143" s="17"/>
      <c r="AQ143" s="17"/>
      <c r="AR143" s="17"/>
      <c r="AS143" s="17"/>
      <c r="AT143" s="17"/>
      <c r="AU143" s="17"/>
      <c r="AV143" s="17"/>
      <c r="AW143" s="17"/>
      <c r="AX143" s="17"/>
      <c r="BB143" s="17"/>
    </row>
    <row r="144" spans="1:54" x14ac:dyDescent="0.2">
      <c r="A144" s="17" t="s">
        <v>41</v>
      </c>
      <c r="B144" s="18" t="s">
        <v>42</v>
      </c>
      <c r="C144" s="18" t="str">
        <f t="shared" si="45"/>
        <v>BI10.4</v>
      </c>
      <c r="D144" s="18" t="str">
        <f t="shared" si="46"/>
        <v>BI10.4_143</v>
      </c>
      <c r="E144" s="17">
        <v>4</v>
      </c>
      <c r="F144" s="19">
        <v>143</v>
      </c>
      <c r="G144" s="20">
        <v>3</v>
      </c>
      <c r="H144" s="20">
        <v>3.05</v>
      </c>
      <c r="I144" s="20">
        <v>0.98</v>
      </c>
      <c r="J144" s="20">
        <f t="shared" si="44"/>
        <v>7.039575812499999</v>
      </c>
      <c r="K144" s="53">
        <v>0.17365853658536595</v>
      </c>
      <c r="L144" s="20">
        <f t="shared" si="42"/>
        <v>18.678536585365947</v>
      </c>
      <c r="M144" s="20">
        <f t="shared" si="42"/>
        <v>19.658536585365937</v>
      </c>
      <c r="N144" s="20">
        <f t="shared" si="42"/>
        <v>19.168536585365928</v>
      </c>
      <c r="O144" s="20">
        <f>P143+$AO$133</f>
        <v>138.67853658536595</v>
      </c>
      <c r="P144" s="20">
        <f t="shared" si="40"/>
        <v>139.65853658536594</v>
      </c>
      <c r="Q144" s="20">
        <f t="shared" si="54"/>
        <v>139.16853658536593</v>
      </c>
      <c r="R144" s="20">
        <f t="shared" si="43"/>
        <v>129.67853658536595</v>
      </c>
      <c r="S144" s="20">
        <f t="shared" si="38"/>
        <v>130.65853658536594</v>
      </c>
      <c r="T144" s="20">
        <f t="shared" si="39"/>
        <v>130.16853658536593</v>
      </c>
      <c r="U144" s="20">
        <v>130.16853658536593</v>
      </c>
      <c r="V144" s="22">
        <v>8.7301000000000002</v>
      </c>
      <c r="W144" s="22">
        <v>2.3209</v>
      </c>
      <c r="X144" s="23">
        <v>1.1476266666666668</v>
      </c>
      <c r="Y144" s="23">
        <f t="shared" si="47"/>
        <v>7.5824733333333336</v>
      </c>
      <c r="Z144" s="23">
        <f t="shared" si="48"/>
        <v>1.1732733333333332</v>
      </c>
      <c r="AA144" s="22">
        <f t="shared" si="49"/>
        <v>84.526508940354546</v>
      </c>
      <c r="AB144" s="22">
        <f t="shared" si="50"/>
        <v>15.473491059645454</v>
      </c>
      <c r="AC144" s="22">
        <f t="shared" si="51"/>
        <v>1.0771207719461342</v>
      </c>
      <c r="AD144" s="22">
        <f t="shared" si="52"/>
        <v>0.16666818634866906</v>
      </c>
      <c r="AE144" s="24">
        <v>5.7358500000000001</v>
      </c>
      <c r="AF144" s="24">
        <v>6.0770999999999997</v>
      </c>
      <c r="AG144" s="24">
        <v>5.7911999999999999</v>
      </c>
      <c r="AH144" s="25">
        <f>AG144-AE144</f>
        <v>5.5349999999999788E-2</v>
      </c>
      <c r="AI144" s="25">
        <v>83.780219780219824</v>
      </c>
      <c r="AJ144" s="26">
        <v>4.189010989010991</v>
      </c>
      <c r="AK144" s="25">
        <v>41.890109890109912</v>
      </c>
      <c r="AL144" s="26">
        <v>4.1899776927872585</v>
      </c>
      <c r="AM144" s="17">
        <f t="shared" si="53"/>
        <v>0.5780346820809249</v>
      </c>
      <c r="AN144" s="17"/>
      <c r="AO144" s="27"/>
      <c r="AP144" s="17"/>
      <c r="AQ144" s="17"/>
      <c r="AR144" s="17"/>
      <c r="AS144" s="17"/>
      <c r="AT144" s="17"/>
      <c r="AU144" s="17"/>
      <c r="AV144" s="17"/>
      <c r="AW144" s="17"/>
      <c r="AX144" s="17"/>
      <c r="BB144" s="17"/>
    </row>
    <row r="145" spans="1:54" x14ac:dyDescent="0.2">
      <c r="A145" s="17" t="s">
        <v>41</v>
      </c>
      <c r="B145" s="18" t="s">
        <v>42</v>
      </c>
      <c r="C145" s="18" t="str">
        <f t="shared" si="45"/>
        <v>BI10.4</v>
      </c>
      <c r="D145" s="18" t="str">
        <f t="shared" si="46"/>
        <v>BI10.4_144</v>
      </c>
      <c r="E145" s="17">
        <v>4</v>
      </c>
      <c r="F145" s="19">
        <v>144</v>
      </c>
      <c r="G145" s="20">
        <v>2.5499999999999998</v>
      </c>
      <c r="H145" s="20">
        <v>2.95</v>
      </c>
      <c r="I145" s="20">
        <v>1</v>
      </c>
      <c r="J145" s="20">
        <f t="shared" si="44"/>
        <v>5.9365625</v>
      </c>
      <c r="K145" s="53">
        <v>0.17365853658536595</v>
      </c>
      <c r="L145" s="20">
        <f t="shared" si="42"/>
        <v>19.832195121951315</v>
      </c>
      <c r="M145" s="20">
        <f t="shared" si="42"/>
        <v>20.832195121951315</v>
      </c>
      <c r="N145" s="20">
        <f t="shared" si="42"/>
        <v>20.332195121951315</v>
      </c>
      <c r="O145" s="20">
        <f>P144+$AO$133</f>
        <v>139.83219512195132</v>
      </c>
      <c r="P145" s="20">
        <f t="shared" si="40"/>
        <v>140.83219512195132</v>
      </c>
      <c r="Q145" s="20">
        <f t="shared" si="54"/>
        <v>140.33219512195132</v>
      </c>
      <c r="R145" s="20">
        <f t="shared" si="43"/>
        <v>130.83219512195132</v>
      </c>
      <c r="S145" s="20">
        <f t="shared" si="38"/>
        <v>131.83219512195132</v>
      </c>
      <c r="T145" s="20">
        <f t="shared" si="39"/>
        <v>131.33219512195132</v>
      </c>
      <c r="U145" s="20">
        <v>131.33219512195132</v>
      </c>
      <c r="V145" s="22">
        <v>8.7497000000000007</v>
      </c>
      <c r="W145" s="22">
        <v>2.2658</v>
      </c>
      <c r="X145" s="23">
        <v>1.1476266666666668</v>
      </c>
      <c r="Y145" s="23">
        <f t="shared" si="47"/>
        <v>7.6020733333333341</v>
      </c>
      <c r="Z145" s="23">
        <f t="shared" si="48"/>
        <v>1.1181733333333332</v>
      </c>
      <c r="AA145" s="22">
        <f t="shared" si="49"/>
        <v>85.291205644775857</v>
      </c>
      <c r="AB145" s="22">
        <f t="shared" si="50"/>
        <v>14.708794355224143</v>
      </c>
      <c r="AC145" s="22">
        <f t="shared" si="51"/>
        <v>1.2805513853064521</v>
      </c>
      <c r="AD145" s="22">
        <f t="shared" si="52"/>
        <v>0.18835366987769997</v>
      </c>
      <c r="AE145" s="24">
        <v>5.52454</v>
      </c>
      <c r="AF145" s="24">
        <v>6.0595999999999997</v>
      </c>
      <c r="AG145" s="24">
        <v>5.6153000000000004</v>
      </c>
      <c r="AH145" s="25">
        <f>AG145-AE145</f>
        <v>9.0760000000000396E-2</v>
      </c>
      <c r="AI145" s="25">
        <v>83.037416364519771</v>
      </c>
      <c r="AJ145" s="26">
        <v>4.1518708182259889</v>
      </c>
      <c r="AK145" s="25">
        <v>41.518708182259886</v>
      </c>
      <c r="AL145" s="26">
        <v>4.1528461675381791</v>
      </c>
      <c r="AM145" s="17">
        <f t="shared" si="53"/>
        <v>0.5780346820809249</v>
      </c>
      <c r="AN145" s="17"/>
      <c r="AO145" s="27"/>
      <c r="AP145" s="17"/>
      <c r="AQ145" s="17"/>
      <c r="AR145" s="17"/>
      <c r="AS145" s="17"/>
      <c r="AT145" s="17"/>
      <c r="AU145" s="17"/>
      <c r="AV145" s="17"/>
      <c r="AW145" s="17"/>
      <c r="AX145" s="17"/>
      <c r="BB145" s="17"/>
    </row>
    <row r="146" spans="1:54" x14ac:dyDescent="0.2">
      <c r="A146" s="17" t="s">
        <v>41</v>
      </c>
      <c r="B146" s="18" t="s">
        <v>42</v>
      </c>
      <c r="C146" s="18" t="str">
        <f t="shared" si="45"/>
        <v>BI10.4</v>
      </c>
      <c r="D146" s="18" t="str">
        <f t="shared" si="46"/>
        <v>BI10.4_145</v>
      </c>
      <c r="E146" s="17">
        <v>4</v>
      </c>
      <c r="F146" s="19">
        <v>145</v>
      </c>
      <c r="G146" s="20">
        <v>2.6</v>
      </c>
      <c r="H146" s="20">
        <v>2</v>
      </c>
      <c r="I146" s="20">
        <v>1</v>
      </c>
      <c r="J146" s="20">
        <f t="shared" si="44"/>
        <v>4.1526499999999995</v>
      </c>
      <c r="K146" s="53">
        <v>0.17365853658536595</v>
      </c>
      <c r="L146" s="20">
        <f t="shared" si="42"/>
        <v>21.005853658536694</v>
      </c>
      <c r="M146" s="20">
        <f t="shared" si="42"/>
        <v>22.005853658536694</v>
      </c>
      <c r="N146" s="20">
        <f t="shared" si="42"/>
        <v>21.505853658536694</v>
      </c>
      <c r="O146" s="20">
        <f>P145+$AO$133</f>
        <v>141.00585365853669</v>
      </c>
      <c r="P146" s="20">
        <f t="shared" si="40"/>
        <v>142.00585365853669</v>
      </c>
      <c r="Q146" s="20">
        <f t="shared" si="54"/>
        <v>141.50585365853669</v>
      </c>
      <c r="R146" s="20">
        <f t="shared" si="43"/>
        <v>132.00585365853669</v>
      </c>
      <c r="S146" s="20">
        <f t="shared" si="38"/>
        <v>133.00585365853669</v>
      </c>
      <c r="T146" s="20">
        <f t="shared" si="39"/>
        <v>132.50585365853669</v>
      </c>
      <c r="U146" s="20">
        <v>132.50585365853669</v>
      </c>
      <c r="V146" s="22">
        <v>8.8026999999999997</v>
      </c>
      <c r="W146" s="22">
        <v>2.2812000000000001</v>
      </c>
      <c r="X146" s="23">
        <v>1.1476266666666668</v>
      </c>
      <c r="Y146" s="23">
        <f t="shared" si="47"/>
        <v>7.6550733333333332</v>
      </c>
      <c r="Z146" s="23">
        <f t="shared" si="48"/>
        <v>1.1335733333333333</v>
      </c>
      <c r="AA146" s="22">
        <f t="shared" si="49"/>
        <v>85.191868399257658</v>
      </c>
      <c r="AB146" s="22">
        <f t="shared" si="50"/>
        <v>14.808131600742342</v>
      </c>
      <c r="AC146" s="22">
        <f t="shared" si="51"/>
        <v>1.8434188610485676</v>
      </c>
      <c r="AD146" s="22">
        <f t="shared" si="52"/>
        <v>0.27297589089697744</v>
      </c>
      <c r="AE146" s="24">
        <v>5.6411199999999999</v>
      </c>
      <c r="AF146" s="24">
        <v>6.0471000000000004</v>
      </c>
      <c r="AG146" s="24">
        <v>5.7064000000000004</v>
      </c>
      <c r="AH146" s="25">
        <f>AG146-AE146</f>
        <v>6.5280000000000449E-2</v>
      </c>
      <c r="AI146" s="25">
        <v>83.920390167003205</v>
      </c>
      <c r="AJ146" s="26">
        <v>4.1960195083501608</v>
      </c>
      <c r="AK146" s="25">
        <v>41.960195083501603</v>
      </c>
      <c r="AL146" s="26">
        <v>4.1969845978339171</v>
      </c>
      <c r="AM146" s="17">
        <f t="shared" si="53"/>
        <v>0.5780346820809249</v>
      </c>
      <c r="AN146" s="17"/>
      <c r="AO146" s="27"/>
      <c r="AP146" s="17"/>
      <c r="AQ146" s="17"/>
      <c r="AR146" s="17"/>
      <c r="AS146" s="17"/>
      <c r="AT146" s="17"/>
      <c r="AU146" s="17"/>
      <c r="AV146" s="17"/>
      <c r="AW146" s="17"/>
      <c r="AX146" s="17"/>
      <c r="BB146" s="17"/>
    </row>
    <row r="147" spans="1:54" x14ac:dyDescent="0.2">
      <c r="A147" s="17" t="s">
        <v>41</v>
      </c>
      <c r="B147" s="18" t="s">
        <v>42</v>
      </c>
      <c r="C147" s="18" t="str">
        <f t="shared" si="45"/>
        <v>BI10.4</v>
      </c>
      <c r="D147" s="18" t="str">
        <f t="shared" si="46"/>
        <v>BI10.4_146</v>
      </c>
      <c r="E147" s="17">
        <v>4</v>
      </c>
      <c r="F147" s="19">
        <v>146</v>
      </c>
      <c r="G147" s="20">
        <v>2.8</v>
      </c>
      <c r="H147" s="20">
        <v>3.1</v>
      </c>
      <c r="I147" s="20">
        <v>1</v>
      </c>
      <c r="J147" s="20">
        <f t="shared" si="44"/>
        <v>6.8314625000000015</v>
      </c>
      <c r="K147" s="53">
        <v>0.17365853658536595</v>
      </c>
      <c r="L147" s="20">
        <f t="shared" si="42"/>
        <v>22.179512195122072</v>
      </c>
      <c r="M147" s="20">
        <f t="shared" si="42"/>
        <v>23.179512195122072</v>
      </c>
      <c r="N147" s="20">
        <f t="shared" si="42"/>
        <v>22.679512195122072</v>
      </c>
      <c r="O147" s="20">
        <f>P146+$AO$133</f>
        <v>142.17951219512207</v>
      </c>
      <c r="P147" s="20">
        <f t="shared" si="40"/>
        <v>143.17951219512207</v>
      </c>
      <c r="Q147" s="20">
        <f t="shared" si="54"/>
        <v>142.67951219512207</v>
      </c>
      <c r="R147" s="20">
        <f t="shared" si="43"/>
        <v>133.17951219512207</v>
      </c>
      <c r="S147" s="20">
        <f t="shared" si="38"/>
        <v>134.17951219512207</v>
      </c>
      <c r="T147" s="20">
        <f t="shared" si="39"/>
        <v>133.67951219512207</v>
      </c>
      <c r="U147" s="20">
        <v>133.67951219512207</v>
      </c>
      <c r="V147" s="22">
        <v>9.2235999999999994</v>
      </c>
      <c r="W147" s="22">
        <v>2.3896000000000002</v>
      </c>
      <c r="X147" s="23">
        <v>1.1476266666666668</v>
      </c>
      <c r="Y147" s="23">
        <f t="shared" si="47"/>
        <v>8.0759733333333319</v>
      </c>
      <c r="Z147" s="23">
        <f t="shared" si="48"/>
        <v>1.2419733333333334</v>
      </c>
      <c r="AA147" s="22">
        <f t="shared" si="49"/>
        <v>84.621378971038368</v>
      </c>
      <c r="AB147" s="22">
        <f t="shared" si="50"/>
        <v>15.378621028961632</v>
      </c>
      <c r="AC147" s="22">
        <f t="shared" si="51"/>
        <v>1.1821734121109981</v>
      </c>
      <c r="AD147" s="22">
        <f t="shared" si="52"/>
        <v>0.18180196895369521</v>
      </c>
      <c r="AE147" s="24">
        <v>5.1760799999999998</v>
      </c>
      <c r="AF147" s="24">
        <v>5.5533000000000001</v>
      </c>
      <c r="AG147" s="24">
        <v>5.2446000000000002</v>
      </c>
      <c r="AH147" s="25">
        <f>AG147-AE147</f>
        <v>6.8520000000000358E-2</v>
      </c>
      <c r="AI147" s="25">
        <v>81.835533640846108</v>
      </c>
      <c r="AJ147" s="26">
        <v>4.0917766820423056</v>
      </c>
      <c r="AK147" s="25">
        <v>40.917766820423054</v>
      </c>
      <c r="AL147" s="26">
        <v>4.0927663524449009</v>
      </c>
      <c r="AM147" s="17">
        <f t="shared" si="53"/>
        <v>0.5780346820809249</v>
      </c>
      <c r="AN147" s="17"/>
      <c r="AO147" s="27"/>
      <c r="AP147" s="17"/>
      <c r="AQ147" s="17"/>
      <c r="AR147" s="17"/>
      <c r="AS147" s="17"/>
      <c r="AT147" s="17"/>
      <c r="AU147" s="17"/>
      <c r="AV147" s="17"/>
      <c r="AW147" s="17"/>
      <c r="AX147" s="17"/>
      <c r="BB147" s="17"/>
    </row>
    <row r="148" spans="1:54" x14ac:dyDescent="0.2">
      <c r="A148" s="17" t="s">
        <v>41</v>
      </c>
      <c r="B148" s="18" t="s">
        <v>42</v>
      </c>
      <c r="C148" s="18" t="str">
        <f t="shared" si="45"/>
        <v>BI10.4</v>
      </c>
      <c r="D148" s="18" t="str">
        <f t="shared" si="46"/>
        <v>BI10.4_147</v>
      </c>
      <c r="E148" s="17">
        <v>4</v>
      </c>
      <c r="F148" s="19">
        <v>147</v>
      </c>
      <c r="G148" s="20">
        <v>2.65</v>
      </c>
      <c r="H148" s="20">
        <v>2.9</v>
      </c>
      <c r="I148" s="20">
        <v>1</v>
      </c>
      <c r="J148" s="20">
        <f t="shared" si="44"/>
        <v>6.0449906249999996</v>
      </c>
      <c r="K148" s="53">
        <v>0.17365853658536595</v>
      </c>
      <c r="L148" s="20">
        <f t="shared" si="42"/>
        <v>23.353170731707451</v>
      </c>
      <c r="M148" s="20">
        <f t="shared" si="42"/>
        <v>24.353170731707451</v>
      </c>
      <c r="N148" s="20">
        <f t="shared" si="42"/>
        <v>23.853170731707451</v>
      </c>
      <c r="O148" s="20">
        <f>P147+$AO$133</f>
        <v>143.35317073170745</v>
      </c>
      <c r="P148" s="20">
        <f t="shared" si="40"/>
        <v>144.35317073170745</v>
      </c>
      <c r="Q148" s="20">
        <f t="shared" si="54"/>
        <v>143.85317073170745</v>
      </c>
      <c r="R148" s="20">
        <f t="shared" si="43"/>
        <v>134.35317073170745</v>
      </c>
      <c r="S148" s="20">
        <f t="shared" si="38"/>
        <v>135.35317073170745</v>
      </c>
      <c r="T148" s="20">
        <f t="shared" si="39"/>
        <v>134.85317073170745</v>
      </c>
      <c r="U148" s="20">
        <v>134.85317073170745</v>
      </c>
      <c r="V148" s="22">
        <v>9.1681000000000008</v>
      </c>
      <c r="W148" s="22">
        <v>2.335</v>
      </c>
      <c r="X148" s="23">
        <v>1.1476266666666668</v>
      </c>
      <c r="Y148" s="23">
        <f t="shared" si="47"/>
        <v>8.0204733333333333</v>
      </c>
      <c r="Z148" s="23">
        <f t="shared" si="48"/>
        <v>1.1873733333333332</v>
      </c>
      <c r="AA148" s="22">
        <f t="shared" si="49"/>
        <v>85.195719953352707</v>
      </c>
      <c r="AB148" s="22">
        <f t="shared" si="50"/>
        <v>14.804280046647293</v>
      </c>
      <c r="AC148" s="22">
        <f t="shared" si="51"/>
        <v>1.3267966537720368</v>
      </c>
      <c r="AD148" s="22">
        <f t="shared" si="52"/>
        <v>0.19642269227395753</v>
      </c>
      <c r="AE148" s="24">
        <v>5.38523</v>
      </c>
      <c r="AF148" s="24">
        <v>5.7739000000000003</v>
      </c>
      <c r="AG148" s="24">
        <v>5.4743000000000004</v>
      </c>
      <c r="AH148" s="25">
        <f>AG148-AE148</f>
        <v>8.9070000000000427E-2</v>
      </c>
      <c r="AI148" s="25">
        <v>77.083386934931852</v>
      </c>
      <c r="AJ148" s="26">
        <v>3.854169346746593</v>
      </c>
      <c r="AK148" s="25">
        <v>38.541693467465926</v>
      </c>
      <c r="AL148" s="26">
        <v>3.8552200136180375</v>
      </c>
      <c r="AM148" s="17">
        <f t="shared" si="53"/>
        <v>0.5780346820809249</v>
      </c>
      <c r="AN148" s="17"/>
      <c r="AO148" s="27"/>
      <c r="AP148" s="17"/>
      <c r="AQ148" s="17"/>
      <c r="AR148" s="17"/>
      <c r="AS148" s="17"/>
      <c r="AT148" s="17"/>
      <c r="AU148" s="17"/>
      <c r="AV148" s="17"/>
      <c r="AW148" s="17"/>
      <c r="AX148" s="17"/>
      <c r="BB148" s="17"/>
    </row>
    <row r="149" spans="1:54" x14ac:dyDescent="0.2">
      <c r="A149" s="17" t="s">
        <v>41</v>
      </c>
      <c r="B149" s="18" t="s">
        <v>42</v>
      </c>
      <c r="C149" s="18" t="str">
        <f t="shared" si="45"/>
        <v>BI10.4</v>
      </c>
      <c r="D149" s="18" t="str">
        <f t="shared" si="46"/>
        <v>BI10.4_148</v>
      </c>
      <c r="E149" s="17">
        <v>4</v>
      </c>
      <c r="F149" s="19">
        <v>148</v>
      </c>
      <c r="G149" s="20">
        <v>2.7</v>
      </c>
      <c r="H149" s="20">
        <v>2.95</v>
      </c>
      <c r="I149" s="20">
        <v>1</v>
      </c>
      <c r="J149" s="20">
        <f t="shared" si="44"/>
        <v>6.2647906250000016</v>
      </c>
      <c r="K149" s="53">
        <v>0.17365853658536595</v>
      </c>
      <c r="L149" s="20">
        <f t="shared" si="42"/>
        <v>24.526829268292829</v>
      </c>
      <c r="M149" s="20">
        <f t="shared" si="42"/>
        <v>25.526829268292829</v>
      </c>
      <c r="N149" s="20">
        <f t="shared" si="42"/>
        <v>25.026829268292829</v>
      </c>
      <c r="O149" s="20">
        <f>P148+$AO$133</f>
        <v>144.52682926829283</v>
      </c>
      <c r="P149" s="20">
        <f t="shared" si="40"/>
        <v>145.52682926829283</v>
      </c>
      <c r="Q149" s="20">
        <f t="shared" si="54"/>
        <v>145.02682926829283</v>
      </c>
      <c r="R149" s="20">
        <f t="shared" si="43"/>
        <v>135.52682926829283</v>
      </c>
      <c r="S149" s="20">
        <f t="shared" si="38"/>
        <v>136.52682926829283</v>
      </c>
      <c r="T149" s="20">
        <f t="shared" si="39"/>
        <v>136.02682926829283</v>
      </c>
      <c r="U149" s="20">
        <v>136.02682926829283</v>
      </c>
      <c r="V149" s="22">
        <v>9.4809000000000001</v>
      </c>
      <c r="W149" s="22">
        <v>2.6707999999999998</v>
      </c>
      <c r="X149" s="23">
        <v>1.1476266666666668</v>
      </c>
      <c r="Y149" s="23">
        <f t="shared" si="47"/>
        <v>8.3332733333333326</v>
      </c>
      <c r="Z149" s="23">
        <f t="shared" si="48"/>
        <v>1.523173333333333</v>
      </c>
      <c r="AA149" s="22">
        <f t="shared" si="49"/>
        <v>81.721788396876462</v>
      </c>
      <c r="AB149" s="22">
        <f t="shared" si="50"/>
        <v>18.278211603123538</v>
      </c>
      <c r="AC149" s="22">
        <f t="shared" si="51"/>
        <v>1.3301758721319326</v>
      </c>
      <c r="AD149" s="22">
        <f t="shared" si="52"/>
        <v>0.24313236060196866</v>
      </c>
      <c r="AE149" s="24">
        <v>5.6399900000000001</v>
      </c>
      <c r="AF149" s="24">
        <v>6.0266000000000002</v>
      </c>
      <c r="AG149" s="24">
        <v>5.7016</v>
      </c>
      <c r="AH149" s="25">
        <f>AG149-AE149</f>
        <v>6.1609999999999943E-2</v>
      </c>
      <c r="AI149" s="25">
        <v>84.06404386849799</v>
      </c>
      <c r="AJ149" s="26">
        <v>4.2032021934248993</v>
      </c>
      <c r="AK149" s="25">
        <v>42.032021934248995</v>
      </c>
      <c r="AL149" s="26">
        <v>4.2041656340838767</v>
      </c>
      <c r="AM149" s="17">
        <f t="shared" si="53"/>
        <v>0.5780346820809249</v>
      </c>
      <c r="AN149" s="17"/>
      <c r="AO149" s="27"/>
      <c r="AP149" s="17"/>
      <c r="AQ149" s="17"/>
      <c r="AR149" s="17"/>
      <c r="AS149" s="17"/>
      <c r="AT149" s="17"/>
      <c r="AU149" s="17"/>
      <c r="AV149" s="17"/>
      <c r="AW149" s="17"/>
      <c r="AX149" s="17"/>
      <c r="BB149" s="17"/>
    </row>
    <row r="150" spans="1:54" x14ac:dyDescent="0.2">
      <c r="A150" s="17" t="s">
        <v>41</v>
      </c>
      <c r="B150" s="18" t="s">
        <v>42</v>
      </c>
      <c r="C150" s="18" t="str">
        <f t="shared" si="45"/>
        <v>BI10.4</v>
      </c>
      <c r="D150" s="18" t="str">
        <f t="shared" si="46"/>
        <v>BI10.4_149</v>
      </c>
      <c r="E150" s="17">
        <v>4</v>
      </c>
      <c r="F150" s="19">
        <v>149</v>
      </c>
      <c r="G150" s="20">
        <v>2.9</v>
      </c>
      <c r="H150" s="20">
        <v>2.6</v>
      </c>
      <c r="I150" s="20">
        <v>1</v>
      </c>
      <c r="J150" s="20">
        <f t="shared" si="44"/>
        <v>5.9365625</v>
      </c>
      <c r="K150" s="53">
        <v>0.17365853658536595</v>
      </c>
      <c r="L150" s="20">
        <f t="shared" si="42"/>
        <v>25.700487804878207</v>
      </c>
      <c r="M150" s="20">
        <f t="shared" si="42"/>
        <v>26.700487804878207</v>
      </c>
      <c r="N150" s="20">
        <f t="shared" si="42"/>
        <v>26.200487804878207</v>
      </c>
      <c r="O150" s="20">
        <f>P149+$AO$133</f>
        <v>145.70048780487821</v>
      </c>
      <c r="P150" s="20">
        <f t="shared" si="40"/>
        <v>146.70048780487821</v>
      </c>
      <c r="Q150" s="20">
        <f t="shared" si="54"/>
        <v>146.20048780487821</v>
      </c>
      <c r="R150" s="20">
        <f t="shared" si="43"/>
        <v>136.70048780487821</v>
      </c>
      <c r="S150" s="20">
        <f t="shared" si="38"/>
        <v>137.70048780487821</v>
      </c>
      <c r="T150" s="20">
        <f t="shared" si="39"/>
        <v>137.20048780487821</v>
      </c>
      <c r="U150" s="20">
        <v>137.20048780487821</v>
      </c>
      <c r="V150" s="22">
        <v>8.6198999999999995</v>
      </c>
      <c r="W150" s="22">
        <v>2.2582</v>
      </c>
      <c r="X150" s="23">
        <v>1.1476266666666668</v>
      </c>
      <c r="Y150" s="23">
        <f t="shared" si="47"/>
        <v>7.4722733333333329</v>
      </c>
      <c r="Z150" s="23">
        <f t="shared" si="48"/>
        <v>1.1105733333333332</v>
      </c>
      <c r="AA150" s="22">
        <f t="shared" si="49"/>
        <v>85.137410212510076</v>
      </c>
      <c r="AB150" s="22">
        <f t="shared" si="50"/>
        <v>14.862589787489924</v>
      </c>
      <c r="AC150" s="22">
        <f t="shared" si="51"/>
        <v>1.2586868803846221</v>
      </c>
      <c r="AD150" s="22">
        <f t="shared" si="52"/>
        <v>0.18707346774052042</v>
      </c>
      <c r="AE150" s="24">
        <v>5.5873400000000002</v>
      </c>
      <c r="AF150" s="24">
        <v>5.9630999999999998</v>
      </c>
      <c r="AG150" s="24">
        <v>5.6797000000000004</v>
      </c>
      <c r="AH150" s="25">
        <f>AG150-AE150</f>
        <v>9.236000000000022E-2</v>
      </c>
      <c r="AI150" s="25">
        <v>75.420481158185993</v>
      </c>
      <c r="AJ150" s="26">
        <v>3.7710240579092997</v>
      </c>
      <c r="AK150" s="25">
        <v>37.710240579092996</v>
      </c>
      <c r="AL150" s="26">
        <v>3.7720978838480215</v>
      </c>
      <c r="AM150" s="17">
        <f t="shared" si="53"/>
        <v>0.5780346820809249</v>
      </c>
      <c r="AN150" s="17"/>
      <c r="AO150" s="27"/>
      <c r="AP150" s="17"/>
      <c r="AQ150" s="17"/>
      <c r="AR150" s="17"/>
      <c r="AS150" s="17"/>
      <c r="AT150" s="17"/>
      <c r="AU150" s="17"/>
      <c r="AV150" s="17"/>
      <c r="AW150" s="17"/>
      <c r="AX150" s="17"/>
      <c r="BB150" s="17"/>
    </row>
    <row r="151" spans="1:54" x14ac:dyDescent="0.2">
      <c r="A151" s="17" t="s">
        <v>41</v>
      </c>
      <c r="B151" s="18" t="s">
        <v>42</v>
      </c>
      <c r="C151" s="18" t="str">
        <f t="shared" si="45"/>
        <v>BI10.4</v>
      </c>
      <c r="D151" s="18" t="str">
        <f t="shared" si="46"/>
        <v>BI10.4_150</v>
      </c>
      <c r="E151" s="17">
        <v>4</v>
      </c>
      <c r="F151" s="19">
        <v>150</v>
      </c>
      <c r="G151" s="20">
        <v>2.8</v>
      </c>
      <c r="H151" s="20">
        <v>2.8</v>
      </c>
      <c r="I151" s="20">
        <v>1</v>
      </c>
      <c r="J151" s="20">
        <f t="shared" si="44"/>
        <v>6.1543999999999999</v>
      </c>
      <c r="K151" s="53">
        <v>0.17365853658536595</v>
      </c>
      <c r="L151" s="20">
        <f t="shared" si="42"/>
        <v>26.874146341463586</v>
      </c>
      <c r="M151" s="20">
        <f t="shared" si="42"/>
        <v>27.874146341463586</v>
      </c>
      <c r="N151" s="20">
        <f t="shared" si="42"/>
        <v>27.374146341463586</v>
      </c>
      <c r="O151" s="20">
        <f>P150+$AO$133</f>
        <v>146.87414634146359</v>
      </c>
      <c r="P151" s="20">
        <f t="shared" si="40"/>
        <v>147.87414634146359</v>
      </c>
      <c r="Q151" s="20">
        <f t="shared" si="54"/>
        <v>147.37414634146359</v>
      </c>
      <c r="R151" s="20">
        <f t="shared" si="43"/>
        <v>137.87414634146359</v>
      </c>
      <c r="S151" s="20">
        <f t="shared" si="38"/>
        <v>138.87414634146359</v>
      </c>
      <c r="T151" s="20">
        <f t="shared" si="39"/>
        <v>138.37414634146359</v>
      </c>
      <c r="U151" s="20">
        <v>138.37414634146359</v>
      </c>
      <c r="V151" s="22">
        <v>8.0874000000000006</v>
      </c>
      <c r="W151" s="22">
        <v>2.2898999999999998</v>
      </c>
      <c r="X151" s="23">
        <v>1.1476266666666668</v>
      </c>
      <c r="Y151" s="23">
        <f t="shared" si="47"/>
        <v>6.939773333333334</v>
      </c>
      <c r="Z151" s="23">
        <f t="shared" si="48"/>
        <v>1.142273333333333</v>
      </c>
      <c r="AA151" s="22">
        <f t="shared" si="49"/>
        <v>83.540192475066434</v>
      </c>
      <c r="AB151" s="22">
        <f t="shared" si="50"/>
        <v>16.459807524933566</v>
      </c>
      <c r="AC151" s="22">
        <f t="shared" si="51"/>
        <v>1.1276116816153214</v>
      </c>
      <c r="AD151" s="22">
        <f t="shared" si="52"/>
        <v>0.18560271242254858</v>
      </c>
      <c r="AE151" s="24">
        <v>5.0578700000000003</v>
      </c>
      <c r="AF151" s="24">
        <v>5.4066000000000001</v>
      </c>
      <c r="AG151" s="24">
        <v>5.1132</v>
      </c>
      <c r="AH151" s="25">
        <f>AG151-AE151</f>
        <v>5.5329999999999657E-2</v>
      </c>
      <c r="AI151" s="25">
        <v>84.133857138760732</v>
      </c>
      <c r="AJ151" s="26">
        <v>4.2066928569380364</v>
      </c>
      <c r="AK151" s="25">
        <v>42.066928569380366</v>
      </c>
      <c r="AL151" s="26">
        <v>4.2076554983284336</v>
      </c>
      <c r="AM151" s="17">
        <f t="shared" si="53"/>
        <v>0.5780346820809249</v>
      </c>
      <c r="AN151" s="17"/>
      <c r="AO151" s="27"/>
      <c r="AP151" s="17"/>
      <c r="AQ151" s="17"/>
      <c r="AR151" s="17"/>
      <c r="AS151" s="17"/>
      <c r="AT151" s="17"/>
      <c r="AU151" s="17"/>
      <c r="AV151" s="17"/>
      <c r="AW151" s="17"/>
      <c r="AX151" s="17"/>
      <c r="BB151" s="17"/>
    </row>
    <row r="152" spans="1:54" x14ac:dyDescent="0.2">
      <c r="A152" s="17" t="s">
        <v>41</v>
      </c>
      <c r="B152" s="18" t="s">
        <v>42</v>
      </c>
      <c r="C152" s="18" t="str">
        <f t="shared" si="45"/>
        <v>BI10.4</v>
      </c>
      <c r="D152" s="18" t="str">
        <f t="shared" si="46"/>
        <v>BI10.4_151</v>
      </c>
      <c r="E152" s="17">
        <v>4</v>
      </c>
      <c r="F152" s="19">
        <v>151</v>
      </c>
      <c r="G152" s="20">
        <v>2.85</v>
      </c>
      <c r="H152" s="20">
        <v>2.6</v>
      </c>
      <c r="I152" s="20">
        <v>1</v>
      </c>
      <c r="J152" s="20">
        <f t="shared" si="44"/>
        <v>5.829115625</v>
      </c>
      <c r="K152" s="53">
        <v>0.17365853658536595</v>
      </c>
      <c r="L152" s="20">
        <f t="shared" si="42"/>
        <v>28.047804878048964</v>
      </c>
      <c r="M152" s="20">
        <f t="shared" si="42"/>
        <v>29.047804878048964</v>
      </c>
      <c r="N152" s="20">
        <f t="shared" si="42"/>
        <v>28.547804878048964</v>
      </c>
      <c r="O152" s="20">
        <f>P151+$AO$133</f>
        <v>148.04780487804896</v>
      </c>
      <c r="P152" s="20">
        <f t="shared" si="40"/>
        <v>149.04780487804896</v>
      </c>
      <c r="Q152" s="20">
        <f t="shared" si="54"/>
        <v>148.54780487804896</v>
      </c>
      <c r="R152" s="20">
        <f t="shared" si="43"/>
        <v>139.04780487804896</v>
      </c>
      <c r="S152" s="20">
        <f t="shared" si="38"/>
        <v>140.04780487804896</v>
      </c>
      <c r="T152" s="20">
        <f t="shared" si="39"/>
        <v>139.54780487804896</v>
      </c>
      <c r="U152" s="20">
        <v>139.54780487804896</v>
      </c>
      <c r="V152" s="22">
        <v>8.6022999999999996</v>
      </c>
      <c r="W152" s="22">
        <v>2.3500999999999999</v>
      </c>
      <c r="X152" s="23">
        <v>1.1476266666666668</v>
      </c>
      <c r="Y152" s="23">
        <f t="shared" si="47"/>
        <v>7.454673333333333</v>
      </c>
      <c r="Z152" s="23">
        <f t="shared" si="48"/>
        <v>1.2024733333333331</v>
      </c>
      <c r="AA152" s="22">
        <f t="shared" si="49"/>
        <v>83.869536872172361</v>
      </c>
      <c r="AB152" s="22">
        <f t="shared" si="50"/>
        <v>16.130463127827639</v>
      </c>
      <c r="AC152" s="22">
        <f t="shared" si="51"/>
        <v>1.2788686677206429</v>
      </c>
      <c r="AD152" s="22">
        <f t="shared" si="52"/>
        <v>0.20628743890001891</v>
      </c>
      <c r="AE152" s="24">
        <v>4.9808399999999997</v>
      </c>
      <c r="AF152" s="24">
        <v>5.3507999999999996</v>
      </c>
      <c r="AG152" s="24">
        <v>5.0293000000000001</v>
      </c>
      <c r="AH152" s="25">
        <f>AG152-AE152</f>
        <v>4.8460000000000392E-2</v>
      </c>
      <c r="AI152" s="25">
        <v>86.901286625581037</v>
      </c>
      <c r="AJ152" s="26">
        <v>4.345064331279052</v>
      </c>
      <c r="AK152" s="25">
        <v>43.450643312790518</v>
      </c>
      <c r="AL152" s="26">
        <v>4.3459963233939201</v>
      </c>
      <c r="AM152" s="17">
        <f t="shared" si="53"/>
        <v>0.5780346820809249</v>
      </c>
      <c r="AN152" s="17"/>
      <c r="AO152" s="27"/>
      <c r="AP152" s="17"/>
      <c r="AQ152" s="17"/>
      <c r="AR152" s="17"/>
      <c r="AS152" s="17"/>
      <c r="AT152" s="17"/>
      <c r="AU152" s="17"/>
      <c r="AV152" s="17"/>
      <c r="AW152" s="17"/>
      <c r="AX152" s="17"/>
      <c r="BB152" s="17"/>
    </row>
    <row r="153" spans="1:54" x14ac:dyDescent="0.2">
      <c r="A153" s="17" t="s">
        <v>41</v>
      </c>
      <c r="B153" s="18" t="s">
        <v>42</v>
      </c>
      <c r="C153" s="18" t="str">
        <f t="shared" si="45"/>
        <v>BI10.4</v>
      </c>
      <c r="D153" s="18" t="str">
        <f t="shared" si="46"/>
        <v>BI10.4_152</v>
      </c>
      <c r="E153" s="17">
        <v>4</v>
      </c>
      <c r="F153" s="19">
        <v>152</v>
      </c>
      <c r="G153" s="20">
        <v>2.9</v>
      </c>
      <c r="H153" s="20">
        <v>2.5499999999999998</v>
      </c>
      <c r="I153" s="20">
        <v>1</v>
      </c>
      <c r="J153" s="20">
        <f t="shared" si="44"/>
        <v>5.8291156249999991</v>
      </c>
      <c r="K153" s="53">
        <v>0.17365853658536595</v>
      </c>
      <c r="L153" s="20">
        <f t="shared" si="42"/>
        <v>29.221463414634343</v>
      </c>
      <c r="M153" s="20">
        <f t="shared" si="42"/>
        <v>30.221463414634343</v>
      </c>
      <c r="N153" s="20">
        <f t="shared" si="42"/>
        <v>29.721463414634343</v>
      </c>
      <c r="O153" s="20">
        <f>P152+$AO$133</f>
        <v>149.22146341463434</v>
      </c>
      <c r="P153" s="20">
        <f t="shared" si="40"/>
        <v>150.22146341463434</v>
      </c>
      <c r="Q153" s="20">
        <f t="shared" si="54"/>
        <v>149.72146341463434</v>
      </c>
      <c r="R153" s="20">
        <f t="shared" si="43"/>
        <v>140.22146341463434</v>
      </c>
      <c r="S153" s="20">
        <f t="shared" si="38"/>
        <v>141.22146341463434</v>
      </c>
      <c r="T153" s="20">
        <f t="shared" si="39"/>
        <v>140.72146341463434</v>
      </c>
      <c r="U153" s="20">
        <v>140.72146341463434</v>
      </c>
      <c r="V153" s="22">
        <v>7.9081999999999999</v>
      </c>
      <c r="W153" s="22">
        <v>2.2553999999999998</v>
      </c>
      <c r="X153" s="23">
        <v>1.1476266666666668</v>
      </c>
      <c r="Y153" s="23">
        <f t="shared" si="47"/>
        <v>6.7605733333333333</v>
      </c>
      <c r="Z153" s="23">
        <f t="shared" si="48"/>
        <v>1.1077733333333331</v>
      </c>
      <c r="AA153" s="22">
        <f t="shared" si="49"/>
        <v>83.614210234634939</v>
      </c>
      <c r="AB153" s="22">
        <f t="shared" si="50"/>
        <v>16.385789765365061</v>
      </c>
      <c r="AC153" s="22">
        <f t="shared" si="51"/>
        <v>1.1597940010554062</v>
      </c>
      <c r="AD153" s="22">
        <f t="shared" si="52"/>
        <v>0.19004140672425471</v>
      </c>
      <c r="AE153" s="24">
        <v>5.7361700000000004</v>
      </c>
      <c r="AF153" s="24">
        <v>6.319</v>
      </c>
      <c r="AG153" s="24">
        <v>5.8982999999999999</v>
      </c>
      <c r="AH153" s="25">
        <f>AG153-AE153</f>
        <v>0.16212999999999944</v>
      </c>
      <c r="AI153" s="25">
        <v>72.182282998473042</v>
      </c>
      <c r="AJ153" s="26">
        <v>3.6091141499236521</v>
      </c>
      <c r="AK153" s="25">
        <v>36.091141499236521</v>
      </c>
      <c r="AL153" s="26">
        <v>3.6102361345456515</v>
      </c>
      <c r="AM153" s="17">
        <f t="shared" si="53"/>
        <v>0.5780346820809249</v>
      </c>
      <c r="AN153" s="17"/>
      <c r="AO153" s="27"/>
      <c r="AP153" s="17"/>
      <c r="AQ153" s="17"/>
      <c r="AR153" s="17"/>
      <c r="AS153" s="17"/>
      <c r="AT153" s="17"/>
      <c r="AU153" s="17"/>
      <c r="AV153" s="17"/>
      <c r="AW153" s="17"/>
      <c r="AX153" s="17"/>
      <c r="BB153" s="17"/>
    </row>
    <row r="154" spans="1:54" x14ac:dyDescent="0.2">
      <c r="A154" s="17" t="s">
        <v>41</v>
      </c>
      <c r="B154" s="18" t="s">
        <v>42</v>
      </c>
      <c r="C154" s="18" t="str">
        <f t="shared" si="45"/>
        <v>BI10.4</v>
      </c>
      <c r="D154" s="18" t="str">
        <f t="shared" si="46"/>
        <v>BI10.4_153</v>
      </c>
      <c r="E154" s="17">
        <v>4</v>
      </c>
      <c r="F154" s="19">
        <v>153</v>
      </c>
      <c r="G154" s="20">
        <v>2.8</v>
      </c>
      <c r="H154" s="20">
        <v>2.6</v>
      </c>
      <c r="I154" s="20">
        <v>0.95</v>
      </c>
      <c r="J154" s="20">
        <f t="shared" si="44"/>
        <v>5.4365175000000017</v>
      </c>
      <c r="K154" s="53">
        <v>0.17365853658536595</v>
      </c>
      <c r="L154" s="20">
        <f t="shared" si="42"/>
        <v>30.395121951219721</v>
      </c>
      <c r="M154" s="20">
        <f t="shared" si="42"/>
        <v>31.34512195121971</v>
      </c>
      <c r="N154" s="20">
        <f t="shared" si="42"/>
        <v>30.870121951219716</v>
      </c>
      <c r="O154" s="20">
        <f>P153+$AO$133</f>
        <v>150.39512195121972</v>
      </c>
      <c r="P154" s="20">
        <f t="shared" si="40"/>
        <v>151.34512195121971</v>
      </c>
      <c r="Q154" s="20">
        <f t="shared" si="54"/>
        <v>150.87012195121972</v>
      </c>
      <c r="R154" s="20">
        <f t="shared" si="43"/>
        <v>141.39512195121972</v>
      </c>
      <c r="S154" s="20">
        <f t="shared" si="38"/>
        <v>142.34512195121971</v>
      </c>
      <c r="T154" s="20">
        <f t="shared" si="39"/>
        <v>141.87012195121972</v>
      </c>
      <c r="U154" s="20">
        <v>141.87012195121972</v>
      </c>
      <c r="V154" s="22">
        <v>8.0503</v>
      </c>
      <c r="W154" s="22">
        <v>2.3542000000000001</v>
      </c>
      <c r="X154" s="23">
        <v>1.1476266666666668</v>
      </c>
      <c r="Y154" s="23">
        <f t="shared" si="47"/>
        <v>6.9026733333333334</v>
      </c>
      <c r="Z154" s="23">
        <f t="shared" si="48"/>
        <v>1.2065733333333333</v>
      </c>
      <c r="AA154" s="22">
        <f t="shared" si="49"/>
        <v>82.520202317749352</v>
      </c>
      <c r="AB154" s="22">
        <f t="shared" si="50"/>
        <v>17.479797682250648</v>
      </c>
      <c r="AC154" s="22">
        <f t="shared" si="51"/>
        <v>1.2696865839819942</v>
      </c>
      <c r="AD154" s="22">
        <f t="shared" si="52"/>
        <v>0.22193864607873201</v>
      </c>
      <c r="AE154" s="24">
        <v>5.44034</v>
      </c>
      <c r="AF154" s="24">
        <v>5.9139999999999997</v>
      </c>
      <c r="AG154" s="24">
        <v>5.5038999999999998</v>
      </c>
      <c r="AH154" s="25">
        <f>AG154-AE154</f>
        <v>6.3559999999999839E-2</v>
      </c>
      <c r="AI154" s="25">
        <v>86.581091922476062</v>
      </c>
      <c r="AJ154" s="26">
        <v>4.3290545961238029</v>
      </c>
      <c r="AK154" s="25">
        <v>43.290545961238031</v>
      </c>
      <c r="AL154" s="26">
        <v>4.3299900341941457</v>
      </c>
      <c r="AM154" s="17">
        <f t="shared" si="53"/>
        <v>0.5780346820809249</v>
      </c>
      <c r="AN154" s="17"/>
      <c r="AO154" s="27"/>
      <c r="AP154" s="17"/>
      <c r="AQ154" s="17"/>
      <c r="AR154" s="17"/>
      <c r="AS154" s="17"/>
      <c r="AT154" s="17"/>
      <c r="AU154" s="17"/>
      <c r="AV154" s="17"/>
      <c r="AW154" s="17"/>
      <c r="AX154" s="17"/>
      <c r="BB154" s="17"/>
    </row>
    <row r="155" spans="1:54" x14ac:dyDescent="0.2">
      <c r="A155" s="17" t="s">
        <v>41</v>
      </c>
      <c r="B155" s="18" t="s">
        <v>42</v>
      </c>
      <c r="C155" s="18" t="str">
        <f t="shared" si="45"/>
        <v>BI10.4</v>
      </c>
      <c r="D155" s="18" t="str">
        <f t="shared" si="46"/>
        <v>BI10.4_154</v>
      </c>
      <c r="E155" s="17">
        <v>4</v>
      </c>
      <c r="F155" s="19">
        <v>154</v>
      </c>
      <c r="G155" s="20">
        <v>2.6</v>
      </c>
      <c r="H155" s="20">
        <v>2.7</v>
      </c>
      <c r="I155" s="20">
        <v>1</v>
      </c>
      <c r="J155" s="20">
        <f t="shared" si="44"/>
        <v>5.512662500000002</v>
      </c>
      <c r="K155" s="53">
        <v>0.17365853658536595</v>
      </c>
      <c r="L155" s="20">
        <f t="shared" si="42"/>
        <v>31.518780487805088</v>
      </c>
      <c r="M155" s="20">
        <f t="shared" si="42"/>
        <v>32.518780487805088</v>
      </c>
      <c r="N155" s="20">
        <f t="shared" si="42"/>
        <v>32.018780487805088</v>
      </c>
      <c r="O155" s="20">
        <f>P154+$AO$133</f>
        <v>151.51878048780509</v>
      </c>
      <c r="P155" s="20">
        <f t="shared" si="40"/>
        <v>152.51878048780509</v>
      </c>
      <c r="Q155" s="20">
        <f t="shared" si="54"/>
        <v>152.01878048780509</v>
      </c>
      <c r="R155" s="20">
        <f t="shared" si="43"/>
        <v>142.51878048780509</v>
      </c>
      <c r="S155" s="20">
        <f t="shared" si="38"/>
        <v>143.51878048780509</v>
      </c>
      <c r="T155" s="20">
        <f t="shared" si="39"/>
        <v>143.01878048780509</v>
      </c>
      <c r="U155" s="20">
        <v>143.01878048780509</v>
      </c>
      <c r="V155" s="22">
        <v>8.3176000000000005</v>
      </c>
      <c r="W155" s="22">
        <v>2.3403999999999998</v>
      </c>
      <c r="X155" s="23">
        <v>1.1476266666666668</v>
      </c>
      <c r="Y155" s="23">
        <f t="shared" si="47"/>
        <v>7.169973333333334</v>
      </c>
      <c r="Z155" s="23">
        <f t="shared" si="48"/>
        <v>1.192773333333333</v>
      </c>
      <c r="AA155" s="22">
        <f t="shared" si="49"/>
        <v>83.364326785036852</v>
      </c>
      <c r="AB155" s="22">
        <f t="shared" si="50"/>
        <v>16.635673214963148</v>
      </c>
      <c r="AC155" s="22">
        <f t="shared" si="51"/>
        <v>1.3006370938422824</v>
      </c>
      <c r="AD155" s="22">
        <f t="shared" si="52"/>
        <v>0.21636973664419554</v>
      </c>
      <c r="AE155" s="24">
        <v>5.4495100000000001</v>
      </c>
      <c r="AF155" s="24">
        <v>5.915</v>
      </c>
      <c r="AG155" s="24">
        <v>5.5114000000000001</v>
      </c>
      <c r="AH155" s="25">
        <f>AG155-AE155</f>
        <v>6.1890000000000001E-2</v>
      </c>
      <c r="AI155" s="25">
        <v>86.704333068379555</v>
      </c>
      <c r="AJ155" s="26">
        <v>4.3352166534189776</v>
      </c>
      <c r="AK155" s="25">
        <v>43.352166534189777</v>
      </c>
      <c r="AL155" s="26">
        <v>4.3361507621485256</v>
      </c>
      <c r="AM155" s="17">
        <f t="shared" si="53"/>
        <v>0.5780346820809249</v>
      </c>
      <c r="AN155" s="17"/>
      <c r="AO155" s="27"/>
      <c r="AP155" s="17"/>
      <c r="AQ155" s="17"/>
      <c r="AR155" s="17"/>
      <c r="AS155" s="17"/>
      <c r="AT155" s="17"/>
      <c r="AU155" s="17"/>
      <c r="AV155" s="17"/>
      <c r="AW155" s="17"/>
      <c r="AX155" s="17"/>
      <c r="BB155" s="17"/>
    </row>
    <row r="156" spans="1:54" x14ac:dyDescent="0.2">
      <c r="A156" s="17" t="s">
        <v>41</v>
      </c>
      <c r="B156" s="18" t="s">
        <v>42</v>
      </c>
      <c r="C156" s="18" t="str">
        <f t="shared" si="45"/>
        <v>BI10.4</v>
      </c>
      <c r="D156" s="18" t="str">
        <f t="shared" si="46"/>
        <v>BI10.4_155</v>
      </c>
      <c r="E156" s="17">
        <v>4</v>
      </c>
      <c r="F156" s="19">
        <v>155</v>
      </c>
      <c r="G156" s="20">
        <v>2.75</v>
      </c>
      <c r="H156" s="20">
        <v>2.7</v>
      </c>
      <c r="I156" s="20">
        <v>1.1000000000000001</v>
      </c>
      <c r="J156" s="20">
        <f t="shared" si="44"/>
        <v>6.4120271875000006</v>
      </c>
      <c r="K156" s="53">
        <v>0.17365853658536595</v>
      </c>
      <c r="L156" s="20">
        <f t="shared" si="42"/>
        <v>32.692439024390467</v>
      </c>
      <c r="M156" s="20">
        <f t="shared" si="42"/>
        <v>33.792439024390461</v>
      </c>
      <c r="N156" s="20">
        <f t="shared" si="42"/>
        <v>33.242439024390478</v>
      </c>
      <c r="O156" s="20">
        <f>P155+$AO$133</f>
        <v>152.69243902439047</v>
      </c>
      <c r="P156" s="20">
        <f t="shared" si="40"/>
        <v>153.79243902439046</v>
      </c>
      <c r="Q156" s="20">
        <f t="shared" si="54"/>
        <v>153.24243902439048</v>
      </c>
      <c r="R156" s="20">
        <f t="shared" si="43"/>
        <v>143.69243902439047</v>
      </c>
      <c r="S156" s="20">
        <f t="shared" si="38"/>
        <v>144.79243902439046</v>
      </c>
      <c r="T156" s="20">
        <f t="shared" si="39"/>
        <v>144.24243902439048</v>
      </c>
      <c r="U156" s="20">
        <v>144.24243902439048</v>
      </c>
      <c r="V156" s="22">
        <v>8.4423999999999992</v>
      </c>
      <c r="W156" s="22">
        <v>2.3389000000000002</v>
      </c>
      <c r="X156" s="23">
        <v>1.1476266666666668</v>
      </c>
      <c r="Y156" s="23">
        <f t="shared" si="47"/>
        <v>7.2947733333333327</v>
      </c>
      <c r="Z156" s="23">
        <f t="shared" si="48"/>
        <v>1.1912733333333334</v>
      </c>
      <c r="AA156" s="22">
        <f t="shared" si="49"/>
        <v>83.669494871213729</v>
      </c>
      <c r="AB156" s="22">
        <f t="shared" si="50"/>
        <v>16.330505128786271</v>
      </c>
      <c r="AC156" s="22">
        <f t="shared" si="51"/>
        <v>1.1376703685153131</v>
      </c>
      <c r="AD156" s="22">
        <f t="shared" si="52"/>
        <v>0.18578731787907493</v>
      </c>
      <c r="AE156" s="24">
        <v>5.0727000000000002</v>
      </c>
      <c r="AF156" s="24">
        <v>5.4696999999999996</v>
      </c>
      <c r="AG156" s="24">
        <v>5.1276999999999999</v>
      </c>
      <c r="AH156" s="25">
        <f>AG156-AE156</f>
        <v>5.4999999999999716E-2</v>
      </c>
      <c r="AI156" s="25">
        <v>86.14609571788418</v>
      </c>
      <c r="AJ156" s="26">
        <v>4.3073047858942095</v>
      </c>
      <c r="AK156" s="25">
        <v>43.07304785894209</v>
      </c>
      <c r="AL156" s="26">
        <v>4.3082449464471217</v>
      </c>
      <c r="AM156" s="17">
        <f t="shared" si="53"/>
        <v>0.5780346820809249</v>
      </c>
      <c r="AN156" s="17"/>
      <c r="AO156" s="27"/>
      <c r="AP156" s="17"/>
      <c r="AQ156" s="17"/>
      <c r="AR156" s="17"/>
      <c r="AS156" s="17"/>
      <c r="AT156" s="17"/>
      <c r="AU156" s="17"/>
      <c r="AV156" s="17"/>
      <c r="AW156" s="17"/>
      <c r="AX156" s="17"/>
      <c r="BB156" s="17"/>
    </row>
    <row r="157" spans="1:54" x14ac:dyDescent="0.2">
      <c r="A157" s="17" t="s">
        <v>41</v>
      </c>
      <c r="B157" s="18" t="s">
        <v>42</v>
      </c>
      <c r="C157" s="18" t="str">
        <f t="shared" si="45"/>
        <v>BI10.4</v>
      </c>
      <c r="D157" s="18" t="str">
        <f t="shared" si="46"/>
        <v>BI10.4_156</v>
      </c>
      <c r="E157" s="17">
        <v>4</v>
      </c>
      <c r="F157" s="19">
        <v>156</v>
      </c>
      <c r="G157" s="20">
        <v>2.5499999999999998</v>
      </c>
      <c r="H157" s="20">
        <v>2.7</v>
      </c>
      <c r="I157" s="20">
        <v>1</v>
      </c>
      <c r="J157" s="20">
        <f t="shared" si="44"/>
        <v>5.409140625</v>
      </c>
      <c r="K157" s="53">
        <v>0.17365853658536595</v>
      </c>
      <c r="L157" s="20">
        <f t="shared" si="42"/>
        <v>33.96609756097584</v>
      </c>
      <c r="M157" s="20">
        <f t="shared" si="42"/>
        <v>34.96609756097584</v>
      </c>
      <c r="N157" s="20">
        <f t="shared" si="42"/>
        <v>34.46609756097584</v>
      </c>
      <c r="O157" s="20">
        <f>P156+$AO$133</f>
        <v>153.96609756097584</v>
      </c>
      <c r="P157" s="20">
        <f t="shared" si="40"/>
        <v>154.96609756097584</v>
      </c>
      <c r="Q157" s="20">
        <f t="shared" si="54"/>
        <v>154.46609756097584</v>
      </c>
      <c r="R157" s="20">
        <f t="shared" si="43"/>
        <v>144.96609756097584</v>
      </c>
      <c r="S157" s="20">
        <f t="shared" si="38"/>
        <v>145.96609756097584</v>
      </c>
      <c r="T157" s="20">
        <f t="shared" si="39"/>
        <v>145.46609756097584</v>
      </c>
      <c r="U157" s="20">
        <v>145.46609756097584</v>
      </c>
      <c r="V157" s="22">
        <v>8.0271000000000008</v>
      </c>
      <c r="W157" s="22">
        <v>2.2206999999999999</v>
      </c>
      <c r="X157" s="23">
        <v>1.1476266666666668</v>
      </c>
      <c r="Y157" s="23">
        <f t="shared" si="47"/>
        <v>6.8794733333333342</v>
      </c>
      <c r="Z157" s="23">
        <f t="shared" si="48"/>
        <v>1.0730733333333331</v>
      </c>
      <c r="AA157" s="22">
        <f t="shared" si="49"/>
        <v>84.401809828465559</v>
      </c>
      <c r="AB157" s="22">
        <f t="shared" si="50"/>
        <v>15.598190171534441</v>
      </c>
      <c r="AC157" s="22">
        <f t="shared" si="51"/>
        <v>1.2718237166062463</v>
      </c>
      <c r="AD157" s="22">
        <f t="shared" si="52"/>
        <v>0.19838148196291958</v>
      </c>
      <c r="AE157" s="24">
        <v>5.67828</v>
      </c>
      <c r="AF157" s="24">
        <v>5.9978999999999996</v>
      </c>
      <c r="AG157" s="24">
        <v>5.7141999999999999</v>
      </c>
      <c r="AH157" s="25">
        <f>AG157-AE157</f>
        <v>3.5919999999999952E-2</v>
      </c>
      <c r="AI157" s="25">
        <v>88.761654464676809</v>
      </c>
      <c r="AJ157" s="26">
        <v>4.4380827232338405</v>
      </c>
      <c r="AK157" s="25">
        <v>44.380827232338405</v>
      </c>
      <c r="AL157" s="26">
        <v>4.4389951856548233</v>
      </c>
      <c r="AM157" s="17">
        <f t="shared" si="53"/>
        <v>0.5780346820809249</v>
      </c>
      <c r="AN157" s="17"/>
      <c r="AO157" s="27"/>
      <c r="AP157" s="17"/>
      <c r="AQ157" s="17"/>
      <c r="AR157" s="17"/>
      <c r="AS157" s="17"/>
      <c r="AT157" s="17"/>
      <c r="AU157" s="17"/>
      <c r="AV157" s="17"/>
      <c r="AW157" s="17"/>
      <c r="AX157" s="17"/>
      <c r="BB157" s="17"/>
    </row>
    <row r="158" spans="1:54" x14ac:dyDescent="0.2">
      <c r="A158" s="17" t="s">
        <v>41</v>
      </c>
      <c r="B158" s="18" t="s">
        <v>42</v>
      </c>
      <c r="C158" s="18" t="str">
        <f t="shared" si="45"/>
        <v>BI10.4</v>
      </c>
      <c r="D158" s="18" t="str">
        <f t="shared" si="46"/>
        <v>BI10.4_157</v>
      </c>
      <c r="E158" s="17">
        <v>4</v>
      </c>
      <c r="F158" s="19">
        <v>157</v>
      </c>
      <c r="G158" s="20">
        <v>2.4</v>
      </c>
      <c r="H158" s="20">
        <v>2.7</v>
      </c>
      <c r="I158" s="20">
        <v>1</v>
      </c>
      <c r="J158" s="20">
        <f t="shared" si="44"/>
        <v>5.1044624999999995</v>
      </c>
      <c r="K158" s="53">
        <v>0.17365853658536595</v>
      </c>
      <c r="L158" s="20">
        <f t="shared" si="42"/>
        <v>35.139756097561218</v>
      </c>
      <c r="M158" s="20">
        <f t="shared" si="42"/>
        <v>36.139756097561218</v>
      </c>
      <c r="N158" s="20">
        <f t="shared" si="42"/>
        <v>35.639756097561218</v>
      </c>
      <c r="O158" s="20">
        <f>P157+$AO$133</f>
        <v>155.13975609756122</v>
      </c>
      <c r="P158" s="20">
        <f t="shared" si="40"/>
        <v>156.13975609756122</v>
      </c>
      <c r="Q158" s="20">
        <f t="shared" si="54"/>
        <v>155.63975609756122</v>
      </c>
      <c r="R158" s="20">
        <f t="shared" si="43"/>
        <v>146.13975609756122</v>
      </c>
      <c r="S158" s="20">
        <f t="shared" si="38"/>
        <v>147.13975609756122</v>
      </c>
      <c r="T158" s="20">
        <f t="shared" si="39"/>
        <v>146.63975609756122</v>
      </c>
      <c r="U158" s="20">
        <v>146.63975609756122</v>
      </c>
      <c r="V158" s="22">
        <v>7.6345999999999998</v>
      </c>
      <c r="W158" s="22">
        <v>2.1473</v>
      </c>
      <c r="X158" s="23">
        <v>1.1476266666666668</v>
      </c>
      <c r="Y158" s="23">
        <f t="shared" si="47"/>
        <v>6.4869733333333333</v>
      </c>
      <c r="Z158" s="23">
        <f t="shared" si="48"/>
        <v>0.99967333333333319</v>
      </c>
      <c r="AA158" s="22">
        <f t="shared" si="49"/>
        <v>84.589526086125431</v>
      </c>
      <c r="AB158" s="22">
        <f t="shared" si="50"/>
        <v>15.410473913874569</v>
      </c>
      <c r="AC158" s="22">
        <f t="shared" si="51"/>
        <v>1.2708435674340508</v>
      </c>
      <c r="AD158" s="22">
        <f t="shared" si="52"/>
        <v>0.19584301644557744</v>
      </c>
      <c r="AE158" s="24">
        <v>5.0126900000000001</v>
      </c>
      <c r="AF158" s="24">
        <v>5.3429000000000002</v>
      </c>
      <c r="AG158" s="24">
        <v>5.0510999999999999</v>
      </c>
      <c r="AH158" s="25">
        <f>AG158-AE158</f>
        <v>3.8409999999999833E-2</v>
      </c>
      <c r="AI158" s="25">
        <v>88.368008237182451</v>
      </c>
      <c r="AJ158" s="26">
        <v>4.4184004118591229</v>
      </c>
      <c r="AK158" s="25">
        <v>44.184004118591226</v>
      </c>
      <c r="AL158" s="26">
        <v>4.4193169381157613</v>
      </c>
      <c r="AM158" s="17">
        <f t="shared" si="53"/>
        <v>0.5780346820809249</v>
      </c>
      <c r="AN158" s="17"/>
      <c r="AO158" s="27"/>
      <c r="AP158" s="17"/>
      <c r="AQ158" s="17"/>
      <c r="AR158" s="17"/>
      <c r="AS158" s="17"/>
      <c r="AT158" s="17"/>
      <c r="AU158" s="17"/>
      <c r="AV158" s="17"/>
      <c r="AW158" s="17"/>
      <c r="AX158" s="17"/>
      <c r="BB158" s="17"/>
    </row>
    <row r="159" spans="1:54" x14ac:dyDescent="0.2">
      <c r="A159" s="17" t="s">
        <v>41</v>
      </c>
      <c r="B159" s="18" t="s">
        <v>42</v>
      </c>
      <c r="C159" s="18" t="str">
        <f t="shared" si="45"/>
        <v>BI10.4</v>
      </c>
      <c r="D159" s="18" t="str">
        <f t="shared" si="46"/>
        <v>BI10.4_158</v>
      </c>
      <c r="E159" s="17">
        <v>4</v>
      </c>
      <c r="F159" s="19">
        <v>158</v>
      </c>
      <c r="G159" s="20">
        <v>2.85</v>
      </c>
      <c r="H159" s="20">
        <v>2.7</v>
      </c>
      <c r="I159" s="20">
        <v>1.05</v>
      </c>
      <c r="J159" s="20">
        <f t="shared" si="44"/>
        <v>6.3472401562500016</v>
      </c>
      <c r="K159" s="53">
        <v>0.17365853658536595</v>
      </c>
      <c r="L159" s="20">
        <f t="shared" si="42"/>
        <v>36.313414634146596</v>
      </c>
      <c r="M159" s="20">
        <f t="shared" si="42"/>
        <v>37.363414634146608</v>
      </c>
      <c r="N159" s="20">
        <f t="shared" si="42"/>
        <v>36.838414634146602</v>
      </c>
      <c r="O159" s="20">
        <f>P158+$AO$133</f>
        <v>156.3134146341466</v>
      </c>
      <c r="P159" s="20">
        <f t="shared" si="40"/>
        <v>157.36341463414661</v>
      </c>
      <c r="Q159" s="20">
        <f t="shared" si="54"/>
        <v>156.8384146341466</v>
      </c>
      <c r="R159" s="20">
        <f t="shared" si="43"/>
        <v>147.3134146341466</v>
      </c>
      <c r="S159" s="20">
        <f t="shared" si="38"/>
        <v>148.36341463414661</v>
      </c>
      <c r="T159" s="20">
        <f t="shared" si="39"/>
        <v>147.8384146341466</v>
      </c>
      <c r="U159" s="20">
        <v>147.8384146341466</v>
      </c>
      <c r="V159" s="22">
        <v>8.6431000000000004</v>
      </c>
      <c r="W159" s="22">
        <v>2.3597000000000001</v>
      </c>
      <c r="X159" s="23">
        <v>1.1476266666666668</v>
      </c>
      <c r="Y159" s="23">
        <f t="shared" si="47"/>
        <v>7.4954733333333339</v>
      </c>
      <c r="Z159" s="23">
        <f t="shared" si="48"/>
        <v>1.2120733333333333</v>
      </c>
      <c r="AA159" s="22">
        <f t="shared" si="49"/>
        <v>83.829262283636069</v>
      </c>
      <c r="AB159" s="22">
        <f t="shared" si="50"/>
        <v>16.170737716363931</v>
      </c>
      <c r="AC159" s="22">
        <f t="shared" si="51"/>
        <v>1.1809027465193183</v>
      </c>
      <c r="AD159" s="22">
        <f t="shared" si="52"/>
        <v>0.19096068582497683</v>
      </c>
      <c r="AE159" s="24">
        <v>5.3912100000000001</v>
      </c>
      <c r="AF159" s="24">
        <v>5.6550000000000002</v>
      </c>
      <c r="AG159" s="24">
        <v>5.4195000000000002</v>
      </c>
      <c r="AH159" s="25">
        <f>AG159-AE159</f>
        <v>2.8290000000000148E-2</v>
      </c>
      <c r="AI159" s="25">
        <v>89.275560104628639</v>
      </c>
      <c r="AJ159" s="26">
        <v>4.4637780052314318</v>
      </c>
      <c r="AK159" s="25">
        <v>44.637780052314319</v>
      </c>
      <c r="AL159" s="26">
        <v>4.4646852162261004</v>
      </c>
      <c r="AM159" s="17">
        <f t="shared" si="53"/>
        <v>0.5780346820809249</v>
      </c>
      <c r="AN159" s="17"/>
      <c r="AO159" s="27"/>
      <c r="AP159" s="17"/>
      <c r="AQ159" s="17"/>
      <c r="AR159" s="17"/>
      <c r="AS159" s="17"/>
      <c r="AT159" s="17"/>
      <c r="AU159" s="17"/>
      <c r="AV159" s="17"/>
      <c r="AW159" s="17"/>
      <c r="AX159" s="17"/>
      <c r="BB159" s="17"/>
    </row>
    <row r="160" spans="1:54" x14ac:dyDescent="0.2">
      <c r="A160" s="17" t="s">
        <v>41</v>
      </c>
      <c r="B160" s="18" t="s">
        <v>42</v>
      </c>
      <c r="C160" s="18" t="str">
        <f t="shared" si="45"/>
        <v>BI10.4</v>
      </c>
      <c r="D160" s="18" t="str">
        <f t="shared" si="46"/>
        <v>BI10.4_159</v>
      </c>
      <c r="E160" s="17">
        <v>4</v>
      </c>
      <c r="F160" s="19">
        <v>159</v>
      </c>
      <c r="G160" s="20">
        <v>2.7</v>
      </c>
      <c r="H160" s="20">
        <v>2.4</v>
      </c>
      <c r="I160" s="20">
        <v>1.1000000000000001</v>
      </c>
      <c r="J160" s="20">
        <f t="shared" si="44"/>
        <v>5.6149087499999997</v>
      </c>
      <c r="K160" s="53">
        <v>0.17365853658536595</v>
      </c>
      <c r="L160" s="20">
        <f t="shared" si="42"/>
        <v>37.537073170731986</v>
      </c>
      <c r="M160" s="20">
        <f t="shared" si="42"/>
        <v>38.637073170731981</v>
      </c>
      <c r="N160" s="20">
        <f t="shared" si="42"/>
        <v>38.087073170731969</v>
      </c>
      <c r="O160" s="20">
        <f>P159+$AO$133</f>
        <v>157.53707317073199</v>
      </c>
      <c r="P160" s="20">
        <f t="shared" si="40"/>
        <v>158.63707317073198</v>
      </c>
      <c r="Q160" s="20">
        <f t="shared" si="54"/>
        <v>158.08707317073197</v>
      </c>
      <c r="R160" s="20">
        <f t="shared" si="43"/>
        <v>148.53707317073199</v>
      </c>
      <c r="S160" s="20">
        <f t="shared" si="38"/>
        <v>149.63707317073198</v>
      </c>
      <c r="T160" s="20">
        <f t="shared" si="39"/>
        <v>149.08707317073197</v>
      </c>
      <c r="U160" s="20">
        <v>149.08707317073197</v>
      </c>
      <c r="V160" s="22">
        <v>7.4663000000000004</v>
      </c>
      <c r="W160" s="22">
        <v>2.1858</v>
      </c>
      <c r="X160" s="23">
        <v>1.1476266666666668</v>
      </c>
      <c r="Y160" s="23">
        <f t="shared" si="47"/>
        <v>6.3186733333333338</v>
      </c>
      <c r="Z160" s="23">
        <f t="shared" si="48"/>
        <v>1.0381733333333332</v>
      </c>
      <c r="AA160" s="22">
        <f t="shared" si="49"/>
        <v>83.569757786708394</v>
      </c>
      <c r="AB160" s="22">
        <f t="shared" si="50"/>
        <v>16.430242213291606</v>
      </c>
      <c r="AC160" s="22">
        <f t="shared" si="51"/>
        <v>1.1253385610822855</v>
      </c>
      <c r="AD160" s="22">
        <f t="shared" si="52"/>
        <v>0.18489585130538999</v>
      </c>
      <c r="AE160" s="24">
        <v>5.6671500000000004</v>
      </c>
      <c r="AF160" s="24">
        <v>6.1540999999999997</v>
      </c>
      <c r="AG160" s="24">
        <v>5.7176999999999998</v>
      </c>
      <c r="AH160" s="25">
        <f>AG160-AE160</f>
        <v>5.0549999999999429E-2</v>
      </c>
      <c r="AI160" s="25">
        <v>89.619057398090249</v>
      </c>
      <c r="AJ160" s="26">
        <v>4.4809528699045122</v>
      </c>
      <c r="AK160" s="25">
        <v>44.809528699045124</v>
      </c>
      <c r="AL160" s="26">
        <v>4.4818566043890211</v>
      </c>
      <c r="AM160" s="17">
        <f t="shared" si="53"/>
        <v>0.5780346820809249</v>
      </c>
      <c r="AN160" s="17"/>
      <c r="AO160" s="27"/>
      <c r="AP160" s="17"/>
      <c r="AQ160" s="17"/>
      <c r="AR160" s="17"/>
      <c r="AS160" s="17"/>
      <c r="AT160" s="17"/>
      <c r="AU160" s="17"/>
      <c r="AV160" s="17"/>
      <c r="AW160" s="17"/>
      <c r="AX160" s="17"/>
      <c r="BB160" s="17"/>
    </row>
    <row r="161" spans="1:54" x14ac:dyDescent="0.2">
      <c r="A161" s="17" t="s">
        <v>41</v>
      </c>
      <c r="B161" s="18" t="s">
        <v>42</v>
      </c>
      <c r="C161" s="18" t="str">
        <f t="shared" si="45"/>
        <v>BI10.4</v>
      </c>
      <c r="D161" s="18" t="str">
        <f t="shared" si="46"/>
        <v>BI10.4_160</v>
      </c>
      <c r="E161" s="17">
        <v>4</v>
      </c>
      <c r="F161" s="19">
        <v>160</v>
      </c>
      <c r="G161" s="20">
        <v>2.25</v>
      </c>
      <c r="H161" s="20">
        <v>2.6</v>
      </c>
      <c r="I161" s="20">
        <v>1</v>
      </c>
      <c r="J161" s="20">
        <f t="shared" si="44"/>
        <v>4.6162906249999995</v>
      </c>
      <c r="K161" s="53">
        <v>0.17365853658536595</v>
      </c>
      <c r="L161" s="20">
        <f t="shared" si="42"/>
        <v>38.810731707317359</v>
      </c>
      <c r="M161" s="20">
        <f t="shared" si="42"/>
        <v>39.810731707317359</v>
      </c>
      <c r="N161" s="20">
        <f t="shared" si="42"/>
        <v>39.310731707317359</v>
      </c>
      <c r="O161" s="20">
        <f>P160+$AO$133</f>
        <v>158.81073170731736</v>
      </c>
      <c r="P161" s="20">
        <f t="shared" si="40"/>
        <v>159.81073170731736</v>
      </c>
      <c r="Q161" s="20">
        <f t="shared" si="54"/>
        <v>159.31073170731736</v>
      </c>
      <c r="R161" s="20">
        <f t="shared" si="43"/>
        <v>149.81073170731736</v>
      </c>
      <c r="S161" s="20">
        <f t="shared" si="38"/>
        <v>150.81073170731736</v>
      </c>
      <c r="T161" s="20">
        <f t="shared" si="39"/>
        <v>150.31073170731736</v>
      </c>
      <c r="U161" s="20">
        <v>150.31073170731736</v>
      </c>
      <c r="V161" s="22">
        <v>7.2141000000000002</v>
      </c>
      <c r="W161" s="22">
        <v>2.1044999999999998</v>
      </c>
      <c r="X161" s="23">
        <v>1.1476266666666668</v>
      </c>
      <c r="Y161" s="23">
        <f t="shared" si="47"/>
        <v>6.0664733333333336</v>
      </c>
      <c r="Z161" s="23">
        <f t="shared" si="48"/>
        <v>0.95687333333333302</v>
      </c>
      <c r="AA161" s="22">
        <f t="shared" si="49"/>
        <v>84.226859976856403</v>
      </c>
      <c r="AB161" s="22">
        <f t="shared" si="50"/>
        <v>15.773140023143597</v>
      </c>
      <c r="AC161" s="22">
        <f t="shared" si="51"/>
        <v>1.3141445862354766</v>
      </c>
      <c r="AD161" s="22">
        <f t="shared" si="52"/>
        <v>0.20728186569348267</v>
      </c>
      <c r="AE161" s="24">
        <v>5.3846299999999996</v>
      </c>
      <c r="AF161" s="24">
        <v>5.7679</v>
      </c>
      <c r="AG161" s="24">
        <v>5.4351000000000003</v>
      </c>
      <c r="AH161" s="25">
        <f>AG161-AE161</f>
        <v>5.0470000000000681E-2</v>
      </c>
      <c r="AI161" s="25">
        <v>86.83173741748621</v>
      </c>
      <c r="AJ161" s="26">
        <v>4.3415868708743108</v>
      </c>
      <c r="AK161" s="25">
        <v>43.415868708743105</v>
      </c>
      <c r="AL161" s="26">
        <v>4.3425196093222409</v>
      </c>
      <c r="AM161" s="17">
        <f t="shared" si="53"/>
        <v>0.5780346820809249</v>
      </c>
      <c r="AN161" s="17"/>
      <c r="AO161" s="27"/>
      <c r="AP161" s="17"/>
      <c r="AQ161" s="17"/>
      <c r="AR161" s="17"/>
      <c r="AS161" s="17"/>
      <c r="AT161" s="17"/>
      <c r="AU161" s="17"/>
      <c r="AV161" s="17"/>
      <c r="AW161" s="17"/>
      <c r="AX161" s="17"/>
      <c r="BB161" s="17"/>
    </row>
    <row r="162" spans="1:54" x14ac:dyDescent="0.2">
      <c r="A162" s="17" t="s">
        <v>41</v>
      </c>
      <c r="B162" s="18" t="s">
        <v>42</v>
      </c>
      <c r="C162" s="18" t="str">
        <f t="shared" si="45"/>
        <v>BI10.4</v>
      </c>
      <c r="D162" s="18" t="str">
        <f t="shared" si="46"/>
        <v>BI10.4_161</v>
      </c>
      <c r="E162" s="17">
        <v>4</v>
      </c>
      <c r="F162" s="19">
        <v>161</v>
      </c>
      <c r="G162" s="20">
        <v>2.65</v>
      </c>
      <c r="H162" s="20">
        <v>2.4</v>
      </c>
      <c r="I162" s="20">
        <v>1</v>
      </c>
      <c r="J162" s="20">
        <f t="shared" si="44"/>
        <v>5.0048656249999999</v>
      </c>
      <c r="K162" s="53">
        <v>0.17365853658536595</v>
      </c>
      <c r="L162" s="20">
        <f t="shared" si="42"/>
        <v>39.984390243902737</v>
      </c>
      <c r="M162" s="20">
        <f t="shared" si="42"/>
        <v>40.984390243902737</v>
      </c>
      <c r="N162" s="20">
        <f t="shared" si="42"/>
        <v>40.484390243902737</v>
      </c>
      <c r="O162" s="20">
        <f>P161+$AO$133</f>
        <v>159.98439024390274</v>
      </c>
      <c r="P162" s="20">
        <f t="shared" si="40"/>
        <v>160.98439024390274</v>
      </c>
      <c r="Q162" s="20">
        <f t="shared" si="54"/>
        <v>160.48439024390274</v>
      </c>
      <c r="R162" s="20">
        <f t="shared" si="43"/>
        <v>150.98439024390274</v>
      </c>
      <c r="S162" s="20">
        <f t="shared" si="38"/>
        <v>151.98439024390274</v>
      </c>
      <c r="T162" s="20">
        <f t="shared" si="39"/>
        <v>151.48439024390274</v>
      </c>
      <c r="U162" s="20">
        <v>151.48439024390274</v>
      </c>
      <c r="V162" s="22">
        <v>7.9786000000000001</v>
      </c>
      <c r="W162" s="22">
        <v>2.2275</v>
      </c>
      <c r="X162" s="23">
        <v>1.1476266666666668</v>
      </c>
      <c r="Y162" s="23">
        <f t="shared" si="47"/>
        <v>6.8309733333333336</v>
      </c>
      <c r="Z162" s="23">
        <f t="shared" si="48"/>
        <v>1.0798733333333332</v>
      </c>
      <c r="AA162" s="22">
        <f t="shared" si="49"/>
        <v>84.191515899149564</v>
      </c>
      <c r="AB162" s="22">
        <f t="shared" si="50"/>
        <v>15.808484100850436</v>
      </c>
      <c r="AC162" s="22">
        <f t="shared" si="51"/>
        <v>1.3648664809723705</v>
      </c>
      <c r="AD162" s="22">
        <f t="shared" si="52"/>
        <v>0.21576470064235406</v>
      </c>
      <c r="AE162" s="24">
        <v>5.5151300000000001</v>
      </c>
      <c r="AF162" s="24">
        <v>5.9737999999999998</v>
      </c>
      <c r="AG162" s="24">
        <v>5.6071999999999997</v>
      </c>
      <c r="AH162" s="25">
        <f>AG162-AE162</f>
        <v>9.2069999999999652E-2</v>
      </c>
      <c r="AI162" s="25">
        <v>79.92674471842507</v>
      </c>
      <c r="AJ162" s="26">
        <v>3.9963372359212537</v>
      </c>
      <c r="AK162" s="25">
        <v>39.963372359212535</v>
      </c>
      <c r="AL162" s="26">
        <v>3.9973505354435361</v>
      </c>
      <c r="AM162" s="17">
        <f t="shared" si="53"/>
        <v>0.5780346820809249</v>
      </c>
      <c r="AN162" s="17"/>
      <c r="AO162" s="27"/>
      <c r="AP162" s="17"/>
      <c r="AQ162" s="17"/>
      <c r="AR162" s="17"/>
      <c r="AS162" s="17"/>
      <c r="AT162" s="17"/>
      <c r="AU162" s="17"/>
      <c r="AV162" s="17"/>
      <c r="AW162" s="17"/>
      <c r="AX162" s="17"/>
      <c r="BB162" s="17"/>
    </row>
    <row r="163" spans="1:54" x14ac:dyDescent="0.2">
      <c r="A163" s="17" t="s">
        <v>41</v>
      </c>
      <c r="B163" s="18" t="s">
        <v>42</v>
      </c>
      <c r="C163" s="18" t="str">
        <f t="shared" si="45"/>
        <v>BI10.4</v>
      </c>
      <c r="D163" s="18" t="str">
        <f t="shared" si="46"/>
        <v>BI10.4_162</v>
      </c>
      <c r="E163" s="17">
        <v>4</v>
      </c>
      <c r="F163" s="19">
        <v>162</v>
      </c>
      <c r="G163" s="20">
        <v>2.65</v>
      </c>
      <c r="H163" s="20">
        <v>2.6</v>
      </c>
      <c r="I163" s="20">
        <v>1.05</v>
      </c>
      <c r="J163" s="20">
        <f t="shared" si="44"/>
        <v>5.6795976562499995</v>
      </c>
      <c r="K163" s="53">
        <v>0.17365853658536595</v>
      </c>
      <c r="L163" s="20">
        <f t="shared" si="42"/>
        <v>41.158048780488116</v>
      </c>
      <c r="M163" s="20">
        <f t="shared" si="42"/>
        <v>42.208048780488127</v>
      </c>
      <c r="N163" s="20">
        <f t="shared" si="42"/>
        <v>41.683048780488122</v>
      </c>
      <c r="O163" s="20">
        <f>P162+$AO$133</f>
        <v>161.15804878048812</v>
      </c>
      <c r="P163" s="20">
        <f t="shared" si="40"/>
        <v>162.20804878048813</v>
      </c>
      <c r="Q163" s="20">
        <f t="shared" si="54"/>
        <v>161.68304878048812</v>
      </c>
      <c r="R163" s="20">
        <f t="shared" si="43"/>
        <v>152.15804878048812</v>
      </c>
      <c r="S163" s="20">
        <f t="shared" si="38"/>
        <v>153.20804878048813</v>
      </c>
      <c r="T163" s="20">
        <f t="shared" si="39"/>
        <v>152.68304878048812</v>
      </c>
      <c r="U163" s="20">
        <v>152.68304878048812</v>
      </c>
      <c r="V163" s="22">
        <v>8.6618999999999993</v>
      </c>
      <c r="W163" s="22">
        <v>2.2885</v>
      </c>
      <c r="X163" s="23">
        <v>1.1476266666666668</v>
      </c>
      <c r="Y163" s="23">
        <f t="shared" si="47"/>
        <v>7.5142733333333327</v>
      </c>
      <c r="Z163" s="23">
        <f t="shared" si="48"/>
        <v>1.1408733333333332</v>
      </c>
      <c r="AA163" s="22">
        <f t="shared" si="49"/>
        <v>84.817250015747803</v>
      </c>
      <c r="AB163" s="22">
        <f t="shared" si="50"/>
        <v>15.182749984252197</v>
      </c>
      <c r="AC163" s="22">
        <f t="shared" si="51"/>
        <v>1.3230291630014321</v>
      </c>
      <c r="AD163" s="22">
        <f t="shared" si="52"/>
        <v>0.20087221003725184</v>
      </c>
      <c r="AE163" s="24">
        <v>5.5374499999999998</v>
      </c>
      <c r="AF163" s="24">
        <v>5.9443999999999999</v>
      </c>
      <c r="AG163" s="24">
        <v>5.6078000000000001</v>
      </c>
      <c r="AH163" s="25">
        <f>AG163-AE163</f>
        <v>7.0350000000000357E-2</v>
      </c>
      <c r="AI163" s="25">
        <v>82.712863988204859</v>
      </c>
      <c r="AJ163" s="26">
        <v>4.1356431994102429</v>
      </c>
      <c r="AK163" s="25">
        <v>41.356431994102429</v>
      </c>
      <c r="AL163" s="26">
        <v>4.1366223749368505</v>
      </c>
      <c r="AM163" s="17">
        <f t="shared" si="53"/>
        <v>0.5780346820809249</v>
      </c>
      <c r="AN163" s="17"/>
      <c r="AO163" s="27"/>
      <c r="AP163" s="17"/>
      <c r="AQ163" s="17"/>
      <c r="AR163" s="17"/>
      <c r="AS163" s="17"/>
      <c r="AT163" s="17"/>
      <c r="AU163" s="17"/>
      <c r="AV163" s="17"/>
      <c r="AW163" s="17"/>
      <c r="AX163" s="17"/>
      <c r="BB163" s="17"/>
    </row>
    <row r="164" spans="1:54" x14ac:dyDescent="0.2">
      <c r="A164" s="17" t="s">
        <v>41</v>
      </c>
      <c r="B164" s="18" t="s">
        <v>42</v>
      </c>
      <c r="C164" s="18" t="str">
        <f t="shared" si="45"/>
        <v>BI10.4</v>
      </c>
      <c r="D164" s="18" t="str">
        <f t="shared" si="46"/>
        <v>BI10.4_163</v>
      </c>
      <c r="E164" s="17">
        <v>4</v>
      </c>
      <c r="F164" s="19">
        <v>163</v>
      </c>
      <c r="G164" s="20">
        <v>2.85</v>
      </c>
      <c r="H164" s="20">
        <v>2.5499999999999998</v>
      </c>
      <c r="I164" s="20">
        <v>1.05</v>
      </c>
      <c r="J164" s="20">
        <f t="shared" si="44"/>
        <v>6.0087825000000015</v>
      </c>
      <c r="K164" s="53">
        <v>0.17365853658536595</v>
      </c>
      <c r="L164" s="20">
        <f t="shared" si="42"/>
        <v>42.381707317073506</v>
      </c>
      <c r="M164" s="20">
        <f t="shared" si="42"/>
        <v>43.431707317073517</v>
      </c>
      <c r="N164" s="20">
        <f t="shared" si="42"/>
        <v>42.906707317073511</v>
      </c>
      <c r="O164" s="20">
        <f>P163+$AO$133</f>
        <v>162.38170731707351</v>
      </c>
      <c r="P164" s="20">
        <f t="shared" si="40"/>
        <v>163.43170731707352</v>
      </c>
      <c r="Q164" s="20">
        <f t="shared" si="54"/>
        <v>162.90670731707351</v>
      </c>
      <c r="R164" s="20">
        <f t="shared" si="43"/>
        <v>153.38170731707351</v>
      </c>
      <c r="S164" s="20">
        <f t="shared" si="38"/>
        <v>154.43170731707352</v>
      </c>
      <c r="T164" s="20">
        <f t="shared" si="39"/>
        <v>153.90670731707351</v>
      </c>
      <c r="U164" s="20">
        <v>153.90670731707351</v>
      </c>
      <c r="V164" s="22">
        <v>8.0799000000000003</v>
      </c>
      <c r="W164" s="22">
        <v>2.1675</v>
      </c>
      <c r="X164" s="23">
        <v>1.1476266666666668</v>
      </c>
      <c r="Y164" s="23">
        <f t="shared" si="47"/>
        <v>6.9322733333333337</v>
      </c>
      <c r="Z164" s="23">
        <f t="shared" si="48"/>
        <v>1.0198733333333332</v>
      </c>
      <c r="AA164" s="22">
        <f t="shared" si="49"/>
        <v>85.288039229074457</v>
      </c>
      <c r="AB164" s="22">
        <f t="shared" si="50"/>
        <v>14.711960770925543</v>
      </c>
      <c r="AC164" s="22">
        <f t="shared" si="51"/>
        <v>1.1536901748953856</v>
      </c>
      <c r="AD164" s="22">
        <f t="shared" si="52"/>
        <v>0.16973044594863151</v>
      </c>
      <c r="AE164" s="24">
        <v>4.8863300000000001</v>
      </c>
      <c r="AF164" s="24">
        <v>5.3075999999999999</v>
      </c>
      <c r="AG164" s="24">
        <v>4.9306000000000001</v>
      </c>
      <c r="AH164" s="25">
        <f>AG164-AE164</f>
        <v>4.4270000000000032E-2</v>
      </c>
      <c r="AI164" s="25">
        <v>89.491300116314946</v>
      </c>
      <c r="AJ164" s="26">
        <v>4.4745650058157471</v>
      </c>
      <c r="AK164" s="25">
        <v>44.745650058157473</v>
      </c>
      <c r="AL164" s="26">
        <v>4.4754700302058641</v>
      </c>
      <c r="AM164" s="17">
        <f t="shared" si="53"/>
        <v>0.5780346820809249</v>
      </c>
      <c r="AN164" s="17"/>
      <c r="AO164" s="27"/>
      <c r="AP164" s="17"/>
      <c r="AQ164" s="17"/>
      <c r="AR164" s="17"/>
      <c r="AS164" s="17"/>
      <c r="AT164" s="17"/>
      <c r="AU164" s="17"/>
      <c r="AV164" s="17"/>
      <c r="AW164" s="17"/>
      <c r="AX164" s="17"/>
      <c r="BB164" s="17"/>
    </row>
    <row r="165" spans="1:54" x14ac:dyDescent="0.2">
      <c r="A165" s="17" t="s">
        <v>41</v>
      </c>
      <c r="B165" s="18" t="s">
        <v>42</v>
      </c>
      <c r="C165" s="18" t="str">
        <f t="shared" si="45"/>
        <v>BI10.4</v>
      </c>
      <c r="D165" s="18" t="str">
        <f t="shared" si="46"/>
        <v>BI10.4_164</v>
      </c>
      <c r="E165" s="17">
        <v>4</v>
      </c>
      <c r="F165" s="19">
        <v>164</v>
      </c>
      <c r="G165" s="20">
        <v>2.4</v>
      </c>
      <c r="H165" s="20">
        <v>2.8</v>
      </c>
      <c r="I165" s="20">
        <v>1</v>
      </c>
      <c r="J165" s="20">
        <f t="shared" si="44"/>
        <v>5.3065999999999987</v>
      </c>
      <c r="K165" s="53">
        <v>0.17365853658536595</v>
      </c>
      <c r="L165" s="20">
        <f t="shared" si="42"/>
        <v>43.605365853658896</v>
      </c>
      <c r="M165" s="20">
        <f t="shared" si="42"/>
        <v>44.605365853658896</v>
      </c>
      <c r="N165" s="20">
        <f t="shared" si="42"/>
        <v>44.105365853658896</v>
      </c>
      <c r="O165" s="20">
        <f>P164+$AO$133</f>
        <v>163.6053658536589</v>
      </c>
      <c r="P165" s="20">
        <f t="shared" si="40"/>
        <v>164.6053658536589</v>
      </c>
      <c r="Q165" s="20">
        <f t="shared" si="54"/>
        <v>164.1053658536589</v>
      </c>
      <c r="R165" s="20">
        <f t="shared" si="43"/>
        <v>154.6053658536589</v>
      </c>
      <c r="S165" s="20">
        <f t="shared" si="38"/>
        <v>155.6053658536589</v>
      </c>
      <c r="T165" s="20">
        <f t="shared" si="39"/>
        <v>155.1053658536589</v>
      </c>
      <c r="U165" s="20">
        <v>155.1053658536589</v>
      </c>
      <c r="V165" s="22">
        <v>8.2905999999999995</v>
      </c>
      <c r="W165" s="22">
        <v>2.2281</v>
      </c>
      <c r="X165" s="23">
        <v>1.1476266666666668</v>
      </c>
      <c r="Y165" s="23">
        <f t="shared" si="47"/>
        <v>7.142973333333333</v>
      </c>
      <c r="Z165" s="23">
        <f t="shared" si="48"/>
        <v>1.0804733333333332</v>
      </c>
      <c r="AA165" s="22">
        <f t="shared" si="49"/>
        <v>84.873619389124613</v>
      </c>
      <c r="AB165" s="22">
        <f t="shared" si="50"/>
        <v>15.126380610875387</v>
      </c>
      <c r="AC165" s="22">
        <f t="shared" si="51"/>
        <v>1.346054598675863</v>
      </c>
      <c r="AD165" s="22">
        <f t="shared" si="52"/>
        <v>0.20360934182590235</v>
      </c>
      <c r="AE165" s="24">
        <v>5.50589</v>
      </c>
      <c r="AF165" s="24">
        <v>5.9535</v>
      </c>
      <c r="AG165" s="24">
        <v>5.5590000000000002</v>
      </c>
      <c r="AH165" s="25">
        <f>AG165-AE165</f>
        <v>5.3110000000000213E-2</v>
      </c>
      <c r="AI165" s="25">
        <v>88.13476017068426</v>
      </c>
      <c r="AJ165" s="26">
        <v>4.4067380085342132</v>
      </c>
      <c r="AK165" s="25">
        <v>44.06738008534213</v>
      </c>
      <c r="AL165" s="26">
        <v>4.4076569598665545</v>
      </c>
      <c r="AM165" s="17">
        <f t="shared" si="53"/>
        <v>0.5780346820809249</v>
      </c>
      <c r="AN165" s="17"/>
      <c r="AO165" s="27"/>
      <c r="AP165" s="17"/>
      <c r="AQ165" s="17"/>
      <c r="AR165" s="17"/>
      <c r="AS165" s="17"/>
      <c r="AT165" s="17"/>
      <c r="AU165" s="17"/>
      <c r="AV165" s="17"/>
      <c r="AW165" s="17"/>
      <c r="AX165" s="17"/>
      <c r="BB165" s="17"/>
    </row>
    <row r="166" spans="1:54" x14ac:dyDescent="0.2">
      <c r="A166" s="17" t="s">
        <v>41</v>
      </c>
      <c r="B166" s="18" t="s">
        <v>42</v>
      </c>
      <c r="C166" s="18" t="str">
        <f t="shared" si="45"/>
        <v>BI10.4</v>
      </c>
      <c r="D166" s="18" t="str">
        <f t="shared" si="46"/>
        <v>BI10.4_165</v>
      </c>
      <c r="E166" s="17">
        <v>4</v>
      </c>
      <c r="F166" s="19">
        <v>165</v>
      </c>
      <c r="G166" s="20">
        <v>2.5</v>
      </c>
      <c r="H166" s="20">
        <v>2.7</v>
      </c>
      <c r="I166" s="20">
        <v>1</v>
      </c>
      <c r="J166" s="20">
        <f t="shared" si="44"/>
        <v>5.3066000000000013</v>
      </c>
      <c r="K166" s="53">
        <v>0.17365853658536595</v>
      </c>
      <c r="L166" s="20">
        <f t="shared" si="42"/>
        <v>44.779024390244274</v>
      </c>
      <c r="M166" s="20">
        <f t="shared" si="42"/>
        <v>45.779024390244274</v>
      </c>
      <c r="N166" s="20">
        <f t="shared" si="42"/>
        <v>45.279024390244274</v>
      </c>
      <c r="O166" s="20">
        <f>P165+$AO$133</f>
        <v>164.77902439024427</v>
      </c>
      <c r="P166" s="20">
        <f t="shared" si="40"/>
        <v>165.77902439024427</v>
      </c>
      <c r="Q166" s="20">
        <f t="shared" si="54"/>
        <v>165.27902439024427</v>
      </c>
      <c r="R166" s="20">
        <f t="shared" si="43"/>
        <v>155.77902439024427</v>
      </c>
      <c r="S166" s="20">
        <f t="shared" si="38"/>
        <v>156.77902439024427</v>
      </c>
      <c r="T166" s="20">
        <f t="shared" si="39"/>
        <v>156.27902439024427</v>
      </c>
      <c r="U166" s="20">
        <v>156.27902439024427</v>
      </c>
      <c r="V166" s="22">
        <v>8.5917999999999992</v>
      </c>
      <c r="W166" s="22">
        <v>2.2945000000000002</v>
      </c>
      <c r="X166" s="23">
        <v>1.1476266666666668</v>
      </c>
      <c r="Y166" s="23">
        <f t="shared" si="47"/>
        <v>7.4441733333333326</v>
      </c>
      <c r="Z166" s="23">
        <f t="shared" si="48"/>
        <v>1.1468733333333334</v>
      </c>
      <c r="AA166" s="22">
        <f t="shared" si="49"/>
        <v>84.593677739905743</v>
      </c>
      <c r="AB166" s="22">
        <f t="shared" si="50"/>
        <v>15.406322260094257</v>
      </c>
      <c r="AC166" s="22">
        <f t="shared" si="51"/>
        <v>1.4028141057048451</v>
      </c>
      <c r="AD166" s="22">
        <f t="shared" si="52"/>
        <v>0.21612206183494764</v>
      </c>
      <c r="AE166" s="24">
        <v>5.4825400000000002</v>
      </c>
      <c r="AF166" s="24">
        <v>5.7957000000000001</v>
      </c>
      <c r="AG166" s="24">
        <v>5.5260999999999996</v>
      </c>
      <c r="AH166" s="25">
        <f>AG166-AE166</f>
        <v>4.3559999999999377E-2</v>
      </c>
      <c r="AI166" s="25">
        <v>86.090177545025099</v>
      </c>
      <c r="AJ166" s="26">
        <v>4.304508877251255</v>
      </c>
      <c r="AK166" s="25">
        <v>43.04508877251255</v>
      </c>
      <c r="AL166" s="26">
        <v>4.305449648333477</v>
      </c>
      <c r="AM166" s="17">
        <f t="shared" si="53"/>
        <v>0.5780346820809249</v>
      </c>
      <c r="AN166" s="17"/>
      <c r="AO166" s="27"/>
      <c r="AP166" s="17"/>
      <c r="AQ166" s="17"/>
      <c r="AR166" s="17"/>
      <c r="AS166" s="17"/>
      <c r="AT166" s="17"/>
      <c r="AU166" s="17"/>
      <c r="AV166" s="17"/>
      <c r="AW166" s="17"/>
      <c r="AX166" s="17"/>
      <c r="BB166" s="17"/>
    </row>
    <row r="167" spans="1:54" x14ac:dyDescent="0.2">
      <c r="A167" s="17" t="s">
        <v>41</v>
      </c>
      <c r="B167" s="18" t="s">
        <v>42</v>
      </c>
      <c r="C167" s="18" t="str">
        <f t="shared" si="45"/>
        <v>BI10.4</v>
      </c>
      <c r="D167" s="18" t="str">
        <f t="shared" si="46"/>
        <v>BI10.4_166</v>
      </c>
      <c r="E167" s="17">
        <v>4</v>
      </c>
      <c r="F167" s="19">
        <v>166</v>
      </c>
      <c r="G167" s="20">
        <v>2.6</v>
      </c>
      <c r="H167" s="20">
        <v>2.75</v>
      </c>
      <c r="I167" s="20">
        <v>1.1000000000000001</v>
      </c>
      <c r="J167" s="20">
        <f t="shared" si="44"/>
        <v>6.1788821874999993</v>
      </c>
      <c r="K167" s="53">
        <v>0.17365853658536595</v>
      </c>
      <c r="L167" s="20">
        <f t="shared" si="42"/>
        <v>45.952682926829652</v>
      </c>
      <c r="M167" s="20">
        <f t="shared" si="42"/>
        <v>47.052682926829647</v>
      </c>
      <c r="N167" s="20">
        <f t="shared" si="42"/>
        <v>46.502682926829664</v>
      </c>
      <c r="O167" s="20">
        <f>P166+$AO$133</f>
        <v>165.95268292682965</v>
      </c>
      <c r="P167" s="20">
        <f t="shared" si="40"/>
        <v>167.05268292682965</v>
      </c>
      <c r="Q167" s="20">
        <f t="shared" si="54"/>
        <v>166.50268292682966</v>
      </c>
      <c r="R167" s="20">
        <f t="shared" si="43"/>
        <v>156.95268292682965</v>
      </c>
      <c r="S167" s="20">
        <f t="shared" si="38"/>
        <v>158.05268292682965</v>
      </c>
      <c r="T167" s="20">
        <f t="shared" si="39"/>
        <v>157.50268292682966</v>
      </c>
      <c r="U167" s="20">
        <v>157.50268292682966</v>
      </c>
      <c r="V167" s="22">
        <v>8.5973000000000006</v>
      </c>
      <c r="W167" s="22">
        <v>2.4971999999999999</v>
      </c>
      <c r="X167" s="23">
        <v>1.1476266666666668</v>
      </c>
      <c r="Y167" s="23">
        <f t="shared" si="47"/>
        <v>7.449673333333334</v>
      </c>
      <c r="Z167" s="23">
        <f t="shared" si="48"/>
        <v>1.3495733333333331</v>
      </c>
      <c r="AA167" s="22">
        <f t="shared" si="49"/>
        <v>81.884127357709659</v>
      </c>
      <c r="AB167" s="22">
        <f t="shared" si="50"/>
        <v>18.115872642290341</v>
      </c>
      <c r="AC167" s="22">
        <f t="shared" si="51"/>
        <v>1.2056668354033631</v>
      </c>
      <c r="AD167" s="22">
        <f t="shared" si="52"/>
        <v>0.2184170683920057</v>
      </c>
      <c r="AE167" s="24">
        <v>5.6764000000000001</v>
      </c>
      <c r="AF167" s="24">
        <v>6.0312999999999999</v>
      </c>
      <c r="AG167" s="24">
        <v>5.7302999999999997</v>
      </c>
      <c r="AH167" s="25">
        <f>AG167-AE167</f>
        <v>5.3899999999999615E-2</v>
      </c>
      <c r="AI167" s="25">
        <v>84.812623274161837</v>
      </c>
      <c r="AJ167" s="26">
        <v>4.240631163708092</v>
      </c>
      <c r="AK167" s="25">
        <v>42.406311637080918</v>
      </c>
      <c r="AL167" s="26">
        <v>4.2415861026993484</v>
      </c>
      <c r="AM167" s="17">
        <f t="shared" si="53"/>
        <v>0.5780346820809249</v>
      </c>
      <c r="AN167" s="17"/>
      <c r="AO167" s="27"/>
      <c r="AP167" s="17"/>
      <c r="AQ167" s="17"/>
      <c r="AR167" s="17"/>
      <c r="AS167" s="17"/>
      <c r="AT167" s="17"/>
      <c r="AU167" s="17"/>
      <c r="AV167" s="17"/>
      <c r="AW167" s="17"/>
      <c r="AX167" s="17"/>
      <c r="BB167" s="17"/>
    </row>
    <row r="168" spans="1:54" x14ac:dyDescent="0.2">
      <c r="A168" s="17" t="s">
        <v>41</v>
      </c>
      <c r="B168" s="18" t="s">
        <v>42</v>
      </c>
      <c r="C168" s="18" t="str">
        <f t="shared" si="45"/>
        <v>BI10.4</v>
      </c>
      <c r="D168" s="18" t="str">
        <f t="shared" si="46"/>
        <v>BI10.4_167</v>
      </c>
      <c r="E168" s="17">
        <v>4</v>
      </c>
      <c r="F168" s="19">
        <v>167</v>
      </c>
      <c r="G168" s="20">
        <v>1.45</v>
      </c>
      <c r="H168" s="20">
        <v>1.5</v>
      </c>
      <c r="I168" s="20">
        <v>1</v>
      </c>
      <c r="J168" s="20">
        <f t="shared" si="44"/>
        <v>1.7078656250000004</v>
      </c>
      <c r="K168" s="53">
        <v>0.17365853658536595</v>
      </c>
      <c r="L168" s="20">
        <f t="shared" si="42"/>
        <v>47.226341463415025</v>
      </c>
      <c r="M168" s="20">
        <f t="shared" si="42"/>
        <v>48.226341463415025</v>
      </c>
      <c r="N168" s="20">
        <f t="shared" si="42"/>
        <v>47.726341463415025</v>
      </c>
      <c r="O168" s="20">
        <f>P167+$AO$133</f>
        <v>167.22634146341503</v>
      </c>
      <c r="P168" s="20">
        <f t="shared" si="40"/>
        <v>168.22634146341503</v>
      </c>
      <c r="Q168" s="20">
        <f t="shared" si="54"/>
        <v>167.72634146341503</v>
      </c>
      <c r="R168" s="20">
        <f t="shared" si="43"/>
        <v>158.22634146341503</v>
      </c>
      <c r="S168" s="20">
        <f t="shared" si="38"/>
        <v>159.22634146341503</v>
      </c>
      <c r="T168" s="20">
        <f t="shared" si="39"/>
        <v>158.72634146341503</v>
      </c>
      <c r="U168" s="20">
        <v>158.72634146341503</v>
      </c>
      <c r="V168" s="22">
        <v>7.5533999999999999</v>
      </c>
      <c r="W168" s="22">
        <v>2.3395000000000001</v>
      </c>
      <c r="X168" s="23">
        <v>1.1476266666666668</v>
      </c>
      <c r="Y168" s="23">
        <f t="shared" si="47"/>
        <v>6.4057733333333333</v>
      </c>
      <c r="Z168" s="23">
        <f t="shared" si="48"/>
        <v>1.1918733333333333</v>
      </c>
      <c r="AA168" s="22">
        <f t="shared" si="49"/>
        <v>81.393763542471049</v>
      </c>
      <c r="AB168" s="22">
        <f t="shared" si="50"/>
        <v>18.606236457528951</v>
      </c>
      <c r="AC168" s="22">
        <f t="shared" si="51"/>
        <v>3.7507478571877293</v>
      </c>
      <c r="AD168" s="22">
        <f t="shared" si="52"/>
        <v>0.69787301523404865</v>
      </c>
      <c r="AE168" s="24">
        <v>5.4755599999999998</v>
      </c>
      <c r="AF168" s="24">
        <v>5.8612000000000002</v>
      </c>
      <c r="AG168" s="24">
        <v>5.5572999999999997</v>
      </c>
      <c r="AH168" s="25">
        <f>AG168-AE168</f>
        <v>8.1739999999999924E-2</v>
      </c>
      <c r="AI168" s="25">
        <v>78.804065968260602</v>
      </c>
      <c r="AJ168" s="26">
        <v>3.9402032984130302</v>
      </c>
      <c r="AK168" s="25">
        <v>39.402032984130301</v>
      </c>
      <c r="AL168" s="26">
        <v>3.9412310301256035</v>
      </c>
      <c r="AM168" s="17">
        <f t="shared" si="53"/>
        <v>0.5780346820809249</v>
      </c>
      <c r="AN168" s="17"/>
      <c r="AO168" s="27"/>
      <c r="AP168" s="17"/>
      <c r="AQ168" s="17"/>
      <c r="AR168" s="17"/>
      <c r="AS168" s="17"/>
      <c r="AT168" s="17"/>
      <c r="AU168" s="17"/>
      <c r="AV168" s="17"/>
      <c r="AW168" s="17"/>
      <c r="AX168" s="17"/>
      <c r="BB168" s="17"/>
    </row>
    <row r="169" spans="1:54" x14ac:dyDescent="0.2">
      <c r="A169" s="17" t="s">
        <v>41</v>
      </c>
      <c r="B169" s="18" t="s">
        <v>42</v>
      </c>
      <c r="C169" s="18" t="str">
        <f t="shared" si="45"/>
        <v>BI10.4</v>
      </c>
      <c r="D169" s="18" t="str">
        <f t="shared" si="46"/>
        <v>BI10.4_168</v>
      </c>
      <c r="E169" s="17">
        <v>4</v>
      </c>
      <c r="F169" s="19">
        <v>168</v>
      </c>
      <c r="G169" s="20">
        <v>2.4</v>
      </c>
      <c r="H169" s="20">
        <v>2.4</v>
      </c>
      <c r="I169" s="20">
        <v>1.6</v>
      </c>
      <c r="J169" s="20">
        <f t="shared" si="44"/>
        <v>7.2345600000000001</v>
      </c>
      <c r="K169" s="53">
        <v>0.17365853658536595</v>
      </c>
      <c r="L169" s="20">
        <f t="shared" si="42"/>
        <v>48.400000000000404</v>
      </c>
      <c r="M169" s="20">
        <f t="shared" si="42"/>
        <v>50.000000000000398</v>
      </c>
      <c r="N169" s="20">
        <f t="shared" si="42"/>
        <v>49.200000000000387</v>
      </c>
      <c r="O169" s="20">
        <f>P168+$AO$133</f>
        <v>168.4000000000004</v>
      </c>
      <c r="P169" s="20">
        <f t="shared" si="40"/>
        <v>170.0000000000004</v>
      </c>
      <c r="Q169" s="20">
        <f t="shared" si="54"/>
        <v>169.20000000000039</v>
      </c>
      <c r="R169" s="20">
        <f t="shared" si="43"/>
        <v>159.4000000000004</v>
      </c>
      <c r="S169" s="20">
        <f t="shared" si="38"/>
        <v>161.0000000000004</v>
      </c>
      <c r="T169" s="20">
        <f t="shared" si="39"/>
        <v>160.20000000000039</v>
      </c>
      <c r="U169" s="20">
        <v>160.20000000000039</v>
      </c>
      <c r="V169" s="22">
        <v>9.0990000000000002</v>
      </c>
      <c r="W169" s="22">
        <v>2.6261999999999999</v>
      </c>
      <c r="X169" s="23">
        <v>1.1476266666666668</v>
      </c>
      <c r="Y169" s="23">
        <f t="shared" si="47"/>
        <v>7.9513733333333336</v>
      </c>
      <c r="Z169" s="23">
        <f t="shared" si="48"/>
        <v>1.4785733333333331</v>
      </c>
      <c r="AA169" s="22">
        <f t="shared" si="49"/>
        <v>81.404805543025688</v>
      </c>
      <c r="AB169" s="22">
        <f t="shared" si="50"/>
        <v>18.595194456974312</v>
      </c>
      <c r="AC169" s="22">
        <f t="shared" si="51"/>
        <v>1.0990818146968624</v>
      </c>
      <c r="AD169" s="22">
        <f t="shared" si="52"/>
        <v>0.20437640068412358</v>
      </c>
      <c r="AE169" s="24">
        <v>5.2433800000000002</v>
      </c>
      <c r="AF169" s="24">
        <v>6.1440999999999999</v>
      </c>
      <c r="AG169" s="24">
        <v>5.4431000000000003</v>
      </c>
      <c r="AH169" s="25">
        <f>AG169-AE169</f>
        <v>0.19972000000000012</v>
      </c>
      <c r="AI169" s="25">
        <v>77.826627586819413</v>
      </c>
      <c r="AJ169" s="26">
        <v>3.8913313793409707</v>
      </c>
      <c r="AK169" s="25">
        <v>38.913313793409706</v>
      </c>
      <c r="AL169" s="26">
        <v>3.8923720150884478</v>
      </c>
      <c r="AM169" s="17">
        <f t="shared" si="53"/>
        <v>0.5780346820809249</v>
      </c>
      <c r="AN169" s="17"/>
      <c r="AO169" s="27"/>
      <c r="AP169" s="17"/>
      <c r="AQ169" s="17"/>
      <c r="AR169" s="17"/>
      <c r="AS169" s="17"/>
      <c r="AT169" s="17"/>
      <c r="AU169" s="17"/>
      <c r="AV169" s="17"/>
      <c r="AW169" s="17"/>
      <c r="AX169" s="17"/>
      <c r="BB169" s="17"/>
    </row>
    <row r="170" spans="1:54" x14ac:dyDescent="0.2">
      <c r="A170" s="17" t="s">
        <v>41</v>
      </c>
      <c r="B170" s="18" t="s">
        <v>42</v>
      </c>
      <c r="C170" s="18" t="str">
        <f t="shared" si="45"/>
        <v>BI10.5</v>
      </c>
      <c r="D170" s="18" t="str">
        <f t="shared" si="46"/>
        <v>BI10.5_169</v>
      </c>
      <c r="E170" s="17">
        <v>5</v>
      </c>
      <c r="F170" s="19">
        <v>169</v>
      </c>
      <c r="G170" s="20">
        <v>2</v>
      </c>
      <c r="H170" s="20">
        <v>2.6</v>
      </c>
      <c r="I170" s="20">
        <v>0.95</v>
      </c>
      <c r="J170" s="20">
        <f t="shared" si="44"/>
        <v>3.9450174999999992</v>
      </c>
      <c r="K170" s="53">
        <v>0.19124999999999978</v>
      </c>
      <c r="L170" s="20">
        <f>O170-160</f>
        <v>0</v>
      </c>
      <c r="M170" s="20">
        <f t="shared" ref="M170:N185" si="55">P170-160</f>
        <v>0.94999999999998863</v>
      </c>
      <c r="N170" s="20">
        <f t="shared" si="55"/>
        <v>0.47499999999999432</v>
      </c>
      <c r="O170" s="20">
        <v>160</v>
      </c>
      <c r="P170" s="20">
        <f t="shared" si="40"/>
        <v>160.94999999999999</v>
      </c>
      <c r="Q170" s="20">
        <f t="shared" si="54"/>
        <v>160.47499999999999</v>
      </c>
      <c r="R170" s="20">
        <f>O170-7.5</f>
        <v>152.5</v>
      </c>
      <c r="S170" s="20">
        <f t="shared" si="38"/>
        <v>153.44999999999999</v>
      </c>
      <c r="T170" s="20">
        <f t="shared" si="39"/>
        <v>152.97499999999999</v>
      </c>
      <c r="U170" s="20">
        <v>152.97499999999999</v>
      </c>
      <c r="V170" s="22">
        <v>4.5026000000000002</v>
      </c>
      <c r="W170" s="22">
        <v>1.6820999999999999</v>
      </c>
      <c r="X170" s="23">
        <v>1.1476266666666668</v>
      </c>
      <c r="Y170" s="23">
        <f t="shared" si="47"/>
        <v>3.3549733333333336</v>
      </c>
      <c r="Z170" s="23">
        <f t="shared" si="48"/>
        <v>0.53447333333333313</v>
      </c>
      <c r="AA170" s="22">
        <f t="shared" si="49"/>
        <v>84.069222606836419</v>
      </c>
      <c r="AB170" s="22">
        <f t="shared" si="50"/>
        <v>15.930777393163581</v>
      </c>
      <c r="AC170" s="22">
        <f t="shared" si="51"/>
        <v>0.85043306736493163</v>
      </c>
      <c r="AD170" s="22">
        <f t="shared" si="52"/>
        <v>0.1354805988397601</v>
      </c>
      <c r="AE170" s="24">
        <v>5.7525199999999996</v>
      </c>
      <c r="AF170" s="24">
        <v>5.9696999999999996</v>
      </c>
      <c r="AG170" s="24">
        <v>5.7808999999999999</v>
      </c>
      <c r="AH170" s="25">
        <f>AG170-AE170</f>
        <v>2.8380000000000294E-2</v>
      </c>
      <c r="AI170" s="25">
        <v>86.932498388433416</v>
      </c>
      <c r="AJ170" s="26">
        <v>4.3466249194216706</v>
      </c>
      <c r="AK170" s="25">
        <v>43.466249194216708</v>
      </c>
      <c r="AL170" s="26">
        <v>4.3475565769909705</v>
      </c>
      <c r="AM170" s="17">
        <f t="shared" si="53"/>
        <v>0.5780346820809249</v>
      </c>
      <c r="AN170" s="28" t="s">
        <v>43</v>
      </c>
      <c r="AO170" s="27">
        <v>49.5</v>
      </c>
      <c r="AP170" s="17"/>
      <c r="AQ170" s="17"/>
      <c r="AR170" s="17"/>
      <c r="AS170" s="17"/>
      <c r="AT170" s="17"/>
      <c r="AU170" s="17"/>
      <c r="AV170" s="17"/>
      <c r="AW170" s="17"/>
      <c r="AX170" s="17"/>
      <c r="BB170" s="17"/>
    </row>
    <row r="171" spans="1:54" x14ac:dyDescent="0.2">
      <c r="A171" s="17" t="s">
        <v>41</v>
      </c>
      <c r="B171" s="18" t="s">
        <v>42</v>
      </c>
      <c r="C171" s="18" t="str">
        <f t="shared" si="45"/>
        <v>BI10.5</v>
      </c>
      <c r="D171" s="18" t="str">
        <f t="shared" si="46"/>
        <v>BI10.5_170</v>
      </c>
      <c r="E171" s="17">
        <v>5</v>
      </c>
      <c r="F171" s="19">
        <v>170</v>
      </c>
      <c r="G171" s="20">
        <v>2.5499999999999998</v>
      </c>
      <c r="H171" s="20">
        <v>2.35</v>
      </c>
      <c r="I171" s="20">
        <v>1</v>
      </c>
      <c r="J171" s="20">
        <f t="shared" si="44"/>
        <v>4.7119625000000003</v>
      </c>
      <c r="K171" s="53">
        <v>0.19124999999999978</v>
      </c>
      <c r="L171" s="20">
        <f t="shared" ref="L171:N210" si="56">O171-160</f>
        <v>1.1412499999999852</v>
      </c>
      <c r="M171" s="20">
        <f t="shared" si="55"/>
        <v>2.1412499999999852</v>
      </c>
      <c r="N171" s="20">
        <f t="shared" si="55"/>
        <v>1.6412499999999852</v>
      </c>
      <c r="O171" s="20">
        <f>P170+$AO$175</f>
        <v>161.14124999999999</v>
      </c>
      <c r="P171" s="20">
        <f t="shared" si="40"/>
        <v>162.14124999999999</v>
      </c>
      <c r="Q171" s="20">
        <f t="shared" si="54"/>
        <v>161.64124999999999</v>
      </c>
      <c r="R171" s="20">
        <f t="shared" ref="R171:R234" si="57">O171-7.5</f>
        <v>153.64124999999999</v>
      </c>
      <c r="S171" s="20">
        <f t="shared" ref="S171:S234" si="58">R171+I171</f>
        <v>154.64124999999999</v>
      </c>
      <c r="T171" s="20">
        <f t="shared" ref="T171:T234" si="59">AVERAGE(R171:S171)</f>
        <v>154.14124999999999</v>
      </c>
      <c r="U171" s="20">
        <v>154.14124999999999</v>
      </c>
      <c r="V171" s="22">
        <v>6.3270999999999997</v>
      </c>
      <c r="W171" s="22">
        <v>2.0023</v>
      </c>
      <c r="X171" s="23">
        <v>1.1476266666666668</v>
      </c>
      <c r="Y171" s="23">
        <f t="shared" si="47"/>
        <v>5.1794733333333332</v>
      </c>
      <c r="Z171" s="23">
        <f t="shared" si="48"/>
        <v>0.85467333333333317</v>
      </c>
      <c r="AA171" s="22">
        <f t="shared" si="49"/>
        <v>83.498837076099107</v>
      </c>
      <c r="AB171" s="22">
        <f t="shared" si="50"/>
        <v>16.501162923900893</v>
      </c>
      <c r="AC171" s="22">
        <f t="shared" si="51"/>
        <v>1.0992178595082904</v>
      </c>
      <c r="AD171" s="22">
        <f t="shared" si="52"/>
        <v>0.18138372988607893</v>
      </c>
      <c r="AE171" s="24">
        <v>5.6177200000000003</v>
      </c>
      <c r="AF171" s="24">
        <v>5.9203000000000001</v>
      </c>
      <c r="AG171" s="24">
        <v>5.6562000000000001</v>
      </c>
      <c r="AH171" s="25">
        <f>AG171-AE171</f>
        <v>3.8479999999999848E-2</v>
      </c>
      <c r="AI171" s="25">
        <v>87.282702095313681</v>
      </c>
      <c r="AJ171" s="26">
        <v>4.3641351047656842</v>
      </c>
      <c r="AK171" s="25">
        <v>43.64135104765684</v>
      </c>
      <c r="AL171" s="26">
        <v>4.3650630250488005</v>
      </c>
      <c r="AM171" s="17">
        <f t="shared" si="53"/>
        <v>0.5780346820809249</v>
      </c>
      <c r="AN171" s="28" t="s">
        <v>44</v>
      </c>
      <c r="AO171" s="27" t="s">
        <v>57</v>
      </c>
      <c r="AP171" s="17"/>
      <c r="AQ171" s="17"/>
      <c r="AR171" s="17"/>
      <c r="AS171" s="17"/>
      <c r="AT171" s="17"/>
      <c r="AU171" s="17"/>
      <c r="AV171" s="17"/>
      <c r="AW171" s="17"/>
      <c r="AX171" s="17"/>
      <c r="BB171" s="17"/>
    </row>
    <row r="172" spans="1:54" x14ac:dyDescent="0.2">
      <c r="A172" s="17" t="s">
        <v>41</v>
      </c>
      <c r="B172" s="18" t="s">
        <v>42</v>
      </c>
      <c r="C172" s="18" t="str">
        <f t="shared" si="45"/>
        <v>BI10.5</v>
      </c>
      <c r="D172" s="18" t="str">
        <f t="shared" si="46"/>
        <v>BI10.5_171</v>
      </c>
      <c r="E172" s="17">
        <v>5</v>
      </c>
      <c r="F172" s="19">
        <v>171</v>
      </c>
      <c r="G172" s="20">
        <v>2.5</v>
      </c>
      <c r="H172" s="20">
        <v>2.75</v>
      </c>
      <c r="I172" s="20">
        <v>1.1000000000000001</v>
      </c>
      <c r="J172" s="20">
        <f t="shared" si="44"/>
        <v>5.9500546875000007</v>
      </c>
      <c r="K172" s="53">
        <v>0.19124999999999978</v>
      </c>
      <c r="L172" s="20">
        <f t="shared" si="56"/>
        <v>2.3324999999999818</v>
      </c>
      <c r="M172" s="20">
        <f t="shared" si="55"/>
        <v>3.4324999999999761</v>
      </c>
      <c r="N172" s="20">
        <f t="shared" si="55"/>
        <v>2.8824999999999932</v>
      </c>
      <c r="O172" s="20">
        <f>P171+$AO$175</f>
        <v>162.33249999999998</v>
      </c>
      <c r="P172" s="20">
        <f t="shared" ref="P172:P235" si="60">O172+I172</f>
        <v>163.43249999999998</v>
      </c>
      <c r="Q172" s="20">
        <f t="shared" si="54"/>
        <v>162.88249999999999</v>
      </c>
      <c r="R172" s="20">
        <f t="shared" si="57"/>
        <v>154.83249999999998</v>
      </c>
      <c r="S172" s="20">
        <f t="shared" si="58"/>
        <v>155.93249999999998</v>
      </c>
      <c r="T172" s="20">
        <f t="shared" si="59"/>
        <v>155.38249999999999</v>
      </c>
      <c r="U172" s="20">
        <v>155.38249999999999</v>
      </c>
      <c r="V172" s="22">
        <v>7.6185999999999998</v>
      </c>
      <c r="W172" s="22">
        <v>2.0775999999999999</v>
      </c>
      <c r="X172" s="23">
        <v>1.1476266666666668</v>
      </c>
      <c r="Y172" s="23">
        <f t="shared" si="47"/>
        <v>6.4709733333333332</v>
      </c>
      <c r="Z172" s="23">
        <f t="shared" si="48"/>
        <v>0.9299733333333331</v>
      </c>
      <c r="AA172" s="22">
        <f t="shared" si="49"/>
        <v>85.628540168094247</v>
      </c>
      <c r="AB172" s="22">
        <f t="shared" si="50"/>
        <v>14.371459831905753</v>
      </c>
      <c r="AC172" s="22">
        <f t="shared" si="51"/>
        <v>1.0875485475667457</v>
      </c>
      <c r="AD172" s="22">
        <f t="shared" si="52"/>
        <v>0.15629660266602935</v>
      </c>
      <c r="AE172" s="24">
        <v>5.1121999999999996</v>
      </c>
      <c r="AF172" s="24">
        <v>5.4496000000000002</v>
      </c>
      <c r="AG172" s="24">
        <v>5.1543000000000001</v>
      </c>
      <c r="AH172" s="25">
        <f>AG172-AE172</f>
        <v>4.210000000000047E-2</v>
      </c>
      <c r="AI172" s="25">
        <v>87.522228808535743</v>
      </c>
      <c r="AJ172" s="26">
        <v>4.3761114404267873</v>
      </c>
      <c r="AK172" s="25">
        <v>43.761114404267872</v>
      </c>
      <c r="AL172" s="26">
        <v>4.3770368217590097</v>
      </c>
      <c r="AM172" s="17">
        <f t="shared" si="53"/>
        <v>0.5780346820809249</v>
      </c>
      <c r="AN172" s="28" t="s">
        <v>46</v>
      </c>
      <c r="AO172" s="29">
        <f>SUM(I170:I210)</f>
        <v>41.850000000000009</v>
      </c>
      <c r="AP172" s="17"/>
      <c r="AQ172" s="17"/>
      <c r="AR172" s="17"/>
      <c r="AS172" s="17"/>
      <c r="AT172" s="17"/>
      <c r="AU172" s="17"/>
      <c r="AV172" s="17"/>
      <c r="AW172" s="17"/>
      <c r="AX172" s="17"/>
      <c r="BB172" s="17"/>
    </row>
    <row r="173" spans="1:54" x14ac:dyDescent="0.2">
      <c r="A173" s="17" t="s">
        <v>41</v>
      </c>
      <c r="B173" s="18" t="s">
        <v>42</v>
      </c>
      <c r="C173" s="18" t="str">
        <f t="shared" si="45"/>
        <v>BI10.5</v>
      </c>
      <c r="D173" s="18" t="str">
        <f t="shared" si="46"/>
        <v>BI10.5_172</v>
      </c>
      <c r="E173" s="17">
        <v>5</v>
      </c>
      <c r="F173" s="19">
        <v>172</v>
      </c>
      <c r="G173" s="20">
        <v>2.6</v>
      </c>
      <c r="H173" s="20">
        <v>2.7</v>
      </c>
      <c r="I173" s="20">
        <v>1.05</v>
      </c>
      <c r="J173" s="20">
        <f t="shared" si="44"/>
        <v>5.7882956250000017</v>
      </c>
      <c r="K173" s="53">
        <v>0.19124999999999978</v>
      </c>
      <c r="L173" s="20">
        <f t="shared" si="56"/>
        <v>3.6237499999999727</v>
      </c>
      <c r="M173" s="20">
        <f t="shared" si="55"/>
        <v>4.6737499999999841</v>
      </c>
      <c r="N173" s="20">
        <f t="shared" si="55"/>
        <v>4.1487499999999784</v>
      </c>
      <c r="O173" s="20">
        <f>P172+$AO$175</f>
        <v>163.62374999999997</v>
      </c>
      <c r="P173" s="20">
        <f t="shared" si="60"/>
        <v>164.67374999999998</v>
      </c>
      <c r="Q173" s="20">
        <f t="shared" si="54"/>
        <v>164.14874999999998</v>
      </c>
      <c r="R173" s="20">
        <f t="shared" si="57"/>
        <v>156.12374999999997</v>
      </c>
      <c r="S173" s="20">
        <f t="shared" si="58"/>
        <v>157.17374999999998</v>
      </c>
      <c r="T173" s="20">
        <f t="shared" si="59"/>
        <v>156.64874999999998</v>
      </c>
      <c r="U173" s="20">
        <v>156.64874999999998</v>
      </c>
      <c r="V173" s="22">
        <v>7.1104000000000003</v>
      </c>
      <c r="W173" s="22">
        <v>2.0808</v>
      </c>
      <c r="X173" s="23">
        <v>1.1476266666666668</v>
      </c>
      <c r="Y173" s="23">
        <f t="shared" si="47"/>
        <v>5.9627733333333337</v>
      </c>
      <c r="Z173" s="23">
        <f t="shared" si="48"/>
        <v>0.93317333333333319</v>
      </c>
      <c r="AA173" s="22">
        <f t="shared" si="49"/>
        <v>84.350011627698962</v>
      </c>
      <c r="AB173" s="22">
        <f t="shared" si="50"/>
        <v>15.649988372301038</v>
      </c>
      <c r="AC173" s="22">
        <f t="shared" si="51"/>
        <v>1.0301431923379574</v>
      </c>
      <c r="AD173" s="22">
        <f t="shared" si="52"/>
        <v>0.16121728981894096</v>
      </c>
      <c r="AE173" s="24">
        <v>5.4015000000000004</v>
      </c>
      <c r="AF173" s="24">
        <v>5.7355999999999998</v>
      </c>
      <c r="AG173" s="24">
        <v>5.4428999999999998</v>
      </c>
      <c r="AH173" s="25">
        <f>AG173-AE173</f>
        <v>4.1399999999999437E-2</v>
      </c>
      <c r="AI173" s="25">
        <v>87.608500448967519</v>
      </c>
      <c r="AJ173" s="26">
        <v>4.3804250224483763</v>
      </c>
      <c r="AK173" s="25">
        <v>43.804250224483759</v>
      </c>
      <c r="AL173" s="26">
        <v>4.3813494927124745</v>
      </c>
      <c r="AM173" s="17">
        <f t="shared" si="53"/>
        <v>0.5780346820809249</v>
      </c>
      <c r="AN173" s="28" t="s">
        <v>47</v>
      </c>
      <c r="AO173" s="29">
        <f>AO170-AO172</f>
        <v>7.6499999999999915</v>
      </c>
      <c r="AP173" s="17"/>
      <c r="AQ173" s="17"/>
      <c r="AR173" s="17"/>
      <c r="AS173" s="17"/>
      <c r="AT173" s="17"/>
      <c r="AU173" s="17"/>
      <c r="AV173" s="17"/>
      <c r="AW173" s="17"/>
      <c r="AX173" s="17"/>
      <c r="BB173" s="17"/>
    </row>
    <row r="174" spans="1:54" x14ac:dyDescent="0.2">
      <c r="A174" s="17" t="s">
        <v>41</v>
      </c>
      <c r="B174" s="18" t="s">
        <v>42</v>
      </c>
      <c r="C174" s="18" t="str">
        <f t="shared" si="45"/>
        <v>BI10.5</v>
      </c>
      <c r="D174" s="18" t="str">
        <f t="shared" si="46"/>
        <v>BI10.5_173</v>
      </c>
      <c r="E174" s="17">
        <v>5</v>
      </c>
      <c r="F174" s="19">
        <v>173</v>
      </c>
      <c r="G174" s="20">
        <v>2.65</v>
      </c>
      <c r="H174" s="20">
        <v>2.5499999999999998</v>
      </c>
      <c r="I174" s="20">
        <v>1.1000000000000001</v>
      </c>
      <c r="J174" s="20">
        <f t="shared" si="44"/>
        <v>5.8372599999999997</v>
      </c>
      <c r="K174" s="53">
        <v>0.19124999999999978</v>
      </c>
      <c r="L174" s="20">
        <f t="shared" si="56"/>
        <v>4.8649999999999807</v>
      </c>
      <c r="M174" s="20">
        <f t="shared" si="55"/>
        <v>5.964999999999975</v>
      </c>
      <c r="N174" s="20">
        <f t="shared" si="55"/>
        <v>5.4149999999999636</v>
      </c>
      <c r="O174" s="20">
        <f>P173+$AO$175</f>
        <v>164.86499999999998</v>
      </c>
      <c r="P174" s="20">
        <f t="shared" si="60"/>
        <v>165.96499999999997</v>
      </c>
      <c r="Q174" s="20">
        <f t="shared" si="54"/>
        <v>165.41499999999996</v>
      </c>
      <c r="R174" s="20">
        <f t="shared" si="57"/>
        <v>157.36499999999998</v>
      </c>
      <c r="S174" s="20">
        <f t="shared" si="58"/>
        <v>158.46499999999997</v>
      </c>
      <c r="T174" s="20">
        <f t="shared" si="59"/>
        <v>157.91499999999996</v>
      </c>
      <c r="U174" s="20">
        <v>157.91499999999996</v>
      </c>
      <c r="V174" s="22">
        <v>7.8274999999999997</v>
      </c>
      <c r="W174" s="22">
        <v>2.1322000000000001</v>
      </c>
      <c r="X174" s="23">
        <v>1.1476266666666668</v>
      </c>
      <c r="Y174" s="23">
        <f t="shared" si="47"/>
        <v>6.6798733333333331</v>
      </c>
      <c r="Z174" s="23">
        <f t="shared" si="48"/>
        <v>0.9845733333333333</v>
      </c>
      <c r="AA174" s="22">
        <f t="shared" si="49"/>
        <v>85.260598753868592</v>
      </c>
      <c r="AB174" s="22">
        <f t="shared" si="50"/>
        <v>14.739401246131408</v>
      </c>
      <c r="AC174" s="22">
        <f t="shared" si="51"/>
        <v>1.1443508312690087</v>
      </c>
      <c r="AD174" s="22">
        <f t="shared" si="52"/>
        <v>0.16867046068417946</v>
      </c>
      <c r="AE174" s="24">
        <v>4.9488500000000002</v>
      </c>
      <c r="AF174" s="24">
        <v>5.3869999999999996</v>
      </c>
      <c r="AG174" s="24">
        <v>5.0102000000000002</v>
      </c>
      <c r="AH174" s="25">
        <f>AG174-AE174</f>
        <v>6.1350000000000016E-2</v>
      </c>
      <c r="AI174" s="25">
        <v>85.997945908935264</v>
      </c>
      <c r="AJ174" s="26">
        <v>4.2998972954467636</v>
      </c>
      <c r="AK174" s="25">
        <v>42.998972954467632</v>
      </c>
      <c r="AL174" s="26">
        <v>4.3008390752724512</v>
      </c>
      <c r="AM174" s="17">
        <f t="shared" si="53"/>
        <v>0.5780346820809249</v>
      </c>
      <c r="AN174" s="28" t="s">
        <v>48</v>
      </c>
      <c r="AO174" s="27">
        <v>40</v>
      </c>
      <c r="AP174" s="17"/>
      <c r="AQ174" s="17"/>
      <c r="AR174" s="17"/>
      <c r="AS174" s="17"/>
      <c r="AT174" s="17"/>
      <c r="AU174" s="17"/>
      <c r="AV174" s="17"/>
      <c r="AW174" s="17"/>
      <c r="AX174" s="17"/>
      <c r="BB174" s="17"/>
    </row>
    <row r="175" spans="1:54" x14ac:dyDescent="0.2">
      <c r="A175" s="17" t="s">
        <v>41</v>
      </c>
      <c r="B175" s="18" t="s">
        <v>42</v>
      </c>
      <c r="C175" s="18" t="str">
        <f t="shared" si="45"/>
        <v>BI10.5</v>
      </c>
      <c r="D175" s="18" t="str">
        <f t="shared" si="46"/>
        <v>BI10.5_174</v>
      </c>
      <c r="E175" s="17">
        <v>5</v>
      </c>
      <c r="F175" s="19">
        <v>174</v>
      </c>
      <c r="G175" s="20">
        <v>2.7</v>
      </c>
      <c r="H175" s="20">
        <v>2.85</v>
      </c>
      <c r="I175" s="20">
        <v>1.1000000000000001</v>
      </c>
      <c r="J175" s="20">
        <f t="shared" si="44"/>
        <v>6.6494896875000027</v>
      </c>
      <c r="K175" s="53">
        <v>0.19124999999999978</v>
      </c>
      <c r="L175" s="20">
        <f t="shared" si="56"/>
        <v>6.1562499999999716</v>
      </c>
      <c r="M175" s="20">
        <f t="shared" si="55"/>
        <v>7.2562499999999659</v>
      </c>
      <c r="N175" s="20">
        <f t="shared" si="55"/>
        <v>6.7062499999999545</v>
      </c>
      <c r="O175" s="20">
        <f>P174+$AO$175</f>
        <v>166.15624999999997</v>
      </c>
      <c r="P175" s="20">
        <f t="shared" si="60"/>
        <v>167.25624999999997</v>
      </c>
      <c r="Q175" s="20">
        <f t="shared" si="54"/>
        <v>166.70624999999995</v>
      </c>
      <c r="R175" s="20">
        <f t="shared" si="57"/>
        <v>158.65624999999997</v>
      </c>
      <c r="S175" s="20">
        <f t="shared" si="58"/>
        <v>159.75624999999997</v>
      </c>
      <c r="T175" s="20">
        <f t="shared" si="59"/>
        <v>159.20624999999995</v>
      </c>
      <c r="U175" s="20">
        <v>159.20624999999995</v>
      </c>
      <c r="V175" s="22">
        <v>8.0967000000000002</v>
      </c>
      <c r="W175" s="22">
        <v>2.1663999999999999</v>
      </c>
      <c r="X175" s="23">
        <v>1.1476266666666668</v>
      </c>
      <c r="Y175" s="23">
        <f t="shared" si="47"/>
        <v>6.9490733333333337</v>
      </c>
      <c r="Z175" s="23">
        <f t="shared" si="48"/>
        <v>1.0187733333333331</v>
      </c>
      <c r="AA175" s="22">
        <f t="shared" si="49"/>
        <v>85.339436145442903</v>
      </c>
      <c r="AB175" s="22">
        <f t="shared" si="50"/>
        <v>14.660563854557097</v>
      </c>
      <c r="AC175" s="22">
        <f t="shared" si="51"/>
        <v>1.0450536296637172</v>
      </c>
      <c r="AD175" s="22">
        <f t="shared" si="52"/>
        <v>0.15321075469121595</v>
      </c>
      <c r="AE175" s="24">
        <v>5.6897799999999998</v>
      </c>
      <c r="AF175" s="24">
        <v>6.0217000000000001</v>
      </c>
      <c r="AG175" s="24">
        <v>5.7347999999999999</v>
      </c>
      <c r="AH175" s="25">
        <f>AG175-AE175</f>
        <v>4.502000000000006E-2</v>
      </c>
      <c r="AI175" s="25">
        <v>86.43649072065557</v>
      </c>
      <c r="AJ175" s="26">
        <v>4.3218245360327785</v>
      </c>
      <c r="AK175" s="25">
        <v>43.218245360327785</v>
      </c>
      <c r="AL175" s="26">
        <v>4.3227615386758202</v>
      </c>
      <c r="AM175" s="17">
        <f t="shared" si="53"/>
        <v>0.5780346820809249</v>
      </c>
      <c r="AN175" s="28" t="s">
        <v>49</v>
      </c>
      <c r="AO175" s="30">
        <f>AO173/AO174</f>
        <v>0.19124999999999978</v>
      </c>
      <c r="AP175" s="17"/>
      <c r="AQ175" s="17"/>
      <c r="AR175" s="17"/>
      <c r="AS175" s="17"/>
      <c r="AT175" s="17"/>
      <c r="AU175" s="17"/>
      <c r="AV175" s="17"/>
      <c r="AW175" s="17"/>
      <c r="AX175" s="17"/>
      <c r="BB175" s="17"/>
    </row>
    <row r="176" spans="1:54" x14ac:dyDescent="0.2">
      <c r="A176" s="17" t="s">
        <v>41</v>
      </c>
      <c r="B176" s="18" t="s">
        <v>42</v>
      </c>
      <c r="C176" s="18" t="str">
        <f t="shared" si="45"/>
        <v>BI10.5</v>
      </c>
      <c r="D176" s="18" t="str">
        <f t="shared" si="46"/>
        <v>BI10.5_175</v>
      </c>
      <c r="E176" s="17">
        <v>5</v>
      </c>
      <c r="F176" s="19">
        <v>175</v>
      </c>
      <c r="G176" s="20">
        <v>2.75</v>
      </c>
      <c r="H176" s="20">
        <v>2.5</v>
      </c>
      <c r="I176" s="20">
        <v>1.1000000000000001</v>
      </c>
      <c r="J176" s="20">
        <f t="shared" si="44"/>
        <v>5.9500546875000007</v>
      </c>
      <c r="K176" s="53">
        <v>0.19124999999999978</v>
      </c>
      <c r="L176" s="20">
        <f t="shared" si="56"/>
        <v>7.4474999999999625</v>
      </c>
      <c r="M176" s="20">
        <f t="shared" si="55"/>
        <v>8.5474999999999568</v>
      </c>
      <c r="N176" s="20">
        <f t="shared" si="55"/>
        <v>7.9974999999999454</v>
      </c>
      <c r="O176" s="20">
        <f>P175+$AO$175</f>
        <v>167.44749999999996</v>
      </c>
      <c r="P176" s="20">
        <f t="shared" si="60"/>
        <v>168.54749999999996</v>
      </c>
      <c r="Q176" s="20">
        <f t="shared" si="54"/>
        <v>167.99749999999995</v>
      </c>
      <c r="R176" s="20">
        <f t="shared" si="57"/>
        <v>159.94749999999996</v>
      </c>
      <c r="S176" s="20">
        <f t="shared" si="58"/>
        <v>161.04749999999996</v>
      </c>
      <c r="T176" s="20">
        <f t="shared" si="59"/>
        <v>160.49749999999995</v>
      </c>
      <c r="U176" s="20">
        <v>160.49749999999995</v>
      </c>
      <c r="V176" s="22">
        <v>7.2496999999999998</v>
      </c>
      <c r="W176" s="22">
        <v>2.0181</v>
      </c>
      <c r="X176" s="23">
        <v>1.1476266666666668</v>
      </c>
      <c r="Y176" s="23">
        <f t="shared" si="47"/>
        <v>6.1020733333333332</v>
      </c>
      <c r="Z176" s="23">
        <f t="shared" si="48"/>
        <v>0.87047333333333321</v>
      </c>
      <c r="AA176" s="22">
        <f t="shared" si="49"/>
        <v>85.734793966203839</v>
      </c>
      <c r="AB176" s="22">
        <f t="shared" si="50"/>
        <v>14.265206033796161</v>
      </c>
      <c r="AC176" s="22">
        <f t="shared" si="51"/>
        <v>1.0255491174144493</v>
      </c>
      <c r="AD176" s="22">
        <f t="shared" si="52"/>
        <v>0.14629669457694933</v>
      </c>
      <c r="AE176" s="24">
        <v>5.5642500000000004</v>
      </c>
      <c r="AF176" s="24">
        <v>6.0576999999999996</v>
      </c>
      <c r="AG176" s="24">
        <v>5.6417999999999999</v>
      </c>
      <c r="AH176" s="25">
        <f>AG176-AE176</f>
        <v>7.7549999999999564E-2</v>
      </c>
      <c r="AI176" s="25">
        <v>84.284121998176175</v>
      </c>
      <c r="AJ176" s="26">
        <v>4.2142060999088091</v>
      </c>
      <c r="AK176" s="25">
        <v>42.142060999088088</v>
      </c>
      <c r="AL176" s="26">
        <v>4.2151670254580207</v>
      </c>
      <c r="AM176" s="17">
        <f t="shared" si="53"/>
        <v>0.5780346820809249</v>
      </c>
      <c r="AN176" s="17"/>
      <c r="AO176" s="27"/>
      <c r="AP176" s="17"/>
      <c r="AQ176" s="17"/>
      <c r="AR176" s="17"/>
      <c r="AS176" s="17"/>
      <c r="AT176" s="17"/>
      <c r="AU176" s="17"/>
      <c r="AV176" s="17"/>
      <c r="AW176" s="17"/>
      <c r="AX176" s="17"/>
      <c r="BB176" s="17"/>
    </row>
    <row r="177" spans="1:54" x14ac:dyDescent="0.2">
      <c r="A177" s="17" t="s">
        <v>41</v>
      </c>
      <c r="B177" s="18" t="s">
        <v>42</v>
      </c>
      <c r="C177" s="18" t="str">
        <f t="shared" si="45"/>
        <v>BI10.5</v>
      </c>
      <c r="D177" s="18" t="str">
        <f t="shared" si="46"/>
        <v>BI10.5_176</v>
      </c>
      <c r="E177" s="17">
        <v>5</v>
      </c>
      <c r="F177" s="19">
        <v>176</v>
      </c>
      <c r="G177" s="20">
        <v>2.5499999999999998</v>
      </c>
      <c r="H177" s="20">
        <v>2.6</v>
      </c>
      <c r="I177" s="20">
        <v>1.05</v>
      </c>
      <c r="J177" s="20">
        <f t="shared" si="44"/>
        <v>5.4652926562500017</v>
      </c>
      <c r="K177" s="53">
        <v>0.19124999999999978</v>
      </c>
      <c r="L177" s="20">
        <f t="shared" si="56"/>
        <v>8.7387499999999534</v>
      </c>
      <c r="M177" s="20">
        <f t="shared" si="55"/>
        <v>9.7887499999999648</v>
      </c>
      <c r="N177" s="20">
        <f t="shared" si="55"/>
        <v>9.2637499999999591</v>
      </c>
      <c r="O177" s="20">
        <f>P176+$AO$175</f>
        <v>168.73874999999995</v>
      </c>
      <c r="P177" s="20">
        <f t="shared" si="60"/>
        <v>169.78874999999996</v>
      </c>
      <c r="Q177" s="20">
        <f t="shared" si="54"/>
        <v>169.26374999999996</v>
      </c>
      <c r="R177" s="20">
        <f t="shared" si="57"/>
        <v>161.23874999999995</v>
      </c>
      <c r="S177" s="20">
        <f t="shared" si="58"/>
        <v>162.28874999999996</v>
      </c>
      <c r="T177" s="20">
        <f t="shared" si="59"/>
        <v>161.76374999999996</v>
      </c>
      <c r="U177" s="20">
        <v>161.76374999999996</v>
      </c>
      <c r="V177" s="22">
        <v>7.6177000000000001</v>
      </c>
      <c r="W177" s="22">
        <v>2.0333000000000001</v>
      </c>
      <c r="X177" s="23">
        <v>1.1476266666666668</v>
      </c>
      <c r="Y177" s="23">
        <f t="shared" si="47"/>
        <v>6.4700733333333336</v>
      </c>
      <c r="Z177" s="23">
        <f t="shared" si="48"/>
        <v>0.88567333333333331</v>
      </c>
      <c r="AA177" s="22">
        <f t="shared" si="49"/>
        <v>86.311231918030813</v>
      </c>
      <c r="AB177" s="22">
        <f t="shared" si="50"/>
        <v>13.688768081969187</v>
      </c>
      <c r="AC177" s="22">
        <f t="shared" si="51"/>
        <v>1.1838475522320446</v>
      </c>
      <c r="AD177" s="22">
        <f t="shared" si="52"/>
        <v>0.16205414586911362</v>
      </c>
      <c r="AE177" s="24">
        <v>5.5716700000000001</v>
      </c>
      <c r="AF177" s="24">
        <v>5.9025999999999996</v>
      </c>
      <c r="AG177" s="24">
        <v>5.6439000000000004</v>
      </c>
      <c r="AH177" s="25">
        <f>AG177-AE177</f>
        <v>7.2230000000000238E-2</v>
      </c>
      <c r="AI177" s="25">
        <v>78.173631885897208</v>
      </c>
      <c r="AJ177" s="26">
        <v>3.9086815942948605</v>
      </c>
      <c r="AK177" s="25">
        <v>39.086815942948604</v>
      </c>
      <c r="AL177" s="26">
        <v>3.9097176119995436</v>
      </c>
      <c r="AM177" s="17">
        <f t="shared" si="53"/>
        <v>0.5780346820809249</v>
      </c>
      <c r="AN177" s="17"/>
      <c r="AO177" s="27"/>
      <c r="AP177" s="17"/>
      <c r="AQ177" s="17"/>
      <c r="AR177" s="17"/>
      <c r="AS177" s="17"/>
      <c r="AT177" s="17"/>
      <c r="AU177" s="17"/>
      <c r="AV177" s="17"/>
      <c r="AW177" s="17"/>
      <c r="AX177" s="17"/>
      <c r="BB177" s="17"/>
    </row>
    <row r="178" spans="1:54" x14ac:dyDescent="0.2">
      <c r="A178" s="17" t="s">
        <v>41</v>
      </c>
      <c r="B178" s="18" t="s">
        <v>42</v>
      </c>
      <c r="C178" s="18" t="str">
        <f t="shared" si="45"/>
        <v>BI10.5</v>
      </c>
      <c r="D178" s="18" t="str">
        <f t="shared" si="46"/>
        <v>BI10.5_177</v>
      </c>
      <c r="E178" s="17">
        <v>5</v>
      </c>
      <c r="F178" s="19">
        <v>177</v>
      </c>
      <c r="G178" s="20">
        <v>2.6</v>
      </c>
      <c r="H178" s="20">
        <v>2.7</v>
      </c>
      <c r="I178" s="20">
        <v>1</v>
      </c>
      <c r="J178" s="20">
        <f t="shared" si="44"/>
        <v>5.512662500000002</v>
      </c>
      <c r="K178" s="53">
        <v>0.19124999999999978</v>
      </c>
      <c r="L178" s="20">
        <f t="shared" si="56"/>
        <v>9.9799999999999613</v>
      </c>
      <c r="M178" s="20">
        <f t="shared" si="55"/>
        <v>10.979999999999961</v>
      </c>
      <c r="N178" s="20">
        <f t="shared" si="55"/>
        <v>10.479999999999961</v>
      </c>
      <c r="O178" s="20">
        <f>P177+$AO$175</f>
        <v>169.97999999999996</v>
      </c>
      <c r="P178" s="20">
        <f t="shared" si="60"/>
        <v>170.97999999999996</v>
      </c>
      <c r="Q178" s="20">
        <f t="shared" si="54"/>
        <v>170.47999999999996</v>
      </c>
      <c r="R178" s="20">
        <f t="shared" si="57"/>
        <v>162.47999999999996</v>
      </c>
      <c r="S178" s="20">
        <f t="shared" si="58"/>
        <v>163.47999999999996</v>
      </c>
      <c r="T178" s="20">
        <f t="shared" si="59"/>
        <v>162.97999999999996</v>
      </c>
      <c r="U178" s="20">
        <v>162.97999999999996</v>
      </c>
      <c r="V178" s="22">
        <v>7.2286999999999999</v>
      </c>
      <c r="W178" s="22">
        <v>1.9981</v>
      </c>
      <c r="X178" s="23">
        <v>1.1476266666666668</v>
      </c>
      <c r="Y178" s="23">
        <f t="shared" si="47"/>
        <v>6.0810733333333333</v>
      </c>
      <c r="Z178" s="23">
        <f t="shared" si="48"/>
        <v>0.85047333333333319</v>
      </c>
      <c r="AA178" s="22">
        <f t="shared" si="49"/>
        <v>86.014420699854526</v>
      </c>
      <c r="AB178" s="22">
        <f t="shared" si="50"/>
        <v>13.985579300145474</v>
      </c>
      <c r="AC178" s="22">
        <f t="shared" si="51"/>
        <v>1.1031100368167526</v>
      </c>
      <c r="AD178" s="22">
        <f t="shared" si="52"/>
        <v>0.15427632896687088</v>
      </c>
      <c r="AE178" s="24">
        <v>5.1844400000000004</v>
      </c>
      <c r="AF178" s="24">
        <v>5.5576999999999996</v>
      </c>
      <c r="AG178" s="24">
        <v>5.2313000000000001</v>
      </c>
      <c r="AH178" s="25">
        <f>AG178-AE178</f>
        <v>4.685999999999968E-2</v>
      </c>
      <c r="AI178" s="25">
        <v>87.445748271982055</v>
      </c>
      <c r="AJ178" s="26">
        <v>4.3722874135991026</v>
      </c>
      <c r="AK178" s="25">
        <v>43.722874135991027</v>
      </c>
      <c r="AL178" s="26">
        <v>4.373213604103638</v>
      </c>
      <c r="AM178" s="17">
        <f t="shared" si="53"/>
        <v>0.5780346820809249</v>
      </c>
      <c r="AN178" s="17"/>
      <c r="AO178" s="27"/>
      <c r="AP178" s="17"/>
      <c r="AQ178" s="17"/>
      <c r="AR178" s="17"/>
      <c r="AS178" s="17"/>
      <c r="AT178" s="17"/>
      <c r="AU178" s="17"/>
      <c r="AV178" s="17"/>
      <c r="AW178" s="17"/>
      <c r="AX178" s="17"/>
      <c r="BB178" s="17"/>
    </row>
    <row r="179" spans="1:54" x14ac:dyDescent="0.2">
      <c r="A179" s="17" t="s">
        <v>41</v>
      </c>
      <c r="B179" s="18" t="s">
        <v>42</v>
      </c>
      <c r="C179" s="18" t="str">
        <f t="shared" si="45"/>
        <v>BI10.5</v>
      </c>
      <c r="D179" s="18" t="str">
        <f t="shared" si="46"/>
        <v>BI10.5_178</v>
      </c>
      <c r="E179" s="17">
        <v>5</v>
      </c>
      <c r="F179" s="19">
        <v>178</v>
      </c>
      <c r="G179" s="20">
        <v>2.65</v>
      </c>
      <c r="H179" s="20">
        <v>2.85</v>
      </c>
      <c r="I179" s="20">
        <v>0.95</v>
      </c>
      <c r="J179" s="20">
        <f t="shared" si="44"/>
        <v>5.6397343749999989</v>
      </c>
      <c r="K179" s="53">
        <v>0.19124999999999978</v>
      </c>
      <c r="L179" s="20">
        <f t="shared" si="56"/>
        <v>11.171249999999958</v>
      </c>
      <c r="M179" s="20">
        <f t="shared" si="55"/>
        <v>12.121249999999947</v>
      </c>
      <c r="N179" s="20">
        <f t="shared" si="55"/>
        <v>11.646249999999952</v>
      </c>
      <c r="O179" s="20">
        <f>P178+$AO$175</f>
        <v>171.17124999999996</v>
      </c>
      <c r="P179" s="20">
        <f t="shared" si="60"/>
        <v>172.12124999999995</v>
      </c>
      <c r="Q179" s="20">
        <f t="shared" si="54"/>
        <v>171.64624999999995</v>
      </c>
      <c r="R179" s="20">
        <f t="shared" si="57"/>
        <v>163.67124999999996</v>
      </c>
      <c r="S179" s="20">
        <f t="shared" si="58"/>
        <v>164.62124999999995</v>
      </c>
      <c r="T179" s="20">
        <f t="shared" si="59"/>
        <v>164.14624999999995</v>
      </c>
      <c r="U179" s="20">
        <v>164.14624999999995</v>
      </c>
      <c r="V179" s="22">
        <v>7.3605999999999998</v>
      </c>
      <c r="W179" s="22">
        <v>2.0329000000000002</v>
      </c>
      <c r="X179" s="23">
        <v>1.1476266666666668</v>
      </c>
      <c r="Y179" s="23">
        <f t="shared" si="47"/>
        <v>6.2129733333333332</v>
      </c>
      <c r="Z179" s="23">
        <f t="shared" si="48"/>
        <v>0.88527333333333336</v>
      </c>
      <c r="AA179" s="22">
        <f t="shared" si="49"/>
        <v>85.751213053116814</v>
      </c>
      <c r="AB179" s="22">
        <f t="shared" si="50"/>
        <v>14.248786946883186</v>
      </c>
      <c r="AC179" s="22">
        <f t="shared" si="51"/>
        <v>1.1016429002178554</v>
      </c>
      <c r="AD179" s="22">
        <f t="shared" si="52"/>
        <v>0.15697074976750719</v>
      </c>
      <c r="AE179" s="24">
        <v>5.5283899999999999</v>
      </c>
      <c r="AF179" s="24">
        <v>5.8741000000000003</v>
      </c>
      <c r="AG179" s="24">
        <v>5.5709</v>
      </c>
      <c r="AH179" s="25">
        <f>AG179-AE179</f>
        <v>4.2510000000000048E-2</v>
      </c>
      <c r="AI179" s="25">
        <v>87.703566573139341</v>
      </c>
      <c r="AJ179" s="26">
        <v>4.3851783286569672</v>
      </c>
      <c r="AK179" s="25">
        <v>43.85178328656967</v>
      </c>
      <c r="AL179" s="26">
        <v>4.3861017970542715</v>
      </c>
      <c r="AM179" s="17">
        <f t="shared" si="53"/>
        <v>0.5780346820809249</v>
      </c>
      <c r="AN179" s="17"/>
      <c r="AO179" s="27"/>
      <c r="AP179" s="17"/>
      <c r="AQ179" s="17"/>
      <c r="AR179" s="17"/>
      <c r="AS179" s="17"/>
      <c r="AT179" s="17"/>
      <c r="AU179" s="17"/>
      <c r="AV179" s="17"/>
      <c r="AW179" s="17"/>
      <c r="AX179" s="17"/>
      <c r="BB179" s="17"/>
    </row>
    <row r="180" spans="1:54" x14ac:dyDescent="0.2">
      <c r="A180" s="17" t="s">
        <v>41</v>
      </c>
      <c r="B180" s="18" t="s">
        <v>42</v>
      </c>
      <c r="C180" s="18" t="str">
        <f t="shared" si="45"/>
        <v>BI10.5</v>
      </c>
      <c r="D180" s="18" t="str">
        <f t="shared" si="46"/>
        <v>BI10.5_179</v>
      </c>
      <c r="E180" s="17">
        <v>5</v>
      </c>
      <c r="F180" s="19">
        <v>179</v>
      </c>
      <c r="G180" s="20">
        <v>2.5499999999999998</v>
      </c>
      <c r="H180" s="20">
        <v>2.5499999999999998</v>
      </c>
      <c r="I180" s="20">
        <v>1</v>
      </c>
      <c r="J180" s="20">
        <f t="shared" si="44"/>
        <v>5.1044624999999995</v>
      </c>
      <c r="K180" s="53">
        <v>0.19124999999999978</v>
      </c>
      <c r="L180" s="20">
        <f t="shared" si="56"/>
        <v>12.312499999999943</v>
      </c>
      <c r="M180" s="20">
        <f t="shared" si="55"/>
        <v>13.312499999999943</v>
      </c>
      <c r="N180" s="20">
        <f t="shared" si="55"/>
        <v>12.812499999999943</v>
      </c>
      <c r="O180" s="20">
        <f>P179+$AO$175</f>
        <v>172.31249999999994</v>
      </c>
      <c r="P180" s="20">
        <f t="shared" si="60"/>
        <v>173.31249999999994</v>
      </c>
      <c r="Q180" s="20">
        <f t="shared" si="54"/>
        <v>172.81249999999994</v>
      </c>
      <c r="R180" s="20">
        <f t="shared" si="57"/>
        <v>164.81249999999994</v>
      </c>
      <c r="S180" s="20">
        <f t="shared" si="58"/>
        <v>165.81249999999994</v>
      </c>
      <c r="T180" s="20">
        <f t="shared" si="59"/>
        <v>165.31249999999994</v>
      </c>
      <c r="U180" s="20">
        <v>165.31249999999994</v>
      </c>
      <c r="V180" s="22">
        <v>6.8513000000000002</v>
      </c>
      <c r="W180" s="22">
        <v>1.9592000000000001</v>
      </c>
      <c r="X180" s="23">
        <v>1.1476266666666668</v>
      </c>
      <c r="Y180" s="23">
        <f t="shared" si="47"/>
        <v>5.7036733333333336</v>
      </c>
      <c r="Z180" s="23">
        <f t="shared" si="48"/>
        <v>0.81157333333333326</v>
      </c>
      <c r="AA180" s="22">
        <f t="shared" si="49"/>
        <v>85.771041118530633</v>
      </c>
      <c r="AB180" s="22">
        <f t="shared" si="50"/>
        <v>14.228958881469367</v>
      </c>
      <c r="AC180" s="22">
        <f t="shared" si="51"/>
        <v>1.1173896043576252</v>
      </c>
      <c r="AD180" s="22">
        <f t="shared" si="52"/>
        <v>0.15899290734985971</v>
      </c>
      <c r="AE180" s="24">
        <v>5.3562900000000004</v>
      </c>
      <c r="AF180" s="24">
        <v>5.8292000000000002</v>
      </c>
      <c r="AG180" s="24">
        <v>5.4397000000000002</v>
      </c>
      <c r="AH180" s="25">
        <f>AG180-AE180</f>
        <v>8.3409999999999762E-2</v>
      </c>
      <c r="AI180" s="25">
        <v>82.362394535958259</v>
      </c>
      <c r="AJ180" s="26">
        <v>4.1181197267979135</v>
      </c>
      <c r="AK180" s="25">
        <v>41.18119726797913</v>
      </c>
      <c r="AL180" s="26">
        <v>4.1191030679314302</v>
      </c>
      <c r="AM180" s="17">
        <f t="shared" si="53"/>
        <v>0.5780346820809249</v>
      </c>
      <c r="AN180" s="17"/>
      <c r="AO180" s="27"/>
      <c r="AP180" s="17"/>
      <c r="AQ180" s="17"/>
      <c r="AR180" s="17"/>
      <c r="AS180" s="17"/>
      <c r="AT180" s="17"/>
      <c r="AU180" s="17"/>
      <c r="AV180" s="17"/>
      <c r="AW180" s="17"/>
      <c r="AX180" s="17"/>
      <c r="BB180" s="17"/>
    </row>
    <row r="181" spans="1:54" x14ac:dyDescent="0.2">
      <c r="A181" s="17" t="s">
        <v>41</v>
      </c>
      <c r="B181" s="18" t="s">
        <v>42</v>
      </c>
      <c r="C181" s="18" t="str">
        <f t="shared" si="45"/>
        <v>BI10.5</v>
      </c>
      <c r="D181" s="18" t="str">
        <f t="shared" si="46"/>
        <v>BI10.5_180</v>
      </c>
      <c r="E181" s="17">
        <v>5</v>
      </c>
      <c r="F181" s="19">
        <v>180</v>
      </c>
      <c r="G181" s="20">
        <v>2.65</v>
      </c>
      <c r="H181" s="20">
        <v>2.65</v>
      </c>
      <c r="I181" s="20">
        <v>0.95</v>
      </c>
      <c r="J181" s="20">
        <f t="shared" si="44"/>
        <v>5.2370293749999997</v>
      </c>
      <c r="K181" s="53">
        <v>0.19124999999999978</v>
      </c>
      <c r="L181" s="20">
        <f t="shared" si="56"/>
        <v>13.50374999999994</v>
      </c>
      <c r="M181" s="20">
        <f t="shared" si="55"/>
        <v>14.453749999999928</v>
      </c>
      <c r="N181" s="20">
        <f t="shared" si="55"/>
        <v>13.978749999999934</v>
      </c>
      <c r="O181" s="20">
        <f>P180+$AO$175</f>
        <v>173.50374999999994</v>
      </c>
      <c r="P181" s="20">
        <f t="shared" si="60"/>
        <v>174.45374999999993</v>
      </c>
      <c r="Q181" s="20">
        <f t="shared" si="54"/>
        <v>173.97874999999993</v>
      </c>
      <c r="R181" s="20">
        <f t="shared" si="57"/>
        <v>166.00374999999994</v>
      </c>
      <c r="S181" s="20">
        <f t="shared" si="58"/>
        <v>166.95374999999993</v>
      </c>
      <c r="T181" s="20">
        <f t="shared" si="59"/>
        <v>166.47874999999993</v>
      </c>
      <c r="U181" s="20">
        <v>166.47874999999993</v>
      </c>
      <c r="V181" s="22">
        <v>6.8231000000000002</v>
      </c>
      <c r="W181" s="22">
        <v>1.9522999999999999</v>
      </c>
      <c r="X181" s="23">
        <v>1.1476266666666668</v>
      </c>
      <c r="Y181" s="23">
        <f t="shared" si="47"/>
        <v>5.6754733333333336</v>
      </c>
      <c r="Z181" s="23">
        <f t="shared" si="48"/>
        <v>0.80467333333333313</v>
      </c>
      <c r="AA181" s="22">
        <f t="shared" si="49"/>
        <v>85.821916762302365</v>
      </c>
      <c r="AB181" s="22">
        <f t="shared" si="50"/>
        <v>14.178083237697635</v>
      </c>
      <c r="AC181" s="22">
        <f t="shared" si="51"/>
        <v>1.0837199730874785</v>
      </c>
      <c r="AD181" s="22">
        <f t="shared" si="52"/>
        <v>0.15365071984789722</v>
      </c>
      <c r="AE181" s="24">
        <v>5.8247200000000001</v>
      </c>
      <c r="AF181" s="24">
        <v>6.1708999999999996</v>
      </c>
      <c r="AG181" s="24">
        <v>5.8849999999999998</v>
      </c>
      <c r="AH181" s="25">
        <f>AG181-AE181</f>
        <v>6.0279999999999667E-2</v>
      </c>
      <c r="AI181" s="25">
        <v>82.587093419608365</v>
      </c>
      <c r="AJ181" s="26">
        <v>4.1293546709804181</v>
      </c>
      <c r="AK181" s="25">
        <v>41.293546709804183</v>
      </c>
      <c r="AL181" s="26">
        <v>4.1303353373240528</v>
      </c>
      <c r="AM181" s="17">
        <f t="shared" si="53"/>
        <v>0.5780346820809249</v>
      </c>
      <c r="AN181" s="17"/>
      <c r="AO181" s="27"/>
      <c r="AP181" s="17"/>
      <c r="AQ181" s="17"/>
      <c r="AR181" s="17"/>
      <c r="AS181" s="17"/>
      <c r="AT181" s="17"/>
      <c r="AU181" s="17"/>
      <c r="AV181" s="17"/>
      <c r="AW181" s="17"/>
      <c r="AX181" s="17"/>
      <c r="BB181" s="17"/>
    </row>
    <row r="182" spans="1:54" x14ac:dyDescent="0.2">
      <c r="A182" s="17" t="s">
        <v>41</v>
      </c>
      <c r="B182" s="18" t="s">
        <v>42</v>
      </c>
      <c r="C182" s="18" t="str">
        <f t="shared" si="45"/>
        <v>BI10.5</v>
      </c>
      <c r="D182" s="18" t="str">
        <f t="shared" si="46"/>
        <v>BI10.5_181</v>
      </c>
      <c r="E182" s="17">
        <v>5</v>
      </c>
      <c r="F182" s="19">
        <v>181</v>
      </c>
      <c r="G182" s="20">
        <v>2.7</v>
      </c>
      <c r="H182" s="20">
        <v>2.65</v>
      </c>
      <c r="I182" s="20">
        <v>1</v>
      </c>
      <c r="J182" s="20">
        <f t="shared" si="44"/>
        <v>5.6171656249999993</v>
      </c>
      <c r="K182" s="53">
        <v>0.19124999999999978</v>
      </c>
      <c r="L182" s="20">
        <f t="shared" si="56"/>
        <v>14.644999999999925</v>
      </c>
      <c r="M182" s="20">
        <f t="shared" si="55"/>
        <v>15.644999999999925</v>
      </c>
      <c r="N182" s="20">
        <f t="shared" si="55"/>
        <v>15.144999999999925</v>
      </c>
      <c r="O182" s="20">
        <f>P181+$AO$175</f>
        <v>174.64499999999992</v>
      </c>
      <c r="P182" s="20">
        <f t="shared" si="60"/>
        <v>175.64499999999992</v>
      </c>
      <c r="Q182" s="20">
        <f t="shared" si="54"/>
        <v>175.14499999999992</v>
      </c>
      <c r="R182" s="20">
        <f t="shared" si="57"/>
        <v>167.14499999999992</v>
      </c>
      <c r="S182" s="20">
        <f t="shared" si="58"/>
        <v>168.14499999999992</v>
      </c>
      <c r="T182" s="20">
        <f t="shared" si="59"/>
        <v>167.64499999999992</v>
      </c>
      <c r="U182" s="20">
        <v>167.64499999999992</v>
      </c>
      <c r="V182" s="22">
        <v>7.2301000000000002</v>
      </c>
      <c r="W182" s="22">
        <v>2.0223</v>
      </c>
      <c r="X182" s="23">
        <v>1.1476266666666668</v>
      </c>
      <c r="Y182" s="23">
        <f t="shared" si="47"/>
        <v>6.0824733333333336</v>
      </c>
      <c r="Z182" s="23">
        <f t="shared" si="48"/>
        <v>0.87467333333333319</v>
      </c>
      <c r="AA182" s="22">
        <f t="shared" si="49"/>
        <v>85.619775288780559</v>
      </c>
      <c r="AB182" s="22">
        <f t="shared" si="50"/>
        <v>14.380224711219441</v>
      </c>
      <c r="AC182" s="22">
        <f t="shared" si="51"/>
        <v>1.0828367435459649</v>
      </c>
      <c r="AD182" s="22">
        <f t="shared" si="52"/>
        <v>0.15571435697756078</v>
      </c>
      <c r="AE182" s="24">
        <v>4.7576999999999998</v>
      </c>
      <c r="AF182" s="24">
        <v>5.0937999999999999</v>
      </c>
      <c r="AG182" s="24">
        <v>4.8005000000000004</v>
      </c>
      <c r="AH182" s="25">
        <f>AG182-AE182</f>
        <v>4.2800000000000615E-2</v>
      </c>
      <c r="AI182" s="25">
        <v>87.265694733710021</v>
      </c>
      <c r="AJ182" s="26">
        <v>4.3632847366855012</v>
      </c>
      <c r="AK182" s="25">
        <v>43.63284736685501</v>
      </c>
      <c r="AL182" s="26">
        <v>4.3642128377741463</v>
      </c>
      <c r="AM182" s="17">
        <f t="shared" si="53"/>
        <v>0.5780346820809249</v>
      </c>
      <c r="AN182" s="17"/>
      <c r="AO182" s="27"/>
      <c r="AP182" s="17"/>
      <c r="AQ182" s="17"/>
      <c r="AR182" s="17"/>
      <c r="AS182" s="17"/>
      <c r="AT182" s="17"/>
      <c r="AU182" s="17"/>
      <c r="AV182" s="17"/>
      <c r="AW182" s="17"/>
      <c r="AX182" s="17"/>
      <c r="BB182" s="17"/>
    </row>
    <row r="183" spans="1:54" x14ac:dyDescent="0.2">
      <c r="A183" s="17" t="s">
        <v>41</v>
      </c>
      <c r="B183" s="18" t="s">
        <v>42</v>
      </c>
      <c r="C183" s="18" t="str">
        <f t="shared" si="45"/>
        <v>BI10.5</v>
      </c>
      <c r="D183" s="18" t="str">
        <f t="shared" si="46"/>
        <v>BI10.5_182</v>
      </c>
      <c r="E183" s="17">
        <v>5</v>
      </c>
      <c r="F183" s="19">
        <v>182</v>
      </c>
      <c r="G183" s="20">
        <v>2.4</v>
      </c>
      <c r="H183" s="20">
        <v>2.6</v>
      </c>
      <c r="I183" s="20">
        <v>1.05</v>
      </c>
      <c r="J183" s="20">
        <f t="shared" si="44"/>
        <v>5.1515625000000007</v>
      </c>
      <c r="K183" s="53">
        <v>0.19124999999999978</v>
      </c>
      <c r="L183" s="20">
        <f t="shared" si="56"/>
        <v>15.836249999999922</v>
      </c>
      <c r="M183" s="20">
        <f t="shared" si="55"/>
        <v>16.886249999999933</v>
      </c>
      <c r="N183" s="20">
        <f t="shared" si="55"/>
        <v>16.361249999999927</v>
      </c>
      <c r="O183" s="20">
        <f>P182+$AO$175</f>
        <v>175.83624999999992</v>
      </c>
      <c r="P183" s="20">
        <f t="shared" si="60"/>
        <v>176.88624999999993</v>
      </c>
      <c r="Q183" s="20">
        <f t="shared" si="54"/>
        <v>176.36124999999993</v>
      </c>
      <c r="R183" s="20">
        <f t="shared" si="57"/>
        <v>168.33624999999992</v>
      </c>
      <c r="S183" s="20">
        <f t="shared" si="58"/>
        <v>169.38624999999993</v>
      </c>
      <c r="T183" s="20">
        <f t="shared" si="59"/>
        <v>168.86124999999993</v>
      </c>
      <c r="U183" s="20">
        <v>168.86124999999993</v>
      </c>
      <c r="V183" s="22">
        <v>7.4969999999999999</v>
      </c>
      <c r="W183" s="22">
        <v>1.9884999999999999</v>
      </c>
      <c r="X183" s="23">
        <v>1.1476266666666668</v>
      </c>
      <c r="Y183" s="23">
        <f t="shared" si="47"/>
        <v>6.3493733333333333</v>
      </c>
      <c r="Z183" s="23">
        <f t="shared" si="48"/>
        <v>0.84087333333333314</v>
      </c>
      <c r="AA183" s="22">
        <f t="shared" si="49"/>
        <v>86.756593301596169</v>
      </c>
      <c r="AB183" s="22">
        <f t="shared" si="50"/>
        <v>13.243406698403831</v>
      </c>
      <c r="AC183" s="22">
        <f t="shared" si="51"/>
        <v>1.2325140835102617</v>
      </c>
      <c r="AD183" s="22">
        <f t="shared" si="52"/>
        <v>0.16322685269436857</v>
      </c>
      <c r="AE183" s="24">
        <v>4.7782</v>
      </c>
      <c r="AF183" s="24">
        <v>5.1932</v>
      </c>
      <c r="AG183" s="24">
        <v>4.8480999999999996</v>
      </c>
      <c r="AH183" s="25">
        <f>AG183-AE183</f>
        <v>6.9899999999999629E-2</v>
      </c>
      <c r="AI183" s="25">
        <v>83.156626506024196</v>
      </c>
      <c r="AJ183" s="26">
        <v>4.1578313253012098</v>
      </c>
      <c r="AK183" s="25">
        <v>41.578313253012098</v>
      </c>
      <c r="AL183" s="26">
        <v>4.1588052767178239</v>
      </c>
      <c r="AM183" s="17">
        <f t="shared" si="53"/>
        <v>0.5780346820809249</v>
      </c>
      <c r="AN183" s="17"/>
      <c r="AO183" s="27"/>
      <c r="AP183" s="17"/>
      <c r="AQ183" s="17"/>
      <c r="AR183" s="17"/>
      <c r="AS183" s="17"/>
      <c r="AT183" s="17"/>
      <c r="AU183" s="17"/>
      <c r="AV183" s="17"/>
      <c r="AW183" s="17"/>
      <c r="AX183" s="17"/>
      <c r="BB183" s="17"/>
    </row>
    <row r="184" spans="1:54" x14ac:dyDescent="0.2">
      <c r="A184" s="17" t="s">
        <v>41</v>
      </c>
      <c r="B184" s="18" t="s">
        <v>42</v>
      </c>
      <c r="C184" s="18" t="str">
        <f t="shared" si="45"/>
        <v>BI10.5</v>
      </c>
      <c r="D184" s="18" t="str">
        <f t="shared" si="46"/>
        <v>BI10.5_183</v>
      </c>
      <c r="E184" s="17">
        <v>5</v>
      </c>
      <c r="F184" s="19">
        <v>183</v>
      </c>
      <c r="G184" s="20">
        <v>2.8</v>
      </c>
      <c r="H184" s="20">
        <v>2.5499999999999998</v>
      </c>
      <c r="I184" s="20">
        <v>1.05</v>
      </c>
      <c r="J184" s="20">
        <f t="shared" si="44"/>
        <v>5.8980239062499997</v>
      </c>
      <c r="K184" s="53">
        <v>0.19124999999999978</v>
      </c>
      <c r="L184" s="20">
        <f t="shared" si="56"/>
        <v>17.07749999999993</v>
      </c>
      <c r="M184" s="20">
        <f t="shared" si="55"/>
        <v>18.127499999999941</v>
      </c>
      <c r="N184" s="20">
        <f t="shared" si="55"/>
        <v>17.602499999999935</v>
      </c>
      <c r="O184" s="20">
        <f>P183+$AO$175</f>
        <v>177.07749999999993</v>
      </c>
      <c r="P184" s="20">
        <f t="shared" si="60"/>
        <v>178.12749999999994</v>
      </c>
      <c r="Q184" s="20">
        <f t="shared" si="54"/>
        <v>177.60249999999994</v>
      </c>
      <c r="R184" s="20">
        <f t="shared" si="57"/>
        <v>169.57749999999993</v>
      </c>
      <c r="S184" s="20">
        <f t="shared" si="58"/>
        <v>170.62749999999994</v>
      </c>
      <c r="T184" s="20">
        <f t="shared" si="59"/>
        <v>170.10249999999994</v>
      </c>
      <c r="U184" s="20">
        <v>170.10249999999994</v>
      </c>
      <c r="V184" s="22">
        <v>8.0646000000000004</v>
      </c>
      <c r="W184" s="22">
        <v>2.1042000000000001</v>
      </c>
      <c r="X184" s="23">
        <v>1.1476266666666668</v>
      </c>
      <c r="Y184" s="23">
        <f t="shared" si="47"/>
        <v>6.9169733333333339</v>
      </c>
      <c r="Z184" s="23">
        <f t="shared" si="48"/>
        <v>0.95657333333333328</v>
      </c>
      <c r="AA184" s="22">
        <f t="shared" si="49"/>
        <v>86.170637253673576</v>
      </c>
      <c r="AB184" s="22">
        <f t="shared" si="50"/>
        <v>13.829362746326424</v>
      </c>
      <c r="AC184" s="22">
        <f t="shared" si="51"/>
        <v>1.1727611558175572</v>
      </c>
      <c r="AD184" s="22">
        <f t="shared" si="52"/>
        <v>0.16218539438602048</v>
      </c>
      <c r="AE184" s="24">
        <v>4.7233000000000001</v>
      </c>
      <c r="AF184" s="24">
        <v>5.0983999999999998</v>
      </c>
      <c r="AG184" s="24">
        <v>4.7782999999999998</v>
      </c>
      <c r="AH184" s="25">
        <f>AG184-AE184</f>
        <v>5.4999999999999716E-2</v>
      </c>
      <c r="AI184" s="25">
        <v>85.337243401759594</v>
      </c>
      <c r="AJ184" s="26">
        <v>4.2668621700879799</v>
      </c>
      <c r="AK184" s="25">
        <v>42.668621700879797</v>
      </c>
      <c r="AL184" s="26">
        <v>4.2678112397958632</v>
      </c>
      <c r="AM184" s="17">
        <f t="shared" si="53"/>
        <v>0.5780346820809249</v>
      </c>
      <c r="AN184" s="17"/>
      <c r="AO184" s="27"/>
      <c r="AP184" s="17"/>
      <c r="AQ184" s="17"/>
      <c r="AR184" s="17"/>
      <c r="AS184" s="17"/>
      <c r="AT184" s="17"/>
      <c r="AU184" s="17"/>
      <c r="AV184" s="17"/>
      <c r="AW184" s="17"/>
      <c r="AX184" s="17"/>
      <c r="BB184" s="17"/>
    </row>
    <row r="185" spans="1:54" x14ac:dyDescent="0.2">
      <c r="A185" s="17" t="s">
        <v>41</v>
      </c>
      <c r="B185" s="18" t="s">
        <v>42</v>
      </c>
      <c r="C185" s="18" t="str">
        <f t="shared" si="45"/>
        <v>BI10.5</v>
      </c>
      <c r="D185" s="18" t="str">
        <f t="shared" si="46"/>
        <v>BI10.5_184</v>
      </c>
      <c r="E185" s="17">
        <v>5</v>
      </c>
      <c r="F185" s="19">
        <v>184</v>
      </c>
      <c r="G185" s="20">
        <v>2.65</v>
      </c>
      <c r="H185" s="20">
        <v>2.5499999999999998</v>
      </c>
      <c r="I185" s="20">
        <v>1</v>
      </c>
      <c r="J185" s="20">
        <f t="shared" si="44"/>
        <v>5.3065999999999987</v>
      </c>
      <c r="K185" s="53">
        <v>0.19124999999999978</v>
      </c>
      <c r="L185" s="20">
        <f t="shared" si="56"/>
        <v>18.318749999999937</v>
      </c>
      <c r="M185" s="20">
        <f t="shared" si="55"/>
        <v>19.318749999999937</v>
      </c>
      <c r="N185" s="20">
        <f t="shared" si="55"/>
        <v>18.818749999999937</v>
      </c>
      <c r="O185" s="20">
        <f>P184+$AO$175</f>
        <v>178.31874999999994</v>
      </c>
      <c r="P185" s="20">
        <f t="shared" si="60"/>
        <v>179.31874999999994</v>
      </c>
      <c r="Q185" s="20">
        <f t="shared" si="54"/>
        <v>178.81874999999994</v>
      </c>
      <c r="R185" s="20">
        <f t="shared" si="57"/>
        <v>170.81874999999994</v>
      </c>
      <c r="S185" s="20">
        <f t="shared" si="58"/>
        <v>171.81874999999994</v>
      </c>
      <c r="T185" s="20">
        <f t="shared" si="59"/>
        <v>171.31874999999994</v>
      </c>
      <c r="U185" s="20">
        <v>171.31874999999994</v>
      </c>
      <c r="V185" s="22">
        <v>7.3874000000000004</v>
      </c>
      <c r="W185" s="22">
        <v>2.0135999999999998</v>
      </c>
      <c r="X185" s="23">
        <v>1.1476266666666668</v>
      </c>
      <c r="Y185" s="23">
        <f t="shared" si="47"/>
        <v>6.2397733333333338</v>
      </c>
      <c r="Z185" s="23">
        <f t="shared" si="48"/>
        <v>0.86597333333333304</v>
      </c>
      <c r="AA185" s="22">
        <f t="shared" si="49"/>
        <v>86.121718096597533</v>
      </c>
      <c r="AB185" s="22">
        <f t="shared" si="50"/>
        <v>13.878281903402467</v>
      </c>
      <c r="AC185" s="22">
        <f t="shared" si="51"/>
        <v>1.1758514554202946</v>
      </c>
      <c r="AD185" s="22">
        <f t="shared" si="52"/>
        <v>0.16318797974848928</v>
      </c>
      <c r="AE185" s="24">
        <v>4.7683999999999997</v>
      </c>
      <c r="AF185" s="24">
        <v>5.0780000000000003</v>
      </c>
      <c r="AG185" s="24">
        <v>4.8044000000000002</v>
      </c>
      <c r="AH185" s="25">
        <f>AG185-AE185</f>
        <v>3.6000000000000476E-2</v>
      </c>
      <c r="AI185" s="25">
        <v>88.372093023255687</v>
      </c>
      <c r="AJ185" s="26">
        <v>4.4186046511627843</v>
      </c>
      <c r="AK185" s="25">
        <v>44.186046511627843</v>
      </c>
      <c r="AL185" s="26">
        <v>4.4195211350640005</v>
      </c>
      <c r="AM185" s="17">
        <f t="shared" si="53"/>
        <v>0.5780346820809249</v>
      </c>
      <c r="AN185" s="17"/>
      <c r="AO185" s="27"/>
      <c r="AP185" s="17"/>
      <c r="AQ185" s="17"/>
      <c r="AR185" s="17"/>
      <c r="AS185" s="17"/>
      <c r="AT185" s="17"/>
      <c r="AU185" s="17"/>
      <c r="AV185" s="17"/>
      <c r="AW185" s="17"/>
      <c r="AX185" s="17"/>
      <c r="BB185" s="17"/>
    </row>
    <row r="186" spans="1:54" x14ac:dyDescent="0.2">
      <c r="A186" s="17" t="s">
        <v>41</v>
      </c>
      <c r="B186" s="18" t="s">
        <v>42</v>
      </c>
      <c r="C186" s="18" t="str">
        <f t="shared" si="45"/>
        <v>BI10.5</v>
      </c>
      <c r="D186" s="18" t="str">
        <f t="shared" si="46"/>
        <v>BI10.5_185</v>
      </c>
      <c r="E186" s="17">
        <v>5</v>
      </c>
      <c r="F186" s="19">
        <v>185</v>
      </c>
      <c r="G186" s="20">
        <v>2.5</v>
      </c>
      <c r="H186" s="20">
        <v>2.5</v>
      </c>
      <c r="I186" s="20">
        <v>1</v>
      </c>
      <c r="J186" s="20">
        <f t="shared" si="44"/>
        <v>4.90625</v>
      </c>
      <c r="K186" s="53">
        <v>0.19124999999999978</v>
      </c>
      <c r="L186" s="20">
        <f t="shared" si="56"/>
        <v>19.509999999999934</v>
      </c>
      <c r="M186" s="20">
        <f t="shared" si="56"/>
        <v>20.509999999999934</v>
      </c>
      <c r="N186" s="20">
        <f t="shared" si="56"/>
        <v>20.009999999999934</v>
      </c>
      <c r="O186" s="20">
        <f>P185+$AO$175</f>
        <v>179.50999999999993</v>
      </c>
      <c r="P186" s="20">
        <f t="shared" si="60"/>
        <v>180.50999999999993</v>
      </c>
      <c r="Q186" s="20">
        <f t="shared" si="54"/>
        <v>180.00999999999993</v>
      </c>
      <c r="R186" s="20">
        <f t="shared" si="57"/>
        <v>172.00999999999993</v>
      </c>
      <c r="S186" s="20">
        <f t="shared" si="58"/>
        <v>173.00999999999993</v>
      </c>
      <c r="T186" s="20">
        <f t="shared" si="59"/>
        <v>172.50999999999993</v>
      </c>
      <c r="U186" s="20">
        <v>172.50999999999993</v>
      </c>
      <c r="V186" s="22">
        <v>6.5875000000000004</v>
      </c>
      <c r="W186" s="22">
        <v>1.9091</v>
      </c>
      <c r="X186" s="23">
        <v>1.1476266666666668</v>
      </c>
      <c r="Y186" s="23">
        <f t="shared" si="47"/>
        <v>5.4398733333333338</v>
      </c>
      <c r="Z186" s="23">
        <f t="shared" si="48"/>
        <v>0.76147333333333322</v>
      </c>
      <c r="AA186" s="22">
        <f t="shared" si="49"/>
        <v>86.00200249760718</v>
      </c>
      <c r="AB186" s="22">
        <f t="shared" si="50"/>
        <v>13.99799750239282</v>
      </c>
      <c r="AC186" s="22">
        <f t="shared" si="51"/>
        <v>1.108763991507431</v>
      </c>
      <c r="AD186" s="22">
        <f t="shared" si="52"/>
        <v>0.15520475583864116</v>
      </c>
      <c r="AE186" s="24">
        <v>4.8948</v>
      </c>
      <c r="AF186" s="24">
        <v>5.2679</v>
      </c>
      <c r="AG186" s="24">
        <v>4.9516999999999998</v>
      </c>
      <c r="AH186" s="25">
        <f>AG186-AE186</f>
        <v>5.6899999999999729E-2</v>
      </c>
      <c r="AI186" s="25">
        <v>84.749396944518978</v>
      </c>
      <c r="AJ186" s="26">
        <v>4.2374698472259489</v>
      </c>
      <c r="AK186" s="25">
        <v>42.374698472259489</v>
      </c>
      <c r="AL186" s="26">
        <v>4.2384254984780734</v>
      </c>
      <c r="AM186" s="17">
        <f t="shared" si="53"/>
        <v>0.5780346820809249</v>
      </c>
      <c r="AN186" s="17"/>
      <c r="AO186" s="27"/>
      <c r="AP186" s="17"/>
      <c r="AQ186" s="17"/>
      <c r="AR186" s="17"/>
      <c r="AS186" s="17"/>
      <c r="AT186" s="17"/>
      <c r="AU186" s="17"/>
      <c r="AV186" s="17"/>
      <c r="AW186" s="17"/>
      <c r="AX186" s="17"/>
      <c r="BB186" s="17"/>
    </row>
    <row r="187" spans="1:54" x14ac:dyDescent="0.2">
      <c r="A187" s="17" t="s">
        <v>41</v>
      </c>
      <c r="B187" s="18" t="s">
        <v>42</v>
      </c>
      <c r="C187" s="18" t="str">
        <f t="shared" si="45"/>
        <v>BI10.5</v>
      </c>
      <c r="D187" s="18" t="str">
        <f t="shared" si="46"/>
        <v>BI10.5_186</v>
      </c>
      <c r="E187" s="17">
        <v>5</v>
      </c>
      <c r="F187" s="19">
        <v>186</v>
      </c>
      <c r="G187" s="20">
        <v>2.5499999999999998</v>
      </c>
      <c r="H187" s="20">
        <v>2.7</v>
      </c>
      <c r="I187" s="20">
        <v>0.9</v>
      </c>
      <c r="J187" s="20">
        <f t="shared" si="44"/>
        <v>4.8682265624999994</v>
      </c>
      <c r="K187" s="53">
        <v>0.19124999999999978</v>
      </c>
      <c r="L187" s="20">
        <f t="shared" si="56"/>
        <v>20.701249999999931</v>
      </c>
      <c r="M187" s="20">
        <f t="shared" si="56"/>
        <v>21.601249999999936</v>
      </c>
      <c r="N187" s="20">
        <f t="shared" si="56"/>
        <v>21.151249999999948</v>
      </c>
      <c r="O187" s="20">
        <f>P186+$AO$175</f>
        <v>180.70124999999993</v>
      </c>
      <c r="P187" s="20">
        <f t="shared" si="60"/>
        <v>181.60124999999994</v>
      </c>
      <c r="Q187" s="20">
        <f t="shared" si="54"/>
        <v>181.15124999999995</v>
      </c>
      <c r="R187" s="20">
        <f t="shared" si="57"/>
        <v>173.20124999999993</v>
      </c>
      <c r="S187" s="20">
        <f t="shared" si="58"/>
        <v>174.10124999999994</v>
      </c>
      <c r="T187" s="20">
        <f t="shared" si="59"/>
        <v>173.65124999999995</v>
      </c>
      <c r="U187" s="20">
        <v>173.65124999999995</v>
      </c>
      <c r="V187" s="22">
        <v>7.0126999999999997</v>
      </c>
      <c r="W187" s="22">
        <v>1.94</v>
      </c>
      <c r="X187" s="23">
        <v>1.1476266666666668</v>
      </c>
      <c r="Y187" s="23">
        <f t="shared" si="47"/>
        <v>5.8650733333333331</v>
      </c>
      <c r="Z187" s="23">
        <f t="shared" si="48"/>
        <v>0.79237333333333315</v>
      </c>
      <c r="AA187" s="22">
        <f t="shared" si="49"/>
        <v>86.489967161535915</v>
      </c>
      <c r="AB187" s="22">
        <f t="shared" si="50"/>
        <v>13.510032838464085</v>
      </c>
      <c r="AC187" s="22">
        <f t="shared" si="51"/>
        <v>1.2047658953492542</v>
      </c>
      <c r="AD187" s="22">
        <f t="shared" si="52"/>
        <v>0.16276426808830002</v>
      </c>
      <c r="AE187" s="24">
        <v>5.0422000000000002</v>
      </c>
      <c r="AF187" s="24">
        <v>5.3526999999999996</v>
      </c>
      <c r="AG187" s="24">
        <v>5.0816999999999997</v>
      </c>
      <c r="AH187" s="25">
        <f>AG187-AE187</f>
        <v>3.9499999999999424E-2</v>
      </c>
      <c r="AI187" s="25">
        <v>87.278582930756997</v>
      </c>
      <c r="AJ187" s="26">
        <v>4.36392914653785</v>
      </c>
      <c r="AK187" s="25">
        <v>43.639291465378498</v>
      </c>
      <c r="AL187" s="26">
        <v>4.3648571106054055</v>
      </c>
      <c r="AM187" s="17">
        <f t="shared" si="53"/>
        <v>0.5780346820809249</v>
      </c>
      <c r="AN187" s="17"/>
      <c r="AO187" s="27"/>
      <c r="AP187" s="17"/>
      <c r="AQ187" s="17"/>
      <c r="AR187" s="17"/>
      <c r="AS187" s="17"/>
      <c r="AT187" s="17"/>
      <c r="AU187" s="17"/>
      <c r="AV187" s="17"/>
      <c r="AW187" s="17"/>
      <c r="AX187" s="17"/>
      <c r="BB187" s="17"/>
    </row>
    <row r="188" spans="1:54" x14ac:dyDescent="0.2">
      <c r="A188" s="17" t="s">
        <v>41</v>
      </c>
      <c r="B188" s="18" t="s">
        <v>42</v>
      </c>
      <c r="C188" s="18" t="str">
        <f t="shared" si="45"/>
        <v>BI10.5</v>
      </c>
      <c r="D188" s="18" t="str">
        <f t="shared" si="46"/>
        <v>BI10.5_187</v>
      </c>
      <c r="E188" s="17">
        <v>5</v>
      </c>
      <c r="F188" s="19">
        <v>187</v>
      </c>
      <c r="G188" s="20">
        <v>2.5</v>
      </c>
      <c r="H188" s="20">
        <v>2.7</v>
      </c>
      <c r="I188" s="20">
        <v>1.05</v>
      </c>
      <c r="J188" s="20">
        <f t="shared" si="44"/>
        <v>5.5719300000000018</v>
      </c>
      <c r="K188" s="53">
        <v>0.19124999999999978</v>
      </c>
      <c r="L188" s="20">
        <f t="shared" si="56"/>
        <v>21.792499999999933</v>
      </c>
      <c r="M188" s="20">
        <f t="shared" si="56"/>
        <v>22.842499999999944</v>
      </c>
      <c r="N188" s="20">
        <f t="shared" si="56"/>
        <v>22.317499999999939</v>
      </c>
      <c r="O188" s="20">
        <f>P187+$AO$175</f>
        <v>181.79249999999993</v>
      </c>
      <c r="P188" s="20">
        <f t="shared" si="60"/>
        <v>182.84249999999994</v>
      </c>
      <c r="Q188" s="20">
        <f t="shared" si="54"/>
        <v>182.31749999999994</v>
      </c>
      <c r="R188" s="20">
        <f t="shared" si="57"/>
        <v>174.29249999999993</v>
      </c>
      <c r="S188" s="20">
        <f t="shared" si="58"/>
        <v>175.34249999999994</v>
      </c>
      <c r="T188" s="20">
        <f t="shared" si="59"/>
        <v>174.81749999999994</v>
      </c>
      <c r="U188" s="20">
        <v>174.81749999999994</v>
      </c>
      <c r="V188" s="22">
        <v>7.3426</v>
      </c>
      <c r="W188" s="22">
        <v>2.0158</v>
      </c>
      <c r="X188" s="23">
        <v>1.1476266666666668</v>
      </c>
      <c r="Y188" s="23">
        <f t="shared" si="47"/>
        <v>6.1949733333333334</v>
      </c>
      <c r="Z188" s="23">
        <f t="shared" si="48"/>
        <v>0.86817333333333324</v>
      </c>
      <c r="AA188" s="22">
        <f t="shared" si="49"/>
        <v>85.985842285035403</v>
      </c>
      <c r="AB188" s="22">
        <f t="shared" si="50"/>
        <v>14.014157714964597</v>
      </c>
      <c r="AC188" s="22">
        <f t="shared" si="51"/>
        <v>1.111818226957864</v>
      </c>
      <c r="AD188" s="22">
        <f t="shared" si="52"/>
        <v>0.15581195982959817</v>
      </c>
      <c r="AE188" s="24">
        <v>4.6051000000000002</v>
      </c>
      <c r="AF188" s="24">
        <v>5.0324</v>
      </c>
      <c r="AG188" s="24">
        <v>4.7077</v>
      </c>
      <c r="AH188" s="25">
        <f>AG188-AE188</f>
        <v>0.1025999999999998</v>
      </c>
      <c r="AI188" s="25">
        <v>75.988766674467627</v>
      </c>
      <c r="AJ188" s="26">
        <v>3.7994383337233817</v>
      </c>
      <c r="AK188" s="25">
        <v>37.994383337233813</v>
      </c>
      <c r="AL188" s="26">
        <v>3.8005041312655754</v>
      </c>
      <c r="AM188" s="17">
        <f t="shared" si="53"/>
        <v>0.5780346820809249</v>
      </c>
      <c r="AN188" s="17"/>
      <c r="AO188" s="27"/>
      <c r="AP188" s="17"/>
      <c r="AQ188" s="17"/>
      <c r="AR188" s="17"/>
      <c r="AS188" s="17"/>
      <c r="AT188" s="17"/>
      <c r="AU188" s="17"/>
      <c r="AV188" s="17"/>
      <c r="AW188" s="17"/>
      <c r="AX188" s="17"/>
      <c r="BB188" s="17"/>
    </row>
    <row r="189" spans="1:54" x14ac:dyDescent="0.2">
      <c r="A189" s="17" t="s">
        <v>41</v>
      </c>
      <c r="B189" s="18" t="s">
        <v>42</v>
      </c>
      <c r="C189" s="18" t="str">
        <f t="shared" si="45"/>
        <v>BI10.5</v>
      </c>
      <c r="D189" s="18" t="str">
        <f t="shared" si="46"/>
        <v>BI10.5_188</v>
      </c>
      <c r="E189" s="17">
        <v>5</v>
      </c>
      <c r="F189" s="19">
        <v>188</v>
      </c>
      <c r="G189" s="20">
        <v>2.5</v>
      </c>
      <c r="H189" s="20">
        <v>2.7</v>
      </c>
      <c r="I189" s="20">
        <v>1</v>
      </c>
      <c r="J189" s="20">
        <f t="shared" si="44"/>
        <v>5.3066000000000013</v>
      </c>
      <c r="K189" s="53">
        <v>0.19124999999999978</v>
      </c>
      <c r="L189" s="20">
        <f t="shared" si="56"/>
        <v>23.033749999999941</v>
      </c>
      <c r="M189" s="20">
        <f t="shared" si="56"/>
        <v>24.033749999999941</v>
      </c>
      <c r="N189" s="20">
        <f t="shared" si="56"/>
        <v>23.533749999999941</v>
      </c>
      <c r="O189" s="20">
        <f>P188+$AO$175</f>
        <v>183.03374999999994</v>
      </c>
      <c r="P189" s="20">
        <f t="shared" si="60"/>
        <v>184.03374999999994</v>
      </c>
      <c r="Q189" s="20">
        <f t="shared" si="54"/>
        <v>183.53374999999994</v>
      </c>
      <c r="R189" s="20">
        <f t="shared" si="57"/>
        <v>175.53374999999994</v>
      </c>
      <c r="S189" s="20">
        <f t="shared" si="58"/>
        <v>176.53374999999994</v>
      </c>
      <c r="T189" s="20">
        <f t="shared" si="59"/>
        <v>176.03374999999994</v>
      </c>
      <c r="U189" s="20">
        <v>176.03374999999994</v>
      </c>
      <c r="V189" s="22">
        <v>7.5381</v>
      </c>
      <c r="W189" s="22">
        <v>2.0680999999999998</v>
      </c>
      <c r="X189" s="23">
        <v>1.1476266666666668</v>
      </c>
      <c r="Y189" s="23">
        <f t="shared" si="47"/>
        <v>6.3904733333333334</v>
      </c>
      <c r="Z189" s="23">
        <f t="shared" si="48"/>
        <v>0.92047333333333303</v>
      </c>
      <c r="AA189" s="22">
        <f t="shared" si="49"/>
        <v>85.596163455810796</v>
      </c>
      <c r="AB189" s="22">
        <f t="shared" si="50"/>
        <v>14.403836544189204</v>
      </c>
      <c r="AC189" s="22">
        <f t="shared" si="51"/>
        <v>1.2042500533926304</v>
      </c>
      <c r="AD189" s="22">
        <f t="shared" si="52"/>
        <v>0.17345820927398575</v>
      </c>
      <c r="AE189" s="24">
        <v>4.7230999999999996</v>
      </c>
      <c r="AF189" s="24">
        <v>5.1147</v>
      </c>
      <c r="AG189" s="24">
        <v>4.8038999999999996</v>
      </c>
      <c r="AH189" s="25">
        <f>AG189-AE189</f>
        <v>8.0799999999999983E-2</v>
      </c>
      <c r="AI189" s="25">
        <v>79.366700715015355</v>
      </c>
      <c r="AJ189" s="26">
        <v>3.9683350357507678</v>
      </c>
      <c r="AK189" s="25">
        <v>39.683350357507678</v>
      </c>
      <c r="AL189" s="26">
        <v>3.9693554836984619</v>
      </c>
      <c r="AM189" s="17">
        <f t="shared" si="53"/>
        <v>0.5780346820809249</v>
      </c>
      <c r="AN189" s="17"/>
      <c r="AO189" s="27"/>
      <c r="AP189" s="17"/>
      <c r="AQ189" s="17"/>
      <c r="AR189" s="17"/>
      <c r="AS189" s="17"/>
      <c r="AT189" s="17"/>
      <c r="AU189" s="17"/>
      <c r="AV189" s="17"/>
      <c r="AW189" s="17"/>
      <c r="AX189" s="17"/>
      <c r="BB189" s="17"/>
    </row>
    <row r="190" spans="1:54" x14ac:dyDescent="0.2">
      <c r="A190" s="17" t="s">
        <v>41</v>
      </c>
      <c r="B190" s="18" t="s">
        <v>42</v>
      </c>
      <c r="C190" s="18" t="str">
        <f t="shared" si="45"/>
        <v>BI10.5</v>
      </c>
      <c r="D190" s="18" t="str">
        <f t="shared" si="46"/>
        <v>BI10.5_189</v>
      </c>
      <c r="E190" s="17">
        <v>5</v>
      </c>
      <c r="F190" s="19">
        <v>189</v>
      </c>
      <c r="G190" s="20">
        <v>2.5</v>
      </c>
      <c r="H190" s="20">
        <v>2.65</v>
      </c>
      <c r="I190" s="20">
        <v>1</v>
      </c>
      <c r="J190" s="20">
        <f t="shared" si="44"/>
        <v>5.2050406250000014</v>
      </c>
      <c r="K190" s="53">
        <v>0.19124999999999978</v>
      </c>
      <c r="L190" s="20">
        <f t="shared" si="56"/>
        <v>24.224999999999937</v>
      </c>
      <c r="M190" s="20">
        <f t="shared" si="56"/>
        <v>25.224999999999937</v>
      </c>
      <c r="N190" s="20">
        <f t="shared" si="56"/>
        <v>24.724999999999937</v>
      </c>
      <c r="O190" s="20">
        <f>P189+$AO$175</f>
        <v>184.22499999999994</v>
      </c>
      <c r="P190" s="20">
        <f t="shared" si="60"/>
        <v>185.22499999999994</v>
      </c>
      <c r="Q190" s="20">
        <f t="shared" si="54"/>
        <v>184.72499999999994</v>
      </c>
      <c r="R190" s="20">
        <f t="shared" si="57"/>
        <v>176.72499999999994</v>
      </c>
      <c r="S190" s="20">
        <f t="shared" si="58"/>
        <v>177.72499999999994</v>
      </c>
      <c r="T190" s="20">
        <f t="shared" si="59"/>
        <v>177.22499999999994</v>
      </c>
      <c r="U190" s="20">
        <v>177.22499999999994</v>
      </c>
      <c r="V190" s="22">
        <v>7.0364000000000004</v>
      </c>
      <c r="W190" s="22">
        <v>2.0384000000000002</v>
      </c>
      <c r="X190" s="23">
        <v>1.1476266666666668</v>
      </c>
      <c r="Y190" s="23">
        <f t="shared" si="47"/>
        <v>5.8887733333333339</v>
      </c>
      <c r="Z190" s="23">
        <f t="shared" si="48"/>
        <v>0.89077333333333342</v>
      </c>
      <c r="AA190" s="22">
        <f t="shared" si="49"/>
        <v>84.873363552794231</v>
      </c>
      <c r="AB190" s="22">
        <f t="shared" si="50"/>
        <v>15.126636447205769</v>
      </c>
      <c r="AC190" s="22">
        <f t="shared" si="51"/>
        <v>1.1313597256185359</v>
      </c>
      <c r="AD190" s="22">
        <f t="shared" si="52"/>
        <v>0.17113667260442048</v>
      </c>
      <c r="AE190" s="24">
        <v>5.4867999999999997</v>
      </c>
      <c r="AF190" s="24">
        <v>5.9061000000000003</v>
      </c>
      <c r="AG190" s="24">
        <v>5.5867000000000004</v>
      </c>
      <c r="AH190" s="25">
        <f>AG190-AE190</f>
        <v>9.9900000000000766E-2</v>
      </c>
      <c r="AI190" s="25">
        <v>76.174576675411259</v>
      </c>
      <c r="AJ190" s="26">
        <v>3.8087288337705631</v>
      </c>
      <c r="AK190" s="25">
        <v>38.08728833770563</v>
      </c>
      <c r="AL190" s="26">
        <v>3.8097920322762073</v>
      </c>
      <c r="AM190" s="17">
        <f t="shared" si="53"/>
        <v>0.5780346820809249</v>
      </c>
      <c r="AN190" s="17"/>
      <c r="AO190" s="27"/>
      <c r="AP190" s="17"/>
      <c r="AQ190" s="17"/>
      <c r="AR190" s="17"/>
      <c r="AS190" s="17"/>
      <c r="AT190" s="17"/>
      <c r="AU190" s="17"/>
      <c r="AV190" s="17"/>
      <c r="AW190" s="17"/>
      <c r="AX190" s="17"/>
      <c r="BB190" s="17"/>
    </row>
    <row r="191" spans="1:54" x14ac:dyDescent="0.2">
      <c r="A191" s="17" t="s">
        <v>41</v>
      </c>
      <c r="B191" s="18" t="s">
        <v>42</v>
      </c>
      <c r="C191" s="18" t="str">
        <f t="shared" si="45"/>
        <v>BI10.5</v>
      </c>
      <c r="D191" s="18" t="str">
        <f t="shared" si="46"/>
        <v>BI10.5_190</v>
      </c>
      <c r="E191" s="17">
        <v>5</v>
      </c>
      <c r="F191" s="19">
        <v>190</v>
      </c>
      <c r="G191" s="20">
        <v>2.5</v>
      </c>
      <c r="H191" s="20">
        <v>2.65</v>
      </c>
      <c r="I191" s="20">
        <v>1</v>
      </c>
      <c r="J191" s="20">
        <f t="shared" si="44"/>
        <v>5.2050406250000014</v>
      </c>
      <c r="K191" s="53">
        <v>0.19124999999999978</v>
      </c>
      <c r="L191" s="20">
        <f t="shared" si="56"/>
        <v>25.416249999999934</v>
      </c>
      <c r="M191" s="20">
        <f t="shared" si="56"/>
        <v>26.416249999999934</v>
      </c>
      <c r="N191" s="20">
        <f t="shared" si="56"/>
        <v>25.916249999999934</v>
      </c>
      <c r="O191" s="20">
        <f>P190+$AO$175</f>
        <v>185.41624999999993</v>
      </c>
      <c r="P191" s="20">
        <f t="shared" si="60"/>
        <v>186.41624999999993</v>
      </c>
      <c r="Q191" s="20">
        <f t="shared" si="54"/>
        <v>185.91624999999993</v>
      </c>
      <c r="R191" s="20">
        <f t="shared" si="57"/>
        <v>177.91624999999993</v>
      </c>
      <c r="S191" s="20">
        <f t="shared" si="58"/>
        <v>178.91624999999993</v>
      </c>
      <c r="T191" s="20">
        <f t="shared" si="59"/>
        <v>178.41624999999993</v>
      </c>
      <c r="U191" s="20">
        <v>178.41624999999993</v>
      </c>
      <c r="V191" s="22">
        <v>7.1521999999999997</v>
      </c>
      <c r="W191" s="22">
        <v>2.2088999999999999</v>
      </c>
      <c r="X191" s="23">
        <v>1.1476266666666668</v>
      </c>
      <c r="Y191" s="23">
        <f t="shared" si="47"/>
        <v>6.0045733333333331</v>
      </c>
      <c r="Z191" s="23">
        <f t="shared" si="48"/>
        <v>1.0612733333333331</v>
      </c>
      <c r="AA191" s="22">
        <f t="shared" si="49"/>
        <v>82.325582944555592</v>
      </c>
      <c r="AB191" s="22">
        <f t="shared" si="50"/>
        <v>17.674417055444408</v>
      </c>
      <c r="AC191" s="22">
        <f t="shared" si="51"/>
        <v>1.1536073905923321</v>
      </c>
      <c r="AD191" s="22">
        <f t="shared" si="52"/>
        <v>0.20389338139571828</v>
      </c>
      <c r="AE191" s="24">
        <v>5.1158999999999999</v>
      </c>
      <c r="AF191" s="24">
        <v>5.6162000000000001</v>
      </c>
      <c r="AG191" s="24">
        <v>5.3944000000000001</v>
      </c>
      <c r="AH191" s="25">
        <f>AG191-AE191</f>
        <v>0.27850000000000019</v>
      </c>
      <c r="AI191" s="25">
        <v>44.333399960023968</v>
      </c>
      <c r="AJ191" s="26">
        <v>2.2166699980011986</v>
      </c>
      <c r="AK191" s="25">
        <v>22.166699980011984</v>
      </c>
      <c r="AL191" s="26">
        <v>2.2184963105758442</v>
      </c>
      <c r="AM191" s="17">
        <f t="shared" si="53"/>
        <v>0.5780346820809249</v>
      </c>
      <c r="AN191" s="17"/>
      <c r="AO191" s="27"/>
      <c r="AP191" s="17"/>
      <c r="AQ191" s="17"/>
      <c r="AR191" s="17"/>
      <c r="AS191" s="17"/>
      <c r="AT191" s="17"/>
      <c r="AU191" s="17"/>
      <c r="AV191" s="17"/>
      <c r="AW191" s="17"/>
      <c r="AX191" s="17"/>
      <c r="BB191" s="17"/>
    </row>
    <row r="192" spans="1:54" x14ac:dyDescent="0.2">
      <c r="A192" s="17" t="s">
        <v>41</v>
      </c>
      <c r="B192" s="18" t="s">
        <v>42</v>
      </c>
      <c r="C192" s="18" t="str">
        <f t="shared" si="45"/>
        <v>BI10.5</v>
      </c>
      <c r="D192" s="18" t="str">
        <f t="shared" si="46"/>
        <v>BI10.5_191</v>
      </c>
      <c r="E192" s="17">
        <v>5</v>
      </c>
      <c r="F192" s="19">
        <v>191</v>
      </c>
      <c r="G192" s="20">
        <v>2.1</v>
      </c>
      <c r="H192" s="20">
        <v>2.5</v>
      </c>
      <c r="I192" s="20">
        <v>1</v>
      </c>
      <c r="J192" s="20">
        <f t="shared" si="44"/>
        <v>4.1526499999999995</v>
      </c>
      <c r="K192" s="53">
        <v>0.19124999999999978</v>
      </c>
      <c r="L192" s="20">
        <f t="shared" si="56"/>
        <v>26.607499999999931</v>
      </c>
      <c r="M192" s="20">
        <f t="shared" si="56"/>
        <v>27.607499999999931</v>
      </c>
      <c r="N192" s="20">
        <f t="shared" si="56"/>
        <v>27.107499999999931</v>
      </c>
      <c r="O192" s="20">
        <f>P191+$AO$175</f>
        <v>186.60749999999993</v>
      </c>
      <c r="P192" s="20">
        <f t="shared" si="60"/>
        <v>187.60749999999993</v>
      </c>
      <c r="Q192" s="20">
        <f t="shared" si="54"/>
        <v>187.10749999999993</v>
      </c>
      <c r="R192" s="20">
        <f t="shared" si="57"/>
        <v>179.10749999999993</v>
      </c>
      <c r="S192" s="20">
        <f t="shared" si="58"/>
        <v>180.10749999999993</v>
      </c>
      <c r="T192" s="20">
        <f t="shared" si="59"/>
        <v>179.60749999999993</v>
      </c>
      <c r="U192" s="20">
        <v>179.60749999999993</v>
      </c>
      <c r="V192" s="22">
        <v>6.9402999999999997</v>
      </c>
      <c r="W192" s="22">
        <v>2.3172000000000001</v>
      </c>
      <c r="X192" s="23">
        <v>1.1476266666666668</v>
      </c>
      <c r="Y192" s="23">
        <f t="shared" si="47"/>
        <v>5.7926733333333331</v>
      </c>
      <c r="Z192" s="23">
        <f t="shared" si="48"/>
        <v>1.1695733333333334</v>
      </c>
      <c r="AA192" s="22">
        <f t="shared" si="49"/>
        <v>79.809437438787626</v>
      </c>
      <c r="AB192" s="22">
        <f t="shared" si="50"/>
        <v>20.190562561212374</v>
      </c>
      <c r="AC192" s="22">
        <f t="shared" si="51"/>
        <v>1.3949341585092252</v>
      </c>
      <c r="AD192" s="22">
        <f t="shared" si="52"/>
        <v>0.28164505396152661</v>
      </c>
      <c r="AE192" s="24">
        <v>5.0019999999999998</v>
      </c>
      <c r="AF192" s="24">
        <v>5.4202000000000004</v>
      </c>
      <c r="AG192" s="24">
        <v>5.1227</v>
      </c>
      <c r="AH192" s="25">
        <f>AG192-AE192</f>
        <v>0.12070000000000025</v>
      </c>
      <c r="AI192" s="25">
        <v>71.138211382113809</v>
      </c>
      <c r="AJ192" s="26">
        <v>3.5569105691056908</v>
      </c>
      <c r="AK192" s="25">
        <v>35.569105691056905</v>
      </c>
      <c r="AL192" s="26">
        <v>3.5580490154880904</v>
      </c>
      <c r="AM192" s="17">
        <f t="shared" si="53"/>
        <v>0.5780346820809249</v>
      </c>
      <c r="AN192" s="17"/>
      <c r="AO192" s="27"/>
      <c r="AP192" s="17"/>
      <c r="AQ192" s="17"/>
      <c r="AR192" s="17"/>
      <c r="AS192" s="17"/>
      <c r="AT192" s="17"/>
      <c r="AU192" s="17"/>
      <c r="AV192" s="17"/>
      <c r="AW192" s="17"/>
      <c r="AX192" s="17"/>
      <c r="BB192" s="17"/>
    </row>
    <row r="193" spans="1:54" x14ac:dyDescent="0.2">
      <c r="A193" s="17" t="s">
        <v>41</v>
      </c>
      <c r="B193" s="18" t="s">
        <v>42</v>
      </c>
      <c r="C193" s="18" t="str">
        <f t="shared" si="45"/>
        <v>BI10.5</v>
      </c>
      <c r="D193" s="18" t="str">
        <f t="shared" si="46"/>
        <v>BI10.5_192</v>
      </c>
      <c r="E193" s="17">
        <v>5</v>
      </c>
      <c r="F193" s="19">
        <v>192</v>
      </c>
      <c r="G193" s="20">
        <v>2.1</v>
      </c>
      <c r="H193" s="20">
        <v>2.6</v>
      </c>
      <c r="I193" s="20">
        <v>1.1000000000000001</v>
      </c>
      <c r="J193" s="20">
        <f t="shared" si="44"/>
        <v>4.7686787500000012</v>
      </c>
      <c r="K193" s="53">
        <v>0.19124999999999978</v>
      </c>
      <c r="L193" s="20">
        <f t="shared" si="56"/>
        <v>27.798749999999927</v>
      </c>
      <c r="M193" s="20">
        <f t="shared" si="56"/>
        <v>28.898749999999922</v>
      </c>
      <c r="N193" s="20">
        <f t="shared" si="56"/>
        <v>28.348749999999939</v>
      </c>
      <c r="O193" s="20">
        <f>P192+$AO$175</f>
        <v>187.79874999999993</v>
      </c>
      <c r="P193" s="20">
        <f t="shared" si="60"/>
        <v>188.89874999999992</v>
      </c>
      <c r="Q193" s="20">
        <f t="shared" si="54"/>
        <v>188.34874999999994</v>
      </c>
      <c r="R193" s="20">
        <f t="shared" si="57"/>
        <v>180.29874999999993</v>
      </c>
      <c r="S193" s="20">
        <f t="shared" si="58"/>
        <v>181.39874999999992</v>
      </c>
      <c r="T193" s="20">
        <f t="shared" si="59"/>
        <v>180.84874999999994</v>
      </c>
      <c r="U193" s="20">
        <v>180.84874999999994</v>
      </c>
      <c r="V193" s="22">
        <v>6.7832999999999997</v>
      </c>
      <c r="W193" s="22">
        <v>2.3058000000000001</v>
      </c>
      <c r="X193" s="23">
        <v>1.1476266666666668</v>
      </c>
      <c r="Y193" s="23">
        <f t="shared" si="47"/>
        <v>5.6356733333333331</v>
      </c>
      <c r="Z193" s="23">
        <f t="shared" si="48"/>
        <v>1.1581733333333333</v>
      </c>
      <c r="AA193" s="22">
        <f t="shared" si="49"/>
        <v>79.449246525999257</v>
      </c>
      <c r="AB193" s="22">
        <f t="shared" si="50"/>
        <v>20.550753474000743</v>
      </c>
      <c r="AC193" s="22">
        <f t="shared" si="51"/>
        <v>1.1818102306290461</v>
      </c>
      <c r="AD193" s="22">
        <f t="shared" si="52"/>
        <v>0.24287090702709488</v>
      </c>
      <c r="AE193" s="24">
        <v>5.2133000000000003</v>
      </c>
      <c r="AF193" s="24">
        <v>5.58</v>
      </c>
      <c r="AG193" s="24">
        <v>5.2827000000000002</v>
      </c>
      <c r="AH193" s="25">
        <f>AG193-AE193</f>
        <v>6.9399999999999906E-2</v>
      </c>
      <c r="AI193" s="25">
        <v>81.074447777474788</v>
      </c>
      <c r="AJ193" s="26">
        <v>4.0537223888737399</v>
      </c>
      <c r="AK193" s="25">
        <v>40.537223888737394</v>
      </c>
      <c r="AL193" s="26">
        <v>4.0547213475226904</v>
      </c>
      <c r="AM193" s="17">
        <f t="shared" si="53"/>
        <v>0.5780346820809249</v>
      </c>
      <c r="AN193" s="17"/>
      <c r="AO193" s="27"/>
      <c r="AP193" s="17"/>
      <c r="AQ193" s="17"/>
      <c r="AR193" s="17"/>
      <c r="AS193" s="17"/>
      <c r="AT193" s="17"/>
      <c r="AU193" s="17"/>
      <c r="AV193" s="17"/>
      <c r="AW193" s="17"/>
      <c r="AX193" s="17"/>
      <c r="BB193" s="17"/>
    </row>
    <row r="194" spans="1:54" x14ac:dyDescent="0.2">
      <c r="A194" s="17" t="s">
        <v>41</v>
      </c>
      <c r="B194" s="18" t="s">
        <v>42</v>
      </c>
      <c r="C194" s="18" t="str">
        <f t="shared" si="45"/>
        <v>BI10.5</v>
      </c>
      <c r="D194" s="18" t="str">
        <f t="shared" si="46"/>
        <v>BI10.5_193</v>
      </c>
      <c r="E194" s="17">
        <v>5</v>
      </c>
      <c r="F194" s="19">
        <v>193</v>
      </c>
      <c r="G194" s="20">
        <v>2.35</v>
      </c>
      <c r="H194" s="20">
        <v>2.1</v>
      </c>
      <c r="I194" s="20">
        <v>1.05</v>
      </c>
      <c r="J194" s="20">
        <f t="shared" ref="J194:J257" si="61">(AVERAGE(G194:H194)*(AVERAGE(G194:H194)*3.14/4*I194))</f>
        <v>4.080552656250001</v>
      </c>
      <c r="K194" s="53">
        <v>0.19124999999999978</v>
      </c>
      <c r="L194" s="20">
        <f t="shared" si="56"/>
        <v>29.089999999999918</v>
      </c>
      <c r="M194" s="20">
        <f t="shared" si="56"/>
        <v>30.13999999999993</v>
      </c>
      <c r="N194" s="20">
        <f t="shared" si="56"/>
        <v>29.614999999999924</v>
      </c>
      <c r="O194" s="20">
        <f>P193+$AO$175</f>
        <v>189.08999999999992</v>
      </c>
      <c r="P194" s="20">
        <f t="shared" si="60"/>
        <v>190.13999999999993</v>
      </c>
      <c r="Q194" s="20">
        <f t="shared" si="54"/>
        <v>189.61499999999992</v>
      </c>
      <c r="R194" s="20">
        <f t="shared" si="57"/>
        <v>181.58999999999992</v>
      </c>
      <c r="S194" s="20">
        <f t="shared" si="58"/>
        <v>182.63999999999993</v>
      </c>
      <c r="T194" s="20">
        <f t="shared" si="59"/>
        <v>182.11499999999992</v>
      </c>
      <c r="U194" s="20">
        <v>182.11499999999992</v>
      </c>
      <c r="V194" s="22">
        <v>5.5408999999999997</v>
      </c>
      <c r="W194" s="22">
        <v>2.1707999999999998</v>
      </c>
      <c r="X194" s="23">
        <v>1.1476266666666668</v>
      </c>
      <c r="Y194" s="23">
        <f t="shared" si="47"/>
        <v>4.3932733333333331</v>
      </c>
      <c r="Z194" s="23">
        <f t="shared" si="48"/>
        <v>1.023173333333333</v>
      </c>
      <c r="AA194" s="22">
        <f t="shared" si="49"/>
        <v>76.710455833235955</v>
      </c>
      <c r="AB194" s="22">
        <f t="shared" si="50"/>
        <v>23.289544166764045</v>
      </c>
      <c r="AC194" s="22">
        <f t="shared" si="51"/>
        <v>1.0766368439344489</v>
      </c>
      <c r="AD194" s="22">
        <f t="shared" si="52"/>
        <v>0.25074381328376782</v>
      </c>
      <c r="AE194" s="24">
        <v>4.6327999999999996</v>
      </c>
      <c r="AF194" s="24">
        <v>4.9657999999999998</v>
      </c>
      <c r="AG194" s="24">
        <v>4.7245999999999997</v>
      </c>
      <c r="AH194" s="25">
        <f>AG194-AE194</f>
        <v>9.1800000000000104E-2</v>
      </c>
      <c r="AI194" s="25">
        <v>72.432432432432421</v>
      </c>
      <c r="AJ194" s="26">
        <v>3.621621621621621</v>
      </c>
      <c r="AK194" s="25">
        <v>36.21621621621621</v>
      </c>
      <c r="AL194" s="26">
        <v>3.6227397326053139</v>
      </c>
      <c r="AM194" s="17">
        <f t="shared" si="53"/>
        <v>0.5780346820809249</v>
      </c>
      <c r="AN194" s="17"/>
      <c r="AO194" s="27"/>
      <c r="AP194" s="17"/>
      <c r="AQ194" s="17"/>
      <c r="AR194" s="17"/>
      <c r="AS194" s="17"/>
      <c r="AT194" s="17"/>
      <c r="AU194" s="17"/>
      <c r="AV194" s="17"/>
      <c r="AW194" s="17"/>
      <c r="AX194" s="17"/>
      <c r="BB194" s="17"/>
    </row>
    <row r="195" spans="1:54" x14ac:dyDescent="0.2">
      <c r="A195" s="17" t="s">
        <v>41</v>
      </c>
      <c r="B195" s="18" t="s">
        <v>42</v>
      </c>
      <c r="C195" s="18" t="str">
        <f t="shared" ref="C195:C258" si="62">B195&amp;"."&amp;E195</f>
        <v>BI10.5</v>
      </c>
      <c r="D195" s="18" t="str">
        <f t="shared" ref="D195:D258" si="63">C195&amp;"_"&amp;F195</f>
        <v>BI10.5_194</v>
      </c>
      <c r="E195" s="17">
        <v>5</v>
      </c>
      <c r="F195" s="19">
        <v>194</v>
      </c>
      <c r="G195" s="20">
        <v>2.35</v>
      </c>
      <c r="H195" s="20">
        <v>2.35</v>
      </c>
      <c r="I195" s="20">
        <v>1</v>
      </c>
      <c r="J195" s="20">
        <f t="shared" si="61"/>
        <v>4.3351625</v>
      </c>
      <c r="K195" s="53">
        <v>0.19124999999999978</v>
      </c>
      <c r="L195" s="20">
        <f t="shared" si="56"/>
        <v>30.331249999999926</v>
      </c>
      <c r="M195" s="20">
        <f t="shared" si="56"/>
        <v>31.331249999999926</v>
      </c>
      <c r="N195" s="20">
        <f t="shared" si="56"/>
        <v>30.831249999999926</v>
      </c>
      <c r="O195" s="20">
        <f>P194+$AO$175</f>
        <v>190.33124999999993</v>
      </c>
      <c r="P195" s="20">
        <f t="shared" si="60"/>
        <v>191.33124999999993</v>
      </c>
      <c r="Q195" s="20">
        <f t="shared" si="54"/>
        <v>190.83124999999993</v>
      </c>
      <c r="R195" s="20">
        <f t="shared" si="57"/>
        <v>182.83124999999993</v>
      </c>
      <c r="S195" s="20">
        <f t="shared" si="58"/>
        <v>183.83124999999993</v>
      </c>
      <c r="T195" s="20">
        <f t="shared" si="59"/>
        <v>183.33124999999993</v>
      </c>
      <c r="U195" s="20">
        <v>183.33124999999993</v>
      </c>
      <c r="V195" s="22">
        <v>6.3326000000000002</v>
      </c>
      <c r="W195" s="22">
        <v>2.9885000000000002</v>
      </c>
      <c r="X195" s="23">
        <v>1.1476266666666668</v>
      </c>
      <c r="Y195" s="23">
        <f t="shared" ref="Y195:Y258" si="64">V195-X195</f>
        <v>5.1849733333333337</v>
      </c>
      <c r="Z195" s="23">
        <f t="shared" ref="Z195:Z258" si="65">W195-X195</f>
        <v>1.8408733333333334</v>
      </c>
      <c r="AA195" s="22">
        <f t="shared" ref="AA195:AA258" si="66">((Y195-Z195)/Y195)*100</f>
        <v>64.495992264826825</v>
      </c>
      <c r="AB195" s="22">
        <f t="shared" ref="AB195:AB258" si="67">100-AA195</f>
        <v>35.504007735173175</v>
      </c>
      <c r="AC195" s="22">
        <f t="shared" ref="AC195:AC258" si="68">(V195-X195)/J195</f>
        <v>1.1960274461068838</v>
      </c>
      <c r="AD195" s="22">
        <f t="shared" ref="AD195:AD258" si="69">(W195-X195)/J195</f>
        <v>0.42463767698058225</v>
      </c>
      <c r="AE195" s="24">
        <v>4.6658999999999997</v>
      </c>
      <c r="AF195" s="24">
        <v>4.9687999999999999</v>
      </c>
      <c r="AG195" s="24">
        <v>4.7332000000000001</v>
      </c>
      <c r="AH195" s="25">
        <f>AG195-AE195</f>
        <v>6.730000000000036E-2</v>
      </c>
      <c r="AI195" s="25">
        <v>77.781446021789264</v>
      </c>
      <c r="AJ195" s="26">
        <v>3.8890723010894632</v>
      </c>
      <c r="AK195" s="25">
        <v>38.890723010894632</v>
      </c>
      <c r="AL195" s="26">
        <v>3.8901135411580587</v>
      </c>
      <c r="AM195" s="17">
        <f t="shared" ref="AM195:AM258" si="70">1/1.73</f>
        <v>0.5780346820809249</v>
      </c>
      <c r="AN195" s="17"/>
      <c r="AO195" s="27"/>
      <c r="AP195" s="17"/>
      <c r="AQ195" s="17"/>
      <c r="AR195" s="17"/>
      <c r="AS195" s="17"/>
      <c r="AT195" s="17"/>
      <c r="AU195" s="17"/>
      <c r="AV195" s="17"/>
      <c r="AW195" s="17"/>
      <c r="AX195" s="17"/>
      <c r="BB195" s="17"/>
    </row>
    <row r="196" spans="1:54" x14ac:dyDescent="0.2">
      <c r="A196" s="17" t="s">
        <v>41</v>
      </c>
      <c r="B196" s="18" t="s">
        <v>42</v>
      </c>
      <c r="C196" s="18" t="str">
        <f t="shared" si="62"/>
        <v>BI10.5</v>
      </c>
      <c r="D196" s="18" t="str">
        <f t="shared" si="63"/>
        <v>BI10.5_195</v>
      </c>
      <c r="E196" s="17">
        <v>5</v>
      </c>
      <c r="F196" s="19">
        <v>195</v>
      </c>
      <c r="G196" s="20">
        <v>2.2999999999999998</v>
      </c>
      <c r="H196" s="20">
        <v>2.7</v>
      </c>
      <c r="I196" s="20">
        <v>1</v>
      </c>
      <c r="J196" s="20">
        <f t="shared" si="61"/>
        <v>4.90625</v>
      </c>
      <c r="K196" s="53">
        <v>0.19124999999999978</v>
      </c>
      <c r="L196" s="20">
        <f t="shared" si="56"/>
        <v>31.522499999999923</v>
      </c>
      <c r="M196" s="20">
        <f t="shared" si="56"/>
        <v>32.522499999999923</v>
      </c>
      <c r="N196" s="20">
        <f t="shared" si="56"/>
        <v>32.022499999999923</v>
      </c>
      <c r="O196" s="20">
        <f>P195+$AO$175</f>
        <v>191.52249999999992</v>
      </c>
      <c r="P196" s="20">
        <f t="shared" si="60"/>
        <v>192.52249999999992</v>
      </c>
      <c r="Q196" s="20">
        <f t="shared" ref="Q196:Q259" si="71">O196+((P196-O196)/2)</f>
        <v>192.02249999999992</v>
      </c>
      <c r="R196" s="20">
        <f t="shared" si="57"/>
        <v>184.02249999999992</v>
      </c>
      <c r="S196" s="20">
        <f t="shared" si="58"/>
        <v>185.02249999999992</v>
      </c>
      <c r="T196" s="20">
        <f t="shared" si="59"/>
        <v>184.52249999999992</v>
      </c>
      <c r="U196" s="20">
        <v>184.52249999999992</v>
      </c>
      <c r="V196" s="22">
        <v>6.2756999999999996</v>
      </c>
      <c r="W196" s="22">
        <v>2.0758000000000001</v>
      </c>
      <c r="X196" s="23">
        <v>1.1476266666666668</v>
      </c>
      <c r="Y196" s="23">
        <f t="shared" si="64"/>
        <v>5.128073333333333</v>
      </c>
      <c r="Z196" s="23">
        <f t="shared" si="65"/>
        <v>0.92817333333333329</v>
      </c>
      <c r="AA196" s="22">
        <f t="shared" si="66"/>
        <v>81.900154833979229</v>
      </c>
      <c r="AB196" s="22">
        <f t="shared" si="67"/>
        <v>18.099845166020771</v>
      </c>
      <c r="AC196" s="22">
        <f t="shared" si="68"/>
        <v>1.0452123991507429</v>
      </c>
      <c r="AD196" s="22">
        <f t="shared" si="69"/>
        <v>0.18918182590233545</v>
      </c>
      <c r="AE196" s="24">
        <v>4.8887</v>
      </c>
      <c r="AF196" s="24">
        <v>5.2195999999999998</v>
      </c>
      <c r="AG196" s="24">
        <v>5.0944000000000003</v>
      </c>
      <c r="AH196" s="25">
        <f>AG196-AE196</f>
        <v>0.20570000000000022</v>
      </c>
      <c r="AI196" s="25">
        <v>37.836204291326574</v>
      </c>
      <c r="AJ196" s="26">
        <v>1.8918102145663287</v>
      </c>
      <c r="AK196" s="25">
        <v>18.918102145663287</v>
      </c>
      <c r="AL196" s="26">
        <v>1.8939498113565467</v>
      </c>
      <c r="AM196" s="17">
        <f t="shared" si="70"/>
        <v>0.5780346820809249</v>
      </c>
      <c r="AN196" s="17"/>
      <c r="AO196" s="27"/>
      <c r="AP196" s="17"/>
      <c r="AQ196" s="17"/>
      <c r="AR196" s="17"/>
      <c r="AS196" s="17"/>
      <c r="AT196" s="17"/>
      <c r="AU196" s="17"/>
      <c r="AV196" s="17"/>
      <c r="AW196" s="17"/>
      <c r="AX196" s="17"/>
      <c r="BB196" s="17"/>
    </row>
    <row r="197" spans="1:54" x14ac:dyDescent="0.2">
      <c r="A197" s="17" t="s">
        <v>41</v>
      </c>
      <c r="B197" s="18" t="s">
        <v>42</v>
      </c>
      <c r="C197" s="18" t="str">
        <f t="shared" si="62"/>
        <v>BI10.5</v>
      </c>
      <c r="D197" s="18" t="str">
        <f t="shared" si="63"/>
        <v>BI10.5_196</v>
      </c>
      <c r="E197" s="17">
        <v>5</v>
      </c>
      <c r="F197" s="19">
        <v>196</v>
      </c>
      <c r="G197" s="20">
        <v>2.35</v>
      </c>
      <c r="H197" s="20">
        <v>2.4500000000000002</v>
      </c>
      <c r="I197" s="20">
        <v>1.1000000000000001</v>
      </c>
      <c r="J197" s="20">
        <f t="shared" si="61"/>
        <v>4.9737600000000022</v>
      </c>
      <c r="K197" s="53">
        <v>0.19124999999999978</v>
      </c>
      <c r="L197" s="20">
        <f t="shared" si="56"/>
        <v>32.713749999999919</v>
      </c>
      <c r="M197" s="20">
        <f t="shared" si="56"/>
        <v>33.813749999999914</v>
      </c>
      <c r="N197" s="20">
        <f t="shared" si="56"/>
        <v>33.263749999999902</v>
      </c>
      <c r="O197" s="20">
        <f>P196+$AO$175</f>
        <v>192.71374999999992</v>
      </c>
      <c r="P197" s="20">
        <f t="shared" si="60"/>
        <v>193.81374999999991</v>
      </c>
      <c r="Q197" s="20">
        <f t="shared" si="71"/>
        <v>193.2637499999999</v>
      </c>
      <c r="R197" s="20">
        <f t="shared" si="57"/>
        <v>185.21374999999992</v>
      </c>
      <c r="S197" s="20">
        <f t="shared" si="58"/>
        <v>186.31374999999991</v>
      </c>
      <c r="T197" s="20">
        <f t="shared" si="59"/>
        <v>185.7637499999999</v>
      </c>
      <c r="U197" s="20">
        <v>185.7637499999999</v>
      </c>
      <c r="V197" s="22">
        <v>6.2850000000000001</v>
      </c>
      <c r="W197" s="22">
        <v>1.9567000000000001</v>
      </c>
      <c r="X197" s="23">
        <v>1.1476266666666668</v>
      </c>
      <c r="Y197" s="23">
        <f t="shared" si="64"/>
        <v>5.1373733333333336</v>
      </c>
      <c r="Z197" s="23">
        <f t="shared" si="65"/>
        <v>0.80907333333333331</v>
      </c>
      <c r="AA197" s="22">
        <f t="shared" si="66"/>
        <v>84.251225658767254</v>
      </c>
      <c r="AB197" s="22">
        <f t="shared" si="67"/>
        <v>15.748774341232746</v>
      </c>
      <c r="AC197" s="22">
        <f t="shared" si="68"/>
        <v>1.0328953012074027</v>
      </c>
      <c r="AD197" s="22">
        <f t="shared" si="69"/>
        <v>0.1626683501683501</v>
      </c>
      <c r="AE197" s="24">
        <v>5.0475000000000003</v>
      </c>
      <c r="AF197" s="24">
        <v>5.3940999999999999</v>
      </c>
      <c r="AG197" s="24">
        <v>5.1167999999999996</v>
      </c>
      <c r="AH197" s="25">
        <f>AG197-AE197</f>
        <v>6.9299999999999251E-2</v>
      </c>
      <c r="AI197" s="25">
        <v>80.005770340450283</v>
      </c>
      <c r="AJ197" s="26">
        <v>4.000288517022514</v>
      </c>
      <c r="AK197" s="25">
        <v>40.002885170225142</v>
      </c>
      <c r="AL197" s="26">
        <v>4.0013008159125176</v>
      </c>
      <c r="AM197" s="17">
        <f t="shared" si="70"/>
        <v>0.5780346820809249</v>
      </c>
      <c r="AN197" s="17"/>
      <c r="AO197" s="27"/>
      <c r="AP197" s="17"/>
      <c r="AQ197" s="17"/>
      <c r="AR197" s="17"/>
      <c r="AS197" s="17"/>
      <c r="AT197" s="17"/>
      <c r="AU197" s="17"/>
      <c r="AV197" s="17"/>
      <c r="AW197" s="17"/>
      <c r="AX197" s="17"/>
      <c r="BB197" s="17"/>
    </row>
    <row r="198" spans="1:54" x14ac:dyDescent="0.2">
      <c r="A198" s="17" t="s">
        <v>41</v>
      </c>
      <c r="B198" s="18" t="s">
        <v>42</v>
      </c>
      <c r="C198" s="18" t="str">
        <f t="shared" si="62"/>
        <v>BI10.5</v>
      </c>
      <c r="D198" s="18" t="str">
        <f t="shared" si="63"/>
        <v>BI10.5_197</v>
      </c>
      <c r="E198" s="17">
        <v>5</v>
      </c>
      <c r="F198" s="19">
        <v>197</v>
      </c>
      <c r="G198" s="20">
        <v>2.2999999999999998</v>
      </c>
      <c r="H198" s="20">
        <v>2.6</v>
      </c>
      <c r="I198" s="20">
        <v>1</v>
      </c>
      <c r="J198" s="20">
        <f t="shared" si="61"/>
        <v>4.7119625000000003</v>
      </c>
      <c r="K198" s="53">
        <v>0.19124999999999978</v>
      </c>
      <c r="L198" s="20">
        <f t="shared" si="56"/>
        <v>34.00499999999991</v>
      </c>
      <c r="M198" s="20">
        <f t="shared" si="56"/>
        <v>35.00499999999991</v>
      </c>
      <c r="N198" s="20">
        <f t="shared" si="56"/>
        <v>34.50499999999991</v>
      </c>
      <c r="O198" s="20">
        <f>P197+$AO$175</f>
        <v>194.00499999999991</v>
      </c>
      <c r="P198" s="20">
        <f t="shared" si="60"/>
        <v>195.00499999999991</v>
      </c>
      <c r="Q198" s="20">
        <f t="shared" si="71"/>
        <v>194.50499999999991</v>
      </c>
      <c r="R198" s="20">
        <f t="shared" si="57"/>
        <v>186.50499999999991</v>
      </c>
      <c r="S198" s="20">
        <f t="shared" si="58"/>
        <v>187.50499999999991</v>
      </c>
      <c r="T198" s="20">
        <f t="shared" si="59"/>
        <v>187.00499999999991</v>
      </c>
      <c r="U198" s="20">
        <v>187.00499999999991</v>
      </c>
      <c r="V198" s="22">
        <v>6.6215999999999999</v>
      </c>
      <c r="W198" s="22">
        <v>1.9897</v>
      </c>
      <c r="X198" s="23">
        <v>1.1476266666666668</v>
      </c>
      <c r="Y198" s="23">
        <f t="shared" si="64"/>
        <v>5.4739733333333334</v>
      </c>
      <c r="Z198" s="23">
        <f t="shared" si="65"/>
        <v>0.84207333333333323</v>
      </c>
      <c r="AA198" s="22">
        <f t="shared" si="66"/>
        <v>84.616780498260852</v>
      </c>
      <c r="AB198" s="22">
        <f t="shared" si="67"/>
        <v>15.383219501739148</v>
      </c>
      <c r="AC198" s="22">
        <f t="shared" si="68"/>
        <v>1.1617183569125036</v>
      </c>
      <c r="AD198" s="22">
        <f t="shared" si="69"/>
        <v>0.17870968483584773</v>
      </c>
      <c r="AE198" s="24">
        <v>4.6642999999999999</v>
      </c>
      <c r="AF198" s="24">
        <v>4.9276999999999997</v>
      </c>
      <c r="AG198" s="24">
        <v>4.7164000000000001</v>
      </c>
      <c r="AH198" s="25">
        <f>AG198-AE198</f>
        <v>5.2100000000000257E-2</v>
      </c>
      <c r="AI198" s="25">
        <v>80.22019741837498</v>
      </c>
      <c r="AJ198" s="26">
        <v>4.0110098709187492</v>
      </c>
      <c r="AK198" s="25">
        <v>40.11009870918749</v>
      </c>
      <c r="AL198" s="26">
        <v>4.0120194646346921</v>
      </c>
      <c r="AM198" s="17">
        <f t="shared" si="70"/>
        <v>0.5780346820809249</v>
      </c>
      <c r="AN198" s="17"/>
      <c r="AO198" s="27"/>
      <c r="AP198" s="17"/>
      <c r="AQ198" s="17"/>
      <c r="AR198" s="17"/>
      <c r="AS198" s="17"/>
      <c r="AT198" s="17"/>
      <c r="AU198" s="17"/>
      <c r="AV198" s="17"/>
      <c r="AW198" s="17"/>
      <c r="AX198" s="17"/>
      <c r="BB198" s="17"/>
    </row>
    <row r="199" spans="1:54" x14ac:dyDescent="0.2">
      <c r="A199" s="17" t="s">
        <v>41</v>
      </c>
      <c r="B199" s="18" t="s">
        <v>42</v>
      </c>
      <c r="C199" s="18" t="str">
        <f t="shared" si="62"/>
        <v>BI10.5</v>
      </c>
      <c r="D199" s="18" t="str">
        <f t="shared" si="63"/>
        <v>BI10.5_198</v>
      </c>
      <c r="E199" s="17">
        <v>5</v>
      </c>
      <c r="F199" s="19">
        <v>198</v>
      </c>
      <c r="G199" s="20">
        <v>2.2000000000000002</v>
      </c>
      <c r="H199" s="20">
        <v>2.4</v>
      </c>
      <c r="I199" s="20">
        <v>0.9</v>
      </c>
      <c r="J199" s="20">
        <f t="shared" si="61"/>
        <v>3.7373849999999993</v>
      </c>
      <c r="K199" s="53">
        <v>0.19124999999999978</v>
      </c>
      <c r="L199" s="20">
        <f t="shared" si="56"/>
        <v>35.196249999999907</v>
      </c>
      <c r="M199" s="20">
        <f t="shared" si="56"/>
        <v>36.096249999999912</v>
      </c>
      <c r="N199" s="20">
        <f t="shared" si="56"/>
        <v>35.646249999999895</v>
      </c>
      <c r="O199" s="20">
        <f>P198+$AO$175</f>
        <v>195.19624999999991</v>
      </c>
      <c r="P199" s="20">
        <f t="shared" si="60"/>
        <v>196.09624999999991</v>
      </c>
      <c r="Q199" s="20">
        <f t="shared" si="71"/>
        <v>195.6462499999999</v>
      </c>
      <c r="R199" s="20">
        <f t="shared" si="57"/>
        <v>187.69624999999991</v>
      </c>
      <c r="S199" s="20">
        <f t="shared" si="58"/>
        <v>188.59624999999991</v>
      </c>
      <c r="T199" s="20">
        <f t="shared" si="59"/>
        <v>188.1462499999999</v>
      </c>
      <c r="U199" s="20">
        <v>188.1462499999999</v>
      </c>
      <c r="V199" s="22">
        <v>5.6311</v>
      </c>
      <c r="W199" s="22">
        <v>1.9238</v>
      </c>
      <c r="X199" s="23">
        <v>1.1476266666666668</v>
      </c>
      <c r="Y199" s="23">
        <f t="shared" si="64"/>
        <v>4.4834733333333334</v>
      </c>
      <c r="Z199" s="23">
        <f t="shared" si="65"/>
        <v>0.77617333333333316</v>
      </c>
      <c r="AA199" s="22">
        <f t="shared" si="66"/>
        <v>82.688124237012673</v>
      </c>
      <c r="AB199" s="22">
        <f t="shared" si="67"/>
        <v>17.311875762987327</v>
      </c>
      <c r="AC199" s="22">
        <f t="shared" si="68"/>
        <v>1.1996284389575422</v>
      </c>
      <c r="AD199" s="22">
        <f t="shared" si="69"/>
        <v>0.20767818496979393</v>
      </c>
      <c r="AE199" s="24">
        <v>4.8708</v>
      </c>
      <c r="AF199" s="24">
        <v>5.1932999999999998</v>
      </c>
      <c r="AG199" s="24">
        <v>4.9377000000000004</v>
      </c>
      <c r="AH199" s="25">
        <f>AG199-AE199</f>
        <v>6.6900000000000404E-2</v>
      </c>
      <c r="AI199" s="25">
        <v>79.255813953488229</v>
      </c>
      <c r="AJ199" s="26">
        <v>3.9627906976744116</v>
      </c>
      <c r="AK199" s="25">
        <v>39.627906976744114</v>
      </c>
      <c r="AL199" s="26">
        <v>3.9638125729624063</v>
      </c>
      <c r="AM199" s="17">
        <f t="shared" si="70"/>
        <v>0.5780346820809249</v>
      </c>
      <c r="AN199" s="17"/>
      <c r="AO199" s="27"/>
      <c r="AP199" s="17"/>
      <c r="AQ199" s="17"/>
      <c r="AR199" s="17"/>
      <c r="AS199" s="17"/>
      <c r="AT199" s="17"/>
      <c r="AU199" s="17"/>
      <c r="AV199" s="17"/>
      <c r="AW199" s="17"/>
      <c r="AX199" s="17"/>
      <c r="BB199" s="17"/>
    </row>
    <row r="200" spans="1:54" x14ac:dyDescent="0.2">
      <c r="A200" s="17" t="s">
        <v>41</v>
      </c>
      <c r="B200" s="18" t="s">
        <v>42</v>
      </c>
      <c r="C200" s="18" t="str">
        <f t="shared" si="62"/>
        <v>BI10.5</v>
      </c>
      <c r="D200" s="18" t="str">
        <f t="shared" si="63"/>
        <v>BI10.5_199</v>
      </c>
      <c r="E200" s="17">
        <v>5</v>
      </c>
      <c r="F200" s="19">
        <v>199</v>
      </c>
      <c r="G200" s="20">
        <v>2.15</v>
      </c>
      <c r="H200" s="20">
        <v>2.5</v>
      </c>
      <c r="I200" s="20">
        <v>1</v>
      </c>
      <c r="J200" s="20">
        <f t="shared" si="61"/>
        <v>4.2434156250000008</v>
      </c>
      <c r="K200" s="53">
        <v>0.19124999999999978</v>
      </c>
      <c r="L200" s="20">
        <f t="shared" si="56"/>
        <v>36.287499999999909</v>
      </c>
      <c r="M200" s="20">
        <f t="shared" si="56"/>
        <v>37.287499999999909</v>
      </c>
      <c r="N200" s="20">
        <f t="shared" si="56"/>
        <v>36.787499999999909</v>
      </c>
      <c r="O200" s="20">
        <f>P199+$AO$175</f>
        <v>196.28749999999991</v>
      </c>
      <c r="P200" s="20">
        <f t="shared" si="60"/>
        <v>197.28749999999991</v>
      </c>
      <c r="Q200" s="20">
        <f t="shared" si="71"/>
        <v>196.78749999999991</v>
      </c>
      <c r="R200" s="20">
        <f t="shared" si="57"/>
        <v>188.78749999999991</v>
      </c>
      <c r="S200" s="20">
        <f t="shared" si="58"/>
        <v>189.78749999999991</v>
      </c>
      <c r="T200" s="20">
        <f t="shared" si="59"/>
        <v>189.28749999999991</v>
      </c>
      <c r="U200" s="20">
        <v>189.28749999999991</v>
      </c>
      <c r="V200" s="22">
        <v>5.8430999999999997</v>
      </c>
      <c r="W200" s="22">
        <v>1.9665999999999999</v>
      </c>
      <c r="X200" s="23">
        <v>1.1476266666666668</v>
      </c>
      <c r="Y200" s="23">
        <f t="shared" si="64"/>
        <v>4.6954733333333332</v>
      </c>
      <c r="Z200" s="23">
        <f t="shared" si="65"/>
        <v>0.81897333333333311</v>
      </c>
      <c r="AA200" s="22">
        <f t="shared" si="66"/>
        <v>82.55823694025878</v>
      </c>
      <c r="AB200" s="22">
        <f t="shared" si="67"/>
        <v>17.44176305974122</v>
      </c>
      <c r="AC200" s="22">
        <f t="shared" si="68"/>
        <v>1.1065315652018726</v>
      </c>
      <c r="AD200" s="22">
        <f t="shared" si="69"/>
        <v>0.19299861378375657</v>
      </c>
      <c r="AE200" s="24">
        <v>4.7154999999999996</v>
      </c>
      <c r="AF200" s="24">
        <v>5.0606</v>
      </c>
      <c r="AG200" s="24">
        <v>4.7798999999999996</v>
      </c>
      <c r="AH200" s="25">
        <f>AG200-AE200</f>
        <v>6.4400000000000013E-2</v>
      </c>
      <c r="AI200" s="25">
        <v>81.33874239350915</v>
      </c>
      <c r="AJ200" s="26">
        <v>4.0669371196754573</v>
      </c>
      <c r="AK200" s="25">
        <v>40.669371196754575</v>
      </c>
      <c r="AL200" s="26">
        <v>4.0679328331960081</v>
      </c>
      <c r="AM200" s="17">
        <f t="shared" si="70"/>
        <v>0.5780346820809249</v>
      </c>
      <c r="AN200" s="17"/>
      <c r="AO200" s="27"/>
      <c r="AP200" s="17"/>
      <c r="AQ200" s="17"/>
      <c r="AR200" s="17"/>
      <c r="AS200" s="17"/>
      <c r="AT200" s="17"/>
      <c r="AU200" s="17"/>
      <c r="AV200" s="17"/>
      <c r="AW200" s="17"/>
      <c r="AX200" s="17"/>
      <c r="BB200" s="17"/>
    </row>
    <row r="201" spans="1:54" x14ac:dyDescent="0.2">
      <c r="A201" s="17" t="s">
        <v>41</v>
      </c>
      <c r="B201" s="18" t="s">
        <v>42</v>
      </c>
      <c r="C201" s="18" t="str">
        <f t="shared" si="62"/>
        <v>BI10.5</v>
      </c>
      <c r="D201" s="18" t="str">
        <f t="shared" si="63"/>
        <v>BI10.5_200</v>
      </c>
      <c r="E201" s="17">
        <v>5</v>
      </c>
      <c r="F201" s="19">
        <v>200</v>
      </c>
      <c r="G201" s="20">
        <v>2</v>
      </c>
      <c r="H201" s="20">
        <v>2.2999999999999998</v>
      </c>
      <c r="I201" s="20">
        <v>1</v>
      </c>
      <c r="J201" s="20">
        <f t="shared" si="61"/>
        <v>3.6286624999999999</v>
      </c>
      <c r="K201" s="53">
        <v>0.19124999999999978</v>
      </c>
      <c r="L201" s="20">
        <f t="shared" si="56"/>
        <v>37.478749999999906</v>
      </c>
      <c r="M201" s="20">
        <f t="shared" si="56"/>
        <v>38.478749999999906</v>
      </c>
      <c r="N201" s="20">
        <f t="shared" si="56"/>
        <v>37.978749999999906</v>
      </c>
      <c r="O201" s="20">
        <f>P200+$AO$175</f>
        <v>197.47874999999991</v>
      </c>
      <c r="P201" s="20">
        <f t="shared" si="60"/>
        <v>198.47874999999991</v>
      </c>
      <c r="Q201" s="20">
        <f t="shared" si="71"/>
        <v>197.97874999999991</v>
      </c>
      <c r="R201" s="20">
        <f t="shared" si="57"/>
        <v>189.97874999999991</v>
      </c>
      <c r="S201" s="20">
        <f t="shared" si="58"/>
        <v>190.97874999999991</v>
      </c>
      <c r="T201" s="20">
        <f t="shared" si="59"/>
        <v>190.47874999999991</v>
      </c>
      <c r="U201" s="20">
        <v>190.47874999999991</v>
      </c>
      <c r="V201" s="22">
        <v>5.7007000000000003</v>
      </c>
      <c r="W201" s="22">
        <v>1.8636999999999999</v>
      </c>
      <c r="X201" s="23">
        <v>1.1476266666666668</v>
      </c>
      <c r="Y201" s="23">
        <f t="shared" si="64"/>
        <v>4.5530733333333337</v>
      </c>
      <c r="Z201" s="23">
        <f t="shared" si="65"/>
        <v>0.71607333333333312</v>
      </c>
      <c r="AA201" s="22">
        <f t="shared" si="66"/>
        <v>84.272747638591369</v>
      </c>
      <c r="AB201" s="22">
        <f t="shared" si="67"/>
        <v>15.727252361408631</v>
      </c>
      <c r="AC201" s="22">
        <f t="shared" si="68"/>
        <v>1.2547524971896211</v>
      </c>
      <c r="AD201" s="22">
        <f t="shared" si="69"/>
        <v>0.1973380917440884</v>
      </c>
      <c r="AE201" s="24">
        <v>4.7043999999999997</v>
      </c>
      <c r="AF201" s="24">
        <v>5.0502000000000002</v>
      </c>
      <c r="AG201" s="24">
        <v>4.7805999999999997</v>
      </c>
      <c r="AH201" s="25">
        <f>AG201-AE201</f>
        <v>7.6200000000000045E-2</v>
      </c>
      <c r="AI201" s="25">
        <v>77.964141122035883</v>
      </c>
      <c r="AJ201" s="26">
        <v>3.8982070561017945</v>
      </c>
      <c r="AK201" s="25">
        <v>38.982070561017942</v>
      </c>
      <c r="AL201" s="26">
        <v>3.8992458568602495</v>
      </c>
      <c r="AM201" s="17">
        <f t="shared" si="70"/>
        <v>0.5780346820809249</v>
      </c>
      <c r="AN201" s="17"/>
      <c r="AO201" s="27"/>
      <c r="AP201" s="17"/>
      <c r="AQ201" s="17"/>
      <c r="AR201" s="17"/>
      <c r="AS201" s="17"/>
      <c r="AT201" s="17"/>
      <c r="AU201" s="17"/>
      <c r="AV201" s="17"/>
      <c r="AW201" s="17"/>
      <c r="AX201" s="17"/>
      <c r="BB201" s="17"/>
    </row>
    <row r="202" spans="1:54" x14ac:dyDescent="0.2">
      <c r="A202" s="17" t="s">
        <v>41</v>
      </c>
      <c r="B202" s="18" t="s">
        <v>42</v>
      </c>
      <c r="C202" s="18" t="str">
        <f t="shared" si="62"/>
        <v>BI10.5</v>
      </c>
      <c r="D202" s="18" t="str">
        <f t="shared" si="63"/>
        <v>BI10.5_201</v>
      </c>
      <c r="E202" s="17">
        <v>5</v>
      </c>
      <c r="F202" s="19">
        <v>201</v>
      </c>
      <c r="G202" s="20">
        <v>2.5</v>
      </c>
      <c r="H202" s="20">
        <v>2.4500000000000002</v>
      </c>
      <c r="I202" s="20">
        <v>1</v>
      </c>
      <c r="J202" s="20">
        <f t="shared" si="61"/>
        <v>4.8086156250000007</v>
      </c>
      <c r="K202" s="53">
        <v>0.19124999999999978</v>
      </c>
      <c r="L202" s="20">
        <f t="shared" si="56"/>
        <v>38.669999999999902</v>
      </c>
      <c r="M202" s="20">
        <f t="shared" si="56"/>
        <v>39.669999999999902</v>
      </c>
      <c r="N202" s="20">
        <f t="shared" si="56"/>
        <v>39.169999999999902</v>
      </c>
      <c r="O202" s="20">
        <f>P201+$AO$175</f>
        <v>198.6699999999999</v>
      </c>
      <c r="P202" s="20">
        <f t="shared" si="60"/>
        <v>199.6699999999999</v>
      </c>
      <c r="Q202" s="20">
        <f t="shared" si="71"/>
        <v>199.1699999999999</v>
      </c>
      <c r="R202" s="20">
        <f t="shared" si="57"/>
        <v>191.1699999999999</v>
      </c>
      <c r="S202" s="20">
        <f t="shared" si="58"/>
        <v>192.1699999999999</v>
      </c>
      <c r="T202" s="20">
        <f t="shared" si="59"/>
        <v>191.6699999999999</v>
      </c>
      <c r="U202" s="20">
        <v>191.6699999999999</v>
      </c>
      <c r="V202" s="22">
        <v>6.4058000000000002</v>
      </c>
      <c r="W202" s="22">
        <v>1.9684999999999999</v>
      </c>
      <c r="X202" s="23">
        <v>1.1476266666666668</v>
      </c>
      <c r="Y202" s="23">
        <f t="shared" si="64"/>
        <v>5.2581733333333336</v>
      </c>
      <c r="Z202" s="23">
        <f t="shared" si="65"/>
        <v>0.82087333333333312</v>
      </c>
      <c r="AA202" s="22">
        <f t="shared" si="66"/>
        <v>84.388621650611242</v>
      </c>
      <c r="AB202" s="22">
        <f t="shared" si="67"/>
        <v>15.611378349388758</v>
      </c>
      <c r="AC202" s="22">
        <f t="shared" si="68"/>
        <v>1.0934900485695054</v>
      </c>
      <c r="AD202" s="22">
        <f t="shared" si="69"/>
        <v>0.17070886869510038</v>
      </c>
      <c r="AE202" s="24">
        <v>4.8234000000000004</v>
      </c>
      <c r="AF202" s="24">
        <v>5.0838000000000001</v>
      </c>
      <c r="AG202" s="24">
        <v>4.8734999999999999</v>
      </c>
      <c r="AH202" s="25">
        <f>AG202-AE202</f>
        <v>5.0099999999999589E-2</v>
      </c>
      <c r="AI202" s="25">
        <v>80.760368663594605</v>
      </c>
      <c r="AJ202" s="26">
        <v>4.0380184331797304</v>
      </c>
      <c r="AK202" s="25">
        <v>40.380184331797302</v>
      </c>
      <c r="AL202" s="26">
        <v>4.0390212758413746</v>
      </c>
      <c r="AM202" s="17">
        <f t="shared" si="70"/>
        <v>0.5780346820809249</v>
      </c>
      <c r="AN202" s="17"/>
      <c r="AO202" s="27"/>
      <c r="AP202" s="17"/>
      <c r="AQ202" s="17"/>
      <c r="AR202" s="17"/>
      <c r="AS202" s="17"/>
      <c r="AT202" s="17"/>
      <c r="AU202" s="17"/>
      <c r="AV202" s="17"/>
      <c r="AW202" s="17"/>
      <c r="AX202" s="17"/>
      <c r="BB202" s="17"/>
    </row>
    <row r="203" spans="1:54" x14ac:dyDescent="0.2">
      <c r="A203" s="17" t="s">
        <v>41</v>
      </c>
      <c r="B203" s="18" t="s">
        <v>42</v>
      </c>
      <c r="C203" s="18" t="str">
        <f t="shared" si="62"/>
        <v>BI10.5</v>
      </c>
      <c r="D203" s="18" t="str">
        <f t="shared" si="63"/>
        <v>BI10.5_202</v>
      </c>
      <c r="E203" s="17">
        <v>5</v>
      </c>
      <c r="F203" s="19">
        <v>202</v>
      </c>
      <c r="G203" s="20">
        <v>2.5</v>
      </c>
      <c r="H203" s="20">
        <v>2.5</v>
      </c>
      <c r="I203" s="20">
        <v>0.95</v>
      </c>
      <c r="J203" s="20">
        <f t="shared" si="61"/>
        <v>4.6609375000000002</v>
      </c>
      <c r="K203" s="53">
        <v>0.19124999999999978</v>
      </c>
      <c r="L203" s="20">
        <f t="shared" si="56"/>
        <v>39.861249999999899</v>
      </c>
      <c r="M203" s="20">
        <f t="shared" si="56"/>
        <v>40.811249999999887</v>
      </c>
      <c r="N203" s="20">
        <f t="shared" si="56"/>
        <v>40.336249999999893</v>
      </c>
      <c r="O203" s="20">
        <f>P202+$AO$175</f>
        <v>199.8612499999999</v>
      </c>
      <c r="P203" s="20">
        <f t="shared" si="60"/>
        <v>200.81124999999989</v>
      </c>
      <c r="Q203" s="20">
        <f t="shared" si="71"/>
        <v>200.33624999999989</v>
      </c>
      <c r="R203" s="20">
        <f t="shared" si="57"/>
        <v>192.3612499999999</v>
      </c>
      <c r="S203" s="20">
        <f t="shared" si="58"/>
        <v>193.31124999999989</v>
      </c>
      <c r="T203" s="20">
        <f t="shared" si="59"/>
        <v>192.83624999999989</v>
      </c>
      <c r="U203" s="20">
        <v>192.83624999999989</v>
      </c>
      <c r="V203" s="22">
        <v>6.3540999999999999</v>
      </c>
      <c r="W203" s="22">
        <v>2.0255999999999998</v>
      </c>
      <c r="X203" s="23">
        <v>1.1476266666666668</v>
      </c>
      <c r="Y203" s="23">
        <f t="shared" si="64"/>
        <v>5.2064733333333333</v>
      </c>
      <c r="Z203" s="23">
        <f t="shared" si="65"/>
        <v>0.87797333333333305</v>
      </c>
      <c r="AA203" s="22">
        <f t="shared" si="66"/>
        <v>83.136889846101838</v>
      </c>
      <c r="AB203" s="22">
        <f t="shared" si="67"/>
        <v>16.863110153898162</v>
      </c>
      <c r="AC203" s="22">
        <f t="shared" si="68"/>
        <v>1.1170442284054083</v>
      </c>
      <c r="AD203" s="22">
        <f t="shared" si="69"/>
        <v>0.1883683987037657</v>
      </c>
      <c r="AE203" s="24">
        <v>4.8362999999999996</v>
      </c>
      <c r="AF203" s="24">
        <v>5.1420000000000003</v>
      </c>
      <c r="AG203" s="24">
        <v>4.9051999999999998</v>
      </c>
      <c r="AH203" s="25">
        <f>AG203-AE203</f>
        <v>6.8900000000000183E-2</v>
      </c>
      <c r="AI203" s="25">
        <v>77.461563624468425</v>
      </c>
      <c r="AJ203" s="26">
        <v>3.8730781812234216</v>
      </c>
      <c r="AK203" s="25">
        <v>38.730781812234213</v>
      </c>
      <c r="AL203" s="26">
        <v>3.8741237200002954</v>
      </c>
      <c r="AM203" s="17">
        <f t="shared" si="70"/>
        <v>0.5780346820809249</v>
      </c>
      <c r="AN203" s="17"/>
      <c r="AO203" s="27"/>
      <c r="AP203" s="17"/>
      <c r="AQ203" s="17"/>
      <c r="AR203" s="17"/>
      <c r="AS203" s="17"/>
      <c r="AT203" s="17"/>
      <c r="AU203" s="17"/>
      <c r="AV203" s="17"/>
      <c r="AW203" s="17"/>
      <c r="AX203" s="17"/>
      <c r="BB203" s="17"/>
    </row>
    <row r="204" spans="1:54" x14ac:dyDescent="0.2">
      <c r="A204" s="17" t="s">
        <v>41</v>
      </c>
      <c r="B204" s="18" t="s">
        <v>42</v>
      </c>
      <c r="C204" s="18" t="str">
        <f t="shared" si="62"/>
        <v>BI10.5</v>
      </c>
      <c r="D204" s="18" t="str">
        <f t="shared" si="63"/>
        <v>BI10.5_203</v>
      </c>
      <c r="E204" s="17">
        <v>5</v>
      </c>
      <c r="F204" s="19">
        <v>203</v>
      </c>
      <c r="G204" s="20">
        <v>2.1</v>
      </c>
      <c r="H204" s="20">
        <v>2.2999999999999998</v>
      </c>
      <c r="I204" s="20">
        <v>0.95</v>
      </c>
      <c r="J204" s="20">
        <f t="shared" si="61"/>
        <v>3.6094300000000006</v>
      </c>
      <c r="K204" s="53">
        <v>0.19124999999999978</v>
      </c>
      <c r="L204" s="20">
        <f t="shared" si="56"/>
        <v>41.002499999999884</v>
      </c>
      <c r="M204" s="20">
        <f t="shared" si="56"/>
        <v>41.952499999999873</v>
      </c>
      <c r="N204" s="20">
        <f t="shared" si="56"/>
        <v>41.477499999999878</v>
      </c>
      <c r="O204" s="20">
        <f>P203+$AO$175</f>
        <v>201.00249999999988</v>
      </c>
      <c r="P204" s="20">
        <f t="shared" si="60"/>
        <v>201.95249999999987</v>
      </c>
      <c r="Q204" s="20">
        <f t="shared" si="71"/>
        <v>201.47749999999988</v>
      </c>
      <c r="R204" s="20">
        <f t="shared" si="57"/>
        <v>193.50249999999988</v>
      </c>
      <c r="S204" s="20">
        <f t="shared" si="58"/>
        <v>194.45249999999987</v>
      </c>
      <c r="T204" s="20">
        <f t="shared" si="59"/>
        <v>193.97749999999988</v>
      </c>
      <c r="U204" s="20">
        <v>193.97749999999988</v>
      </c>
      <c r="V204" s="22">
        <v>5.9006999999999996</v>
      </c>
      <c r="W204" s="22">
        <v>1.93</v>
      </c>
      <c r="X204" s="23">
        <v>1.1476266666666668</v>
      </c>
      <c r="Y204" s="23">
        <f t="shared" si="64"/>
        <v>4.753073333333333</v>
      </c>
      <c r="Z204" s="23">
        <f t="shared" si="65"/>
        <v>0.78237333333333314</v>
      </c>
      <c r="AA204" s="22">
        <f t="shared" si="66"/>
        <v>83.539632602624835</v>
      </c>
      <c r="AB204" s="22">
        <f t="shared" si="67"/>
        <v>16.460367397375165</v>
      </c>
      <c r="AC204" s="22">
        <f t="shared" si="68"/>
        <v>1.316848736042348</v>
      </c>
      <c r="AD204" s="22">
        <f t="shared" si="69"/>
        <v>0.21675814002026164</v>
      </c>
      <c r="AE204" s="24">
        <v>4.8933999999999997</v>
      </c>
      <c r="AF204" s="24">
        <v>5.2487000000000004</v>
      </c>
      <c r="AG204" s="24">
        <v>5.0225</v>
      </c>
      <c r="AH204" s="25">
        <f>AG204-AE204</f>
        <v>0.12910000000000021</v>
      </c>
      <c r="AI204" s="25">
        <v>63.664508865747258</v>
      </c>
      <c r="AJ204" s="26">
        <v>3.183225443287363</v>
      </c>
      <c r="AK204" s="25">
        <v>31.832254432873629</v>
      </c>
      <c r="AL204" s="26">
        <v>3.184497483558753</v>
      </c>
      <c r="AM204" s="17">
        <f t="shared" si="70"/>
        <v>0.5780346820809249</v>
      </c>
      <c r="AN204" s="17"/>
      <c r="AO204" s="27"/>
      <c r="AP204" s="17"/>
      <c r="AQ204" s="17"/>
      <c r="AR204" s="17"/>
      <c r="AS204" s="17"/>
      <c r="AT204" s="17"/>
      <c r="AU204" s="17"/>
      <c r="AV204" s="17"/>
      <c r="AW204" s="17"/>
      <c r="AX204" s="17"/>
      <c r="BB204" s="17"/>
    </row>
    <row r="205" spans="1:54" x14ac:dyDescent="0.2">
      <c r="A205" s="17" t="s">
        <v>41</v>
      </c>
      <c r="B205" s="18" t="s">
        <v>42</v>
      </c>
      <c r="C205" s="18" t="str">
        <f t="shared" si="62"/>
        <v>BI10.5</v>
      </c>
      <c r="D205" s="18" t="str">
        <f t="shared" si="63"/>
        <v>BI10.5_204</v>
      </c>
      <c r="E205" s="17">
        <v>5</v>
      </c>
      <c r="F205" s="19">
        <v>204</v>
      </c>
      <c r="G205" s="20">
        <v>3.1</v>
      </c>
      <c r="H205" s="20">
        <v>2.4500000000000002</v>
      </c>
      <c r="I205" s="20">
        <v>0.95</v>
      </c>
      <c r="J205" s="20">
        <f t="shared" si="61"/>
        <v>5.7427410937500021</v>
      </c>
      <c r="K205" s="53">
        <v>0.19124999999999978</v>
      </c>
      <c r="L205" s="20">
        <f t="shared" si="56"/>
        <v>42.143749999999869</v>
      </c>
      <c r="M205" s="20">
        <f t="shared" si="56"/>
        <v>43.093749999999858</v>
      </c>
      <c r="N205" s="20">
        <f t="shared" si="56"/>
        <v>42.618749999999864</v>
      </c>
      <c r="O205" s="20">
        <f>P204+$AO$175</f>
        <v>202.14374999999987</v>
      </c>
      <c r="P205" s="20">
        <f t="shared" si="60"/>
        <v>203.09374999999986</v>
      </c>
      <c r="Q205" s="20">
        <f t="shared" si="71"/>
        <v>202.61874999999986</v>
      </c>
      <c r="R205" s="20">
        <f t="shared" si="57"/>
        <v>194.64374999999987</v>
      </c>
      <c r="S205" s="20">
        <f t="shared" si="58"/>
        <v>195.59374999999986</v>
      </c>
      <c r="T205" s="20">
        <f t="shared" si="59"/>
        <v>195.11874999999986</v>
      </c>
      <c r="U205" s="20">
        <v>195.11874999999986</v>
      </c>
      <c r="V205" s="22">
        <v>5.7248000000000001</v>
      </c>
      <c r="W205" s="22">
        <v>1.9539</v>
      </c>
      <c r="X205" s="23">
        <v>1.1476266666666668</v>
      </c>
      <c r="Y205" s="23">
        <f t="shared" si="64"/>
        <v>4.5771733333333335</v>
      </c>
      <c r="Z205" s="23">
        <f t="shared" si="65"/>
        <v>0.80627333333333318</v>
      </c>
      <c r="AA205" s="22">
        <f t="shared" si="66"/>
        <v>82.384907133369069</v>
      </c>
      <c r="AB205" s="22">
        <f t="shared" si="67"/>
        <v>17.615092866630931</v>
      </c>
      <c r="AC205" s="22">
        <f t="shared" si="68"/>
        <v>0.79703633832888776</v>
      </c>
      <c r="AD205" s="22">
        <f t="shared" si="69"/>
        <v>0.14039869117742826</v>
      </c>
      <c r="AE205" s="24">
        <v>5.1360999999999999</v>
      </c>
      <c r="AF205" s="24">
        <v>5.4627999999999997</v>
      </c>
      <c r="AG205" s="24">
        <v>5.2</v>
      </c>
      <c r="AH205" s="25">
        <f>AG205-AE205</f>
        <v>6.390000000000029E-2</v>
      </c>
      <c r="AI205" s="25">
        <v>80.44077134986216</v>
      </c>
      <c r="AJ205" s="26">
        <v>4.0220385674931078</v>
      </c>
      <c r="AK205" s="25">
        <v>40.22038567493108</v>
      </c>
      <c r="AL205" s="26">
        <v>4.0230453935298831</v>
      </c>
      <c r="AM205" s="17">
        <f t="shared" si="70"/>
        <v>0.5780346820809249</v>
      </c>
      <c r="AN205" s="17"/>
      <c r="AO205" s="27"/>
      <c r="AP205" s="17"/>
      <c r="AQ205" s="17"/>
      <c r="AR205" s="17"/>
      <c r="AS205" s="17"/>
      <c r="AT205" s="17"/>
      <c r="AU205" s="17"/>
      <c r="AV205" s="17"/>
      <c r="AW205" s="17"/>
      <c r="AX205" s="17"/>
      <c r="BB205" s="17"/>
    </row>
    <row r="206" spans="1:54" x14ac:dyDescent="0.2">
      <c r="A206" s="17" t="s">
        <v>41</v>
      </c>
      <c r="B206" s="18" t="s">
        <v>42</v>
      </c>
      <c r="C206" s="18" t="str">
        <f t="shared" si="62"/>
        <v>BI10.5</v>
      </c>
      <c r="D206" s="18" t="str">
        <f t="shared" si="63"/>
        <v>BI10.5_205</v>
      </c>
      <c r="E206" s="17">
        <v>5</v>
      </c>
      <c r="F206" s="19">
        <v>205</v>
      </c>
      <c r="G206" s="20">
        <v>2.35</v>
      </c>
      <c r="H206" s="20">
        <v>2.1</v>
      </c>
      <c r="I206" s="20">
        <v>0.95</v>
      </c>
      <c r="J206" s="20">
        <f t="shared" si="61"/>
        <v>3.6919285937500002</v>
      </c>
      <c r="K206" s="53">
        <v>0.19124999999999978</v>
      </c>
      <c r="L206" s="20">
        <f t="shared" si="56"/>
        <v>43.284999999999854</v>
      </c>
      <c r="M206" s="20">
        <f t="shared" si="56"/>
        <v>44.234999999999843</v>
      </c>
      <c r="N206" s="20">
        <f t="shared" si="56"/>
        <v>43.759999999999849</v>
      </c>
      <c r="O206" s="20">
        <f>P205+$AO$175</f>
        <v>203.28499999999985</v>
      </c>
      <c r="P206" s="20">
        <f t="shared" si="60"/>
        <v>204.23499999999984</v>
      </c>
      <c r="Q206" s="20">
        <f t="shared" si="71"/>
        <v>203.75999999999985</v>
      </c>
      <c r="R206" s="20">
        <f t="shared" si="57"/>
        <v>195.78499999999985</v>
      </c>
      <c r="S206" s="20">
        <f t="shared" si="58"/>
        <v>196.73499999999984</v>
      </c>
      <c r="T206" s="20">
        <f t="shared" si="59"/>
        <v>196.25999999999985</v>
      </c>
      <c r="U206" s="20">
        <v>196.25999999999985</v>
      </c>
      <c r="V206" s="22">
        <v>5.4474999999999998</v>
      </c>
      <c r="W206" s="22">
        <v>1.8835999999999999</v>
      </c>
      <c r="X206" s="23">
        <v>1.1476266666666668</v>
      </c>
      <c r="Y206" s="23">
        <f t="shared" si="64"/>
        <v>4.2998733333333332</v>
      </c>
      <c r="Z206" s="23">
        <f t="shared" si="65"/>
        <v>0.73597333333333315</v>
      </c>
      <c r="AA206" s="22">
        <f t="shared" si="66"/>
        <v>82.883836888218426</v>
      </c>
      <c r="AB206" s="22">
        <f t="shared" si="67"/>
        <v>17.116163111781574</v>
      </c>
      <c r="AC206" s="22">
        <f t="shared" si="68"/>
        <v>1.1646686072456851</v>
      </c>
      <c r="AD206" s="22">
        <f t="shared" si="69"/>
        <v>0.19934657852788629</v>
      </c>
      <c r="AE206" s="24">
        <v>4.5532000000000004</v>
      </c>
      <c r="AF206" s="24">
        <v>4.8357999999999999</v>
      </c>
      <c r="AG206" s="24">
        <v>4.6028000000000002</v>
      </c>
      <c r="AH206" s="25">
        <f>AG206-AE206</f>
        <v>4.9599999999999866E-2</v>
      </c>
      <c r="AI206" s="25">
        <v>82.448690728945522</v>
      </c>
      <c r="AJ206" s="26">
        <v>4.1224345364472761</v>
      </c>
      <c r="AK206" s="25">
        <v>41.224345364472761</v>
      </c>
      <c r="AL206" s="26">
        <v>4.1234168485969578</v>
      </c>
      <c r="AM206" s="17">
        <f t="shared" si="70"/>
        <v>0.5780346820809249</v>
      </c>
      <c r="AN206" s="17"/>
      <c r="AO206" s="27"/>
      <c r="AP206" s="17"/>
      <c r="AQ206" s="17"/>
      <c r="AR206" s="17"/>
      <c r="AS206" s="17"/>
      <c r="AT206" s="17"/>
      <c r="AU206" s="17"/>
      <c r="AV206" s="17"/>
      <c r="AW206" s="17"/>
      <c r="AX206" s="17"/>
      <c r="BB206" s="17"/>
    </row>
    <row r="207" spans="1:54" x14ac:dyDescent="0.2">
      <c r="A207" s="17" t="s">
        <v>41</v>
      </c>
      <c r="B207" s="18" t="s">
        <v>42</v>
      </c>
      <c r="C207" s="18" t="str">
        <f t="shared" si="62"/>
        <v>BI10.5</v>
      </c>
      <c r="D207" s="18" t="str">
        <f t="shared" si="63"/>
        <v>BI10.5_206</v>
      </c>
      <c r="E207" s="17">
        <v>5</v>
      </c>
      <c r="F207" s="19">
        <v>206</v>
      </c>
      <c r="G207" s="20">
        <v>2.0499999999999998</v>
      </c>
      <c r="H207" s="20">
        <v>2.5</v>
      </c>
      <c r="I207" s="20">
        <v>1</v>
      </c>
      <c r="J207" s="20">
        <f t="shared" si="61"/>
        <v>4.0628656249999997</v>
      </c>
      <c r="K207" s="53">
        <v>0.19124999999999978</v>
      </c>
      <c r="L207" s="20">
        <f t="shared" si="56"/>
        <v>44.42624999999984</v>
      </c>
      <c r="M207" s="20">
        <f t="shared" si="56"/>
        <v>45.42624999999984</v>
      </c>
      <c r="N207" s="20">
        <f t="shared" si="56"/>
        <v>44.92624999999984</v>
      </c>
      <c r="O207" s="20">
        <f>P206+$AO$175</f>
        <v>204.42624999999984</v>
      </c>
      <c r="P207" s="20">
        <f t="shared" si="60"/>
        <v>205.42624999999984</v>
      </c>
      <c r="Q207" s="20">
        <f t="shared" si="71"/>
        <v>204.92624999999984</v>
      </c>
      <c r="R207" s="20">
        <f t="shared" si="57"/>
        <v>196.92624999999984</v>
      </c>
      <c r="S207" s="20">
        <f t="shared" si="58"/>
        <v>197.92624999999984</v>
      </c>
      <c r="T207" s="20">
        <f t="shared" si="59"/>
        <v>197.42624999999984</v>
      </c>
      <c r="U207" s="20">
        <v>197.42624999999984</v>
      </c>
      <c r="V207" s="22">
        <v>5.6551999999999998</v>
      </c>
      <c r="W207" s="22">
        <v>1.9240999999999999</v>
      </c>
      <c r="X207" s="23">
        <v>1.1476266666666668</v>
      </c>
      <c r="Y207" s="23">
        <f t="shared" si="64"/>
        <v>4.5075733333333332</v>
      </c>
      <c r="Z207" s="23">
        <f t="shared" si="65"/>
        <v>0.77647333333333313</v>
      </c>
      <c r="AA207" s="22">
        <f t="shared" si="66"/>
        <v>82.774027710401469</v>
      </c>
      <c r="AB207" s="22">
        <f t="shared" si="67"/>
        <v>17.225972289598531</v>
      </c>
      <c r="AC207" s="22">
        <f t="shared" si="68"/>
        <v>1.109456661720958</v>
      </c>
      <c r="AD207" s="22">
        <f t="shared" si="69"/>
        <v>0.19111469711315721</v>
      </c>
      <c r="AE207" s="24">
        <v>4.9505999999999997</v>
      </c>
      <c r="AF207" s="24">
        <v>5.2049000000000003</v>
      </c>
      <c r="AG207" s="24">
        <v>4.9962</v>
      </c>
      <c r="AH207" s="25">
        <f>AG207-AE207</f>
        <v>4.5600000000000307E-2</v>
      </c>
      <c r="AI207" s="25">
        <v>82.068423122296423</v>
      </c>
      <c r="AJ207" s="26">
        <v>4.1034211561148215</v>
      </c>
      <c r="AK207" s="25">
        <v>41.034211561148211</v>
      </c>
      <c r="AL207" s="26">
        <v>4.104408018758698</v>
      </c>
      <c r="AM207" s="17">
        <f t="shared" si="70"/>
        <v>0.5780346820809249</v>
      </c>
      <c r="AN207" s="17"/>
      <c r="AO207" s="27"/>
      <c r="AP207" s="17"/>
      <c r="AQ207" s="17"/>
      <c r="AR207" s="17"/>
      <c r="AS207" s="17"/>
      <c r="AT207" s="17"/>
      <c r="AU207" s="17"/>
      <c r="AV207" s="17"/>
      <c r="AW207" s="17"/>
      <c r="AX207" s="17"/>
      <c r="BB207" s="17"/>
    </row>
    <row r="208" spans="1:54" x14ac:dyDescent="0.2">
      <c r="A208" s="17" t="s">
        <v>41</v>
      </c>
      <c r="B208" s="18" t="s">
        <v>42</v>
      </c>
      <c r="C208" s="18" t="str">
        <f t="shared" si="62"/>
        <v>BI10.5</v>
      </c>
      <c r="D208" s="18" t="str">
        <f t="shared" si="63"/>
        <v>BI10.5_207</v>
      </c>
      <c r="E208" s="17">
        <v>5</v>
      </c>
      <c r="F208" s="19">
        <v>207</v>
      </c>
      <c r="G208" s="20">
        <v>1.95</v>
      </c>
      <c r="H208" s="20">
        <v>2.5</v>
      </c>
      <c r="I208" s="20">
        <v>0.95</v>
      </c>
      <c r="J208" s="20">
        <f t="shared" si="61"/>
        <v>3.6919285937500002</v>
      </c>
      <c r="K208" s="53">
        <v>0.19124999999999978</v>
      </c>
      <c r="L208" s="20">
        <f t="shared" si="56"/>
        <v>45.617499999999836</v>
      </c>
      <c r="M208" s="20">
        <f t="shared" si="56"/>
        <v>46.567499999999825</v>
      </c>
      <c r="N208" s="20">
        <f t="shared" si="56"/>
        <v>46.092499999999831</v>
      </c>
      <c r="O208" s="20">
        <f>P207+$AO$175</f>
        <v>205.61749999999984</v>
      </c>
      <c r="P208" s="20">
        <f t="shared" si="60"/>
        <v>206.56749999999982</v>
      </c>
      <c r="Q208" s="20">
        <f t="shared" si="71"/>
        <v>206.09249999999983</v>
      </c>
      <c r="R208" s="20">
        <f t="shared" si="57"/>
        <v>198.11749999999984</v>
      </c>
      <c r="S208" s="20">
        <f t="shared" si="58"/>
        <v>199.06749999999982</v>
      </c>
      <c r="T208" s="20">
        <f t="shared" si="59"/>
        <v>198.59249999999983</v>
      </c>
      <c r="U208" s="20">
        <v>198.59249999999983</v>
      </c>
      <c r="V208" s="22">
        <v>5.7035999999999998</v>
      </c>
      <c r="W208" s="22">
        <v>1.9496</v>
      </c>
      <c r="X208" s="23">
        <v>1.1476266666666668</v>
      </c>
      <c r="Y208" s="23">
        <f t="shared" si="64"/>
        <v>4.5559733333333332</v>
      </c>
      <c r="Z208" s="23">
        <f t="shared" si="65"/>
        <v>0.8019733333333332</v>
      </c>
      <c r="AA208" s="22">
        <f t="shared" si="66"/>
        <v>82.397321611481487</v>
      </c>
      <c r="AB208" s="22">
        <f t="shared" si="67"/>
        <v>17.602678388518513</v>
      </c>
      <c r="AC208" s="22">
        <f t="shared" si="68"/>
        <v>1.2340361460527862</v>
      </c>
      <c r="AD208" s="22">
        <f t="shared" si="69"/>
        <v>0.21722341398774059</v>
      </c>
      <c r="AE208" s="24">
        <v>4.8997999999999999</v>
      </c>
      <c r="AF208" s="24">
        <v>5.0884</v>
      </c>
      <c r="AG208" s="24">
        <v>4.9344000000000001</v>
      </c>
      <c r="AH208" s="25">
        <f>AG208-AE208</f>
        <v>3.4600000000000186E-2</v>
      </c>
      <c r="AI208" s="25">
        <v>81.654294803817521</v>
      </c>
      <c r="AJ208" s="26">
        <v>4.0827147401908759</v>
      </c>
      <c r="AK208" s="25">
        <v>40.827147401908761</v>
      </c>
      <c r="AL208" s="26">
        <v>4.0837066067204004</v>
      </c>
      <c r="AM208" s="17">
        <f t="shared" si="70"/>
        <v>0.5780346820809249</v>
      </c>
      <c r="AN208" s="17"/>
      <c r="AO208" s="27"/>
      <c r="AP208" s="17"/>
      <c r="AQ208" s="17"/>
      <c r="AR208" s="17"/>
      <c r="AS208" s="17"/>
      <c r="AT208" s="17"/>
      <c r="AU208" s="17"/>
      <c r="AV208" s="17"/>
      <c r="AW208" s="17"/>
      <c r="AX208" s="17"/>
      <c r="BB208" s="17"/>
    </row>
    <row r="209" spans="1:54" x14ac:dyDescent="0.2">
      <c r="A209" s="17" t="s">
        <v>41</v>
      </c>
      <c r="B209" s="18" t="s">
        <v>42</v>
      </c>
      <c r="C209" s="18" t="str">
        <f t="shared" si="62"/>
        <v>BI10.5</v>
      </c>
      <c r="D209" s="18" t="str">
        <f t="shared" si="63"/>
        <v>BI10.5_208</v>
      </c>
      <c r="E209" s="17">
        <v>5</v>
      </c>
      <c r="F209" s="19">
        <v>208</v>
      </c>
      <c r="G209" s="20">
        <v>1.8</v>
      </c>
      <c r="H209" s="20">
        <v>2.2000000000000002</v>
      </c>
      <c r="I209" s="20">
        <v>1.05</v>
      </c>
      <c r="J209" s="20">
        <f t="shared" si="61"/>
        <v>3.2970000000000002</v>
      </c>
      <c r="K209" s="53">
        <v>0.19124999999999978</v>
      </c>
      <c r="L209" s="20">
        <f t="shared" si="56"/>
        <v>46.758749999999822</v>
      </c>
      <c r="M209" s="20">
        <f t="shared" si="56"/>
        <v>47.808749999999833</v>
      </c>
      <c r="N209" s="20">
        <f t="shared" si="56"/>
        <v>47.283749999999827</v>
      </c>
      <c r="O209" s="20">
        <f>P208+$AO$175</f>
        <v>206.75874999999982</v>
      </c>
      <c r="P209" s="20">
        <f t="shared" si="60"/>
        <v>207.80874999999983</v>
      </c>
      <c r="Q209" s="20">
        <f t="shared" si="71"/>
        <v>207.28374999999983</v>
      </c>
      <c r="R209" s="20">
        <f t="shared" si="57"/>
        <v>199.25874999999982</v>
      </c>
      <c r="S209" s="20">
        <f t="shared" si="58"/>
        <v>200.30874999999983</v>
      </c>
      <c r="T209" s="20">
        <f t="shared" si="59"/>
        <v>199.78374999999983</v>
      </c>
      <c r="U209" s="20">
        <v>199.78374999999983</v>
      </c>
      <c r="V209" s="22">
        <v>4.6600999999999999</v>
      </c>
      <c r="W209" s="22">
        <v>1.7758</v>
      </c>
      <c r="X209" s="23">
        <v>1.1476266666666668</v>
      </c>
      <c r="Y209" s="23">
        <f t="shared" si="64"/>
        <v>3.5124733333333333</v>
      </c>
      <c r="Z209" s="23">
        <f t="shared" si="65"/>
        <v>0.62817333333333325</v>
      </c>
      <c r="AA209" s="22">
        <f t="shared" si="66"/>
        <v>82.115925909757806</v>
      </c>
      <c r="AB209" s="22">
        <f t="shared" si="67"/>
        <v>17.884074090242194</v>
      </c>
      <c r="AC209" s="22">
        <f t="shared" si="68"/>
        <v>1.0653543625518147</v>
      </c>
      <c r="AD209" s="22">
        <f t="shared" si="69"/>
        <v>0.19052876352239406</v>
      </c>
      <c r="AE209" s="24">
        <v>4.9038000000000004</v>
      </c>
      <c r="AF209" s="24">
        <v>5.2735000000000003</v>
      </c>
      <c r="AG209" s="24">
        <v>5.0622999999999996</v>
      </c>
      <c r="AH209" s="25">
        <f>AG209-AE209</f>
        <v>0.1584999999999992</v>
      </c>
      <c r="AI209" s="25">
        <v>57.12740059507729</v>
      </c>
      <c r="AJ209" s="26">
        <v>2.8563700297538648</v>
      </c>
      <c r="AK209" s="25">
        <v>28.563700297538645</v>
      </c>
      <c r="AL209" s="26">
        <v>2.857787561537088</v>
      </c>
      <c r="AM209" s="17">
        <f t="shared" si="70"/>
        <v>0.5780346820809249</v>
      </c>
      <c r="AN209" s="17"/>
      <c r="AO209" s="27"/>
      <c r="AP209" s="17"/>
      <c r="AQ209" s="17"/>
      <c r="AR209" s="17"/>
      <c r="AS209" s="17"/>
      <c r="AT209" s="17"/>
      <c r="AU209" s="17"/>
      <c r="AV209" s="17"/>
      <c r="AW209" s="17"/>
      <c r="AX209" s="17"/>
      <c r="BB209" s="17"/>
    </row>
    <row r="210" spans="1:54" x14ac:dyDescent="0.2">
      <c r="A210" s="17" t="s">
        <v>41</v>
      </c>
      <c r="B210" s="18" t="s">
        <v>42</v>
      </c>
      <c r="C210" s="18" t="str">
        <f t="shared" si="62"/>
        <v>BI10.5</v>
      </c>
      <c r="D210" s="18" t="str">
        <f t="shared" si="63"/>
        <v>BI10.5_209</v>
      </c>
      <c r="E210" s="17">
        <v>5</v>
      </c>
      <c r="F210" s="19">
        <v>209</v>
      </c>
      <c r="G210" s="20">
        <v>1.8</v>
      </c>
      <c r="H210" s="20">
        <v>2.35</v>
      </c>
      <c r="I210" s="20">
        <v>1.5</v>
      </c>
      <c r="J210" s="20">
        <f t="shared" si="61"/>
        <v>5.069873437500001</v>
      </c>
      <c r="K210" s="53">
        <v>0.19124999999999978</v>
      </c>
      <c r="L210" s="20">
        <f t="shared" si="56"/>
        <v>47.999999999999829</v>
      </c>
      <c r="M210" s="20">
        <f t="shared" si="56"/>
        <v>49.499999999999829</v>
      </c>
      <c r="N210" s="20">
        <f t="shared" si="56"/>
        <v>48.749999999999829</v>
      </c>
      <c r="O210" s="20">
        <f>P209+$AO$175</f>
        <v>207.99999999999983</v>
      </c>
      <c r="P210" s="20">
        <f t="shared" si="60"/>
        <v>209.49999999999983</v>
      </c>
      <c r="Q210" s="20">
        <f t="shared" si="71"/>
        <v>208.74999999999983</v>
      </c>
      <c r="R210" s="20">
        <f t="shared" si="57"/>
        <v>200.49999999999983</v>
      </c>
      <c r="S210" s="20">
        <f t="shared" si="58"/>
        <v>201.99999999999983</v>
      </c>
      <c r="T210" s="20">
        <f t="shared" si="59"/>
        <v>201.24999999999983</v>
      </c>
      <c r="U210" s="20">
        <v>201.24999999999983</v>
      </c>
      <c r="V210" s="22">
        <v>6.8075000000000001</v>
      </c>
      <c r="W210" s="22">
        <v>2.1873</v>
      </c>
      <c r="X210" s="23">
        <v>1.1476266666666668</v>
      </c>
      <c r="Y210" s="23">
        <f t="shared" si="64"/>
        <v>5.6598733333333335</v>
      </c>
      <c r="Z210" s="23">
        <f t="shared" si="65"/>
        <v>1.0396733333333332</v>
      </c>
      <c r="AA210" s="22">
        <f t="shared" si="66"/>
        <v>81.630802102756135</v>
      </c>
      <c r="AB210" s="22">
        <f t="shared" si="67"/>
        <v>18.369197897243865</v>
      </c>
      <c r="AC210" s="22">
        <f t="shared" si="68"/>
        <v>1.1163736931713757</v>
      </c>
      <c r="AD210" s="22">
        <f t="shared" si="69"/>
        <v>0.20506889297142006</v>
      </c>
      <c r="AE210" s="24">
        <v>4.8045999999999998</v>
      </c>
      <c r="AF210" s="24">
        <v>5.0716999999999999</v>
      </c>
      <c r="AG210" s="24">
        <v>4.8547000000000002</v>
      </c>
      <c r="AH210" s="25">
        <f>AG210-AE210</f>
        <v>5.0100000000000477E-2</v>
      </c>
      <c r="AI210" s="25">
        <v>81.242980157244304</v>
      </c>
      <c r="AJ210" s="26">
        <v>4.0621490078622156</v>
      </c>
      <c r="AK210" s="25">
        <v>40.621490078622152</v>
      </c>
      <c r="AL210" s="26">
        <v>4.0631458947564241</v>
      </c>
      <c r="AM210" s="17">
        <f t="shared" si="70"/>
        <v>0.5780346820809249</v>
      </c>
      <c r="AN210" s="17"/>
      <c r="AO210" s="27"/>
      <c r="AP210" s="17"/>
      <c r="AQ210" s="17"/>
      <c r="AR210" s="17"/>
      <c r="AS210" s="17"/>
      <c r="AT210" s="17"/>
      <c r="AU210" s="17"/>
      <c r="AV210" s="17"/>
      <c r="AW210" s="17"/>
      <c r="AX210" s="17"/>
      <c r="BB210" s="17"/>
    </row>
    <row r="211" spans="1:54" x14ac:dyDescent="0.2">
      <c r="A211" s="17" t="s">
        <v>41</v>
      </c>
      <c r="B211" s="18" t="s">
        <v>42</v>
      </c>
      <c r="C211" s="18" t="str">
        <f t="shared" si="62"/>
        <v>BI10.6</v>
      </c>
      <c r="D211" s="18" t="str">
        <f t="shared" si="63"/>
        <v>BI10.6_210</v>
      </c>
      <c r="E211" s="17">
        <v>6</v>
      </c>
      <c r="F211" s="19">
        <v>210</v>
      </c>
      <c r="G211" s="20">
        <v>2.5</v>
      </c>
      <c r="H211" s="20">
        <v>1.8</v>
      </c>
      <c r="I211" s="20">
        <v>1</v>
      </c>
      <c r="J211" s="20">
        <f t="shared" si="61"/>
        <v>3.6286624999999999</v>
      </c>
      <c r="K211" s="53">
        <v>0.1737499999999999</v>
      </c>
      <c r="L211" s="20">
        <f>O211-200</f>
        <v>0</v>
      </c>
      <c r="M211" s="20">
        <f t="shared" ref="M211:N226" si="72">P211-200</f>
        <v>1</v>
      </c>
      <c r="N211" s="20">
        <f t="shared" si="72"/>
        <v>0.5</v>
      </c>
      <c r="O211" s="20">
        <v>200</v>
      </c>
      <c r="P211" s="20">
        <f t="shared" si="60"/>
        <v>201</v>
      </c>
      <c r="Q211" s="20">
        <f t="shared" si="71"/>
        <v>200.5</v>
      </c>
      <c r="R211" s="20">
        <f t="shared" si="57"/>
        <v>192.5</v>
      </c>
      <c r="S211" s="20">
        <f t="shared" si="58"/>
        <v>193.5</v>
      </c>
      <c r="T211" s="20">
        <f t="shared" si="59"/>
        <v>193</v>
      </c>
      <c r="U211" s="20">
        <v>193</v>
      </c>
      <c r="V211" s="22">
        <v>4.7461000000000002</v>
      </c>
      <c r="W211" s="22">
        <v>1.8320000000000001</v>
      </c>
      <c r="X211" s="23">
        <v>1.1476266666666668</v>
      </c>
      <c r="Y211" s="23">
        <f t="shared" si="64"/>
        <v>3.5984733333333336</v>
      </c>
      <c r="Z211" s="23">
        <f t="shared" si="65"/>
        <v>0.68437333333333328</v>
      </c>
      <c r="AA211" s="22">
        <f t="shared" si="66"/>
        <v>80.98156440416399</v>
      </c>
      <c r="AB211" s="22">
        <f t="shared" si="67"/>
        <v>19.01843559583601</v>
      </c>
      <c r="AC211" s="22">
        <f t="shared" si="68"/>
        <v>0.99168035972850432</v>
      </c>
      <c r="AD211" s="22">
        <f t="shared" si="69"/>
        <v>0.18860209053152044</v>
      </c>
      <c r="AE211" s="24">
        <v>5.0590000000000002</v>
      </c>
      <c r="AF211" s="24">
        <v>5.2718999999999996</v>
      </c>
      <c r="AG211" s="24">
        <v>5.1050000000000004</v>
      </c>
      <c r="AH211" s="25">
        <f>AG211-AE211</f>
        <v>4.6000000000000263E-2</v>
      </c>
      <c r="AI211" s="25">
        <v>78.393612024424428</v>
      </c>
      <c r="AJ211" s="26">
        <v>3.9196806012212217</v>
      </c>
      <c r="AK211" s="25">
        <v>39.196806012212214</v>
      </c>
      <c r="AL211" s="26">
        <v>3.9207137125260698</v>
      </c>
      <c r="AM211" s="17">
        <f t="shared" si="70"/>
        <v>0.5780346820809249</v>
      </c>
      <c r="AN211" s="28" t="s">
        <v>43</v>
      </c>
      <c r="AO211" s="27">
        <v>49.5</v>
      </c>
      <c r="AP211" s="17"/>
      <c r="AQ211" s="17"/>
      <c r="AR211" s="17"/>
      <c r="AS211" s="17"/>
      <c r="AT211" s="17"/>
      <c r="AU211" s="17"/>
      <c r="AV211" s="17"/>
      <c r="AW211" s="17"/>
      <c r="AX211" s="17"/>
      <c r="BB211" s="17"/>
    </row>
    <row r="212" spans="1:54" x14ac:dyDescent="0.2">
      <c r="A212" s="17" t="s">
        <v>41</v>
      </c>
      <c r="B212" s="18" t="s">
        <v>42</v>
      </c>
      <c r="C212" s="18" t="str">
        <f t="shared" si="62"/>
        <v>BI10.6</v>
      </c>
      <c r="D212" s="18" t="str">
        <f t="shared" si="63"/>
        <v>BI10.6_211</v>
      </c>
      <c r="E212" s="17">
        <v>6</v>
      </c>
      <c r="F212" s="19">
        <v>211</v>
      </c>
      <c r="G212" s="20">
        <v>2.1</v>
      </c>
      <c r="H212" s="20">
        <v>2.7</v>
      </c>
      <c r="I212" s="20">
        <v>1</v>
      </c>
      <c r="J212" s="20">
        <f t="shared" si="61"/>
        <v>4.5216000000000012</v>
      </c>
      <c r="K212" s="53">
        <v>0.1737499999999999</v>
      </c>
      <c r="L212" s="20">
        <f t="shared" ref="L212:N251" si="73">O212-200</f>
        <v>1.1737500000000125</v>
      </c>
      <c r="M212" s="20">
        <f t="shared" si="72"/>
        <v>2.1737500000000125</v>
      </c>
      <c r="N212" s="20">
        <f t="shared" si="72"/>
        <v>1.6737500000000125</v>
      </c>
      <c r="O212" s="20">
        <f>P211+$AO$216</f>
        <v>201.17375000000001</v>
      </c>
      <c r="P212" s="20">
        <f t="shared" si="60"/>
        <v>202.17375000000001</v>
      </c>
      <c r="Q212" s="20">
        <f t="shared" si="71"/>
        <v>201.67375000000001</v>
      </c>
      <c r="R212" s="20">
        <f t="shared" si="57"/>
        <v>193.67375000000001</v>
      </c>
      <c r="S212" s="20">
        <f t="shared" si="58"/>
        <v>194.67375000000001</v>
      </c>
      <c r="T212" s="20">
        <f t="shared" si="59"/>
        <v>194.17375000000001</v>
      </c>
      <c r="U212" s="20">
        <v>194.17375000000001</v>
      </c>
      <c r="V212" s="22">
        <v>6.0197000000000003</v>
      </c>
      <c r="W212" s="22">
        <v>2.0775999999999999</v>
      </c>
      <c r="X212" s="23">
        <v>1.1476266666666668</v>
      </c>
      <c r="Y212" s="23">
        <f t="shared" si="64"/>
        <v>4.8720733333333337</v>
      </c>
      <c r="Z212" s="23">
        <f t="shared" si="65"/>
        <v>0.9299733333333331</v>
      </c>
      <c r="AA212" s="22">
        <f t="shared" si="66"/>
        <v>80.912164704691108</v>
      </c>
      <c r="AB212" s="22">
        <f t="shared" si="67"/>
        <v>19.087835295308892</v>
      </c>
      <c r="AC212" s="22">
        <f t="shared" si="68"/>
        <v>1.0775109105921206</v>
      </c>
      <c r="AD212" s="22">
        <f t="shared" si="69"/>
        <v>0.20567350790280717</v>
      </c>
      <c r="AE212" s="24">
        <v>4.9410999999999996</v>
      </c>
      <c r="AF212" s="24">
        <v>5.1753</v>
      </c>
      <c r="AG212" s="24">
        <v>4.9977999999999998</v>
      </c>
      <c r="AH212" s="25">
        <f>AG212-AE212</f>
        <v>5.6700000000000195E-2</v>
      </c>
      <c r="AI212" s="25">
        <v>75.789923142613119</v>
      </c>
      <c r="AJ212" s="26">
        <v>3.7894961571306562</v>
      </c>
      <c r="AK212" s="25">
        <v>37.89496157130656</v>
      </c>
      <c r="AL212" s="26">
        <v>3.7905647501273489</v>
      </c>
      <c r="AM212" s="17">
        <f t="shared" si="70"/>
        <v>0.5780346820809249</v>
      </c>
      <c r="AN212" s="28" t="s">
        <v>44</v>
      </c>
      <c r="AO212" s="27" t="s">
        <v>58</v>
      </c>
      <c r="AP212" s="17"/>
      <c r="AQ212" s="17"/>
      <c r="AR212" s="17"/>
      <c r="AS212" s="17"/>
      <c r="AT212" s="17"/>
      <c r="AU212" s="17"/>
      <c r="AV212" s="17"/>
      <c r="AW212" s="17"/>
      <c r="AX212" s="17"/>
      <c r="BB212" s="17"/>
    </row>
    <row r="213" spans="1:54" x14ac:dyDescent="0.2">
      <c r="A213" s="17" t="s">
        <v>41</v>
      </c>
      <c r="B213" s="18" t="s">
        <v>42</v>
      </c>
      <c r="C213" s="18" t="str">
        <f t="shared" si="62"/>
        <v>BI10.6</v>
      </c>
      <c r="D213" s="18" t="str">
        <f t="shared" si="63"/>
        <v>BI10.6_212</v>
      </c>
      <c r="E213" s="17">
        <v>6</v>
      </c>
      <c r="F213" s="19">
        <v>212</v>
      </c>
      <c r="G213" s="20">
        <v>2.1</v>
      </c>
      <c r="H213" s="20">
        <v>2.4</v>
      </c>
      <c r="I213" s="20">
        <v>1.05</v>
      </c>
      <c r="J213" s="20">
        <f t="shared" si="61"/>
        <v>4.1727656250000003</v>
      </c>
      <c r="K213" s="53">
        <v>0.1737499999999999</v>
      </c>
      <c r="L213" s="20">
        <f t="shared" si="73"/>
        <v>2.347500000000025</v>
      </c>
      <c r="M213" s="20">
        <f t="shared" si="72"/>
        <v>3.3975000000000364</v>
      </c>
      <c r="N213" s="20">
        <f t="shared" si="72"/>
        <v>2.8725000000000307</v>
      </c>
      <c r="O213" s="20">
        <f>P212+$AO$216</f>
        <v>202.34750000000003</v>
      </c>
      <c r="P213" s="20">
        <f t="shared" si="60"/>
        <v>203.39750000000004</v>
      </c>
      <c r="Q213" s="20">
        <f t="shared" si="71"/>
        <v>202.87250000000003</v>
      </c>
      <c r="R213" s="20">
        <f t="shared" si="57"/>
        <v>194.84750000000003</v>
      </c>
      <c r="S213" s="20">
        <f t="shared" si="58"/>
        <v>195.89750000000004</v>
      </c>
      <c r="T213" s="20">
        <f t="shared" si="59"/>
        <v>195.37250000000003</v>
      </c>
      <c r="U213" s="20">
        <v>195.37250000000003</v>
      </c>
      <c r="V213" s="22">
        <v>5.8731</v>
      </c>
      <c r="W213" s="22">
        <v>2.1983000000000001</v>
      </c>
      <c r="X213" s="23">
        <v>1.1476266666666668</v>
      </c>
      <c r="Y213" s="23">
        <f t="shared" si="64"/>
        <v>4.7254733333333334</v>
      </c>
      <c r="Z213" s="23">
        <f t="shared" si="65"/>
        <v>1.0506733333333333</v>
      </c>
      <c r="AA213" s="22">
        <f t="shared" si="66"/>
        <v>77.765754682776063</v>
      </c>
      <c r="AB213" s="22">
        <f t="shared" si="67"/>
        <v>22.234245317223937</v>
      </c>
      <c r="AC213" s="22">
        <f t="shared" si="68"/>
        <v>1.1324559675774584</v>
      </c>
      <c r="AD213" s="22">
        <f t="shared" si="69"/>
        <v>0.25179303794071428</v>
      </c>
      <c r="AE213" s="24">
        <v>4.8301999999999996</v>
      </c>
      <c r="AF213" s="24">
        <v>5.1319999999999997</v>
      </c>
      <c r="AG213" s="24">
        <v>4.8922999999999996</v>
      </c>
      <c r="AH213" s="25">
        <f>AG213-AE213</f>
        <v>6.2100000000000044E-2</v>
      </c>
      <c r="AI213" s="25">
        <v>79.423459244532793</v>
      </c>
      <c r="AJ213" s="26">
        <v>3.9711729622266398</v>
      </c>
      <c r="AK213" s="25">
        <v>39.711729622266397</v>
      </c>
      <c r="AL213" s="26">
        <v>3.9721926811170563</v>
      </c>
      <c r="AM213" s="17">
        <f t="shared" si="70"/>
        <v>0.5780346820809249</v>
      </c>
      <c r="AN213" s="28" t="s">
        <v>46</v>
      </c>
      <c r="AO213" s="29">
        <f>SUM(I211:I251)</f>
        <v>42.550000000000004</v>
      </c>
      <c r="AP213" s="17"/>
      <c r="AQ213" s="17"/>
      <c r="AR213" s="17"/>
      <c r="AS213" s="17"/>
      <c r="AT213" s="17"/>
      <c r="AU213" s="17"/>
      <c r="AV213" s="17"/>
      <c r="AW213" s="17"/>
      <c r="AX213" s="17"/>
      <c r="BB213" s="17"/>
    </row>
    <row r="214" spans="1:54" x14ac:dyDescent="0.2">
      <c r="A214" s="17" t="s">
        <v>41</v>
      </c>
      <c r="B214" s="18" t="s">
        <v>42</v>
      </c>
      <c r="C214" s="18" t="str">
        <f t="shared" si="62"/>
        <v>BI10.6</v>
      </c>
      <c r="D214" s="18" t="str">
        <f t="shared" si="63"/>
        <v>BI10.6_213</v>
      </c>
      <c r="E214" s="17">
        <v>6</v>
      </c>
      <c r="F214" s="19">
        <v>213</v>
      </c>
      <c r="G214" s="20">
        <v>2.2999999999999998</v>
      </c>
      <c r="H214" s="20">
        <v>2.2000000000000002</v>
      </c>
      <c r="I214" s="20">
        <v>1.05</v>
      </c>
      <c r="J214" s="20">
        <f t="shared" si="61"/>
        <v>4.1727656250000003</v>
      </c>
      <c r="K214" s="53">
        <v>0.1737499999999999</v>
      </c>
      <c r="L214" s="20">
        <f t="shared" si="73"/>
        <v>3.5712500000000489</v>
      </c>
      <c r="M214" s="20">
        <f t="shared" si="72"/>
        <v>4.6212500000000603</v>
      </c>
      <c r="N214" s="20">
        <f t="shared" si="72"/>
        <v>4.0962500000000546</v>
      </c>
      <c r="O214" s="20">
        <f>P213+$AO$216</f>
        <v>203.57125000000005</v>
      </c>
      <c r="P214" s="20">
        <f t="shared" si="60"/>
        <v>204.62125000000006</v>
      </c>
      <c r="Q214" s="20">
        <f t="shared" si="71"/>
        <v>204.09625000000005</v>
      </c>
      <c r="R214" s="20">
        <f t="shared" si="57"/>
        <v>196.07125000000005</v>
      </c>
      <c r="S214" s="20">
        <f t="shared" si="58"/>
        <v>197.12125000000006</v>
      </c>
      <c r="T214" s="20">
        <f t="shared" si="59"/>
        <v>196.59625000000005</v>
      </c>
      <c r="U214" s="20">
        <v>196.59625000000005</v>
      </c>
      <c r="V214" s="22">
        <v>6.0998999999999999</v>
      </c>
      <c r="W214" s="22">
        <v>2.1775000000000002</v>
      </c>
      <c r="X214" s="23">
        <v>1.1476266666666668</v>
      </c>
      <c r="Y214" s="23">
        <f t="shared" si="64"/>
        <v>4.9522733333333333</v>
      </c>
      <c r="Z214" s="23">
        <f t="shared" si="65"/>
        <v>1.0298733333333334</v>
      </c>
      <c r="AA214" s="22">
        <f t="shared" si="66"/>
        <v>79.204028856780923</v>
      </c>
      <c r="AB214" s="22">
        <f t="shared" si="67"/>
        <v>20.795971143219077</v>
      </c>
      <c r="AC214" s="22">
        <f t="shared" si="68"/>
        <v>1.1868084091910465</v>
      </c>
      <c r="AD214" s="22">
        <f t="shared" si="69"/>
        <v>0.2468083343006674</v>
      </c>
      <c r="AE214" s="24">
        <v>4.7324999999999999</v>
      </c>
      <c r="AF214" s="24">
        <v>5.0625999999999998</v>
      </c>
      <c r="AG214" s="24">
        <v>4.8212999999999999</v>
      </c>
      <c r="AH214" s="25">
        <f>AG214-AE214</f>
        <v>8.879999999999999E-2</v>
      </c>
      <c r="AI214" s="25">
        <v>73.099060890639194</v>
      </c>
      <c r="AJ214" s="26">
        <v>3.6549530445319598</v>
      </c>
      <c r="AK214" s="25">
        <v>36.549530445319597</v>
      </c>
      <c r="AL214" s="26">
        <v>3.6560609619826421</v>
      </c>
      <c r="AM214" s="17">
        <f t="shared" si="70"/>
        <v>0.5780346820809249</v>
      </c>
      <c r="AN214" s="28" t="s">
        <v>47</v>
      </c>
      <c r="AO214" s="29">
        <f>AO211-AO213</f>
        <v>6.9499999999999957</v>
      </c>
      <c r="AP214" s="17"/>
      <c r="AQ214" s="17"/>
      <c r="AR214" s="17"/>
      <c r="AS214" s="17"/>
      <c r="AT214" s="17"/>
      <c r="AU214" s="17"/>
      <c r="AV214" s="17"/>
      <c r="AW214" s="17"/>
      <c r="AX214" s="17"/>
      <c r="BB214" s="17"/>
    </row>
    <row r="215" spans="1:54" x14ac:dyDescent="0.2">
      <c r="A215" s="17" t="s">
        <v>41</v>
      </c>
      <c r="B215" s="18" t="s">
        <v>42</v>
      </c>
      <c r="C215" s="18" t="str">
        <f t="shared" si="62"/>
        <v>BI10.6</v>
      </c>
      <c r="D215" s="18" t="str">
        <f t="shared" si="63"/>
        <v>BI10.6_214</v>
      </c>
      <c r="E215" s="17">
        <v>6</v>
      </c>
      <c r="F215" s="19">
        <v>214</v>
      </c>
      <c r="G215" s="20">
        <v>2.4</v>
      </c>
      <c r="H215" s="20">
        <v>2.35</v>
      </c>
      <c r="I215" s="20">
        <v>1.05</v>
      </c>
      <c r="J215" s="20">
        <f t="shared" si="61"/>
        <v>4.6492851562500004</v>
      </c>
      <c r="K215" s="53">
        <v>0.1737499999999999</v>
      </c>
      <c r="L215" s="20">
        <f t="shared" si="73"/>
        <v>4.7950000000000728</v>
      </c>
      <c r="M215" s="20">
        <f t="shared" si="72"/>
        <v>5.8450000000000841</v>
      </c>
      <c r="N215" s="20">
        <f t="shared" si="72"/>
        <v>5.3200000000000784</v>
      </c>
      <c r="O215" s="20">
        <f>P214+$AO$216</f>
        <v>204.79500000000007</v>
      </c>
      <c r="P215" s="20">
        <f t="shared" si="60"/>
        <v>205.84500000000008</v>
      </c>
      <c r="Q215" s="20">
        <f t="shared" si="71"/>
        <v>205.32000000000008</v>
      </c>
      <c r="R215" s="20">
        <f t="shared" si="57"/>
        <v>197.29500000000007</v>
      </c>
      <c r="S215" s="20">
        <f t="shared" si="58"/>
        <v>198.34500000000008</v>
      </c>
      <c r="T215" s="20">
        <f t="shared" si="59"/>
        <v>197.82000000000008</v>
      </c>
      <c r="U215" s="20">
        <v>197.82000000000008</v>
      </c>
      <c r="V215" s="22">
        <v>6.423</v>
      </c>
      <c r="W215" s="22">
        <v>2.4523999999999999</v>
      </c>
      <c r="X215" s="23">
        <v>1.1476266666666668</v>
      </c>
      <c r="Y215" s="23">
        <f t="shared" si="64"/>
        <v>5.2753733333333335</v>
      </c>
      <c r="Z215" s="23">
        <f t="shared" si="65"/>
        <v>1.3047733333333331</v>
      </c>
      <c r="AA215" s="22">
        <f t="shared" si="66"/>
        <v>75.266710981592453</v>
      </c>
      <c r="AB215" s="22">
        <f t="shared" si="67"/>
        <v>24.733289018407547</v>
      </c>
      <c r="AC215" s="22">
        <f t="shared" si="68"/>
        <v>1.1346633204981389</v>
      </c>
      <c r="AD215" s="22">
        <f t="shared" si="69"/>
        <v>0.28063955844466448</v>
      </c>
      <c r="AE215" s="24">
        <v>4.9447000000000001</v>
      </c>
      <c r="AF215" s="24">
        <v>5.4618000000000002</v>
      </c>
      <c r="AG215" s="24">
        <v>5.0625999999999998</v>
      </c>
      <c r="AH215" s="25">
        <f>AG215-AE215</f>
        <v>0.11789999999999967</v>
      </c>
      <c r="AI215" s="25">
        <v>77.199767936569401</v>
      </c>
      <c r="AJ215" s="26">
        <v>3.8599883968284701</v>
      </c>
      <c r="AK215" s="25">
        <v>38.599883968284701</v>
      </c>
      <c r="AL215" s="26">
        <v>3.8610374802182927</v>
      </c>
      <c r="AM215" s="17">
        <f t="shared" si="70"/>
        <v>0.5780346820809249</v>
      </c>
      <c r="AN215" s="28" t="s">
        <v>48</v>
      </c>
      <c r="AO215" s="27">
        <v>40</v>
      </c>
      <c r="AP215" s="17"/>
      <c r="AQ215" s="17"/>
      <c r="AR215" s="17"/>
      <c r="AS215" s="17"/>
      <c r="AT215" s="17"/>
      <c r="AU215" s="17"/>
      <c r="AV215" s="17"/>
      <c r="AW215" s="17"/>
      <c r="AX215" s="17"/>
      <c r="BB215" s="17"/>
    </row>
    <row r="216" spans="1:54" x14ac:dyDescent="0.2">
      <c r="A216" s="17" t="s">
        <v>41</v>
      </c>
      <c r="B216" s="18" t="s">
        <v>42</v>
      </c>
      <c r="C216" s="18" t="str">
        <f t="shared" si="62"/>
        <v>BI10.6</v>
      </c>
      <c r="D216" s="18" t="str">
        <f t="shared" si="63"/>
        <v>BI10.6_215</v>
      </c>
      <c r="E216" s="17">
        <v>6</v>
      </c>
      <c r="F216" s="19">
        <v>215</v>
      </c>
      <c r="G216" s="20">
        <v>2.4500000000000002</v>
      </c>
      <c r="H216" s="20">
        <v>2.5499999999999998</v>
      </c>
      <c r="I216" s="20">
        <v>1.05</v>
      </c>
      <c r="J216" s="20">
        <f t="shared" si="61"/>
        <v>5.1515625000000007</v>
      </c>
      <c r="K216" s="53">
        <v>0.1737499999999999</v>
      </c>
      <c r="L216" s="20">
        <f t="shared" si="73"/>
        <v>6.0187500000000966</v>
      </c>
      <c r="M216" s="20">
        <f t="shared" si="72"/>
        <v>7.068750000000108</v>
      </c>
      <c r="N216" s="20">
        <f t="shared" si="72"/>
        <v>6.5437500000001023</v>
      </c>
      <c r="O216" s="20">
        <f>P215+$AO$216</f>
        <v>206.0187500000001</v>
      </c>
      <c r="P216" s="20">
        <f t="shared" si="60"/>
        <v>207.06875000000011</v>
      </c>
      <c r="Q216" s="20">
        <f t="shared" si="71"/>
        <v>206.5437500000001</v>
      </c>
      <c r="R216" s="20">
        <f t="shared" si="57"/>
        <v>198.5187500000001</v>
      </c>
      <c r="S216" s="20">
        <f t="shared" si="58"/>
        <v>199.56875000000011</v>
      </c>
      <c r="T216" s="20">
        <f t="shared" si="59"/>
        <v>199.0437500000001</v>
      </c>
      <c r="U216" s="20">
        <v>199.0437500000001</v>
      </c>
      <c r="V216" s="22">
        <v>7.2553999999999998</v>
      </c>
      <c r="W216" s="22">
        <v>2.4460999999999999</v>
      </c>
      <c r="X216" s="23">
        <v>1.1476266666666668</v>
      </c>
      <c r="Y216" s="23">
        <f t="shared" si="64"/>
        <v>6.1077733333333333</v>
      </c>
      <c r="Z216" s="23">
        <f t="shared" si="65"/>
        <v>1.2984733333333331</v>
      </c>
      <c r="AA216" s="22">
        <f t="shared" si="66"/>
        <v>78.740643071233819</v>
      </c>
      <c r="AB216" s="22">
        <f t="shared" si="67"/>
        <v>21.259356928766181</v>
      </c>
      <c r="AC216" s="22">
        <f t="shared" si="68"/>
        <v>1.1856156910322513</v>
      </c>
      <c r="AD216" s="22">
        <f t="shared" si="69"/>
        <v>0.25205427156000398</v>
      </c>
      <c r="AE216" s="24">
        <v>4.4538000000000002</v>
      </c>
      <c r="AF216" s="24">
        <v>5.0087999999999999</v>
      </c>
      <c r="AG216" s="24">
        <v>4.6364999999999998</v>
      </c>
      <c r="AH216" s="25">
        <f>AG216-AE216</f>
        <v>0.18269999999999964</v>
      </c>
      <c r="AI216" s="25">
        <v>67.081081081081123</v>
      </c>
      <c r="AJ216" s="26">
        <v>3.3540540540540564</v>
      </c>
      <c r="AK216" s="25">
        <v>33.540540540540562</v>
      </c>
      <c r="AL216" s="26">
        <v>3.3552613307336365</v>
      </c>
      <c r="AM216" s="17">
        <f t="shared" si="70"/>
        <v>0.5780346820809249</v>
      </c>
      <c r="AN216" s="28" t="s">
        <v>49</v>
      </c>
      <c r="AO216" s="30">
        <f>AO214/AO215</f>
        <v>0.1737499999999999</v>
      </c>
      <c r="AP216" s="17"/>
      <c r="AQ216" s="17"/>
      <c r="AR216" s="17"/>
      <c r="AS216" s="17"/>
      <c r="AT216" s="17"/>
      <c r="AU216" s="17"/>
      <c r="AV216" s="17"/>
      <c r="AW216" s="17"/>
      <c r="AX216" s="17"/>
      <c r="BB216" s="17"/>
    </row>
    <row r="217" spans="1:54" x14ac:dyDescent="0.2">
      <c r="A217" s="17" t="s">
        <v>41</v>
      </c>
      <c r="B217" s="18" t="s">
        <v>42</v>
      </c>
      <c r="C217" s="18" t="str">
        <f t="shared" si="62"/>
        <v>BI10.6</v>
      </c>
      <c r="D217" s="18" t="str">
        <f t="shared" si="63"/>
        <v>BI10.6_216</v>
      </c>
      <c r="E217" s="17">
        <v>6</v>
      </c>
      <c r="F217" s="19">
        <v>216</v>
      </c>
      <c r="G217" s="20">
        <v>2.35</v>
      </c>
      <c r="H217" s="20">
        <v>2.6</v>
      </c>
      <c r="I217" s="20">
        <v>0.9</v>
      </c>
      <c r="J217" s="20">
        <f t="shared" si="61"/>
        <v>4.3277540625000004</v>
      </c>
      <c r="K217" s="53">
        <v>0.1737499999999999</v>
      </c>
      <c r="L217" s="20">
        <f t="shared" si="73"/>
        <v>7.2425000000001205</v>
      </c>
      <c r="M217" s="20">
        <f t="shared" si="72"/>
        <v>8.1425000000001262</v>
      </c>
      <c r="N217" s="20">
        <f t="shared" si="72"/>
        <v>7.6925000000001091</v>
      </c>
      <c r="O217" s="20">
        <f>P216+$AO$216</f>
        <v>207.24250000000012</v>
      </c>
      <c r="P217" s="20">
        <f t="shared" si="60"/>
        <v>208.14250000000013</v>
      </c>
      <c r="Q217" s="20">
        <f t="shared" si="71"/>
        <v>207.69250000000011</v>
      </c>
      <c r="R217" s="20">
        <f t="shared" si="57"/>
        <v>199.74250000000012</v>
      </c>
      <c r="S217" s="20">
        <f t="shared" si="58"/>
        <v>200.64250000000013</v>
      </c>
      <c r="T217" s="20">
        <f t="shared" si="59"/>
        <v>200.19250000000011</v>
      </c>
      <c r="U217" s="20">
        <v>200.19250000000011</v>
      </c>
      <c r="V217" s="22">
        <v>6.7065000000000001</v>
      </c>
      <c r="W217" s="22">
        <v>2.2524999999999999</v>
      </c>
      <c r="X217" s="23">
        <v>1.1476266666666668</v>
      </c>
      <c r="Y217" s="23">
        <f t="shared" si="64"/>
        <v>5.5588733333333336</v>
      </c>
      <c r="Z217" s="23">
        <f t="shared" si="65"/>
        <v>1.1048733333333332</v>
      </c>
      <c r="AA217" s="22">
        <f t="shared" si="66"/>
        <v>80.124149857704978</v>
      </c>
      <c r="AB217" s="22">
        <f t="shared" si="67"/>
        <v>19.875850142295022</v>
      </c>
      <c r="AC217" s="22">
        <f t="shared" si="68"/>
        <v>1.2844707099927384</v>
      </c>
      <c r="AD217" s="22">
        <f t="shared" si="69"/>
        <v>0.25529947343982951</v>
      </c>
      <c r="AE217" s="24">
        <v>4.8277999999999999</v>
      </c>
      <c r="AF217" s="24">
        <v>5.2568999999999999</v>
      </c>
      <c r="AG217" s="24">
        <v>4.9257</v>
      </c>
      <c r="AH217" s="25">
        <f>AG217-AE217</f>
        <v>9.7900000000000098E-2</v>
      </c>
      <c r="AI217" s="25">
        <v>77.184805406665092</v>
      </c>
      <c r="AJ217" s="26">
        <v>3.8592402703332547</v>
      </c>
      <c r="AK217" s="25">
        <v>38.592402703332546</v>
      </c>
      <c r="AL217" s="26">
        <v>3.86028955703609</v>
      </c>
      <c r="AM217" s="17">
        <f t="shared" si="70"/>
        <v>0.5780346820809249</v>
      </c>
      <c r="AN217" s="17"/>
      <c r="AO217" s="27"/>
      <c r="AP217" s="17"/>
      <c r="AQ217" s="17"/>
      <c r="AR217" s="17"/>
      <c r="AS217" s="17"/>
      <c r="AT217" s="17"/>
      <c r="AU217" s="17"/>
      <c r="AV217" s="17"/>
      <c r="AW217" s="17"/>
      <c r="AX217" s="17"/>
      <c r="BB217" s="17"/>
    </row>
    <row r="218" spans="1:54" x14ac:dyDescent="0.2">
      <c r="A218" s="17" t="s">
        <v>41</v>
      </c>
      <c r="B218" s="18" t="s">
        <v>42</v>
      </c>
      <c r="C218" s="18" t="str">
        <f t="shared" si="62"/>
        <v>BI10.6</v>
      </c>
      <c r="D218" s="18" t="str">
        <f t="shared" si="63"/>
        <v>BI10.6_217</v>
      </c>
      <c r="E218" s="17">
        <v>6</v>
      </c>
      <c r="F218" s="19">
        <v>217</v>
      </c>
      <c r="G218" s="20">
        <v>2.5</v>
      </c>
      <c r="H218" s="20">
        <v>3</v>
      </c>
      <c r="I218" s="20">
        <v>1</v>
      </c>
      <c r="J218" s="20">
        <f t="shared" si="61"/>
        <v>5.9365625</v>
      </c>
      <c r="K218" s="53">
        <v>0.1737499999999999</v>
      </c>
      <c r="L218" s="20">
        <f t="shared" si="73"/>
        <v>8.3162500000001387</v>
      </c>
      <c r="M218" s="20">
        <f t="shared" si="72"/>
        <v>9.3162500000001387</v>
      </c>
      <c r="N218" s="20">
        <f t="shared" si="72"/>
        <v>8.8162500000001387</v>
      </c>
      <c r="O218" s="20">
        <f>P217+$AO$216</f>
        <v>208.31625000000014</v>
      </c>
      <c r="P218" s="20">
        <f t="shared" si="60"/>
        <v>209.31625000000014</v>
      </c>
      <c r="Q218" s="20">
        <f t="shared" si="71"/>
        <v>208.81625000000014</v>
      </c>
      <c r="R218" s="20">
        <f t="shared" si="57"/>
        <v>200.81625000000014</v>
      </c>
      <c r="S218" s="20">
        <f t="shared" si="58"/>
        <v>201.81625000000014</v>
      </c>
      <c r="T218" s="20">
        <f t="shared" si="59"/>
        <v>201.31625000000014</v>
      </c>
      <c r="U218" s="20">
        <v>201.31625000000014</v>
      </c>
      <c r="V218" s="22">
        <v>7.8849</v>
      </c>
      <c r="W218" s="22">
        <v>2.5026000000000002</v>
      </c>
      <c r="X218" s="23">
        <v>1.1476266666666668</v>
      </c>
      <c r="Y218" s="23">
        <f t="shared" si="64"/>
        <v>6.7372733333333334</v>
      </c>
      <c r="Z218" s="23">
        <f t="shared" si="65"/>
        <v>1.3549733333333334</v>
      </c>
      <c r="AA218" s="22">
        <f t="shared" si="66"/>
        <v>79.888401935105293</v>
      </c>
      <c r="AB218" s="22">
        <f t="shared" si="67"/>
        <v>20.111598064894707</v>
      </c>
      <c r="AC218" s="22">
        <f t="shared" si="68"/>
        <v>1.1348778579073888</v>
      </c>
      <c r="AD218" s="22">
        <f t="shared" si="69"/>
        <v>0.22824207330982085</v>
      </c>
      <c r="AE218" s="24">
        <v>4.7140000000000004</v>
      </c>
      <c r="AF218" s="24">
        <v>5.0345000000000004</v>
      </c>
      <c r="AG218" s="24">
        <v>4.7827999999999999</v>
      </c>
      <c r="AH218" s="25">
        <f>AG218-AE218</f>
        <v>6.8799999999999528E-2</v>
      </c>
      <c r="AI218" s="25">
        <v>78.533541341653816</v>
      </c>
      <c r="AJ218" s="26">
        <v>3.9266770670826912</v>
      </c>
      <c r="AK218" s="25">
        <v>39.266770670826908</v>
      </c>
      <c r="AL218" s="26">
        <v>3.9277083380965454</v>
      </c>
      <c r="AM218" s="17">
        <f t="shared" si="70"/>
        <v>0.5780346820809249</v>
      </c>
      <c r="AN218" s="17"/>
      <c r="AO218" s="27"/>
      <c r="AP218" s="17"/>
      <c r="AQ218" s="17"/>
      <c r="AR218" s="17"/>
      <c r="AS218" s="17"/>
      <c r="AT218" s="17"/>
      <c r="AU218" s="17"/>
      <c r="AV218" s="17"/>
      <c r="AW218" s="17"/>
      <c r="AX218" s="17"/>
      <c r="BB218" s="17"/>
    </row>
    <row r="219" spans="1:54" x14ac:dyDescent="0.2">
      <c r="A219" s="17" t="s">
        <v>41</v>
      </c>
      <c r="B219" s="18" t="s">
        <v>42</v>
      </c>
      <c r="C219" s="18" t="str">
        <f t="shared" si="62"/>
        <v>BI10.6</v>
      </c>
      <c r="D219" s="18" t="str">
        <f t="shared" si="63"/>
        <v>BI10.6_218</v>
      </c>
      <c r="E219" s="17">
        <v>6</v>
      </c>
      <c r="F219" s="19">
        <v>218</v>
      </c>
      <c r="G219" s="20">
        <v>2.4500000000000002</v>
      </c>
      <c r="H219" s="20">
        <v>2.5</v>
      </c>
      <c r="I219" s="20">
        <v>1</v>
      </c>
      <c r="J219" s="20">
        <f t="shared" si="61"/>
        <v>4.8086156250000007</v>
      </c>
      <c r="K219" s="53">
        <v>0.1737499999999999</v>
      </c>
      <c r="L219" s="20">
        <f t="shared" si="73"/>
        <v>9.4900000000001512</v>
      </c>
      <c r="M219" s="20">
        <f t="shared" si="72"/>
        <v>10.490000000000151</v>
      </c>
      <c r="N219" s="20">
        <f t="shared" si="72"/>
        <v>9.9900000000001512</v>
      </c>
      <c r="O219" s="20">
        <f>P218+$AO$216</f>
        <v>209.49000000000015</v>
      </c>
      <c r="P219" s="20">
        <f t="shared" si="60"/>
        <v>210.49000000000015</v>
      </c>
      <c r="Q219" s="20">
        <f t="shared" si="71"/>
        <v>209.99000000000015</v>
      </c>
      <c r="R219" s="20">
        <f t="shared" si="57"/>
        <v>201.99000000000015</v>
      </c>
      <c r="S219" s="20">
        <f t="shared" si="58"/>
        <v>202.99000000000015</v>
      </c>
      <c r="T219" s="20">
        <f t="shared" si="59"/>
        <v>202.49000000000015</v>
      </c>
      <c r="U219" s="20">
        <v>202.49000000000015</v>
      </c>
      <c r="V219" s="22">
        <v>7.2319000000000004</v>
      </c>
      <c r="W219" s="22">
        <v>2.4217</v>
      </c>
      <c r="X219" s="23">
        <v>1.1476266666666668</v>
      </c>
      <c r="Y219" s="23">
        <f t="shared" si="64"/>
        <v>6.0842733333333339</v>
      </c>
      <c r="Z219" s="23">
        <f t="shared" si="65"/>
        <v>1.2740733333333332</v>
      </c>
      <c r="AA219" s="22">
        <f t="shared" si="66"/>
        <v>79.059564494691799</v>
      </c>
      <c r="AB219" s="22">
        <f t="shared" si="67"/>
        <v>20.940435505308201</v>
      </c>
      <c r="AC219" s="22">
        <f t="shared" si="68"/>
        <v>1.2652858551848449</v>
      </c>
      <c r="AD219" s="22">
        <f t="shared" si="69"/>
        <v>0.26495636846276999</v>
      </c>
      <c r="AE219" s="24">
        <v>4.8754</v>
      </c>
      <c r="AF219" s="24">
        <v>5.42</v>
      </c>
      <c r="AG219" s="24">
        <v>5.0137</v>
      </c>
      <c r="AH219" s="25">
        <f>AG219-AE219</f>
        <v>0.13830000000000009</v>
      </c>
      <c r="AI219" s="25">
        <v>74.605214836577289</v>
      </c>
      <c r="AJ219" s="26">
        <v>3.7302607418288645</v>
      </c>
      <c r="AK219" s="25">
        <v>37.302607418288645</v>
      </c>
      <c r="AL219" s="26">
        <v>3.7313462988617969</v>
      </c>
      <c r="AM219" s="17">
        <f t="shared" si="70"/>
        <v>0.5780346820809249</v>
      </c>
      <c r="AN219" s="17"/>
      <c r="AO219" s="27"/>
      <c r="AP219" s="17"/>
      <c r="AQ219" s="17"/>
      <c r="AR219" s="17"/>
      <c r="AS219" s="17"/>
      <c r="AT219" s="17"/>
      <c r="AU219" s="17"/>
      <c r="AV219" s="17"/>
      <c r="AW219" s="17"/>
      <c r="AX219" s="17"/>
      <c r="BB219" s="17"/>
    </row>
    <row r="220" spans="1:54" x14ac:dyDescent="0.2">
      <c r="A220" s="17" t="s">
        <v>41</v>
      </c>
      <c r="B220" s="18" t="s">
        <v>42</v>
      </c>
      <c r="C220" s="18" t="str">
        <f t="shared" si="62"/>
        <v>BI10.6</v>
      </c>
      <c r="D220" s="18" t="str">
        <f t="shared" si="63"/>
        <v>BI10.6_219</v>
      </c>
      <c r="E220" s="17">
        <v>6</v>
      </c>
      <c r="F220" s="19">
        <v>219</v>
      </c>
      <c r="G220" s="20">
        <v>2.5</v>
      </c>
      <c r="H220" s="20">
        <v>2.65</v>
      </c>
      <c r="I220" s="20">
        <v>1</v>
      </c>
      <c r="J220" s="20">
        <f t="shared" si="61"/>
        <v>5.2050406250000014</v>
      </c>
      <c r="K220" s="53">
        <v>0.1737499999999999</v>
      </c>
      <c r="L220" s="20">
        <f t="shared" si="73"/>
        <v>10.663750000000164</v>
      </c>
      <c r="M220" s="20">
        <f t="shared" si="72"/>
        <v>11.663750000000164</v>
      </c>
      <c r="N220" s="20">
        <f t="shared" si="72"/>
        <v>11.163750000000164</v>
      </c>
      <c r="O220" s="20">
        <f>P219+$AO$216</f>
        <v>210.66375000000016</v>
      </c>
      <c r="P220" s="20">
        <f t="shared" si="60"/>
        <v>211.66375000000016</v>
      </c>
      <c r="Q220" s="20">
        <f t="shared" si="71"/>
        <v>211.16375000000016</v>
      </c>
      <c r="R220" s="20">
        <f t="shared" si="57"/>
        <v>203.16375000000016</v>
      </c>
      <c r="S220" s="20">
        <f t="shared" si="58"/>
        <v>204.16375000000016</v>
      </c>
      <c r="T220" s="20">
        <f t="shared" si="59"/>
        <v>203.66375000000016</v>
      </c>
      <c r="U220" s="20">
        <v>203.66375000000016</v>
      </c>
      <c r="V220" s="22">
        <v>7.6791999999999998</v>
      </c>
      <c r="W220" s="17">
        <v>2.2206999999999999</v>
      </c>
      <c r="X220" s="23">
        <v>1.1476266666666668</v>
      </c>
      <c r="Y220" s="23">
        <f t="shared" si="64"/>
        <v>6.5315733333333332</v>
      </c>
      <c r="Z220" s="23">
        <f t="shared" si="65"/>
        <v>1.0730733333333331</v>
      </c>
      <c r="AA220" s="22">
        <f t="shared" si="66"/>
        <v>83.57098238709203</v>
      </c>
      <c r="AB220" s="22">
        <f t="shared" si="67"/>
        <v>16.42901761290797</v>
      </c>
      <c r="AC220" s="22">
        <f t="shared" si="68"/>
        <v>1.2548553995836165</v>
      </c>
      <c r="AD220" s="22">
        <f t="shared" si="69"/>
        <v>0.20616041461411894</v>
      </c>
      <c r="AE220" s="24">
        <v>4.5621</v>
      </c>
      <c r="AF220" s="24">
        <v>4.8670999999999998</v>
      </c>
      <c r="AG220" s="24">
        <v>4.6470000000000002</v>
      </c>
      <c r="AH220" s="25">
        <f>AG220-AE220</f>
        <v>8.4900000000000198E-2</v>
      </c>
      <c r="AI220" s="25">
        <v>72.163934426229417</v>
      </c>
      <c r="AJ220" s="26">
        <v>3.608196721311471</v>
      </c>
      <c r="AK220" s="25">
        <v>36.081967213114709</v>
      </c>
      <c r="AL220" s="26">
        <v>3.6093189911232355</v>
      </c>
      <c r="AM220" s="17">
        <f t="shared" si="70"/>
        <v>0.5780346820809249</v>
      </c>
      <c r="AN220" s="28"/>
      <c r="AO220" s="27"/>
      <c r="AP220" s="17"/>
      <c r="AQ220" s="17"/>
      <c r="AR220" s="17"/>
      <c r="AS220" s="17"/>
      <c r="AT220" s="17"/>
      <c r="AU220" s="17"/>
      <c r="AV220" s="17"/>
      <c r="AW220" s="17"/>
      <c r="AX220" s="17"/>
      <c r="BB220" s="17"/>
    </row>
    <row r="221" spans="1:54" x14ac:dyDescent="0.2">
      <c r="A221" s="17" t="s">
        <v>41</v>
      </c>
      <c r="B221" s="18" t="s">
        <v>42</v>
      </c>
      <c r="C221" s="18" t="str">
        <f t="shared" si="62"/>
        <v>BI10.6</v>
      </c>
      <c r="D221" s="18" t="str">
        <f t="shared" si="63"/>
        <v>BI10.6_220</v>
      </c>
      <c r="E221" s="17">
        <v>6</v>
      </c>
      <c r="F221" s="19">
        <v>220</v>
      </c>
      <c r="G221" s="20">
        <v>2.5499999999999998</v>
      </c>
      <c r="H221" s="20">
        <v>2.75</v>
      </c>
      <c r="I221" s="20">
        <v>1</v>
      </c>
      <c r="J221" s="20">
        <f t="shared" si="61"/>
        <v>5.5126624999999994</v>
      </c>
      <c r="K221" s="53">
        <v>0.1737499999999999</v>
      </c>
      <c r="L221" s="20">
        <f t="shared" si="73"/>
        <v>11.837500000000176</v>
      </c>
      <c r="M221" s="20">
        <f t="shared" si="72"/>
        <v>12.837500000000176</v>
      </c>
      <c r="N221" s="20">
        <f t="shared" si="72"/>
        <v>12.337500000000176</v>
      </c>
      <c r="O221" s="20">
        <f>P220+$AO$216</f>
        <v>211.83750000000018</v>
      </c>
      <c r="P221" s="20">
        <f t="shared" si="60"/>
        <v>212.83750000000018</v>
      </c>
      <c r="Q221" s="20">
        <f t="shared" si="71"/>
        <v>212.33750000000018</v>
      </c>
      <c r="R221" s="20">
        <f t="shared" si="57"/>
        <v>204.33750000000018</v>
      </c>
      <c r="S221" s="20">
        <f t="shared" si="58"/>
        <v>205.33750000000018</v>
      </c>
      <c r="T221" s="20">
        <f t="shared" si="59"/>
        <v>204.83750000000018</v>
      </c>
      <c r="U221" s="20">
        <v>204.83750000000018</v>
      </c>
      <c r="V221" s="22">
        <v>7.9656000000000002</v>
      </c>
      <c r="W221" s="22">
        <v>2.1701999999999999</v>
      </c>
      <c r="X221" s="23">
        <v>1.1476266666666668</v>
      </c>
      <c r="Y221" s="23">
        <f t="shared" si="64"/>
        <v>6.8179733333333337</v>
      </c>
      <c r="Z221" s="23">
        <f t="shared" si="65"/>
        <v>1.0225733333333331</v>
      </c>
      <c r="AA221" s="22">
        <f t="shared" si="66"/>
        <v>85.001799166125622</v>
      </c>
      <c r="AB221" s="22">
        <f t="shared" si="67"/>
        <v>14.998200833874378</v>
      </c>
      <c r="AC221" s="22">
        <f t="shared" si="68"/>
        <v>1.2367841008466116</v>
      </c>
      <c r="AD221" s="22">
        <f t="shared" si="69"/>
        <v>0.18549536332640229</v>
      </c>
      <c r="AE221" s="24">
        <v>4.9204999999999997</v>
      </c>
      <c r="AF221" s="24">
        <v>5.2370999999999999</v>
      </c>
      <c r="AG221" s="24">
        <v>5.0244999999999997</v>
      </c>
      <c r="AH221" s="25">
        <f>AG221-AE221</f>
        <v>0.10400000000000009</v>
      </c>
      <c r="AI221" s="25">
        <v>67.150979153506</v>
      </c>
      <c r="AJ221" s="26">
        <v>3.3575489576753004</v>
      </c>
      <c r="AK221" s="25">
        <v>33.575489576753</v>
      </c>
      <c r="AL221" s="26">
        <v>3.3587549781409325</v>
      </c>
      <c r="AM221" s="17">
        <f t="shared" si="70"/>
        <v>0.5780346820809249</v>
      </c>
      <c r="AN221" s="28"/>
      <c r="AO221" s="27"/>
      <c r="AP221" s="17"/>
      <c r="AQ221" s="17"/>
      <c r="AR221" s="17"/>
      <c r="AS221" s="17"/>
      <c r="AT221" s="17"/>
      <c r="AU221" s="17"/>
      <c r="AV221" s="17"/>
      <c r="AW221" s="17"/>
      <c r="AX221" s="17"/>
      <c r="BB221" s="17"/>
    </row>
    <row r="222" spans="1:54" x14ac:dyDescent="0.2">
      <c r="A222" s="17" t="s">
        <v>41</v>
      </c>
      <c r="B222" s="18" t="s">
        <v>42</v>
      </c>
      <c r="C222" s="18" t="str">
        <f t="shared" si="62"/>
        <v>BI10.6</v>
      </c>
      <c r="D222" s="18" t="str">
        <f t="shared" si="63"/>
        <v>BI10.6_221</v>
      </c>
      <c r="E222" s="17">
        <v>6</v>
      </c>
      <c r="F222" s="19">
        <v>221</v>
      </c>
      <c r="G222" s="20">
        <v>2.4500000000000002</v>
      </c>
      <c r="H222" s="20">
        <v>2.5</v>
      </c>
      <c r="I222" s="20">
        <v>1.05</v>
      </c>
      <c r="J222" s="20">
        <f t="shared" si="61"/>
        <v>5.0490464062500005</v>
      </c>
      <c r="K222" s="53">
        <v>0.1737499999999999</v>
      </c>
      <c r="L222" s="20">
        <f t="shared" si="73"/>
        <v>13.011250000000189</v>
      </c>
      <c r="M222" s="20">
        <f t="shared" si="72"/>
        <v>14.0612500000002</v>
      </c>
      <c r="N222" s="20">
        <f t="shared" si="72"/>
        <v>13.536250000000194</v>
      </c>
      <c r="O222" s="20">
        <f>P221+$AO$216</f>
        <v>213.01125000000019</v>
      </c>
      <c r="P222" s="20">
        <f t="shared" si="60"/>
        <v>214.0612500000002</v>
      </c>
      <c r="Q222" s="20">
        <f t="shared" si="71"/>
        <v>213.53625000000019</v>
      </c>
      <c r="R222" s="20">
        <f t="shared" si="57"/>
        <v>205.51125000000019</v>
      </c>
      <c r="S222" s="20">
        <f t="shared" si="58"/>
        <v>206.5612500000002</v>
      </c>
      <c r="T222" s="20">
        <f t="shared" si="59"/>
        <v>206.03625000000019</v>
      </c>
      <c r="U222" s="20">
        <v>206.03625000000019</v>
      </c>
      <c r="V222" s="22">
        <v>7.4714999999999998</v>
      </c>
      <c r="W222" s="22">
        <v>2.0556000000000001</v>
      </c>
      <c r="X222" s="23">
        <v>1.1476266666666668</v>
      </c>
      <c r="Y222" s="23">
        <f t="shared" si="64"/>
        <v>6.3238733333333332</v>
      </c>
      <c r="Z222" s="23">
        <f t="shared" si="65"/>
        <v>0.9079733333333333</v>
      </c>
      <c r="AA222" s="22">
        <f t="shared" si="66"/>
        <v>85.64213282787658</v>
      </c>
      <c r="AB222" s="22">
        <f t="shared" si="67"/>
        <v>14.35786717212342</v>
      </c>
      <c r="AC222" s="22">
        <f t="shared" si="68"/>
        <v>1.2524886532049455</v>
      </c>
      <c r="AD222" s="22">
        <f t="shared" si="69"/>
        <v>0.17983065717308352</v>
      </c>
      <c r="AE222" s="24">
        <v>4.9019000000000004</v>
      </c>
      <c r="AF222" s="24">
        <v>5.3105000000000002</v>
      </c>
      <c r="AG222" s="24">
        <v>4.9861000000000004</v>
      </c>
      <c r="AH222" s="25">
        <f>AG222-AE222</f>
        <v>8.4200000000000053E-2</v>
      </c>
      <c r="AI222" s="25">
        <v>79.393049437102277</v>
      </c>
      <c r="AJ222" s="26">
        <v>3.9696524718551141</v>
      </c>
      <c r="AK222" s="25">
        <v>39.696524718551139</v>
      </c>
      <c r="AL222" s="26">
        <v>3.970672581226689</v>
      </c>
      <c r="AM222" s="17">
        <f t="shared" si="70"/>
        <v>0.5780346820809249</v>
      </c>
      <c r="AN222" s="28"/>
      <c r="AO222" s="29"/>
      <c r="AP222" s="17"/>
      <c r="AQ222" s="17"/>
      <c r="AR222" s="17"/>
      <c r="AS222" s="17"/>
      <c r="AT222" s="17"/>
      <c r="AU222" s="17"/>
      <c r="AV222" s="17"/>
      <c r="AW222" s="17"/>
      <c r="AX222" s="17"/>
      <c r="BB222" s="17"/>
    </row>
    <row r="223" spans="1:54" x14ac:dyDescent="0.2">
      <c r="A223" s="17" t="s">
        <v>41</v>
      </c>
      <c r="B223" s="18" t="s">
        <v>42</v>
      </c>
      <c r="C223" s="18" t="str">
        <f t="shared" si="62"/>
        <v>BI10.6</v>
      </c>
      <c r="D223" s="18" t="str">
        <f t="shared" si="63"/>
        <v>BI10.6_222</v>
      </c>
      <c r="E223" s="17">
        <v>6</v>
      </c>
      <c r="F223" s="19">
        <v>222</v>
      </c>
      <c r="G223" s="20">
        <v>2.6</v>
      </c>
      <c r="H223" s="20">
        <v>2.65</v>
      </c>
      <c r="I223" s="20">
        <v>1</v>
      </c>
      <c r="J223" s="20">
        <f t="shared" si="61"/>
        <v>5.409140625</v>
      </c>
      <c r="K223" s="53">
        <v>0.1737499999999999</v>
      </c>
      <c r="L223" s="20">
        <f t="shared" si="73"/>
        <v>14.235000000000213</v>
      </c>
      <c r="M223" s="20">
        <f t="shared" si="72"/>
        <v>15.235000000000213</v>
      </c>
      <c r="N223" s="20">
        <f t="shared" si="72"/>
        <v>14.735000000000213</v>
      </c>
      <c r="O223" s="20">
        <f>P222+$AO$216</f>
        <v>214.23500000000021</v>
      </c>
      <c r="P223" s="20">
        <f t="shared" si="60"/>
        <v>215.23500000000021</v>
      </c>
      <c r="Q223" s="20">
        <f t="shared" si="71"/>
        <v>214.73500000000021</v>
      </c>
      <c r="R223" s="20">
        <f t="shared" si="57"/>
        <v>206.73500000000021</v>
      </c>
      <c r="S223" s="20">
        <f t="shared" si="58"/>
        <v>207.73500000000021</v>
      </c>
      <c r="T223" s="20">
        <f t="shared" si="59"/>
        <v>207.23500000000021</v>
      </c>
      <c r="U223" s="20">
        <v>207.23500000000021</v>
      </c>
      <c r="V223" s="22">
        <v>7.5674000000000001</v>
      </c>
      <c r="W223" s="22">
        <v>2.1475</v>
      </c>
      <c r="X223" s="23">
        <v>1.1476266666666668</v>
      </c>
      <c r="Y223" s="23">
        <f t="shared" si="64"/>
        <v>6.4197733333333336</v>
      </c>
      <c r="Z223" s="23">
        <f t="shared" si="65"/>
        <v>0.99987333333333317</v>
      </c>
      <c r="AA223" s="22">
        <f t="shared" si="66"/>
        <v>84.425099120841224</v>
      </c>
      <c r="AB223" s="22">
        <f t="shared" si="67"/>
        <v>15.574900879158776</v>
      </c>
      <c r="AC223" s="22">
        <f t="shared" si="68"/>
        <v>1.1868379431036393</v>
      </c>
      <c r="AD223" s="22">
        <f t="shared" si="69"/>
        <v>0.18484883323463849</v>
      </c>
      <c r="AE223" s="24">
        <v>4.9195000000000002</v>
      </c>
      <c r="AF223" s="24">
        <v>5.2122999999999999</v>
      </c>
      <c r="AG223" s="24">
        <v>4.9768999999999997</v>
      </c>
      <c r="AH223" s="25">
        <f>AG223-AE223</f>
        <v>5.7399999999999451E-2</v>
      </c>
      <c r="AI223" s="25">
        <v>80.396174863388154</v>
      </c>
      <c r="AJ223" s="26">
        <v>4.0198087431694081</v>
      </c>
      <c r="AK223" s="25">
        <v>40.198087431694077</v>
      </c>
      <c r="AL223" s="26">
        <v>4.0208161275618179</v>
      </c>
      <c r="AM223" s="17">
        <f t="shared" si="70"/>
        <v>0.5780346820809249</v>
      </c>
      <c r="AN223" s="28"/>
      <c r="AO223" s="29"/>
      <c r="AP223" s="17"/>
      <c r="AQ223" s="17"/>
      <c r="AR223" s="17"/>
      <c r="AS223" s="17"/>
      <c r="AT223" s="17"/>
      <c r="AU223" s="17"/>
      <c r="AV223" s="17"/>
      <c r="AW223" s="17"/>
      <c r="AX223" s="17"/>
      <c r="BB223" s="17"/>
    </row>
    <row r="224" spans="1:54" x14ac:dyDescent="0.2">
      <c r="A224" s="17" t="s">
        <v>41</v>
      </c>
      <c r="B224" s="18" t="s">
        <v>42</v>
      </c>
      <c r="C224" s="18" t="str">
        <f t="shared" si="62"/>
        <v>BI10.6</v>
      </c>
      <c r="D224" s="18" t="str">
        <f t="shared" si="63"/>
        <v>BI10.6_223</v>
      </c>
      <c r="E224" s="17">
        <v>6</v>
      </c>
      <c r="F224" s="19">
        <v>223</v>
      </c>
      <c r="G224" s="20">
        <v>2.5499999999999998</v>
      </c>
      <c r="H224" s="20">
        <v>2.6</v>
      </c>
      <c r="I224" s="20">
        <v>1.05</v>
      </c>
      <c r="J224" s="20">
        <f t="shared" si="61"/>
        <v>5.4652926562500017</v>
      </c>
      <c r="K224" s="53">
        <v>0.1737499999999999</v>
      </c>
      <c r="L224" s="20">
        <f t="shared" si="73"/>
        <v>15.408750000000225</v>
      </c>
      <c r="M224" s="20">
        <f t="shared" si="72"/>
        <v>16.458750000000236</v>
      </c>
      <c r="N224" s="20">
        <f t="shared" si="72"/>
        <v>15.933750000000231</v>
      </c>
      <c r="O224" s="20">
        <f>P223+$AO$216</f>
        <v>215.40875000000023</v>
      </c>
      <c r="P224" s="20">
        <f t="shared" si="60"/>
        <v>216.45875000000024</v>
      </c>
      <c r="Q224" s="20">
        <f t="shared" si="71"/>
        <v>215.93375000000023</v>
      </c>
      <c r="R224" s="20">
        <f t="shared" si="57"/>
        <v>207.90875000000023</v>
      </c>
      <c r="S224" s="20">
        <f t="shared" si="58"/>
        <v>208.95875000000024</v>
      </c>
      <c r="T224" s="20">
        <f t="shared" si="59"/>
        <v>208.43375000000023</v>
      </c>
      <c r="U224" s="20">
        <v>208.43375000000023</v>
      </c>
      <c r="V224" s="22">
        <v>7.1939000000000002</v>
      </c>
      <c r="W224" s="22">
        <v>2.1036999999999999</v>
      </c>
      <c r="X224" s="23">
        <v>1.1476266666666668</v>
      </c>
      <c r="Y224" s="23">
        <f t="shared" si="64"/>
        <v>6.0462733333333336</v>
      </c>
      <c r="Z224" s="23">
        <f t="shared" si="65"/>
        <v>0.95607333333333311</v>
      </c>
      <c r="AA224" s="22">
        <f t="shared" si="66"/>
        <v>84.187394769891327</v>
      </c>
      <c r="AB224" s="22">
        <f t="shared" si="67"/>
        <v>15.812605230108673</v>
      </c>
      <c r="AC224" s="22">
        <f t="shared" si="68"/>
        <v>1.1063036718480086</v>
      </c>
      <c r="AD224" s="22">
        <f t="shared" si="69"/>
        <v>0.17493543227552258</v>
      </c>
      <c r="AE224" s="24">
        <v>4.6734999999999998</v>
      </c>
      <c r="AF224" s="24">
        <v>5.0415000000000001</v>
      </c>
      <c r="AG224" s="24">
        <v>4.7358000000000002</v>
      </c>
      <c r="AH224" s="25">
        <f>AG224-AE224</f>
        <v>6.2300000000000466E-2</v>
      </c>
      <c r="AI224" s="25">
        <v>83.070652173912933</v>
      </c>
      <c r="AJ224" s="26">
        <v>4.153532608695647</v>
      </c>
      <c r="AK224" s="25">
        <v>41.535326086956466</v>
      </c>
      <c r="AL224" s="26">
        <v>4.1545075678710788</v>
      </c>
      <c r="AM224" s="17">
        <f t="shared" si="70"/>
        <v>0.5780346820809249</v>
      </c>
      <c r="AN224" s="28"/>
      <c r="AO224" s="27"/>
      <c r="AP224" s="17"/>
      <c r="AQ224" s="17"/>
      <c r="AR224" s="17"/>
      <c r="AS224" s="17"/>
      <c r="AT224" s="17"/>
      <c r="AU224" s="17"/>
      <c r="AV224" s="17"/>
      <c r="AW224" s="17"/>
      <c r="AX224" s="17"/>
      <c r="BB224" s="17"/>
    </row>
    <row r="225" spans="1:54" x14ac:dyDescent="0.2">
      <c r="A225" s="17" t="s">
        <v>41</v>
      </c>
      <c r="B225" s="18" t="s">
        <v>42</v>
      </c>
      <c r="C225" s="18" t="str">
        <f t="shared" si="62"/>
        <v>BI10.6</v>
      </c>
      <c r="D225" s="18" t="str">
        <f t="shared" si="63"/>
        <v>BI10.6_224</v>
      </c>
      <c r="E225" s="17">
        <v>6</v>
      </c>
      <c r="F225" s="19">
        <v>224</v>
      </c>
      <c r="G225" s="20">
        <v>2.5499999999999998</v>
      </c>
      <c r="H225" s="20">
        <v>2.7</v>
      </c>
      <c r="I225" s="20">
        <v>1</v>
      </c>
      <c r="J225" s="20">
        <f t="shared" si="61"/>
        <v>5.409140625</v>
      </c>
      <c r="K225" s="53">
        <v>0.1737499999999999</v>
      </c>
      <c r="L225" s="20">
        <f t="shared" si="73"/>
        <v>16.632500000000249</v>
      </c>
      <c r="M225" s="20">
        <f t="shared" si="72"/>
        <v>17.632500000000249</v>
      </c>
      <c r="N225" s="20">
        <f t="shared" si="72"/>
        <v>17.132500000000249</v>
      </c>
      <c r="O225" s="20">
        <f>P224+$AO$216</f>
        <v>216.63250000000025</v>
      </c>
      <c r="P225" s="20">
        <f t="shared" si="60"/>
        <v>217.63250000000025</v>
      </c>
      <c r="Q225" s="20">
        <f t="shared" si="71"/>
        <v>217.13250000000025</v>
      </c>
      <c r="R225" s="20">
        <f t="shared" si="57"/>
        <v>209.13250000000025</v>
      </c>
      <c r="S225" s="20">
        <f t="shared" si="58"/>
        <v>210.13250000000025</v>
      </c>
      <c r="T225" s="20">
        <f t="shared" si="59"/>
        <v>209.63250000000025</v>
      </c>
      <c r="U225" s="20">
        <v>209.63250000000025</v>
      </c>
      <c r="V225" s="22">
        <v>7.7293000000000003</v>
      </c>
      <c r="W225" s="22">
        <v>2.2856999999999998</v>
      </c>
      <c r="X225" s="23">
        <v>1.1476266666666668</v>
      </c>
      <c r="Y225" s="23">
        <f t="shared" si="64"/>
        <v>6.5816733333333337</v>
      </c>
      <c r="Z225" s="23">
        <f t="shared" si="65"/>
        <v>1.138073333333333</v>
      </c>
      <c r="AA225" s="22">
        <f t="shared" si="66"/>
        <v>82.708450029425151</v>
      </c>
      <c r="AB225" s="22">
        <f t="shared" si="67"/>
        <v>17.291549970574849</v>
      </c>
      <c r="AC225" s="22">
        <f t="shared" si="68"/>
        <v>1.2167687604411901</v>
      </c>
      <c r="AD225" s="22">
        <f t="shared" si="69"/>
        <v>0.21039817823803258</v>
      </c>
      <c r="AE225" s="24">
        <v>4.9823000000000004</v>
      </c>
      <c r="AF225" s="24">
        <v>5.3292999999999999</v>
      </c>
      <c r="AG225" s="24">
        <v>5.0580999999999996</v>
      </c>
      <c r="AH225" s="25">
        <f>AG225-AE225</f>
        <v>7.5799999999999201E-2</v>
      </c>
      <c r="AI225" s="25">
        <v>78.155619596541996</v>
      </c>
      <c r="AJ225" s="26">
        <v>3.9077809798271002</v>
      </c>
      <c r="AK225" s="25">
        <v>39.077809798270998</v>
      </c>
      <c r="AL225" s="26">
        <v>3.9088172362363593</v>
      </c>
      <c r="AM225" s="17">
        <f t="shared" si="70"/>
        <v>0.5780346820809249</v>
      </c>
      <c r="AN225" s="28"/>
      <c r="AO225" s="30"/>
      <c r="AP225" s="17"/>
      <c r="AQ225" s="17"/>
      <c r="AR225" s="17"/>
      <c r="AS225" s="17"/>
      <c r="AT225" s="17"/>
      <c r="AU225" s="17"/>
      <c r="AV225" s="17"/>
      <c r="AW225" s="17"/>
      <c r="AX225" s="17"/>
      <c r="BB225" s="17"/>
    </row>
    <row r="226" spans="1:54" x14ac:dyDescent="0.2">
      <c r="A226" s="17" t="s">
        <v>41</v>
      </c>
      <c r="B226" s="18" t="s">
        <v>42</v>
      </c>
      <c r="C226" s="18" t="str">
        <f t="shared" si="62"/>
        <v>BI10.6</v>
      </c>
      <c r="D226" s="18" t="str">
        <f t="shared" si="63"/>
        <v>BI10.6_225</v>
      </c>
      <c r="E226" s="17">
        <v>6</v>
      </c>
      <c r="F226" s="19">
        <v>225</v>
      </c>
      <c r="G226" s="20">
        <v>2.5</v>
      </c>
      <c r="H226" s="20">
        <v>2.2999999999999998</v>
      </c>
      <c r="I226" s="20">
        <v>1</v>
      </c>
      <c r="J226" s="20">
        <f t="shared" si="61"/>
        <v>4.5215999999999994</v>
      </c>
      <c r="K226" s="53">
        <v>0.1737499999999999</v>
      </c>
      <c r="L226" s="20">
        <f t="shared" si="73"/>
        <v>17.806250000000261</v>
      </c>
      <c r="M226" s="20">
        <f t="shared" si="72"/>
        <v>18.806250000000261</v>
      </c>
      <c r="N226" s="20">
        <f t="shared" si="72"/>
        <v>18.306250000000261</v>
      </c>
      <c r="O226" s="20">
        <f>P225+$AO$216</f>
        <v>217.80625000000026</v>
      </c>
      <c r="P226" s="20">
        <f t="shared" si="60"/>
        <v>218.80625000000026</v>
      </c>
      <c r="Q226" s="20">
        <f t="shared" si="71"/>
        <v>218.30625000000026</v>
      </c>
      <c r="R226" s="20">
        <f t="shared" si="57"/>
        <v>210.30625000000026</v>
      </c>
      <c r="S226" s="20">
        <f t="shared" si="58"/>
        <v>211.30625000000026</v>
      </c>
      <c r="T226" s="20">
        <f t="shared" si="59"/>
        <v>210.80625000000026</v>
      </c>
      <c r="U226" s="20">
        <v>210.80625000000026</v>
      </c>
      <c r="V226" s="22">
        <v>6.58</v>
      </c>
      <c r="W226" s="22">
        <v>2.0390000000000001</v>
      </c>
      <c r="X226" s="23">
        <v>1.1476266666666668</v>
      </c>
      <c r="Y226" s="23">
        <f t="shared" si="64"/>
        <v>5.4323733333333335</v>
      </c>
      <c r="Z226" s="23">
        <f t="shared" si="65"/>
        <v>0.89137333333333335</v>
      </c>
      <c r="AA226" s="22">
        <f t="shared" si="66"/>
        <v>83.591456650009334</v>
      </c>
      <c r="AB226" s="22">
        <f t="shared" si="67"/>
        <v>16.408543349990666</v>
      </c>
      <c r="AC226" s="22">
        <f t="shared" si="68"/>
        <v>1.2014272234017458</v>
      </c>
      <c r="AD226" s="22">
        <f t="shared" si="69"/>
        <v>0.19713670677046477</v>
      </c>
      <c r="AE226" s="24">
        <v>4.78</v>
      </c>
      <c r="AF226" s="24">
        <v>5.2159000000000004</v>
      </c>
      <c r="AG226" s="24">
        <v>4.9748000000000001</v>
      </c>
      <c r="AH226" s="25">
        <f>AG226-AE226</f>
        <v>0.19479999999999986</v>
      </c>
      <c r="AI226" s="25">
        <v>55.31085111264057</v>
      </c>
      <c r="AJ226" s="26">
        <v>2.7655425556320288</v>
      </c>
      <c r="AK226" s="25">
        <v>27.655425556320285</v>
      </c>
      <c r="AL226" s="26">
        <v>2.7670066185341393</v>
      </c>
      <c r="AM226" s="17">
        <f t="shared" si="70"/>
        <v>0.5780346820809249</v>
      </c>
      <c r="AN226" s="17"/>
      <c r="AO226" s="27"/>
      <c r="AP226" s="17"/>
      <c r="AQ226" s="17"/>
      <c r="AR226" s="17"/>
      <c r="AS226" s="17"/>
      <c r="AT226" s="17"/>
      <c r="AU226" s="17"/>
      <c r="AV226" s="17"/>
      <c r="AW226" s="17"/>
      <c r="AX226" s="17"/>
      <c r="BB226" s="17"/>
    </row>
    <row r="227" spans="1:54" x14ac:dyDescent="0.2">
      <c r="A227" s="17" t="s">
        <v>41</v>
      </c>
      <c r="B227" s="18" t="s">
        <v>42</v>
      </c>
      <c r="C227" s="18" t="str">
        <f t="shared" si="62"/>
        <v>BI10.6</v>
      </c>
      <c r="D227" s="18" t="str">
        <f t="shared" si="63"/>
        <v>BI10.6_226</v>
      </c>
      <c r="E227" s="17">
        <v>6</v>
      </c>
      <c r="F227" s="19">
        <v>226</v>
      </c>
      <c r="G227" s="20">
        <v>2.6</v>
      </c>
      <c r="H227" s="20">
        <v>2.4500000000000002</v>
      </c>
      <c r="I227" s="20">
        <v>1</v>
      </c>
      <c r="J227" s="20">
        <f t="shared" si="61"/>
        <v>5.0048656250000016</v>
      </c>
      <c r="K227" s="53">
        <v>0.1737499999999999</v>
      </c>
      <c r="L227" s="20">
        <f t="shared" si="73"/>
        <v>18.980000000000274</v>
      </c>
      <c r="M227" s="20">
        <f t="shared" si="73"/>
        <v>19.980000000000274</v>
      </c>
      <c r="N227" s="20">
        <f t="shared" si="73"/>
        <v>19.480000000000274</v>
      </c>
      <c r="O227" s="20">
        <f>P226+$AO$216</f>
        <v>218.98000000000027</v>
      </c>
      <c r="P227" s="20">
        <f t="shared" si="60"/>
        <v>219.98000000000027</v>
      </c>
      <c r="Q227" s="20">
        <f t="shared" si="71"/>
        <v>219.48000000000027</v>
      </c>
      <c r="R227" s="20">
        <f t="shared" si="57"/>
        <v>211.48000000000027</v>
      </c>
      <c r="S227" s="20">
        <f t="shared" si="58"/>
        <v>212.48000000000027</v>
      </c>
      <c r="T227" s="20">
        <f t="shared" si="59"/>
        <v>211.98000000000027</v>
      </c>
      <c r="U227" s="20">
        <v>211.98000000000027</v>
      </c>
      <c r="V227" s="22">
        <v>6.9988999999999999</v>
      </c>
      <c r="W227" s="22">
        <v>2.0405000000000002</v>
      </c>
      <c r="X227" s="23">
        <v>1.1476266666666668</v>
      </c>
      <c r="Y227" s="23">
        <f t="shared" si="64"/>
        <v>5.8512733333333333</v>
      </c>
      <c r="Z227" s="23">
        <f t="shared" si="65"/>
        <v>0.89287333333333341</v>
      </c>
      <c r="AA227" s="22">
        <f t="shared" si="66"/>
        <v>84.74052941183173</v>
      </c>
      <c r="AB227" s="22">
        <f t="shared" si="67"/>
        <v>15.25947058816827</v>
      </c>
      <c r="AC227" s="22">
        <f t="shared" si="68"/>
        <v>1.1691169697155119</v>
      </c>
      <c r="AD227" s="22">
        <f t="shared" si="69"/>
        <v>0.17840106013502272</v>
      </c>
      <c r="AE227" s="24">
        <v>4.6933999999999996</v>
      </c>
      <c r="AF227" s="24">
        <v>5.1052</v>
      </c>
      <c r="AG227" s="24">
        <v>4.7914000000000003</v>
      </c>
      <c r="AH227" s="25">
        <f>AG227-AE227</f>
        <v>9.8000000000000753E-2</v>
      </c>
      <c r="AI227" s="25">
        <v>76.202039825157684</v>
      </c>
      <c r="AJ227" s="26">
        <v>3.8101019912578842</v>
      </c>
      <c r="AK227" s="25">
        <v>38.101019912578842</v>
      </c>
      <c r="AL227" s="26">
        <v>3.8111648066945745</v>
      </c>
      <c r="AM227" s="17">
        <f t="shared" si="70"/>
        <v>0.5780346820809249</v>
      </c>
      <c r="AN227" s="17"/>
      <c r="AO227" s="27"/>
      <c r="AP227" s="17"/>
      <c r="AQ227" s="17"/>
      <c r="AR227" s="17"/>
      <c r="AS227" s="17"/>
      <c r="AT227" s="17"/>
      <c r="AU227" s="17"/>
      <c r="AV227" s="17"/>
      <c r="AW227" s="17"/>
      <c r="AX227" s="17"/>
      <c r="BB227" s="17"/>
    </row>
    <row r="228" spans="1:54" x14ac:dyDescent="0.2">
      <c r="A228" s="17" t="s">
        <v>41</v>
      </c>
      <c r="B228" s="18" t="s">
        <v>42</v>
      </c>
      <c r="C228" s="18" t="str">
        <f t="shared" si="62"/>
        <v>BI10.6</v>
      </c>
      <c r="D228" s="18" t="str">
        <f t="shared" si="63"/>
        <v>BI10.6_227</v>
      </c>
      <c r="E228" s="17">
        <v>6</v>
      </c>
      <c r="F228" s="19">
        <v>227</v>
      </c>
      <c r="G228" s="20">
        <v>2.5499999999999998</v>
      </c>
      <c r="H228" s="20">
        <v>2.35</v>
      </c>
      <c r="I228" s="20">
        <v>1.05</v>
      </c>
      <c r="J228" s="20">
        <f t="shared" si="61"/>
        <v>4.9475606250000004</v>
      </c>
      <c r="K228" s="53">
        <v>0.1737499999999999</v>
      </c>
      <c r="L228" s="20">
        <f t="shared" si="73"/>
        <v>20.153750000000286</v>
      </c>
      <c r="M228" s="20">
        <f t="shared" si="73"/>
        <v>21.203750000000298</v>
      </c>
      <c r="N228" s="20">
        <f t="shared" si="73"/>
        <v>20.678750000000292</v>
      </c>
      <c r="O228" s="20">
        <f>P227+$AO$216</f>
        <v>220.15375000000029</v>
      </c>
      <c r="P228" s="20">
        <f t="shared" si="60"/>
        <v>221.2037500000003</v>
      </c>
      <c r="Q228" s="20">
        <f t="shared" si="71"/>
        <v>220.67875000000029</v>
      </c>
      <c r="R228" s="20">
        <f t="shared" si="57"/>
        <v>212.65375000000029</v>
      </c>
      <c r="S228" s="20">
        <f t="shared" si="58"/>
        <v>213.7037500000003</v>
      </c>
      <c r="T228" s="20">
        <f t="shared" si="59"/>
        <v>213.17875000000029</v>
      </c>
      <c r="U228" s="20">
        <v>213.17875000000029</v>
      </c>
      <c r="V228" s="22">
        <v>7.3398000000000003</v>
      </c>
      <c r="W228" s="22">
        <v>2.1560999999999999</v>
      </c>
      <c r="X228" s="23">
        <v>1.1476266666666668</v>
      </c>
      <c r="Y228" s="23">
        <f t="shared" si="64"/>
        <v>6.1921733333333338</v>
      </c>
      <c r="Z228" s="23">
        <f t="shared" si="65"/>
        <v>1.0084733333333331</v>
      </c>
      <c r="AA228" s="22">
        <f t="shared" si="66"/>
        <v>83.713741863384541</v>
      </c>
      <c r="AB228" s="22">
        <f t="shared" si="67"/>
        <v>16.286258136615459</v>
      </c>
      <c r="AC228" s="22">
        <f t="shared" si="68"/>
        <v>1.2515608807387446</v>
      </c>
      <c r="AD228" s="22">
        <f t="shared" si="69"/>
        <v>0.20383243577400995</v>
      </c>
      <c r="AE228" s="24">
        <v>4.7046999999999999</v>
      </c>
      <c r="AF228" s="24">
        <v>5.2565999999999997</v>
      </c>
      <c r="AG228" s="24">
        <v>4.8826000000000001</v>
      </c>
      <c r="AH228" s="25">
        <f>AG228-AE228</f>
        <v>0.17790000000000017</v>
      </c>
      <c r="AI228" s="25">
        <v>67.765899619496253</v>
      </c>
      <c r="AJ228" s="26">
        <v>3.3882949809748126</v>
      </c>
      <c r="AK228" s="25">
        <v>33.882949809748126</v>
      </c>
      <c r="AL228" s="26">
        <v>3.3894900616610615</v>
      </c>
      <c r="AM228" s="17">
        <f t="shared" si="70"/>
        <v>0.5780346820809249</v>
      </c>
      <c r="AN228" s="17"/>
      <c r="AO228" s="27"/>
      <c r="AP228" s="17"/>
      <c r="AQ228" s="17"/>
      <c r="AR228" s="17"/>
      <c r="AS228" s="17"/>
      <c r="AT228" s="17"/>
      <c r="AU228" s="17"/>
      <c r="AV228" s="17"/>
      <c r="AW228" s="17"/>
      <c r="AX228" s="17"/>
      <c r="BB228" s="17"/>
    </row>
    <row r="229" spans="1:54" x14ac:dyDescent="0.2">
      <c r="A229" s="17" t="s">
        <v>41</v>
      </c>
      <c r="B229" s="18" t="s">
        <v>42</v>
      </c>
      <c r="C229" s="18" t="str">
        <f t="shared" si="62"/>
        <v>BI10.6</v>
      </c>
      <c r="D229" s="18" t="str">
        <f t="shared" si="63"/>
        <v>BI10.6_228</v>
      </c>
      <c r="E229" s="17">
        <v>6</v>
      </c>
      <c r="F229" s="19">
        <v>228</v>
      </c>
      <c r="G229" s="20">
        <v>2.5</v>
      </c>
      <c r="H229" s="20">
        <v>2.75</v>
      </c>
      <c r="I229" s="20">
        <v>1.05</v>
      </c>
      <c r="J229" s="20">
        <f t="shared" si="61"/>
        <v>5.6795976562499995</v>
      </c>
      <c r="K229" s="53">
        <v>0.1737499999999999</v>
      </c>
      <c r="L229" s="20">
        <f t="shared" si="73"/>
        <v>21.37750000000031</v>
      </c>
      <c r="M229" s="20">
        <f t="shared" si="73"/>
        <v>22.427500000000322</v>
      </c>
      <c r="N229" s="20">
        <f t="shared" si="73"/>
        <v>21.902500000000316</v>
      </c>
      <c r="O229" s="20">
        <f>P228+$AO$216</f>
        <v>221.37750000000031</v>
      </c>
      <c r="P229" s="20">
        <f t="shared" si="60"/>
        <v>222.42750000000032</v>
      </c>
      <c r="Q229" s="20">
        <f t="shared" si="71"/>
        <v>221.90250000000032</v>
      </c>
      <c r="R229" s="20">
        <f t="shared" si="57"/>
        <v>213.87750000000031</v>
      </c>
      <c r="S229" s="20">
        <f t="shared" si="58"/>
        <v>214.92750000000032</v>
      </c>
      <c r="T229" s="20">
        <f t="shared" si="59"/>
        <v>214.40250000000032</v>
      </c>
      <c r="U229" s="20">
        <v>214.40250000000032</v>
      </c>
      <c r="V229" s="22">
        <v>7.5129000000000001</v>
      </c>
      <c r="W229" s="22">
        <v>2.1036000000000001</v>
      </c>
      <c r="X229" s="23">
        <v>1.1476266666666668</v>
      </c>
      <c r="Y229" s="23">
        <f t="shared" si="64"/>
        <v>6.3652733333333336</v>
      </c>
      <c r="Z229" s="23">
        <f t="shared" si="65"/>
        <v>0.95597333333333334</v>
      </c>
      <c r="AA229" s="22">
        <f t="shared" si="66"/>
        <v>84.981425254322673</v>
      </c>
      <c r="AB229" s="22">
        <f t="shared" si="67"/>
        <v>15.018574745677327</v>
      </c>
      <c r="AC229" s="22">
        <f t="shared" si="68"/>
        <v>1.1207261004357933</v>
      </c>
      <c r="AD229" s="22">
        <f t="shared" si="69"/>
        <v>0.16831708708826437</v>
      </c>
      <c r="AE229" s="24">
        <v>4.6840000000000002</v>
      </c>
      <c r="AF229" s="24">
        <v>4.9336000000000002</v>
      </c>
      <c r="AG229" s="24">
        <v>4.7529000000000003</v>
      </c>
      <c r="AH229" s="25">
        <f>AG229-AE229</f>
        <v>6.8900000000000183E-2</v>
      </c>
      <c r="AI229" s="25">
        <v>72.395833333333258</v>
      </c>
      <c r="AJ229" s="26">
        <v>3.619791666666663</v>
      </c>
      <c r="AK229" s="25">
        <v>36.197916666666629</v>
      </c>
      <c r="AL229" s="26">
        <v>3.6209103427272842</v>
      </c>
      <c r="AM229" s="17">
        <f t="shared" si="70"/>
        <v>0.5780346820809249</v>
      </c>
      <c r="AN229" s="17"/>
      <c r="AO229" s="27"/>
      <c r="AP229" s="17"/>
      <c r="AQ229" s="17"/>
      <c r="AR229" s="17"/>
      <c r="AS229" s="17"/>
      <c r="AT229" s="17"/>
      <c r="AU229" s="17"/>
      <c r="AV229" s="17"/>
      <c r="AW229" s="17"/>
      <c r="AX229" s="17"/>
      <c r="BB229" s="17"/>
    </row>
    <row r="230" spans="1:54" x14ac:dyDescent="0.2">
      <c r="A230" s="17" t="s">
        <v>41</v>
      </c>
      <c r="B230" s="18" t="s">
        <v>42</v>
      </c>
      <c r="C230" s="18" t="str">
        <f t="shared" si="62"/>
        <v>BI10.6</v>
      </c>
      <c r="D230" s="18" t="str">
        <f t="shared" si="63"/>
        <v>BI10.6_229</v>
      </c>
      <c r="E230" s="17">
        <v>6</v>
      </c>
      <c r="F230" s="19">
        <v>229</v>
      </c>
      <c r="G230" s="20">
        <v>2.4500000000000002</v>
      </c>
      <c r="H230" s="20">
        <v>2.95</v>
      </c>
      <c r="I230" s="20">
        <v>0.7</v>
      </c>
      <c r="J230" s="20">
        <f t="shared" si="61"/>
        <v>4.0058550000000004</v>
      </c>
      <c r="K230" s="53">
        <v>0.1737499999999999</v>
      </c>
      <c r="L230" s="20">
        <f t="shared" si="73"/>
        <v>22.601250000000334</v>
      </c>
      <c r="M230" s="20">
        <f t="shared" si="73"/>
        <v>23.301250000000323</v>
      </c>
      <c r="N230" s="20">
        <f t="shared" si="73"/>
        <v>22.951250000000329</v>
      </c>
      <c r="O230" s="20">
        <f>P229+$AO$216</f>
        <v>222.60125000000033</v>
      </c>
      <c r="P230" s="20">
        <f t="shared" si="60"/>
        <v>223.30125000000032</v>
      </c>
      <c r="Q230" s="20">
        <f t="shared" si="71"/>
        <v>222.95125000000033</v>
      </c>
      <c r="R230" s="20">
        <f t="shared" si="57"/>
        <v>215.10125000000033</v>
      </c>
      <c r="S230" s="20">
        <f t="shared" si="58"/>
        <v>215.80125000000032</v>
      </c>
      <c r="T230" s="20">
        <f t="shared" si="59"/>
        <v>215.45125000000033</v>
      </c>
      <c r="U230" s="20">
        <v>215.45125000000033</v>
      </c>
      <c r="V230" s="22">
        <v>6.5210999999999997</v>
      </c>
      <c r="W230" s="22">
        <v>2.0425</v>
      </c>
      <c r="X230" s="23">
        <v>1.1476266666666668</v>
      </c>
      <c r="Y230" s="23">
        <f t="shared" si="64"/>
        <v>5.3734733333333331</v>
      </c>
      <c r="Z230" s="23">
        <f t="shared" si="65"/>
        <v>0.89487333333333319</v>
      </c>
      <c r="AA230" s="22">
        <f t="shared" si="66"/>
        <v>83.346463677745376</v>
      </c>
      <c r="AB230" s="22">
        <f t="shared" si="67"/>
        <v>16.653536322254624</v>
      </c>
      <c r="AC230" s="22">
        <f t="shared" si="68"/>
        <v>1.3414048519812456</v>
      </c>
      <c r="AD230" s="22">
        <f t="shared" si="69"/>
        <v>0.22339134425318269</v>
      </c>
      <c r="AE230" s="24">
        <v>4.8958000000000004</v>
      </c>
      <c r="AF230" s="24">
        <v>5.1212</v>
      </c>
      <c r="AG230" s="24">
        <v>4.9348000000000001</v>
      </c>
      <c r="AH230" s="25">
        <f>AG230-AE230</f>
        <v>3.8999999999999702E-2</v>
      </c>
      <c r="AI230" s="25">
        <v>82.697426796805786</v>
      </c>
      <c r="AJ230" s="26">
        <v>4.1348713398402897</v>
      </c>
      <c r="AK230" s="25">
        <v>41.348713398402893</v>
      </c>
      <c r="AL230" s="26">
        <v>4.1358506981070571</v>
      </c>
      <c r="AM230" s="17">
        <f t="shared" si="70"/>
        <v>0.5780346820809249</v>
      </c>
      <c r="AN230" s="17"/>
      <c r="AO230" s="27"/>
      <c r="AP230" s="17"/>
      <c r="AQ230" s="17"/>
      <c r="AR230" s="17"/>
      <c r="AS230" s="17"/>
      <c r="AT230" s="17"/>
      <c r="AU230" s="17"/>
      <c r="AV230" s="17"/>
      <c r="AW230" s="17"/>
      <c r="AX230" s="17"/>
      <c r="BB230" s="17"/>
    </row>
    <row r="231" spans="1:54" x14ac:dyDescent="0.2">
      <c r="A231" s="17" t="s">
        <v>41</v>
      </c>
      <c r="B231" s="18" t="s">
        <v>42</v>
      </c>
      <c r="C231" s="18" t="str">
        <f t="shared" si="62"/>
        <v>BI10.6</v>
      </c>
      <c r="D231" s="18" t="str">
        <f t="shared" si="63"/>
        <v>BI10.6_230</v>
      </c>
      <c r="E231" s="17">
        <v>6</v>
      </c>
      <c r="F231" s="19">
        <v>230</v>
      </c>
      <c r="G231" s="20">
        <v>2.35</v>
      </c>
      <c r="H231" s="20">
        <v>2.6</v>
      </c>
      <c r="I231" s="20">
        <v>0.9</v>
      </c>
      <c r="J231" s="20">
        <f t="shared" si="61"/>
        <v>4.3277540625000004</v>
      </c>
      <c r="K231" s="53">
        <v>0.1737499999999999</v>
      </c>
      <c r="L231" s="20">
        <f t="shared" si="73"/>
        <v>23.475000000000335</v>
      </c>
      <c r="M231" s="20">
        <f t="shared" si="73"/>
        <v>24.375000000000341</v>
      </c>
      <c r="N231" s="20">
        <f t="shared" si="73"/>
        <v>23.925000000000352</v>
      </c>
      <c r="O231" s="20">
        <f>P230+$AO$216</f>
        <v>223.47500000000034</v>
      </c>
      <c r="P231" s="20">
        <f t="shared" si="60"/>
        <v>224.37500000000034</v>
      </c>
      <c r="Q231" s="20">
        <f t="shared" si="71"/>
        <v>223.92500000000035</v>
      </c>
      <c r="R231" s="20">
        <f t="shared" si="57"/>
        <v>215.97500000000034</v>
      </c>
      <c r="S231" s="20">
        <f t="shared" si="58"/>
        <v>216.87500000000034</v>
      </c>
      <c r="T231" s="20">
        <f t="shared" si="59"/>
        <v>216.42500000000035</v>
      </c>
      <c r="U231" s="20">
        <v>216.42500000000035</v>
      </c>
      <c r="V231" s="22">
        <v>6.0214999999999996</v>
      </c>
      <c r="W231" s="22">
        <v>2.0465</v>
      </c>
      <c r="X231" s="23">
        <v>1.1476266666666668</v>
      </c>
      <c r="Y231" s="23">
        <f t="shared" si="64"/>
        <v>4.8738733333333331</v>
      </c>
      <c r="Z231" s="23">
        <f t="shared" si="65"/>
        <v>0.89887333333333319</v>
      </c>
      <c r="AA231" s="22">
        <f t="shared" si="66"/>
        <v>81.557310339073226</v>
      </c>
      <c r="AB231" s="22">
        <f t="shared" si="67"/>
        <v>18.442689660926774</v>
      </c>
      <c r="AC231" s="22">
        <f t="shared" si="68"/>
        <v>1.1261899966926165</v>
      </c>
      <c r="AD231" s="22">
        <f t="shared" si="69"/>
        <v>0.20769972608242063</v>
      </c>
      <c r="AE231" s="24">
        <v>4.9706000000000001</v>
      </c>
      <c r="AF231" s="24">
        <v>5.2896999999999998</v>
      </c>
      <c r="AG231" s="24">
        <v>5.0242000000000004</v>
      </c>
      <c r="AH231" s="25">
        <f>AG231-AE231</f>
        <v>5.3600000000000314E-2</v>
      </c>
      <c r="AI231" s="25">
        <v>83.202757756189172</v>
      </c>
      <c r="AJ231" s="26">
        <v>4.1601378878094586</v>
      </c>
      <c r="AK231" s="25">
        <v>41.601378878094586</v>
      </c>
      <c r="AL231" s="26">
        <v>4.1611112993511412</v>
      </c>
      <c r="AM231" s="17">
        <f t="shared" si="70"/>
        <v>0.5780346820809249</v>
      </c>
      <c r="AN231" s="17"/>
      <c r="AO231" s="27"/>
      <c r="AP231" s="17"/>
      <c r="AQ231" s="17"/>
      <c r="AR231" s="17"/>
      <c r="AS231" s="17"/>
      <c r="AT231" s="17"/>
      <c r="AU231" s="17"/>
      <c r="AV231" s="17"/>
      <c r="AW231" s="17"/>
      <c r="AX231" s="17"/>
      <c r="BB231" s="17"/>
    </row>
    <row r="232" spans="1:54" x14ac:dyDescent="0.2">
      <c r="A232" s="17" t="s">
        <v>41</v>
      </c>
      <c r="B232" s="18" t="s">
        <v>42</v>
      </c>
      <c r="C232" s="18" t="str">
        <f t="shared" si="62"/>
        <v>BI10.6</v>
      </c>
      <c r="D232" s="18" t="str">
        <f t="shared" si="63"/>
        <v>BI10.6_231</v>
      </c>
      <c r="E232" s="17">
        <v>6</v>
      </c>
      <c r="F232" s="19">
        <v>231</v>
      </c>
      <c r="G232" s="20">
        <v>2.4500000000000002</v>
      </c>
      <c r="H232" s="20">
        <v>2.6</v>
      </c>
      <c r="I232" s="20">
        <v>1</v>
      </c>
      <c r="J232" s="20">
        <f t="shared" si="61"/>
        <v>5.0048656250000016</v>
      </c>
      <c r="K232" s="53">
        <v>0.1737499999999999</v>
      </c>
      <c r="L232" s="20">
        <f t="shared" si="73"/>
        <v>24.548750000000354</v>
      </c>
      <c r="M232" s="20">
        <f t="shared" si="73"/>
        <v>25.548750000000354</v>
      </c>
      <c r="N232" s="20">
        <f t="shared" si="73"/>
        <v>25.048750000000354</v>
      </c>
      <c r="O232" s="20">
        <f>P231+$AO$216</f>
        <v>224.54875000000035</v>
      </c>
      <c r="P232" s="20">
        <f t="shared" si="60"/>
        <v>225.54875000000035</v>
      </c>
      <c r="Q232" s="20">
        <f t="shared" si="71"/>
        <v>225.04875000000035</v>
      </c>
      <c r="R232" s="20">
        <f t="shared" si="57"/>
        <v>217.04875000000035</v>
      </c>
      <c r="S232" s="20">
        <f t="shared" si="58"/>
        <v>218.04875000000035</v>
      </c>
      <c r="T232" s="20">
        <f t="shared" si="59"/>
        <v>217.54875000000035</v>
      </c>
      <c r="U232" s="20">
        <v>217.54875000000035</v>
      </c>
      <c r="V232" s="22">
        <v>6.8106999999999998</v>
      </c>
      <c r="W232" s="22">
        <v>2.0760999999999998</v>
      </c>
      <c r="X232" s="23">
        <v>1.1476266666666668</v>
      </c>
      <c r="Y232" s="23">
        <f t="shared" si="64"/>
        <v>5.6630733333333332</v>
      </c>
      <c r="Z232" s="23">
        <f t="shared" si="65"/>
        <v>0.92847333333333304</v>
      </c>
      <c r="AA232" s="22">
        <f t="shared" si="66"/>
        <v>83.604779972241232</v>
      </c>
      <c r="AB232" s="22">
        <f t="shared" si="67"/>
        <v>16.395220027758768</v>
      </c>
      <c r="AC232" s="22">
        <f t="shared" si="68"/>
        <v>1.1315135625311281</v>
      </c>
      <c r="AD232" s="22">
        <f t="shared" si="69"/>
        <v>0.18551413822091031</v>
      </c>
      <c r="AE232" s="24">
        <v>4.3689</v>
      </c>
      <c r="AF232" s="24">
        <v>4.7858999999999998</v>
      </c>
      <c r="AG232" s="24">
        <v>4.4367000000000001</v>
      </c>
      <c r="AH232" s="25">
        <f>AG232-AE232</f>
        <v>6.7800000000000082E-2</v>
      </c>
      <c r="AI232" s="25">
        <v>83.741007194244574</v>
      </c>
      <c r="AJ232" s="26">
        <v>4.1870503597122291</v>
      </c>
      <c r="AK232" s="25">
        <v>41.870503597122287</v>
      </c>
      <c r="AL232" s="26">
        <v>4.1880175160529483</v>
      </c>
      <c r="AM232" s="17">
        <f t="shared" si="70"/>
        <v>0.5780346820809249</v>
      </c>
      <c r="AN232" s="17"/>
      <c r="AO232" s="27"/>
      <c r="AP232" s="17"/>
      <c r="AQ232" s="17"/>
      <c r="AR232" s="17"/>
      <c r="AS232" s="17"/>
      <c r="AT232" s="17"/>
      <c r="AU232" s="17"/>
      <c r="AV232" s="17"/>
      <c r="AW232" s="17"/>
      <c r="AX232" s="17"/>
      <c r="BB232" s="17"/>
    </row>
    <row r="233" spans="1:54" x14ac:dyDescent="0.2">
      <c r="A233" s="17" t="s">
        <v>41</v>
      </c>
      <c r="B233" s="18" t="s">
        <v>42</v>
      </c>
      <c r="C233" s="18" t="str">
        <f t="shared" si="62"/>
        <v>BI10.6</v>
      </c>
      <c r="D233" s="18" t="str">
        <f t="shared" si="63"/>
        <v>BI10.6_232</v>
      </c>
      <c r="E233" s="17">
        <v>6</v>
      </c>
      <c r="F233" s="19">
        <v>232</v>
      </c>
      <c r="G233" s="20">
        <v>2.35</v>
      </c>
      <c r="H233" s="20">
        <v>2.5</v>
      </c>
      <c r="I233" s="20">
        <v>1</v>
      </c>
      <c r="J233" s="20">
        <f t="shared" si="61"/>
        <v>4.6162906249999995</v>
      </c>
      <c r="K233" s="53">
        <v>0.1737499999999999</v>
      </c>
      <c r="L233" s="20">
        <f t="shared" si="73"/>
        <v>25.722500000000366</v>
      </c>
      <c r="M233" s="20">
        <f t="shared" si="73"/>
        <v>26.722500000000366</v>
      </c>
      <c r="N233" s="20">
        <f t="shared" si="73"/>
        <v>26.222500000000366</v>
      </c>
      <c r="O233" s="20">
        <f>P232+$AO$216</f>
        <v>225.72250000000037</v>
      </c>
      <c r="P233" s="20">
        <f t="shared" si="60"/>
        <v>226.72250000000037</v>
      </c>
      <c r="Q233" s="20">
        <f t="shared" si="71"/>
        <v>226.22250000000037</v>
      </c>
      <c r="R233" s="20">
        <f t="shared" si="57"/>
        <v>218.22250000000037</v>
      </c>
      <c r="S233" s="20">
        <f t="shared" si="58"/>
        <v>219.22250000000037</v>
      </c>
      <c r="T233" s="20">
        <f t="shared" si="59"/>
        <v>218.72250000000037</v>
      </c>
      <c r="U233" s="20">
        <v>218.72250000000037</v>
      </c>
      <c r="V233" s="22">
        <v>6.8545999999999996</v>
      </c>
      <c r="W233" s="22">
        <v>2.1392000000000002</v>
      </c>
      <c r="X233" s="23">
        <v>1.1476266666666668</v>
      </c>
      <c r="Y233" s="23">
        <f t="shared" si="64"/>
        <v>5.706973333333333</v>
      </c>
      <c r="Z233" s="23">
        <f t="shared" si="65"/>
        <v>0.99157333333333342</v>
      </c>
      <c r="AA233" s="22">
        <f t="shared" si="66"/>
        <v>82.625232756183664</v>
      </c>
      <c r="AB233" s="22">
        <f t="shared" si="67"/>
        <v>17.374767243816336</v>
      </c>
      <c r="AC233" s="22">
        <f t="shared" si="68"/>
        <v>1.2362682068643227</v>
      </c>
      <c r="AD233" s="22">
        <f t="shared" si="69"/>
        <v>0.21479872345197795</v>
      </c>
      <c r="AE233" s="24">
        <v>4.8395000000000001</v>
      </c>
      <c r="AF233" s="24">
        <v>5.1494999999999997</v>
      </c>
      <c r="AG233" s="24">
        <v>4.8875999999999999</v>
      </c>
      <c r="AH233" s="25">
        <f>AG233-AE233</f>
        <v>4.809999999999981E-2</v>
      </c>
      <c r="AI233" s="25">
        <v>84.483870967741979</v>
      </c>
      <c r="AJ233" s="26">
        <v>4.2241935483870989</v>
      </c>
      <c r="AK233" s="25">
        <v>42.241935483870989</v>
      </c>
      <c r="AL233" s="26">
        <v>4.225152202493442</v>
      </c>
      <c r="AM233" s="17">
        <f t="shared" si="70"/>
        <v>0.5780346820809249</v>
      </c>
      <c r="AN233" s="17"/>
      <c r="AO233" s="27"/>
      <c r="AP233" s="17"/>
      <c r="AQ233" s="17"/>
      <c r="AR233" s="17"/>
      <c r="AS233" s="17"/>
      <c r="AT233" s="17"/>
      <c r="AU233" s="17"/>
      <c r="AV233" s="17"/>
      <c r="AW233" s="17"/>
      <c r="AX233" s="17"/>
      <c r="BB233" s="17"/>
    </row>
    <row r="234" spans="1:54" x14ac:dyDescent="0.2">
      <c r="A234" s="17" t="s">
        <v>41</v>
      </c>
      <c r="B234" s="18" t="s">
        <v>42</v>
      </c>
      <c r="C234" s="18" t="str">
        <f t="shared" si="62"/>
        <v>BI10.6</v>
      </c>
      <c r="D234" s="18" t="str">
        <f t="shared" si="63"/>
        <v>BI10.6_233</v>
      </c>
      <c r="E234" s="17">
        <v>6</v>
      </c>
      <c r="F234" s="19">
        <v>233</v>
      </c>
      <c r="G234" s="20">
        <v>2.2999999999999998</v>
      </c>
      <c r="H234" s="20">
        <v>2.4500000000000002</v>
      </c>
      <c r="I234" s="20">
        <v>1</v>
      </c>
      <c r="J234" s="20">
        <f t="shared" si="61"/>
        <v>4.4278906249999999</v>
      </c>
      <c r="K234" s="53">
        <v>0.1737499999999999</v>
      </c>
      <c r="L234" s="20">
        <f t="shared" si="73"/>
        <v>26.896250000000379</v>
      </c>
      <c r="M234" s="20">
        <f t="shared" si="73"/>
        <v>27.896250000000379</v>
      </c>
      <c r="N234" s="20">
        <f t="shared" si="73"/>
        <v>27.396250000000379</v>
      </c>
      <c r="O234" s="20">
        <f>P233+$AO$216</f>
        <v>226.89625000000038</v>
      </c>
      <c r="P234" s="20">
        <f t="shared" si="60"/>
        <v>227.89625000000038</v>
      </c>
      <c r="Q234" s="20">
        <f t="shared" si="71"/>
        <v>227.39625000000038</v>
      </c>
      <c r="R234" s="20">
        <f t="shared" si="57"/>
        <v>219.39625000000038</v>
      </c>
      <c r="S234" s="20">
        <f t="shared" si="58"/>
        <v>220.39625000000038</v>
      </c>
      <c r="T234" s="20">
        <f t="shared" si="59"/>
        <v>219.89625000000038</v>
      </c>
      <c r="U234" s="20">
        <v>219.89625000000038</v>
      </c>
      <c r="V234" s="22">
        <v>6.7858999999999998</v>
      </c>
      <c r="W234" s="22">
        <v>2.1475</v>
      </c>
      <c r="X234" s="23">
        <v>1.1476266666666668</v>
      </c>
      <c r="Y234" s="23">
        <f t="shared" si="64"/>
        <v>5.6382733333333332</v>
      </c>
      <c r="Z234" s="23">
        <f t="shared" si="65"/>
        <v>0.99987333333333317</v>
      </c>
      <c r="AA234" s="22">
        <f t="shared" si="66"/>
        <v>82.266320303733636</v>
      </c>
      <c r="AB234" s="22">
        <f t="shared" si="67"/>
        <v>17.733679696266364</v>
      </c>
      <c r="AC234" s="22">
        <f t="shared" si="68"/>
        <v>1.2733542471666932</v>
      </c>
      <c r="AD234" s="22">
        <f t="shared" si="69"/>
        <v>0.22581256359134508</v>
      </c>
      <c r="AE234" s="24">
        <v>5.0480999999999998</v>
      </c>
      <c r="AF234" s="24">
        <v>5.2991000000000001</v>
      </c>
      <c r="AG234" s="24">
        <v>5.0993000000000004</v>
      </c>
      <c r="AH234" s="25">
        <f>AG234-AE234</f>
        <v>5.1200000000000578E-2</v>
      </c>
      <c r="AI234" s="25">
        <v>79.601593625497799</v>
      </c>
      <c r="AJ234" s="26">
        <v>3.9800796812748902</v>
      </c>
      <c r="AK234" s="25">
        <v>39.800796812748899</v>
      </c>
      <c r="AL234" s="26">
        <v>3.9810971187974342</v>
      </c>
      <c r="AM234" s="17">
        <f t="shared" si="70"/>
        <v>0.5780346820809249</v>
      </c>
      <c r="AN234" s="17"/>
      <c r="AO234" s="27"/>
      <c r="AP234" s="17"/>
      <c r="AQ234" s="17"/>
      <c r="AR234" s="17"/>
      <c r="AS234" s="17"/>
      <c r="AT234" s="17"/>
      <c r="AU234" s="17"/>
      <c r="AV234" s="17"/>
      <c r="AW234" s="17"/>
      <c r="AX234" s="17"/>
      <c r="BB234" s="17"/>
    </row>
    <row r="235" spans="1:54" x14ac:dyDescent="0.2">
      <c r="A235" s="17" t="s">
        <v>41</v>
      </c>
      <c r="B235" s="18" t="s">
        <v>42</v>
      </c>
      <c r="C235" s="18" t="str">
        <f t="shared" si="62"/>
        <v>BI10.6</v>
      </c>
      <c r="D235" s="18" t="str">
        <f t="shared" si="63"/>
        <v>BI10.6_234</v>
      </c>
      <c r="E235" s="17">
        <v>6</v>
      </c>
      <c r="F235" s="19">
        <v>234</v>
      </c>
      <c r="G235" s="20">
        <v>2.4500000000000002</v>
      </c>
      <c r="H235" s="20">
        <v>2.4</v>
      </c>
      <c r="I235" s="20">
        <v>1.05</v>
      </c>
      <c r="J235" s="20">
        <f t="shared" si="61"/>
        <v>4.8471051562499996</v>
      </c>
      <c r="K235" s="53">
        <v>0.1737499999999999</v>
      </c>
      <c r="L235" s="20">
        <f t="shared" si="73"/>
        <v>28.070000000000391</v>
      </c>
      <c r="M235" s="20">
        <f t="shared" si="73"/>
        <v>29.120000000000402</v>
      </c>
      <c r="N235" s="20">
        <f t="shared" si="73"/>
        <v>28.595000000000397</v>
      </c>
      <c r="O235" s="20">
        <f>P234+$AO$216</f>
        <v>228.07000000000039</v>
      </c>
      <c r="P235" s="20">
        <f t="shared" si="60"/>
        <v>229.1200000000004</v>
      </c>
      <c r="Q235" s="20">
        <f t="shared" si="71"/>
        <v>228.5950000000004</v>
      </c>
      <c r="R235" s="20">
        <f t="shared" ref="R235:R251" si="74">O235-7.5</f>
        <v>220.57000000000039</v>
      </c>
      <c r="S235" s="20">
        <f t="shared" ref="S235:S298" si="75">R235+I235</f>
        <v>221.6200000000004</v>
      </c>
      <c r="T235" s="20">
        <f t="shared" ref="T235:T298" si="76">AVERAGE(R235:S235)</f>
        <v>221.0950000000004</v>
      </c>
      <c r="U235" s="20">
        <v>221.0950000000004</v>
      </c>
      <c r="V235" s="22">
        <v>6.6631999999999998</v>
      </c>
      <c r="W235" s="22">
        <v>2.1589</v>
      </c>
      <c r="X235" s="23">
        <v>1.1476266666666668</v>
      </c>
      <c r="Y235" s="23">
        <f t="shared" si="64"/>
        <v>5.5155733333333332</v>
      </c>
      <c r="Z235" s="23">
        <f t="shared" si="65"/>
        <v>1.0112733333333332</v>
      </c>
      <c r="AA235" s="22">
        <f t="shared" si="66"/>
        <v>81.665127590241454</v>
      </c>
      <c r="AB235" s="22">
        <f t="shared" si="67"/>
        <v>18.334872409758546</v>
      </c>
      <c r="AC235" s="22">
        <f t="shared" si="68"/>
        <v>1.1379108056323868</v>
      </c>
      <c r="AD235" s="22">
        <f t="shared" si="69"/>
        <v>0.20863449434955372</v>
      </c>
      <c r="AE235" s="24">
        <v>4.8642000000000003</v>
      </c>
      <c r="AF235" s="24">
        <v>5.2823000000000002</v>
      </c>
      <c r="AG235" s="24">
        <v>4.9581999999999997</v>
      </c>
      <c r="AH235" s="25">
        <f>AG235-AE235</f>
        <v>9.3999999999999417E-2</v>
      </c>
      <c r="AI235" s="25">
        <v>77.517340349198889</v>
      </c>
      <c r="AJ235" s="26">
        <v>3.8758670174599446</v>
      </c>
      <c r="AK235" s="25">
        <v>38.758670174599445</v>
      </c>
      <c r="AL235" s="26">
        <v>3.8769118041340387</v>
      </c>
      <c r="AM235" s="17">
        <f t="shared" si="70"/>
        <v>0.5780346820809249</v>
      </c>
      <c r="AN235" s="17"/>
      <c r="AO235" s="27"/>
      <c r="AP235" s="17"/>
      <c r="AQ235" s="17"/>
      <c r="AR235" s="17"/>
      <c r="AS235" s="17"/>
      <c r="AT235" s="17"/>
      <c r="AU235" s="17"/>
      <c r="AV235" s="17"/>
      <c r="AW235" s="17"/>
      <c r="AX235" s="17"/>
      <c r="BB235" s="17"/>
    </row>
    <row r="236" spans="1:54" x14ac:dyDescent="0.2">
      <c r="A236" s="17" t="s">
        <v>41</v>
      </c>
      <c r="B236" s="18" t="s">
        <v>42</v>
      </c>
      <c r="C236" s="18" t="str">
        <f t="shared" si="62"/>
        <v>BI10.6</v>
      </c>
      <c r="D236" s="18" t="str">
        <f t="shared" si="63"/>
        <v>BI10.6_235</v>
      </c>
      <c r="E236" s="17">
        <v>6</v>
      </c>
      <c r="F236" s="19">
        <v>235</v>
      </c>
      <c r="G236" s="20">
        <v>2.4</v>
      </c>
      <c r="H236" s="20">
        <v>2.7</v>
      </c>
      <c r="I236" s="20">
        <v>1.05</v>
      </c>
      <c r="J236" s="20">
        <f t="shared" si="61"/>
        <v>5.3596856249999991</v>
      </c>
      <c r="K236" s="53">
        <v>0.1737499999999999</v>
      </c>
      <c r="L236" s="20">
        <f t="shared" si="73"/>
        <v>29.293750000000415</v>
      </c>
      <c r="M236" s="20">
        <f t="shared" si="73"/>
        <v>30.343750000000426</v>
      </c>
      <c r="N236" s="20">
        <f t="shared" si="73"/>
        <v>29.818750000000421</v>
      </c>
      <c r="O236" s="20">
        <f>P235+$AO$216</f>
        <v>229.29375000000041</v>
      </c>
      <c r="P236" s="20">
        <f t="shared" ref="P236:P299" si="77">O236+I236</f>
        <v>230.34375000000043</v>
      </c>
      <c r="Q236" s="20">
        <f t="shared" si="71"/>
        <v>229.81875000000042</v>
      </c>
      <c r="R236" s="20">
        <f t="shared" si="74"/>
        <v>221.79375000000041</v>
      </c>
      <c r="S236" s="20">
        <f t="shared" si="75"/>
        <v>222.84375000000043</v>
      </c>
      <c r="T236" s="20">
        <f t="shared" si="76"/>
        <v>222.31875000000042</v>
      </c>
      <c r="U236" s="20">
        <v>222.31875000000042</v>
      </c>
      <c r="V236" s="22">
        <v>6.9195000000000002</v>
      </c>
      <c r="W236" s="22">
        <v>2.2134999999999998</v>
      </c>
      <c r="X236" s="23">
        <v>1.1476266666666668</v>
      </c>
      <c r="Y236" s="23">
        <f t="shared" si="64"/>
        <v>5.7718733333333336</v>
      </c>
      <c r="Z236" s="23">
        <f t="shared" si="65"/>
        <v>1.065873333333333</v>
      </c>
      <c r="AA236" s="22">
        <f t="shared" si="66"/>
        <v>81.533320782045351</v>
      </c>
      <c r="AB236" s="22">
        <f t="shared" si="67"/>
        <v>18.466679217954649</v>
      </c>
      <c r="AC236" s="22">
        <f t="shared" si="68"/>
        <v>1.0769052025011887</v>
      </c>
      <c r="AD236" s="22">
        <f t="shared" si="69"/>
        <v>0.19886862922735943</v>
      </c>
      <c r="AE236" s="24">
        <v>4.5728999999999997</v>
      </c>
      <c r="AF236" s="24">
        <v>4.8444000000000003</v>
      </c>
      <c r="AG236" s="24">
        <v>4.6166999999999998</v>
      </c>
      <c r="AH236" s="25">
        <f>AG236-AE236</f>
        <v>4.3800000000000061E-2</v>
      </c>
      <c r="AI236" s="25">
        <v>83.867403314917127</v>
      </c>
      <c r="AJ236" s="26">
        <v>4.1933701657458569</v>
      </c>
      <c r="AK236" s="25">
        <v>41.933701657458563</v>
      </c>
      <c r="AL236" s="26">
        <v>4.1943358648262103</v>
      </c>
      <c r="AM236" s="17">
        <f t="shared" si="70"/>
        <v>0.5780346820809249</v>
      </c>
      <c r="AN236" s="17"/>
      <c r="AO236" s="27"/>
      <c r="AP236" s="17"/>
      <c r="AQ236" s="17"/>
      <c r="AR236" s="17"/>
      <c r="AS236" s="17"/>
      <c r="AT236" s="17"/>
      <c r="AU236" s="17"/>
      <c r="AV236" s="17"/>
      <c r="AW236" s="17"/>
      <c r="AX236" s="17"/>
      <c r="BB236" s="17"/>
    </row>
    <row r="237" spans="1:54" x14ac:dyDescent="0.2">
      <c r="A237" s="17" t="s">
        <v>41</v>
      </c>
      <c r="B237" s="18" t="s">
        <v>42</v>
      </c>
      <c r="C237" s="18" t="str">
        <f t="shared" si="62"/>
        <v>BI10.6</v>
      </c>
      <c r="D237" s="18" t="str">
        <f t="shared" si="63"/>
        <v>BI10.6_236</v>
      </c>
      <c r="E237" s="17">
        <v>6</v>
      </c>
      <c r="F237" s="19">
        <v>236</v>
      </c>
      <c r="G237" s="20">
        <v>2.4</v>
      </c>
      <c r="H237" s="20">
        <v>2.4500000000000002</v>
      </c>
      <c r="I237" s="20">
        <v>1.05</v>
      </c>
      <c r="J237" s="20">
        <f t="shared" si="61"/>
        <v>4.8471051562499996</v>
      </c>
      <c r="K237" s="53">
        <v>0.1737499999999999</v>
      </c>
      <c r="L237" s="20">
        <f t="shared" si="73"/>
        <v>30.517500000000439</v>
      </c>
      <c r="M237" s="20">
        <f t="shared" si="73"/>
        <v>31.56750000000045</v>
      </c>
      <c r="N237" s="20">
        <f t="shared" si="73"/>
        <v>31.042500000000445</v>
      </c>
      <c r="O237" s="20">
        <f>P236+$AO$216</f>
        <v>230.51750000000044</v>
      </c>
      <c r="P237" s="20">
        <f t="shared" si="77"/>
        <v>231.56750000000045</v>
      </c>
      <c r="Q237" s="20">
        <f t="shared" si="71"/>
        <v>231.04250000000044</v>
      </c>
      <c r="R237" s="20">
        <f t="shared" si="74"/>
        <v>223.01750000000044</v>
      </c>
      <c r="S237" s="20">
        <f t="shared" si="75"/>
        <v>224.06750000000045</v>
      </c>
      <c r="T237" s="20">
        <f t="shared" si="76"/>
        <v>223.54250000000044</v>
      </c>
      <c r="U237" s="20">
        <v>223.54250000000044</v>
      </c>
      <c r="V237" s="22">
        <v>6.6807999999999996</v>
      </c>
      <c r="W237" s="22">
        <v>2.2008000000000001</v>
      </c>
      <c r="X237" s="23">
        <v>1.1476266666666668</v>
      </c>
      <c r="Y237" s="23">
        <f t="shared" si="64"/>
        <v>5.5331733333333331</v>
      </c>
      <c r="Z237" s="23">
        <f t="shared" si="65"/>
        <v>1.0531733333333333</v>
      </c>
      <c r="AA237" s="22">
        <f t="shared" si="66"/>
        <v>80.966196612914104</v>
      </c>
      <c r="AB237" s="22">
        <f t="shared" si="67"/>
        <v>19.033803387085896</v>
      </c>
      <c r="AC237" s="22">
        <f t="shared" si="68"/>
        <v>1.1415418388847407</v>
      </c>
      <c r="AD237" s="22">
        <f t="shared" si="69"/>
        <v>0.21727882919464636</v>
      </c>
      <c r="AE237" s="24">
        <v>4.7182000000000004</v>
      </c>
      <c r="AF237" s="24">
        <v>5.0907</v>
      </c>
      <c r="AG237" s="24">
        <v>4.7887000000000004</v>
      </c>
      <c r="AH237" s="25">
        <f>AG237-AE237</f>
        <v>7.0500000000000007E-2</v>
      </c>
      <c r="AI237" s="25">
        <v>81.073825503355678</v>
      </c>
      <c r="AJ237" s="26">
        <v>4.0536912751677843</v>
      </c>
      <c r="AK237" s="25">
        <v>40.536912751677839</v>
      </c>
      <c r="AL237" s="26">
        <v>4.0546902414822537</v>
      </c>
      <c r="AM237" s="17">
        <f t="shared" si="70"/>
        <v>0.5780346820809249</v>
      </c>
      <c r="AN237" s="17"/>
      <c r="AO237" s="27"/>
      <c r="AP237" s="17"/>
      <c r="AQ237" s="17"/>
      <c r="AR237" s="17"/>
      <c r="AS237" s="17"/>
      <c r="AT237" s="17"/>
      <c r="AU237" s="17"/>
      <c r="AV237" s="17"/>
      <c r="AW237" s="17"/>
      <c r="AX237" s="17"/>
      <c r="BB237" s="17"/>
    </row>
    <row r="238" spans="1:54" x14ac:dyDescent="0.2">
      <c r="A238" s="17" t="s">
        <v>41</v>
      </c>
      <c r="B238" s="18" t="s">
        <v>42</v>
      </c>
      <c r="C238" s="18" t="str">
        <f t="shared" si="62"/>
        <v>BI10.6</v>
      </c>
      <c r="D238" s="18" t="str">
        <f t="shared" si="63"/>
        <v>BI10.6_237</v>
      </c>
      <c r="E238" s="17">
        <v>6</v>
      </c>
      <c r="F238" s="19">
        <v>237</v>
      </c>
      <c r="G238" s="20">
        <v>2.35</v>
      </c>
      <c r="H238" s="20">
        <v>2.25</v>
      </c>
      <c r="I238" s="20">
        <v>1.05</v>
      </c>
      <c r="J238" s="20">
        <f t="shared" si="61"/>
        <v>4.3602824999999994</v>
      </c>
      <c r="K238" s="53">
        <v>0.1737499999999999</v>
      </c>
      <c r="L238" s="20">
        <f t="shared" si="73"/>
        <v>31.741250000000463</v>
      </c>
      <c r="M238" s="20">
        <f t="shared" si="73"/>
        <v>32.791250000000474</v>
      </c>
      <c r="N238" s="20">
        <f t="shared" si="73"/>
        <v>32.266250000000468</v>
      </c>
      <c r="O238" s="20">
        <f>P237+$AO$216</f>
        <v>231.74125000000046</v>
      </c>
      <c r="P238" s="20">
        <f t="shared" si="77"/>
        <v>232.79125000000047</v>
      </c>
      <c r="Q238" s="20">
        <f t="shared" si="71"/>
        <v>232.26625000000047</v>
      </c>
      <c r="R238" s="20">
        <f t="shared" si="74"/>
        <v>224.24125000000046</v>
      </c>
      <c r="S238" s="20">
        <f t="shared" si="75"/>
        <v>225.29125000000047</v>
      </c>
      <c r="T238" s="20">
        <f t="shared" si="76"/>
        <v>224.76625000000047</v>
      </c>
      <c r="U238" s="20">
        <v>224.76625000000047</v>
      </c>
      <c r="V238" s="22">
        <v>6.2782999999999998</v>
      </c>
      <c r="W238" s="22">
        <v>2.0749</v>
      </c>
      <c r="X238" s="23">
        <v>1.1476266666666668</v>
      </c>
      <c r="Y238" s="23">
        <f t="shared" si="64"/>
        <v>5.1306733333333332</v>
      </c>
      <c r="Z238" s="23">
        <f t="shared" si="65"/>
        <v>0.92727333333333317</v>
      </c>
      <c r="AA238" s="22">
        <f t="shared" si="66"/>
        <v>81.926868598143727</v>
      </c>
      <c r="AB238" s="22">
        <f t="shared" si="67"/>
        <v>18.073131401856273</v>
      </c>
      <c r="AC238" s="22">
        <f t="shared" si="68"/>
        <v>1.1766836972910204</v>
      </c>
      <c r="AD238" s="22">
        <f t="shared" si="69"/>
        <v>0.21266359079562697</v>
      </c>
      <c r="AE238" s="24">
        <v>5.2393999999999998</v>
      </c>
      <c r="AF238" s="24">
        <v>5.7656000000000001</v>
      </c>
      <c r="AG238" s="24">
        <v>5.3372999999999999</v>
      </c>
      <c r="AH238" s="25">
        <f>AG238-AE238</f>
        <v>9.7900000000000098E-2</v>
      </c>
      <c r="AI238" s="25">
        <v>81.394906879513485</v>
      </c>
      <c r="AJ238" s="26">
        <v>4.0697453439756748</v>
      </c>
      <c r="AK238" s="25">
        <v>40.697453439756742</v>
      </c>
      <c r="AL238" s="26">
        <v>4.0707403705974272</v>
      </c>
      <c r="AM238" s="17">
        <f t="shared" si="70"/>
        <v>0.5780346820809249</v>
      </c>
      <c r="AN238" s="17"/>
      <c r="AO238" s="27"/>
      <c r="AP238" s="17"/>
      <c r="AQ238" s="17"/>
      <c r="AR238" s="17"/>
      <c r="AS238" s="17"/>
      <c r="AT238" s="17"/>
      <c r="AU238" s="17"/>
      <c r="AV238" s="17"/>
      <c r="AW238" s="17"/>
      <c r="AX238" s="17"/>
      <c r="BB238" s="17"/>
    </row>
    <row r="239" spans="1:54" x14ac:dyDescent="0.2">
      <c r="A239" s="17" t="s">
        <v>41</v>
      </c>
      <c r="B239" s="18" t="s">
        <v>42</v>
      </c>
      <c r="C239" s="18" t="str">
        <f t="shared" si="62"/>
        <v>BI10.6</v>
      </c>
      <c r="D239" s="18" t="str">
        <f t="shared" si="63"/>
        <v>BI10.6_238</v>
      </c>
      <c r="E239" s="17">
        <v>6</v>
      </c>
      <c r="F239" s="19">
        <v>238</v>
      </c>
      <c r="G239" s="20">
        <v>2.35</v>
      </c>
      <c r="H239" s="20">
        <v>2.5</v>
      </c>
      <c r="I239" s="20">
        <v>1.05</v>
      </c>
      <c r="J239" s="20">
        <f t="shared" si="61"/>
        <v>4.8471051562499996</v>
      </c>
      <c r="K239" s="53">
        <v>0.1737499999999999</v>
      </c>
      <c r="L239" s="20">
        <f t="shared" si="73"/>
        <v>32.965000000000487</v>
      </c>
      <c r="M239" s="20">
        <f t="shared" si="73"/>
        <v>34.015000000000498</v>
      </c>
      <c r="N239" s="20">
        <f t="shared" si="73"/>
        <v>33.490000000000492</v>
      </c>
      <c r="O239" s="20">
        <f>P238+$AO$216</f>
        <v>232.96500000000049</v>
      </c>
      <c r="P239" s="20">
        <f t="shared" si="77"/>
        <v>234.0150000000005</v>
      </c>
      <c r="Q239" s="20">
        <f t="shared" si="71"/>
        <v>233.49000000000049</v>
      </c>
      <c r="R239" s="20">
        <f t="shared" si="74"/>
        <v>225.46500000000049</v>
      </c>
      <c r="S239" s="20">
        <f t="shared" si="75"/>
        <v>226.5150000000005</v>
      </c>
      <c r="T239" s="20">
        <f t="shared" si="76"/>
        <v>225.99000000000049</v>
      </c>
      <c r="U239" s="20">
        <v>225.99000000000049</v>
      </c>
      <c r="V239" s="22">
        <v>7.2523</v>
      </c>
      <c r="W239" s="22">
        <v>2.2873999999999999</v>
      </c>
      <c r="X239" s="23">
        <v>1.1476266666666668</v>
      </c>
      <c r="Y239" s="23">
        <f t="shared" si="64"/>
        <v>6.1046733333333334</v>
      </c>
      <c r="Z239" s="23">
        <f t="shared" si="65"/>
        <v>1.1397733333333331</v>
      </c>
      <c r="AA239" s="22">
        <f t="shared" si="66"/>
        <v>81.32949510811936</v>
      </c>
      <c r="AB239" s="22">
        <f t="shared" si="67"/>
        <v>18.67050489188064</v>
      </c>
      <c r="AC239" s="22">
        <f t="shared" si="68"/>
        <v>1.259447265232484</v>
      </c>
      <c r="AD239" s="22">
        <f t="shared" si="69"/>
        <v>0.23514516326588786</v>
      </c>
      <c r="AE239" s="24">
        <v>5.1174999999999997</v>
      </c>
      <c r="AF239" s="24">
        <v>5.4390000000000001</v>
      </c>
      <c r="AG239" s="24">
        <v>5.1775000000000002</v>
      </c>
      <c r="AH239" s="25">
        <f>AG239-AE239</f>
        <v>6.0000000000000497E-2</v>
      </c>
      <c r="AI239" s="25">
        <v>81.337480559875459</v>
      </c>
      <c r="AJ239" s="26">
        <v>4.066874027993773</v>
      </c>
      <c r="AK239" s="25">
        <v>40.66874027993773</v>
      </c>
      <c r="AL239" s="26">
        <v>4.0678697569576014</v>
      </c>
      <c r="AM239" s="17">
        <f t="shared" si="70"/>
        <v>0.5780346820809249</v>
      </c>
      <c r="AN239" s="17"/>
      <c r="AO239" s="27"/>
      <c r="AP239" s="17"/>
      <c r="AQ239" s="17"/>
      <c r="AR239" s="17"/>
      <c r="AS239" s="17"/>
      <c r="AT239" s="17"/>
      <c r="AU239" s="17"/>
      <c r="AV239" s="17"/>
      <c r="AW239" s="17"/>
      <c r="AX239" s="17"/>
      <c r="BB239" s="17"/>
    </row>
    <row r="240" spans="1:54" x14ac:dyDescent="0.2">
      <c r="A240" s="17" t="s">
        <v>41</v>
      </c>
      <c r="B240" s="18" t="s">
        <v>42</v>
      </c>
      <c r="C240" s="18" t="str">
        <f t="shared" si="62"/>
        <v>BI10.6</v>
      </c>
      <c r="D240" s="18" t="str">
        <f t="shared" si="63"/>
        <v>BI10.6_239</v>
      </c>
      <c r="E240" s="17">
        <v>6</v>
      </c>
      <c r="F240" s="19">
        <v>239</v>
      </c>
      <c r="G240" s="20">
        <v>2.2999999999999998</v>
      </c>
      <c r="H240" s="20">
        <v>2.35</v>
      </c>
      <c r="I240" s="20">
        <v>1.05</v>
      </c>
      <c r="J240" s="20">
        <f t="shared" si="61"/>
        <v>4.455586406250001</v>
      </c>
      <c r="K240" s="53">
        <v>0.1737499999999999</v>
      </c>
      <c r="L240" s="20">
        <f t="shared" si="73"/>
        <v>34.18875000000051</v>
      </c>
      <c r="M240" s="20">
        <f t="shared" si="73"/>
        <v>35.238750000000522</v>
      </c>
      <c r="N240" s="20">
        <f t="shared" si="73"/>
        <v>34.713750000000516</v>
      </c>
      <c r="O240" s="20">
        <f>P239+$AO$216</f>
        <v>234.18875000000051</v>
      </c>
      <c r="P240" s="20">
        <f t="shared" si="77"/>
        <v>235.23875000000052</v>
      </c>
      <c r="Q240" s="20">
        <f t="shared" si="71"/>
        <v>234.71375000000052</v>
      </c>
      <c r="R240" s="20">
        <f t="shared" si="74"/>
        <v>226.68875000000051</v>
      </c>
      <c r="S240" s="20">
        <f t="shared" si="75"/>
        <v>227.73875000000052</v>
      </c>
      <c r="T240" s="20">
        <f t="shared" si="76"/>
        <v>227.21375000000052</v>
      </c>
      <c r="U240" s="20">
        <v>227.21375000000052</v>
      </c>
      <c r="V240" s="22">
        <v>6.3876999999999997</v>
      </c>
      <c r="W240" s="22">
        <v>2.1337999999999999</v>
      </c>
      <c r="X240" s="23">
        <v>1.1476266666666668</v>
      </c>
      <c r="Y240" s="23">
        <f t="shared" si="64"/>
        <v>5.2400733333333331</v>
      </c>
      <c r="Z240" s="23">
        <f t="shared" si="65"/>
        <v>0.98617333333333312</v>
      </c>
      <c r="AA240" s="22">
        <f t="shared" si="66"/>
        <v>81.180161600791848</v>
      </c>
      <c r="AB240" s="22">
        <f t="shared" si="67"/>
        <v>18.819838399208152</v>
      </c>
      <c r="AC240" s="22">
        <f t="shared" si="68"/>
        <v>1.1760681660180365</v>
      </c>
      <c r="AD240" s="22">
        <f t="shared" si="69"/>
        <v>0.22133412830912549</v>
      </c>
      <c r="AE240" s="24">
        <v>4.9192</v>
      </c>
      <c r="AF240" s="24">
        <v>5.3446999999999996</v>
      </c>
      <c r="AG240" s="24">
        <v>5.0209000000000001</v>
      </c>
      <c r="AH240" s="25">
        <f>AG240-AE240</f>
        <v>0.10170000000000012</v>
      </c>
      <c r="AI240" s="25">
        <v>76.098707403055172</v>
      </c>
      <c r="AJ240" s="26">
        <v>3.8049353701527586</v>
      </c>
      <c r="AK240" s="25">
        <v>38.049353701527586</v>
      </c>
      <c r="AL240" s="26">
        <v>3.805999628355146</v>
      </c>
      <c r="AM240" s="17">
        <f t="shared" si="70"/>
        <v>0.5780346820809249</v>
      </c>
      <c r="AN240" s="17"/>
      <c r="AO240" s="27"/>
      <c r="AP240" s="17"/>
      <c r="AQ240" s="17"/>
      <c r="AR240" s="17"/>
      <c r="AS240" s="17"/>
      <c r="AT240" s="17"/>
      <c r="AU240" s="17"/>
      <c r="AV240" s="17"/>
      <c r="AW240" s="17"/>
      <c r="AX240" s="17"/>
      <c r="BB240" s="17"/>
    </row>
    <row r="241" spans="1:54" x14ac:dyDescent="0.2">
      <c r="A241" s="17" t="s">
        <v>41</v>
      </c>
      <c r="B241" s="18" t="s">
        <v>42</v>
      </c>
      <c r="C241" s="18" t="str">
        <f t="shared" si="62"/>
        <v>BI10.6</v>
      </c>
      <c r="D241" s="18" t="str">
        <f t="shared" si="63"/>
        <v>BI10.6_240</v>
      </c>
      <c r="E241" s="17">
        <v>6</v>
      </c>
      <c r="F241" s="19">
        <v>240</v>
      </c>
      <c r="G241" s="20">
        <v>2.4</v>
      </c>
      <c r="H241" s="20">
        <v>2.35</v>
      </c>
      <c r="I241" s="20">
        <v>1.05</v>
      </c>
      <c r="J241" s="20">
        <f t="shared" si="61"/>
        <v>4.6492851562500004</v>
      </c>
      <c r="K241" s="53">
        <v>0.1737499999999999</v>
      </c>
      <c r="L241" s="20">
        <f t="shared" si="73"/>
        <v>35.412500000000534</v>
      </c>
      <c r="M241" s="20">
        <f t="shared" si="73"/>
        <v>36.462500000000546</v>
      </c>
      <c r="N241" s="20">
        <f t="shared" si="73"/>
        <v>35.93750000000054</v>
      </c>
      <c r="O241" s="20">
        <f>P240+$AO$216</f>
        <v>235.41250000000053</v>
      </c>
      <c r="P241" s="20">
        <f t="shared" si="77"/>
        <v>236.46250000000055</v>
      </c>
      <c r="Q241" s="20">
        <f t="shared" si="71"/>
        <v>235.93750000000054</v>
      </c>
      <c r="R241" s="20">
        <f t="shared" si="74"/>
        <v>227.91250000000053</v>
      </c>
      <c r="S241" s="20">
        <f t="shared" si="75"/>
        <v>228.96250000000055</v>
      </c>
      <c r="T241" s="20">
        <f t="shared" si="76"/>
        <v>228.43750000000054</v>
      </c>
      <c r="U241" s="20">
        <v>228.43750000000054</v>
      </c>
      <c r="V241" s="22">
        <v>6.4169999999999998</v>
      </c>
      <c r="W241" s="22">
        <v>2.1791999999999998</v>
      </c>
      <c r="X241" s="23">
        <v>1.1476266666666668</v>
      </c>
      <c r="Y241" s="23">
        <f t="shared" si="64"/>
        <v>5.2693733333333332</v>
      </c>
      <c r="Z241" s="23">
        <f t="shared" si="65"/>
        <v>1.031573333333333</v>
      </c>
      <c r="AA241" s="22">
        <f t="shared" si="66"/>
        <v>80.423225532194849</v>
      </c>
      <c r="AB241" s="22">
        <f t="shared" si="67"/>
        <v>19.576774467805151</v>
      </c>
      <c r="AC241" s="22">
        <f t="shared" si="68"/>
        <v>1.1333727995259126</v>
      </c>
      <c r="AD241" s="22">
        <f t="shared" si="69"/>
        <v>0.22187783684263729</v>
      </c>
      <c r="AE241" s="24">
        <v>5.0182000000000002</v>
      </c>
      <c r="AF241" s="24">
        <v>5.3243999999999998</v>
      </c>
      <c r="AG241" s="24">
        <v>5.0628000000000002</v>
      </c>
      <c r="AH241" s="25">
        <f>AG241-AE241</f>
        <v>4.4599999999999973E-2</v>
      </c>
      <c r="AI241" s="25">
        <v>85.434356629653806</v>
      </c>
      <c r="AJ241" s="26">
        <v>4.2717178314826905</v>
      </c>
      <c r="AK241" s="25">
        <v>42.717178314826903</v>
      </c>
      <c r="AL241" s="26">
        <v>4.2726658226225904</v>
      </c>
      <c r="AM241" s="17">
        <f t="shared" si="70"/>
        <v>0.5780346820809249</v>
      </c>
      <c r="AN241" s="17"/>
      <c r="AO241" s="27"/>
      <c r="AP241" s="17"/>
      <c r="AQ241" s="17"/>
      <c r="AR241" s="17"/>
      <c r="AS241" s="17"/>
      <c r="AT241" s="17"/>
      <c r="AU241" s="17"/>
      <c r="AV241" s="17"/>
      <c r="AW241" s="17"/>
      <c r="AX241" s="17"/>
      <c r="BB241" s="17"/>
    </row>
    <row r="242" spans="1:54" x14ac:dyDescent="0.2">
      <c r="A242" s="17" t="s">
        <v>41</v>
      </c>
      <c r="B242" s="18" t="s">
        <v>42</v>
      </c>
      <c r="C242" s="18" t="str">
        <f t="shared" si="62"/>
        <v>BI10.6</v>
      </c>
      <c r="D242" s="18" t="str">
        <f t="shared" si="63"/>
        <v>BI10.6_241</v>
      </c>
      <c r="E242" s="17">
        <v>6</v>
      </c>
      <c r="F242" s="19">
        <v>241</v>
      </c>
      <c r="G242" s="20">
        <v>2.4500000000000002</v>
      </c>
      <c r="H242" s="20">
        <v>2.7</v>
      </c>
      <c r="I242" s="20">
        <v>1.1000000000000001</v>
      </c>
      <c r="J242" s="20">
        <f t="shared" si="61"/>
        <v>5.7255446875000011</v>
      </c>
      <c r="K242" s="53">
        <v>0.1737499999999999</v>
      </c>
      <c r="L242" s="20">
        <f t="shared" si="73"/>
        <v>36.636250000000558</v>
      </c>
      <c r="M242" s="20">
        <f t="shared" si="73"/>
        <v>37.736250000000553</v>
      </c>
      <c r="N242" s="20">
        <f t="shared" si="73"/>
        <v>37.186250000000541</v>
      </c>
      <c r="O242" s="20">
        <f>P241+$AO$216</f>
        <v>236.63625000000056</v>
      </c>
      <c r="P242" s="20">
        <f t="shared" si="77"/>
        <v>237.73625000000055</v>
      </c>
      <c r="Q242" s="20">
        <f t="shared" si="71"/>
        <v>237.18625000000054</v>
      </c>
      <c r="R242" s="20">
        <f t="shared" si="74"/>
        <v>229.13625000000056</v>
      </c>
      <c r="S242" s="20">
        <f t="shared" si="75"/>
        <v>230.23625000000055</v>
      </c>
      <c r="T242" s="20">
        <f t="shared" si="76"/>
        <v>229.68625000000054</v>
      </c>
      <c r="U242" s="20">
        <v>229.68625000000054</v>
      </c>
      <c r="V242" s="22">
        <v>7.5462999999999996</v>
      </c>
      <c r="W242" s="22">
        <v>2.3965000000000001</v>
      </c>
      <c r="X242" s="23">
        <v>1.1476266666666668</v>
      </c>
      <c r="Y242" s="23">
        <f t="shared" si="64"/>
        <v>6.398673333333333</v>
      </c>
      <c r="Z242" s="23">
        <f t="shared" si="65"/>
        <v>1.2488733333333333</v>
      </c>
      <c r="AA242" s="22">
        <f t="shared" si="66"/>
        <v>80.48230831182714</v>
      </c>
      <c r="AB242" s="22">
        <f t="shared" si="67"/>
        <v>19.51769168817286</v>
      </c>
      <c r="AC242" s="22">
        <f t="shared" si="68"/>
        <v>1.1175658705979372</v>
      </c>
      <c r="AD242" s="22">
        <f t="shared" si="69"/>
        <v>0.21812306103555026</v>
      </c>
      <c r="AE242" s="24">
        <v>6.0132000000000003</v>
      </c>
      <c r="AF242" s="24">
        <v>6.3483000000000001</v>
      </c>
      <c r="AG242" s="24">
        <v>6.0719000000000003</v>
      </c>
      <c r="AH242" s="25">
        <f>AG242-AE242</f>
        <v>5.8699999999999974E-2</v>
      </c>
      <c r="AI242" s="25">
        <v>82.482840943002074</v>
      </c>
      <c r="AJ242" s="26">
        <v>4.1241420471501042</v>
      </c>
      <c r="AK242" s="25">
        <v>41.241420471501037</v>
      </c>
      <c r="AL242" s="26">
        <v>4.12512395269178</v>
      </c>
      <c r="AM242" s="17">
        <f t="shared" si="70"/>
        <v>0.5780346820809249</v>
      </c>
      <c r="AN242" s="17"/>
      <c r="AO242" s="27"/>
      <c r="AP242" s="17"/>
      <c r="AQ242" s="17"/>
      <c r="AR242" s="17"/>
      <c r="AS242" s="17"/>
      <c r="AT242" s="17"/>
      <c r="AU242" s="17"/>
      <c r="AV242" s="17"/>
      <c r="AW242" s="17"/>
      <c r="AX242" s="17"/>
      <c r="BB242" s="17"/>
    </row>
    <row r="243" spans="1:54" x14ac:dyDescent="0.2">
      <c r="A243" s="17" t="s">
        <v>41</v>
      </c>
      <c r="B243" s="18" t="s">
        <v>42</v>
      </c>
      <c r="C243" s="18" t="str">
        <f t="shared" si="62"/>
        <v>BI10.6</v>
      </c>
      <c r="D243" s="18" t="str">
        <f t="shared" si="63"/>
        <v>BI10.6_242</v>
      </c>
      <c r="E243" s="17">
        <v>6</v>
      </c>
      <c r="F243" s="19">
        <v>242</v>
      </c>
      <c r="G243" s="20">
        <v>2.2999999999999998</v>
      </c>
      <c r="H243" s="20">
        <v>2.35</v>
      </c>
      <c r="I243" s="20">
        <v>1.05</v>
      </c>
      <c r="J243" s="20">
        <f t="shared" si="61"/>
        <v>4.455586406250001</v>
      </c>
      <c r="K243" s="53">
        <v>0.1737499999999999</v>
      </c>
      <c r="L243" s="20">
        <f t="shared" si="73"/>
        <v>37.910000000000565</v>
      </c>
      <c r="M243" s="20">
        <f t="shared" si="73"/>
        <v>38.960000000000576</v>
      </c>
      <c r="N243" s="20">
        <f t="shared" si="73"/>
        <v>38.435000000000571</v>
      </c>
      <c r="O243" s="20">
        <f>P242+$AO$216</f>
        <v>237.91000000000057</v>
      </c>
      <c r="P243" s="20">
        <f t="shared" si="77"/>
        <v>238.96000000000058</v>
      </c>
      <c r="Q243" s="20">
        <f t="shared" si="71"/>
        <v>238.43500000000057</v>
      </c>
      <c r="R243" s="20">
        <f t="shared" si="74"/>
        <v>230.41000000000057</v>
      </c>
      <c r="S243" s="20">
        <f t="shared" si="75"/>
        <v>231.46000000000058</v>
      </c>
      <c r="T243" s="20">
        <f t="shared" si="76"/>
        <v>230.93500000000057</v>
      </c>
      <c r="U243" s="20">
        <v>230.93500000000057</v>
      </c>
      <c r="V243" s="22">
        <v>6.4833999999999996</v>
      </c>
      <c r="W243" s="22">
        <v>2.1484000000000001</v>
      </c>
      <c r="X243" s="23">
        <v>1.1476266666666668</v>
      </c>
      <c r="Y243" s="23">
        <f t="shared" si="64"/>
        <v>5.335773333333333</v>
      </c>
      <c r="Z243" s="23">
        <f t="shared" si="65"/>
        <v>1.0007733333333333</v>
      </c>
      <c r="AA243" s="22">
        <f t="shared" si="66"/>
        <v>81.244080833018899</v>
      </c>
      <c r="AB243" s="22">
        <f t="shared" si="67"/>
        <v>18.755919166981101</v>
      </c>
      <c r="AC243" s="22">
        <f t="shared" si="68"/>
        <v>1.1975468202902908</v>
      </c>
      <c r="AD243" s="22">
        <f t="shared" si="69"/>
        <v>0.22461091360039945</v>
      </c>
      <c r="AE243" s="24">
        <v>4.7834000000000003</v>
      </c>
      <c r="AF243" s="24">
        <v>5.0533000000000001</v>
      </c>
      <c r="AG243" s="24">
        <v>4.8343999999999996</v>
      </c>
      <c r="AH243" s="25">
        <f>AG243-AE243</f>
        <v>5.0999999999999268E-2</v>
      </c>
      <c r="AI243" s="25">
        <v>81.10411263430926</v>
      </c>
      <c r="AJ243" s="26">
        <v>4.055205631715463</v>
      </c>
      <c r="AK243" s="25">
        <v>40.55205631715463</v>
      </c>
      <c r="AL243" s="26">
        <v>4.0562042250725989</v>
      </c>
      <c r="AM243" s="17">
        <f t="shared" si="70"/>
        <v>0.5780346820809249</v>
      </c>
      <c r="AN243" s="17"/>
      <c r="AO243" s="27"/>
      <c r="AP243" s="17"/>
      <c r="AQ243" s="17"/>
      <c r="AR243" s="17"/>
      <c r="AS243" s="17"/>
      <c r="AT243" s="17"/>
      <c r="AU243" s="17"/>
      <c r="AV243" s="17"/>
      <c r="AW243" s="17"/>
      <c r="AX243" s="17"/>
      <c r="BB243" s="17"/>
    </row>
    <row r="244" spans="1:54" x14ac:dyDescent="0.2">
      <c r="A244" s="17" t="s">
        <v>41</v>
      </c>
      <c r="B244" s="18" t="s">
        <v>42</v>
      </c>
      <c r="C244" s="18" t="str">
        <f t="shared" si="62"/>
        <v>BI10.6</v>
      </c>
      <c r="D244" s="18" t="str">
        <f t="shared" si="63"/>
        <v>BI10.6_243</v>
      </c>
      <c r="E244" s="17">
        <v>6</v>
      </c>
      <c r="F244" s="19">
        <v>243</v>
      </c>
      <c r="G244" s="20">
        <v>2.5</v>
      </c>
      <c r="H244" s="20">
        <v>2.35</v>
      </c>
      <c r="I244" s="20">
        <v>1</v>
      </c>
      <c r="J244" s="20">
        <f t="shared" si="61"/>
        <v>4.6162906249999995</v>
      </c>
      <c r="K244" s="53">
        <v>0.1737499999999999</v>
      </c>
      <c r="L244" s="20">
        <f t="shared" si="73"/>
        <v>39.133750000000589</v>
      </c>
      <c r="M244" s="20">
        <f t="shared" si="73"/>
        <v>40.133750000000589</v>
      </c>
      <c r="N244" s="20">
        <f t="shared" si="73"/>
        <v>39.633750000000589</v>
      </c>
      <c r="O244" s="20">
        <f>P243+$AO$216</f>
        <v>239.13375000000059</v>
      </c>
      <c r="P244" s="20">
        <f t="shared" si="77"/>
        <v>240.13375000000059</v>
      </c>
      <c r="Q244" s="20">
        <f t="shared" si="71"/>
        <v>239.63375000000059</v>
      </c>
      <c r="R244" s="20">
        <f t="shared" si="74"/>
        <v>231.63375000000059</v>
      </c>
      <c r="S244" s="20">
        <f t="shared" si="75"/>
        <v>232.63375000000059</v>
      </c>
      <c r="T244" s="20">
        <f t="shared" si="76"/>
        <v>232.13375000000059</v>
      </c>
      <c r="U244" s="20">
        <v>232.13375000000059</v>
      </c>
      <c r="V244" s="22">
        <v>5.8037000000000001</v>
      </c>
      <c r="W244" s="22">
        <v>1.9453</v>
      </c>
      <c r="X244" s="23">
        <v>1.1476266666666668</v>
      </c>
      <c r="Y244" s="23">
        <f t="shared" si="64"/>
        <v>4.6560733333333335</v>
      </c>
      <c r="Z244" s="23">
        <f t="shared" si="65"/>
        <v>0.79767333333333323</v>
      </c>
      <c r="AA244" s="22">
        <f t="shared" si="66"/>
        <v>82.868110611087175</v>
      </c>
      <c r="AB244" s="22">
        <f t="shared" si="67"/>
        <v>17.131889388912825</v>
      </c>
      <c r="AC244" s="22">
        <f t="shared" si="68"/>
        <v>1.0086178950947946</v>
      </c>
      <c r="AD244" s="22">
        <f t="shared" si="69"/>
        <v>0.17279530214442104</v>
      </c>
      <c r="AE244" s="24">
        <v>5.5641999999999996</v>
      </c>
      <c r="AF244" s="24">
        <v>5.9626999999999999</v>
      </c>
      <c r="AG244" s="24">
        <v>5.6444000000000001</v>
      </c>
      <c r="AH244" s="25">
        <f>AG244-AE244</f>
        <v>8.0200000000000493E-2</v>
      </c>
      <c r="AI244" s="25">
        <v>79.874529485570775</v>
      </c>
      <c r="AJ244" s="26">
        <v>3.9937264742785388</v>
      </c>
      <c r="AK244" s="25">
        <v>39.937264742785388</v>
      </c>
      <c r="AL244" s="26">
        <v>3.9947404360425334</v>
      </c>
      <c r="AM244" s="17">
        <f t="shared" si="70"/>
        <v>0.5780346820809249</v>
      </c>
      <c r="AN244" s="17"/>
      <c r="AO244" s="27"/>
      <c r="AP244" s="17"/>
      <c r="AQ244" s="17"/>
      <c r="AR244" s="17"/>
      <c r="AS244" s="17"/>
      <c r="AT244" s="17"/>
      <c r="AU244" s="17"/>
      <c r="AV244" s="17"/>
      <c r="AW244" s="17"/>
      <c r="AX244" s="17"/>
      <c r="BB244" s="17"/>
    </row>
    <row r="245" spans="1:54" x14ac:dyDescent="0.2">
      <c r="A245" s="17" t="s">
        <v>41</v>
      </c>
      <c r="B245" s="18" t="s">
        <v>42</v>
      </c>
      <c r="C245" s="18" t="str">
        <f t="shared" si="62"/>
        <v>BI10.6</v>
      </c>
      <c r="D245" s="18" t="str">
        <f t="shared" si="63"/>
        <v>BI10.6_244</v>
      </c>
      <c r="E245" s="17">
        <v>6</v>
      </c>
      <c r="F245" s="19">
        <v>244</v>
      </c>
      <c r="G245" s="20">
        <v>2.35</v>
      </c>
      <c r="H245" s="20">
        <v>2.35</v>
      </c>
      <c r="I245" s="20">
        <v>1.05</v>
      </c>
      <c r="J245" s="20">
        <f t="shared" si="61"/>
        <v>4.5519206250000011</v>
      </c>
      <c r="K245" s="53">
        <v>0.1737499999999999</v>
      </c>
      <c r="L245" s="20">
        <f t="shared" si="73"/>
        <v>40.307500000000601</v>
      </c>
      <c r="M245" s="20">
        <f t="shared" si="73"/>
        <v>41.357500000000613</v>
      </c>
      <c r="N245" s="20">
        <f t="shared" si="73"/>
        <v>40.832500000000607</v>
      </c>
      <c r="O245" s="20">
        <f>P244+$AO$216</f>
        <v>240.3075000000006</v>
      </c>
      <c r="P245" s="20">
        <f t="shared" si="77"/>
        <v>241.35750000000061</v>
      </c>
      <c r="Q245" s="20">
        <f t="shared" si="71"/>
        <v>240.83250000000061</v>
      </c>
      <c r="R245" s="20">
        <f t="shared" si="74"/>
        <v>232.8075000000006</v>
      </c>
      <c r="S245" s="20">
        <f t="shared" si="75"/>
        <v>233.85750000000061</v>
      </c>
      <c r="T245" s="20">
        <f t="shared" si="76"/>
        <v>233.33250000000061</v>
      </c>
      <c r="U245" s="20">
        <v>233.33250000000061</v>
      </c>
      <c r="V245" s="22">
        <v>7.2934000000000001</v>
      </c>
      <c r="W245" s="22">
        <v>2.1497000000000002</v>
      </c>
      <c r="X245" s="23">
        <v>1.1476266666666668</v>
      </c>
      <c r="Y245" s="23">
        <f t="shared" si="64"/>
        <v>6.1457733333333335</v>
      </c>
      <c r="Z245" s="23">
        <f t="shared" si="65"/>
        <v>1.0020733333333334</v>
      </c>
      <c r="AA245" s="22">
        <f t="shared" si="66"/>
        <v>83.694918784291858</v>
      </c>
      <c r="AB245" s="22">
        <f t="shared" si="67"/>
        <v>16.305081215708142</v>
      </c>
      <c r="AC245" s="22">
        <f t="shared" si="68"/>
        <v>1.350149495046024</v>
      </c>
      <c r="AD245" s="22">
        <f t="shared" si="69"/>
        <v>0.22014297170072758</v>
      </c>
      <c r="AE245" s="24">
        <v>5.0151000000000003</v>
      </c>
      <c r="AF245" s="24">
        <v>5.4229000000000003</v>
      </c>
      <c r="AG245" s="24">
        <v>5.1050000000000004</v>
      </c>
      <c r="AH245" s="25">
        <f>AG245-AE245</f>
        <v>8.9900000000000091E-2</v>
      </c>
      <c r="AI245" s="25">
        <v>77.954879843060297</v>
      </c>
      <c r="AJ245" s="26">
        <v>3.897743992153015</v>
      </c>
      <c r="AK245" s="25">
        <v>38.977439921530149</v>
      </c>
      <c r="AL245" s="26">
        <v>3.8987829162913039</v>
      </c>
      <c r="AM245" s="17">
        <f t="shared" si="70"/>
        <v>0.5780346820809249</v>
      </c>
      <c r="AN245" s="17"/>
      <c r="AO245" s="27"/>
      <c r="AP245" s="17"/>
      <c r="AQ245" s="17"/>
      <c r="AR245" s="17"/>
      <c r="AS245" s="17"/>
      <c r="AT245" s="17"/>
      <c r="AU245" s="17"/>
      <c r="AV245" s="17"/>
      <c r="AW245" s="17"/>
      <c r="AX245" s="17"/>
      <c r="BB245" s="17"/>
    </row>
    <row r="246" spans="1:54" x14ac:dyDescent="0.2">
      <c r="A246" s="17" t="s">
        <v>41</v>
      </c>
      <c r="B246" s="18" t="s">
        <v>42</v>
      </c>
      <c r="C246" s="18" t="str">
        <f t="shared" si="62"/>
        <v>BI10.6</v>
      </c>
      <c r="D246" s="18" t="str">
        <f t="shared" si="63"/>
        <v>BI10.6_245</v>
      </c>
      <c r="E246" s="17">
        <v>6</v>
      </c>
      <c r="F246" s="19">
        <v>245</v>
      </c>
      <c r="G246" s="20">
        <v>2.6</v>
      </c>
      <c r="H246" s="20">
        <v>2.5</v>
      </c>
      <c r="I246" s="20">
        <v>1.05</v>
      </c>
      <c r="J246" s="20">
        <f t="shared" si="61"/>
        <v>5.3596856249999991</v>
      </c>
      <c r="K246" s="53">
        <v>0.1737499999999999</v>
      </c>
      <c r="L246" s="20">
        <f t="shared" si="73"/>
        <v>41.531250000000625</v>
      </c>
      <c r="M246" s="20">
        <f t="shared" si="73"/>
        <v>42.581250000000637</v>
      </c>
      <c r="N246" s="20">
        <f t="shared" si="73"/>
        <v>42.056250000000631</v>
      </c>
      <c r="O246" s="20">
        <f>P245+$AO$216</f>
        <v>241.53125000000063</v>
      </c>
      <c r="P246" s="20">
        <f t="shared" si="77"/>
        <v>242.58125000000064</v>
      </c>
      <c r="Q246" s="20">
        <f t="shared" si="71"/>
        <v>242.05625000000063</v>
      </c>
      <c r="R246" s="20">
        <f t="shared" si="74"/>
        <v>234.03125000000063</v>
      </c>
      <c r="S246" s="20">
        <f t="shared" si="75"/>
        <v>235.08125000000064</v>
      </c>
      <c r="T246" s="20">
        <f t="shared" si="76"/>
        <v>234.55625000000063</v>
      </c>
      <c r="U246" s="20">
        <v>234.55625000000063</v>
      </c>
      <c r="V246" s="22">
        <v>7.6702000000000004</v>
      </c>
      <c r="W246" s="22">
        <v>2.1924999999999999</v>
      </c>
      <c r="X246" s="23">
        <v>1.1476266666666668</v>
      </c>
      <c r="Y246" s="23">
        <f t="shared" si="64"/>
        <v>6.5225733333333338</v>
      </c>
      <c r="Z246" s="23">
        <f t="shared" si="65"/>
        <v>1.0448733333333331</v>
      </c>
      <c r="AA246" s="22">
        <f t="shared" si="66"/>
        <v>83.980657940730964</v>
      </c>
      <c r="AB246" s="22">
        <f t="shared" si="67"/>
        <v>16.019342059269036</v>
      </c>
      <c r="AC246" s="22">
        <f t="shared" si="68"/>
        <v>1.2169693877023495</v>
      </c>
      <c r="AD246" s="22">
        <f t="shared" si="69"/>
        <v>0.19495048897263134</v>
      </c>
      <c r="AE246" s="24">
        <v>5.5796000000000001</v>
      </c>
      <c r="AF246" s="24">
        <v>5.9457000000000004</v>
      </c>
      <c r="AG246" s="24">
        <v>5.6473000000000004</v>
      </c>
      <c r="AH246" s="25">
        <f>AG246-AE246</f>
        <v>6.7700000000000315E-2</v>
      </c>
      <c r="AI246" s="25">
        <v>81.507784758262702</v>
      </c>
      <c r="AJ246" s="26">
        <v>4.0753892379131349</v>
      </c>
      <c r="AK246" s="25">
        <v>40.753892379131351</v>
      </c>
      <c r="AL246" s="26">
        <v>4.0763828868861429</v>
      </c>
      <c r="AM246" s="17">
        <f t="shared" si="70"/>
        <v>0.5780346820809249</v>
      </c>
      <c r="AN246" s="17"/>
      <c r="AO246" s="27"/>
      <c r="AP246" s="17"/>
      <c r="AQ246" s="17"/>
      <c r="AR246" s="17"/>
      <c r="AS246" s="17"/>
      <c r="AT246" s="17"/>
      <c r="AU246" s="17"/>
      <c r="AV246" s="17"/>
      <c r="AW246" s="17"/>
      <c r="AX246" s="17"/>
      <c r="BB246" s="17"/>
    </row>
    <row r="247" spans="1:54" x14ac:dyDescent="0.2">
      <c r="A247" s="17" t="s">
        <v>41</v>
      </c>
      <c r="B247" s="18" t="s">
        <v>42</v>
      </c>
      <c r="C247" s="18" t="str">
        <f t="shared" si="62"/>
        <v>BI10.6</v>
      </c>
      <c r="D247" s="18" t="str">
        <f t="shared" si="63"/>
        <v>BI10.6_246</v>
      </c>
      <c r="E247" s="17">
        <v>6</v>
      </c>
      <c r="F247" s="19">
        <v>246</v>
      </c>
      <c r="G247" s="20">
        <v>2.5</v>
      </c>
      <c r="H247" s="20">
        <v>2.5</v>
      </c>
      <c r="I247" s="20">
        <v>1</v>
      </c>
      <c r="J247" s="20">
        <f t="shared" si="61"/>
        <v>4.90625</v>
      </c>
      <c r="K247" s="53">
        <v>0.1737499999999999</v>
      </c>
      <c r="L247" s="20">
        <f t="shared" si="73"/>
        <v>42.755000000000649</v>
      </c>
      <c r="M247" s="20">
        <f t="shared" si="73"/>
        <v>43.755000000000649</v>
      </c>
      <c r="N247" s="20">
        <f t="shared" si="73"/>
        <v>43.255000000000649</v>
      </c>
      <c r="O247" s="20">
        <f>P246+$AO$216</f>
        <v>242.75500000000065</v>
      </c>
      <c r="P247" s="20">
        <f t="shared" si="77"/>
        <v>243.75500000000065</v>
      </c>
      <c r="Q247" s="20">
        <f t="shared" si="71"/>
        <v>243.25500000000065</v>
      </c>
      <c r="R247" s="20">
        <f t="shared" si="74"/>
        <v>235.25500000000065</v>
      </c>
      <c r="S247" s="20">
        <f t="shared" si="75"/>
        <v>236.25500000000065</v>
      </c>
      <c r="T247" s="20">
        <f t="shared" si="76"/>
        <v>235.75500000000065</v>
      </c>
      <c r="U247" s="20">
        <v>235.75500000000065</v>
      </c>
      <c r="V247" s="22">
        <v>7.7647000000000004</v>
      </c>
      <c r="W247" s="22">
        <v>2.2202999999999999</v>
      </c>
      <c r="X247" s="23">
        <v>1.1476266666666668</v>
      </c>
      <c r="Y247" s="23">
        <f t="shared" si="64"/>
        <v>6.6170733333333338</v>
      </c>
      <c r="Z247" s="23">
        <f t="shared" si="65"/>
        <v>1.0726733333333331</v>
      </c>
      <c r="AA247" s="22">
        <f t="shared" si="66"/>
        <v>83.789308667175106</v>
      </c>
      <c r="AB247" s="22">
        <f t="shared" si="67"/>
        <v>16.210691332824894</v>
      </c>
      <c r="AC247" s="22">
        <f t="shared" si="68"/>
        <v>1.3487028450106158</v>
      </c>
      <c r="AD247" s="22">
        <f t="shared" si="69"/>
        <v>0.21863405520169849</v>
      </c>
      <c r="AE247" s="24">
        <v>5.3776000000000002</v>
      </c>
      <c r="AF247" s="24">
        <v>5.7465999999999999</v>
      </c>
      <c r="AG247" s="24">
        <v>5.4444999999999997</v>
      </c>
      <c r="AH247" s="25">
        <f>AG247-AE247</f>
        <v>6.6899999999999515E-2</v>
      </c>
      <c r="AI247" s="25">
        <v>81.86991869918711</v>
      </c>
      <c r="AJ247" s="26">
        <v>4.093495934959356</v>
      </c>
      <c r="AK247" s="25">
        <v>40.934959349593555</v>
      </c>
      <c r="AL247" s="26">
        <v>4.094485189804546</v>
      </c>
      <c r="AM247" s="17">
        <f t="shared" si="70"/>
        <v>0.5780346820809249</v>
      </c>
      <c r="AN247" s="17"/>
      <c r="AO247" s="27"/>
      <c r="AP247" s="17"/>
      <c r="AQ247" s="17"/>
      <c r="AR247" s="17"/>
      <c r="AS247" s="17"/>
      <c r="AT247" s="17"/>
      <c r="AU247" s="17"/>
      <c r="AV247" s="17"/>
      <c r="AW247" s="17"/>
      <c r="AX247" s="17"/>
      <c r="BB247" s="17"/>
    </row>
    <row r="248" spans="1:54" x14ac:dyDescent="0.2">
      <c r="A248" s="17" t="s">
        <v>41</v>
      </c>
      <c r="B248" s="18" t="s">
        <v>42</v>
      </c>
      <c r="C248" s="18" t="str">
        <f t="shared" si="62"/>
        <v>BI10.6</v>
      </c>
      <c r="D248" s="18" t="str">
        <f t="shared" si="63"/>
        <v>BI10.6_247</v>
      </c>
      <c r="E248" s="17">
        <v>6</v>
      </c>
      <c r="F248" s="19">
        <v>247</v>
      </c>
      <c r="G248" s="20">
        <v>2.25</v>
      </c>
      <c r="H248" s="20">
        <v>2.65</v>
      </c>
      <c r="I248" s="20">
        <v>1.1000000000000001</v>
      </c>
      <c r="J248" s="20">
        <f t="shared" si="61"/>
        <v>5.1831587500000005</v>
      </c>
      <c r="K248" s="53">
        <v>0.1737499999999999</v>
      </c>
      <c r="L248" s="20">
        <f t="shared" si="73"/>
        <v>43.928750000000662</v>
      </c>
      <c r="M248" s="20">
        <f t="shared" si="73"/>
        <v>45.028750000000656</v>
      </c>
      <c r="N248" s="20">
        <f t="shared" si="73"/>
        <v>44.478750000000673</v>
      </c>
      <c r="O248" s="20">
        <f>P247+$AO$216</f>
        <v>243.92875000000066</v>
      </c>
      <c r="P248" s="20">
        <f t="shared" si="77"/>
        <v>245.02875000000066</v>
      </c>
      <c r="Q248" s="20">
        <f t="shared" si="71"/>
        <v>244.47875000000067</v>
      </c>
      <c r="R248" s="20">
        <f t="shared" si="74"/>
        <v>236.42875000000066</v>
      </c>
      <c r="S248" s="20">
        <f t="shared" si="75"/>
        <v>237.52875000000066</v>
      </c>
      <c r="T248" s="20">
        <f t="shared" si="76"/>
        <v>236.97875000000067</v>
      </c>
      <c r="U248" s="20">
        <v>236.97875000000067</v>
      </c>
      <c r="V248" s="22">
        <v>7.2667999999999999</v>
      </c>
      <c r="W248" s="22">
        <v>2.1772</v>
      </c>
      <c r="X248" s="23">
        <v>1.1476266666666668</v>
      </c>
      <c r="Y248" s="23">
        <f t="shared" si="64"/>
        <v>6.1191733333333334</v>
      </c>
      <c r="Z248" s="23">
        <f t="shared" si="65"/>
        <v>1.0295733333333332</v>
      </c>
      <c r="AA248" s="22">
        <f t="shared" si="66"/>
        <v>83.174633610640214</v>
      </c>
      <c r="AB248" s="22">
        <f t="shared" si="67"/>
        <v>16.825366389359786</v>
      </c>
      <c r="AC248" s="22">
        <f t="shared" si="68"/>
        <v>1.1805876741346835</v>
      </c>
      <c r="AD248" s="22">
        <f t="shared" si="69"/>
        <v>0.19863820172078139</v>
      </c>
      <c r="AE248" s="24">
        <v>6.101</v>
      </c>
      <c r="AF248" s="24">
        <v>6.5285000000000002</v>
      </c>
      <c r="AG248" s="24">
        <v>6.1913</v>
      </c>
      <c r="AH248" s="25">
        <f>AG248-AE248</f>
        <v>9.0300000000000047E-2</v>
      </c>
      <c r="AI248" s="25">
        <v>78.877192982456137</v>
      </c>
      <c r="AJ248" s="26">
        <v>3.9438596491228068</v>
      </c>
      <c r="AK248" s="25">
        <v>39.438596491228068</v>
      </c>
      <c r="AL248" s="26">
        <v>3.9448864282738318</v>
      </c>
      <c r="AM248" s="17">
        <f t="shared" si="70"/>
        <v>0.5780346820809249</v>
      </c>
      <c r="AN248" s="17"/>
      <c r="AO248" s="27"/>
      <c r="AP248" s="17"/>
      <c r="AQ248" s="17"/>
      <c r="AR248" s="17"/>
      <c r="AS248" s="17"/>
      <c r="AT248" s="17"/>
      <c r="AU248" s="17"/>
      <c r="AV248" s="17"/>
      <c r="AW248" s="17"/>
      <c r="AX248" s="17"/>
      <c r="BB248" s="17"/>
    </row>
    <row r="249" spans="1:54" x14ac:dyDescent="0.2">
      <c r="A249" s="17" t="s">
        <v>41</v>
      </c>
      <c r="B249" s="18" t="s">
        <v>42</v>
      </c>
      <c r="C249" s="18" t="str">
        <f t="shared" si="62"/>
        <v>BI10.6</v>
      </c>
      <c r="D249" s="18" t="str">
        <f t="shared" si="63"/>
        <v>BI10.6_248</v>
      </c>
      <c r="E249" s="17">
        <v>6</v>
      </c>
      <c r="F249" s="19">
        <v>248</v>
      </c>
      <c r="G249" s="20">
        <v>2.5</v>
      </c>
      <c r="H249" s="20">
        <v>2.25</v>
      </c>
      <c r="I249" s="20">
        <v>1</v>
      </c>
      <c r="J249" s="20">
        <f t="shared" si="61"/>
        <v>4.4278906249999999</v>
      </c>
      <c r="K249" s="53">
        <v>0.1737499999999999</v>
      </c>
      <c r="L249" s="20">
        <f t="shared" si="73"/>
        <v>45.202500000000668</v>
      </c>
      <c r="M249" s="20">
        <f t="shared" si="73"/>
        <v>46.202500000000668</v>
      </c>
      <c r="N249" s="20">
        <f t="shared" si="73"/>
        <v>45.702500000000668</v>
      </c>
      <c r="O249" s="20">
        <f>P248+$AO$216</f>
        <v>245.20250000000067</v>
      </c>
      <c r="P249" s="20">
        <f t="shared" si="77"/>
        <v>246.20250000000067</v>
      </c>
      <c r="Q249" s="20">
        <f t="shared" si="71"/>
        <v>245.70250000000067</v>
      </c>
      <c r="R249" s="20">
        <f t="shared" si="74"/>
        <v>237.70250000000067</v>
      </c>
      <c r="S249" s="20">
        <f t="shared" si="75"/>
        <v>238.70250000000067</v>
      </c>
      <c r="T249" s="20">
        <f t="shared" si="76"/>
        <v>238.20250000000067</v>
      </c>
      <c r="U249" s="20">
        <v>238.20250000000067</v>
      </c>
      <c r="V249" s="22">
        <v>7.0011000000000001</v>
      </c>
      <c r="W249" s="22">
        <v>2.0889000000000002</v>
      </c>
      <c r="X249" s="23">
        <v>1.1476266666666668</v>
      </c>
      <c r="Y249" s="23">
        <f t="shared" si="64"/>
        <v>5.8534733333333335</v>
      </c>
      <c r="Z249" s="23">
        <f t="shared" si="65"/>
        <v>0.94127333333333341</v>
      </c>
      <c r="AA249" s="22">
        <f t="shared" si="66"/>
        <v>83.919405116734112</v>
      </c>
      <c r="AB249" s="22">
        <f t="shared" si="67"/>
        <v>16.080594883265888</v>
      </c>
      <c r="AC249" s="22">
        <f t="shared" si="68"/>
        <v>1.3219552669807271</v>
      </c>
      <c r="AD249" s="22">
        <f t="shared" si="69"/>
        <v>0.21257827102116675</v>
      </c>
      <c r="AE249" s="24">
        <v>5.5145999999999997</v>
      </c>
      <c r="AF249" s="24">
        <v>5.9362000000000004</v>
      </c>
      <c r="AG249" s="24">
        <v>5.5904999999999996</v>
      </c>
      <c r="AH249" s="25">
        <f>AG249-AE249</f>
        <v>7.5899999999999856E-2</v>
      </c>
      <c r="AI249" s="25">
        <v>81.997153700189813</v>
      </c>
      <c r="AJ249" s="26">
        <v>4.099857685009491</v>
      </c>
      <c r="AK249" s="25">
        <v>40.998576850094906</v>
      </c>
      <c r="AL249" s="26">
        <v>4.1008454051977354</v>
      </c>
      <c r="AM249" s="17">
        <f t="shared" si="70"/>
        <v>0.5780346820809249</v>
      </c>
      <c r="AN249" s="17"/>
      <c r="AO249" s="27"/>
      <c r="AP249" s="17"/>
      <c r="AQ249" s="17"/>
      <c r="AR249" s="17"/>
      <c r="AS249" s="17"/>
      <c r="AT249" s="17"/>
      <c r="AU249" s="17"/>
      <c r="AV249" s="17"/>
      <c r="AW249" s="17"/>
      <c r="AX249" s="17"/>
      <c r="BB249" s="17"/>
    </row>
    <row r="250" spans="1:54" x14ac:dyDescent="0.2">
      <c r="A250" s="17" t="s">
        <v>41</v>
      </c>
      <c r="B250" s="18" t="s">
        <v>42</v>
      </c>
      <c r="C250" s="18" t="str">
        <f t="shared" si="62"/>
        <v>BI10.6</v>
      </c>
      <c r="D250" s="18" t="str">
        <f t="shared" si="63"/>
        <v>BI10.6_249</v>
      </c>
      <c r="E250" s="17">
        <v>6</v>
      </c>
      <c r="F250" s="19">
        <v>249</v>
      </c>
      <c r="G250" s="20">
        <v>2.5</v>
      </c>
      <c r="H250" s="20">
        <v>2.7</v>
      </c>
      <c r="I250" s="20">
        <v>1.1000000000000001</v>
      </c>
      <c r="J250" s="20">
        <f t="shared" si="61"/>
        <v>5.8372600000000023</v>
      </c>
      <c r="K250" s="53">
        <v>0.1737499999999999</v>
      </c>
      <c r="L250" s="20">
        <f t="shared" si="73"/>
        <v>46.376250000000681</v>
      </c>
      <c r="M250" s="20">
        <f t="shared" si="73"/>
        <v>47.476250000000675</v>
      </c>
      <c r="N250" s="20">
        <f t="shared" si="73"/>
        <v>46.926250000000664</v>
      </c>
      <c r="O250" s="20">
        <f>P249+$AO$216</f>
        <v>246.37625000000068</v>
      </c>
      <c r="P250" s="20">
        <f t="shared" si="77"/>
        <v>247.47625000000068</v>
      </c>
      <c r="Q250" s="20">
        <f t="shared" si="71"/>
        <v>246.92625000000066</v>
      </c>
      <c r="R250" s="20">
        <f t="shared" si="74"/>
        <v>238.87625000000068</v>
      </c>
      <c r="S250" s="20">
        <f t="shared" si="75"/>
        <v>239.97625000000068</v>
      </c>
      <c r="T250" s="20">
        <f t="shared" si="76"/>
        <v>239.42625000000066</v>
      </c>
      <c r="U250" s="20">
        <v>239.42625000000066</v>
      </c>
      <c r="V250" s="22">
        <v>7.9679000000000002</v>
      </c>
      <c r="W250" s="22">
        <v>2.2437</v>
      </c>
      <c r="X250" s="23">
        <v>1.1476266666666668</v>
      </c>
      <c r="Y250" s="23">
        <f t="shared" si="64"/>
        <v>6.8202733333333336</v>
      </c>
      <c r="Z250" s="23">
        <f t="shared" si="65"/>
        <v>1.0960733333333332</v>
      </c>
      <c r="AA250" s="22">
        <f t="shared" si="66"/>
        <v>83.929187588767221</v>
      </c>
      <c r="AB250" s="22">
        <f t="shared" si="67"/>
        <v>16.070812411232779</v>
      </c>
      <c r="AC250" s="22">
        <f t="shared" si="68"/>
        <v>1.1684032120092871</v>
      </c>
      <c r="AD250" s="22">
        <f t="shared" si="69"/>
        <v>0.18777188840883099</v>
      </c>
      <c r="AE250" s="24">
        <v>5.5842999999999998</v>
      </c>
      <c r="AF250" s="24">
        <v>5.9530000000000003</v>
      </c>
      <c r="AG250" s="24">
        <v>5.6516000000000002</v>
      </c>
      <c r="AH250" s="25">
        <f>AG250-AE250</f>
        <v>6.730000000000036E-2</v>
      </c>
      <c r="AI250" s="25">
        <v>81.746677515595252</v>
      </c>
      <c r="AJ250" s="26">
        <v>4.0873338757797626</v>
      </c>
      <c r="AK250" s="25">
        <v>40.873338757797626</v>
      </c>
      <c r="AL250" s="26">
        <v>4.0883246216631104</v>
      </c>
      <c r="AM250" s="17">
        <f t="shared" si="70"/>
        <v>0.5780346820809249</v>
      </c>
      <c r="AN250" s="17"/>
      <c r="AO250" s="27"/>
      <c r="AP250" s="17"/>
      <c r="AQ250" s="17"/>
      <c r="AR250" s="17"/>
      <c r="AS250" s="17"/>
      <c r="AT250" s="17"/>
      <c r="AU250" s="17"/>
      <c r="AV250" s="17"/>
      <c r="AW250" s="17"/>
      <c r="AX250" s="17"/>
      <c r="BB250" s="17"/>
    </row>
    <row r="251" spans="1:54" x14ac:dyDescent="0.2">
      <c r="A251" s="17" t="s">
        <v>41</v>
      </c>
      <c r="B251" s="18" t="s">
        <v>42</v>
      </c>
      <c r="C251" s="18" t="str">
        <f t="shared" si="62"/>
        <v>BI10.6</v>
      </c>
      <c r="D251" s="18" t="str">
        <f t="shared" si="63"/>
        <v>BI10.6_250</v>
      </c>
      <c r="E251" s="17">
        <v>6</v>
      </c>
      <c r="F251" s="19">
        <v>250</v>
      </c>
      <c r="G251" s="20">
        <v>2.4</v>
      </c>
      <c r="H251" s="20">
        <v>2.7</v>
      </c>
      <c r="I251" s="20">
        <v>1.85</v>
      </c>
      <c r="J251" s="20">
        <f t="shared" si="61"/>
        <v>9.443255624999999</v>
      </c>
      <c r="K251" s="53">
        <v>0.1737499999999999</v>
      </c>
      <c r="L251" s="20">
        <f t="shared" si="73"/>
        <v>47.650000000000688</v>
      </c>
      <c r="M251" s="20">
        <f t="shared" si="73"/>
        <v>49.500000000000682</v>
      </c>
      <c r="N251" s="20">
        <f t="shared" si="73"/>
        <v>48.575000000000671</v>
      </c>
      <c r="O251" s="20">
        <f>P250+$AO$216</f>
        <v>247.65000000000069</v>
      </c>
      <c r="P251" s="20">
        <f t="shared" si="77"/>
        <v>249.50000000000068</v>
      </c>
      <c r="Q251" s="20">
        <f t="shared" si="71"/>
        <v>248.57500000000067</v>
      </c>
      <c r="R251" s="20">
        <f t="shared" si="74"/>
        <v>240.15000000000069</v>
      </c>
      <c r="S251" s="20">
        <f t="shared" si="75"/>
        <v>242.00000000000068</v>
      </c>
      <c r="T251" s="20">
        <f t="shared" si="76"/>
        <v>241.07500000000067</v>
      </c>
      <c r="U251" s="20">
        <v>241.07500000000067</v>
      </c>
      <c r="V251" s="22">
        <v>11.076599999999999</v>
      </c>
      <c r="W251" s="22">
        <v>2.6787999999999998</v>
      </c>
      <c r="X251" s="23">
        <v>1.1476266666666668</v>
      </c>
      <c r="Y251" s="23">
        <f t="shared" si="64"/>
        <v>9.9289733333333317</v>
      </c>
      <c r="Z251" s="23">
        <f t="shared" si="65"/>
        <v>1.5311733333333331</v>
      </c>
      <c r="AA251" s="22">
        <f t="shared" si="66"/>
        <v>84.578734558658624</v>
      </c>
      <c r="AB251" s="22">
        <f t="shared" si="67"/>
        <v>15.421265441341376</v>
      </c>
      <c r="AC251" s="22">
        <f t="shared" si="68"/>
        <v>1.0514354082555435</v>
      </c>
      <c r="AD251" s="22">
        <f t="shared" si="69"/>
        <v>0.16214464525133865</v>
      </c>
      <c r="AE251" s="24">
        <v>5.3647999999999998</v>
      </c>
      <c r="AF251" s="24">
        <v>6.0673000000000004</v>
      </c>
      <c r="AG251" s="24">
        <v>5.5063000000000004</v>
      </c>
      <c r="AH251" s="25">
        <f>AG251-AE251</f>
        <v>0.14150000000000063</v>
      </c>
      <c r="AI251" s="25">
        <v>79.857651245551537</v>
      </c>
      <c r="AJ251" s="26">
        <v>3.9928825622775772</v>
      </c>
      <c r="AK251" s="25">
        <v>39.928825622775769</v>
      </c>
      <c r="AL251" s="26">
        <v>3.9938967382921096</v>
      </c>
      <c r="AM251" s="17">
        <f t="shared" si="70"/>
        <v>0.5780346820809249</v>
      </c>
      <c r="AN251" s="17"/>
      <c r="AO251" s="27"/>
      <c r="AP251" s="17"/>
      <c r="AQ251" s="17"/>
      <c r="AR251" s="17"/>
      <c r="AS251" s="17"/>
      <c r="AT251" s="17"/>
      <c r="AU251" s="17"/>
      <c r="AV251" s="17"/>
      <c r="AW251" s="17"/>
      <c r="AX251" s="17"/>
      <c r="BB251" s="17"/>
    </row>
    <row r="252" spans="1:54" x14ac:dyDescent="0.2">
      <c r="A252" s="17" t="s">
        <v>41</v>
      </c>
      <c r="B252" s="18" t="s">
        <v>42</v>
      </c>
      <c r="C252" s="18" t="str">
        <f t="shared" si="62"/>
        <v>BI10.7</v>
      </c>
      <c r="D252" s="18" t="str">
        <f t="shared" si="63"/>
        <v>BI10.7_251</v>
      </c>
      <c r="E252" s="17">
        <v>7</v>
      </c>
      <c r="F252" s="19">
        <v>251</v>
      </c>
      <c r="G252" s="20">
        <v>1.85</v>
      </c>
      <c r="H252" s="20">
        <v>2.2000000000000002</v>
      </c>
      <c r="I252" s="20">
        <v>1.1000000000000001</v>
      </c>
      <c r="J252" s="20">
        <f t="shared" si="61"/>
        <v>3.5408896875000013</v>
      </c>
      <c r="K252" s="53">
        <v>0.1737499999999999</v>
      </c>
      <c r="L252" s="20">
        <f>O252-240</f>
        <v>0</v>
      </c>
      <c r="M252" s="20">
        <f t="shared" ref="M252:N267" si="78">P252-240</f>
        <v>1.0999999999999943</v>
      </c>
      <c r="N252" s="20">
        <f t="shared" si="78"/>
        <v>0.55000000000001137</v>
      </c>
      <c r="O252" s="20">
        <v>240</v>
      </c>
      <c r="P252" s="20">
        <f t="shared" si="77"/>
        <v>241.1</v>
      </c>
      <c r="Q252" s="20">
        <f t="shared" si="71"/>
        <v>240.55</v>
      </c>
      <c r="R252" s="20">
        <f>O252+2</f>
        <v>242</v>
      </c>
      <c r="S252" s="20">
        <f t="shared" si="75"/>
        <v>243.1</v>
      </c>
      <c r="T252" s="20">
        <f t="shared" si="76"/>
        <v>242.55</v>
      </c>
      <c r="U252" s="20">
        <v>242.55</v>
      </c>
      <c r="V252" s="22">
        <v>5.0295999999999985</v>
      </c>
      <c r="W252" s="22">
        <v>1.7672000000000001</v>
      </c>
      <c r="X252" s="23">
        <v>1.1476266666666668</v>
      </c>
      <c r="Y252" s="23">
        <f t="shared" si="64"/>
        <v>3.8819733333333319</v>
      </c>
      <c r="Z252" s="23">
        <f t="shared" si="65"/>
        <v>0.61957333333333331</v>
      </c>
      <c r="AA252" s="22">
        <f t="shared" si="66"/>
        <v>84.039732369791309</v>
      </c>
      <c r="AB252" s="22">
        <f t="shared" si="67"/>
        <v>15.960267630208691</v>
      </c>
      <c r="AC252" s="22">
        <f t="shared" si="68"/>
        <v>1.0963271030547546</v>
      </c>
      <c r="AD252" s="22">
        <f t="shared" si="69"/>
        <v>0.17497673975005273</v>
      </c>
      <c r="AE252" s="24">
        <v>5.0393999999999997</v>
      </c>
      <c r="AF252" s="24">
        <v>5.2953000000000001</v>
      </c>
      <c r="AG252" s="24">
        <v>5.0818000000000003</v>
      </c>
      <c r="AH252" s="25">
        <f>AG252-AE252</f>
        <v>4.2400000000000659E-2</v>
      </c>
      <c r="AI252" s="25">
        <v>83.431027745212745</v>
      </c>
      <c r="AJ252" s="26">
        <v>4.1715513872606378</v>
      </c>
      <c r="AK252" s="25">
        <v>41.715513872606373</v>
      </c>
      <c r="AL252" s="26">
        <v>4.1725221361373448</v>
      </c>
      <c r="AM252" s="17">
        <f t="shared" si="70"/>
        <v>0.5780346820809249</v>
      </c>
      <c r="AN252" s="28" t="s">
        <v>43</v>
      </c>
      <c r="AO252" s="27">
        <v>50</v>
      </c>
      <c r="AP252" s="17"/>
      <c r="AQ252" s="17"/>
      <c r="AR252" s="17"/>
      <c r="AS252" s="17"/>
      <c r="AT252" s="17"/>
      <c r="AU252" s="17"/>
      <c r="AV252" s="17"/>
      <c r="AW252" s="17"/>
      <c r="AX252" s="17"/>
      <c r="BB252" s="17"/>
    </row>
    <row r="253" spans="1:54" x14ac:dyDescent="0.2">
      <c r="A253" s="17" t="s">
        <v>41</v>
      </c>
      <c r="B253" s="18" t="s">
        <v>42</v>
      </c>
      <c r="C253" s="18" t="str">
        <f t="shared" si="62"/>
        <v>BI10.7</v>
      </c>
      <c r="D253" s="18" t="str">
        <f t="shared" si="63"/>
        <v>BI10.7_252</v>
      </c>
      <c r="E253" s="17">
        <v>7</v>
      </c>
      <c r="F253" s="19">
        <v>252</v>
      </c>
      <c r="G253" s="20">
        <v>2.2000000000000002</v>
      </c>
      <c r="H253" s="20">
        <v>2.5499999999999998</v>
      </c>
      <c r="I253" s="20">
        <v>1.1000000000000001</v>
      </c>
      <c r="J253" s="20">
        <f t="shared" si="61"/>
        <v>4.8706796875</v>
      </c>
      <c r="K253" s="53">
        <v>0.1737499999999999</v>
      </c>
      <c r="L253" s="20">
        <f t="shared" ref="L253:N292" si="79">O253-240</f>
        <v>1.3199999999999932</v>
      </c>
      <c r="M253" s="20">
        <f t="shared" si="78"/>
        <v>2.4199999999999875</v>
      </c>
      <c r="N253" s="20">
        <f t="shared" si="78"/>
        <v>1.8700000000000045</v>
      </c>
      <c r="O253" s="20">
        <f>P252+$AO$257</f>
        <v>241.32</v>
      </c>
      <c r="P253" s="20">
        <f t="shared" si="77"/>
        <v>242.42</v>
      </c>
      <c r="Q253" s="20">
        <f t="shared" si="71"/>
        <v>241.87</v>
      </c>
      <c r="R253" s="20">
        <f t="shared" ref="R253:R292" si="80">O253+2</f>
        <v>243.32</v>
      </c>
      <c r="S253" s="20">
        <f t="shared" si="75"/>
        <v>244.42</v>
      </c>
      <c r="T253" s="20">
        <f t="shared" si="76"/>
        <v>243.87</v>
      </c>
      <c r="U253" s="20">
        <v>243.87</v>
      </c>
      <c r="V253" s="22">
        <v>6.9811999999999976</v>
      </c>
      <c r="W253" s="22">
        <v>2.0314000000000001</v>
      </c>
      <c r="X253" s="23">
        <v>1.1476266666666668</v>
      </c>
      <c r="Y253" s="23">
        <f t="shared" si="64"/>
        <v>5.8335733333333311</v>
      </c>
      <c r="Z253" s="23">
        <f t="shared" si="65"/>
        <v>0.8837733333333333</v>
      </c>
      <c r="AA253" s="22">
        <f t="shared" si="66"/>
        <v>84.850223305098311</v>
      </c>
      <c r="AB253" s="22">
        <f t="shared" si="67"/>
        <v>15.149776694901689</v>
      </c>
      <c r="AC253" s="22">
        <f t="shared" si="68"/>
        <v>1.1976918433590447</v>
      </c>
      <c r="AD253" s="22">
        <f t="shared" si="69"/>
        <v>0.18144763976194714</v>
      </c>
      <c r="AE253" s="24">
        <v>5.4260999999999999</v>
      </c>
      <c r="AF253" s="24">
        <v>5.8647999999999998</v>
      </c>
      <c r="AG253" s="24">
        <v>5.5041000000000002</v>
      </c>
      <c r="AH253" s="25">
        <f>AG253-AE253</f>
        <v>7.8000000000000291E-2</v>
      </c>
      <c r="AI253" s="25">
        <v>82.220196033735974</v>
      </c>
      <c r="AJ253" s="26">
        <v>4.1110098016867989</v>
      </c>
      <c r="AK253" s="25">
        <v>41.110098016867987</v>
      </c>
      <c r="AL253" s="26">
        <v>4.1119948430858875</v>
      </c>
      <c r="AM253" s="17">
        <f t="shared" si="70"/>
        <v>0.5780346820809249</v>
      </c>
      <c r="AN253" s="28" t="s">
        <v>44</v>
      </c>
      <c r="AO253" s="27" t="s">
        <v>59</v>
      </c>
      <c r="AP253" s="17"/>
      <c r="AQ253" s="17"/>
      <c r="AR253" s="17"/>
      <c r="AS253" s="17"/>
      <c r="AT253" s="17"/>
      <c r="AU253" s="17"/>
      <c r="AV253" s="17"/>
      <c r="AW253" s="17"/>
      <c r="AX253" s="17"/>
      <c r="BB253" s="17"/>
    </row>
    <row r="254" spans="1:54" x14ac:dyDescent="0.2">
      <c r="A254" s="17" t="s">
        <v>41</v>
      </c>
      <c r="B254" s="18" t="s">
        <v>42</v>
      </c>
      <c r="C254" s="18" t="str">
        <f t="shared" si="62"/>
        <v>BI10.7</v>
      </c>
      <c r="D254" s="18" t="str">
        <f t="shared" si="63"/>
        <v>BI10.7_253</v>
      </c>
      <c r="E254" s="17">
        <v>7</v>
      </c>
      <c r="F254" s="19">
        <v>253</v>
      </c>
      <c r="G254" s="20">
        <v>2.25</v>
      </c>
      <c r="H254" s="20">
        <v>2.6</v>
      </c>
      <c r="I254" s="20">
        <v>1.2</v>
      </c>
      <c r="J254" s="20">
        <f t="shared" si="61"/>
        <v>5.5395487499999989</v>
      </c>
      <c r="K254" s="53">
        <v>0.21999999999999975</v>
      </c>
      <c r="L254" s="20">
        <f t="shared" si="79"/>
        <v>2.6399999999999864</v>
      </c>
      <c r="M254" s="20">
        <f t="shared" si="78"/>
        <v>3.839999999999975</v>
      </c>
      <c r="N254" s="20">
        <f t="shared" si="78"/>
        <v>3.2399999999999807</v>
      </c>
      <c r="O254" s="20">
        <f>P253+$AO$257</f>
        <v>242.64</v>
      </c>
      <c r="P254" s="20">
        <f t="shared" si="77"/>
        <v>243.83999999999997</v>
      </c>
      <c r="Q254" s="20">
        <f t="shared" si="71"/>
        <v>243.23999999999998</v>
      </c>
      <c r="R254" s="20">
        <f t="shared" si="80"/>
        <v>244.64</v>
      </c>
      <c r="S254" s="20">
        <f t="shared" si="75"/>
        <v>245.83999999999997</v>
      </c>
      <c r="T254" s="20">
        <f t="shared" si="76"/>
        <v>245.23999999999998</v>
      </c>
      <c r="U254" s="20">
        <v>245.23999999999998</v>
      </c>
      <c r="V254" s="22">
        <v>7.3368000000000002</v>
      </c>
      <c r="W254" s="22">
        <v>2.0192999999999999</v>
      </c>
      <c r="X254" s="23">
        <v>1.1476266666666668</v>
      </c>
      <c r="Y254" s="23">
        <f t="shared" si="64"/>
        <v>6.1891733333333336</v>
      </c>
      <c r="Z254" s="23">
        <f t="shared" si="65"/>
        <v>0.87167333333333308</v>
      </c>
      <c r="AA254" s="22">
        <f t="shared" si="66"/>
        <v>85.916158970072473</v>
      </c>
      <c r="AB254" s="22">
        <f t="shared" si="67"/>
        <v>14.083841029927527</v>
      </c>
      <c r="AC254" s="22">
        <f t="shared" si="68"/>
        <v>1.1172703071406918</v>
      </c>
      <c r="AD254" s="22">
        <f t="shared" si="69"/>
        <v>0.157354573932278</v>
      </c>
      <c r="AE254" s="24">
        <v>5.4169</v>
      </c>
      <c r="AF254" s="24">
        <v>5.9485000000000001</v>
      </c>
      <c r="AG254" s="24">
        <v>5.5105000000000004</v>
      </c>
      <c r="AH254" s="25">
        <f>AG254-AE254</f>
        <v>9.360000000000035E-2</v>
      </c>
      <c r="AI254" s="25">
        <v>82.392776523701968</v>
      </c>
      <c r="AJ254" s="26">
        <v>4.1196388261850982</v>
      </c>
      <c r="AK254" s="25">
        <v>41.196388261850984</v>
      </c>
      <c r="AL254" s="26">
        <v>4.1206218048022478</v>
      </c>
      <c r="AM254" s="17">
        <f t="shared" si="70"/>
        <v>0.5780346820809249</v>
      </c>
      <c r="AN254" s="28" t="s">
        <v>46</v>
      </c>
      <c r="AO254" s="29">
        <f>SUM(I252:I292)</f>
        <v>41.20000000000001</v>
      </c>
      <c r="AP254" s="17"/>
      <c r="AQ254" s="17"/>
      <c r="AR254" s="17"/>
      <c r="AS254" s="17"/>
      <c r="AT254" s="17"/>
      <c r="AU254" s="17"/>
      <c r="AV254" s="17"/>
      <c r="AW254" s="17"/>
      <c r="AX254" s="17"/>
      <c r="BB254" s="17"/>
    </row>
    <row r="255" spans="1:54" x14ac:dyDescent="0.2">
      <c r="A255" s="17" t="s">
        <v>41</v>
      </c>
      <c r="B255" s="18" t="s">
        <v>42</v>
      </c>
      <c r="C255" s="18" t="str">
        <f t="shared" si="62"/>
        <v>BI10.7</v>
      </c>
      <c r="D255" s="18" t="str">
        <f t="shared" si="63"/>
        <v>BI10.7_254</v>
      </c>
      <c r="E255" s="17">
        <v>7</v>
      </c>
      <c r="F255" s="19">
        <v>254</v>
      </c>
      <c r="G255" s="20">
        <v>2.25</v>
      </c>
      <c r="H255" s="20">
        <v>2.5</v>
      </c>
      <c r="I255" s="20">
        <v>1.2</v>
      </c>
      <c r="J255" s="20">
        <f t="shared" si="61"/>
        <v>5.3134687500000002</v>
      </c>
      <c r="K255" s="53">
        <v>0.21999999999999975</v>
      </c>
      <c r="L255" s="20">
        <f t="shared" si="79"/>
        <v>4.0599999999999739</v>
      </c>
      <c r="M255" s="20">
        <f t="shared" si="78"/>
        <v>5.2599999999999625</v>
      </c>
      <c r="N255" s="20">
        <f t="shared" si="78"/>
        <v>4.6599999999999682</v>
      </c>
      <c r="O255" s="20">
        <f>P254+$AO$257</f>
        <v>244.05999999999997</v>
      </c>
      <c r="P255" s="20">
        <f t="shared" si="77"/>
        <v>245.25999999999996</v>
      </c>
      <c r="Q255" s="20">
        <f t="shared" si="71"/>
        <v>244.65999999999997</v>
      </c>
      <c r="R255" s="20">
        <f t="shared" si="80"/>
        <v>246.05999999999997</v>
      </c>
      <c r="S255" s="20">
        <f t="shared" si="75"/>
        <v>247.25999999999996</v>
      </c>
      <c r="T255" s="20">
        <f t="shared" si="76"/>
        <v>246.65999999999997</v>
      </c>
      <c r="U255" s="20">
        <v>246.65999999999997</v>
      </c>
      <c r="V255" s="22">
        <v>7.3020999999999994</v>
      </c>
      <c r="W255" s="22">
        <v>2.0099</v>
      </c>
      <c r="X255" s="23">
        <v>1.1476266666666668</v>
      </c>
      <c r="Y255" s="23">
        <f t="shared" si="64"/>
        <v>6.1544733333333328</v>
      </c>
      <c r="Z255" s="23">
        <f t="shared" si="65"/>
        <v>0.86227333333333323</v>
      </c>
      <c r="AA255" s="22">
        <f t="shared" si="66"/>
        <v>85.989486238194218</v>
      </c>
      <c r="AB255" s="22">
        <f t="shared" si="67"/>
        <v>14.010513761805782</v>
      </c>
      <c r="AC255" s="22">
        <f t="shared" si="68"/>
        <v>1.1582778826606128</v>
      </c>
      <c r="AD255" s="22">
        <f t="shared" si="69"/>
        <v>0.16228068215011771</v>
      </c>
      <c r="AE255" s="24">
        <v>5.2687999999999997</v>
      </c>
      <c r="AF255" s="24">
        <v>5.8013000000000003</v>
      </c>
      <c r="AG255" s="24">
        <v>5.3524000000000003</v>
      </c>
      <c r="AH255" s="25">
        <f>AG255-AE255</f>
        <v>8.3600000000000563E-2</v>
      </c>
      <c r="AI255" s="25">
        <v>84.30046948356798</v>
      </c>
      <c r="AJ255" s="26">
        <v>4.2150234741783992</v>
      </c>
      <c r="AK255" s="25">
        <v>42.15023474178399</v>
      </c>
      <c r="AL255" s="26">
        <v>4.215984213428098</v>
      </c>
      <c r="AM255" s="17">
        <f t="shared" si="70"/>
        <v>0.5780346820809249</v>
      </c>
      <c r="AN255" s="28" t="s">
        <v>47</v>
      </c>
      <c r="AO255" s="29">
        <f>AO252-AO254</f>
        <v>8.7999999999999901</v>
      </c>
      <c r="AP255" s="17"/>
      <c r="AQ255" s="17"/>
      <c r="AR255" s="17"/>
      <c r="AS255" s="17"/>
      <c r="AT255" s="17"/>
      <c r="AU255" s="17"/>
      <c r="AV255" s="17"/>
      <c r="AW255" s="17"/>
      <c r="AX255" s="17"/>
      <c r="BB255" s="17"/>
    </row>
    <row r="256" spans="1:54" x14ac:dyDescent="0.2">
      <c r="A256" s="17" t="s">
        <v>41</v>
      </c>
      <c r="B256" s="18" t="s">
        <v>42</v>
      </c>
      <c r="C256" s="18" t="str">
        <f t="shared" si="62"/>
        <v>BI10.7</v>
      </c>
      <c r="D256" s="18" t="str">
        <f t="shared" si="63"/>
        <v>BI10.7_255</v>
      </c>
      <c r="E256" s="17">
        <v>7</v>
      </c>
      <c r="F256" s="19">
        <v>255</v>
      </c>
      <c r="G256" s="20">
        <v>2.4</v>
      </c>
      <c r="H256" s="20">
        <v>2.7</v>
      </c>
      <c r="I256" s="20">
        <v>1.2</v>
      </c>
      <c r="J256" s="20">
        <f t="shared" si="61"/>
        <v>6.125354999999999</v>
      </c>
      <c r="K256" s="53">
        <v>0.21999999999999975</v>
      </c>
      <c r="L256" s="20">
        <f t="shared" si="79"/>
        <v>5.4799999999999613</v>
      </c>
      <c r="M256" s="20">
        <f t="shared" si="78"/>
        <v>6.67999999999995</v>
      </c>
      <c r="N256" s="20">
        <f t="shared" si="78"/>
        <v>6.0799999999999557</v>
      </c>
      <c r="O256" s="20">
        <f>P255+$AO$257</f>
        <v>245.47999999999996</v>
      </c>
      <c r="P256" s="20">
        <f t="shared" si="77"/>
        <v>246.67999999999995</v>
      </c>
      <c r="Q256" s="20">
        <f t="shared" si="71"/>
        <v>246.07999999999996</v>
      </c>
      <c r="R256" s="20">
        <f t="shared" si="80"/>
        <v>247.47999999999996</v>
      </c>
      <c r="S256" s="20">
        <f t="shared" si="75"/>
        <v>248.67999999999995</v>
      </c>
      <c r="T256" s="20">
        <f t="shared" si="76"/>
        <v>248.07999999999996</v>
      </c>
      <c r="U256" s="20">
        <v>248.07999999999996</v>
      </c>
      <c r="V256" s="22">
        <v>8.621299999999998</v>
      </c>
      <c r="W256" s="22">
        <v>2.1705999999999999</v>
      </c>
      <c r="X256" s="23">
        <v>1.1476266666666668</v>
      </c>
      <c r="Y256" s="23">
        <f t="shared" si="64"/>
        <v>7.4736733333333314</v>
      </c>
      <c r="Z256" s="23">
        <f t="shared" si="65"/>
        <v>1.0229733333333331</v>
      </c>
      <c r="AA256" s="22">
        <f t="shared" si="66"/>
        <v>86.312308717444623</v>
      </c>
      <c r="AB256" s="22">
        <f t="shared" si="67"/>
        <v>13.687691282555377</v>
      </c>
      <c r="AC256" s="22">
        <f t="shared" si="68"/>
        <v>1.2201208474175509</v>
      </c>
      <c r="AD256" s="22">
        <f t="shared" si="69"/>
        <v>0.16700637486861303</v>
      </c>
      <c r="AE256" s="24">
        <v>5.7305000000000001</v>
      </c>
      <c r="AF256" s="24">
        <v>6.1284000000000001</v>
      </c>
      <c r="AG256" s="24">
        <v>5.7899000000000003</v>
      </c>
      <c r="AH256" s="25">
        <f>AG256-AE256</f>
        <v>5.9400000000000119E-2</v>
      </c>
      <c r="AI256" s="25">
        <v>85.071626036692606</v>
      </c>
      <c r="AJ256" s="26">
        <v>4.2535813018346307</v>
      </c>
      <c r="AK256" s="25">
        <v>42.535813018346303</v>
      </c>
      <c r="AL256" s="26">
        <v>4.2545333341410299</v>
      </c>
      <c r="AM256" s="17">
        <f t="shared" si="70"/>
        <v>0.5780346820809249</v>
      </c>
      <c r="AN256" s="28" t="s">
        <v>48</v>
      </c>
      <c r="AO256" s="27">
        <v>40</v>
      </c>
      <c r="AP256" s="17"/>
      <c r="AQ256" s="17"/>
      <c r="AR256" s="17"/>
      <c r="AS256" s="17"/>
      <c r="AT256" s="17"/>
      <c r="AU256" s="17"/>
      <c r="AV256" s="17"/>
      <c r="AW256" s="17"/>
      <c r="AX256" s="17"/>
      <c r="BB256" s="17"/>
    </row>
    <row r="257" spans="1:54" x14ac:dyDescent="0.2">
      <c r="A257" s="17" t="s">
        <v>41</v>
      </c>
      <c r="B257" s="18" t="s">
        <v>42</v>
      </c>
      <c r="C257" s="18" t="str">
        <f t="shared" si="62"/>
        <v>BI10.7</v>
      </c>
      <c r="D257" s="18" t="str">
        <f t="shared" si="63"/>
        <v>BI10.7_256</v>
      </c>
      <c r="E257" s="17">
        <v>7</v>
      </c>
      <c r="F257" s="19">
        <v>256</v>
      </c>
      <c r="G257" s="20">
        <v>2.6</v>
      </c>
      <c r="H257" s="20">
        <v>2.7</v>
      </c>
      <c r="I257" s="20">
        <v>1.05</v>
      </c>
      <c r="J257" s="20">
        <f t="shared" si="61"/>
        <v>5.7882956250000017</v>
      </c>
      <c r="K257" s="53">
        <v>0.21999999999999975</v>
      </c>
      <c r="L257" s="20">
        <f t="shared" si="79"/>
        <v>6.8999999999999488</v>
      </c>
      <c r="M257" s="20">
        <f t="shared" si="78"/>
        <v>7.9499999999999602</v>
      </c>
      <c r="N257" s="20">
        <f t="shared" si="78"/>
        <v>7.4249999999999545</v>
      </c>
      <c r="O257" s="20">
        <f>P256+$AO$257</f>
        <v>246.89999999999995</v>
      </c>
      <c r="P257" s="20">
        <f t="shared" si="77"/>
        <v>247.94999999999996</v>
      </c>
      <c r="Q257" s="20">
        <f t="shared" si="71"/>
        <v>247.42499999999995</v>
      </c>
      <c r="R257" s="20">
        <f t="shared" si="80"/>
        <v>248.89999999999995</v>
      </c>
      <c r="S257" s="20">
        <f t="shared" si="75"/>
        <v>249.94999999999996</v>
      </c>
      <c r="T257" s="20">
        <f t="shared" si="76"/>
        <v>249.42499999999995</v>
      </c>
      <c r="U257" s="20">
        <v>249.42499999999995</v>
      </c>
      <c r="V257" s="22">
        <v>7.3117999999999981</v>
      </c>
      <c r="W257" s="22">
        <v>2.0156999999999998</v>
      </c>
      <c r="X257" s="23">
        <v>1.1476266666666668</v>
      </c>
      <c r="Y257" s="23">
        <f t="shared" si="64"/>
        <v>6.1641733333333315</v>
      </c>
      <c r="Z257" s="23">
        <f t="shared" si="65"/>
        <v>0.86807333333333303</v>
      </c>
      <c r="AA257" s="22">
        <f t="shared" si="66"/>
        <v>85.917441214069257</v>
      </c>
      <c r="AB257" s="22">
        <f t="shared" si="67"/>
        <v>14.082558785930743</v>
      </c>
      <c r="AC257" s="22">
        <f t="shared" si="68"/>
        <v>1.0649375451229359</v>
      </c>
      <c r="AD257" s="22">
        <f t="shared" si="69"/>
        <v>0.14997045582538518</v>
      </c>
      <c r="AE257" s="24">
        <v>5.3700999999999999</v>
      </c>
      <c r="AF257" s="24">
        <v>5.8005000000000004</v>
      </c>
      <c r="AG257" s="24">
        <v>5.4257</v>
      </c>
      <c r="AH257" s="25">
        <f>AG257-AE257</f>
        <v>5.5600000000000094E-2</v>
      </c>
      <c r="AI257" s="25">
        <v>87.081784386617102</v>
      </c>
      <c r="AJ257" s="26">
        <v>4.3540892193308549</v>
      </c>
      <c r="AK257" s="25">
        <v>43.540892193308551</v>
      </c>
      <c r="AL257" s="26">
        <v>4.3550192800828302</v>
      </c>
      <c r="AM257" s="17">
        <f t="shared" si="70"/>
        <v>0.5780346820809249</v>
      </c>
      <c r="AN257" s="28" t="s">
        <v>49</v>
      </c>
      <c r="AO257" s="30">
        <f>AO255/AO256</f>
        <v>0.21999999999999975</v>
      </c>
      <c r="AP257" s="17"/>
      <c r="AQ257" s="17"/>
      <c r="AR257" s="17"/>
      <c r="AS257" s="17"/>
      <c r="AT257" s="17"/>
      <c r="AU257" s="17"/>
      <c r="AV257" s="17"/>
      <c r="AW257" s="17"/>
      <c r="AX257" s="17"/>
      <c r="BB257" s="17"/>
    </row>
    <row r="258" spans="1:54" x14ac:dyDescent="0.2">
      <c r="A258" s="17" t="s">
        <v>41</v>
      </c>
      <c r="B258" s="18" t="s">
        <v>42</v>
      </c>
      <c r="C258" s="18" t="str">
        <f t="shared" si="62"/>
        <v>BI10.7</v>
      </c>
      <c r="D258" s="18" t="str">
        <f t="shared" si="63"/>
        <v>BI10.7_257</v>
      </c>
      <c r="E258" s="17">
        <v>7</v>
      </c>
      <c r="F258" s="19">
        <v>257</v>
      </c>
      <c r="G258" s="20">
        <v>2.5499999999999998</v>
      </c>
      <c r="H258" s="20">
        <v>2.6</v>
      </c>
      <c r="I258" s="20">
        <v>1</v>
      </c>
      <c r="J258" s="20">
        <f t="shared" ref="J258:J321" si="81">(AVERAGE(G258:H258)*(AVERAGE(G258:H258)*3.14/4*I258))</f>
        <v>5.2050406250000014</v>
      </c>
      <c r="K258" s="53">
        <v>0.21999999999999975</v>
      </c>
      <c r="L258" s="20">
        <f t="shared" si="79"/>
        <v>8.1699999999999591</v>
      </c>
      <c r="M258" s="20">
        <f t="shared" si="78"/>
        <v>9.1699999999999591</v>
      </c>
      <c r="N258" s="20">
        <f t="shared" si="78"/>
        <v>8.6699999999999591</v>
      </c>
      <c r="O258" s="20">
        <f>P257+$AO$257</f>
        <v>248.16999999999996</v>
      </c>
      <c r="P258" s="20">
        <f t="shared" si="77"/>
        <v>249.16999999999996</v>
      </c>
      <c r="Q258" s="20">
        <f t="shared" si="71"/>
        <v>248.66999999999996</v>
      </c>
      <c r="R258" s="20">
        <f t="shared" si="80"/>
        <v>250.16999999999996</v>
      </c>
      <c r="S258" s="20">
        <f t="shared" si="75"/>
        <v>251.16999999999996</v>
      </c>
      <c r="T258" s="20">
        <f t="shared" si="76"/>
        <v>250.66999999999996</v>
      </c>
      <c r="U258" s="20">
        <v>250.66999999999996</v>
      </c>
      <c r="V258" s="22">
        <v>7.0162999999999975</v>
      </c>
      <c r="W258" s="22">
        <v>1.9955000000000001</v>
      </c>
      <c r="X258" s="23">
        <v>1.1476266666666668</v>
      </c>
      <c r="Y258" s="23">
        <f t="shared" si="64"/>
        <v>5.868673333333331</v>
      </c>
      <c r="Z258" s="23">
        <f t="shared" si="65"/>
        <v>0.84787333333333326</v>
      </c>
      <c r="AA258" s="22">
        <f t="shared" si="66"/>
        <v>85.552555319146521</v>
      </c>
      <c r="AB258" s="22">
        <f t="shared" si="67"/>
        <v>14.447444680853479</v>
      </c>
      <c r="AC258" s="22">
        <f t="shared" si="68"/>
        <v>1.1274980842888866</v>
      </c>
      <c r="AD258" s="22">
        <f t="shared" si="69"/>
        <v>0.16289466200531971</v>
      </c>
      <c r="AE258" s="24">
        <v>5.3872999999999998</v>
      </c>
      <c r="AF258" s="24">
        <v>5.7748999999999997</v>
      </c>
      <c r="AG258" s="24">
        <v>5.4355000000000002</v>
      </c>
      <c r="AH258" s="25">
        <f>AG258-AE258</f>
        <v>4.8200000000000465E-2</v>
      </c>
      <c r="AI258" s="25">
        <v>87.564499484004017</v>
      </c>
      <c r="AJ258" s="26">
        <v>4.3782249742002008</v>
      </c>
      <c r="AK258" s="25">
        <v>43.782249742002008</v>
      </c>
      <c r="AL258" s="26">
        <v>4.3791499089104438</v>
      </c>
      <c r="AM258" s="17">
        <f t="shared" si="70"/>
        <v>0.5780346820809249</v>
      </c>
      <c r="AN258" s="17"/>
      <c r="AO258" s="27"/>
      <c r="AP258" s="17"/>
      <c r="AQ258" s="17"/>
      <c r="AR258" s="17"/>
      <c r="AS258" s="17"/>
      <c r="AT258" s="17"/>
      <c r="AU258" s="17"/>
      <c r="AV258" s="17"/>
      <c r="AW258" s="17"/>
      <c r="AX258" s="17"/>
      <c r="BB258" s="17"/>
    </row>
    <row r="259" spans="1:54" x14ac:dyDescent="0.2">
      <c r="A259" s="17" t="s">
        <v>41</v>
      </c>
      <c r="B259" s="18" t="s">
        <v>42</v>
      </c>
      <c r="C259" s="18" t="str">
        <f t="shared" ref="C259:C322" si="82">B259&amp;"."&amp;E259</f>
        <v>BI10.7</v>
      </c>
      <c r="D259" s="18" t="str">
        <f t="shared" ref="D259:D322" si="83">C259&amp;"_"&amp;F259</f>
        <v>BI10.7_258</v>
      </c>
      <c r="E259" s="17">
        <v>7</v>
      </c>
      <c r="F259" s="19">
        <v>258</v>
      </c>
      <c r="G259" s="20">
        <v>2.75</v>
      </c>
      <c r="H259" s="20">
        <v>2.6</v>
      </c>
      <c r="I259" s="20">
        <v>1.05</v>
      </c>
      <c r="J259" s="20">
        <f t="shared" si="81"/>
        <v>5.8980239062499997</v>
      </c>
      <c r="K259" s="53">
        <v>0.21999999999999975</v>
      </c>
      <c r="L259" s="20">
        <f t="shared" si="79"/>
        <v>9.3899999999999579</v>
      </c>
      <c r="M259" s="20">
        <f t="shared" si="78"/>
        <v>10.439999999999969</v>
      </c>
      <c r="N259" s="20">
        <f t="shared" si="78"/>
        <v>9.9149999999999636</v>
      </c>
      <c r="O259" s="20">
        <f>P258+$AO$257</f>
        <v>249.38999999999996</v>
      </c>
      <c r="P259" s="20">
        <f t="shared" si="77"/>
        <v>250.43999999999997</v>
      </c>
      <c r="Q259" s="20">
        <f t="shared" si="71"/>
        <v>249.91499999999996</v>
      </c>
      <c r="R259" s="20">
        <f t="shared" si="80"/>
        <v>251.38999999999996</v>
      </c>
      <c r="S259" s="20">
        <f t="shared" si="75"/>
        <v>252.43999999999997</v>
      </c>
      <c r="T259" s="20">
        <f t="shared" si="76"/>
        <v>251.91499999999996</v>
      </c>
      <c r="U259" s="20">
        <v>251.91499999999996</v>
      </c>
      <c r="V259" s="22">
        <v>7.2034999999999982</v>
      </c>
      <c r="W259" s="22">
        <v>2.0200999999999998</v>
      </c>
      <c r="X259" s="23">
        <v>1.1476266666666668</v>
      </c>
      <c r="Y259" s="23">
        <f t="shared" ref="Y259:Y322" si="84">V259-X259</f>
        <v>6.0558733333333317</v>
      </c>
      <c r="Z259" s="23">
        <f t="shared" ref="Z259:Z322" si="85">W259-X259</f>
        <v>0.87247333333333299</v>
      </c>
      <c r="AA259" s="22">
        <f t="shared" ref="AA259:AA322" si="86">((Y259-Z259)/Y259)*100</f>
        <v>85.592939526476229</v>
      </c>
      <c r="AB259" s="22">
        <f t="shared" ref="AB259:AB322" si="87">100-AA259</f>
        <v>14.407060473523771</v>
      </c>
      <c r="AC259" s="22">
        <f t="shared" ref="AC259:AC322" si="88">(V259-X259)/J259</f>
        <v>1.0267631039806506</v>
      </c>
      <c r="AD259" s="22">
        <f t="shared" ref="AD259:AD322" si="89">(W259-X259)/J259</f>
        <v>0.14792638131032212</v>
      </c>
      <c r="AE259" s="24">
        <v>5.2881999999999998</v>
      </c>
      <c r="AF259" s="24">
        <v>5.6851000000000003</v>
      </c>
      <c r="AG259" s="24">
        <v>5.3399000000000001</v>
      </c>
      <c r="AH259" s="25">
        <f>AG259-AE259</f>
        <v>5.1700000000000301E-2</v>
      </c>
      <c r="AI259" s="25">
        <v>86.974048878810734</v>
      </c>
      <c r="AJ259" s="26">
        <v>4.3487024439405371</v>
      </c>
      <c r="AK259" s="25">
        <v>43.487024439405367</v>
      </c>
      <c r="AL259" s="26">
        <v>4.3496336565203277</v>
      </c>
      <c r="AM259" s="17">
        <f t="shared" ref="AM259:AM322" si="90">1/1.73</f>
        <v>0.5780346820809249</v>
      </c>
      <c r="AN259" s="17"/>
      <c r="AO259" s="27"/>
      <c r="AP259" s="17"/>
      <c r="AQ259" s="17"/>
      <c r="AR259" s="17"/>
      <c r="AS259" s="17"/>
      <c r="AT259" s="17"/>
      <c r="AU259" s="17"/>
      <c r="AV259" s="17"/>
      <c r="AW259" s="17"/>
      <c r="AX259" s="17"/>
      <c r="BB259" s="17"/>
    </row>
    <row r="260" spans="1:54" x14ac:dyDescent="0.2">
      <c r="A260" s="17" t="s">
        <v>41</v>
      </c>
      <c r="B260" s="18" t="s">
        <v>42</v>
      </c>
      <c r="C260" s="18" t="str">
        <f t="shared" si="82"/>
        <v>BI10.7</v>
      </c>
      <c r="D260" s="18" t="str">
        <f t="shared" si="83"/>
        <v>BI10.7_259</v>
      </c>
      <c r="E260" s="17">
        <v>7</v>
      </c>
      <c r="F260" s="19">
        <v>259</v>
      </c>
      <c r="G260" s="20">
        <v>2.5</v>
      </c>
      <c r="H260" s="20">
        <v>2.5</v>
      </c>
      <c r="I260" s="20">
        <v>1</v>
      </c>
      <c r="J260" s="20">
        <f t="shared" si="81"/>
        <v>4.90625</v>
      </c>
      <c r="K260" s="53">
        <v>0.21999999999999975</v>
      </c>
      <c r="L260" s="20">
        <f t="shared" si="79"/>
        <v>10.659999999999968</v>
      </c>
      <c r="M260" s="20">
        <f t="shared" si="78"/>
        <v>11.659999999999968</v>
      </c>
      <c r="N260" s="20">
        <f t="shared" si="78"/>
        <v>11.159999999999968</v>
      </c>
      <c r="O260" s="20">
        <f>P259+$AO$257</f>
        <v>250.65999999999997</v>
      </c>
      <c r="P260" s="20">
        <f t="shared" si="77"/>
        <v>251.65999999999997</v>
      </c>
      <c r="Q260" s="20">
        <f t="shared" ref="Q260:Q323" si="91">O260+((P260-O260)/2)</f>
        <v>251.15999999999997</v>
      </c>
      <c r="R260" s="20">
        <f t="shared" si="80"/>
        <v>252.65999999999997</v>
      </c>
      <c r="S260" s="20">
        <f t="shared" si="75"/>
        <v>253.65999999999997</v>
      </c>
      <c r="T260" s="20">
        <f t="shared" si="76"/>
        <v>253.15999999999997</v>
      </c>
      <c r="U260" s="20">
        <v>253.15999999999997</v>
      </c>
      <c r="V260" s="22">
        <v>6.754999999999999</v>
      </c>
      <c r="W260" s="22">
        <v>2.0196999999999998</v>
      </c>
      <c r="X260" s="23">
        <v>1.1476266666666668</v>
      </c>
      <c r="Y260" s="23">
        <f t="shared" si="84"/>
        <v>5.6073733333333324</v>
      </c>
      <c r="Z260" s="23">
        <f t="shared" si="85"/>
        <v>0.87207333333333303</v>
      </c>
      <c r="AA260" s="22">
        <f t="shared" si="86"/>
        <v>84.447739048348254</v>
      </c>
      <c r="AB260" s="22">
        <f t="shared" si="87"/>
        <v>15.552260951651746</v>
      </c>
      <c r="AC260" s="22">
        <f t="shared" si="88"/>
        <v>1.1429041188959659</v>
      </c>
      <c r="AD260" s="22">
        <f t="shared" si="89"/>
        <v>0.17774743099787679</v>
      </c>
      <c r="AE260" s="24">
        <v>5.5125999999999999</v>
      </c>
      <c r="AF260" s="24">
        <v>5.9907000000000004</v>
      </c>
      <c r="AG260" s="24">
        <v>5.5791000000000004</v>
      </c>
      <c r="AH260" s="25">
        <f>AG260-AE260</f>
        <v>6.6500000000000448E-2</v>
      </c>
      <c r="AI260" s="25">
        <v>86.090775988286879</v>
      </c>
      <c r="AJ260" s="26">
        <v>4.3045387994143445</v>
      </c>
      <c r="AK260" s="25">
        <v>43.045387994143439</v>
      </c>
      <c r="AL260" s="26">
        <v>4.305479563958408</v>
      </c>
      <c r="AM260" s="17">
        <f t="shared" si="90"/>
        <v>0.5780346820809249</v>
      </c>
      <c r="AN260" s="17"/>
      <c r="AO260" s="27"/>
      <c r="AP260" s="17"/>
      <c r="AQ260" s="17"/>
      <c r="AR260" s="17"/>
      <c r="AS260" s="17"/>
      <c r="AT260" s="17"/>
      <c r="AU260" s="17"/>
      <c r="AV260" s="17"/>
      <c r="AW260" s="17"/>
      <c r="AX260" s="17"/>
      <c r="BB260" s="17"/>
    </row>
    <row r="261" spans="1:54" x14ac:dyDescent="0.2">
      <c r="A261" s="17" t="s">
        <v>41</v>
      </c>
      <c r="B261" s="18" t="s">
        <v>42</v>
      </c>
      <c r="C261" s="18" t="str">
        <f t="shared" si="82"/>
        <v>BI10.7</v>
      </c>
      <c r="D261" s="18" t="str">
        <f t="shared" si="83"/>
        <v>BI10.7_260</v>
      </c>
      <c r="E261" s="17">
        <v>7</v>
      </c>
      <c r="F261" s="19">
        <v>260</v>
      </c>
      <c r="G261" s="20">
        <v>2.65</v>
      </c>
      <c r="H261" s="20">
        <v>2.6</v>
      </c>
      <c r="I261" s="20">
        <v>1</v>
      </c>
      <c r="J261" s="20">
        <f t="shared" si="81"/>
        <v>5.409140625</v>
      </c>
      <c r="K261" s="53">
        <v>0.21999999999999975</v>
      </c>
      <c r="L261" s="20">
        <f t="shared" si="79"/>
        <v>11.879999999999967</v>
      </c>
      <c r="M261" s="20">
        <f t="shared" si="78"/>
        <v>12.879999999999967</v>
      </c>
      <c r="N261" s="20">
        <f t="shared" si="78"/>
        <v>12.379999999999967</v>
      </c>
      <c r="O261" s="20">
        <f>P260+$AO$257</f>
        <v>251.87999999999997</v>
      </c>
      <c r="P261" s="20">
        <f t="shared" si="77"/>
        <v>252.87999999999997</v>
      </c>
      <c r="Q261" s="20">
        <f t="shared" si="91"/>
        <v>252.37999999999997</v>
      </c>
      <c r="R261" s="20">
        <f t="shared" si="80"/>
        <v>253.87999999999997</v>
      </c>
      <c r="S261" s="20">
        <f t="shared" si="75"/>
        <v>254.87999999999997</v>
      </c>
      <c r="T261" s="20">
        <f t="shared" si="76"/>
        <v>254.37999999999997</v>
      </c>
      <c r="U261" s="20">
        <v>254.37999999999997</v>
      </c>
      <c r="V261" s="22">
        <v>7.0133999999999972</v>
      </c>
      <c r="W261" s="22">
        <v>2.1747000000000001</v>
      </c>
      <c r="X261" s="23">
        <v>1.1476266666666668</v>
      </c>
      <c r="Y261" s="23">
        <f t="shared" si="84"/>
        <v>5.8657733333333306</v>
      </c>
      <c r="Z261" s="23">
        <f t="shared" si="85"/>
        <v>1.0270733333333333</v>
      </c>
      <c r="AA261" s="22">
        <f t="shared" si="86"/>
        <v>82.490401947569282</v>
      </c>
      <c r="AB261" s="22">
        <f t="shared" si="87"/>
        <v>17.509598052430718</v>
      </c>
      <c r="AC261" s="22">
        <f t="shared" si="88"/>
        <v>1.0844187163895984</v>
      </c>
      <c r="AD261" s="22">
        <f t="shared" si="89"/>
        <v>0.18987735844514733</v>
      </c>
      <c r="AE261" s="24">
        <v>5.5510999999999999</v>
      </c>
      <c r="AF261" s="24">
        <v>6.0246000000000004</v>
      </c>
      <c r="AG261" s="24">
        <v>5.6260000000000003</v>
      </c>
      <c r="AH261" s="25">
        <f>AG261-AE261</f>
        <v>7.4900000000000411E-2</v>
      </c>
      <c r="AI261" s="25">
        <v>84.181626187961911</v>
      </c>
      <c r="AJ261" s="26">
        <v>4.2090813093980959</v>
      </c>
      <c r="AK261" s="25">
        <v>42.090813093980955</v>
      </c>
      <c r="AL261" s="26">
        <v>4.2100434046603832</v>
      </c>
      <c r="AM261" s="17">
        <f t="shared" si="90"/>
        <v>0.5780346820809249</v>
      </c>
      <c r="AN261" s="17"/>
      <c r="AO261" s="27"/>
      <c r="AP261" s="17"/>
      <c r="AQ261" s="17"/>
      <c r="AR261" s="17"/>
      <c r="AS261" s="17"/>
      <c r="AT261" s="17"/>
      <c r="AU261" s="17"/>
      <c r="AV261" s="17"/>
      <c r="AW261" s="17"/>
      <c r="AX261" s="17"/>
      <c r="BB261" s="17"/>
    </row>
    <row r="262" spans="1:54" x14ac:dyDescent="0.2">
      <c r="A262" s="17" t="s">
        <v>41</v>
      </c>
      <c r="B262" s="18" t="s">
        <v>42</v>
      </c>
      <c r="C262" s="18" t="str">
        <f t="shared" si="82"/>
        <v>BI10.7</v>
      </c>
      <c r="D262" s="18" t="str">
        <f t="shared" si="83"/>
        <v>BI10.7_261</v>
      </c>
      <c r="E262" s="17">
        <v>7</v>
      </c>
      <c r="F262" s="19">
        <v>261</v>
      </c>
      <c r="G262" s="20">
        <v>2.5</v>
      </c>
      <c r="H262" s="20">
        <v>2.7</v>
      </c>
      <c r="I262" s="20">
        <v>0.9</v>
      </c>
      <c r="J262" s="20">
        <f t="shared" si="81"/>
        <v>4.7759400000000012</v>
      </c>
      <c r="K262" s="53">
        <v>0.21999999999999975</v>
      </c>
      <c r="L262" s="20">
        <f t="shared" si="79"/>
        <v>13.099999999999966</v>
      </c>
      <c r="M262" s="20">
        <f t="shared" si="78"/>
        <v>13.999999999999972</v>
      </c>
      <c r="N262" s="20">
        <f t="shared" si="78"/>
        <v>13.549999999999955</v>
      </c>
      <c r="O262" s="20">
        <f>P261+$AO$257</f>
        <v>253.09999999999997</v>
      </c>
      <c r="P262" s="20">
        <f t="shared" si="77"/>
        <v>253.99999999999997</v>
      </c>
      <c r="Q262" s="20">
        <f t="shared" si="91"/>
        <v>253.54999999999995</v>
      </c>
      <c r="R262" s="20">
        <f t="shared" si="80"/>
        <v>255.09999999999997</v>
      </c>
      <c r="S262" s="20">
        <f t="shared" si="75"/>
        <v>255.99999999999997</v>
      </c>
      <c r="T262" s="20">
        <f t="shared" si="76"/>
        <v>255.54999999999995</v>
      </c>
      <c r="U262" s="20">
        <v>255.54999999999995</v>
      </c>
      <c r="V262" s="22">
        <v>6.5310999999999986</v>
      </c>
      <c r="W262" s="22">
        <v>1.9841</v>
      </c>
      <c r="X262" s="23">
        <v>1.1476266666666668</v>
      </c>
      <c r="Y262" s="23">
        <f t="shared" si="84"/>
        <v>5.383473333333332</v>
      </c>
      <c r="Z262" s="23">
        <f t="shared" si="85"/>
        <v>0.83647333333333318</v>
      </c>
      <c r="AA262" s="22">
        <f t="shared" si="86"/>
        <v>84.462199744650604</v>
      </c>
      <c r="AB262" s="22">
        <f t="shared" si="87"/>
        <v>15.537800255349396</v>
      </c>
      <c r="AC262" s="22">
        <f t="shared" si="88"/>
        <v>1.1272070698822285</v>
      </c>
      <c r="AD262" s="22">
        <f t="shared" si="89"/>
        <v>0.17514318298247736</v>
      </c>
      <c r="AE262" s="24">
        <v>5.7377000000000002</v>
      </c>
      <c r="AF262" s="24">
        <v>6.0738000000000003</v>
      </c>
      <c r="AG262" s="24">
        <v>5.7858000000000001</v>
      </c>
      <c r="AH262" s="25">
        <f>AG262-AE262</f>
        <v>4.809999999999981E-2</v>
      </c>
      <c r="AI262" s="25">
        <v>85.688783100267841</v>
      </c>
      <c r="AJ262" s="26">
        <v>4.2844391550133922</v>
      </c>
      <c r="AK262" s="25">
        <v>42.844391550133921</v>
      </c>
      <c r="AL262" s="26">
        <v>4.2853843320070917</v>
      </c>
      <c r="AM262" s="17">
        <f t="shared" si="90"/>
        <v>0.5780346820809249</v>
      </c>
      <c r="AN262" s="17"/>
      <c r="AO262" s="27"/>
      <c r="AP262" s="17"/>
      <c r="AQ262" s="17"/>
      <c r="AR262" s="17"/>
      <c r="AS262" s="17"/>
      <c r="AT262" s="17"/>
      <c r="AU262" s="17"/>
      <c r="AV262" s="17"/>
      <c r="AW262" s="17"/>
      <c r="AX262" s="17"/>
      <c r="BB262" s="17"/>
    </row>
    <row r="263" spans="1:54" x14ac:dyDescent="0.2">
      <c r="A263" s="17" t="s">
        <v>41</v>
      </c>
      <c r="B263" s="18" t="s">
        <v>42</v>
      </c>
      <c r="C263" s="18" t="str">
        <f t="shared" si="82"/>
        <v>BI10.7</v>
      </c>
      <c r="D263" s="18" t="str">
        <f t="shared" si="83"/>
        <v>BI10.7_262</v>
      </c>
      <c r="E263" s="17">
        <v>7</v>
      </c>
      <c r="F263" s="19">
        <v>262</v>
      </c>
      <c r="G263" s="20">
        <v>2.65</v>
      </c>
      <c r="H263" s="20">
        <v>2.65</v>
      </c>
      <c r="I263" s="20">
        <v>1</v>
      </c>
      <c r="J263" s="20">
        <f t="shared" si="81"/>
        <v>5.5126624999999994</v>
      </c>
      <c r="K263" s="53">
        <v>0.21999999999999975</v>
      </c>
      <c r="L263" s="20">
        <f t="shared" si="79"/>
        <v>14.21999999999997</v>
      </c>
      <c r="M263" s="20">
        <f t="shared" si="78"/>
        <v>15.21999999999997</v>
      </c>
      <c r="N263" s="20">
        <f t="shared" si="78"/>
        <v>14.71999999999997</v>
      </c>
      <c r="O263" s="20">
        <f>P262+$AO$257</f>
        <v>254.21999999999997</v>
      </c>
      <c r="P263" s="20">
        <f t="shared" si="77"/>
        <v>255.21999999999997</v>
      </c>
      <c r="Q263" s="20">
        <f t="shared" si="91"/>
        <v>254.71999999999997</v>
      </c>
      <c r="R263" s="20">
        <f t="shared" si="80"/>
        <v>256.21999999999997</v>
      </c>
      <c r="S263" s="20">
        <f t="shared" si="75"/>
        <v>257.21999999999997</v>
      </c>
      <c r="T263" s="20">
        <f t="shared" si="76"/>
        <v>256.71999999999997</v>
      </c>
      <c r="U263" s="20">
        <v>256.71999999999997</v>
      </c>
      <c r="V263" s="22">
        <v>6.4426999999999985</v>
      </c>
      <c r="W263" s="22">
        <v>1.9376</v>
      </c>
      <c r="X263" s="23">
        <v>1.1476266666666668</v>
      </c>
      <c r="Y263" s="23">
        <f t="shared" si="84"/>
        <v>5.295073333333332</v>
      </c>
      <c r="Z263" s="23">
        <f t="shared" si="85"/>
        <v>0.78997333333333319</v>
      </c>
      <c r="AA263" s="22">
        <f t="shared" si="86"/>
        <v>85.080974641836875</v>
      </c>
      <c r="AB263" s="22">
        <f t="shared" si="87"/>
        <v>14.919025358163125</v>
      </c>
      <c r="AC263" s="22">
        <f t="shared" si="88"/>
        <v>0.96052920586619128</v>
      </c>
      <c r="AD263" s="22">
        <f t="shared" si="89"/>
        <v>0.14330159579573995</v>
      </c>
      <c r="AE263" s="24">
        <v>5.3445</v>
      </c>
      <c r="AF263" s="24">
        <v>5.6759000000000004</v>
      </c>
      <c r="AG263" s="24">
        <v>5.3912000000000004</v>
      </c>
      <c r="AH263" s="25">
        <f>AG263-AE263</f>
        <v>4.6700000000000408E-2</v>
      </c>
      <c r="AI263" s="25">
        <v>85.908267954133862</v>
      </c>
      <c r="AJ263" s="26">
        <v>4.2954133977066933</v>
      </c>
      <c r="AK263" s="25">
        <v>42.954133977066931</v>
      </c>
      <c r="AL263" s="26">
        <v>4.2963561604222429</v>
      </c>
      <c r="AM263" s="17">
        <f t="shared" si="90"/>
        <v>0.5780346820809249</v>
      </c>
      <c r="AN263" s="17"/>
      <c r="AO263" s="27"/>
      <c r="AP263" s="17"/>
      <c r="AQ263" s="17"/>
      <c r="AR263" s="17"/>
      <c r="AS263" s="17"/>
      <c r="AT263" s="17"/>
      <c r="AU263" s="17"/>
      <c r="AV263" s="17"/>
      <c r="AW263" s="17"/>
      <c r="AX263" s="17"/>
      <c r="BB263" s="17"/>
    </row>
    <row r="264" spans="1:54" x14ac:dyDescent="0.2">
      <c r="A264" s="17" t="s">
        <v>41</v>
      </c>
      <c r="B264" s="18" t="s">
        <v>42</v>
      </c>
      <c r="C264" s="18" t="str">
        <f t="shared" si="82"/>
        <v>BI10.7</v>
      </c>
      <c r="D264" s="18" t="str">
        <f t="shared" si="83"/>
        <v>BI10.7_263</v>
      </c>
      <c r="E264" s="17">
        <v>7</v>
      </c>
      <c r="F264" s="19">
        <v>263</v>
      </c>
      <c r="G264" s="20">
        <v>2.5</v>
      </c>
      <c r="H264" s="20">
        <v>2.5499999999999998</v>
      </c>
      <c r="I264" s="20">
        <v>1</v>
      </c>
      <c r="J264" s="20">
        <f t="shared" si="81"/>
        <v>5.0048656249999999</v>
      </c>
      <c r="K264" s="53">
        <v>0.21999999999999975</v>
      </c>
      <c r="L264" s="20">
        <f t="shared" si="79"/>
        <v>15.439999999999969</v>
      </c>
      <c r="M264" s="20">
        <f t="shared" si="78"/>
        <v>16.439999999999941</v>
      </c>
      <c r="N264" s="20">
        <f t="shared" si="78"/>
        <v>15.939999999999941</v>
      </c>
      <c r="O264" s="20">
        <f>P263+$AO$257</f>
        <v>255.43999999999997</v>
      </c>
      <c r="P264" s="20">
        <f t="shared" si="77"/>
        <v>256.43999999999994</v>
      </c>
      <c r="Q264" s="20">
        <f t="shared" si="91"/>
        <v>255.93999999999994</v>
      </c>
      <c r="R264" s="20">
        <f t="shared" si="80"/>
        <v>257.43999999999994</v>
      </c>
      <c r="S264" s="20">
        <f t="shared" si="75"/>
        <v>258.43999999999994</v>
      </c>
      <c r="T264" s="20">
        <f t="shared" si="76"/>
        <v>257.93999999999994</v>
      </c>
      <c r="U264" s="20">
        <v>257.93999999999994</v>
      </c>
      <c r="V264" s="22">
        <v>6.6345999999999989</v>
      </c>
      <c r="W264" s="22">
        <v>1.9548000000000001</v>
      </c>
      <c r="X264" s="23">
        <v>1.1476266666666668</v>
      </c>
      <c r="Y264" s="23">
        <f t="shared" si="84"/>
        <v>5.4869733333333324</v>
      </c>
      <c r="Z264" s="23">
        <f t="shared" si="85"/>
        <v>0.8071733333333333</v>
      </c>
      <c r="AA264" s="22">
        <f t="shared" si="86"/>
        <v>85.289279092541619</v>
      </c>
      <c r="AB264" s="22">
        <f t="shared" si="87"/>
        <v>14.710720907458381</v>
      </c>
      <c r="AC264" s="22">
        <f t="shared" si="88"/>
        <v>1.0963278026736896</v>
      </c>
      <c r="AD264" s="22">
        <f t="shared" si="89"/>
        <v>0.16127772328219767</v>
      </c>
      <c r="AE264" s="24">
        <v>5.7370000000000001</v>
      </c>
      <c r="AF264" s="24">
        <v>6.0396999999999998</v>
      </c>
      <c r="AG264" s="24">
        <v>5.7781000000000002</v>
      </c>
      <c r="AH264" s="25">
        <f>AG264-AE264</f>
        <v>4.1100000000000136E-2</v>
      </c>
      <c r="AI264" s="25">
        <v>86.422200198216004</v>
      </c>
      <c r="AJ264" s="26">
        <v>4.3211100099108002</v>
      </c>
      <c r="AK264" s="25">
        <v>43.211100099108002</v>
      </c>
      <c r="AL264" s="26">
        <v>4.3220471674602665</v>
      </c>
      <c r="AM264" s="17">
        <f t="shared" si="90"/>
        <v>0.5780346820809249</v>
      </c>
      <c r="AN264" s="17"/>
      <c r="AO264" s="27"/>
      <c r="AP264" s="17"/>
      <c r="AQ264" s="17"/>
      <c r="AR264" s="17"/>
      <c r="AS264" s="17"/>
      <c r="AT264" s="17"/>
      <c r="AU264" s="17"/>
      <c r="AV264" s="17"/>
      <c r="AW264" s="17"/>
      <c r="AX264" s="17"/>
      <c r="BB264" s="17"/>
    </row>
    <row r="265" spans="1:54" x14ac:dyDescent="0.2">
      <c r="A265" s="17" t="s">
        <v>41</v>
      </c>
      <c r="B265" s="18" t="s">
        <v>42</v>
      </c>
      <c r="C265" s="18" t="str">
        <f t="shared" si="82"/>
        <v>BI10.7</v>
      </c>
      <c r="D265" s="18" t="str">
        <f t="shared" si="83"/>
        <v>BI10.7_264</v>
      </c>
      <c r="E265" s="17">
        <v>7</v>
      </c>
      <c r="F265" s="19">
        <v>264</v>
      </c>
      <c r="G265" s="20">
        <v>2.2000000000000002</v>
      </c>
      <c r="H265" s="20">
        <v>2.6</v>
      </c>
      <c r="I265" s="20">
        <v>0.95</v>
      </c>
      <c r="J265" s="20">
        <f t="shared" si="81"/>
        <v>4.2955200000000016</v>
      </c>
      <c r="K265" s="53">
        <v>0.21999999999999975</v>
      </c>
      <c r="L265" s="20">
        <f t="shared" si="79"/>
        <v>16.659999999999968</v>
      </c>
      <c r="M265" s="20">
        <f t="shared" si="78"/>
        <v>17.609999999999957</v>
      </c>
      <c r="N265" s="20">
        <f t="shared" si="78"/>
        <v>17.134999999999991</v>
      </c>
      <c r="O265" s="20">
        <f>P264+$AO$257</f>
        <v>256.65999999999997</v>
      </c>
      <c r="P265" s="20">
        <f t="shared" si="77"/>
        <v>257.60999999999996</v>
      </c>
      <c r="Q265" s="20">
        <f t="shared" si="91"/>
        <v>257.13499999999999</v>
      </c>
      <c r="R265" s="20">
        <f t="shared" si="80"/>
        <v>258.65999999999997</v>
      </c>
      <c r="S265" s="20">
        <f t="shared" si="75"/>
        <v>259.60999999999996</v>
      </c>
      <c r="T265" s="20">
        <f t="shared" si="76"/>
        <v>259.13499999999999</v>
      </c>
      <c r="U265" s="20">
        <v>259.13499999999999</v>
      </c>
      <c r="V265" s="22">
        <v>5.8980999999999995</v>
      </c>
      <c r="W265" s="22">
        <v>1.8531</v>
      </c>
      <c r="X265" s="23">
        <v>1.1476266666666668</v>
      </c>
      <c r="Y265" s="23">
        <f t="shared" si="84"/>
        <v>4.7504733333333329</v>
      </c>
      <c r="Z265" s="23">
        <f t="shared" si="85"/>
        <v>0.70547333333333317</v>
      </c>
      <c r="AA265" s="22">
        <f t="shared" si="86"/>
        <v>85.149409672860671</v>
      </c>
      <c r="AB265" s="22">
        <f t="shared" si="87"/>
        <v>14.850590327139329</v>
      </c>
      <c r="AC265" s="22">
        <f t="shared" si="88"/>
        <v>1.1059134478091899</v>
      </c>
      <c r="AD265" s="22">
        <f t="shared" si="89"/>
        <v>0.16423467550688459</v>
      </c>
      <c r="AE265" s="24">
        <v>5.5258000000000003</v>
      </c>
      <c r="AF265" s="24">
        <v>6.0263999999999998</v>
      </c>
      <c r="AG265" s="24">
        <v>5.5892999999999997</v>
      </c>
      <c r="AH265" s="25">
        <f>AG265-AE265</f>
        <v>6.3499999999999446E-2</v>
      </c>
      <c r="AI265" s="25">
        <v>87.315221733919387</v>
      </c>
      <c r="AJ265" s="26">
        <v>4.3657610866959695</v>
      </c>
      <c r="AK265" s="25">
        <v>43.657610866959693</v>
      </c>
      <c r="AL265" s="26">
        <v>4.3666886614583333</v>
      </c>
      <c r="AM265" s="17">
        <f t="shared" si="90"/>
        <v>0.5780346820809249</v>
      </c>
      <c r="AN265" s="17"/>
      <c r="AO265" s="27"/>
      <c r="AP265" s="17"/>
      <c r="AQ265" s="17"/>
      <c r="AR265" s="17"/>
      <c r="AS265" s="17"/>
      <c r="AT265" s="17"/>
      <c r="AU265" s="17"/>
      <c r="AV265" s="17"/>
      <c r="AW265" s="17"/>
      <c r="AX265" s="17"/>
      <c r="BB265" s="17"/>
    </row>
    <row r="266" spans="1:54" x14ac:dyDescent="0.2">
      <c r="A266" s="17" t="s">
        <v>41</v>
      </c>
      <c r="B266" s="18" t="s">
        <v>42</v>
      </c>
      <c r="C266" s="18" t="str">
        <f t="shared" si="82"/>
        <v>BI10.7</v>
      </c>
      <c r="D266" s="18" t="str">
        <f t="shared" si="83"/>
        <v>BI10.7_265</v>
      </c>
      <c r="E266" s="17">
        <v>7</v>
      </c>
      <c r="F266" s="19">
        <v>265</v>
      </c>
      <c r="G266" s="20">
        <v>2.5499999999999998</v>
      </c>
      <c r="H266" s="20">
        <v>2.4</v>
      </c>
      <c r="I266" s="20">
        <v>0.9</v>
      </c>
      <c r="J266" s="20">
        <f t="shared" si="81"/>
        <v>4.3277540624999995</v>
      </c>
      <c r="K266" s="53">
        <v>0.21999999999999975</v>
      </c>
      <c r="L266" s="20">
        <f t="shared" si="79"/>
        <v>17.829999999999984</v>
      </c>
      <c r="M266" s="20">
        <f t="shared" si="78"/>
        <v>18.729999999999961</v>
      </c>
      <c r="N266" s="20">
        <f t="shared" si="78"/>
        <v>18.279999999999973</v>
      </c>
      <c r="O266" s="20">
        <f>P265+$AO$257</f>
        <v>257.83</v>
      </c>
      <c r="P266" s="20">
        <f t="shared" si="77"/>
        <v>258.72999999999996</v>
      </c>
      <c r="Q266" s="20">
        <f t="shared" si="91"/>
        <v>258.27999999999997</v>
      </c>
      <c r="R266" s="20">
        <f t="shared" si="80"/>
        <v>259.83</v>
      </c>
      <c r="S266" s="20">
        <f t="shared" si="75"/>
        <v>260.72999999999996</v>
      </c>
      <c r="T266" s="20">
        <f t="shared" si="76"/>
        <v>260.27999999999997</v>
      </c>
      <c r="U266" s="20">
        <v>260.27999999999997</v>
      </c>
      <c r="V266" s="22">
        <v>6.4863999999999997</v>
      </c>
      <c r="W266" s="22">
        <v>1.9197</v>
      </c>
      <c r="X266" s="23">
        <v>1.1476266666666668</v>
      </c>
      <c r="Y266" s="23">
        <f t="shared" si="84"/>
        <v>5.3387733333333331</v>
      </c>
      <c r="Z266" s="23">
        <f t="shared" si="85"/>
        <v>0.77207333333333317</v>
      </c>
      <c r="AA266" s="22">
        <f t="shared" si="86"/>
        <v>85.538375856626246</v>
      </c>
      <c r="AB266" s="22">
        <f t="shared" si="87"/>
        <v>14.461624143373754</v>
      </c>
      <c r="AC266" s="22">
        <f t="shared" si="88"/>
        <v>1.2336129216754295</v>
      </c>
      <c r="AD266" s="22">
        <f t="shared" si="89"/>
        <v>0.17840046411679228</v>
      </c>
      <c r="AE266" s="24">
        <v>5.6422999999999996</v>
      </c>
      <c r="AF266" s="24">
        <v>5.9734999999999996</v>
      </c>
      <c r="AG266" s="24">
        <v>5.6860999999999997</v>
      </c>
      <c r="AH266" s="25">
        <f>AG266-AE266</f>
        <v>4.3800000000000061E-2</v>
      </c>
      <c r="AI266" s="25">
        <v>86.77536231884055</v>
      </c>
      <c r="AJ266" s="26">
        <v>4.3387681159420275</v>
      </c>
      <c r="AK266" s="25">
        <v>43.387681159420275</v>
      </c>
      <c r="AL266" s="26">
        <v>4.339701460229163</v>
      </c>
      <c r="AM266" s="17">
        <f t="shared" si="90"/>
        <v>0.5780346820809249</v>
      </c>
      <c r="AN266" s="17"/>
      <c r="AO266" s="27"/>
      <c r="AP266" s="17"/>
      <c r="AQ266" s="17"/>
      <c r="AR266" s="17"/>
      <c r="AS266" s="17"/>
      <c r="AT266" s="17"/>
      <c r="AU266" s="17"/>
      <c r="AV266" s="17"/>
      <c r="AW266" s="17"/>
      <c r="AX266" s="17"/>
      <c r="BB266" s="17"/>
    </row>
    <row r="267" spans="1:54" x14ac:dyDescent="0.2">
      <c r="A267" s="17" t="s">
        <v>41</v>
      </c>
      <c r="B267" s="18" t="s">
        <v>42</v>
      </c>
      <c r="C267" s="18" t="str">
        <f t="shared" si="82"/>
        <v>BI10.7</v>
      </c>
      <c r="D267" s="18" t="str">
        <f t="shared" si="83"/>
        <v>BI10.7_266</v>
      </c>
      <c r="E267" s="17">
        <v>7</v>
      </c>
      <c r="F267" s="19">
        <v>266</v>
      </c>
      <c r="G267" s="20">
        <v>2.4500000000000002</v>
      </c>
      <c r="H267" s="20">
        <v>2.5499999999999998</v>
      </c>
      <c r="I267" s="20">
        <v>0.95</v>
      </c>
      <c r="J267" s="20">
        <f t="shared" si="81"/>
        <v>4.6609375000000002</v>
      </c>
      <c r="K267" s="53">
        <v>0.21999999999999975</v>
      </c>
      <c r="L267" s="20">
        <f t="shared" si="79"/>
        <v>18.949999999999989</v>
      </c>
      <c r="M267" s="20">
        <f t="shared" si="78"/>
        <v>19.899999999999977</v>
      </c>
      <c r="N267" s="20">
        <f t="shared" si="78"/>
        <v>19.424999999999955</v>
      </c>
      <c r="O267" s="20">
        <f>P266+$AO$257</f>
        <v>258.95</v>
      </c>
      <c r="P267" s="20">
        <f t="shared" si="77"/>
        <v>259.89999999999998</v>
      </c>
      <c r="Q267" s="20">
        <f t="shared" si="91"/>
        <v>259.42499999999995</v>
      </c>
      <c r="R267" s="20">
        <f t="shared" si="80"/>
        <v>260.95</v>
      </c>
      <c r="S267" s="20">
        <f t="shared" si="75"/>
        <v>261.89999999999998</v>
      </c>
      <c r="T267" s="20">
        <f t="shared" si="76"/>
        <v>261.42499999999995</v>
      </c>
      <c r="U267" s="20">
        <v>261.42499999999995</v>
      </c>
      <c r="V267" s="22">
        <v>6.8937999999999988</v>
      </c>
      <c r="W267" s="22">
        <v>2.0739000000000001</v>
      </c>
      <c r="X267" s="23">
        <v>1.1476266666666668</v>
      </c>
      <c r="Y267" s="23">
        <f t="shared" si="84"/>
        <v>5.7461733333333322</v>
      </c>
      <c r="Z267" s="23">
        <f t="shared" si="85"/>
        <v>0.92627333333333328</v>
      </c>
      <c r="AA267" s="22">
        <f t="shared" si="86"/>
        <v>83.880170687506805</v>
      </c>
      <c r="AB267" s="22">
        <f t="shared" si="87"/>
        <v>16.119829312493195</v>
      </c>
      <c r="AC267" s="22">
        <f t="shared" si="88"/>
        <v>1.2328363839535141</v>
      </c>
      <c r="AD267" s="22">
        <f t="shared" si="89"/>
        <v>0.19873112079561961</v>
      </c>
      <c r="AE267" s="24">
        <v>5.1772999999999998</v>
      </c>
      <c r="AF267" s="24">
        <v>5.5175999999999998</v>
      </c>
      <c r="AG267" s="24">
        <v>5.2233999999999998</v>
      </c>
      <c r="AH267" s="25">
        <f>AG267-AE267</f>
        <v>4.610000000000003E-2</v>
      </c>
      <c r="AI267" s="25">
        <v>86.453129591536864</v>
      </c>
      <c r="AJ267" s="26">
        <v>4.3226564795768434</v>
      </c>
      <c r="AK267" s="25">
        <v>43.226564795768432</v>
      </c>
      <c r="AL267" s="26">
        <v>4.323593301922334</v>
      </c>
      <c r="AM267" s="17">
        <f t="shared" si="90"/>
        <v>0.5780346820809249</v>
      </c>
      <c r="AN267" s="17"/>
      <c r="AO267" s="27"/>
      <c r="AP267" s="17"/>
      <c r="AQ267" s="17"/>
      <c r="AR267" s="17"/>
      <c r="AS267" s="17"/>
      <c r="AT267" s="17"/>
      <c r="AU267" s="17"/>
      <c r="AV267" s="17"/>
      <c r="AW267" s="17"/>
      <c r="AX267" s="17"/>
      <c r="BB267" s="17"/>
    </row>
    <row r="268" spans="1:54" x14ac:dyDescent="0.2">
      <c r="A268" s="17" t="s">
        <v>41</v>
      </c>
      <c r="B268" s="18" t="s">
        <v>42</v>
      </c>
      <c r="C268" s="18" t="str">
        <f t="shared" si="82"/>
        <v>BI10.7</v>
      </c>
      <c r="D268" s="18" t="str">
        <f t="shared" si="83"/>
        <v>BI10.7_267</v>
      </c>
      <c r="E268" s="17">
        <v>7</v>
      </c>
      <c r="F268" s="19">
        <v>267</v>
      </c>
      <c r="G268" s="20">
        <v>2.4500000000000002</v>
      </c>
      <c r="H268" s="20">
        <v>2.4500000000000002</v>
      </c>
      <c r="I268" s="20">
        <v>1</v>
      </c>
      <c r="J268" s="20">
        <f t="shared" si="81"/>
        <v>4.7119625000000003</v>
      </c>
      <c r="K268" s="53">
        <v>0.21999999999999975</v>
      </c>
      <c r="L268" s="20">
        <f t="shared" si="79"/>
        <v>20.120000000000005</v>
      </c>
      <c r="M268" s="20">
        <f t="shared" si="79"/>
        <v>21.120000000000005</v>
      </c>
      <c r="N268" s="20">
        <f t="shared" si="79"/>
        <v>20.620000000000005</v>
      </c>
      <c r="O268" s="20">
        <f>P267+$AO$257</f>
        <v>260.12</v>
      </c>
      <c r="P268" s="20">
        <f t="shared" si="77"/>
        <v>261.12</v>
      </c>
      <c r="Q268" s="20">
        <f t="shared" si="91"/>
        <v>260.62</v>
      </c>
      <c r="R268" s="20">
        <f t="shared" si="80"/>
        <v>262.12</v>
      </c>
      <c r="S268" s="20">
        <f t="shared" si="75"/>
        <v>263.12</v>
      </c>
      <c r="T268" s="20">
        <f t="shared" si="76"/>
        <v>262.62</v>
      </c>
      <c r="U268" s="20">
        <v>262.62</v>
      </c>
      <c r="V268" s="22">
        <v>6.1023999999999994</v>
      </c>
      <c r="W268" s="22">
        <v>1.8069</v>
      </c>
      <c r="X268" s="23">
        <v>1.1476266666666668</v>
      </c>
      <c r="Y268" s="23">
        <f t="shared" si="84"/>
        <v>4.9547733333333328</v>
      </c>
      <c r="Z268" s="23">
        <f t="shared" si="85"/>
        <v>0.65927333333333316</v>
      </c>
      <c r="AA268" s="22">
        <f t="shared" si="86"/>
        <v>86.694177735678451</v>
      </c>
      <c r="AB268" s="22">
        <f t="shared" si="87"/>
        <v>13.305822264321549</v>
      </c>
      <c r="AC268" s="22">
        <f t="shared" si="88"/>
        <v>1.0515307227791675</v>
      </c>
      <c r="AD268" s="22">
        <f t="shared" si="89"/>
        <v>0.13991480902773168</v>
      </c>
      <c r="AE268" s="24">
        <v>5.3864000000000001</v>
      </c>
      <c r="AF268" s="24">
        <v>5.8703000000000003</v>
      </c>
      <c r="AG268" s="24">
        <v>5.4828000000000001</v>
      </c>
      <c r="AH268" s="25">
        <f>AG268-AE268</f>
        <v>9.6400000000000041E-2</v>
      </c>
      <c r="AI268" s="25">
        <v>80.078528621616044</v>
      </c>
      <c r="AJ268" s="26">
        <v>4.003926431080802</v>
      </c>
      <c r="AK268" s="25">
        <v>40.039264310808022</v>
      </c>
      <c r="AL268" s="26">
        <v>4.0049378104419358</v>
      </c>
      <c r="AM268" s="17">
        <f t="shared" si="90"/>
        <v>0.5780346820809249</v>
      </c>
      <c r="AN268" s="17"/>
      <c r="AO268" s="27"/>
      <c r="AP268" s="17"/>
      <c r="AQ268" s="17"/>
      <c r="AR268" s="17"/>
      <c r="AS268" s="17"/>
      <c r="AT268" s="17"/>
      <c r="AU268" s="17"/>
      <c r="AV268" s="17"/>
      <c r="AW268" s="17"/>
      <c r="AX268" s="17"/>
      <c r="BB268" s="17"/>
    </row>
    <row r="269" spans="1:54" x14ac:dyDescent="0.2">
      <c r="A269" s="17" t="s">
        <v>41</v>
      </c>
      <c r="B269" s="18" t="s">
        <v>42</v>
      </c>
      <c r="C269" s="18" t="str">
        <f t="shared" si="82"/>
        <v>BI10.7</v>
      </c>
      <c r="D269" s="18" t="str">
        <f t="shared" si="83"/>
        <v>BI10.7_268</v>
      </c>
      <c r="E269" s="17">
        <v>7</v>
      </c>
      <c r="F269" s="19">
        <v>268</v>
      </c>
      <c r="G269" s="20">
        <v>2.5</v>
      </c>
      <c r="H269" s="20">
        <v>2.1</v>
      </c>
      <c r="I269" s="20">
        <v>1</v>
      </c>
      <c r="J269" s="20">
        <f t="shared" si="81"/>
        <v>4.1526499999999995</v>
      </c>
      <c r="K269" s="53">
        <v>0.21999999999999975</v>
      </c>
      <c r="L269" s="20">
        <f t="shared" si="79"/>
        <v>21.340000000000032</v>
      </c>
      <c r="M269" s="20">
        <f t="shared" si="79"/>
        <v>22.340000000000032</v>
      </c>
      <c r="N269" s="20">
        <f t="shared" si="79"/>
        <v>21.840000000000032</v>
      </c>
      <c r="O269" s="20">
        <f>P268+$AO$257</f>
        <v>261.34000000000003</v>
      </c>
      <c r="P269" s="20">
        <f t="shared" si="77"/>
        <v>262.34000000000003</v>
      </c>
      <c r="Q269" s="20">
        <f t="shared" si="91"/>
        <v>261.84000000000003</v>
      </c>
      <c r="R269" s="20">
        <f t="shared" si="80"/>
        <v>263.34000000000003</v>
      </c>
      <c r="S269" s="20">
        <f t="shared" si="75"/>
        <v>264.34000000000003</v>
      </c>
      <c r="T269" s="20">
        <f t="shared" si="76"/>
        <v>263.84000000000003</v>
      </c>
      <c r="U269" s="20">
        <v>263.84000000000003</v>
      </c>
      <c r="V269" s="22">
        <v>6.0330999999999975</v>
      </c>
      <c r="W269" s="22">
        <v>1.8471</v>
      </c>
      <c r="X269" s="23">
        <v>1.1476266666666668</v>
      </c>
      <c r="Y269" s="23">
        <f t="shared" si="84"/>
        <v>4.8854733333333309</v>
      </c>
      <c r="Z269" s="23">
        <f t="shared" si="85"/>
        <v>0.69947333333333317</v>
      </c>
      <c r="AA269" s="22">
        <f t="shared" si="86"/>
        <v>85.682588244605441</v>
      </c>
      <c r="AB269" s="22">
        <f t="shared" si="87"/>
        <v>14.317411755394559</v>
      </c>
      <c r="AC269" s="22">
        <f t="shared" si="88"/>
        <v>1.1764712492825862</v>
      </c>
      <c r="AD269" s="22">
        <f t="shared" si="89"/>
        <v>0.16844023294362231</v>
      </c>
      <c r="AE269" s="24">
        <v>5.6410999999999998</v>
      </c>
      <c r="AF269" s="24">
        <v>6.0392999999999999</v>
      </c>
      <c r="AG269" s="24">
        <v>5.7079000000000004</v>
      </c>
      <c r="AH269" s="25">
        <f>AG269-AE269</f>
        <v>6.6800000000000637E-2</v>
      </c>
      <c r="AI269" s="25">
        <v>83.224510296333349</v>
      </c>
      <c r="AJ269" s="26">
        <v>4.1612255148166675</v>
      </c>
      <c r="AK269" s="25">
        <v>41.612255148166675</v>
      </c>
      <c r="AL269" s="26">
        <v>4.1621986719955162</v>
      </c>
      <c r="AM269" s="17">
        <f t="shared" si="90"/>
        <v>0.5780346820809249</v>
      </c>
      <c r="AN269" s="17"/>
      <c r="AO269" s="27"/>
      <c r="AP269" s="17"/>
      <c r="AQ269" s="17"/>
      <c r="AR269" s="17"/>
      <c r="AS269" s="17"/>
      <c r="AT269" s="17"/>
      <c r="AU269" s="17"/>
      <c r="AV269" s="17"/>
      <c r="AW269" s="17"/>
      <c r="AX269" s="17"/>
      <c r="BB269" s="17"/>
    </row>
    <row r="270" spans="1:54" x14ac:dyDescent="0.2">
      <c r="A270" s="17" t="s">
        <v>41</v>
      </c>
      <c r="B270" s="18" t="s">
        <v>42</v>
      </c>
      <c r="C270" s="18" t="str">
        <f t="shared" si="82"/>
        <v>BI10.7</v>
      </c>
      <c r="D270" s="18" t="str">
        <f t="shared" si="83"/>
        <v>BI10.7_269</v>
      </c>
      <c r="E270" s="17">
        <v>7</v>
      </c>
      <c r="F270" s="19">
        <v>269</v>
      </c>
      <c r="G270" s="20">
        <v>2.4</v>
      </c>
      <c r="H270" s="20">
        <v>2.15</v>
      </c>
      <c r="I270" s="20">
        <v>1</v>
      </c>
      <c r="J270" s="20">
        <f t="shared" si="81"/>
        <v>4.0628656249999997</v>
      </c>
      <c r="K270" s="53">
        <v>0.21999999999999975</v>
      </c>
      <c r="L270" s="20">
        <f t="shared" si="79"/>
        <v>22.560000000000059</v>
      </c>
      <c r="M270" s="20">
        <f t="shared" si="79"/>
        <v>23.560000000000059</v>
      </c>
      <c r="N270" s="20">
        <f t="shared" si="79"/>
        <v>23.060000000000059</v>
      </c>
      <c r="O270" s="20">
        <f>P269+$AO$257</f>
        <v>262.56000000000006</v>
      </c>
      <c r="P270" s="20">
        <f t="shared" si="77"/>
        <v>263.56000000000006</v>
      </c>
      <c r="Q270" s="20">
        <f t="shared" si="91"/>
        <v>263.06000000000006</v>
      </c>
      <c r="R270" s="20">
        <f t="shared" si="80"/>
        <v>264.56000000000006</v>
      </c>
      <c r="S270" s="20">
        <f t="shared" si="75"/>
        <v>265.56000000000006</v>
      </c>
      <c r="T270" s="20">
        <f t="shared" si="76"/>
        <v>265.06000000000006</v>
      </c>
      <c r="U270" s="20">
        <v>265.06000000000006</v>
      </c>
      <c r="V270" s="22">
        <v>5.8007999999999988</v>
      </c>
      <c r="W270" s="22">
        <v>1.8351</v>
      </c>
      <c r="X270" s="23">
        <v>1.1476266666666668</v>
      </c>
      <c r="Y270" s="23">
        <f t="shared" si="84"/>
        <v>4.6531733333333323</v>
      </c>
      <c r="Z270" s="23">
        <f t="shared" si="85"/>
        <v>0.68747333333333316</v>
      </c>
      <c r="AA270" s="22">
        <f t="shared" si="86"/>
        <v>85.225709766524929</v>
      </c>
      <c r="AB270" s="22">
        <f t="shared" si="87"/>
        <v>14.774290233475071</v>
      </c>
      <c r="AC270" s="22">
        <f t="shared" si="88"/>
        <v>1.1452934364112357</v>
      </c>
      <c r="AD270" s="22">
        <f t="shared" si="89"/>
        <v>0.16920897632033627</v>
      </c>
      <c r="AE270" s="24">
        <v>5.5885999999999996</v>
      </c>
      <c r="AF270" s="24">
        <v>5.9753999999999996</v>
      </c>
      <c r="AG270" s="24">
        <v>5.6782000000000004</v>
      </c>
      <c r="AH270" s="25">
        <f>AG270-AE270</f>
        <v>8.960000000000079E-2</v>
      </c>
      <c r="AI270" s="25">
        <v>76.835573940020481</v>
      </c>
      <c r="AJ270" s="26">
        <v>3.8417786970010241</v>
      </c>
      <c r="AK270" s="25">
        <v>38.417786970010241</v>
      </c>
      <c r="AL270" s="26">
        <v>3.8428327515949592</v>
      </c>
      <c r="AM270" s="17">
        <f t="shared" si="90"/>
        <v>0.5780346820809249</v>
      </c>
      <c r="AN270" s="17"/>
      <c r="AO270" s="27"/>
      <c r="AP270" s="17"/>
      <c r="AQ270" s="17"/>
      <c r="AR270" s="17"/>
      <c r="AS270" s="17"/>
      <c r="AT270" s="17"/>
      <c r="AU270" s="17"/>
      <c r="AV270" s="17"/>
      <c r="AW270" s="17"/>
      <c r="AX270" s="17"/>
      <c r="BB270" s="17"/>
    </row>
    <row r="271" spans="1:54" x14ac:dyDescent="0.2">
      <c r="A271" s="17" t="s">
        <v>41</v>
      </c>
      <c r="B271" s="18" t="s">
        <v>42</v>
      </c>
      <c r="C271" s="18" t="str">
        <f t="shared" si="82"/>
        <v>BI10.7</v>
      </c>
      <c r="D271" s="18" t="str">
        <f t="shared" si="83"/>
        <v>BI10.7_270</v>
      </c>
      <c r="E271" s="17">
        <v>7</v>
      </c>
      <c r="F271" s="19">
        <v>270</v>
      </c>
      <c r="G271" s="20">
        <v>2</v>
      </c>
      <c r="H271" s="20">
        <v>2.35</v>
      </c>
      <c r="I271" s="20">
        <v>1</v>
      </c>
      <c r="J271" s="20">
        <f t="shared" si="81"/>
        <v>3.7135406249999994</v>
      </c>
      <c r="K271" s="53">
        <v>0.21999999999999975</v>
      </c>
      <c r="L271" s="20">
        <f t="shared" si="79"/>
        <v>23.780000000000086</v>
      </c>
      <c r="M271" s="20">
        <f t="shared" si="79"/>
        <v>24.780000000000086</v>
      </c>
      <c r="N271" s="20">
        <f t="shared" si="79"/>
        <v>24.280000000000086</v>
      </c>
      <c r="O271" s="20">
        <f>P270+$AO$257</f>
        <v>263.78000000000009</v>
      </c>
      <c r="P271" s="20">
        <f t="shared" si="77"/>
        <v>264.78000000000009</v>
      </c>
      <c r="Q271" s="20">
        <f t="shared" si="91"/>
        <v>264.28000000000009</v>
      </c>
      <c r="R271" s="20">
        <f t="shared" si="80"/>
        <v>265.78000000000009</v>
      </c>
      <c r="S271" s="20">
        <f t="shared" si="75"/>
        <v>266.78000000000009</v>
      </c>
      <c r="T271" s="20">
        <f t="shared" si="76"/>
        <v>266.28000000000009</v>
      </c>
      <c r="U271" s="20">
        <v>266.28000000000009</v>
      </c>
      <c r="V271" s="22">
        <v>5.2988999999999997</v>
      </c>
      <c r="W271" s="22">
        <v>1.7770999999999999</v>
      </c>
      <c r="X271" s="23">
        <v>1.1476266666666668</v>
      </c>
      <c r="Y271" s="23">
        <f t="shared" si="84"/>
        <v>4.1512733333333331</v>
      </c>
      <c r="Z271" s="23">
        <f t="shared" si="85"/>
        <v>0.62947333333333311</v>
      </c>
      <c r="AA271" s="22">
        <f t="shared" si="86"/>
        <v>84.83662041044434</v>
      </c>
      <c r="AB271" s="22">
        <f t="shared" si="87"/>
        <v>15.16337958955566</v>
      </c>
      <c r="AC271" s="22">
        <f t="shared" si="88"/>
        <v>1.1178747595721628</v>
      </c>
      <c r="AD271" s="22">
        <f t="shared" si="89"/>
        <v>0.1695075931297596</v>
      </c>
      <c r="AE271" s="24">
        <v>5.0590999999999999</v>
      </c>
      <c r="AF271" s="24">
        <v>5.5894000000000004</v>
      </c>
      <c r="AG271" s="24">
        <v>5.1592000000000002</v>
      </c>
      <c r="AH271" s="25">
        <f>AG271-AE271</f>
        <v>0.1001000000000003</v>
      </c>
      <c r="AI271" s="25">
        <v>81.12389213652645</v>
      </c>
      <c r="AJ271" s="26">
        <v>4.056194606826323</v>
      </c>
      <c r="AK271" s="25">
        <v>40.561946068263225</v>
      </c>
      <c r="AL271" s="26">
        <v>4.0571929567678868</v>
      </c>
      <c r="AM271" s="17">
        <f t="shared" si="90"/>
        <v>0.5780346820809249</v>
      </c>
      <c r="AN271" s="17"/>
      <c r="AO271" s="27"/>
      <c r="AP271" s="17"/>
      <c r="AQ271" s="17"/>
      <c r="AR271" s="17"/>
      <c r="AS271" s="17"/>
      <c r="AT271" s="17"/>
      <c r="AU271" s="17"/>
      <c r="AV271" s="17"/>
      <c r="AW271" s="17"/>
      <c r="AX271" s="17"/>
      <c r="BB271" s="17"/>
    </row>
    <row r="272" spans="1:54" x14ac:dyDescent="0.2">
      <c r="A272" s="17" t="s">
        <v>41</v>
      </c>
      <c r="B272" s="18" t="s">
        <v>42</v>
      </c>
      <c r="C272" s="18" t="str">
        <f t="shared" si="82"/>
        <v>BI10.7</v>
      </c>
      <c r="D272" s="18" t="str">
        <f t="shared" si="83"/>
        <v>BI10.7_271</v>
      </c>
      <c r="E272" s="17">
        <v>7</v>
      </c>
      <c r="F272" s="19">
        <v>271</v>
      </c>
      <c r="G272" s="20">
        <v>2.2000000000000002</v>
      </c>
      <c r="H272" s="20">
        <v>2.5</v>
      </c>
      <c r="I272" s="20">
        <v>1</v>
      </c>
      <c r="J272" s="20">
        <f t="shared" si="81"/>
        <v>4.3351625</v>
      </c>
      <c r="K272" s="53">
        <v>0.21999999999999975</v>
      </c>
      <c r="L272" s="20">
        <f t="shared" si="79"/>
        <v>25.000000000000114</v>
      </c>
      <c r="M272" s="20">
        <f t="shared" si="79"/>
        <v>26.000000000000114</v>
      </c>
      <c r="N272" s="20">
        <f t="shared" si="79"/>
        <v>25.500000000000114</v>
      </c>
      <c r="O272" s="20">
        <f>P271+$AO$257</f>
        <v>265.00000000000011</v>
      </c>
      <c r="P272" s="20">
        <f t="shared" si="77"/>
        <v>266.00000000000011</v>
      </c>
      <c r="Q272" s="20">
        <f t="shared" si="91"/>
        <v>265.50000000000011</v>
      </c>
      <c r="R272" s="20">
        <f t="shared" si="80"/>
        <v>267.00000000000011</v>
      </c>
      <c r="S272" s="20">
        <f t="shared" si="75"/>
        <v>268.00000000000011</v>
      </c>
      <c r="T272" s="20">
        <f t="shared" si="76"/>
        <v>267.50000000000011</v>
      </c>
      <c r="U272" s="20">
        <v>267.50000000000011</v>
      </c>
      <c r="V272" s="22">
        <v>5.6508000000000003</v>
      </c>
      <c r="W272" s="22">
        <v>1.7925</v>
      </c>
      <c r="X272" s="23">
        <v>1.1476266666666668</v>
      </c>
      <c r="Y272" s="23">
        <f t="shared" si="84"/>
        <v>4.5031733333333337</v>
      </c>
      <c r="Z272" s="23">
        <f t="shared" si="85"/>
        <v>0.64487333333333319</v>
      </c>
      <c r="AA272" s="22">
        <f t="shared" si="86"/>
        <v>85.679580029490324</v>
      </c>
      <c r="AB272" s="22">
        <f t="shared" si="87"/>
        <v>14.320419970509676</v>
      </c>
      <c r="AC272" s="22">
        <f t="shared" si="88"/>
        <v>1.0387553715306712</v>
      </c>
      <c r="AD272" s="22">
        <f t="shared" si="89"/>
        <v>0.14875413166942028</v>
      </c>
      <c r="AE272" s="24">
        <v>4.9820000000000002</v>
      </c>
      <c r="AF272" s="24">
        <v>5.2706</v>
      </c>
      <c r="AG272" s="24">
        <v>5.0309999999999997</v>
      </c>
      <c r="AH272" s="25">
        <f>AG272-AE272</f>
        <v>4.8999999999999488E-2</v>
      </c>
      <c r="AI272" s="25">
        <v>83.021483021483192</v>
      </c>
      <c r="AJ272" s="26">
        <v>4.1510741510741598</v>
      </c>
      <c r="AK272" s="25">
        <v>41.510741510741596</v>
      </c>
      <c r="AL272" s="26">
        <v>4.152049687529769</v>
      </c>
      <c r="AM272" s="17">
        <f t="shared" si="90"/>
        <v>0.5780346820809249</v>
      </c>
      <c r="AN272" s="17"/>
      <c r="AO272" s="27"/>
      <c r="AP272" s="17"/>
      <c r="AQ272" s="17"/>
      <c r="AR272" s="17"/>
      <c r="AS272" s="17"/>
      <c r="AT272" s="17"/>
      <c r="AU272" s="17"/>
      <c r="AV272" s="17"/>
      <c r="AW272" s="17"/>
      <c r="AX272" s="17"/>
      <c r="BB272" s="17"/>
    </row>
    <row r="273" spans="1:54" x14ac:dyDescent="0.2">
      <c r="A273" s="17" t="s">
        <v>41</v>
      </c>
      <c r="B273" s="18" t="s">
        <v>42</v>
      </c>
      <c r="C273" s="18" t="str">
        <f t="shared" si="82"/>
        <v>BI10.7</v>
      </c>
      <c r="D273" s="18" t="str">
        <f t="shared" si="83"/>
        <v>BI10.7_272</v>
      </c>
      <c r="E273" s="17">
        <v>7</v>
      </c>
      <c r="F273" s="19">
        <v>272</v>
      </c>
      <c r="G273" s="20">
        <v>2.4</v>
      </c>
      <c r="H273" s="20">
        <v>2.4</v>
      </c>
      <c r="I273" s="20">
        <v>1</v>
      </c>
      <c r="J273" s="20">
        <f t="shared" si="81"/>
        <v>4.5215999999999994</v>
      </c>
      <c r="K273" s="53">
        <v>0.21999999999999975</v>
      </c>
      <c r="L273" s="20">
        <f t="shared" si="79"/>
        <v>26.220000000000141</v>
      </c>
      <c r="M273" s="20">
        <f t="shared" si="79"/>
        <v>27.220000000000141</v>
      </c>
      <c r="N273" s="20">
        <f t="shared" si="79"/>
        <v>26.720000000000141</v>
      </c>
      <c r="O273" s="20">
        <f>P272+$AO$257</f>
        <v>266.22000000000014</v>
      </c>
      <c r="P273" s="20">
        <f t="shared" si="77"/>
        <v>267.22000000000014</v>
      </c>
      <c r="Q273" s="20">
        <f t="shared" si="91"/>
        <v>266.72000000000014</v>
      </c>
      <c r="R273" s="20">
        <f t="shared" si="80"/>
        <v>268.22000000000014</v>
      </c>
      <c r="S273" s="20">
        <f t="shared" si="75"/>
        <v>269.22000000000014</v>
      </c>
      <c r="T273" s="20">
        <f t="shared" si="76"/>
        <v>268.72000000000014</v>
      </c>
      <c r="U273" s="20">
        <v>268.72000000000014</v>
      </c>
      <c r="V273" s="22">
        <v>5.7288999999999994</v>
      </c>
      <c r="W273" s="22">
        <v>1.8807</v>
      </c>
      <c r="X273" s="23">
        <v>1.1476266666666668</v>
      </c>
      <c r="Y273" s="23">
        <f t="shared" si="84"/>
        <v>4.5812733333333329</v>
      </c>
      <c r="Z273" s="23">
        <f t="shared" si="85"/>
        <v>0.73307333333333324</v>
      </c>
      <c r="AA273" s="22">
        <f t="shared" si="86"/>
        <v>83.99848077172139</v>
      </c>
      <c r="AB273" s="22">
        <f t="shared" si="87"/>
        <v>16.00151922827861</v>
      </c>
      <c r="AC273" s="22">
        <f t="shared" si="88"/>
        <v>1.0131973932531257</v>
      </c>
      <c r="AD273" s="22">
        <f t="shared" si="89"/>
        <v>0.16212697570181647</v>
      </c>
      <c r="AE273" s="24">
        <v>5.7374000000000001</v>
      </c>
      <c r="AF273" s="24">
        <v>6.0986000000000002</v>
      </c>
      <c r="AG273" s="24">
        <v>5.8010000000000002</v>
      </c>
      <c r="AH273" s="25">
        <f>AG273-AE273</f>
        <v>6.3600000000000101E-2</v>
      </c>
      <c r="AI273" s="25">
        <v>82.392026578073072</v>
      </c>
      <c r="AJ273" s="26">
        <v>4.1196013289036539</v>
      </c>
      <c r="AK273" s="25">
        <v>41.196013289036536</v>
      </c>
      <c r="AL273" s="26">
        <v>4.1205843164659006</v>
      </c>
      <c r="AM273" s="17">
        <f t="shared" si="90"/>
        <v>0.5780346820809249</v>
      </c>
      <c r="AN273" s="17"/>
      <c r="AO273" s="27"/>
      <c r="AP273" s="17"/>
      <c r="AQ273" s="17"/>
      <c r="AR273" s="17"/>
      <c r="AS273" s="17"/>
      <c r="AT273" s="17"/>
      <c r="AU273" s="17"/>
      <c r="AV273" s="17"/>
      <c r="AW273" s="17"/>
      <c r="AX273" s="17"/>
      <c r="BB273" s="17"/>
    </row>
    <row r="274" spans="1:54" x14ac:dyDescent="0.2">
      <c r="A274" s="17" t="s">
        <v>41</v>
      </c>
      <c r="B274" s="18" t="s">
        <v>42</v>
      </c>
      <c r="C274" s="18" t="str">
        <f t="shared" si="82"/>
        <v>BI10.7</v>
      </c>
      <c r="D274" s="18" t="str">
        <f t="shared" si="83"/>
        <v>BI10.7_273</v>
      </c>
      <c r="E274" s="17">
        <v>7</v>
      </c>
      <c r="F274" s="19">
        <v>273</v>
      </c>
      <c r="G274" s="20">
        <v>2.5</v>
      </c>
      <c r="H274" s="20">
        <v>2.4</v>
      </c>
      <c r="I274" s="20">
        <v>0.95</v>
      </c>
      <c r="J274" s="20">
        <f t="shared" si="81"/>
        <v>4.4763643750000002</v>
      </c>
      <c r="K274" s="53">
        <v>0.21999999999999975</v>
      </c>
      <c r="L274" s="20">
        <f t="shared" si="79"/>
        <v>27.440000000000168</v>
      </c>
      <c r="M274" s="20">
        <f t="shared" si="79"/>
        <v>28.390000000000157</v>
      </c>
      <c r="N274" s="20">
        <f t="shared" si="79"/>
        <v>27.915000000000191</v>
      </c>
      <c r="O274" s="20">
        <f>P273+$AO$257</f>
        <v>267.44000000000017</v>
      </c>
      <c r="P274" s="20">
        <f t="shared" si="77"/>
        <v>268.39000000000016</v>
      </c>
      <c r="Q274" s="20">
        <f t="shared" si="91"/>
        <v>267.91500000000019</v>
      </c>
      <c r="R274" s="20">
        <f t="shared" si="80"/>
        <v>269.44000000000017</v>
      </c>
      <c r="S274" s="20">
        <f t="shared" si="75"/>
        <v>270.39000000000016</v>
      </c>
      <c r="T274" s="20">
        <f t="shared" si="76"/>
        <v>269.91500000000019</v>
      </c>
      <c r="U274" s="20">
        <v>269.91500000000019</v>
      </c>
      <c r="V274" s="22">
        <v>5.5488999999999997</v>
      </c>
      <c r="W274" s="22">
        <v>1.8466</v>
      </c>
      <c r="X274" s="23">
        <v>1.1476266666666668</v>
      </c>
      <c r="Y274" s="23">
        <f t="shared" si="84"/>
        <v>4.4012733333333331</v>
      </c>
      <c r="Z274" s="23">
        <f t="shared" si="85"/>
        <v>0.69897333333333322</v>
      </c>
      <c r="AA274" s="22">
        <f t="shared" si="86"/>
        <v>84.118838336178484</v>
      </c>
      <c r="AB274" s="22">
        <f t="shared" si="87"/>
        <v>15.881161663821516</v>
      </c>
      <c r="AC274" s="22">
        <f t="shared" si="88"/>
        <v>0.9832249934598617</v>
      </c>
      <c r="AD274" s="22">
        <f t="shared" si="89"/>
        <v>0.1561475507304593</v>
      </c>
      <c r="AE274" s="24">
        <v>5.4416000000000002</v>
      </c>
      <c r="AF274" s="24">
        <v>5.8708999999999998</v>
      </c>
      <c r="AG274" s="24">
        <v>5.5137999999999998</v>
      </c>
      <c r="AH274" s="25">
        <f>AG274-AE274</f>
        <v>7.2199999999999598E-2</v>
      </c>
      <c r="AI274" s="25">
        <v>83.181924062427285</v>
      </c>
      <c r="AJ274" s="26">
        <v>4.1590962031213641</v>
      </c>
      <c r="AK274" s="25">
        <v>41.590962031213643</v>
      </c>
      <c r="AL274" s="26">
        <v>4.1600698584060511</v>
      </c>
      <c r="AM274" s="17">
        <f t="shared" si="90"/>
        <v>0.5780346820809249</v>
      </c>
      <c r="AN274" s="17"/>
      <c r="AO274" s="27"/>
      <c r="AP274" s="17"/>
      <c r="AQ274" s="17"/>
      <c r="AR274" s="17"/>
      <c r="AS274" s="17"/>
      <c r="AT274" s="17"/>
      <c r="AU274" s="17"/>
      <c r="AV274" s="17"/>
      <c r="AW274" s="17"/>
      <c r="AX274" s="17"/>
      <c r="BB274" s="17"/>
    </row>
    <row r="275" spans="1:54" x14ac:dyDescent="0.2">
      <c r="A275" s="17" t="s">
        <v>41</v>
      </c>
      <c r="B275" s="18" t="s">
        <v>42</v>
      </c>
      <c r="C275" s="18" t="str">
        <f t="shared" si="82"/>
        <v>BI10.7</v>
      </c>
      <c r="D275" s="18" t="str">
        <f t="shared" si="83"/>
        <v>BI10.7_274</v>
      </c>
      <c r="E275" s="17">
        <v>7</v>
      </c>
      <c r="F275" s="19">
        <v>274</v>
      </c>
      <c r="G275" s="20">
        <v>2.4</v>
      </c>
      <c r="H275" s="20">
        <v>2.5</v>
      </c>
      <c r="I275" s="20">
        <v>1</v>
      </c>
      <c r="J275" s="20">
        <f t="shared" si="81"/>
        <v>4.7119625000000003</v>
      </c>
      <c r="K275" s="53">
        <v>0.21999999999999975</v>
      </c>
      <c r="L275" s="20">
        <f t="shared" si="79"/>
        <v>28.610000000000184</v>
      </c>
      <c r="M275" s="20">
        <f t="shared" si="79"/>
        <v>29.610000000000184</v>
      </c>
      <c r="N275" s="20">
        <f t="shared" si="79"/>
        <v>29.110000000000184</v>
      </c>
      <c r="O275" s="20">
        <f>P274+$AO$257</f>
        <v>268.61000000000018</v>
      </c>
      <c r="P275" s="20">
        <f t="shared" si="77"/>
        <v>269.61000000000018</v>
      </c>
      <c r="Q275" s="20">
        <f t="shared" si="91"/>
        <v>269.11000000000018</v>
      </c>
      <c r="R275" s="20">
        <f t="shared" si="80"/>
        <v>270.61000000000018</v>
      </c>
      <c r="S275" s="20">
        <f t="shared" si="75"/>
        <v>271.61000000000018</v>
      </c>
      <c r="T275" s="20">
        <f t="shared" si="76"/>
        <v>271.11000000000018</v>
      </c>
      <c r="U275" s="20">
        <v>271.11000000000018</v>
      </c>
      <c r="V275" s="22">
        <v>5.5532000000000004</v>
      </c>
      <c r="W275" s="22">
        <v>1.8226</v>
      </c>
      <c r="X275" s="23">
        <v>1.1476266666666668</v>
      </c>
      <c r="Y275" s="23">
        <f t="shared" si="84"/>
        <v>4.4055733333333338</v>
      </c>
      <c r="Z275" s="23">
        <f t="shared" si="85"/>
        <v>0.6749733333333332</v>
      </c>
      <c r="AA275" s="22">
        <f t="shared" si="86"/>
        <v>84.679103438674659</v>
      </c>
      <c r="AB275" s="22">
        <f t="shared" si="87"/>
        <v>15.320896561325341</v>
      </c>
      <c r="AC275" s="22">
        <f t="shared" si="88"/>
        <v>0.9349763147167095</v>
      </c>
      <c r="AD275" s="22">
        <f t="shared" si="89"/>
        <v>0.1432467540506388</v>
      </c>
      <c r="AE275" s="24">
        <v>5.4507000000000003</v>
      </c>
      <c r="AF275" s="24">
        <v>5.6891999999999996</v>
      </c>
      <c r="AG275" s="24">
        <v>5.4897</v>
      </c>
      <c r="AH275" s="25">
        <f>AG275-AE275</f>
        <v>3.8999999999999702E-2</v>
      </c>
      <c r="AI275" s="25">
        <v>83.647798742138434</v>
      </c>
      <c r="AJ275" s="26">
        <v>4.1823899371069215</v>
      </c>
      <c r="AK275" s="25">
        <v>41.823899371069217</v>
      </c>
      <c r="AL275" s="26">
        <v>4.1833581708973044</v>
      </c>
      <c r="AM275" s="17">
        <f t="shared" si="90"/>
        <v>0.5780346820809249</v>
      </c>
      <c r="AN275" s="17"/>
      <c r="AO275" s="27"/>
      <c r="AP275" s="17"/>
      <c r="AQ275" s="17"/>
      <c r="AR275" s="17"/>
      <c r="AS275" s="17"/>
      <c r="AT275" s="17"/>
      <c r="AU275" s="17"/>
      <c r="AV275" s="17"/>
      <c r="AW275" s="17"/>
      <c r="AX275" s="17"/>
      <c r="BB275" s="17"/>
    </row>
    <row r="276" spans="1:54" x14ac:dyDescent="0.2">
      <c r="A276" s="17" t="s">
        <v>41</v>
      </c>
      <c r="B276" s="18" t="s">
        <v>42</v>
      </c>
      <c r="C276" s="18" t="str">
        <f t="shared" si="82"/>
        <v>BI10.7</v>
      </c>
      <c r="D276" s="18" t="str">
        <f t="shared" si="83"/>
        <v>BI10.7_275</v>
      </c>
      <c r="E276" s="17">
        <v>7</v>
      </c>
      <c r="F276" s="19">
        <v>275</v>
      </c>
      <c r="G276" s="20">
        <v>2.1</v>
      </c>
      <c r="H276" s="20">
        <v>2.4</v>
      </c>
      <c r="I276" s="20">
        <v>0.95</v>
      </c>
      <c r="J276" s="20">
        <f t="shared" si="81"/>
        <v>3.7753593750000003</v>
      </c>
      <c r="K276" s="53">
        <v>0.21999999999999975</v>
      </c>
      <c r="L276" s="20">
        <f t="shared" si="79"/>
        <v>29.830000000000211</v>
      </c>
      <c r="M276" s="20">
        <f t="shared" si="79"/>
        <v>30.7800000000002</v>
      </c>
      <c r="N276" s="20">
        <f t="shared" si="79"/>
        <v>30.305000000000177</v>
      </c>
      <c r="O276" s="20">
        <f>P275+$AO$257</f>
        <v>269.83000000000021</v>
      </c>
      <c r="P276" s="20">
        <f t="shared" si="77"/>
        <v>270.7800000000002</v>
      </c>
      <c r="Q276" s="20">
        <f t="shared" si="91"/>
        <v>270.30500000000018</v>
      </c>
      <c r="R276" s="20">
        <f t="shared" si="80"/>
        <v>271.83000000000021</v>
      </c>
      <c r="S276" s="20">
        <f t="shared" si="75"/>
        <v>272.7800000000002</v>
      </c>
      <c r="T276" s="20">
        <f t="shared" si="76"/>
        <v>272.30500000000018</v>
      </c>
      <c r="U276" s="20">
        <v>272.30500000000018</v>
      </c>
      <c r="V276" s="22">
        <v>5.6225999999999985</v>
      </c>
      <c r="W276" s="22">
        <v>1.7871999999999999</v>
      </c>
      <c r="X276" s="23">
        <v>1.1476266666666668</v>
      </c>
      <c r="Y276" s="23">
        <f t="shared" si="84"/>
        <v>4.4749733333333319</v>
      </c>
      <c r="Z276" s="23">
        <f t="shared" si="85"/>
        <v>0.6395733333333331</v>
      </c>
      <c r="AA276" s="22">
        <f t="shared" si="86"/>
        <v>85.70777330516681</v>
      </c>
      <c r="AB276" s="22">
        <f t="shared" si="87"/>
        <v>14.29222669483319</v>
      </c>
      <c r="AC276" s="22">
        <f t="shared" si="88"/>
        <v>1.1853105595631759</v>
      </c>
      <c r="AD276" s="22">
        <f t="shared" si="89"/>
        <v>0.16940727221056487</v>
      </c>
      <c r="AE276" s="24">
        <v>5.0739000000000001</v>
      </c>
      <c r="AF276" s="24">
        <v>5.4044999999999996</v>
      </c>
      <c r="AG276" s="24">
        <v>5.1285999999999996</v>
      </c>
      <c r="AH276" s="25">
        <f>AG276-AE276</f>
        <v>5.4699999999999527E-2</v>
      </c>
      <c r="AI276" s="25">
        <v>83.454325468844644</v>
      </c>
      <c r="AJ276" s="26">
        <v>4.1727162734422327</v>
      </c>
      <c r="AK276" s="25">
        <v>41.727162734422322</v>
      </c>
      <c r="AL276" s="26">
        <v>4.1736867513805622</v>
      </c>
      <c r="AM276" s="17">
        <f t="shared" si="90"/>
        <v>0.5780346820809249</v>
      </c>
      <c r="AN276" s="17"/>
      <c r="AO276" s="27"/>
      <c r="AP276" s="17"/>
      <c r="AQ276" s="17"/>
      <c r="AR276" s="17"/>
      <c r="AS276" s="17"/>
      <c r="AT276" s="17"/>
      <c r="AU276" s="17"/>
      <c r="AV276" s="17"/>
      <c r="AW276" s="17"/>
      <c r="AX276" s="17"/>
      <c r="BB276" s="17"/>
    </row>
    <row r="277" spans="1:54" x14ac:dyDescent="0.2">
      <c r="A277" s="17" t="s">
        <v>41</v>
      </c>
      <c r="B277" s="18" t="s">
        <v>42</v>
      </c>
      <c r="C277" s="18" t="str">
        <f t="shared" si="82"/>
        <v>BI10.7</v>
      </c>
      <c r="D277" s="18" t="str">
        <f t="shared" si="83"/>
        <v>BI10.7_276</v>
      </c>
      <c r="E277" s="17">
        <v>7</v>
      </c>
      <c r="F277" s="19">
        <v>276</v>
      </c>
      <c r="G277" s="20">
        <v>2.4</v>
      </c>
      <c r="H277" s="20">
        <v>2.5499999999999998</v>
      </c>
      <c r="I277" s="20">
        <v>1</v>
      </c>
      <c r="J277" s="20">
        <f t="shared" si="81"/>
        <v>4.8086156249999989</v>
      </c>
      <c r="K277" s="53">
        <v>0.21999999999999975</v>
      </c>
      <c r="L277" s="20">
        <f t="shared" si="79"/>
        <v>31.000000000000227</v>
      </c>
      <c r="M277" s="20">
        <f t="shared" si="79"/>
        <v>32.000000000000227</v>
      </c>
      <c r="N277" s="20">
        <f t="shared" si="79"/>
        <v>31.500000000000227</v>
      </c>
      <c r="O277" s="20">
        <f>P276+$AO$257</f>
        <v>271.00000000000023</v>
      </c>
      <c r="P277" s="20">
        <f t="shared" si="77"/>
        <v>272.00000000000023</v>
      </c>
      <c r="Q277" s="20">
        <f t="shared" si="91"/>
        <v>271.50000000000023</v>
      </c>
      <c r="R277" s="20">
        <f t="shared" si="80"/>
        <v>273.00000000000023</v>
      </c>
      <c r="S277" s="20">
        <f t="shared" si="75"/>
        <v>274.00000000000023</v>
      </c>
      <c r="T277" s="20">
        <f t="shared" si="76"/>
        <v>273.50000000000023</v>
      </c>
      <c r="U277" s="20">
        <v>273.50000000000023</v>
      </c>
      <c r="V277" s="22">
        <v>6.665499999999998</v>
      </c>
      <c r="W277" s="22">
        <v>1.9583999999999999</v>
      </c>
      <c r="X277" s="23">
        <v>1.1476266666666668</v>
      </c>
      <c r="Y277" s="23">
        <f t="shared" si="84"/>
        <v>5.5178733333333314</v>
      </c>
      <c r="Z277" s="23">
        <f t="shared" si="85"/>
        <v>0.81077333333333312</v>
      </c>
      <c r="AA277" s="22">
        <f t="shared" si="86"/>
        <v>85.306416360892669</v>
      </c>
      <c r="AB277" s="22">
        <f t="shared" si="87"/>
        <v>14.693583639107331</v>
      </c>
      <c r="AC277" s="22">
        <f t="shared" si="88"/>
        <v>1.1474972764813849</v>
      </c>
      <c r="AD277" s="22">
        <f t="shared" si="89"/>
        <v>0.16860847207627108</v>
      </c>
      <c r="AE277" s="24">
        <v>5.6795</v>
      </c>
      <c r="AF277" s="24">
        <v>6.0449999999999999</v>
      </c>
      <c r="AG277" s="24">
        <v>5.7413999999999996</v>
      </c>
      <c r="AH277" s="25">
        <f>AG277-AE277</f>
        <v>6.1899999999999622E-2</v>
      </c>
      <c r="AI277" s="25">
        <v>83.064295485636222</v>
      </c>
      <c r="AJ277" s="26">
        <v>4.1532147742818113</v>
      </c>
      <c r="AK277" s="25">
        <v>41.532147742818111</v>
      </c>
      <c r="AL277" s="26">
        <v>4.1541898080507487</v>
      </c>
      <c r="AM277" s="17">
        <f t="shared" si="90"/>
        <v>0.5780346820809249</v>
      </c>
      <c r="AN277" s="17"/>
      <c r="AO277" s="27"/>
      <c r="AP277" s="17"/>
      <c r="AQ277" s="17"/>
      <c r="AR277" s="17"/>
      <c r="AS277" s="17"/>
      <c r="AT277" s="17"/>
      <c r="AU277" s="17"/>
      <c r="AV277" s="17"/>
      <c r="AW277" s="17"/>
      <c r="AX277" s="17"/>
      <c r="BB277" s="17"/>
    </row>
    <row r="278" spans="1:54" x14ac:dyDescent="0.2">
      <c r="A278" s="17" t="s">
        <v>41</v>
      </c>
      <c r="B278" s="18" t="s">
        <v>42</v>
      </c>
      <c r="C278" s="18" t="str">
        <f t="shared" si="82"/>
        <v>BI10.7</v>
      </c>
      <c r="D278" s="18" t="str">
        <f t="shared" si="83"/>
        <v>BI10.7_277</v>
      </c>
      <c r="E278" s="17">
        <v>7</v>
      </c>
      <c r="F278" s="19">
        <v>277</v>
      </c>
      <c r="G278" s="20">
        <v>2.25</v>
      </c>
      <c r="H278" s="20">
        <v>2.5</v>
      </c>
      <c r="I278" s="20">
        <v>1</v>
      </c>
      <c r="J278" s="20">
        <f t="shared" si="81"/>
        <v>4.4278906249999999</v>
      </c>
      <c r="K278" s="53">
        <v>0.21999999999999975</v>
      </c>
      <c r="L278" s="20">
        <f t="shared" si="79"/>
        <v>32.220000000000255</v>
      </c>
      <c r="M278" s="20">
        <f t="shared" si="79"/>
        <v>33.220000000000255</v>
      </c>
      <c r="N278" s="20">
        <f t="shared" si="79"/>
        <v>32.720000000000255</v>
      </c>
      <c r="O278" s="20">
        <f>P277+$AO$257</f>
        <v>272.22000000000025</v>
      </c>
      <c r="P278" s="20">
        <f t="shared" si="77"/>
        <v>273.22000000000025</v>
      </c>
      <c r="Q278" s="20">
        <f t="shared" si="91"/>
        <v>272.72000000000025</v>
      </c>
      <c r="R278" s="20">
        <f t="shared" si="80"/>
        <v>274.22000000000025</v>
      </c>
      <c r="S278" s="20">
        <f t="shared" si="75"/>
        <v>275.22000000000025</v>
      </c>
      <c r="T278" s="20">
        <f t="shared" si="76"/>
        <v>274.72000000000025</v>
      </c>
      <c r="U278" s="20">
        <v>274.72000000000025</v>
      </c>
      <c r="V278" s="22">
        <v>6.3765000000000001</v>
      </c>
      <c r="W278" s="22">
        <v>1.8974</v>
      </c>
      <c r="X278" s="23">
        <v>1.1476266666666668</v>
      </c>
      <c r="Y278" s="23">
        <f t="shared" si="84"/>
        <v>5.2288733333333335</v>
      </c>
      <c r="Z278" s="23">
        <f t="shared" si="85"/>
        <v>0.74977333333333318</v>
      </c>
      <c r="AA278" s="22">
        <f t="shared" si="86"/>
        <v>85.660900818659485</v>
      </c>
      <c r="AB278" s="22">
        <f t="shared" si="87"/>
        <v>14.339099181340515</v>
      </c>
      <c r="AC278" s="22">
        <f t="shared" si="88"/>
        <v>1.1808948721115562</v>
      </c>
      <c r="AD278" s="22">
        <f t="shared" si="89"/>
        <v>0.16932968693944042</v>
      </c>
      <c r="AE278" s="24">
        <v>5.0138999999999996</v>
      </c>
      <c r="AF278" s="24">
        <v>5.5445000000000002</v>
      </c>
      <c r="AG278" s="24">
        <v>5.0949999999999998</v>
      </c>
      <c r="AH278" s="25">
        <f>AG278-AE278</f>
        <v>8.1100000000000172E-2</v>
      </c>
      <c r="AI278" s="25">
        <v>84.715416509611742</v>
      </c>
      <c r="AJ278" s="26">
        <v>4.2357708254805875</v>
      </c>
      <c r="AK278" s="25">
        <v>42.357708254805871</v>
      </c>
      <c r="AL278" s="26">
        <v>4.2367268599701466</v>
      </c>
      <c r="AM278" s="17">
        <f t="shared" si="90"/>
        <v>0.5780346820809249</v>
      </c>
      <c r="AN278" s="17"/>
      <c r="AO278" s="27"/>
      <c r="AP278" s="17"/>
      <c r="AQ278" s="17"/>
      <c r="AR278" s="17"/>
      <c r="AS278" s="17"/>
      <c r="AT278" s="17"/>
      <c r="AU278" s="17"/>
      <c r="AV278" s="17"/>
      <c r="AW278" s="17"/>
      <c r="AX278" s="17"/>
      <c r="BB278" s="17"/>
    </row>
    <row r="279" spans="1:54" x14ac:dyDescent="0.2">
      <c r="A279" s="17" t="s">
        <v>41</v>
      </c>
      <c r="B279" s="18" t="s">
        <v>42</v>
      </c>
      <c r="C279" s="18" t="str">
        <f t="shared" si="82"/>
        <v>BI10.7</v>
      </c>
      <c r="D279" s="18" t="str">
        <f t="shared" si="83"/>
        <v>BI10.7_278</v>
      </c>
      <c r="E279" s="17">
        <v>7</v>
      </c>
      <c r="F279" s="19">
        <v>278</v>
      </c>
      <c r="G279" s="20">
        <v>2.6</v>
      </c>
      <c r="H279" s="20">
        <v>2.4500000000000002</v>
      </c>
      <c r="I279" s="20">
        <v>1</v>
      </c>
      <c r="J279" s="20">
        <f t="shared" si="81"/>
        <v>5.0048656250000016</v>
      </c>
      <c r="K279" s="53">
        <v>0.21999999999999975</v>
      </c>
      <c r="L279" s="20">
        <f t="shared" si="79"/>
        <v>33.440000000000282</v>
      </c>
      <c r="M279" s="20">
        <f t="shared" si="79"/>
        <v>34.440000000000282</v>
      </c>
      <c r="N279" s="20">
        <f t="shared" si="79"/>
        <v>33.940000000000282</v>
      </c>
      <c r="O279" s="20">
        <f>P278+$AO$257</f>
        <v>273.44000000000028</v>
      </c>
      <c r="P279" s="20">
        <f t="shared" si="77"/>
        <v>274.44000000000028</v>
      </c>
      <c r="Q279" s="20">
        <f t="shared" si="91"/>
        <v>273.94000000000028</v>
      </c>
      <c r="R279" s="20">
        <f t="shared" si="80"/>
        <v>275.44000000000028</v>
      </c>
      <c r="S279" s="20">
        <f t="shared" si="75"/>
        <v>276.44000000000028</v>
      </c>
      <c r="T279" s="20">
        <f t="shared" si="76"/>
        <v>275.94000000000028</v>
      </c>
      <c r="U279" s="20">
        <v>275.94000000000028</v>
      </c>
      <c r="V279" s="22">
        <v>7.1620999999999988</v>
      </c>
      <c r="W279" s="22">
        <v>1.9934000000000001</v>
      </c>
      <c r="X279" s="23">
        <v>1.1476266666666668</v>
      </c>
      <c r="Y279" s="23">
        <f t="shared" si="84"/>
        <v>6.0144733333333322</v>
      </c>
      <c r="Z279" s="23">
        <f t="shared" si="85"/>
        <v>0.84577333333333327</v>
      </c>
      <c r="AA279" s="22">
        <f t="shared" si="86"/>
        <v>85.937699172329857</v>
      </c>
      <c r="AB279" s="22">
        <f t="shared" si="87"/>
        <v>14.062300827670143</v>
      </c>
      <c r="AC279" s="22">
        <f t="shared" si="88"/>
        <v>1.2017252377946372</v>
      </c>
      <c r="AD279" s="22">
        <f t="shared" si="89"/>
        <v>0.16899021806071626</v>
      </c>
      <c r="AE279" s="24">
        <v>5.3924000000000003</v>
      </c>
      <c r="AF279" s="24">
        <v>5.7035</v>
      </c>
      <c r="AG279" s="24">
        <v>5.44</v>
      </c>
      <c r="AH279" s="25">
        <f>AG279-AE279</f>
        <v>4.7600000000000087E-2</v>
      </c>
      <c r="AI279" s="25">
        <v>84.699453551912526</v>
      </c>
      <c r="AJ279" s="26">
        <v>4.2349726775956267</v>
      </c>
      <c r="AK279" s="25">
        <v>42.349726775956263</v>
      </c>
      <c r="AL279" s="26">
        <v>4.2359288922244049</v>
      </c>
      <c r="AM279" s="17">
        <f t="shared" si="90"/>
        <v>0.5780346820809249</v>
      </c>
      <c r="AN279" s="17"/>
      <c r="AO279" s="27"/>
      <c r="AP279" s="17"/>
      <c r="AQ279" s="17"/>
      <c r="AR279" s="17"/>
      <c r="AS279" s="17"/>
      <c r="AT279" s="17"/>
      <c r="AU279" s="17"/>
      <c r="AV279" s="17"/>
      <c r="AW279" s="17"/>
      <c r="AX279" s="17"/>
      <c r="BB279" s="17"/>
    </row>
    <row r="280" spans="1:54" x14ac:dyDescent="0.2">
      <c r="A280" s="17" t="s">
        <v>41</v>
      </c>
      <c r="B280" s="18" t="s">
        <v>42</v>
      </c>
      <c r="C280" s="18" t="str">
        <f t="shared" si="82"/>
        <v>BI10.7</v>
      </c>
      <c r="D280" s="18" t="str">
        <f t="shared" si="83"/>
        <v>BI10.7_279</v>
      </c>
      <c r="E280" s="17">
        <v>7</v>
      </c>
      <c r="F280" s="19">
        <v>279</v>
      </c>
      <c r="G280" s="20">
        <v>2.5</v>
      </c>
      <c r="H280" s="20">
        <v>2.5</v>
      </c>
      <c r="I280" s="20">
        <v>1</v>
      </c>
      <c r="J280" s="20">
        <f t="shared" si="81"/>
        <v>4.90625</v>
      </c>
      <c r="K280" s="53">
        <v>0.21999999999999975</v>
      </c>
      <c r="L280" s="20">
        <f t="shared" si="79"/>
        <v>34.660000000000309</v>
      </c>
      <c r="M280" s="20">
        <f t="shared" si="79"/>
        <v>35.660000000000309</v>
      </c>
      <c r="N280" s="20">
        <f t="shared" si="79"/>
        <v>35.160000000000309</v>
      </c>
      <c r="O280" s="20">
        <f>P279+$AO$257</f>
        <v>274.66000000000031</v>
      </c>
      <c r="P280" s="20">
        <f t="shared" si="77"/>
        <v>275.66000000000031</v>
      </c>
      <c r="Q280" s="20">
        <f t="shared" si="91"/>
        <v>275.16000000000031</v>
      </c>
      <c r="R280" s="20">
        <f t="shared" si="80"/>
        <v>276.66000000000031</v>
      </c>
      <c r="S280" s="20">
        <f t="shared" si="75"/>
        <v>277.66000000000031</v>
      </c>
      <c r="T280" s="20">
        <f t="shared" si="76"/>
        <v>277.16000000000031</v>
      </c>
      <c r="U280" s="20">
        <v>277.16000000000031</v>
      </c>
      <c r="V280" s="22">
        <v>6.9619999999999997</v>
      </c>
      <c r="W280" s="22">
        <v>1.9871000000000001</v>
      </c>
      <c r="X280" s="23">
        <v>1.1476266666666668</v>
      </c>
      <c r="Y280" s="23">
        <f t="shared" si="84"/>
        <v>5.8143733333333332</v>
      </c>
      <c r="Z280" s="23">
        <f t="shared" si="85"/>
        <v>0.83947333333333329</v>
      </c>
      <c r="AA280" s="22">
        <f t="shared" si="86"/>
        <v>85.562101275459895</v>
      </c>
      <c r="AB280" s="22">
        <f t="shared" si="87"/>
        <v>14.437898724540105</v>
      </c>
      <c r="AC280" s="22">
        <f t="shared" si="88"/>
        <v>1.1850952016985137</v>
      </c>
      <c r="AD280" s="22">
        <f t="shared" si="89"/>
        <v>0.17110284501061571</v>
      </c>
      <c r="AE280" s="24">
        <v>5.6681999999999997</v>
      </c>
      <c r="AF280" s="24">
        <v>6.1340000000000003</v>
      </c>
      <c r="AG280" s="24">
        <v>5.7503000000000002</v>
      </c>
      <c r="AH280" s="25">
        <f>AG280-AE280</f>
        <v>8.2100000000000506E-2</v>
      </c>
      <c r="AI280" s="25">
        <v>82.374409617861659</v>
      </c>
      <c r="AJ280" s="26">
        <v>4.1187204808930833</v>
      </c>
      <c r="AK280" s="25">
        <v>41.187204808930829</v>
      </c>
      <c r="AL280" s="26">
        <v>4.1197036786312866</v>
      </c>
      <c r="AM280" s="17">
        <f t="shared" si="90"/>
        <v>0.5780346820809249</v>
      </c>
      <c r="AN280" s="17"/>
      <c r="AO280" s="27"/>
      <c r="AP280" s="17"/>
      <c r="AQ280" s="17"/>
      <c r="AR280" s="17"/>
      <c r="AS280" s="17"/>
      <c r="AT280" s="17"/>
      <c r="AU280" s="17"/>
      <c r="AV280" s="17"/>
      <c r="AW280" s="17"/>
      <c r="AX280" s="17"/>
      <c r="BB280" s="17"/>
    </row>
    <row r="281" spans="1:54" x14ac:dyDescent="0.2">
      <c r="A281" s="17" t="s">
        <v>41</v>
      </c>
      <c r="B281" s="18" t="s">
        <v>42</v>
      </c>
      <c r="C281" s="18" t="str">
        <f t="shared" si="82"/>
        <v>BI10.7</v>
      </c>
      <c r="D281" s="18" t="str">
        <f t="shared" si="83"/>
        <v>BI10.7_280</v>
      </c>
      <c r="E281" s="17">
        <v>7</v>
      </c>
      <c r="F281" s="19">
        <v>280</v>
      </c>
      <c r="G281" s="20">
        <v>2.25</v>
      </c>
      <c r="H281" s="20">
        <v>2.4</v>
      </c>
      <c r="I281" s="20">
        <v>1</v>
      </c>
      <c r="J281" s="20">
        <f t="shared" si="81"/>
        <v>4.2434156250000008</v>
      </c>
      <c r="K281" s="53">
        <v>0.21999999999999975</v>
      </c>
      <c r="L281" s="20">
        <f t="shared" si="79"/>
        <v>35.880000000000337</v>
      </c>
      <c r="M281" s="20">
        <f t="shared" si="79"/>
        <v>36.880000000000337</v>
      </c>
      <c r="N281" s="20">
        <f t="shared" si="79"/>
        <v>36.380000000000337</v>
      </c>
      <c r="O281" s="20">
        <f>P280+$AO$257</f>
        <v>275.88000000000034</v>
      </c>
      <c r="P281" s="20">
        <f t="shared" si="77"/>
        <v>276.88000000000034</v>
      </c>
      <c r="Q281" s="20">
        <f t="shared" si="91"/>
        <v>276.38000000000034</v>
      </c>
      <c r="R281" s="20">
        <f t="shared" si="80"/>
        <v>277.88000000000034</v>
      </c>
      <c r="S281" s="20">
        <f t="shared" si="75"/>
        <v>278.88000000000034</v>
      </c>
      <c r="T281" s="20">
        <f t="shared" si="76"/>
        <v>278.38000000000034</v>
      </c>
      <c r="U281" s="20">
        <v>278.38000000000034</v>
      </c>
      <c r="V281" s="22">
        <v>6.9508999999999972</v>
      </c>
      <c r="W281" s="22">
        <v>2.0261</v>
      </c>
      <c r="X281" s="23">
        <v>1.1476266666666668</v>
      </c>
      <c r="Y281" s="23">
        <f t="shared" si="84"/>
        <v>5.8032733333333306</v>
      </c>
      <c r="Z281" s="23">
        <f t="shared" si="85"/>
        <v>0.87847333333333322</v>
      </c>
      <c r="AA281" s="22">
        <f t="shared" si="86"/>
        <v>84.862451191339133</v>
      </c>
      <c r="AB281" s="22">
        <f t="shared" si="87"/>
        <v>15.137548808660867</v>
      </c>
      <c r="AC281" s="22">
        <f t="shared" si="88"/>
        <v>1.3675948448564543</v>
      </c>
      <c r="AD281" s="22">
        <f t="shared" si="89"/>
        <v>0.20702033714487561</v>
      </c>
      <c r="AE281" s="24">
        <v>5.3856999999999999</v>
      </c>
      <c r="AF281" s="24">
        <v>5.8859000000000004</v>
      </c>
      <c r="AG281" s="24">
        <v>5.4653999999999998</v>
      </c>
      <c r="AH281" s="25">
        <f>AG281-AE281</f>
        <v>7.9699999999999882E-2</v>
      </c>
      <c r="AI281" s="25">
        <v>84.066373450619793</v>
      </c>
      <c r="AJ281" s="26">
        <v>4.2033186725309895</v>
      </c>
      <c r="AK281" s="25">
        <v>42.033186725309896</v>
      </c>
      <c r="AL281" s="26">
        <v>4.2042820864979644</v>
      </c>
      <c r="AM281" s="17">
        <f t="shared" si="90"/>
        <v>0.5780346820809249</v>
      </c>
      <c r="AN281" s="17"/>
      <c r="AO281" s="27"/>
      <c r="AP281" s="17"/>
      <c r="AQ281" s="17"/>
      <c r="AR281" s="17"/>
      <c r="AS281" s="17"/>
      <c r="AT281" s="17"/>
      <c r="AU281" s="17"/>
      <c r="AV281" s="17"/>
      <c r="AW281" s="17"/>
      <c r="AX281" s="17"/>
      <c r="BB281" s="17"/>
    </row>
    <row r="282" spans="1:54" x14ac:dyDescent="0.2">
      <c r="A282" s="17" t="s">
        <v>41</v>
      </c>
      <c r="B282" s="18" t="s">
        <v>42</v>
      </c>
      <c r="C282" s="18" t="str">
        <f t="shared" si="82"/>
        <v>BI10.7</v>
      </c>
      <c r="D282" s="18" t="str">
        <f t="shared" si="83"/>
        <v>BI10.7_281</v>
      </c>
      <c r="E282" s="17">
        <v>7</v>
      </c>
      <c r="F282" s="19">
        <v>281</v>
      </c>
      <c r="G282" s="20">
        <v>2.5</v>
      </c>
      <c r="H282" s="20">
        <v>2.6</v>
      </c>
      <c r="I282" s="20">
        <v>1</v>
      </c>
      <c r="J282" s="20">
        <f t="shared" si="81"/>
        <v>5.1044624999999995</v>
      </c>
      <c r="K282" s="53">
        <v>0.21999999999999975</v>
      </c>
      <c r="L282" s="20">
        <f t="shared" si="79"/>
        <v>37.100000000000364</v>
      </c>
      <c r="M282" s="20">
        <f t="shared" si="79"/>
        <v>38.100000000000364</v>
      </c>
      <c r="N282" s="20">
        <f t="shared" si="79"/>
        <v>37.600000000000364</v>
      </c>
      <c r="O282" s="20">
        <f>P281+$AO$257</f>
        <v>277.10000000000036</v>
      </c>
      <c r="P282" s="20">
        <f t="shared" si="77"/>
        <v>278.10000000000036</v>
      </c>
      <c r="Q282" s="20">
        <f t="shared" si="91"/>
        <v>277.60000000000036</v>
      </c>
      <c r="R282" s="20">
        <f t="shared" si="80"/>
        <v>279.10000000000036</v>
      </c>
      <c r="S282" s="20">
        <f t="shared" si="75"/>
        <v>280.10000000000036</v>
      </c>
      <c r="T282" s="20">
        <f t="shared" si="76"/>
        <v>279.60000000000036</v>
      </c>
      <c r="U282" s="20">
        <v>279.60000000000036</v>
      </c>
      <c r="V282" s="22">
        <v>7.4099000000000004</v>
      </c>
      <c r="W282" s="22">
        <v>2.1423999999999999</v>
      </c>
      <c r="X282" s="23">
        <v>1.1476266666666668</v>
      </c>
      <c r="Y282" s="23">
        <f t="shared" si="84"/>
        <v>6.2622733333333338</v>
      </c>
      <c r="Z282" s="23">
        <f t="shared" si="85"/>
        <v>0.99477333333333307</v>
      </c>
      <c r="AA282" s="22">
        <f t="shared" si="86"/>
        <v>84.114820922327468</v>
      </c>
      <c r="AB282" s="22">
        <f t="shared" si="87"/>
        <v>15.885179077672532</v>
      </c>
      <c r="AC282" s="22">
        <f t="shared" si="88"/>
        <v>1.2268232616721808</v>
      </c>
      <c r="AD282" s="22">
        <f t="shared" si="89"/>
        <v>0.19488307208316902</v>
      </c>
      <c r="AE282" s="24">
        <v>5.5164</v>
      </c>
      <c r="AF282" s="24">
        <v>6.0065</v>
      </c>
      <c r="AG282" s="24">
        <v>5.5964</v>
      </c>
      <c r="AH282" s="25">
        <f>AG282-AE282</f>
        <v>8.0000000000000071E-2</v>
      </c>
      <c r="AI282" s="25">
        <v>83.676800652927966</v>
      </c>
      <c r="AJ282" s="26">
        <v>4.1838400326463985</v>
      </c>
      <c r="AK282" s="25">
        <v>41.838400326463983</v>
      </c>
      <c r="AL282" s="26">
        <v>4.184807930929999</v>
      </c>
      <c r="AM282" s="17">
        <f t="shared" si="90"/>
        <v>0.5780346820809249</v>
      </c>
      <c r="AN282" s="17"/>
      <c r="AO282" s="27"/>
      <c r="AP282" s="17"/>
      <c r="AQ282" s="17"/>
      <c r="AR282" s="17"/>
      <c r="AS282" s="17"/>
      <c r="AT282" s="17"/>
      <c r="AU282" s="17"/>
      <c r="AV282" s="17"/>
      <c r="AW282" s="17"/>
      <c r="AX282" s="17"/>
      <c r="BB282" s="17"/>
    </row>
    <row r="283" spans="1:54" x14ac:dyDescent="0.2">
      <c r="A283" s="17" t="s">
        <v>41</v>
      </c>
      <c r="B283" s="18" t="s">
        <v>42</v>
      </c>
      <c r="C283" s="18" t="str">
        <f t="shared" si="82"/>
        <v>BI10.7</v>
      </c>
      <c r="D283" s="18" t="str">
        <f t="shared" si="83"/>
        <v>BI10.7_282</v>
      </c>
      <c r="E283" s="17">
        <v>7</v>
      </c>
      <c r="F283" s="19">
        <v>282</v>
      </c>
      <c r="G283" s="20">
        <v>2.5</v>
      </c>
      <c r="H283" s="20">
        <v>2.4</v>
      </c>
      <c r="I283" s="20">
        <v>1</v>
      </c>
      <c r="J283" s="20">
        <f t="shared" si="81"/>
        <v>4.7119625000000003</v>
      </c>
      <c r="K283" s="53">
        <v>0.21999999999999975</v>
      </c>
      <c r="L283" s="20">
        <f t="shared" si="79"/>
        <v>38.320000000000391</v>
      </c>
      <c r="M283" s="20">
        <f t="shared" si="79"/>
        <v>39.320000000000391</v>
      </c>
      <c r="N283" s="20">
        <f t="shared" si="79"/>
        <v>38.820000000000391</v>
      </c>
      <c r="O283" s="20">
        <f>P282+$AO$257</f>
        <v>278.32000000000039</v>
      </c>
      <c r="P283" s="20">
        <f t="shared" si="77"/>
        <v>279.32000000000039</v>
      </c>
      <c r="Q283" s="20">
        <f t="shared" si="91"/>
        <v>278.82000000000039</v>
      </c>
      <c r="R283" s="20">
        <f t="shared" si="80"/>
        <v>280.32000000000039</v>
      </c>
      <c r="S283" s="20">
        <f t="shared" si="75"/>
        <v>281.32000000000039</v>
      </c>
      <c r="T283" s="20">
        <f t="shared" si="76"/>
        <v>280.82000000000039</v>
      </c>
      <c r="U283" s="20">
        <v>280.82000000000039</v>
      </c>
      <c r="V283" s="22">
        <v>6.9557000000000002</v>
      </c>
      <c r="W283" s="22">
        <v>2.0674000000000001</v>
      </c>
      <c r="X283" s="23">
        <v>1.1476266666666668</v>
      </c>
      <c r="Y283" s="23">
        <f t="shared" si="84"/>
        <v>5.8080733333333336</v>
      </c>
      <c r="Z283" s="23">
        <f t="shared" si="85"/>
        <v>0.91977333333333333</v>
      </c>
      <c r="AA283" s="22">
        <f t="shared" si="86"/>
        <v>84.163882228300608</v>
      </c>
      <c r="AB283" s="22">
        <f t="shared" si="87"/>
        <v>15.836117771699392</v>
      </c>
      <c r="AC283" s="22">
        <f t="shared" si="88"/>
        <v>1.2326229959031578</v>
      </c>
      <c r="AD283" s="22">
        <f t="shared" si="89"/>
        <v>0.19519962931227344</v>
      </c>
      <c r="AE283" s="24">
        <v>5.5387000000000004</v>
      </c>
      <c r="AF283" s="24">
        <v>6.0347999999999997</v>
      </c>
      <c r="AG283" s="24">
        <v>5.6199000000000003</v>
      </c>
      <c r="AH283" s="25">
        <f>AG283-AE283</f>
        <v>8.1199999999999939E-2</v>
      </c>
      <c r="AI283" s="25">
        <v>83.632332191090498</v>
      </c>
      <c r="AJ283" s="26">
        <v>4.1816166095545251</v>
      </c>
      <c r="AK283" s="25">
        <v>41.816166095545249</v>
      </c>
      <c r="AL283" s="26">
        <v>4.1825850223638348</v>
      </c>
      <c r="AM283" s="17">
        <f t="shared" si="90"/>
        <v>0.5780346820809249</v>
      </c>
      <c r="AN283" s="17"/>
      <c r="AO283" s="27"/>
      <c r="AP283" s="17"/>
      <c r="AQ283" s="17"/>
      <c r="AR283" s="17"/>
      <c r="AS283" s="17"/>
      <c r="AT283" s="17"/>
      <c r="AU283" s="17"/>
      <c r="AV283" s="17"/>
      <c r="AW283" s="17"/>
      <c r="AX283" s="17"/>
      <c r="BB283" s="17"/>
    </row>
    <row r="284" spans="1:54" x14ac:dyDescent="0.2">
      <c r="A284" s="17" t="s">
        <v>41</v>
      </c>
      <c r="B284" s="18" t="s">
        <v>42</v>
      </c>
      <c r="C284" s="18" t="str">
        <f t="shared" si="82"/>
        <v>BI10.7</v>
      </c>
      <c r="D284" s="18" t="str">
        <f t="shared" si="83"/>
        <v>BI10.7_283</v>
      </c>
      <c r="E284" s="17">
        <v>7</v>
      </c>
      <c r="F284" s="19">
        <v>283</v>
      </c>
      <c r="G284" s="20">
        <v>2.3580000000000001</v>
      </c>
      <c r="H284" s="20">
        <v>2.6</v>
      </c>
      <c r="I284" s="20">
        <v>0.95</v>
      </c>
      <c r="J284" s="20">
        <f t="shared" si="81"/>
        <v>4.5829626257500005</v>
      </c>
      <c r="K284" s="53">
        <v>0.21999999999999975</v>
      </c>
      <c r="L284" s="20">
        <f t="shared" si="79"/>
        <v>39.540000000000418</v>
      </c>
      <c r="M284" s="20">
        <f t="shared" si="79"/>
        <v>40.490000000000407</v>
      </c>
      <c r="N284" s="20">
        <f t="shared" si="79"/>
        <v>40.015000000000441</v>
      </c>
      <c r="O284" s="20">
        <f>P283+$AO$257</f>
        <v>279.54000000000042</v>
      </c>
      <c r="P284" s="20">
        <f t="shared" si="77"/>
        <v>280.49000000000041</v>
      </c>
      <c r="Q284" s="20">
        <f t="shared" si="91"/>
        <v>280.01500000000044</v>
      </c>
      <c r="R284" s="20">
        <f t="shared" si="80"/>
        <v>281.54000000000042</v>
      </c>
      <c r="S284" s="20">
        <f t="shared" si="75"/>
        <v>282.49000000000041</v>
      </c>
      <c r="T284" s="20">
        <f t="shared" si="76"/>
        <v>282.01500000000044</v>
      </c>
      <c r="U284" s="20">
        <v>282.01500000000044</v>
      </c>
      <c r="V284" s="22">
        <v>6.5459999999999994</v>
      </c>
      <c r="W284" s="22">
        <v>2.0621999999999998</v>
      </c>
      <c r="X284" s="23">
        <v>1.1476266666666668</v>
      </c>
      <c r="Y284" s="23">
        <f t="shared" si="84"/>
        <v>5.3983733333333328</v>
      </c>
      <c r="Z284" s="23">
        <f t="shared" si="85"/>
        <v>0.91457333333333302</v>
      </c>
      <c r="AA284" s="22">
        <f t="shared" si="86"/>
        <v>83.058353380524508</v>
      </c>
      <c r="AB284" s="22">
        <f t="shared" si="87"/>
        <v>16.941646619475492</v>
      </c>
      <c r="AC284" s="22">
        <f t="shared" si="88"/>
        <v>1.1779221813858651</v>
      </c>
      <c r="AD284" s="22">
        <f t="shared" si="89"/>
        <v>0.19955941342281039</v>
      </c>
      <c r="AE284" s="24">
        <v>4.8875999999999999</v>
      </c>
      <c r="AF284" s="24">
        <v>5.3558000000000003</v>
      </c>
      <c r="AG284" s="24">
        <v>4.9702000000000002</v>
      </c>
      <c r="AH284" s="25">
        <f>AG284-AE284</f>
        <v>8.2600000000000229E-2</v>
      </c>
      <c r="AI284" s="25">
        <v>82.357966680905562</v>
      </c>
      <c r="AJ284" s="26">
        <v>4.1178983340452779</v>
      </c>
      <c r="AK284" s="25">
        <v>41.178983340452781</v>
      </c>
      <c r="AL284" s="26">
        <v>4.1188817280340633</v>
      </c>
      <c r="AM284" s="17">
        <f t="shared" si="90"/>
        <v>0.5780346820809249</v>
      </c>
      <c r="AN284" s="17"/>
      <c r="AO284" s="27"/>
      <c r="AP284" s="17"/>
      <c r="AQ284" s="17"/>
      <c r="AR284" s="17"/>
      <c r="AS284" s="17"/>
      <c r="AT284" s="17"/>
      <c r="AU284" s="17"/>
      <c r="AV284" s="17"/>
      <c r="AW284" s="17"/>
      <c r="AX284" s="17"/>
      <c r="BB284" s="17"/>
    </row>
    <row r="285" spans="1:54" x14ac:dyDescent="0.2">
      <c r="A285" s="17" t="s">
        <v>41</v>
      </c>
      <c r="B285" s="18" t="s">
        <v>42</v>
      </c>
      <c r="C285" s="18" t="str">
        <f t="shared" si="82"/>
        <v>BI10.7</v>
      </c>
      <c r="D285" s="18" t="str">
        <f t="shared" si="83"/>
        <v>BI10.7_284</v>
      </c>
      <c r="E285" s="17">
        <v>7</v>
      </c>
      <c r="F285" s="19">
        <v>284</v>
      </c>
      <c r="G285" s="20">
        <v>2.6</v>
      </c>
      <c r="H285" s="20">
        <v>2.4</v>
      </c>
      <c r="I285" s="20">
        <v>1</v>
      </c>
      <c r="J285" s="20">
        <f t="shared" si="81"/>
        <v>4.90625</v>
      </c>
      <c r="K285" s="53">
        <v>0.21999999999999975</v>
      </c>
      <c r="L285" s="20">
        <f t="shared" si="79"/>
        <v>40.710000000000434</v>
      </c>
      <c r="M285" s="20">
        <f t="shared" si="79"/>
        <v>41.710000000000434</v>
      </c>
      <c r="N285" s="20">
        <f t="shared" si="79"/>
        <v>41.210000000000434</v>
      </c>
      <c r="O285" s="20">
        <f>P284+$AO$257</f>
        <v>280.71000000000043</v>
      </c>
      <c r="P285" s="20">
        <f t="shared" si="77"/>
        <v>281.71000000000043</v>
      </c>
      <c r="Q285" s="20">
        <f t="shared" si="91"/>
        <v>281.21000000000043</v>
      </c>
      <c r="R285" s="20">
        <f t="shared" si="80"/>
        <v>282.71000000000043</v>
      </c>
      <c r="S285" s="20">
        <f t="shared" si="75"/>
        <v>283.71000000000043</v>
      </c>
      <c r="T285" s="20">
        <f t="shared" si="76"/>
        <v>283.21000000000043</v>
      </c>
      <c r="U285" s="20">
        <v>283.21000000000043</v>
      </c>
      <c r="V285" s="22">
        <v>7.0710999999999977</v>
      </c>
      <c r="W285" s="22">
        <v>2.0882000000000001</v>
      </c>
      <c r="X285" s="23">
        <v>1.1476266666666668</v>
      </c>
      <c r="Y285" s="23">
        <f t="shared" si="84"/>
        <v>5.9234733333333311</v>
      </c>
      <c r="Z285" s="23">
        <f t="shared" si="85"/>
        <v>0.94057333333333326</v>
      </c>
      <c r="AA285" s="22">
        <f t="shared" si="86"/>
        <v>84.121253183661381</v>
      </c>
      <c r="AB285" s="22">
        <f t="shared" si="87"/>
        <v>15.878746816338619</v>
      </c>
      <c r="AC285" s="22">
        <f t="shared" si="88"/>
        <v>1.2073321443736726</v>
      </c>
      <c r="AD285" s="22">
        <f t="shared" si="89"/>
        <v>0.1917092144373673</v>
      </c>
      <c r="AE285" s="24">
        <v>5.5071000000000003</v>
      </c>
      <c r="AF285" s="24">
        <v>5.8216999999999999</v>
      </c>
      <c r="AG285" s="24">
        <v>5.5632000000000001</v>
      </c>
      <c r="AH285" s="25">
        <f>AG285-AE285</f>
        <v>5.6099999999999817E-2</v>
      </c>
      <c r="AI285" s="25">
        <v>82.167832167832202</v>
      </c>
      <c r="AJ285" s="26">
        <v>4.1083916083916101</v>
      </c>
      <c r="AK285" s="25">
        <v>41.083916083916101</v>
      </c>
      <c r="AL285" s="26">
        <v>4.1093772773867574</v>
      </c>
      <c r="AM285" s="17">
        <f t="shared" si="90"/>
        <v>0.5780346820809249</v>
      </c>
      <c r="AN285" s="17"/>
      <c r="AO285" s="27"/>
      <c r="AP285" s="17"/>
      <c r="AQ285" s="17"/>
      <c r="AR285" s="17"/>
      <c r="AS285" s="17"/>
      <c r="AT285" s="17"/>
      <c r="AU285" s="17"/>
      <c r="AV285" s="17"/>
      <c r="AW285" s="17"/>
      <c r="AX285" s="17"/>
      <c r="BB285" s="17"/>
    </row>
    <row r="286" spans="1:54" x14ac:dyDescent="0.2">
      <c r="A286" s="17" t="s">
        <v>41</v>
      </c>
      <c r="B286" s="18" t="s">
        <v>42</v>
      </c>
      <c r="C286" s="18" t="str">
        <f t="shared" si="82"/>
        <v>BI10.7</v>
      </c>
      <c r="D286" s="18" t="str">
        <f t="shared" si="83"/>
        <v>BI10.7_285</v>
      </c>
      <c r="E286" s="17">
        <v>7</v>
      </c>
      <c r="F286" s="19">
        <v>285</v>
      </c>
      <c r="G286" s="20">
        <v>2.4</v>
      </c>
      <c r="H286" s="20">
        <v>2.2999999999999998</v>
      </c>
      <c r="I286" s="20">
        <v>0.95</v>
      </c>
      <c r="J286" s="20">
        <f t="shared" si="81"/>
        <v>4.118404374999999</v>
      </c>
      <c r="K286" s="53">
        <v>0.21999999999999975</v>
      </c>
      <c r="L286" s="20">
        <f t="shared" si="79"/>
        <v>41.930000000000462</v>
      </c>
      <c r="M286" s="20">
        <f t="shared" si="79"/>
        <v>42.88000000000045</v>
      </c>
      <c r="N286" s="20">
        <f t="shared" si="79"/>
        <v>42.405000000000427</v>
      </c>
      <c r="O286" s="20">
        <f>P285+$AO$257</f>
        <v>281.93000000000046</v>
      </c>
      <c r="P286" s="20">
        <f t="shared" si="77"/>
        <v>282.88000000000045</v>
      </c>
      <c r="Q286" s="20">
        <f t="shared" si="91"/>
        <v>282.40500000000043</v>
      </c>
      <c r="R286" s="20">
        <f t="shared" si="80"/>
        <v>283.93000000000046</v>
      </c>
      <c r="S286" s="20">
        <f t="shared" si="75"/>
        <v>284.88000000000045</v>
      </c>
      <c r="T286" s="20">
        <f t="shared" si="76"/>
        <v>284.40500000000043</v>
      </c>
      <c r="U286" s="20">
        <v>284.40500000000043</v>
      </c>
      <c r="V286" s="22">
        <v>6.4427999999999983</v>
      </c>
      <c r="W286" s="22">
        <v>1.9658</v>
      </c>
      <c r="X286" s="23">
        <v>1.1476266666666668</v>
      </c>
      <c r="Y286" s="23">
        <f t="shared" si="84"/>
        <v>5.2951733333333317</v>
      </c>
      <c r="Z286" s="23">
        <f t="shared" si="85"/>
        <v>0.8181733333333332</v>
      </c>
      <c r="AA286" s="22">
        <f t="shared" si="86"/>
        <v>84.548695919302602</v>
      </c>
      <c r="AB286" s="22">
        <f t="shared" si="87"/>
        <v>15.451304080697398</v>
      </c>
      <c r="AC286" s="22">
        <f t="shared" si="88"/>
        <v>1.2857341948927328</v>
      </c>
      <c r="AD286" s="22">
        <f t="shared" si="89"/>
        <v>0.19866270012238257</v>
      </c>
      <c r="AE286" s="24">
        <v>5.4837999999999996</v>
      </c>
      <c r="AF286" s="24">
        <v>5.9195000000000002</v>
      </c>
      <c r="AG286" s="24">
        <v>5.5598999999999998</v>
      </c>
      <c r="AH286" s="25">
        <f>AG286-AE286</f>
        <v>7.6100000000000279E-2</v>
      </c>
      <c r="AI286" s="25">
        <v>82.533853568969434</v>
      </c>
      <c r="AJ286" s="26">
        <v>4.1266926784484719</v>
      </c>
      <c r="AK286" s="25">
        <v>41.266926784484717</v>
      </c>
      <c r="AL286" s="26">
        <v>4.1276739772370856</v>
      </c>
      <c r="AM286" s="17">
        <f t="shared" si="90"/>
        <v>0.5780346820809249</v>
      </c>
      <c r="AN286" s="17"/>
      <c r="AO286" s="27"/>
      <c r="AP286" s="17"/>
      <c r="AQ286" s="17"/>
      <c r="AR286" s="17"/>
      <c r="AS286" s="17"/>
      <c r="AT286" s="17"/>
      <c r="AU286" s="17"/>
      <c r="AV286" s="17"/>
      <c r="AW286" s="17"/>
      <c r="AX286" s="17"/>
      <c r="BB286" s="17"/>
    </row>
    <row r="287" spans="1:54" x14ac:dyDescent="0.2">
      <c r="A287" s="17" t="s">
        <v>41</v>
      </c>
      <c r="B287" s="18" t="s">
        <v>42</v>
      </c>
      <c r="C287" s="18" t="str">
        <f t="shared" si="82"/>
        <v>BI10.7</v>
      </c>
      <c r="D287" s="18" t="str">
        <f t="shared" si="83"/>
        <v>BI10.7_286</v>
      </c>
      <c r="E287" s="17">
        <v>7</v>
      </c>
      <c r="F287" s="19">
        <v>286</v>
      </c>
      <c r="G287" s="20">
        <v>2.25</v>
      </c>
      <c r="H287" s="20">
        <v>2.5</v>
      </c>
      <c r="I287" s="20">
        <v>1</v>
      </c>
      <c r="J287" s="20">
        <f t="shared" si="81"/>
        <v>4.4278906249999999</v>
      </c>
      <c r="K287" s="53">
        <v>0.21999999999999975</v>
      </c>
      <c r="L287" s="20">
        <f t="shared" si="79"/>
        <v>43.100000000000477</v>
      </c>
      <c r="M287" s="20">
        <f t="shared" si="79"/>
        <v>44.100000000000477</v>
      </c>
      <c r="N287" s="20">
        <f t="shared" si="79"/>
        <v>43.600000000000477</v>
      </c>
      <c r="O287" s="20">
        <f>P286+$AO$257</f>
        <v>283.10000000000048</v>
      </c>
      <c r="P287" s="20">
        <f t="shared" si="77"/>
        <v>284.10000000000048</v>
      </c>
      <c r="Q287" s="20">
        <f t="shared" si="91"/>
        <v>283.60000000000048</v>
      </c>
      <c r="R287" s="20">
        <f t="shared" si="80"/>
        <v>285.10000000000048</v>
      </c>
      <c r="S287" s="20">
        <f t="shared" si="75"/>
        <v>286.10000000000048</v>
      </c>
      <c r="T287" s="20">
        <f t="shared" si="76"/>
        <v>285.60000000000048</v>
      </c>
      <c r="U287" s="20">
        <v>285.60000000000048</v>
      </c>
      <c r="V287" s="22">
        <v>6.7341999999999977</v>
      </c>
      <c r="W287" s="22">
        <v>1.9539</v>
      </c>
      <c r="X287" s="23">
        <v>1.1476266666666668</v>
      </c>
      <c r="Y287" s="23">
        <f t="shared" si="84"/>
        <v>5.5865733333333312</v>
      </c>
      <c r="Z287" s="23">
        <f t="shared" si="85"/>
        <v>0.80627333333333318</v>
      </c>
      <c r="AA287" s="22">
        <f t="shared" si="86"/>
        <v>85.567658648235167</v>
      </c>
      <c r="AB287" s="22">
        <f t="shared" si="87"/>
        <v>14.432341351764833</v>
      </c>
      <c r="AC287" s="22">
        <f t="shared" si="88"/>
        <v>1.2616782586704773</v>
      </c>
      <c r="AD287" s="22">
        <f t="shared" si="89"/>
        <v>0.18208971305232571</v>
      </c>
      <c r="AE287" s="24">
        <v>5.6776</v>
      </c>
      <c r="AF287" s="24">
        <v>6.0532000000000004</v>
      </c>
      <c r="AG287" s="24">
        <v>5.7450000000000001</v>
      </c>
      <c r="AH287" s="25">
        <f>AG287-AE287</f>
        <v>6.7400000000000126E-2</v>
      </c>
      <c r="AI287" s="25">
        <v>82.055378061767826</v>
      </c>
      <c r="AJ287" s="26">
        <v>4.1027689030883918</v>
      </c>
      <c r="AK287" s="25">
        <v>41.027689030883913</v>
      </c>
      <c r="AL287" s="26">
        <v>4.1037559225847149</v>
      </c>
      <c r="AM287" s="17">
        <f t="shared" si="90"/>
        <v>0.5780346820809249</v>
      </c>
      <c r="AN287" s="17"/>
      <c r="AO287" s="27"/>
      <c r="AP287" s="17"/>
      <c r="AQ287" s="17"/>
      <c r="AR287" s="17"/>
      <c r="AS287" s="17"/>
      <c r="AT287" s="17"/>
      <c r="AU287" s="17"/>
      <c r="AV287" s="17"/>
      <c r="AW287" s="17"/>
      <c r="AX287" s="17"/>
      <c r="BB287" s="17"/>
    </row>
    <row r="288" spans="1:54" x14ac:dyDescent="0.2">
      <c r="A288" s="17" t="s">
        <v>41</v>
      </c>
      <c r="B288" s="18" t="s">
        <v>42</v>
      </c>
      <c r="C288" s="18" t="str">
        <f t="shared" si="82"/>
        <v>BI10.7</v>
      </c>
      <c r="D288" s="18" t="str">
        <f t="shared" si="83"/>
        <v>BI10.7_287</v>
      </c>
      <c r="E288" s="17">
        <v>7</v>
      </c>
      <c r="F288" s="19">
        <v>287</v>
      </c>
      <c r="G288" s="20">
        <v>2.4500000000000002</v>
      </c>
      <c r="H288" s="20">
        <v>2.4500000000000002</v>
      </c>
      <c r="I288" s="20">
        <v>0.95</v>
      </c>
      <c r="J288" s="20">
        <f t="shared" si="81"/>
        <v>4.4763643750000002</v>
      </c>
      <c r="K288" s="53">
        <v>0.21999999999999975</v>
      </c>
      <c r="L288" s="20">
        <f t="shared" si="79"/>
        <v>44.320000000000505</v>
      </c>
      <c r="M288" s="20">
        <f t="shared" si="79"/>
        <v>45.270000000000493</v>
      </c>
      <c r="N288" s="20">
        <f t="shared" si="79"/>
        <v>44.795000000000528</v>
      </c>
      <c r="O288" s="20">
        <f>P287+$AO$257</f>
        <v>284.3200000000005</v>
      </c>
      <c r="P288" s="20">
        <f t="shared" si="77"/>
        <v>285.27000000000049</v>
      </c>
      <c r="Q288" s="20">
        <f t="shared" si="91"/>
        <v>284.79500000000053</v>
      </c>
      <c r="R288" s="20">
        <f t="shared" si="80"/>
        <v>286.3200000000005</v>
      </c>
      <c r="S288" s="20">
        <f t="shared" si="75"/>
        <v>287.27000000000049</v>
      </c>
      <c r="T288" s="20">
        <f t="shared" si="76"/>
        <v>286.79500000000053</v>
      </c>
      <c r="U288" s="20">
        <v>286.79500000000053</v>
      </c>
      <c r="V288" s="22">
        <v>6.7184999999999988</v>
      </c>
      <c r="W288" s="22">
        <v>1.9853000000000001</v>
      </c>
      <c r="X288" s="23">
        <v>1.1476266666666668</v>
      </c>
      <c r="Y288" s="23">
        <f t="shared" si="84"/>
        <v>5.5708733333333322</v>
      </c>
      <c r="Z288" s="23">
        <f t="shared" si="85"/>
        <v>0.83767333333333327</v>
      </c>
      <c r="AA288" s="22">
        <f t="shared" si="86"/>
        <v>84.963339081484534</v>
      </c>
      <c r="AB288" s="22">
        <f t="shared" si="87"/>
        <v>15.036660918515466</v>
      </c>
      <c r="AC288" s="22">
        <f t="shared" si="88"/>
        <v>1.2445084596879654</v>
      </c>
      <c r="AD288" s="22">
        <f t="shared" si="89"/>
        <v>0.18713251718551915</v>
      </c>
      <c r="AE288" s="24">
        <v>5.4767000000000001</v>
      </c>
      <c r="AF288" s="24">
        <v>5.8555999999999999</v>
      </c>
      <c r="AG288" s="24">
        <v>5.5373999999999999</v>
      </c>
      <c r="AH288" s="25">
        <f>AG288-AE288</f>
        <v>6.0699999999999754E-2</v>
      </c>
      <c r="AI288" s="25">
        <v>83.979941937186652</v>
      </c>
      <c r="AJ288" s="26">
        <v>4.1989970968593324</v>
      </c>
      <c r="AK288" s="25">
        <v>41.989970968593326</v>
      </c>
      <c r="AL288" s="26">
        <v>4.1999615021370253</v>
      </c>
      <c r="AM288" s="17">
        <f t="shared" si="90"/>
        <v>0.5780346820809249</v>
      </c>
      <c r="AN288" s="17"/>
      <c r="AO288" s="27"/>
      <c r="AP288" s="17"/>
      <c r="AQ288" s="17"/>
      <c r="AR288" s="17"/>
      <c r="AS288" s="17"/>
      <c r="AT288" s="17"/>
      <c r="AU288" s="17"/>
      <c r="AV288" s="17"/>
      <c r="AW288" s="17"/>
      <c r="AX288" s="17"/>
      <c r="BB288" s="17"/>
    </row>
    <row r="289" spans="1:54" x14ac:dyDescent="0.2">
      <c r="A289" s="17" t="s">
        <v>41</v>
      </c>
      <c r="B289" s="18" t="s">
        <v>42</v>
      </c>
      <c r="C289" s="18" t="str">
        <f t="shared" si="82"/>
        <v>BI10.7</v>
      </c>
      <c r="D289" s="18" t="str">
        <f t="shared" si="83"/>
        <v>BI10.7_288</v>
      </c>
      <c r="E289" s="17">
        <v>7</v>
      </c>
      <c r="F289" s="19">
        <v>288</v>
      </c>
      <c r="G289" s="20">
        <v>2.1</v>
      </c>
      <c r="H289" s="20">
        <v>2.4</v>
      </c>
      <c r="I289" s="20">
        <v>1</v>
      </c>
      <c r="J289" s="20">
        <f t="shared" si="81"/>
        <v>3.9740625000000001</v>
      </c>
      <c r="K289" s="53">
        <v>0.21999999999999975</v>
      </c>
      <c r="L289" s="20">
        <f t="shared" si="79"/>
        <v>45.490000000000521</v>
      </c>
      <c r="M289" s="20">
        <f t="shared" si="79"/>
        <v>46.490000000000521</v>
      </c>
      <c r="N289" s="20">
        <f t="shared" si="79"/>
        <v>45.990000000000521</v>
      </c>
      <c r="O289" s="20">
        <f>P288+$AO$257</f>
        <v>285.49000000000052</v>
      </c>
      <c r="P289" s="20">
        <f t="shared" si="77"/>
        <v>286.49000000000052</v>
      </c>
      <c r="Q289" s="20">
        <f t="shared" si="91"/>
        <v>285.99000000000052</v>
      </c>
      <c r="R289" s="20">
        <f t="shared" si="80"/>
        <v>287.49000000000052</v>
      </c>
      <c r="S289" s="20">
        <f t="shared" si="75"/>
        <v>288.49000000000052</v>
      </c>
      <c r="T289" s="20">
        <f t="shared" si="76"/>
        <v>287.99000000000052</v>
      </c>
      <c r="U289" s="20">
        <v>287.99000000000052</v>
      </c>
      <c r="V289" s="22">
        <v>5.8648999999999987</v>
      </c>
      <c r="W289" s="22">
        <v>1.8257000000000001</v>
      </c>
      <c r="X289" s="23">
        <v>1.1476266666666668</v>
      </c>
      <c r="Y289" s="23">
        <f t="shared" si="84"/>
        <v>4.7172733333333321</v>
      </c>
      <c r="Z289" s="23">
        <f t="shared" si="85"/>
        <v>0.67807333333333331</v>
      </c>
      <c r="AA289" s="22">
        <f t="shared" si="86"/>
        <v>85.625735771088102</v>
      </c>
      <c r="AB289" s="22">
        <f t="shared" si="87"/>
        <v>14.374264228911898</v>
      </c>
      <c r="AC289" s="22">
        <f t="shared" si="88"/>
        <v>1.1870153862284079</v>
      </c>
      <c r="AD289" s="22">
        <f t="shared" si="89"/>
        <v>0.1706247280543105</v>
      </c>
      <c r="AE289" s="24">
        <v>5.2445000000000004</v>
      </c>
      <c r="AF289" s="24">
        <v>5.6402999999999999</v>
      </c>
      <c r="AG289" s="24">
        <v>5.3093000000000004</v>
      </c>
      <c r="AH289" s="25">
        <f>AG289-AE289</f>
        <v>6.4799999999999969E-2</v>
      </c>
      <c r="AI289" s="25">
        <v>83.628094997473454</v>
      </c>
      <c r="AJ289" s="26">
        <v>4.1814047498736731</v>
      </c>
      <c r="AK289" s="25">
        <v>41.814047498736727</v>
      </c>
      <c r="AL289" s="26">
        <v>4.1823732117382963</v>
      </c>
      <c r="AM289" s="17">
        <f t="shared" si="90"/>
        <v>0.5780346820809249</v>
      </c>
      <c r="AN289" s="17"/>
      <c r="AO289" s="27"/>
      <c r="AP289" s="17"/>
      <c r="AQ289" s="17"/>
      <c r="AR289" s="17"/>
      <c r="AS289" s="17"/>
      <c r="AT289" s="17"/>
      <c r="AU289" s="17"/>
      <c r="AV289" s="17"/>
      <c r="AW289" s="17"/>
      <c r="AX289" s="17"/>
      <c r="BB289" s="17"/>
    </row>
    <row r="290" spans="1:54" x14ac:dyDescent="0.2">
      <c r="A290" s="17" t="s">
        <v>41</v>
      </c>
      <c r="B290" s="18" t="s">
        <v>42</v>
      </c>
      <c r="C290" s="18" t="str">
        <f t="shared" si="82"/>
        <v>BI10.7</v>
      </c>
      <c r="D290" s="18" t="str">
        <f t="shared" si="83"/>
        <v>BI10.7_289</v>
      </c>
      <c r="E290" s="17">
        <v>7</v>
      </c>
      <c r="F290" s="19">
        <v>289</v>
      </c>
      <c r="G290" s="20">
        <v>2.1</v>
      </c>
      <c r="H290" s="20">
        <v>2.2000000000000002</v>
      </c>
      <c r="I290" s="20">
        <v>1.1000000000000001</v>
      </c>
      <c r="J290" s="20">
        <f t="shared" si="81"/>
        <v>3.9915287500000014</v>
      </c>
      <c r="K290" s="53">
        <v>0.21999999999999975</v>
      </c>
      <c r="L290" s="20">
        <f t="shared" si="79"/>
        <v>46.710000000000548</v>
      </c>
      <c r="M290" s="20">
        <f t="shared" si="79"/>
        <v>47.810000000000571</v>
      </c>
      <c r="N290" s="20">
        <f t="shared" si="79"/>
        <v>47.260000000000559</v>
      </c>
      <c r="O290" s="20">
        <f>P289+$AO$257</f>
        <v>286.71000000000055</v>
      </c>
      <c r="P290" s="20">
        <f t="shared" si="77"/>
        <v>287.81000000000057</v>
      </c>
      <c r="Q290" s="20">
        <f t="shared" si="91"/>
        <v>287.26000000000056</v>
      </c>
      <c r="R290" s="20">
        <f t="shared" si="80"/>
        <v>288.71000000000055</v>
      </c>
      <c r="S290" s="20">
        <f t="shared" si="75"/>
        <v>289.81000000000057</v>
      </c>
      <c r="T290" s="20">
        <f t="shared" si="76"/>
        <v>289.26000000000056</v>
      </c>
      <c r="U290" s="20">
        <v>289.26000000000056</v>
      </c>
      <c r="V290" s="22">
        <v>5.1784999999999997</v>
      </c>
      <c r="W290" s="22">
        <v>1.7393000000000001</v>
      </c>
      <c r="X290" s="23">
        <v>1.1476266666666668</v>
      </c>
      <c r="Y290" s="23">
        <f t="shared" si="84"/>
        <v>4.0308733333333331</v>
      </c>
      <c r="Z290" s="23">
        <f t="shared" si="85"/>
        <v>0.59167333333333327</v>
      </c>
      <c r="AA290" s="22">
        <f t="shared" si="86"/>
        <v>85.32146052716449</v>
      </c>
      <c r="AB290" s="22">
        <f t="shared" si="87"/>
        <v>14.67853947283551</v>
      </c>
      <c r="AC290" s="22">
        <f t="shared" si="88"/>
        <v>1.0098570211559497</v>
      </c>
      <c r="AD290" s="22">
        <f t="shared" si="89"/>
        <v>0.1482322614695768</v>
      </c>
      <c r="AE290" s="24">
        <v>5.7535999999999996</v>
      </c>
      <c r="AF290" s="24">
        <v>6.1454000000000004</v>
      </c>
      <c r="AG290" s="24">
        <v>5.8377999999999997</v>
      </c>
      <c r="AH290" s="25">
        <f>AG290-AE290</f>
        <v>8.4200000000000053E-2</v>
      </c>
      <c r="AI290" s="25">
        <v>78.509443593670269</v>
      </c>
      <c r="AJ290" s="26">
        <v>3.9254721796835135</v>
      </c>
      <c r="AK290" s="25">
        <v>39.254721796835135</v>
      </c>
      <c r="AL290" s="26">
        <v>3.9265037671533229</v>
      </c>
      <c r="AM290" s="17">
        <f t="shared" si="90"/>
        <v>0.5780346820809249</v>
      </c>
      <c r="AN290" s="17"/>
      <c r="AO290" s="27"/>
      <c r="AP290" s="17"/>
      <c r="AQ290" s="17"/>
      <c r="AR290" s="17"/>
      <c r="AS290" s="17"/>
      <c r="AT290" s="17"/>
      <c r="AU290" s="17"/>
      <c r="AV290" s="17"/>
      <c r="AW290" s="17"/>
      <c r="AX290" s="17"/>
      <c r="BB290" s="17"/>
    </row>
    <row r="291" spans="1:54" x14ac:dyDescent="0.2">
      <c r="A291" s="17" t="s">
        <v>41</v>
      </c>
      <c r="B291" s="18" t="s">
        <v>42</v>
      </c>
      <c r="C291" s="18" t="str">
        <f t="shared" si="82"/>
        <v>BI10.7</v>
      </c>
      <c r="D291" s="18" t="str">
        <f t="shared" si="83"/>
        <v>BI10.7_290</v>
      </c>
      <c r="E291" s="17">
        <v>7</v>
      </c>
      <c r="F291" s="19">
        <v>290</v>
      </c>
      <c r="G291" s="20">
        <v>2.1</v>
      </c>
      <c r="H291" s="20">
        <v>2</v>
      </c>
      <c r="I291" s="20">
        <v>0.95</v>
      </c>
      <c r="J291" s="20">
        <f t="shared" si="81"/>
        <v>3.1340143749999991</v>
      </c>
      <c r="K291" s="53">
        <v>0.21999999999999975</v>
      </c>
      <c r="L291" s="20">
        <f t="shared" si="79"/>
        <v>48.030000000000598</v>
      </c>
      <c r="M291" s="20">
        <f t="shared" si="79"/>
        <v>48.980000000000587</v>
      </c>
      <c r="N291" s="20">
        <f t="shared" si="79"/>
        <v>48.505000000000564</v>
      </c>
      <c r="O291" s="20">
        <f>P290+$AO$257</f>
        <v>288.0300000000006</v>
      </c>
      <c r="P291" s="20">
        <f t="shared" si="77"/>
        <v>288.98000000000059</v>
      </c>
      <c r="Q291" s="20">
        <f t="shared" si="91"/>
        <v>288.50500000000056</v>
      </c>
      <c r="R291" s="20">
        <f t="shared" si="80"/>
        <v>290.0300000000006</v>
      </c>
      <c r="S291" s="20">
        <f t="shared" si="75"/>
        <v>290.98000000000059</v>
      </c>
      <c r="T291" s="20">
        <f t="shared" si="76"/>
        <v>290.50500000000056</v>
      </c>
      <c r="U291" s="20">
        <v>290.50500000000056</v>
      </c>
      <c r="V291" s="22">
        <v>5.2369999999999983</v>
      </c>
      <c r="W291" s="22">
        <v>1.7319</v>
      </c>
      <c r="X291" s="23">
        <v>1.1476266666666668</v>
      </c>
      <c r="Y291" s="23">
        <f t="shared" si="84"/>
        <v>4.0893733333333318</v>
      </c>
      <c r="Z291" s="23">
        <f t="shared" si="85"/>
        <v>0.5842733333333332</v>
      </c>
      <c r="AA291" s="22">
        <f t="shared" si="86"/>
        <v>85.712399291823033</v>
      </c>
      <c r="AB291" s="22">
        <f t="shared" si="87"/>
        <v>14.287600708176967</v>
      </c>
      <c r="AC291" s="22">
        <f t="shared" si="88"/>
        <v>1.3048355380735397</v>
      </c>
      <c r="AD291" s="22">
        <f t="shared" si="89"/>
        <v>0.1864296915783398</v>
      </c>
      <c r="AE291" s="24">
        <v>5.6189</v>
      </c>
      <c r="AF291" s="24">
        <v>5.9203999999999999</v>
      </c>
      <c r="AG291" s="24">
        <v>5.6755000000000004</v>
      </c>
      <c r="AH291" s="25">
        <f>AG291-AE291</f>
        <v>5.6600000000000428E-2</v>
      </c>
      <c r="AI291" s="25">
        <v>81.227197346600178</v>
      </c>
      <c r="AJ291" s="26">
        <v>4.0613598673300091</v>
      </c>
      <c r="AK291" s="25">
        <v>40.613598673300089</v>
      </c>
      <c r="AL291" s="26">
        <v>4.0623569478762978</v>
      </c>
      <c r="AM291" s="17">
        <f t="shared" si="90"/>
        <v>0.5780346820809249</v>
      </c>
      <c r="AN291" s="17"/>
      <c r="AO291" s="27"/>
      <c r="AP291" s="17"/>
      <c r="AQ291" s="17"/>
      <c r="AR291" s="17"/>
      <c r="AS291" s="17"/>
      <c r="AT291" s="17"/>
      <c r="AU291" s="17"/>
      <c r="AV291" s="17"/>
      <c r="AW291" s="17"/>
      <c r="AX291" s="17"/>
      <c r="BB291" s="17"/>
    </row>
    <row r="292" spans="1:54" x14ac:dyDescent="0.2">
      <c r="A292" s="17" t="s">
        <v>41</v>
      </c>
      <c r="B292" s="18" t="s">
        <v>42</v>
      </c>
      <c r="C292" s="18" t="str">
        <f t="shared" si="82"/>
        <v>BI10.7</v>
      </c>
      <c r="D292" s="18" t="str">
        <f t="shared" si="83"/>
        <v>BI10.7_291</v>
      </c>
      <c r="E292" s="17">
        <v>7</v>
      </c>
      <c r="F292" s="19">
        <v>291</v>
      </c>
      <c r="G292" s="20">
        <v>1.95</v>
      </c>
      <c r="H292" s="20">
        <v>2</v>
      </c>
      <c r="I292" s="20">
        <v>0.8</v>
      </c>
      <c r="J292" s="20">
        <f t="shared" si="81"/>
        <v>2.4495925000000005</v>
      </c>
      <c r="K292" s="53">
        <v>0.21999999999999975</v>
      </c>
      <c r="L292" s="20">
        <f t="shared" si="79"/>
        <v>49.200000000000614</v>
      </c>
      <c r="M292" s="20">
        <f t="shared" si="79"/>
        <v>50.000000000000625</v>
      </c>
      <c r="N292" s="20">
        <f t="shared" si="79"/>
        <v>49.600000000000591</v>
      </c>
      <c r="O292" s="20">
        <f>P291+$AO$257</f>
        <v>289.20000000000061</v>
      </c>
      <c r="P292" s="20">
        <f t="shared" si="77"/>
        <v>290.00000000000063</v>
      </c>
      <c r="Q292" s="20">
        <f t="shared" si="91"/>
        <v>289.60000000000059</v>
      </c>
      <c r="R292" s="20">
        <f t="shared" si="80"/>
        <v>291.20000000000061</v>
      </c>
      <c r="S292" s="20">
        <f t="shared" si="75"/>
        <v>292.00000000000063</v>
      </c>
      <c r="T292" s="20">
        <f t="shared" si="76"/>
        <v>291.60000000000059</v>
      </c>
      <c r="U292" s="20">
        <v>291.60000000000059</v>
      </c>
      <c r="V292" s="22">
        <v>4.3584999999999994</v>
      </c>
      <c r="W292" s="22">
        <v>1.6311</v>
      </c>
      <c r="X292" s="23">
        <v>1.1476266666666668</v>
      </c>
      <c r="Y292" s="23">
        <f t="shared" si="84"/>
        <v>3.2108733333333328</v>
      </c>
      <c r="Z292" s="23">
        <f t="shared" si="85"/>
        <v>0.4834733333333332</v>
      </c>
      <c r="AA292" s="22">
        <f t="shared" si="86"/>
        <v>84.942622048829904</v>
      </c>
      <c r="AB292" s="22">
        <f t="shared" si="87"/>
        <v>15.057377951170096</v>
      </c>
      <c r="AC292" s="22">
        <f t="shared" si="88"/>
        <v>1.3107785614682166</v>
      </c>
      <c r="AD292" s="22">
        <f t="shared" si="89"/>
        <v>0.19736888210317965</v>
      </c>
      <c r="AE292" s="24">
        <v>5.1134000000000004</v>
      </c>
      <c r="AF292" s="24">
        <v>5.3132000000000001</v>
      </c>
      <c r="AG292" s="24">
        <v>5.1459999999999999</v>
      </c>
      <c r="AH292" s="25">
        <f>AG292-AE292</f>
        <v>3.2599999999999518E-2</v>
      </c>
      <c r="AI292" s="25">
        <v>83.68368368368391</v>
      </c>
      <c r="AJ292" s="26">
        <v>4.184184184184196</v>
      </c>
      <c r="AK292" s="25">
        <v>41.841841841841955</v>
      </c>
      <c r="AL292" s="26">
        <v>4.1851520028760207</v>
      </c>
      <c r="AM292" s="17">
        <f t="shared" si="90"/>
        <v>0.5780346820809249</v>
      </c>
      <c r="AN292" s="17"/>
      <c r="AO292" s="27"/>
      <c r="AP292" s="17"/>
      <c r="AQ292" s="17"/>
      <c r="AR292" s="17"/>
      <c r="AS292" s="17"/>
      <c r="AT292" s="17"/>
      <c r="AU292" s="17"/>
      <c r="AV292" s="17"/>
      <c r="AW292" s="17"/>
      <c r="AX292" s="17"/>
      <c r="BB292" s="17"/>
    </row>
    <row r="293" spans="1:54" x14ac:dyDescent="0.2">
      <c r="A293" s="17" t="s">
        <v>41</v>
      </c>
      <c r="B293" s="18" t="s">
        <v>42</v>
      </c>
      <c r="C293" s="18" t="str">
        <f t="shared" si="82"/>
        <v>BI10.8</v>
      </c>
      <c r="D293" s="18" t="str">
        <f t="shared" si="83"/>
        <v>BI10.8_292</v>
      </c>
      <c r="E293" s="17">
        <v>8</v>
      </c>
      <c r="F293" s="19">
        <v>292</v>
      </c>
      <c r="G293" s="20">
        <v>2.1</v>
      </c>
      <c r="H293" s="20">
        <v>1.95</v>
      </c>
      <c r="I293" s="20">
        <v>0.9</v>
      </c>
      <c r="J293" s="20">
        <f t="shared" si="81"/>
        <v>2.8970915625000004</v>
      </c>
      <c r="K293" s="53">
        <v>0.19358974358974315</v>
      </c>
      <c r="L293" s="20">
        <f>O293-280</f>
        <v>0</v>
      </c>
      <c r="M293" s="20">
        <f t="shared" ref="M293:N308" si="92">P293-280</f>
        <v>0.89999999999997726</v>
      </c>
      <c r="N293" s="20">
        <f t="shared" si="92"/>
        <v>0.44999999999998863</v>
      </c>
      <c r="O293" s="20">
        <v>280</v>
      </c>
      <c r="P293" s="20">
        <f t="shared" si="77"/>
        <v>280.89999999999998</v>
      </c>
      <c r="Q293" s="20">
        <f t="shared" si="91"/>
        <v>280.45</v>
      </c>
      <c r="R293" s="20">
        <f>O293+4</f>
        <v>284</v>
      </c>
      <c r="S293" s="20">
        <f t="shared" si="75"/>
        <v>284.89999999999998</v>
      </c>
      <c r="T293" s="20">
        <f t="shared" si="76"/>
        <v>284.45</v>
      </c>
      <c r="U293" s="20">
        <v>284.45</v>
      </c>
      <c r="V293" s="22">
        <v>4.1656999999999975</v>
      </c>
      <c r="W293" s="22">
        <v>1.6998</v>
      </c>
      <c r="X293" s="23">
        <v>1.1476266666666668</v>
      </c>
      <c r="Y293" s="23">
        <f t="shared" si="84"/>
        <v>3.0180733333333309</v>
      </c>
      <c r="Z293" s="23">
        <f t="shared" si="85"/>
        <v>0.55217333333333318</v>
      </c>
      <c r="AA293" s="22">
        <f t="shared" si="86"/>
        <v>81.704442790212724</v>
      </c>
      <c r="AB293" s="22">
        <f t="shared" si="87"/>
        <v>18.295557209787276</v>
      </c>
      <c r="AC293" s="22">
        <f t="shared" si="88"/>
        <v>1.0417597332439612</v>
      </c>
      <c r="AD293" s="22">
        <f t="shared" si="89"/>
        <v>0.19059574798417614</v>
      </c>
      <c r="AE293" s="24">
        <v>5.4027000000000003</v>
      </c>
      <c r="AF293" s="24">
        <v>5.7664</v>
      </c>
      <c r="AG293" s="24">
        <v>5.4557000000000002</v>
      </c>
      <c r="AH293" s="25">
        <f>AG293-AE293</f>
        <v>5.2999999999999936E-2</v>
      </c>
      <c r="AI293" s="25">
        <v>85.427550178718718</v>
      </c>
      <c r="AJ293" s="26">
        <v>4.2713775089359363</v>
      </c>
      <c r="AK293" s="25">
        <v>42.713775089359359</v>
      </c>
      <c r="AL293" s="26">
        <v>4.2723255755903908</v>
      </c>
      <c r="AM293" s="17">
        <f t="shared" si="90"/>
        <v>0.5780346820809249</v>
      </c>
      <c r="AN293" s="28" t="s">
        <v>43</v>
      </c>
      <c r="AO293" s="27">
        <v>50</v>
      </c>
      <c r="AP293" s="17"/>
      <c r="AQ293" s="17"/>
      <c r="AR293" s="17"/>
      <c r="AS293" s="17"/>
      <c r="AT293" s="17"/>
      <c r="AU293" s="17"/>
      <c r="AV293" s="17"/>
      <c r="AW293" s="17"/>
      <c r="AX293" s="17"/>
      <c r="BB293" s="17"/>
    </row>
    <row r="294" spans="1:54" x14ac:dyDescent="0.2">
      <c r="A294" s="17" t="s">
        <v>41</v>
      </c>
      <c r="B294" s="18" t="s">
        <v>42</v>
      </c>
      <c r="C294" s="18" t="str">
        <f t="shared" si="82"/>
        <v>BI10.8</v>
      </c>
      <c r="D294" s="18" t="str">
        <f t="shared" si="83"/>
        <v>BI10.8_293</v>
      </c>
      <c r="E294" s="17">
        <v>8</v>
      </c>
      <c r="F294" s="19">
        <v>293</v>
      </c>
      <c r="G294" s="20">
        <v>2.2000000000000002</v>
      </c>
      <c r="H294" s="20">
        <v>2.2000000000000002</v>
      </c>
      <c r="I294" s="20">
        <v>1.05</v>
      </c>
      <c r="J294" s="20">
        <f t="shared" si="81"/>
        <v>3.9893700000000014</v>
      </c>
      <c r="K294" s="53">
        <v>0.19358974358974315</v>
      </c>
      <c r="L294" s="20">
        <f t="shared" ref="L294:N332" si="93">O294-280</f>
        <v>1.0935897435897459</v>
      </c>
      <c r="M294" s="20">
        <f t="shared" si="92"/>
        <v>2.1435897435897573</v>
      </c>
      <c r="N294" s="20">
        <f t="shared" si="92"/>
        <v>1.6185897435897232</v>
      </c>
      <c r="O294" s="20">
        <f>P293+$AO$298</f>
        <v>281.09358974358975</v>
      </c>
      <c r="P294" s="20">
        <f t="shared" si="77"/>
        <v>282.14358974358976</v>
      </c>
      <c r="Q294" s="20">
        <f t="shared" si="91"/>
        <v>281.61858974358972</v>
      </c>
      <c r="R294" s="20">
        <f t="shared" ref="R294:R332" si="94">O294+4</f>
        <v>285.09358974358975</v>
      </c>
      <c r="S294" s="20">
        <f t="shared" si="75"/>
        <v>286.14358974358976</v>
      </c>
      <c r="T294" s="20">
        <f t="shared" si="76"/>
        <v>285.61858974358972</v>
      </c>
      <c r="U294" s="20">
        <v>285.61858974358972</v>
      </c>
      <c r="V294" s="22">
        <v>5.4809999999999981</v>
      </c>
      <c r="W294" s="22">
        <v>1.9225000000000001</v>
      </c>
      <c r="X294" s="23">
        <v>1.1476266666666668</v>
      </c>
      <c r="Y294" s="23">
        <f t="shared" si="84"/>
        <v>4.3333733333333315</v>
      </c>
      <c r="Z294" s="23">
        <f t="shared" si="85"/>
        <v>0.7748733333333333</v>
      </c>
      <c r="AA294" s="22">
        <f t="shared" si="86"/>
        <v>82.1184727525592</v>
      </c>
      <c r="AB294" s="22">
        <f t="shared" si="87"/>
        <v>17.8815272474408</v>
      </c>
      <c r="AC294" s="22">
        <f t="shared" si="88"/>
        <v>1.0862299895305099</v>
      </c>
      <c r="AD294" s="22">
        <f t="shared" si="89"/>
        <v>0.19423451154777147</v>
      </c>
      <c r="AE294" s="24">
        <v>4.9500999999999999</v>
      </c>
      <c r="AF294" s="24">
        <v>5.3648999999999996</v>
      </c>
      <c r="AG294" s="24">
        <v>5.0138999999999996</v>
      </c>
      <c r="AH294" s="25">
        <f>AG294-AE294</f>
        <v>6.3799999999999635E-2</v>
      </c>
      <c r="AI294" s="25">
        <v>84.619093539055029</v>
      </c>
      <c r="AJ294" s="26">
        <v>4.2309546769527513</v>
      </c>
      <c r="AK294" s="25">
        <v>42.309546769527515</v>
      </c>
      <c r="AL294" s="26">
        <v>4.2319117994623134</v>
      </c>
      <c r="AM294" s="17">
        <f t="shared" si="90"/>
        <v>0.5780346820809249</v>
      </c>
      <c r="AN294" s="28" t="s">
        <v>44</v>
      </c>
      <c r="AO294" s="27" t="s">
        <v>60</v>
      </c>
      <c r="AP294" s="17"/>
      <c r="AQ294" s="17"/>
      <c r="AR294" s="17"/>
      <c r="AS294" s="17"/>
      <c r="AT294" s="17"/>
      <c r="AU294" s="17"/>
      <c r="AV294" s="17"/>
      <c r="AW294" s="17"/>
      <c r="AX294" s="17"/>
      <c r="BB294" s="17"/>
    </row>
    <row r="295" spans="1:54" x14ac:dyDescent="0.2">
      <c r="A295" s="17" t="s">
        <v>41</v>
      </c>
      <c r="B295" s="18" t="s">
        <v>42</v>
      </c>
      <c r="C295" s="18" t="str">
        <f t="shared" si="82"/>
        <v>BI10.8</v>
      </c>
      <c r="D295" s="18" t="str">
        <f t="shared" si="83"/>
        <v>BI10.8_294</v>
      </c>
      <c r="E295" s="17">
        <v>8</v>
      </c>
      <c r="F295" s="19">
        <v>294</v>
      </c>
      <c r="G295" s="20">
        <v>2.2999999999999998</v>
      </c>
      <c r="H295" s="20">
        <v>2.4</v>
      </c>
      <c r="I295" s="20">
        <v>1.1000000000000001</v>
      </c>
      <c r="J295" s="20">
        <f t="shared" si="81"/>
        <v>4.7686787499999985</v>
      </c>
      <c r="K295" s="53">
        <v>0.19358974358974315</v>
      </c>
      <c r="L295" s="20">
        <f t="shared" si="93"/>
        <v>2.3371794871795259</v>
      </c>
      <c r="M295" s="20">
        <f t="shared" si="92"/>
        <v>3.4371794871795487</v>
      </c>
      <c r="N295" s="20">
        <f t="shared" si="92"/>
        <v>2.8871794871795373</v>
      </c>
      <c r="O295" s="20">
        <f>P294+$AO$298</f>
        <v>282.33717948717953</v>
      </c>
      <c r="P295" s="20">
        <f t="shared" si="77"/>
        <v>283.43717948717955</v>
      </c>
      <c r="Q295" s="20">
        <f t="shared" si="91"/>
        <v>282.88717948717954</v>
      </c>
      <c r="R295" s="20">
        <f t="shared" si="94"/>
        <v>286.33717948717953</v>
      </c>
      <c r="S295" s="20">
        <f t="shared" si="75"/>
        <v>287.43717948717955</v>
      </c>
      <c r="T295" s="20">
        <f t="shared" si="76"/>
        <v>286.88717948717954</v>
      </c>
      <c r="U295" s="20">
        <v>286.88717948717954</v>
      </c>
      <c r="V295" s="22">
        <v>5.7071000000000005</v>
      </c>
      <c r="W295" s="22">
        <v>1.8807</v>
      </c>
      <c r="X295" s="23">
        <v>1.1476266666666668</v>
      </c>
      <c r="Y295" s="23">
        <f t="shared" si="84"/>
        <v>4.5594733333333339</v>
      </c>
      <c r="Z295" s="23">
        <f t="shared" si="85"/>
        <v>0.73307333333333324</v>
      </c>
      <c r="AA295" s="22">
        <f t="shared" si="86"/>
        <v>83.921973444301315</v>
      </c>
      <c r="AB295" s="22">
        <f t="shared" si="87"/>
        <v>16.078026555698685</v>
      </c>
      <c r="AC295" s="22">
        <f t="shared" si="88"/>
        <v>0.95612927025821048</v>
      </c>
      <c r="AD295" s="22">
        <f t="shared" si="89"/>
        <v>0.15372671797892309</v>
      </c>
      <c r="AE295" s="24">
        <v>5.6909000000000001</v>
      </c>
      <c r="AF295" s="24">
        <v>6.1477000000000004</v>
      </c>
      <c r="AG295" s="24">
        <v>5.7695999999999996</v>
      </c>
      <c r="AH295" s="25">
        <f>AG295-AE295</f>
        <v>7.8699999999999548E-2</v>
      </c>
      <c r="AI295" s="25">
        <v>82.771453590192749</v>
      </c>
      <c r="AJ295" s="26">
        <v>4.1385726795096378</v>
      </c>
      <c r="AK295" s="25">
        <v>41.385726795096375</v>
      </c>
      <c r="AL295" s="26">
        <v>4.1395511620927676</v>
      </c>
      <c r="AM295" s="17">
        <f t="shared" si="90"/>
        <v>0.5780346820809249</v>
      </c>
      <c r="AN295" s="28" t="s">
        <v>46</v>
      </c>
      <c r="AO295" s="29">
        <f>SUM(I293:I332)</f>
        <v>42.450000000000017</v>
      </c>
      <c r="AP295" s="17"/>
      <c r="AQ295" s="17"/>
      <c r="AR295" s="17"/>
      <c r="AS295" s="17"/>
      <c r="AT295" s="17"/>
      <c r="AU295" s="17"/>
      <c r="AV295" s="17"/>
      <c r="AW295" s="17"/>
      <c r="AX295" s="17"/>
      <c r="BB295" s="17"/>
    </row>
    <row r="296" spans="1:54" x14ac:dyDescent="0.2">
      <c r="A296" s="17" t="s">
        <v>41</v>
      </c>
      <c r="B296" s="18" t="s">
        <v>42</v>
      </c>
      <c r="C296" s="18" t="str">
        <f t="shared" si="82"/>
        <v>BI10.8</v>
      </c>
      <c r="D296" s="18" t="str">
        <f t="shared" si="83"/>
        <v>BI10.8_295</v>
      </c>
      <c r="E296" s="17">
        <v>8</v>
      </c>
      <c r="F296" s="19">
        <v>295</v>
      </c>
      <c r="G296" s="20">
        <v>2.35</v>
      </c>
      <c r="H296" s="20">
        <v>2.6</v>
      </c>
      <c r="I296" s="20">
        <v>1.05</v>
      </c>
      <c r="J296" s="20">
        <f t="shared" si="81"/>
        <v>5.0490464062500005</v>
      </c>
      <c r="K296" s="53">
        <v>0.19358974358974315</v>
      </c>
      <c r="L296" s="20">
        <f t="shared" si="93"/>
        <v>3.6307692307693173</v>
      </c>
      <c r="M296" s="20">
        <f t="shared" si="92"/>
        <v>4.6807692307693287</v>
      </c>
      <c r="N296" s="20">
        <f t="shared" si="92"/>
        <v>4.1557692307693515</v>
      </c>
      <c r="O296" s="20">
        <f>P295+$AO$298</f>
        <v>283.63076923076932</v>
      </c>
      <c r="P296" s="20">
        <f t="shared" si="77"/>
        <v>284.68076923076933</v>
      </c>
      <c r="Q296" s="20">
        <f t="shared" si="91"/>
        <v>284.15576923076935</v>
      </c>
      <c r="R296" s="20">
        <f t="shared" si="94"/>
        <v>287.63076923076932</v>
      </c>
      <c r="S296" s="20">
        <f t="shared" si="75"/>
        <v>288.68076923076933</v>
      </c>
      <c r="T296" s="20">
        <f t="shared" si="76"/>
        <v>288.15576923076935</v>
      </c>
      <c r="U296" s="20">
        <v>288.15576923076935</v>
      </c>
      <c r="V296" s="22">
        <v>6.3802999999999983</v>
      </c>
      <c r="W296" s="22">
        <v>2.0316000000000001</v>
      </c>
      <c r="X296" s="23">
        <v>1.1476266666666668</v>
      </c>
      <c r="Y296" s="23">
        <f t="shared" si="84"/>
        <v>5.2326733333333317</v>
      </c>
      <c r="Z296" s="23">
        <f t="shared" si="85"/>
        <v>0.88397333333333328</v>
      </c>
      <c r="AA296" s="22">
        <f t="shared" si="86"/>
        <v>83.106659311174269</v>
      </c>
      <c r="AB296" s="22">
        <f t="shared" si="87"/>
        <v>16.893340688825731</v>
      </c>
      <c r="AC296" s="22">
        <f t="shared" si="88"/>
        <v>1.0363686352448707</v>
      </c>
      <c r="AD296" s="22">
        <f t="shared" si="89"/>
        <v>0.17507728434404962</v>
      </c>
      <c r="AE296" s="24">
        <v>5.5654000000000003</v>
      </c>
      <c r="AF296" s="24">
        <v>6.0453999999999999</v>
      </c>
      <c r="AG296" s="24">
        <v>5.6624999999999996</v>
      </c>
      <c r="AH296" s="25">
        <f>AG296-AE296</f>
        <v>9.7099999999999298E-2</v>
      </c>
      <c r="AI296" s="25">
        <v>79.770833333333456</v>
      </c>
      <c r="AJ296" s="26">
        <v>3.9885416666666731</v>
      </c>
      <c r="AK296" s="25">
        <v>39.885416666666728</v>
      </c>
      <c r="AL296" s="26">
        <v>3.9895569461703593</v>
      </c>
      <c r="AM296" s="17">
        <f t="shared" si="90"/>
        <v>0.5780346820809249</v>
      </c>
      <c r="AN296" s="28" t="s">
        <v>47</v>
      </c>
      <c r="AO296" s="29">
        <f>AO293-AO295</f>
        <v>7.5499999999999829</v>
      </c>
      <c r="AP296" s="17"/>
      <c r="AQ296" s="17"/>
      <c r="AR296" s="17"/>
      <c r="AS296" s="17"/>
      <c r="AT296" s="17"/>
      <c r="AU296" s="17"/>
      <c r="AV296" s="17"/>
      <c r="AW296" s="17"/>
      <c r="AX296" s="17"/>
      <c r="BB296" s="17"/>
    </row>
    <row r="297" spans="1:54" x14ac:dyDescent="0.2">
      <c r="A297" s="17" t="s">
        <v>41</v>
      </c>
      <c r="B297" s="18" t="s">
        <v>42</v>
      </c>
      <c r="C297" s="18" t="str">
        <f t="shared" si="82"/>
        <v>BI10.8</v>
      </c>
      <c r="D297" s="18" t="str">
        <f t="shared" si="83"/>
        <v>BI10.8_296</v>
      </c>
      <c r="E297" s="17">
        <v>8</v>
      </c>
      <c r="F297" s="19">
        <v>296</v>
      </c>
      <c r="G297" s="20">
        <v>2.5</v>
      </c>
      <c r="H297" s="20">
        <v>2.5</v>
      </c>
      <c r="I297" s="20">
        <v>1</v>
      </c>
      <c r="J297" s="20">
        <f t="shared" si="81"/>
        <v>4.90625</v>
      </c>
      <c r="K297" s="53">
        <v>0.19358974358974315</v>
      </c>
      <c r="L297" s="20">
        <f t="shared" si="93"/>
        <v>4.8743589743590974</v>
      </c>
      <c r="M297" s="20">
        <f t="shared" si="92"/>
        <v>5.8743589743590974</v>
      </c>
      <c r="N297" s="20">
        <f t="shared" si="92"/>
        <v>5.3743589743590974</v>
      </c>
      <c r="O297" s="20">
        <f>P296+$AO$298</f>
        <v>284.8743589743591</v>
      </c>
      <c r="P297" s="20">
        <f t="shared" si="77"/>
        <v>285.8743589743591</v>
      </c>
      <c r="Q297" s="20">
        <f t="shared" si="91"/>
        <v>285.3743589743591</v>
      </c>
      <c r="R297" s="20">
        <f t="shared" si="94"/>
        <v>288.8743589743591</v>
      </c>
      <c r="S297" s="20">
        <f t="shared" si="75"/>
        <v>289.8743589743591</v>
      </c>
      <c r="T297" s="20">
        <f t="shared" si="76"/>
        <v>289.3743589743591</v>
      </c>
      <c r="U297" s="20">
        <v>289.3743589743591</v>
      </c>
      <c r="V297" s="22">
        <v>6.0535999999999994</v>
      </c>
      <c r="W297" s="22">
        <v>2.1124000000000001</v>
      </c>
      <c r="X297" s="23">
        <v>1.1476266666666668</v>
      </c>
      <c r="Y297" s="23">
        <f t="shared" si="84"/>
        <v>4.9059733333333329</v>
      </c>
      <c r="Z297" s="23">
        <f t="shared" si="85"/>
        <v>0.96477333333333326</v>
      </c>
      <c r="AA297" s="22">
        <f t="shared" si="86"/>
        <v>80.334721210605835</v>
      </c>
      <c r="AB297" s="22">
        <f t="shared" si="87"/>
        <v>19.665278789394165</v>
      </c>
      <c r="AC297" s="22">
        <f t="shared" si="88"/>
        <v>0.9999436093418258</v>
      </c>
      <c r="AD297" s="22">
        <f t="shared" si="89"/>
        <v>0.19664169851380042</v>
      </c>
      <c r="AE297" s="24">
        <v>5.5727000000000002</v>
      </c>
      <c r="AF297" s="24">
        <v>6.1539000000000001</v>
      </c>
      <c r="AG297" s="24">
        <v>5.7257999999999996</v>
      </c>
      <c r="AH297" s="25">
        <f>AG297-AE297</f>
        <v>0.15309999999999935</v>
      </c>
      <c r="AI297" s="25">
        <v>73.657949070887923</v>
      </c>
      <c r="AJ297" s="26">
        <v>3.6828974535443963</v>
      </c>
      <c r="AK297" s="25">
        <v>36.828974535443962</v>
      </c>
      <c r="AL297" s="26">
        <v>3.6839969670622423</v>
      </c>
      <c r="AM297" s="17">
        <f t="shared" si="90"/>
        <v>0.5780346820809249</v>
      </c>
      <c r="AN297" s="28" t="s">
        <v>48</v>
      </c>
      <c r="AO297" s="27">
        <v>39</v>
      </c>
      <c r="AP297" s="17"/>
      <c r="AQ297" s="17"/>
      <c r="AR297" s="17"/>
      <c r="AS297" s="17"/>
      <c r="AT297" s="17"/>
      <c r="AU297" s="17"/>
      <c r="AV297" s="17"/>
      <c r="AW297" s="17"/>
      <c r="AX297" s="17"/>
      <c r="BB297" s="17"/>
    </row>
    <row r="298" spans="1:54" x14ac:dyDescent="0.2">
      <c r="A298" s="17" t="s">
        <v>41</v>
      </c>
      <c r="B298" s="18" t="s">
        <v>42</v>
      </c>
      <c r="C298" s="18" t="str">
        <f t="shared" si="82"/>
        <v>BI10.8</v>
      </c>
      <c r="D298" s="18" t="str">
        <f t="shared" si="83"/>
        <v>BI10.8_297</v>
      </c>
      <c r="E298" s="17">
        <v>8</v>
      </c>
      <c r="F298" s="19">
        <v>297</v>
      </c>
      <c r="G298" s="20">
        <v>2.5499999999999998</v>
      </c>
      <c r="H298" s="20">
        <v>2.5</v>
      </c>
      <c r="I298" s="20">
        <v>1.1000000000000001</v>
      </c>
      <c r="J298" s="20">
        <f t="shared" si="81"/>
        <v>5.5053521875000007</v>
      </c>
      <c r="K298" s="53">
        <v>0.19358974358974315</v>
      </c>
      <c r="L298" s="20">
        <f t="shared" si="93"/>
        <v>6.067948717948866</v>
      </c>
      <c r="M298" s="20">
        <f t="shared" si="92"/>
        <v>7.1679487179488888</v>
      </c>
      <c r="N298" s="20">
        <f t="shared" si="92"/>
        <v>6.6179487179488774</v>
      </c>
      <c r="O298" s="20">
        <f>P297+$AO$298</f>
        <v>286.06794871794887</v>
      </c>
      <c r="P298" s="20">
        <f t="shared" si="77"/>
        <v>287.16794871794889</v>
      </c>
      <c r="Q298" s="20">
        <f t="shared" si="91"/>
        <v>286.61794871794888</v>
      </c>
      <c r="R298" s="20">
        <f t="shared" si="94"/>
        <v>290.06794871794887</v>
      </c>
      <c r="S298" s="20">
        <f t="shared" si="75"/>
        <v>291.16794871794889</v>
      </c>
      <c r="T298" s="20">
        <f t="shared" si="76"/>
        <v>290.61794871794888</v>
      </c>
      <c r="U298" s="20">
        <v>290.61794871794888</v>
      </c>
      <c r="V298" s="22">
        <v>7.0478999999999985</v>
      </c>
      <c r="W298" s="22">
        <v>2.3601999999999999</v>
      </c>
      <c r="X298" s="23">
        <v>1.1476266666666668</v>
      </c>
      <c r="Y298" s="23">
        <f t="shared" si="84"/>
        <v>5.9002733333333319</v>
      </c>
      <c r="Z298" s="23">
        <f t="shared" si="85"/>
        <v>1.2125733333333331</v>
      </c>
      <c r="AA298" s="22">
        <f t="shared" si="86"/>
        <v>79.448861691153283</v>
      </c>
      <c r="AB298" s="22">
        <f t="shared" si="87"/>
        <v>20.551138308846717</v>
      </c>
      <c r="AC298" s="22">
        <f t="shared" si="88"/>
        <v>1.0717340385107434</v>
      </c>
      <c r="AD298" s="22">
        <f t="shared" si="89"/>
        <v>0.22025354455733137</v>
      </c>
      <c r="AE298" s="24">
        <v>5.1856</v>
      </c>
      <c r="AF298" s="24">
        <v>5.5452000000000004</v>
      </c>
      <c r="AG298" s="24">
        <v>5.2576999999999998</v>
      </c>
      <c r="AH298" s="25">
        <f>AG298-AE298</f>
        <v>7.2099999999999831E-2</v>
      </c>
      <c r="AI298" s="25">
        <v>79.949944382647459</v>
      </c>
      <c r="AJ298" s="26">
        <v>3.9974972191323732</v>
      </c>
      <c r="AK298" s="25">
        <v>39.974972191323729</v>
      </c>
      <c r="AL298" s="26">
        <v>3.9985102246925739</v>
      </c>
      <c r="AM298" s="17">
        <f t="shared" si="90"/>
        <v>0.5780346820809249</v>
      </c>
      <c r="AN298" s="28" t="s">
        <v>49</v>
      </c>
      <c r="AO298" s="30">
        <f>AO296/AO297</f>
        <v>0.19358974358974315</v>
      </c>
      <c r="AP298" s="17"/>
      <c r="AQ298" s="17"/>
      <c r="AR298" s="17"/>
      <c r="AS298" s="17"/>
      <c r="AT298" s="17"/>
      <c r="AU298" s="17"/>
      <c r="AV298" s="17"/>
      <c r="AW298" s="17"/>
      <c r="AX298" s="17"/>
      <c r="BB298" s="17"/>
    </row>
    <row r="299" spans="1:54" x14ac:dyDescent="0.2">
      <c r="A299" s="17" t="s">
        <v>41</v>
      </c>
      <c r="B299" s="18" t="s">
        <v>42</v>
      </c>
      <c r="C299" s="18" t="str">
        <f t="shared" si="82"/>
        <v>BI10.8</v>
      </c>
      <c r="D299" s="18" t="str">
        <f t="shared" si="83"/>
        <v>BI10.8_298</v>
      </c>
      <c r="E299" s="17">
        <v>8</v>
      </c>
      <c r="F299" s="19">
        <v>298</v>
      </c>
      <c r="G299" s="20">
        <v>2</v>
      </c>
      <c r="H299" s="20">
        <v>2.5</v>
      </c>
      <c r="I299" s="20">
        <v>1</v>
      </c>
      <c r="J299" s="20">
        <f t="shared" si="81"/>
        <v>3.9740625000000001</v>
      </c>
      <c r="K299" s="53">
        <v>0.19358974358974315</v>
      </c>
      <c r="L299" s="20">
        <f t="shared" si="93"/>
        <v>7.3615384615386574</v>
      </c>
      <c r="M299" s="20">
        <f t="shared" si="92"/>
        <v>8.3615384615386574</v>
      </c>
      <c r="N299" s="20">
        <f t="shared" si="92"/>
        <v>7.8615384615386574</v>
      </c>
      <c r="O299" s="20">
        <f>P298+$AO$298</f>
        <v>287.36153846153866</v>
      </c>
      <c r="P299" s="20">
        <f t="shared" si="77"/>
        <v>288.36153846153866</v>
      </c>
      <c r="Q299" s="20">
        <f t="shared" si="91"/>
        <v>287.86153846153866</v>
      </c>
      <c r="R299" s="20">
        <f t="shared" si="94"/>
        <v>291.36153846153866</v>
      </c>
      <c r="S299" s="20">
        <f t="shared" ref="S299:S362" si="95">R299+I299</f>
        <v>292.36153846153866</v>
      </c>
      <c r="T299" s="20">
        <f t="shared" ref="T299:T362" si="96">AVERAGE(R299:S299)</f>
        <v>291.86153846153866</v>
      </c>
      <c r="U299" s="20">
        <v>291.86153846153866</v>
      </c>
      <c r="V299" s="22">
        <v>5.9262999999999977</v>
      </c>
      <c r="W299" s="22">
        <v>2.0103</v>
      </c>
      <c r="X299" s="23">
        <v>1.1476266666666668</v>
      </c>
      <c r="Y299" s="23">
        <f t="shared" si="84"/>
        <v>4.7786733333333311</v>
      </c>
      <c r="Z299" s="23">
        <f t="shared" si="85"/>
        <v>0.86267333333333318</v>
      </c>
      <c r="AA299" s="22">
        <f t="shared" si="86"/>
        <v>81.947430318875107</v>
      </c>
      <c r="AB299" s="22">
        <f t="shared" si="87"/>
        <v>18.052569681124893</v>
      </c>
      <c r="AC299" s="22">
        <f t="shared" si="88"/>
        <v>1.2024655710204182</v>
      </c>
      <c r="AD299" s="22">
        <f t="shared" si="89"/>
        <v>0.21707593509999734</v>
      </c>
      <c r="AE299" s="24">
        <v>5.5294999999999996</v>
      </c>
      <c r="AF299" s="24">
        <v>6.0608000000000004</v>
      </c>
      <c r="AG299" s="24">
        <v>5.6467999999999998</v>
      </c>
      <c r="AH299" s="25">
        <f>AG299-AE299</f>
        <v>0.11730000000000018</v>
      </c>
      <c r="AI299" s="25">
        <v>77.922077922077918</v>
      </c>
      <c r="AJ299" s="26">
        <v>3.8961038961038961</v>
      </c>
      <c r="AK299" s="25">
        <v>38.961038961038959</v>
      </c>
      <c r="AL299" s="26">
        <v>3.8971432574689837</v>
      </c>
      <c r="AM299" s="17">
        <f t="shared" si="90"/>
        <v>0.5780346820809249</v>
      </c>
      <c r="AN299" s="17"/>
      <c r="AO299" s="27"/>
      <c r="AP299" s="17"/>
      <c r="AQ299" s="17"/>
      <c r="AR299" s="17"/>
      <c r="AS299" s="17"/>
      <c r="AT299" s="17"/>
      <c r="AU299" s="17"/>
      <c r="AV299" s="17"/>
      <c r="AW299" s="17"/>
      <c r="AX299" s="17"/>
      <c r="BB299" s="17"/>
    </row>
    <row r="300" spans="1:54" x14ac:dyDescent="0.2">
      <c r="A300" s="17" t="s">
        <v>41</v>
      </c>
      <c r="B300" s="18" t="s">
        <v>42</v>
      </c>
      <c r="C300" s="18" t="str">
        <f t="shared" si="82"/>
        <v>BI10.8</v>
      </c>
      <c r="D300" s="18" t="str">
        <f t="shared" si="83"/>
        <v>BI10.8_299</v>
      </c>
      <c r="E300" s="17">
        <v>8</v>
      </c>
      <c r="F300" s="19">
        <v>299</v>
      </c>
      <c r="G300" s="20">
        <v>2.1</v>
      </c>
      <c r="H300" s="20">
        <v>2.6</v>
      </c>
      <c r="I300" s="20">
        <v>1</v>
      </c>
      <c r="J300" s="20">
        <f t="shared" si="81"/>
        <v>4.3351625</v>
      </c>
      <c r="K300" s="53">
        <v>0.19358974358974315</v>
      </c>
      <c r="L300" s="20">
        <f t="shared" si="93"/>
        <v>8.5551282051284261</v>
      </c>
      <c r="M300" s="20">
        <f t="shared" si="92"/>
        <v>9.5551282051284261</v>
      </c>
      <c r="N300" s="20">
        <f t="shared" si="92"/>
        <v>9.0551282051284261</v>
      </c>
      <c r="O300" s="20">
        <f>P299+$AO$298</f>
        <v>288.55512820512843</v>
      </c>
      <c r="P300" s="20">
        <f t="shared" ref="P300:P363" si="97">O300+I300</f>
        <v>289.55512820512843</v>
      </c>
      <c r="Q300" s="20">
        <f t="shared" si="91"/>
        <v>289.05512820512843</v>
      </c>
      <c r="R300" s="20">
        <f t="shared" si="94"/>
        <v>292.55512820512843</v>
      </c>
      <c r="S300" s="20">
        <f t="shared" si="95"/>
        <v>293.55512820512843</v>
      </c>
      <c r="T300" s="20">
        <f t="shared" si="96"/>
        <v>293.05512820512843</v>
      </c>
      <c r="U300" s="20">
        <v>293.05512820512843</v>
      </c>
      <c r="V300" s="22">
        <v>6.1647999999999996</v>
      </c>
      <c r="W300" s="22">
        <v>2.0581</v>
      </c>
      <c r="X300" s="23">
        <v>1.1476266666666668</v>
      </c>
      <c r="Y300" s="23">
        <f t="shared" si="84"/>
        <v>5.017173333333333</v>
      </c>
      <c r="Z300" s="23">
        <f t="shared" si="85"/>
        <v>0.91047333333333325</v>
      </c>
      <c r="AA300" s="22">
        <f t="shared" si="86"/>
        <v>81.852862700909952</v>
      </c>
      <c r="AB300" s="22">
        <f t="shared" si="87"/>
        <v>18.147137299090048</v>
      </c>
      <c r="AC300" s="22">
        <f t="shared" si="88"/>
        <v>1.1573207078934948</v>
      </c>
      <c r="AD300" s="22">
        <f t="shared" si="89"/>
        <v>0.21002057785223352</v>
      </c>
      <c r="AE300" s="24">
        <v>5.3574000000000002</v>
      </c>
      <c r="AF300" s="24">
        <v>6.1294000000000004</v>
      </c>
      <c r="AG300" s="24">
        <v>5.6837999999999997</v>
      </c>
      <c r="AH300" s="25">
        <f>AG300-AE300</f>
        <v>0.32639999999999958</v>
      </c>
      <c r="AI300" s="25">
        <v>57.72020725388608</v>
      </c>
      <c r="AJ300" s="26">
        <v>2.8860103626943041</v>
      </c>
      <c r="AK300" s="25">
        <v>28.86010362694304</v>
      </c>
      <c r="AL300" s="26">
        <v>2.8874133430423345</v>
      </c>
      <c r="AM300" s="17">
        <f t="shared" si="90"/>
        <v>0.5780346820809249</v>
      </c>
      <c r="AN300" s="17"/>
      <c r="AO300" s="27"/>
      <c r="AP300" s="17"/>
      <c r="AQ300" s="17"/>
      <c r="AR300" s="17"/>
      <c r="AS300" s="17"/>
      <c r="AT300" s="17"/>
      <c r="AU300" s="17"/>
      <c r="AV300" s="17"/>
      <c r="AW300" s="17"/>
      <c r="AX300" s="17"/>
      <c r="BB300" s="17"/>
    </row>
    <row r="301" spans="1:54" x14ac:dyDescent="0.2">
      <c r="A301" s="17" t="s">
        <v>41</v>
      </c>
      <c r="B301" s="18" t="s">
        <v>42</v>
      </c>
      <c r="C301" s="18" t="str">
        <f t="shared" si="82"/>
        <v>BI10.8</v>
      </c>
      <c r="D301" s="18" t="str">
        <f t="shared" si="83"/>
        <v>BI10.8_300</v>
      </c>
      <c r="E301" s="17">
        <v>8</v>
      </c>
      <c r="F301" s="19">
        <v>300</v>
      </c>
      <c r="G301" s="20">
        <v>2.5</v>
      </c>
      <c r="H301" s="20">
        <v>2.6</v>
      </c>
      <c r="I301" s="20">
        <v>1.05</v>
      </c>
      <c r="J301" s="20">
        <f t="shared" si="81"/>
        <v>5.3596856249999991</v>
      </c>
      <c r="K301" s="53">
        <v>0.19358974358974315</v>
      </c>
      <c r="L301" s="20">
        <f t="shared" si="93"/>
        <v>9.7487179487181947</v>
      </c>
      <c r="M301" s="20">
        <f t="shared" si="92"/>
        <v>10.798717948718206</v>
      </c>
      <c r="N301" s="20">
        <f t="shared" si="92"/>
        <v>10.273717948718172</v>
      </c>
      <c r="O301" s="20">
        <f>P300+$AO$298</f>
        <v>289.74871794871819</v>
      </c>
      <c r="P301" s="20">
        <f t="shared" si="97"/>
        <v>290.79871794871821</v>
      </c>
      <c r="Q301" s="20">
        <f t="shared" si="91"/>
        <v>290.27371794871817</v>
      </c>
      <c r="R301" s="20">
        <f t="shared" si="94"/>
        <v>293.74871794871819</v>
      </c>
      <c r="S301" s="20">
        <f t="shared" si="95"/>
        <v>294.79871794871821</v>
      </c>
      <c r="T301" s="20">
        <f t="shared" si="96"/>
        <v>294.27371794871817</v>
      </c>
      <c r="U301" s="20">
        <v>294.27371794871817</v>
      </c>
      <c r="V301" s="22">
        <v>7.0890999999999984</v>
      </c>
      <c r="W301" s="22">
        <v>2.2654999999999998</v>
      </c>
      <c r="X301" s="23">
        <v>1.1476266666666668</v>
      </c>
      <c r="Y301" s="23">
        <f t="shared" si="84"/>
        <v>5.9414733333333318</v>
      </c>
      <c r="Z301" s="23">
        <f t="shared" si="85"/>
        <v>1.1178733333333331</v>
      </c>
      <c r="AA301" s="22">
        <f t="shared" si="86"/>
        <v>81.185250347556888</v>
      </c>
      <c r="AB301" s="22">
        <f t="shared" si="87"/>
        <v>18.814749652443112</v>
      </c>
      <c r="AC301" s="22">
        <f t="shared" si="88"/>
        <v>1.1085488495108018</v>
      </c>
      <c r="AD301" s="22">
        <f t="shared" si="89"/>
        <v>0.20857069081049567</v>
      </c>
      <c r="AE301" s="24">
        <v>5.8257000000000003</v>
      </c>
      <c r="AF301" s="24">
        <v>6.2672999999999996</v>
      </c>
      <c r="AG301" s="24">
        <v>5.9241000000000001</v>
      </c>
      <c r="AH301" s="25">
        <f>AG301-AE301</f>
        <v>9.8399999999999821E-2</v>
      </c>
      <c r="AI301" s="25">
        <v>77.717391304347842</v>
      </c>
      <c r="AJ301" s="26">
        <v>3.8858695652173925</v>
      </c>
      <c r="AK301" s="25">
        <v>38.858695652173921</v>
      </c>
      <c r="AL301" s="26">
        <v>3.8869116632466461</v>
      </c>
      <c r="AM301" s="17">
        <f t="shared" si="90"/>
        <v>0.5780346820809249</v>
      </c>
      <c r="AN301" s="17"/>
      <c r="AO301" s="27"/>
      <c r="AP301" s="17"/>
      <c r="AQ301" s="17"/>
      <c r="AR301" s="17"/>
      <c r="AS301" s="17"/>
      <c r="AT301" s="17"/>
      <c r="AU301" s="17"/>
      <c r="AV301" s="17"/>
      <c r="AW301" s="17"/>
      <c r="AX301" s="17"/>
      <c r="BB301" s="17"/>
    </row>
    <row r="302" spans="1:54" x14ac:dyDescent="0.2">
      <c r="A302" s="17" t="s">
        <v>41</v>
      </c>
      <c r="B302" s="18" t="s">
        <v>42</v>
      </c>
      <c r="C302" s="18" t="str">
        <f t="shared" si="82"/>
        <v>BI10.8</v>
      </c>
      <c r="D302" s="18" t="str">
        <f t="shared" si="83"/>
        <v>BI10.8_301</v>
      </c>
      <c r="E302" s="17">
        <v>8</v>
      </c>
      <c r="F302" s="19">
        <v>301</v>
      </c>
      <c r="G302" s="20">
        <v>2.5</v>
      </c>
      <c r="H302" s="20">
        <v>2.6</v>
      </c>
      <c r="I302" s="20">
        <v>1.05</v>
      </c>
      <c r="J302" s="20">
        <f t="shared" si="81"/>
        <v>5.3596856249999991</v>
      </c>
      <c r="K302" s="53">
        <v>0.19358974358974315</v>
      </c>
      <c r="L302" s="20">
        <f t="shared" si="93"/>
        <v>10.992307692307975</v>
      </c>
      <c r="M302" s="20">
        <f t="shared" si="92"/>
        <v>12.042307692307986</v>
      </c>
      <c r="N302" s="20">
        <f t="shared" si="92"/>
        <v>11.517307692308009</v>
      </c>
      <c r="O302" s="20">
        <f>P301+$AO$298</f>
        <v>290.99230769230797</v>
      </c>
      <c r="P302" s="20">
        <f t="shared" si="97"/>
        <v>292.04230769230799</v>
      </c>
      <c r="Q302" s="20">
        <f t="shared" si="91"/>
        <v>291.51730769230801</v>
      </c>
      <c r="R302" s="20">
        <f t="shared" si="94"/>
        <v>294.99230769230797</v>
      </c>
      <c r="S302" s="20">
        <f t="shared" si="95"/>
        <v>296.04230769230799</v>
      </c>
      <c r="T302" s="20">
        <f t="shared" si="96"/>
        <v>295.51730769230801</v>
      </c>
      <c r="U302" s="20">
        <v>295.51730769230801</v>
      </c>
      <c r="V302" s="22">
        <v>6.535499999999999</v>
      </c>
      <c r="W302" s="22">
        <v>2.1806999999999999</v>
      </c>
      <c r="X302" s="23">
        <v>1.1476266666666668</v>
      </c>
      <c r="Y302" s="23">
        <f t="shared" si="84"/>
        <v>5.3878733333333324</v>
      </c>
      <c r="Z302" s="23">
        <f t="shared" si="85"/>
        <v>1.0330733333333331</v>
      </c>
      <c r="AA302" s="22">
        <f t="shared" si="86"/>
        <v>80.825953592079003</v>
      </c>
      <c r="AB302" s="22">
        <f t="shared" si="87"/>
        <v>19.174046407920997</v>
      </c>
      <c r="AC302" s="22">
        <f t="shared" si="88"/>
        <v>1.0052592092718746</v>
      </c>
      <c r="AD302" s="22">
        <f t="shared" si="89"/>
        <v>0.19274886730568888</v>
      </c>
      <c r="AE302" s="24">
        <v>4.7579000000000002</v>
      </c>
      <c r="AF302" s="24">
        <v>5.2779999999999996</v>
      </c>
      <c r="AG302" s="24">
        <v>4.8667999999999996</v>
      </c>
      <c r="AH302" s="25">
        <f>AG302-AE302</f>
        <v>0.10889999999999933</v>
      </c>
      <c r="AI302" s="25">
        <v>79.061718900211602</v>
      </c>
      <c r="AJ302" s="26">
        <v>3.9530859450105802</v>
      </c>
      <c r="AK302" s="25">
        <v>39.530859450105801</v>
      </c>
      <c r="AL302" s="26">
        <v>3.9541103283343264</v>
      </c>
      <c r="AM302" s="17">
        <f t="shared" si="90"/>
        <v>0.5780346820809249</v>
      </c>
      <c r="AN302" s="17"/>
      <c r="AO302" s="27"/>
      <c r="AP302" s="17"/>
      <c r="AQ302" s="17"/>
      <c r="AR302" s="17"/>
      <c r="AS302" s="17"/>
      <c r="AT302" s="17"/>
      <c r="AU302" s="17"/>
      <c r="AV302" s="17"/>
      <c r="AW302" s="17"/>
      <c r="AX302" s="17"/>
      <c r="BB302" s="17"/>
    </row>
    <row r="303" spans="1:54" x14ac:dyDescent="0.2">
      <c r="A303" s="17" t="s">
        <v>41</v>
      </c>
      <c r="B303" s="18" t="s">
        <v>42</v>
      </c>
      <c r="C303" s="18" t="str">
        <f t="shared" si="82"/>
        <v>BI10.8</v>
      </c>
      <c r="D303" s="18" t="str">
        <f t="shared" si="83"/>
        <v>BI10.8_302</v>
      </c>
      <c r="E303" s="17">
        <v>8</v>
      </c>
      <c r="F303" s="19">
        <v>302</v>
      </c>
      <c r="G303" s="20">
        <v>2.2999999999999998</v>
      </c>
      <c r="H303" s="20">
        <v>2.6</v>
      </c>
      <c r="I303" s="20">
        <v>1</v>
      </c>
      <c r="J303" s="20">
        <f t="shared" si="81"/>
        <v>4.7119625000000003</v>
      </c>
      <c r="K303" s="53">
        <v>0.19358974358974315</v>
      </c>
      <c r="L303" s="20">
        <f t="shared" si="93"/>
        <v>12.235897435897755</v>
      </c>
      <c r="M303" s="20">
        <f t="shared" si="92"/>
        <v>13.235897435897755</v>
      </c>
      <c r="N303" s="20">
        <f t="shared" si="92"/>
        <v>12.735897435897755</v>
      </c>
      <c r="O303" s="20">
        <f>P302+$AO$298</f>
        <v>292.23589743589775</v>
      </c>
      <c r="P303" s="20">
        <f t="shared" si="97"/>
        <v>293.23589743589775</v>
      </c>
      <c r="Q303" s="20">
        <f t="shared" si="91"/>
        <v>292.73589743589775</v>
      </c>
      <c r="R303" s="20">
        <f t="shared" si="94"/>
        <v>296.23589743589775</v>
      </c>
      <c r="S303" s="20">
        <f t="shared" si="95"/>
        <v>297.23589743589775</v>
      </c>
      <c r="T303" s="20">
        <f t="shared" si="96"/>
        <v>296.73589743589775</v>
      </c>
      <c r="U303" s="20">
        <v>296.73589743589775</v>
      </c>
      <c r="V303" s="22">
        <v>5.4963999999999977</v>
      </c>
      <c r="W303" s="22">
        <v>2.1255000000000002</v>
      </c>
      <c r="X303" s="23">
        <v>1.1476266666666668</v>
      </c>
      <c r="Y303" s="23">
        <f t="shared" si="84"/>
        <v>4.3487733333333312</v>
      </c>
      <c r="Z303" s="23">
        <f t="shared" si="85"/>
        <v>0.97787333333333337</v>
      </c>
      <c r="AA303" s="22">
        <f t="shared" si="86"/>
        <v>77.51381232408832</v>
      </c>
      <c r="AB303" s="22">
        <f t="shared" si="87"/>
        <v>22.48618767591168</v>
      </c>
      <c r="AC303" s="22">
        <f t="shared" si="88"/>
        <v>0.92292188941090492</v>
      </c>
      <c r="AD303" s="22">
        <f t="shared" si="89"/>
        <v>0.20752994815500619</v>
      </c>
      <c r="AE303" s="24">
        <v>4.7784000000000004</v>
      </c>
      <c r="AF303" s="24">
        <v>5.1788999999999996</v>
      </c>
      <c r="AG303" s="24">
        <v>4.8620000000000001</v>
      </c>
      <c r="AH303" s="25">
        <f>AG303-AE303</f>
        <v>8.3599999999999675E-2</v>
      </c>
      <c r="AI303" s="25">
        <v>79.126092384519382</v>
      </c>
      <c r="AJ303" s="26">
        <v>3.9563046192259694</v>
      </c>
      <c r="AK303" s="25">
        <v>39.563046192259691</v>
      </c>
      <c r="AL303" s="26">
        <v>3.9573281693724547</v>
      </c>
      <c r="AM303" s="17">
        <f t="shared" si="90"/>
        <v>0.5780346820809249</v>
      </c>
      <c r="AN303" s="17"/>
      <c r="AO303" s="27"/>
      <c r="AP303" s="17"/>
      <c r="AQ303" s="17"/>
      <c r="AR303" s="17"/>
      <c r="AS303" s="17"/>
      <c r="AT303" s="17"/>
      <c r="AU303" s="17"/>
      <c r="AV303" s="17"/>
      <c r="AW303" s="17"/>
      <c r="AX303" s="17"/>
      <c r="BB303" s="17"/>
    </row>
    <row r="304" spans="1:54" x14ac:dyDescent="0.2">
      <c r="A304" s="17" t="s">
        <v>41</v>
      </c>
      <c r="B304" s="18" t="s">
        <v>42</v>
      </c>
      <c r="C304" s="18" t="str">
        <f t="shared" si="82"/>
        <v>BI10.8</v>
      </c>
      <c r="D304" s="18" t="str">
        <f t="shared" si="83"/>
        <v>BI10.8_303</v>
      </c>
      <c r="E304" s="17">
        <v>8</v>
      </c>
      <c r="F304" s="19">
        <v>303</v>
      </c>
      <c r="G304" s="20">
        <v>2.2999999999999998</v>
      </c>
      <c r="H304" s="20">
        <v>2.5499999999999998</v>
      </c>
      <c r="I304" s="20">
        <v>1</v>
      </c>
      <c r="J304" s="20">
        <f t="shared" si="81"/>
        <v>4.6162906249999995</v>
      </c>
      <c r="K304" s="53">
        <v>0.19358974358974315</v>
      </c>
      <c r="L304" s="20">
        <f t="shared" si="93"/>
        <v>13.429487179487523</v>
      </c>
      <c r="M304" s="20">
        <f t="shared" si="92"/>
        <v>14.429487179487523</v>
      </c>
      <c r="N304" s="20">
        <f t="shared" si="92"/>
        <v>13.929487179487523</v>
      </c>
      <c r="O304" s="20">
        <f>P303+$AO$298</f>
        <v>293.42948717948752</v>
      </c>
      <c r="P304" s="20">
        <f t="shared" si="97"/>
        <v>294.42948717948752</v>
      </c>
      <c r="Q304" s="20">
        <f t="shared" si="91"/>
        <v>293.92948717948752</v>
      </c>
      <c r="R304" s="20">
        <f t="shared" si="94"/>
        <v>297.42948717948752</v>
      </c>
      <c r="S304" s="20">
        <f t="shared" si="95"/>
        <v>298.42948717948752</v>
      </c>
      <c r="T304" s="20">
        <f t="shared" si="96"/>
        <v>297.92948717948752</v>
      </c>
      <c r="U304" s="20">
        <v>297.92948717948752</v>
      </c>
      <c r="V304" s="22">
        <v>6.3345999999999982</v>
      </c>
      <c r="W304" s="22">
        <v>2.1520000000000001</v>
      </c>
      <c r="X304" s="23">
        <v>1.1476266666666668</v>
      </c>
      <c r="Y304" s="23">
        <f t="shared" si="84"/>
        <v>5.1869733333333317</v>
      </c>
      <c r="Z304" s="23">
        <f t="shared" si="85"/>
        <v>1.0043733333333333</v>
      </c>
      <c r="AA304" s="22">
        <f t="shared" si="86"/>
        <v>80.636620456888139</v>
      </c>
      <c r="AB304" s="22">
        <f t="shared" si="87"/>
        <v>19.363379543111861</v>
      </c>
      <c r="AC304" s="22">
        <f t="shared" si="88"/>
        <v>1.1236236525583421</v>
      </c>
      <c r="AD304" s="22">
        <f t="shared" si="89"/>
        <v>0.21757151248104822</v>
      </c>
      <c r="AE304" s="24">
        <v>4.7233000000000001</v>
      </c>
      <c r="AF304" s="24">
        <v>5.2423000000000002</v>
      </c>
      <c r="AG304" s="24">
        <v>4.8471000000000002</v>
      </c>
      <c r="AH304" s="25">
        <f>AG304-AE304</f>
        <v>0.12380000000000013</v>
      </c>
      <c r="AI304" s="25">
        <v>76.14643545279381</v>
      </c>
      <c r="AJ304" s="26">
        <v>3.8073217726396908</v>
      </c>
      <c r="AK304" s="25">
        <v>38.073217726396905</v>
      </c>
      <c r="AL304" s="26">
        <v>3.8083853639588834</v>
      </c>
      <c r="AM304" s="17">
        <f t="shared" si="90"/>
        <v>0.5780346820809249</v>
      </c>
      <c r="AN304" s="17"/>
      <c r="AO304" s="27"/>
      <c r="AP304" s="17"/>
      <c r="AQ304" s="17"/>
      <c r="AR304" s="17"/>
      <c r="AS304" s="17"/>
      <c r="AT304" s="17"/>
      <c r="AU304" s="17"/>
      <c r="AV304" s="17"/>
      <c r="AW304" s="17"/>
      <c r="AX304" s="17"/>
      <c r="BB304" s="17"/>
    </row>
    <row r="305" spans="1:54" x14ac:dyDescent="0.2">
      <c r="A305" s="17" t="s">
        <v>41</v>
      </c>
      <c r="B305" s="18" t="s">
        <v>42</v>
      </c>
      <c r="C305" s="18" t="str">
        <f t="shared" si="82"/>
        <v>BI10.8</v>
      </c>
      <c r="D305" s="18" t="str">
        <f t="shared" si="83"/>
        <v>BI10.8_304</v>
      </c>
      <c r="E305" s="17">
        <v>8</v>
      </c>
      <c r="F305" s="19">
        <v>304</v>
      </c>
      <c r="G305" s="20">
        <v>2.35</v>
      </c>
      <c r="H305" s="20">
        <v>2.6</v>
      </c>
      <c r="I305" s="20">
        <v>1</v>
      </c>
      <c r="J305" s="20">
        <f t="shared" si="81"/>
        <v>4.8086156250000007</v>
      </c>
      <c r="K305" s="53">
        <v>0.19358974358974315</v>
      </c>
      <c r="L305" s="20">
        <f t="shared" si="93"/>
        <v>14.623076923077292</v>
      </c>
      <c r="M305" s="20">
        <f t="shared" si="92"/>
        <v>15.623076923077292</v>
      </c>
      <c r="N305" s="20">
        <f t="shared" si="92"/>
        <v>15.123076923077292</v>
      </c>
      <c r="O305" s="20">
        <f>P304+$AO$298</f>
        <v>294.62307692307729</v>
      </c>
      <c r="P305" s="20">
        <f t="shared" si="97"/>
        <v>295.62307692307729</v>
      </c>
      <c r="Q305" s="20">
        <f t="shared" si="91"/>
        <v>295.12307692307729</v>
      </c>
      <c r="R305" s="20">
        <f t="shared" si="94"/>
        <v>298.62307692307729</v>
      </c>
      <c r="S305" s="20">
        <f t="shared" si="95"/>
        <v>299.62307692307729</v>
      </c>
      <c r="T305" s="20">
        <f t="shared" si="96"/>
        <v>299.12307692307729</v>
      </c>
      <c r="U305" s="20">
        <v>299.12307692307729</v>
      </c>
      <c r="V305" s="22">
        <v>6.5506999999999991</v>
      </c>
      <c r="W305" s="22">
        <v>2.2812000000000001</v>
      </c>
      <c r="X305" s="23">
        <v>1.1476266666666668</v>
      </c>
      <c r="Y305" s="23">
        <f t="shared" si="84"/>
        <v>5.4030733333333325</v>
      </c>
      <c r="Z305" s="23">
        <f t="shared" si="85"/>
        <v>1.1335733333333333</v>
      </c>
      <c r="AA305" s="22">
        <f t="shared" si="86"/>
        <v>79.019841793744533</v>
      </c>
      <c r="AB305" s="22">
        <f t="shared" si="87"/>
        <v>20.980158206255467</v>
      </c>
      <c r="AC305" s="22">
        <f t="shared" si="88"/>
        <v>1.123623461447562</v>
      </c>
      <c r="AD305" s="22">
        <f t="shared" si="89"/>
        <v>0.23573797985430228</v>
      </c>
      <c r="AE305" s="24">
        <v>4.7683999999999997</v>
      </c>
      <c r="AF305" s="24">
        <v>5.2282000000000002</v>
      </c>
      <c r="AG305" s="24">
        <v>4.8784000000000001</v>
      </c>
      <c r="AH305" s="25">
        <f>AG305-AE305</f>
        <v>0.11000000000000032</v>
      </c>
      <c r="AI305" s="25">
        <v>76.076555023923405</v>
      </c>
      <c r="AJ305" s="26">
        <v>3.8038277511961702</v>
      </c>
      <c r="AK305" s="25">
        <v>38.038277511961702</v>
      </c>
      <c r="AL305" s="26">
        <v>3.8048923192082733</v>
      </c>
      <c r="AM305" s="17">
        <f t="shared" si="90"/>
        <v>0.5780346820809249</v>
      </c>
      <c r="AN305" s="17"/>
      <c r="AO305" s="27"/>
      <c r="AP305" s="17"/>
      <c r="AQ305" s="17"/>
      <c r="AR305" s="17"/>
      <c r="AS305" s="17"/>
      <c r="AT305" s="17"/>
      <c r="AU305" s="17"/>
      <c r="AV305" s="17"/>
      <c r="AW305" s="17"/>
      <c r="AX305" s="17"/>
      <c r="BB305" s="17"/>
    </row>
    <row r="306" spans="1:54" x14ac:dyDescent="0.2">
      <c r="A306" s="17" t="s">
        <v>41</v>
      </c>
      <c r="B306" s="18" t="s">
        <v>42</v>
      </c>
      <c r="C306" s="18" t="str">
        <f t="shared" si="82"/>
        <v>BI10.8</v>
      </c>
      <c r="D306" s="18" t="str">
        <f t="shared" si="83"/>
        <v>BI10.8_305</v>
      </c>
      <c r="E306" s="17">
        <v>8</v>
      </c>
      <c r="F306" s="19">
        <v>305</v>
      </c>
      <c r="G306" s="20">
        <v>2.25</v>
      </c>
      <c r="H306" s="20">
        <v>2.5499999999999998</v>
      </c>
      <c r="I306" s="20">
        <v>1</v>
      </c>
      <c r="J306" s="20">
        <f t="shared" si="81"/>
        <v>4.5215999999999994</v>
      </c>
      <c r="K306" s="53">
        <v>0.19358974358974315</v>
      </c>
      <c r="L306" s="20">
        <f t="shared" si="93"/>
        <v>15.816666666667061</v>
      </c>
      <c r="M306" s="20">
        <f t="shared" si="92"/>
        <v>16.816666666667061</v>
      </c>
      <c r="N306" s="20">
        <f t="shared" si="92"/>
        <v>16.316666666667061</v>
      </c>
      <c r="O306" s="20">
        <f>P305+$AO$298</f>
        <v>295.81666666666706</v>
      </c>
      <c r="P306" s="20">
        <f t="shared" si="97"/>
        <v>296.81666666666706</v>
      </c>
      <c r="Q306" s="20">
        <f t="shared" si="91"/>
        <v>296.31666666666706</v>
      </c>
      <c r="R306" s="20">
        <f t="shared" si="94"/>
        <v>299.81666666666706</v>
      </c>
      <c r="S306" s="20">
        <f t="shared" si="95"/>
        <v>300.81666666666706</v>
      </c>
      <c r="T306" s="20">
        <f t="shared" si="96"/>
        <v>300.31666666666706</v>
      </c>
      <c r="U306" s="20">
        <v>300.31666666666706</v>
      </c>
      <c r="V306" s="22">
        <v>6.1188000000000002</v>
      </c>
      <c r="W306" s="22">
        <v>2.3321999999999998</v>
      </c>
      <c r="X306" s="23">
        <v>1.1476266666666668</v>
      </c>
      <c r="Y306" s="23">
        <f t="shared" si="84"/>
        <v>4.9711733333333337</v>
      </c>
      <c r="Z306" s="23">
        <f t="shared" si="85"/>
        <v>1.184573333333333</v>
      </c>
      <c r="AA306" s="22">
        <f t="shared" si="86"/>
        <v>76.171152082137567</v>
      </c>
      <c r="AB306" s="22">
        <f t="shared" si="87"/>
        <v>23.828847917862433</v>
      </c>
      <c r="AC306" s="22">
        <f t="shared" si="88"/>
        <v>1.0994279311158295</v>
      </c>
      <c r="AD306" s="22">
        <f t="shared" si="89"/>
        <v>0.26198100967209242</v>
      </c>
      <c r="AE306" s="24">
        <v>4.8948</v>
      </c>
      <c r="AF306" s="24">
        <v>5.4370000000000003</v>
      </c>
      <c r="AG306" s="24">
        <v>5.0304000000000002</v>
      </c>
      <c r="AH306" s="25">
        <f>AG306-AE306</f>
        <v>0.13560000000000016</v>
      </c>
      <c r="AI306" s="25">
        <v>74.990778310586478</v>
      </c>
      <c r="AJ306" s="26">
        <v>3.7495389155293242</v>
      </c>
      <c r="AK306" s="25">
        <v>37.495389155293239</v>
      </c>
      <c r="AL306" s="26">
        <v>3.7506188928054023</v>
      </c>
      <c r="AM306" s="17">
        <f t="shared" si="90"/>
        <v>0.5780346820809249</v>
      </c>
      <c r="AN306" s="17"/>
      <c r="AO306" s="27"/>
      <c r="AP306" s="17"/>
      <c r="AQ306" s="17"/>
      <c r="AR306" s="17"/>
      <c r="AS306" s="17"/>
      <c r="AT306" s="17"/>
      <c r="AU306" s="17"/>
      <c r="AV306" s="17"/>
      <c r="AW306" s="17"/>
      <c r="AX306" s="17"/>
      <c r="BB306" s="17"/>
    </row>
    <row r="307" spans="1:54" x14ac:dyDescent="0.2">
      <c r="A307" s="17" t="s">
        <v>41</v>
      </c>
      <c r="B307" s="18" t="s">
        <v>42</v>
      </c>
      <c r="C307" s="18" t="str">
        <f t="shared" si="82"/>
        <v>BI10.8</v>
      </c>
      <c r="D307" s="18" t="str">
        <f t="shared" si="83"/>
        <v>BI10.8_306</v>
      </c>
      <c r="E307" s="17">
        <v>8</v>
      </c>
      <c r="F307" s="19">
        <v>306</v>
      </c>
      <c r="G307" s="20">
        <v>2.2000000000000002</v>
      </c>
      <c r="H307" s="20">
        <v>2.4500000000000002</v>
      </c>
      <c r="I307" s="20">
        <v>1</v>
      </c>
      <c r="J307" s="20">
        <f t="shared" si="81"/>
        <v>4.2434156250000008</v>
      </c>
      <c r="K307" s="53">
        <v>0.19358974358974315</v>
      </c>
      <c r="L307" s="20">
        <f t="shared" si="93"/>
        <v>17.010256410256829</v>
      </c>
      <c r="M307" s="20">
        <f t="shared" si="92"/>
        <v>18.010256410256829</v>
      </c>
      <c r="N307" s="20">
        <f t="shared" si="92"/>
        <v>17.510256410256829</v>
      </c>
      <c r="O307" s="20">
        <f>P306+$AO$298</f>
        <v>297.01025641025683</v>
      </c>
      <c r="P307" s="20">
        <f t="shared" si="97"/>
        <v>298.01025641025683</v>
      </c>
      <c r="Q307" s="20">
        <f t="shared" si="91"/>
        <v>297.51025641025683</v>
      </c>
      <c r="R307" s="20">
        <f t="shared" si="94"/>
        <v>301.01025641025683</v>
      </c>
      <c r="S307" s="20">
        <f t="shared" si="95"/>
        <v>302.01025641025683</v>
      </c>
      <c r="T307" s="20">
        <f t="shared" si="96"/>
        <v>301.51025641025683</v>
      </c>
      <c r="U307" s="20">
        <v>301.51025641025683</v>
      </c>
      <c r="V307" s="22">
        <v>6.1544999999999987</v>
      </c>
      <c r="W307" s="22">
        <v>2.2803</v>
      </c>
      <c r="X307" s="23">
        <v>1.1476266666666668</v>
      </c>
      <c r="Y307" s="23">
        <f t="shared" si="84"/>
        <v>5.0068733333333322</v>
      </c>
      <c r="Z307" s="23">
        <f t="shared" si="85"/>
        <v>1.1326733333333332</v>
      </c>
      <c r="AA307" s="22">
        <f t="shared" si="86"/>
        <v>77.377631549163752</v>
      </c>
      <c r="AB307" s="22">
        <f t="shared" si="87"/>
        <v>22.622368450836248</v>
      </c>
      <c r="AC307" s="22">
        <f t="shared" si="88"/>
        <v>1.1799158451119978</v>
      </c>
      <c r="AD307" s="22">
        <f t="shared" si="89"/>
        <v>0.26692490989103451</v>
      </c>
      <c r="AE307" s="24">
        <v>5.0422000000000002</v>
      </c>
      <c r="AF307" s="24">
        <v>5.6231999999999998</v>
      </c>
      <c r="AG307" s="24">
        <v>5.1703000000000001</v>
      </c>
      <c r="AH307" s="25">
        <f>AG307-AE307</f>
        <v>0.12809999999999988</v>
      </c>
      <c r="AI307" s="25">
        <v>77.951807228915655</v>
      </c>
      <c r="AJ307" s="26">
        <v>3.8975903614457827</v>
      </c>
      <c r="AK307" s="25">
        <v>38.975903614457827</v>
      </c>
      <c r="AL307" s="26">
        <v>3.8986293265242682</v>
      </c>
      <c r="AM307" s="17">
        <f t="shared" si="90"/>
        <v>0.5780346820809249</v>
      </c>
      <c r="AN307" s="17"/>
      <c r="AO307" s="27"/>
      <c r="AP307" s="17"/>
      <c r="AQ307" s="17"/>
      <c r="AR307" s="17"/>
      <c r="AS307" s="17"/>
      <c r="AT307" s="17"/>
      <c r="AU307" s="17"/>
      <c r="AV307" s="17"/>
      <c r="AW307" s="17"/>
      <c r="AX307" s="17"/>
      <c r="BB307" s="17"/>
    </row>
    <row r="308" spans="1:54" x14ac:dyDescent="0.2">
      <c r="A308" s="17" t="s">
        <v>41</v>
      </c>
      <c r="B308" s="18" t="s">
        <v>42</v>
      </c>
      <c r="C308" s="18" t="str">
        <f t="shared" si="82"/>
        <v>BI10.8</v>
      </c>
      <c r="D308" s="18" t="str">
        <f t="shared" si="83"/>
        <v>BI10.8_307</v>
      </c>
      <c r="E308" s="17">
        <v>8</v>
      </c>
      <c r="F308" s="19">
        <v>307</v>
      </c>
      <c r="G308" s="20">
        <v>2.35</v>
      </c>
      <c r="H308" s="20">
        <v>2.5499999999999998</v>
      </c>
      <c r="I308" s="20">
        <v>1</v>
      </c>
      <c r="J308" s="20">
        <f t="shared" si="81"/>
        <v>4.7119625000000003</v>
      </c>
      <c r="K308" s="53">
        <v>0.19358974358974315</v>
      </c>
      <c r="L308" s="20">
        <f t="shared" si="93"/>
        <v>18.203846153846598</v>
      </c>
      <c r="M308" s="20">
        <f t="shared" si="92"/>
        <v>19.203846153846598</v>
      </c>
      <c r="N308" s="20">
        <f t="shared" si="92"/>
        <v>18.703846153846598</v>
      </c>
      <c r="O308" s="20">
        <f>P307+$AO$298</f>
        <v>298.2038461538466</v>
      </c>
      <c r="P308" s="20">
        <f t="shared" si="97"/>
        <v>299.2038461538466</v>
      </c>
      <c r="Q308" s="20">
        <f t="shared" si="91"/>
        <v>298.7038461538466</v>
      </c>
      <c r="R308" s="20">
        <f t="shared" si="94"/>
        <v>302.2038461538466</v>
      </c>
      <c r="S308" s="20">
        <f t="shared" si="95"/>
        <v>303.2038461538466</v>
      </c>
      <c r="T308" s="20">
        <f t="shared" si="96"/>
        <v>302.7038461538466</v>
      </c>
      <c r="U308" s="20">
        <v>302.7038461538466</v>
      </c>
      <c r="V308" s="22">
        <v>6.6810999999999972</v>
      </c>
      <c r="W308" s="22">
        <v>2.3874</v>
      </c>
      <c r="X308" s="23">
        <v>1.1476266666666668</v>
      </c>
      <c r="Y308" s="23">
        <f t="shared" si="84"/>
        <v>5.5334733333333306</v>
      </c>
      <c r="Z308" s="23">
        <f t="shared" si="85"/>
        <v>1.2397733333333332</v>
      </c>
      <c r="AA308" s="22">
        <f t="shared" si="86"/>
        <v>77.59502470419423</v>
      </c>
      <c r="AB308" s="22">
        <f t="shared" si="87"/>
        <v>22.40497529580577</v>
      </c>
      <c r="AC308" s="22">
        <f t="shared" si="88"/>
        <v>1.1743457918719282</v>
      </c>
      <c r="AD308" s="22">
        <f t="shared" si="89"/>
        <v>0.26311188455624024</v>
      </c>
      <c r="AE308" s="24">
        <v>4.6051000000000002</v>
      </c>
      <c r="AF308" s="24">
        <v>5.1098999999999997</v>
      </c>
      <c r="AG308" s="24">
        <v>4.7172999999999998</v>
      </c>
      <c r="AH308" s="25">
        <f>AG308-AE308</f>
        <v>0.11219999999999963</v>
      </c>
      <c r="AI308" s="25">
        <v>77.773375594294819</v>
      </c>
      <c r="AJ308" s="26">
        <v>3.8886687797147412</v>
      </c>
      <c r="AK308" s="25">
        <v>38.88668779714741</v>
      </c>
      <c r="AL308" s="26">
        <v>3.8897101278023452</v>
      </c>
      <c r="AM308" s="17">
        <f t="shared" si="90"/>
        <v>0.5780346820809249</v>
      </c>
      <c r="AN308" s="17"/>
      <c r="AO308" s="27"/>
      <c r="AP308" s="17"/>
      <c r="AQ308" s="17"/>
      <c r="AR308" s="17"/>
      <c r="AS308" s="17"/>
      <c r="AT308" s="17"/>
      <c r="AU308" s="17"/>
      <c r="AV308" s="17"/>
      <c r="AW308" s="17"/>
      <c r="AX308" s="17"/>
      <c r="BB308" s="17"/>
    </row>
    <row r="309" spans="1:54" x14ac:dyDescent="0.2">
      <c r="A309" s="17" t="s">
        <v>41</v>
      </c>
      <c r="B309" s="18" t="s">
        <v>42</v>
      </c>
      <c r="C309" s="18" t="str">
        <f t="shared" si="82"/>
        <v>BI10.8</v>
      </c>
      <c r="D309" s="18" t="str">
        <f t="shared" si="83"/>
        <v>BI10.8_308</v>
      </c>
      <c r="E309" s="17">
        <v>8</v>
      </c>
      <c r="F309" s="19">
        <v>308</v>
      </c>
      <c r="G309" s="20">
        <v>2.2000000000000002</v>
      </c>
      <c r="H309" s="20">
        <v>2.6</v>
      </c>
      <c r="I309" s="20">
        <v>1.05</v>
      </c>
      <c r="J309" s="20">
        <f t="shared" si="81"/>
        <v>4.7476800000000017</v>
      </c>
      <c r="K309" s="53">
        <v>0.19358974358974315</v>
      </c>
      <c r="L309" s="20">
        <f t="shared" si="93"/>
        <v>19.397435897436367</v>
      </c>
      <c r="M309" s="20">
        <f t="shared" si="93"/>
        <v>20.447435897436378</v>
      </c>
      <c r="N309" s="20">
        <f t="shared" si="93"/>
        <v>19.922435897436344</v>
      </c>
      <c r="O309" s="20">
        <f>P308+$AO$298</f>
        <v>299.39743589743637</v>
      </c>
      <c r="P309" s="20">
        <f t="shared" si="97"/>
        <v>300.44743589743638</v>
      </c>
      <c r="Q309" s="20">
        <f t="shared" si="91"/>
        <v>299.92243589743634</v>
      </c>
      <c r="R309" s="20">
        <f t="shared" si="94"/>
        <v>303.39743589743637</v>
      </c>
      <c r="S309" s="20">
        <f t="shared" si="95"/>
        <v>304.44743589743638</v>
      </c>
      <c r="T309" s="20">
        <f t="shared" si="96"/>
        <v>303.92243589743634</v>
      </c>
      <c r="U309" s="20">
        <v>303.92243589743634</v>
      </c>
      <c r="V309" s="22">
        <v>6.5451999999999977</v>
      </c>
      <c r="W309" s="22">
        <v>2.3342999999999998</v>
      </c>
      <c r="X309" s="23">
        <v>1.1476266666666668</v>
      </c>
      <c r="Y309" s="23">
        <f t="shared" si="84"/>
        <v>5.3975733333333311</v>
      </c>
      <c r="Z309" s="23">
        <f t="shared" si="85"/>
        <v>1.186673333333333</v>
      </c>
      <c r="AA309" s="22">
        <f t="shared" si="86"/>
        <v>78.014688082051677</v>
      </c>
      <c r="AB309" s="22">
        <f t="shared" si="87"/>
        <v>21.985311917948323</v>
      </c>
      <c r="AC309" s="22">
        <f t="shared" si="88"/>
        <v>1.1368865073748293</v>
      </c>
      <c r="AD309" s="22">
        <f t="shared" si="89"/>
        <v>0.2499480447994247</v>
      </c>
      <c r="AE309" s="24">
        <v>4.7230999999999996</v>
      </c>
      <c r="AF309" s="24">
        <v>5.1980000000000004</v>
      </c>
      <c r="AG309" s="24">
        <v>4.8250999999999999</v>
      </c>
      <c r="AH309" s="25">
        <f>AG309-AE309</f>
        <v>0.10200000000000031</v>
      </c>
      <c r="AI309" s="25">
        <v>78.521794061907741</v>
      </c>
      <c r="AJ309" s="26">
        <v>3.9260897030953874</v>
      </c>
      <c r="AK309" s="25">
        <v>39.260897030953871</v>
      </c>
      <c r="AL309" s="26">
        <v>3.9271211283523746</v>
      </c>
      <c r="AM309" s="17">
        <f t="shared" si="90"/>
        <v>0.5780346820809249</v>
      </c>
      <c r="AN309" s="17"/>
      <c r="AO309" s="27"/>
      <c r="AP309" s="17"/>
      <c r="AQ309" s="17"/>
      <c r="AR309" s="17"/>
      <c r="AS309" s="17"/>
      <c r="AT309" s="17"/>
      <c r="AU309" s="17"/>
      <c r="AV309" s="17"/>
      <c r="AW309" s="17"/>
      <c r="AX309" s="17"/>
      <c r="BB309" s="17"/>
    </row>
    <row r="310" spans="1:54" x14ac:dyDescent="0.2">
      <c r="A310" s="17" t="s">
        <v>41</v>
      </c>
      <c r="B310" s="18" t="s">
        <v>42</v>
      </c>
      <c r="C310" s="18" t="str">
        <f t="shared" si="82"/>
        <v>BI10.8</v>
      </c>
      <c r="D310" s="18" t="str">
        <f t="shared" si="83"/>
        <v>BI10.8_309</v>
      </c>
      <c r="E310" s="17">
        <v>8</v>
      </c>
      <c r="F310" s="19">
        <v>309</v>
      </c>
      <c r="G310" s="20">
        <v>2.4</v>
      </c>
      <c r="H310" s="20">
        <v>2.4500000000000002</v>
      </c>
      <c r="I310" s="20">
        <v>1.05</v>
      </c>
      <c r="J310" s="20">
        <f t="shared" si="81"/>
        <v>4.8471051562499996</v>
      </c>
      <c r="K310" s="53">
        <v>0.19358974358974315</v>
      </c>
      <c r="L310" s="20">
        <f t="shared" si="93"/>
        <v>20.641025641026147</v>
      </c>
      <c r="M310" s="20">
        <f t="shared" si="93"/>
        <v>21.691025641026158</v>
      </c>
      <c r="N310" s="20">
        <f t="shared" si="93"/>
        <v>21.166025641026181</v>
      </c>
      <c r="O310" s="20">
        <f>P309+$AO$298</f>
        <v>300.64102564102615</v>
      </c>
      <c r="P310" s="20">
        <f t="shared" si="97"/>
        <v>301.69102564102616</v>
      </c>
      <c r="Q310" s="20">
        <f t="shared" si="91"/>
        <v>301.16602564102618</v>
      </c>
      <c r="R310" s="20">
        <f t="shared" si="94"/>
        <v>304.64102564102615</v>
      </c>
      <c r="S310" s="20">
        <f t="shared" si="95"/>
        <v>305.69102564102616</v>
      </c>
      <c r="T310" s="20">
        <f t="shared" si="96"/>
        <v>305.16602564102618</v>
      </c>
      <c r="U310" s="20">
        <v>305.16602564102618</v>
      </c>
      <c r="V310" s="22">
        <v>7.3523999999999994</v>
      </c>
      <c r="W310" s="22">
        <v>2.5105</v>
      </c>
      <c r="X310" s="23">
        <v>1.1476266666666668</v>
      </c>
      <c r="Y310" s="23">
        <f t="shared" si="84"/>
        <v>6.2047733333333328</v>
      </c>
      <c r="Z310" s="23">
        <f t="shared" si="85"/>
        <v>1.3628733333333332</v>
      </c>
      <c r="AA310" s="22">
        <f t="shared" si="86"/>
        <v>78.035082667537679</v>
      </c>
      <c r="AB310" s="22">
        <f t="shared" si="87"/>
        <v>21.964917332462321</v>
      </c>
      <c r="AC310" s="22">
        <f t="shared" si="88"/>
        <v>1.2800987668552468</v>
      </c>
      <c r="AD310" s="22">
        <f t="shared" si="89"/>
        <v>0.28117263591362451</v>
      </c>
      <c r="AE310" s="24">
        <v>5.4866000000000001</v>
      </c>
      <c r="AF310" s="24">
        <v>6.0080999999999998</v>
      </c>
      <c r="AG310" s="24">
        <v>5.6016000000000004</v>
      </c>
      <c r="AH310" s="25">
        <f>AG310-AE310</f>
        <v>0.11500000000000021</v>
      </c>
      <c r="AI310" s="25">
        <v>77.948226270373866</v>
      </c>
      <c r="AJ310" s="26">
        <v>3.8974113135186936</v>
      </c>
      <c r="AK310" s="25">
        <v>38.974113135186933</v>
      </c>
      <c r="AL310" s="26">
        <v>3.898450326314741</v>
      </c>
      <c r="AM310" s="17">
        <f t="shared" si="90"/>
        <v>0.5780346820809249</v>
      </c>
      <c r="AN310" s="17"/>
      <c r="AO310" s="27"/>
      <c r="AP310" s="17"/>
      <c r="AQ310" s="17"/>
      <c r="AR310" s="17"/>
      <c r="AS310" s="17"/>
      <c r="AT310" s="17"/>
      <c r="AU310" s="17"/>
      <c r="AV310" s="17"/>
      <c r="AW310" s="17"/>
      <c r="AX310" s="17"/>
      <c r="BB310" s="17"/>
    </row>
    <row r="311" spans="1:54" x14ac:dyDescent="0.2">
      <c r="A311" s="17" t="s">
        <v>41</v>
      </c>
      <c r="B311" s="18" t="s">
        <v>42</v>
      </c>
      <c r="C311" s="18" t="str">
        <f t="shared" si="82"/>
        <v>BI10.8</v>
      </c>
      <c r="D311" s="18" t="str">
        <f t="shared" si="83"/>
        <v>BI10.8_310</v>
      </c>
      <c r="E311" s="17">
        <v>8</v>
      </c>
      <c r="F311" s="19">
        <v>310</v>
      </c>
      <c r="G311" s="20">
        <v>2.1</v>
      </c>
      <c r="H311" s="20">
        <v>2.5499999999999998</v>
      </c>
      <c r="I311" s="20">
        <v>1</v>
      </c>
      <c r="J311" s="20">
        <f t="shared" si="81"/>
        <v>4.2434156250000008</v>
      </c>
      <c r="K311" s="53">
        <v>0.19358974358974315</v>
      </c>
      <c r="L311" s="20">
        <f t="shared" si="93"/>
        <v>21.884615384615927</v>
      </c>
      <c r="M311" s="20">
        <f t="shared" si="93"/>
        <v>22.884615384615927</v>
      </c>
      <c r="N311" s="20">
        <f t="shared" si="93"/>
        <v>22.384615384615927</v>
      </c>
      <c r="O311" s="20">
        <f>P310+$AO$298</f>
        <v>301.88461538461593</v>
      </c>
      <c r="P311" s="20">
        <f t="shared" si="97"/>
        <v>302.88461538461593</v>
      </c>
      <c r="Q311" s="20">
        <f t="shared" si="91"/>
        <v>302.38461538461593</v>
      </c>
      <c r="R311" s="20">
        <f t="shared" si="94"/>
        <v>305.88461538461593</v>
      </c>
      <c r="S311" s="20">
        <f t="shared" si="95"/>
        <v>306.88461538461593</v>
      </c>
      <c r="T311" s="20">
        <f t="shared" si="96"/>
        <v>306.38461538461593</v>
      </c>
      <c r="U311" s="20">
        <v>306.38461538461593</v>
      </c>
      <c r="V311" s="22">
        <v>6.285899999999998</v>
      </c>
      <c r="W311" s="22">
        <v>2.2597</v>
      </c>
      <c r="X311" s="23">
        <v>1.1476266666666668</v>
      </c>
      <c r="Y311" s="23">
        <f t="shared" si="84"/>
        <v>5.1382733333333315</v>
      </c>
      <c r="Z311" s="23">
        <f t="shared" si="85"/>
        <v>1.1120733333333332</v>
      </c>
      <c r="AA311" s="22">
        <f t="shared" si="86"/>
        <v>78.357061580998021</v>
      </c>
      <c r="AB311" s="22">
        <f t="shared" si="87"/>
        <v>21.642938419001979</v>
      </c>
      <c r="AC311" s="22">
        <f t="shared" si="88"/>
        <v>1.2108814661145362</v>
      </c>
      <c r="AD311" s="22">
        <f t="shared" si="89"/>
        <v>0.26207033003827734</v>
      </c>
      <c r="AE311" s="24">
        <v>5.1158999999999999</v>
      </c>
      <c r="AF311" s="24">
        <v>5.7016999999999998</v>
      </c>
      <c r="AG311" s="24">
        <v>5.2542</v>
      </c>
      <c r="AH311" s="25">
        <f>AG311-AE311</f>
        <v>0.13830000000000009</v>
      </c>
      <c r="AI311" s="25">
        <v>76.391259815636715</v>
      </c>
      <c r="AJ311" s="26">
        <v>3.819562990781836</v>
      </c>
      <c r="AK311" s="25">
        <v>38.195629907818358</v>
      </c>
      <c r="AL311" s="26">
        <v>3.8206231743722494</v>
      </c>
      <c r="AM311" s="17">
        <f t="shared" si="90"/>
        <v>0.5780346820809249</v>
      </c>
      <c r="AN311" s="17"/>
      <c r="AO311" s="27"/>
      <c r="AP311" s="17"/>
      <c r="AQ311" s="17"/>
      <c r="AR311" s="17"/>
      <c r="AS311" s="17"/>
      <c r="AT311" s="17"/>
      <c r="AU311" s="17"/>
      <c r="AV311" s="17"/>
      <c r="AW311" s="17"/>
      <c r="AX311" s="17"/>
      <c r="BB311" s="17"/>
    </row>
    <row r="312" spans="1:54" x14ac:dyDescent="0.2">
      <c r="A312" s="17" t="s">
        <v>41</v>
      </c>
      <c r="B312" s="18" t="s">
        <v>42</v>
      </c>
      <c r="C312" s="18" t="str">
        <f t="shared" si="82"/>
        <v>BI10.8</v>
      </c>
      <c r="D312" s="18" t="str">
        <f t="shared" si="83"/>
        <v>BI10.8_311</v>
      </c>
      <c r="E312" s="17">
        <v>8</v>
      </c>
      <c r="F312" s="19">
        <v>311</v>
      </c>
      <c r="G312" s="20">
        <v>2.1</v>
      </c>
      <c r="H312" s="20">
        <v>2.5499999999999998</v>
      </c>
      <c r="I312" s="20">
        <v>0.95</v>
      </c>
      <c r="J312" s="20">
        <f t="shared" si="81"/>
        <v>4.0312448437500006</v>
      </c>
      <c r="K312" s="53">
        <v>0.19358974358974315</v>
      </c>
      <c r="L312" s="20">
        <f t="shared" si="93"/>
        <v>23.078205128205695</v>
      </c>
      <c r="M312" s="20">
        <f t="shared" si="93"/>
        <v>24.028205128205684</v>
      </c>
      <c r="N312" s="20">
        <f t="shared" si="93"/>
        <v>23.553205128205718</v>
      </c>
      <c r="O312" s="20">
        <f>P311+$AO$298</f>
        <v>303.0782051282057</v>
      </c>
      <c r="P312" s="20">
        <f t="shared" si="97"/>
        <v>304.02820512820568</v>
      </c>
      <c r="Q312" s="20">
        <f t="shared" si="91"/>
        <v>303.55320512820572</v>
      </c>
      <c r="R312" s="20">
        <f t="shared" si="94"/>
        <v>307.0782051282057</v>
      </c>
      <c r="S312" s="20">
        <f t="shared" si="95"/>
        <v>308.02820512820568</v>
      </c>
      <c r="T312" s="20">
        <f t="shared" si="96"/>
        <v>307.55320512820572</v>
      </c>
      <c r="U312" s="20">
        <v>307.55320512820572</v>
      </c>
      <c r="V312" s="22">
        <v>6.7341999999999977</v>
      </c>
      <c r="W312" s="22">
        <v>2.3033999999999999</v>
      </c>
      <c r="X312" s="23">
        <v>1.1476266666666668</v>
      </c>
      <c r="Y312" s="23">
        <f t="shared" si="84"/>
        <v>5.5865733333333312</v>
      </c>
      <c r="Z312" s="23">
        <f t="shared" si="85"/>
        <v>1.1557733333333331</v>
      </c>
      <c r="AA312" s="22">
        <f t="shared" si="86"/>
        <v>79.311587544421982</v>
      </c>
      <c r="AB312" s="22">
        <f t="shared" si="87"/>
        <v>20.688412455578018</v>
      </c>
      <c r="AC312" s="22">
        <f t="shared" si="88"/>
        <v>1.3858184133853084</v>
      </c>
      <c r="AD312" s="22">
        <f t="shared" si="89"/>
        <v>0.28670382924649984</v>
      </c>
      <c r="AE312" s="24">
        <v>5.0021000000000004</v>
      </c>
      <c r="AF312" s="24">
        <v>5.5773999999999999</v>
      </c>
      <c r="AG312" s="24">
        <v>5.2287999999999997</v>
      </c>
      <c r="AH312" s="25">
        <f>AG312-AE312</f>
        <v>0.22669999999999924</v>
      </c>
      <c r="AI312" s="25">
        <v>60.594472449157053</v>
      </c>
      <c r="AJ312" s="26">
        <v>3.029723622457853</v>
      </c>
      <c r="AK312" s="25">
        <v>30.297236224578526</v>
      </c>
      <c r="AL312" s="26">
        <v>3.031060083284252</v>
      </c>
      <c r="AM312" s="17">
        <f t="shared" si="90"/>
        <v>0.5780346820809249</v>
      </c>
      <c r="AN312" s="17"/>
      <c r="AO312" s="27"/>
      <c r="AP312" s="17"/>
      <c r="AQ312" s="17"/>
      <c r="AR312" s="17"/>
      <c r="AS312" s="17"/>
      <c r="AT312" s="17"/>
      <c r="AU312" s="17"/>
      <c r="AV312" s="17"/>
      <c r="AW312" s="17"/>
      <c r="AX312" s="17"/>
      <c r="BB312" s="17"/>
    </row>
    <row r="313" spans="1:54" x14ac:dyDescent="0.2">
      <c r="A313" s="17" t="s">
        <v>41</v>
      </c>
      <c r="B313" s="18" t="s">
        <v>42</v>
      </c>
      <c r="C313" s="18" t="str">
        <f t="shared" si="82"/>
        <v>BI10.8</v>
      </c>
      <c r="D313" s="18" t="str">
        <f t="shared" si="83"/>
        <v>BI10.8_312</v>
      </c>
      <c r="E313" s="17">
        <v>8</v>
      </c>
      <c r="F313" s="19">
        <v>312</v>
      </c>
      <c r="G313" s="20">
        <v>1.9</v>
      </c>
      <c r="H313" s="20">
        <v>2.5</v>
      </c>
      <c r="I313" s="20">
        <v>0.95</v>
      </c>
      <c r="J313" s="20">
        <f t="shared" si="81"/>
        <v>3.6094300000000006</v>
      </c>
      <c r="K313" s="53">
        <v>0.19358974358974315</v>
      </c>
      <c r="L313" s="20">
        <f t="shared" si="93"/>
        <v>24.221794871795453</v>
      </c>
      <c r="M313" s="20">
        <f t="shared" si="93"/>
        <v>25.171794871795441</v>
      </c>
      <c r="N313" s="20">
        <f t="shared" si="93"/>
        <v>24.696794871795419</v>
      </c>
      <c r="O313" s="20">
        <f>P312+$AO$298</f>
        <v>304.22179487179545</v>
      </c>
      <c r="P313" s="20">
        <f t="shared" si="97"/>
        <v>305.17179487179544</v>
      </c>
      <c r="Q313" s="20">
        <f t="shared" si="91"/>
        <v>304.69679487179542</v>
      </c>
      <c r="R313" s="20">
        <f t="shared" si="94"/>
        <v>308.22179487179545</v>
      </c>
      <c r="S313" s="20">
        <f t="shared" si="95"/>
        <v>309.17179487179544</v>
      </c>
      <c r="T313" s="20">
        <f t="shared" si="96"/>
        <v>308.69679487179542</v>
      </c>
      <c r="U313" s="20">
        <v>308.69679487179542</v>
      </c>
      <c r="V313" s="22">
        <v>5.6332999999999984</v>
      </c>
      <c r="W313" s="22">
        <v>2.0762</v>
      </c>
      <c r="X313" s="23">
        <v>1.1476266666666668</v>
      </c>
      <c r="Y313" s="23">
        <f t="shared" si="84"/>
        <v>4.4856733333333318</v>
      </c>
      <c r="Z313" s="23">
        <f t="shared" si="85"/>
        <v>0.92857333333333325</v>
      </c>
      <c r="AA313" s="22">
        <f t="shared" si="86"/>
        <v>79.299131605660094</v>
      </c>
      <c r="AB313" s="22">
        <f t="shared" si="87"/>
        <v>20.700868394339906</v>
      </c>
      <c r="AC313" s="22">
        <f t="shared" si="88"/>
        <v>1.2427650164522739</v>
      </c>
      <c r="AD313" s="22">
        <f t="shared" si="89"/>
        <v>0.25726315050668197</v>
      </c>
      <c r="AE313" s="24">
        <v>5.2134999999999998</v>
      </c>
      <c r="AF313" s="24">
        <v>5.6428000000000003</v>
      </c>
      <c r="AG313" s="24">
        <v>5.3098000000000001</v>
      </c>
      <c r="AH313" s="25">
        <f>AG313-AE313</f>
        <v>9.6300000000000274E-2</v>
      </c>
      <c r="AI313" s="25">
        <v>77.568134171907715</v>
      </c>
      <c r="AJ313" s="26">
        <v>3.8784067085953859</v>
      </c>
      <c r="AK313" s="25">
        <v>38.784067085953858</v>
      </c>
      <c r="AL313" s="26">
        <v>3.8794508112976116</v>
      </c>
      <c r="AM313" s="17">
        <f t="shared" si="90"/>
        <v>0.5780346820809249</v>
      </c>
      <c r="AN313" s="17"/>
      <c r="AO313" s="27"/>
      <c r="AP313" s="17"/>
      <c r="AQ313" s="17"/>
      <c r="AR313" s="17"/>
      <c r="AS313" s="17"/>
      <c r="AT313" s="17"/>
      <c r="AU313" s="17"/>
      <c r="AV313" s="17"/>
      <c r="AW313" s="17"/>
      <c r="AX313" s="17"/>
      <c r="BB313" s="17"/>
    </row>
    <row r="314" spans="1:54" x14ac:dyDescent="0.2">
      <c r="A314" s="17" t="s">
        <v>41</v>
      </c>
      <c r="B314" s="18" t="s">
        <v>42</v>
      </c>
      <c r="C314" s="18" t="str">
        <f t="shared" si="82"/>
        <v>BI10.8</v>
      </c>
      <c r="D314" s="18" t="str">
        <f t="shared" si="83"/>
        <v>BI10.8_313</v>
      </c>
      <c r="E314" s="17">
        <v>8</v>
      </c>
      <c r="F314" s="19">
        <v>313</v>
      </c>
      <c r="G314" s="20">
        <v>2.1</v>
      </c>
      <c r="H314" s="20">
        <v>2.5</v>
      </c>
      <c r="I314" s="20">
        <v>1</v>
      </c>
      <c r="J314" s="20">
        <f t="shared" si="81"/>
        <v>4.1526499999999995</v>
      </c>
      <c r="K314" s="53">
        <v>0.19358974358974315</v>
      </c>
      <c r="L314" s="20">
        <f t="shared" si="93"/>
        <v>25.36538461538521</v>
      </c>
      <c r="M314" s="20">
        <f t="shared" si="93"/>
        <v>26.36538461538521</v>
      </c>
      <c r="N314" s="20">
        <f t="shared" si="93"/>
        <v>25.86538461538521</v>
      </c>
      <c r="O314" s="20">
        <f>P313+$AO$298</f>
        <v>305.36538461538521</v>
      </c>
      <c r="P314" s="20">
        <f t="shared" si="97"/>
        <v>306.36538461538521</v>
      </c>
      <c r="Q314" s="20">
        <f t="shared" si="91"/>
        <v>305.86538461538521</v>
      </c>
      <c r="R314" s="20">
        <f t="shared" si="94"/>
        <v>309.36538461538521</v>
      </c>
      <c r="S314" s="20">
        <f t="shared" si="95"/>
        <v>310.36538461538521</v>
      </c>
      <c r="T314" s="20">
        <f t="shared" si="96"/>
        <v>309.86538461538521</v>
      </c>
      <c r="U314" s="20">
        <v>309.86538461538521</v>
      </c>
      <c r="V314" s="17">
        <v>6.1513999999999989</v>
      </c>
      <c r="W314" s="22">
        <v>2.1873</v>
      </c>
      <c r="X314" s="23">
        <v>1.1476266666666668</v>
      </c>
      <c r="Y314" s="23">
        <f t="shared" si="84"/>
        <v>5.0037733333333323</v>
      </c>
      <c r="Z314" s="23">
        <f t="shared" si="85"/>
        <v>1.0396733333333332</v>
      </c>
      <c r="AA314" s="22">
        <f t="shared" si="86"/>
        <v>79.222213636109288</v>
      </c>
      <c r="AB314" s="22">
        <f t="shared" si="87"/>
        <v>20.777786363890712</v>
      </c>
      <c r="AC314" s="22">
        <f t="shared" si="88"/>
        <v>1.2049590823530356</v>
      </c>
      <c r="AD314" s="22">
        <f t="shared" si="89"/>
        <v>0.25036382390361173</v>
      </c>
      <c r="AE314" s="24">
        <v>4.6330999999999998</v>
      </c>
      <c r="AF314" s="24">
        <v>5.0407000000000002</v>
      </c>
      <c r="AG314" s="24">
        <v>4.7267000000000001</v>
      </c>
      <c r="AH314" s="25">
        <f>AG314-AE314</f>
        <v>9.360000000000035E-2</v>
      </c>
      <c r="AI314" s="25">
        <v>77.036310107948907</v>
      </c>
      <c r="AJ314" s="26">
        <v>3.8518155053974454</v>
      </c>
      <c r="AK314" s="25">
        <v>38.518155053974453</v>
      </c>
      <c r="AL314" s="26">
        <v>3.8528668141554254</v>
      </c>
      <c r="AM314" s="17">
        <f t="shared" si="90"/>
        <v>0.5780346820809249</v>
      </c>
      <c r="AN314" s="17"/>
      <c r="AO314" s="27"/>
      <c r="AP314" s="17"/>
      <c r="AQ314" s="17"/>
      <c r="AR314" s="17"/>
      <c r="AS314" s="17"/>
      <c r="AT314" s="17"/>
      <c r="AU314" s="17"/>
      <c r="AV314" s="17"/>
      <c r="AW314" s="17"/>
      <c r="AX314" s="17"/>
      <c r="BB314" s="17"/>
    </row>
    <row r="315" spans="1:54" x14ac:dyDescent="0.2">
      <c r="A315" s="17" t="s">
        <v>41</v>
      </c>
      <c r="B315" s="18" t="s">
        <v>42</v>
      </c>
      <c r="C315" s="18" t="str">
        <f t="shared" si="82"/>
        <v>BI10.8</v>
      </c>
      <c r="D315" s="18" t="str">
        <f t="shared" si="83"/>
        <v>BI10.8_314</v>
      </c>
      <c r="E315" s="17">
        <v>8</v>
      </c>
      <c r="F315" s="19">
        <v>314</v>
      </c>
      <c r="G315" s="20">
        <v>2.1</v>
      </c>
      <c r="H315" s="20">
        <v>2.4500000000000002</v>
      </c>
      <c r="I315" s="20">
        <v>1.05</v>
      </c>
      <c r="J315" s="20">
        <f t="shared" si="81"/>
        <v>4.2660089062500015</v>
      </c>
      <c r="K315" s="53">
        <v>0.19358974358974315</v>
      </c>
      <c r="L315" s="20">
        <f t="shared" si="93"/>
        <v>26.558974358974979</v>
      </c>
      <c r="M315" s="20">
        <f t="shared" si="93"/>
        <v>27.60897435897499</v>
      </c>
      <c r="N315" s="20">
        <f t="shared" si="93"/>
        <v>27.083974358974956</v>
      </c>
      <c r="O315" s="20">
        <f>P314+$AO$298</f>
        <v>306.55897435897498</v>
      </c>
      <c r="P315" s="20">
        <f t="shared" si="97"/>
        <v>307.60897435897499</v>
      </c>
      <c r="Q315" s="20">
        <f t="shared" si="91"/>
        <v>307.08397435897496</v>
      </c>
      <c r="R315" s="20">
        <f t="shared" si="94"/>
        <v>310.55897435897498</v>
      </c>
      <c r="S315" s="20">
        <f t="shared" si="95"/>
        <v>311.60897435897499</v>
      </c>
      <c r="T315" s="20">
        <f t="shared" si="96"/>
        <v>311.08397435897496</v>
      </c>
      <c r="U315" s="20">
        <v>311.08397435897496</v>
      </c>
      <c r="V315" s="22">
        <v>6.0213000000000001</v>
      </c>
      <c r="W315" s="22">
        <v>2.0629</v>
      </c>
      <c r="X315" s="23">
        <v>1.1476266666666668</v>
      </c>
      <c r="Y315" s="23">
        <f t="shared" si="84"/>
        <v>4.8736733333333335</v>
      </c>
      <c r="Z315" s="23">
        <f t="shared" si="85"/>
        <v>0.91527333333333316</v>
      </c>
      <c r="AA315" s="22">
        <f t="shared" si="86"/>
        <v>81.220051679021026</v>
      </c>
      <c r="AB315" s="22">
        <f t="shared" si="87"/>
        <v>18.779948320978974</v>
      </c>
      <c r="AC315" s="22">
        <f t="shared" si="88"/>
        <v>1.1424433095282716</v>
      </c>
      <c r="AD315" s="22">
        <f t="shared" si="89"/>
        <v>0.21455026312589121</v>
      </c>
      <c r="AE315" s="24">
        <v>4.6660000000000004</v>
      </c>
      <c r="AF315" s="24">
        <v>5.1395999999999997</v>
      </c>
      <c r="AG315" s="24">
        <v>4.7714999999999996</v>
      </c>
      <c r="AH315" s="25">
        <f>AG315-AE315</f>
        <v>0.10549999999999926</v>
      </c>
      <c r="AI315" s="25">
        <v>77.723817567567693</v>
      </c>
      <c r="AJ315" s="26">
        <v>3.8861908783783847</v>
      </c>
      <c r="AK315" s="25">
        <v>38.861908783783846</v>
      </c>
      <c r="AL315" s="26">
        <v>3.887232890269293</v>
      </c>
      <c r="AM315" s="17">
        <f t="shared" si="90"/>
        <v>0.5780346820809249</v>
      </c>
      <c r="AN315" s="17"/>
      <c r="AO315" s="27"/>
      <c r="AP315" s="17"/>
      <c r="AQ315" s="17"/>
      <c r="AR315" s="17"/>
      <c r="AS315" s="17"/>
      <c r="AT315" s="17"/>
      <c r="AU315" s="17"/>
      <c r="AV315" s="17"/>
      <c r="AW315" s="17"/>
      <c r="AX315" s="17"/>
      <c r="BB315" s="17"/>
    </row>
    <row r="316" spans="1:54" x14ac:dyDescent="0.2">
      <c r="A316" s="17" t="s">
        <v>41</v>
      </c>
      <c r="B316" s="18" t="s">
        <v>42</v>
      </c>
      <c r="C316" s="18" t="str">
        <f t="shared" si="82"/>
        <v>BI10.8</v>
      </c>
      <c r="D316" s="18" t="str">
        <f t="shared" si="83"/>
        <v>BI10.8_315</v>
      </c>
      <c r="E316" s="17">
        <v>8</v>
      </c>
      <c r="F316" s="19">
        <v>315</v>
      </c>
      <c r="G316" s="20">
        <v>1.9</v>
      </c>
      <c r="H316" s="20">
        <v>2.4500000000000002</v>
      </c>
      <c r="I316" s="20">
        <v>1.1000000000000001</v>
      </c>
      <c r="J316" s="20">
        <f t="shared" si="81"/>
        <v>4.0848946874999994</v>
      </c>
      <c r="K316" s="53">
        <v>0.19358974358974315</v>
      </c>
      <c r="L316" s="20">
        <f t="shared" si="93"/>
        <v>27.802564102564759</v>
      </c>
      <c r="M316" s="20">
        <f t="shared" si="93"/>
        <v>28.902564102564781</v>
      </c>
      <c r="N316" s="20">
        <f t="shared" si="93"/>
        <v>28.35256410256477</v>
      </c>
      <c r="O316" s="20">
        <f>P315+$AO$298</f>
        <v>307.80256410256476</v>
      </c>
      <c r="P316" s="20">
        <f t="shared" si="97"/>
        <v>308.90256410256478</v>
      </c>
      <c r="Q316" s="20">
        <f t="shared" si="91"/>
        <v>308.35256410256477</v>
      </c>
      <c r="R316" s="20">
        <f t="shared" si="94"/>
        <v>311.80256410256476</v>
      </c>
      <c r="S316" s="20">
        <f t="shared" si="95"/>
        <v>312.90256410256478</v>
      </c>
      <c r="T316" s="20">
        <f t="shared" si="96"/>
        <v>312.35256410256477</v>
      </c>
      <c r="U316" s="20">
        <v>312.35256410256477</v>
      </c>
      <c r="V316" s="22">
        <v>5.7391000000000005</v>
      </c>
      <c r="W316" s="22">
        <v>1.9575</v>
      </c>
      <c r="X316" s="23">
        <v>1.1476266666666668</v>
      </c>
      <c r="Y316" s="23">
        <f t="shared" si="84"/>
        <v>4.591473333333334</v>
      </c>
      <c r="Z316" s="23">
        <f t="shared" si="85"/>
        <v>0.80987333333333322</v>
      </c>
      <c r="AA316" s="22">
        <f t="shared" si="86"/>
        <v>82.36136258368775</v>
      </c>
      <c r="AB316" s="22">
        <f t="shared" si="87"/>
        <v>17.63863741631225</v>
      </c>
      <c r="AC316" s="22">
        <f t="shared" si="88"/>
        <v>1.124012657507057</v>
      </c>
      <c r="AD316" s="22">
        <f t="shared" si="89"/>
        <v>0.19826051717112556</v>
      </c>
      <c r="AE316" s="24">
        <v>4.8887999999999998</v>
      </c>
      <c r="AF316" s="24">
        <v>5.2869999999999999</v>
      </c>
      <c r="AG316" s="24">
        <v>4.9711999999999996</v>
      </c>
      <c r="AH316" s="25">
        <f>AG316-AE316</f>
        <v>8.2399999999999807E-2</v>
      </c>
      <c r="AI316" s="25">
        <v>79.30688096433957</v>
      </c>
      <c r="AJ316" s="26">
        <v>3.9653440482169788</v>
      </c>
      <c r="AK316" s="25">
        <v>39.653440482169785</v>
      </c>
      <c r="AL316" s="26">
        <v>3.9663652656720632</v>
      </c>
      <c r="AM316" s="17">
        <f t="shared" si="90"/>
        <v>0.5780346820809249</v>
      </c>
      <c r="AN316" s="17"/>
      <c r="AO316" s="27"/>
      <c r="AP316" s="17"/>
      <c r="AQ316" s="17"/>
      <c r="AR316" s="17"/>
      <c r="AS316" s="17"/>
      <c r="AT316" s="17"/>
      <c r="AU316" s="17"/>
      <c r="AV316" s="17"/>
      <c r="AW316" s="17"/>
      <c r="AX316" s="17"/>
      <c r="BB316" s="17"/>
    </row>
    <row r="317" spans="1:54" x14ac:dyDescent="0.2">
      <c r="A317" s="17" t="s">
        <v>41</v>
      </c>
      <c r="B317" s="18" t="s">
        <v>42</v>
      </c>
      <c r="C317" s="18" t="str">
        <f t="shared" si="82"/>
        <v>BI10.8</v>
      </c>
      <c r="D317" s="18" t="str">
        <f t="shared" si="83"/>
        <v>BI10.8_316</v>
      </c>
      <c r="E317" s="17">
        <v>8</v>
      </c>
      <c r="F317" s="19">
        <v>316</v>
      </c>
      <c r="G317" s="20">
        <v>2.1</v>
      </c>
      <c r="H317" s="20">
        <v>2.35</v>
      </c>
      <c r="I317" s="20">
        <v>1.1000000000000001</v>
      </c>
      <c r="J317" s="20">
        <f t="shared" si="81"/>
        <v>4.2748646875000009</v>
      </c>
      <c r="K317" s="53">
        <v>0.19358974358974315</v>
      </c>
      <c r="L317" s="20">
        <f t="shared" si="93"/>
        <v>29.09615384615455</v>
      </c>
      <c r="M317" s="20">
        <f t="shared" si="93"/>
        <v>30.196153846154573</v>
      </c>
      <c r="N317" s="20">
        <f t="shared" si="93"/>
        <v>29.646153846154562</v>
      </c>
      <c r="O317" s="20">
        <f>P316+$AO$298</f>
        <v>309.09615384615455</v>
      </c>
      <c r="P317" s="20">
        <f t="shared" si="97"/>
        <v>310.19615384615457</v>
      </c>
      <c r="Q317" s="20">
        <f t="shared" si="91"/>
        <v>309.64615384615456</v>
      </c>
      <c r="R317" s="20">
        <f t="shared" si="94"/>
        <v>313.09615384615455</v>
      </c>
      <c r="S317" s="20">
        <f t="shared" si="95"/>
        <v>314.19615384615457</v>
      </c>
      <c r="T317" s="20">
        <f t="shared" si="96"/>
        <v>313.64615384615456</v>
      </c>
      <c r="U317" s="20">
        <v>313.64615384615456</v>
      </c>
      <c r="V317" s="22">
        <v>6.2234999999999978</v>
      </c>
      <c r="W317" s="22">
        <v>2.0354000000000001</v>
      </c>
      <c r="X317" s="23">
        <v>1.1476266666666668</v>
      </c>
      <c r="Y317" s="23">
        <f t="shared" si="84"/>
        <v>5.0758733333333312</v>
      </c>
      <c r="Z317" s="23">
        <f t="shared" si="85"/>
        <v>0.8877733333333333</v>
      </c>
      <c r="AA317" s="22">
        <f t="shared" si="86"/>
        <v>82.509939176312514</v>
      </c>
      <c r="AB317" s="22">
        <f t="shared" si="87"/>
        <v>17.490060823687486</v>
      </c>
      <c r="AC317" s="22">
        <f t="shared" si="88"/>
        <v>1.1873763743155508</v>
      </c>
      <c r="AD317" s="22">
        <f t="shared" si="89"/>
        <v>0.20767285007388508</v>
      </c>
      <c r="AE317" s="24">
        <v>5.0476000000000001</v>
      </c>
      <c r="AF317" s="24">
        <v>5.5128000000000004</v>
      </c>
      <c r="AG317" s="24">
        <v>5.1418999999999997</v>
      </c>
      <c r="AH317" s="25">
        <f>AG317-AE317</f>
        <v>9.4299999999999606E-2</v>
      </c>
      <c r="AI317" s="25">
        <v>79.729148753224521</v>
      </c>
      <c r="AJ317" s="26">
        <v>3.9864574376612261</v>
      </c>
      <c r="AK317" s="25">
        <v>39.864574376612261</v>
      </c>
      <c r="AL317" s="26">
        <v>3.9874732478456214</v>
      </c>
      <c r="AM317" s="17">
        <f t="shared" si="90"/>
        <v>0.5780346820809249</v>
      </c>
      <c r="AN317" s="17"/>
      <c r="AO317" s="27"/>
      <c r="AP317" s="17"/>
      <c r="AQ317" s="17"/>
      <c r="AR317" s="17"/>
      <c r="AS317" s="17"/>
      <c r="AT317" s="17"/>
      <c r="AU317" s="17"/>
      <c r="AV317" s="17"/>
      <c r="AW317" s="17"/>
      <c r="AX317" s="17"/>
      <c r="BB317" s="17"/>
    </row>
    <row r="318" spans="1:54" x14ac:dyDescent="0.2">
      <c r="A318" s="17" t="s">
        <v>41</v>
      </c>
      <c r="B318" s="18" t="s">
        <v>42</v>
      </c>
      <c r="C318" s="18" t="str">
        <f t="shared" si="82"/>
        <v>BI10.8</v>
      </c>
      <c r="D318" s="18" t="str">
        <f t="shared" si="83"/>
        <v>BI10.8_317</v>
      </c>
      <c r="E318" s="17">
        <v>8</v>
      </c>
      <c r="F318" s="19">
        <v>317</v>
      </c>
      <c r="G318" s="20">
        <v>2.1</v>
      </c>
      <c r="H318" s="20">
        <v>2.4500000000000002</v>
      </c>
      <c r="I318" s="20">
        <v>1.1000000000000001</v>
      </c>
      <c r="J318" s="20">
        <f t="shared" si="81"/>
        <v>4.4691521875000015</v>
      </c>
      <c r="K318" s="53">
        <v>0.19358974358974315</v>
      </c>
      <c r="L318" s="20">
        <f t="shared" si="93"/>
        <v>30.389743589744342</v>
      </c>
      <c r="M318" s="20">
        <f t="shared" si="93"/>
        <v>31.489743589744364</v>
      </c>
      <c r="N318" s="20">
        <f t="shared" si="93"/>
        <v>30.939743589744353</v>
      </c>
      <c r="O318" s="20">
        <f>P317+$AO$298</f>
        <v>310.38974358974434</v>
      </c>
      <c r="P318" s="20">
        <f t="shared" si="97"/>
        <v>311.48974358974436</v>
      </c>
      <c r="Q318" s="20">
        <f t="shared" si="91"/>
        <v>310.93974358974435</v>
      </c>
      <c r="R318" s="20">
        <f t="shared" si="94"/>
        <v>314.38974358974434</v>
      </c>
      <c r="S318" s="20">
        <f t="shared" si="95"/>
        <v>315.48974358974436</v>
      </c>
      <c r="T318" s="20">
        <f t="shared" si="96"/>
        <v>314.93974358974435</v>
      </c>
      <c r="U318" s="20">
        <v>314.93974358974435</v>
      </c>
      <c r="V318" s="22">
        <v>6.0999999999999979</v>
      </c>
      <c r="W318" s="22">
        <v>1.9737</v>
      </c>
      <c r="X318" s="23">
        <v>1.1476266666666668</v>
      </c>
      <c r="Y318" s="23">
        <f t="shared" si="84"/>
        <v>4.9523733333333313</v>
      </c>
      <c r="Z318" s="23">
        <f t="shared" si="85"/>
        <v>0.82607333333333322</v>
      </c>
      <c r="AA318" s="22">
        <f t="shared" si="86"/>
        <v>83.319647414842166</v>
      </c>
      <c r="AB318" s="22">
        <f t="shared" si="87"/>
        <v>16.680352585157834</v>
      </c>
      <c r="AC318" s="22">
        <f t="shared" si="88"/>
        <v>1.1081236721329104</v>
      </c>
      <c r="AD318" s="22">
        <f t="shared" si="89"/>
        <v>0.18483893559136777</v>
      </c>
      <c r="AE318" s="24">
        <v>4.6646000000000001</v>
      </c>
      <c r="AF318" s="24">
        <v>5.0589000000000004</v>
      </c>
      <c r="AG318" s="24">
        <v>4.7460000000000004</v>
      </c>
      <c r="AH318" s="25">
        <f>AG318-AE318</f>
        <v>8.1400000000000361E-2</v>
      </c>
      <c r="AI318" s="25">
        <v>79.355820441288287</v>
      </c>
      <c r="AJ318" s="26">
        <v>3.9677910220644144</v>
      </c>
      <c r="AK318" s="25">
        <v>39.677910220644144</v>
      </c>
      <c r="AL318" s="26">
        <v>3.9688116098871422</v>
      </c>
      <c r="AM318" s="17">
        <f t="shared" si="90"/>
        <v>0.5780346820809249</v>
      </c>
      <c r="AN318" s="17"/>
      <c r="AO318" s="27"/>
      <c r="AP318" s="17"/>
      <c r="AQ318" s="17"/>
      <c r="AR318" s="17"/>
      <c r="AS318" s="17"/>
      <c r="AT318" s="17"/>
      <c r="AU318" s="17"/>
      <c r="AV318" s="17"/>
      <c r="AW318" s="17"/>
      <c r="AX318" s="17"/>
      <c r="BB318" s="17"/>
    </row>
    <row r="319" spans="1:54" x14ac:dyDescent="0.2">
      <c r="A319" s="17" t="s">
        <v>41</v>
      </c>
      <c r="B319" s="18" t="s">
        <v>42</v>
      </c>
      <c r="C319" s="18" t="str">
        <f t="shared" si="82"/>
        <v>BI10.8</v>
      </c>
      <c r="D319" s="18" t="str">
        <f t="shared" si="83"/>
        <v>BI10.8_318</v>
      </c>
      <c r="E319" s="17">
        <v>8</v>
      </c>
      <c r="F319" s="19">
        <v>318</v>
      </c>
      <c r="G319" s="20">
        <v>2</v>
      </c>
      <c r="H319" s="20">
        <v>2.4</v>
      </c>
      <c r="I319" s="20">
        <v>1.1000000000000001</v>
      </c>
      <c r="J319" s="20">
        <f t="shared" si="81"/>
        <v>4.1793400000000016</v>
      </c>
      <c r="K319" s="53">
        <v>0.19358974358974315</v>
      </c>
      <c r="L319" s="20">
        <f t="shared" si="93"/>
        <v>31.683333333334133</v>
      </c>
      <c r="M319" s="20">
        <f t="shared" si="93"/>
        <v>32.783333333334156</v>
      </c>
      <c r="N319" s="20">
        <f t="shared" si="93"/>
        <v>32.233333333334144</v>
      </c>
      <c r="O319" s="20">
        <f>P318+$AO$298</f>
        <v>311.68333333333413</v>
      </c>
      <c r="P319" s="20">
        <f t="shared" si="97"/>
        <v>312.78333333333416</v>
      </c>
      <c r="Q319" s="20">
        <f t="shared" si="91"/>
        <v>312.23333333333414</v>
      </c>
      <c r="R319" s="20">
        <f t="shared" si="94"/>
        <v>315.68333333333413</v>
      </c>
      <c r="S319" s="20">
        <f t="shared" si="95"/>
        <v>316.78333333333416</v>
      </c>
      <c r="T319" s="20">
        <f t="shared" si="96"/>
        <v>316.23333333333414</v>
      </c>
      <c r="U319" s="20">
        <v>316.23333333333414</v>
      </c>
      <c r="V319" s="22">
        <v>6.1182999999999979</v>
      </c>
      <c r="W319" s="22">
        <v>1.8854</v>
      </c>
      <c r="X319" s="23">
        <v>1.1476266666666668</v>
      </c>
      <c r="Y319" s="23">
        <f t="shared" si="84"/>
        <v>4.9706733333333313</v>
      </c>
      <c r="Z319" s="23">
        <f t="shared" si="85"/>
        <v>0.73777333333333317</v>
      </c>
      <c r="AA319" s="22">
        <f t="shared" si="86"/>
        <v>85.157476988362404</v>
      </c>
      <c r="AB319" s="22">
        <f t="shared" si="87"/>
        <v>14.842523011637596</v>
      </c>
      <c r="AC319" s="22">
        <f t="shared" si="88"/>
        <v>1.1893440910127746</v>
      </c>
      <c r="AD319" s="22">
        <f t="shared" si="89"/>
        <v>0.17652867039612305</v>
      </c>
      <c r="AE319" s="24">
        <v>4.8710000000000004</v>
      </c>
      <c r="AF319" s="24">
        <v>5.1939000000000002</v>
      </c>
      <c r="AG319" s="24">
        <v>4.9474999999999998</v>
      </c>
      <c r="AH319" s="25">
        <f>AG319-AE319</f>
        <v>7.6499999999999346E-2</v>
      </c>
      <c r="AI319" s="25">
        <v>76.308454629916568</v>
      </c>
      <c r="AJ319" s="26">
        <v>3.8154227314958287</v>
      </c>
      <c r="AK319" s="25">
        <v>38.154227314958284</v>
      </c>
      <c r="AL319" s="26">
        <v>3.8164840652117351</v>
      </c>
      <c r="AM319" s="17">
        <f t="shared" si="90"/>
        <v>0.5780346820809249</v>
      </c>
      <c r="AN319" s="17"/>
      <c r="AO319" s="27"/>
      <c r="AP319" s="17"/>
      <c r="AQ319" s="17"/>
      <c r="AR319" s="17"/>
      <c r="AS319" s="17"/>
      <c r="AT319" s="17"/>
      <c r="AU319" s="17"/>
      <c r="AV319" s="17"/>
      <c r="AW319" s="17"/>
      <c r="AX319" s="17"/>
      <c r="BB319" s="17"/>
    </row>
    <row r="320" spans="1:54" x14ac:dyDescent="0.2">
      <c r="A320" s="17" t="s">
        <v>41</v>
      </c>
      <c r="B320" s="18" t="s">
        <v>42</v>
      </c>
      <c r="C320" s="18" t="str">
        <f t="shared" si="82"/>
        <v>BI10.8</v>
      </c>
      <c r="D320" s="18" t="str">
        <f t="shared" si="83"/>
        <v>BI10.8_319</v>
      </c>
      <c r="E320" s="17">
        <v>8</v>
      </c>
      <c r="F320" s="19">
        <v>319</v>
      </c>
      <c r="G320" s="20">
        <v>2.25</v>
      </c>
      <c r="H320" s="20">
        <v>2.5</v>
      </c>
      <c r="I320" s="20">
        <v>1</v>
      </c>
      <c r="J320" s="20">
        <f t="shared" si="81"/>
        <v>4.4278906249999999</v>
      </c>
      <c r="K320" s="53">
        <v>0.19358974358974315</v>
      </c>
      <c r="L320" s="20">
        <f t="shared" si="93"/>
        <v>32.976923076923924</v>
      </c>
      <c r="M320" s="20">
        <f t="shared" si="93"/>
        <v>33.976923076923924</v>
      </c>
      <c r="N320" s="20">
        <f t="shared" si="93"/>
        <v>33.476923076923924</v>
      </c>
      <c r="O320" s="20">
        <f>P319+$AO$298</f>
        <v>312.97692307692392</v>
      </c>
      <c r="P320" s="20">
        <f t="shared" si="97"/>
        <v>313.97692307692392</v>
      </c>
      <c r="Q320" s="20">
        <f t="shared" si="91"/>
        <v>313.47692307692392</v>
      </c>
      <c r="R320" s="20">
        <f t="shared" si="94"/>
        <v>316.97692307692392</v>
      </c>
      <c r="S320" s="20">
        <f t="shared" si="95"/>
        <v>317.97692307692392</v>
      </c>
      <c r="T320" s="20">
        <f t="shared" si="96"/>
        <v>317.47692307692392</v>
      </c>
      <c r="U320" s="20">
        <v>317.47692307692392</v>
      </c>
      <c r="V320" s="22">
        <v>6.5414999999999992</v>
      </c>
      <c r="W320" s="22">
        <v>1.9524999999999999</v>
      </c>
      <c r="X320" s="23">
        <v>1.1476266666666668</v>
      </c>
      <c r="Y320" s="23">
        <f t="shared" si="84"/>
        <v>5.3938733333333326</v>
      </c>
      <c r="Z320" s="23">
        <f t="shared" si="85"/>
        <v>0.80487333333333311</v>
      </c>
      <c r="AA320" s="22">
        <f t="shared" si="86"/>
        <v>85.078008258752831</v>
      </c>
      <c r="AB320" s="22">
        <f t="shared" si="87"/>
        <v>14.921991741247169</v>
      </c>
      <c r="AC320" s="22">
        <f t="shared" si="88"/>
        <v>1.2181586651845839</v>
      </c>
      <c r="AD320" s="22">
        <f t="shared" si="89"/>
        <v>0.18177353541413033</v>
      </c>
      <c r="AE320" s="24">
        <v>4.7156000000000002</v>
      </c>
      <c r="AF320" s="24">
        <v>5.0862999999999996</v>
      </c>
      <c r="AG320" s="24">
        <v>4.782</v>
      </c>
      <c r="AH320" s="25">
        <f>AG320-AE320</f>
        <v>6.6399999999999793E-2</v>
      </c>
      <c r="AI320" s="25">
        <v>82.087941731858677</v>
      </c>
      <c r="AJ320" s="26">
        <v>4.1043970865929342</v>
      </c>
      <c r="AK320" s="25">
        <v>41.043970865929339</v>
      </c>
      <c r="AL320" s="26">
        <v>4.1053837146401513</v>
      </c>
      <c r="AM320" s="17">
        <f t="shared" si="90"/>
        <v>0.5780346820809249</v>
      </c>
      <c r="AN320" s="17"/>
      <c r="AO320" s="27"/>
      <c r="AP320" s="17"/>
      <c r="AQ320" s="17"/>
      <c r="AR320" s="17"/>
      <c r="AS320" s="17"/>
      <c r="AT320" s="17"/>
      <c r="AU320" s="17"/>
      <c r="AV320" s="17"/>
      <c r="AW320" s="17"/>
      <c r="AX320" s="17"/>
      <c r="BB320" s="17"/>
    </row>
    <row r="321" spans="1:54" x14ac:dyDescent="0.2">
      <c r="A321" s="17" t="s">
        <v>41</v>
      </c>
      <c r="B321" s="18" t="s">
        <v>42</v>
      </c>
      <c r="C321" s="18" t="str">
        <f t="shared" si="82"/>
        <v>BI10.8</v>
      </c>
      <c r="D321" s="18" t="str">
        <f t="shared" si="83"/>
        <v>BI10.8_320</v>
      </c>
      <c r="E321" s="17">
        <v>8</v>
      </c>
      <c r="F321" s="19">
        <v>320</v>
      </c>
      <c r="G321" s="20">
        <v>2.2000000000000002</v>
      </c>
      <c r="H321" s="20">
        <v>2.4500000000000002</v>
      </c>
      <c r="I321" s="20">
        <v>1.1000000000000001</v>
      </c>
      <c r="J321" s="20">
        <f t="shared" si="81"/>
        <v>4.6677571875000012</v>
      </c>
      <c r="K321" s="53">
        <v>0.19358974358974315</v>
      </c>
      <c r="L321" s="20">
        <f t="shared" si="93"/>
        <v>34.170512820513693</v>
      </c>
      <c r="M321" s="20">
        <f t="shared" si="93"/>
        <v>35.270512820513716</v>
      </c>
      <c r="N321" s="20">
        <f t="shared" si="93"/>
        <v>34.720512820513704</v>
      </c>
      <c r="O321" s="20">
        <f>P320+$AO$298</f>
        <v>314.17051282051369</v>
      </c>
      <c r="P321" s="20">
        <f t="shared" si="97"/>
        <v>315.27051282051372</v>
      </c>
      <c r="Q321" s="20">
        <f t="shared" si="91"/>
        <v>314.7205128205137</v>
      </c>
      <c r="R321" s="20">
        <f t="shared" si="94"/>
        <v>318.17051282051369</v>
      </c>
      <c r="S321" s="20">
        <f t="shared" si="95"/>
        <v>319.27051282051372</v>
      </c>
      <c r="T321" s="20">
        <f t="shared" si="96"/>
        <v>318.7205128205137</v>
      </c>
      <c r="U321" s="20">
        <v>318.7205128205137</v>
      </c>
      <c r="V321" s="22">
        <v>6.8556999999999988</v>
      </c>
      <c r="W321" s="22">
        <v>2.0125999999999999</v>
      </c>
      <c r="X321" s="23">
        <v>1.1476266666666668</v>
      </c>
      <c r="Y321" s="23">
        <f t="shared" si="84"/>
        <v>5.7080733333333322</v>
      </c>
      <c r="Z321" s="23">
        <f t="shared" si="85"/>
        <v>0.86497333333333315</v>
      </c>
      <c r="AA321" s="22">
        <f t="shared" si="86"/>
        <v>84.846492278188435</v>
      </c>
      <c r="AB321" s="22">
        <f t="shared" si="87"/>
        <v>15.153507721811565</v>
      </c>
      <c r="AC321" s="22">
        <f t="shared" si="88"/>
        <v>1.2228728067987857</v>
      </c>
      <c r="AD321" s="22">
        <f t="shared" si="89"/>
        <v>0.18530812520618778</v>
      </c>
      <c r="AE321" s="24">
        <v>4.7045000000000003</v>
      </c>
      <c r="AF321" s="24">
        <v>4.9633000000000003</v>
      </c>
      <c r="AG321" s="24">
        <v>4.7572000000000001</v>
      </c>
      <c r="AH321" s="25">
        <f>AG321-AE321</f>
        <v>5.2699999999999747E-2</v>
      </c>
      <c r="AI321" s="25">
        <v>79.636785162287566</v>
      </c>
      <c r="AJ321" s="26">
        <v>3.9818392581143787</v>
      </c>
      <c r="AK321" s="25">
        <v>39.818392581143783</v>
      </c>
      <c r="AL321" s="26">
        <v>3.9828562461455808</v>
      </c>
      <c r="AM321" s="17">
        <f t="shared" si="90"/>
        <v>0.5780346820809249</v>
      </c>
      <c r="AN321" s="17"/>
      <c r="AO321" s="27"/>
      <c r="AP321" s="17"/>
      <c r="AQ321" s="17"/>
      <c r="AR321" s="17"/>
      <c r="AS321" s="17"/>
      <c r="AT321" s="17"/>
      <c r="AU321" s="17"/>
      <c r="AV321" s="17"/>
      <c r="AW321" s="17"/>
      <c r="AX321" s="17"/>
      <c r="BB321" s="17"/>
    </row>
    <row r="322" spans="1:54" x14ac:dyDescent="0.2">
      <c r="A322" s="17" t="s">
        <v>41</v>
      </c>
      <c r="B322" s="18" t="s">
        <v>42</v>
      </c>
      <c r="C322" s="18" t="str">
        <f t="shared" si="82"/>
        <v>BI10.8</v>
      </c>
      <c r="D322" s="18" t="str">
        <f t="shared" si="83"/>
        <v>BI10.8_321</v>
      </c>
      <c r="E322" s="17">
        <v>8</v>
      </c>
      <c r="F322" s="19">
        <v>321</v>
      </c>
      <c r="G322" s="20">
        <v>2.2999999999999998</v>
      </c>
      <c r="H322" s="20">
        <v>2.4</v>
      </c>
      <c r="I322" s="20">
        <v>1</v>
      </c>
      <c r="J322" s="20">
        <f t="shared" ref="J322:J385" si="98">(AVERAGE(G322:H322)*(AVERAGE(G322:H322)*3.14/4*I322))</f>
        <v>4.3351624999999991</v>
      </c>
      <c r="K322" s="53">
        <v>0.19358974358974315</v>
      </c>
      <c r="L322" s="20">
        <f t="shared" si="93"/>
        <v>35.464102564103484</v>
      </c>
      <c r="M322" s="20">
        <f t="shared" si="93"/>
        <v>36.464102564103484</v>
      </c>
      <c r="N322" s="20">
        <f t="shared" si="93"/>
        <v>35.964102564103484</v>
      </c>
      <c r="O322" s="20">
        <f>P321+$AO$298</f>
        <v>315.46410256410348</v>
      </c>
      <c r="P322" s="20">
        <f t="shared" si="97"/>
        <v>316.46410256410348</v>
      </c>
      <c r="Q322" s="20">
        <f t="shared" si="91"/>
        <v>315.96410256410348</v>
      </c>
      <c r="R322" s="20">
        <f t="shared" si="94"/>
        <v>319.46410256410348</v>
      </c>
      <c r="S322" s="20">
        <f t="shared" si="95"/>
        <v>320.46410256410348</v>
      </c>
      <c r="T322" s="20">
        <f t="shared" si="96"/>
        <v>319.96410256410348</v>
      </c>
      <c r="U322" s="20">
        <v>319.96410256410348</v>
      </c>
      <c r="V322" s="22">
        <v>6.4954000000000001</v>
      </c>
      <c r="W322" s="22">
        <v>2.0285000000000002</v>
      </c>
      <c r="X322" s="23">
        <v>1.1476266666666668</v>
      </c>
      <c r="Y322" s="23">
        <f t="shared" si="84"/>
        <v>5.3477733333333335</v>
      </c>
      <c r="Z322" s="23">
        <f t="shared" si="85"/>
        <v>0.8808733333333334</v>
      </c>
      <c r="AA322" s="22">
        <f t="shared" si="86"/>
        <v>83.528222338019802</v>
      </c>
      <c r="AB322" s="22">
        <f t="shared" si="87"/>
        <v>16.471777661980198</v>
      </c>
      <c r="AC322" s="22">
        <f t="shared" si="88"/>
        <v>1.2335808250171325</v>
      </c>
      <c r="AD322" s="22">
        <f t="shared" si="89"/>
        <v>0.20319269077764296</v>
      </c>
      <c r="AE322" s="24">
        <v>4.8235000000000001</v>
      </c>
      <c r="AF322" s="24">
        <v>5.2739000000000003</v>
      </c>
      <c r="AG322" s="24">
        <v>4.9039999999999999</v>
      </c>
      <c r="AH322" s="25">
        <f>AG322-AE322</f>
        <v>8.0499999999999794E-2</v>
      </c>
      <c r="AI322" s="25">
        <v>82.126998223801124</v>
      </c>
      <c r="AJ322" s="26">
        <v>4.1063499111900565</v>
      </c>
      <c r="AK322" s="25">
        <v>41.063499111900562</v>
      </c>
      <c r="AL322" s="26">
        <v>4.1073360701469976</v>
      </c>
      <c r="AM322" s="17">
        <f t="shared" si="90"/>
        <v>0.5780346820809249</v>
      </c>
      <c r="AN322" s="17"/>
      <c r="AO322" s="27"/>
      <c r="AP322" s="17"/>
      <c r="AQ322" s="17"/>
      <c r="AR322" s="17"/>
      <c r="AS322" s="17"/>
      <c r="AT322" s="17"/>
      <c r="AU322" s="17"/>
      <c r="AV322" s="17"/>
      <c r="AW322" s="17"/>
      <c r="AX322" s="17"/>
      <c r="BB322" s="17"/>
    </row>
    <row r="323" spans="1:54" x14ac:dyDescent="0.2">
      <c r="A323" s="17" t="s">
        <v>41</v>
      </c>
      <c r="B323" s="18" t="s">
        <v>42</v>
      </c>
      <c r="C323" s="18" t="str">
        <f t="shared" ref="C323:C386" si="99">B323&amp;"."&amp;E323</f>
        <v>BI10.8</v>
      </c>
      <c r="D323" s="18" t="str">
        <f t="shared" ref="D323:D386" si="100">C323&amp;"_"&amp;F323</f>
        <v>BI10.8_322</v>
      </c>
      <c r="E323" s="17">
        <v>8</v>
      </c>
      <c r="F323" s="19">
        <v>322</v>
      </c>
      <c r="G323" s="20">
        <v>2.4500000000000002</v>
      </c>
      <c r="H323" s="20">
        <v>2.1</v>
      </c>
      <c r="I323" s="20">
        <v>1.1000000000000001</v>
      </c>
      <c r="J323" s="20">
        <f t="shared" si="98"/>
        <v>4.4691521875000015</v>
      </c>
      <c r="K323" s="53">
        <v>0.19358974358974315</v>
      </c>
      <c r="L323" s="20">
        <f t="shared" si="93"/>
        <v>36.657692307693253</v>
      </c>
      <c r="M323" s="20">
        <f t="shared" si="93"/>
        <v>37.757692307693276</v>
      </c>
      <c r="N323" s="20">
        <f t="shared" si="93"/>
        <v>37.207692307693264</v>
      </c>
      <c r="O323" s="20">
        <f>P322+$AO$298</f>
        <v>316.65769230769325</v>
      </c>
      <c r="P323" s="20">
        <f t="shared" si="97"/>
        <v>317.75769230769328</v>
      </c>
      <c r="Q323" s="20">
        <f t="shared" si="91"/>
        <v>317.20769230769326</v>
      </c>
      <c r="R323" s="20">
        <f t="shared" si="94"/>
        <v>320.65769230769325</v>
      </c>
      <c r="S323" s="20">
        <f t="shared" si="95"/>
        <v>321.75769230769328</v>
      </c>
      <c r="T323" s="20">
        <f t="shared" si="96"/>
        <v>321.20769230769326</v>
      </c>
      <c r="U323" s="20">
        <v>321.20769230769326</v>
      </c>
      <c r="V323" s="22">
        <v>5.7093999999999987</v>
      </c>
      <c r="W323" s="22">
        <v>1.9631000000000001</v>
      </c>
      <c r="X323" s="23">
        <v>1.1476266666666668</v>
      </c>
      <c r="Y323" s="23">
        <f t="shared" ref="Y323:Y386" si="101">V323-X323</f>
        <v>4.5617733333333321</v>
      </c>
      <c r="Z323" s="23">
        <f t="shared" ref="Z323:Z386" si="102">W323-X323</f>
        <v>0.81547333333333327</v>
      </c>
      <c r="AA323" s="22">
        <f t="shared" ref="AA323:AA386" si="103">((Y323-Z323)/Y323)*100</f>
        <v>82.123764734766894</v>
      </c>
      <c r="AB323" s="22">
        <f t="shared" ref="AB323:AB386" si="104">100-AA323</f>
        <v>17.876235265233106</v>
      </c>
      <c r="AC323" s="22">
        <f t="shared" ref="AC323:AC386" si="105">(V323-X323)/J323</f>
        <v>1.0207245450473554</v>
      </c>
      <c r="AD323" s="22">
        <f t="shared" ref="AD323:AD386" si="106">(W323-X323)/J323</f>
        <v>0.18246712108264562</v>
      </c>
      <c r="AE323" s="24">
        <v>4.8362999999999996</v>
      </c>
      <c r="AF323" s="24">
        <v>5.1497000000000002</v>
      </c>
      <c r="AG323" s="24">
        <v>4.8883000000000001</v>
      </c>
      <c r="AH323" s="25">
        <f>AG323-AE323</f>
        <v>5.200000000000049E-2</v>
      </c>
      <c r="AI323" s="25">
        <v>83.407785577536558</v>
      </c>
      <c r="AJ323" s="26">
        <v>4.1703892788768284</v>
      </c>
      <c r="AK323" s="25">
        <v>41.703892788768279</v>
      </c>
      <c r="AL323" s="26">
        <v>4.1713602981965963</v>
      </c>
      <c r="AM323" s="17">
        <f t="shared" ref="AM323:AM386" si="107">1/1.73</f>
        <v>0.5780346820809249</v>
      </c>
      <c r="AN323" s="17"/>
      <c r="AO323" s="27"/>
      <c r="AP323" s="17"/>
      <c r="AQ323" s="17"/>
      <c r="AR323" s="17"/>
      <c r="AS323" s="17"/>
      <c r="AT323" s="17"/>
      <c r="AU323" s="17"/>
      <c r="AV323" s="17"/>
      <c r="AW323" s="17"/>
      <c r="AX323" s="17"/>
      <c r="BB323" s="17"/>
    </row>
    <row r="324" spans="1:54" x14ac:dyDescent="0.2">
      <c r="A324" s="17" t="s">
        <v>41</v>
      </c>
      <c r="B324" s="18" t="s">
        <v>42</v>
      </c>
      <c r="C324" s="18" t="str">
        <f t="shared" si="99"/>
        <v>BI10.8</v>
      </c>
      <c r="D324" s="18" t="str">
        <f t="shared" si="100"/>
        <v>BI10.8_323</v>
      </c>
      <c r="E324" s="17">
        <v>8</v>
      </c>
      <c r="F324" s="19">
        <v>323</v>
      </c>
      <c r="G324" s="20">
        <v>1.95</v>
      </c>
      <c r="H324" s="20">
        <v>2.4</v>
      </c>
      <c r="I324" s="20">
        <v>1.1499999999999999</v>
      </c>
      <c r="J324" s="20">
        <f t="shared" si="98"/>
        <v>4.2705717187499985</v>
      </c>
      <c r="K324" s="53">
        <v>0.19358974358974315</v>
      </c>
      <c r="L324" s="20">
        <f t="shared" si="93"/>
        <v>37.951282051283044</v>
      </c>
      <c r="M324" s="20">
        <f t="shared" si="93"/>
        <v>39.101282051283022</v>
      </c>
      <c r="N324" s="20">
        <f t="shared" si="93"/>
        <v>38.526282051283033</v>
      </c>
      <c r="O324" s="20">
        <f>P323+$AO$298</f>
        <v>317.95128205128304</v>
      </c>
      <c r="P324" s="20">
        <f t="shared" si="97"/>
        <v>319.10128205128302</v>
      </c>
      <c r="Q324" s="20">
        <f t="shared" ref="Q324:Q387" si="108">O324+((P324-O324)/2)</f>
        <v>318.52628205128303</v>
      </c>
      <c r="R324" s="20">
        <f t="shared" si="94"/>
        <v>321.95128205128304</v>
      </c>
      <c r="S324" s="20">
        <f t="shared" si="95"/>
        <v>323.10128205128302</v>
      </c>
      <c r="T324" s="20">
        <f t="shared" si="96"/>
        <v>322.52628205128303</v>
      </c>
      <c r="U324" s="20">
        <v>322.52628205128303</v>
      </c>
      <c r="V324" s="22">
        <v>5.5609999999999999</v>
      </c>
      <c r="W324" s="22">
        <v>1.9161999999999999</v>
      </c>
      <c r="X324" s="23">
        <v>1.1476266666666668</v>
      </c>
      <c r="Y324" s="23">
        <f t="shared" si="101"/>
        <v>4.4133733333333334</v>
      </c>
      <c r="Z324" s="23">
        <f t="shared" si="102"/>
        <v>0.76857333333333311</v>
      </c>
      <c r="AA324" s="22">
        <f t="shared" si="103"/>
        <v>82.585354211291133</v>
      </c>
      <c r="AB324" s="22">
        <f t="shared" si="104"/>
        <v>17.414645788708867</v>
      </c>
      <c r="AC324" s="22">
        <f t="shared" si="105"/>
        <v>1.0334385239232402</v>
      </c>
      <c r="AD324" s="22">
        <f t="shared" si="106"/>
        <v>0.17996965838529355</v>
      </c>
      <c r="AE324" s="24">
        <v>4.8933</v>
      </c>
      <c r="AF324" s="24">
        <v>5.2751000000000001</v>
      </c>
      <c r="AG324" s="24">
        <v>4.9539</v>
      </c>
      <c r="AH324" s="25">
        <f>AG324-AE324</f>
        <v>6.0599999999999987E-2</v>
      </c>
      <c r="AI324" s="25">
        <v>84.127815610267163</v>
      </c>
      <c r="AJ324" s="26">
        <v>4.2063907805133587</v>
      </c>
      <c r="AK324" s="25">
        <v>42.063907805133582</v>
      </c>
      <c r="AL324" s="26">
        <v>4.2073534910187638</v>
      </c>
      <c r="AM324" s="17">
        <f t="shared" si="107"/>
        <v>0.5780346820809249</v>
      </c>
      <c r="AN324" s="17"/>
      <c r="AO324" s="27"/>
      <c r="AP324" s="17"/>
      <c r="AQ324" s="17"/>
      <c r="AR324" s="17"/>
      <c r="AS324" s="17"/>
      <c r="AT324" s="17"/>
      <c r="AU324" s="17"/>
      <c r="AV324" s="17"/>
      <c r="AW324" s="17"/>
      <c r="AX324" s="17"/>
      <c r="BB324" s="17"/>
    </row>
    <row r="325" spans="1:54" x14ac:dyDescent="0.2">
      <c r="A325" s="17" t="s">
        <v>41</v>
      </c>
      <c r="B325" s="18" t="s">
        <v>42</v>
      </c>
      <c r="C325" s="18" t="str">
        <f t="shared" si="99"/>
        <v>BI10.8</v>
      </c>
      <c r="D325" s="18" t="str">
        <f t="shared" si="100"/>
        <v>BI10.8_324</v>
      </c>
      <c r="E325" s="17">
        <v>8</v>
      </c>
      <c r="F325" s="19">
        <v>324</v>
      </c>
      <c r="G325" s="20">
        <v>1.95</v>
      </c>
      <c r="H325" s="20">
        <v>2.4</v>
      </c>
      <c r="I325" s="20">
        <v>1</v>
      </c>
      <c r="J325" s="20">
        <f t="shared" si="98"/>
        <v>3.7135406249999994</v>
      </c>
      <c r="K325" s="53">
        <v>0.19358974358974315</v>
      </c>
      <c r="L325" s="20">
        <f t="shared" si="93"/>
        <v>39.29487179487279</v>
      </c>
      <c r="M325" s="20">
        <f t="shared" si="93"/>
        <v>40.29487179487279</v>
      </c>
      <c r="N325" s="20">
        <f t="shared" si="93"/>
        <v>39.79487179487279</v>
      </c>
      <c r="O325" s="20">
        <f>P324+$AO$298</f>
        <v>319.29487179487279</v>
      </c>
      <c r="P325" s="20">
        <f t="shared" si="97"/>
        <v>320.29487179487279</v>
      </c>
      <c r="Q325" s="20">
        <f t="shared" si="108"/>
        <v>319.79487179487279</v>
      </c>
      <c r="R325" s="20">
        <f t="shared" si="94"/>
        <v>323.29487179487279</v>
      </c>
      <c r="S325" s="20">
        <f t="shared" si="95"/>
        <v>324.29487179487279</v>
      </c>
      <c r="T325" s="20">
        <f t="shared" si="96"/>
        <v>323.79487179487279</v>
      </c>
      <c r="U325" s="20">
        <v>323.79487179487279</v>
      </c>
      <c r="V325" s="22">
        <v>5.8401999999999994</v>
      </c>
      <c r="W325" s="22">
        <v>1.9958</v>
      </c>
      <c r="X325" s="23">
        <v>1.1476266666666668</v>
      </c>
      <c r="Y325" s="23">
        <f t="shared" si="101"/>
        <v>4.6925733333333328</v>
      </c>
      <c r="Z325" s="23">
        <f t="shared" si="102"/>
        <v>0.84817333333333322</v>
      </c>
      <c r="AA325" s="22">
        <f t="shared" si="103"/>
        <v>81.925198114467392</v>
      </c>
      <c r="AB325" s="22">
        <f t="shared" si="104"/>
        <v>18.074801885532608</v>
      </c>
      <c r="AC325" s="22">
        <f t="shared" si="105"/>
        <v>1.2636386153263999</v>
      </c>
      <c r="AD325" s="22">
        <f t="shared" si="106"/>
        <v>0.22840017626933418</v>
      </c>
      <c r="AE325" s="24">
        <v>5.1359000000000004</v>
      </c>
      <c r="AF325" s="24">
        <v>5.7695999999999996</v>
      </c>
      <c r="AG325" s="24">
        <v>5.3982999999999999</v>
      </c>
      <c r="AH325" s="25">
        <f>AG325-AE325</f>
        <v>0.26239999999999952</v>
      </c>
      <c r="AI325" s="25">
        <v>58.592393877229</v>
      </c>
      <c r="AJ325" s="26">
        <v>2.9296196938614503</v>
      </c>
      <c r="AK325" s="25">
        <v>29.2961969386145</v>
      </c>
      <c r="AL325" s="26">
        <v>2.931001799839239</v>
      </c>
      <c r="AM325" s="17">
        <f t="shared" si="107"/>
        <v>0.5780346820809249</v>
      </c>
      <c r="AN325" s="17"/>
      <c r="AO325" s="27"/>
      <c r="AP325" s="17"/>
      <c r="AQ325" s="17"/>
      <c r="AR325" s="17"/>
      <c r="AS325" s="17"/>
      <c r="AT325" s="17"/>
      <c r="AU325" s="17"/>
      <c r="AV325" s="17"/>
      <c r="AW325" s="17"/>
      <c r="AX325" s="17"/>
      <c r="BB325" s="17"/>
    </row>
    <row r="326" spans="1:54" x14ac:dyDescent="0.2">
      <c r="A326" s="17" t="s">
        <v>41</v>
      </c>
      <c r="B326" s="18" t="s">
        <v>42</v>
      </c>
      <c r="C326" s="18" t="str">
        <f t="shared" si="99"/>
        <v>BI10.8</v>
      </c>
      <c r="D326" s="18" t="str">
        <f t="shared" si="100"/>
        <v>BI10.8_325</v>
      </c>
      <c r="E326" s="17">
        <v>8</v>
      </c>
      <c r="F326" s="19">
        <v>325</v>
      </c>
      <c r="G326" s="20">
        <v>2.1</v>
      </c>
      <c r="H326" s="20">
        <v>2.4</v>
      </c>
      <c r="I326" s="20">
        <v>1</v>
      </c>
      <c r="J326" s="20">
        <f t="shared" si="98"/>
        <v>3.9740625000000001</v>
      </c>
      <c r="K326" s="53">
        <v>0.19358974358974315</v>
      </c>
      <c r="L326" s="20">
        <f t="shared" si="93"/>
        <v>40.488461538462559</v>
      </c>
      <c r="M326" s="20">
        <f t="shared" si="93"/>
        <v>41.488461538462559</v>
      </c>
      <c r="N326" s="20">
        <f t="shared" si="93"/>
        <v>40.988461538462559</v>
      </c>
      <c r="O326" s="20">
        <f>P325+$AO$298</f>
        <v>320.48846153846256</v>
      </c>
      <c r="P326" s="20">
        <f t="shared" si="97"/>
        <v>321.48846153846256</v>
      </c>
      <c r="Q326" s="20">
        <f t="shared" si="108"/>
        <v>320.98846153846256</v>
      </c>
      <c r="R326" s="20">
        <f t="shared" si="94"/>
        <v>324.48846153846256</v>
      </c>
      <c r="S326" s="20">
        <f t="shared" si="95"/>
        <v>325.48846153846256</v>
      </c>
      <c r="T326" s="20">
        <f t="shared" si="96"/>
        <v>324.98846153846256</v>
      </c>
      <c r="U326" s="20">
        <v>324.98846153846256</v>
      </c>
      <c r="V326" s="22">
        <v>6.5655000000000001</v>
      </c>
      <c r="W326" s="22">
        <v>2.1404000000000001</v>
      </c>
      <c r="X326" s="23">
        <v>1.1476266666666668</v>
      </c>
      <c r="Y326" s="23">
        <f t="shared" si="101"/>
        <v>5.4178733333333335</v>
      </c>
      <c r="Z326" s="23">
        <f t="shared" si="102"/>
        <v>0.99277333333333329</v>
      </c>
      <c r="AA326" s="22">
        <f t="shared" si="103"/>
        <v>81.675958955604983</v>
      </c>
      <c r="AB326" s="22">
        <f t="shared" si="104"/>
        <v>18.324041044395017</v>
      </c>
      <c r="AC326" s="22">
        <f t="shared" si="105"/>
        <v>1.3633085371287779</v>
      </c>
      <c r="AD326" s="22">
        <f t="shared" si="106"/>
        <v>0.24981321590521871</v>
      </c>
      <c r="AE326" s="24">
        <v>4.5532000000000004</v>
      </c>
      <c r="AF326" s="24">
        <v>5.1628999999999996</v>
      </c>
      <c r="AG326" s="24">
        <v>4.7281000000000004</v>
      </c>
      <c r="AH326" s="25">
        <f>AG326-AE326</f>
        <v>0.17490000000000006</v>
      </c>
      <c r="AI326" s="25">
        <v>71.313760865999626</v>
      </c>
      <c r="AJ326" s="26">
        <v>3.5656880432999816</v>
      </c>
      <c r="AK326" s="25">
        <v>35.656880432999813</v>
      </c>
      <c r="AL326" s="26">
        <v>3.5668236881197886</v>
      </c>
      <c r="AM326" s="17">
        <f t="shared" si="107"/>
        <v>0.5780346820809249</v>
      </c>
      <c r="AN326" s="17"/>
      <c r="AO326" s="27"/>
      <c r="AP326" s="17"/>
      <c r="AQ326" s="17"/>
      <c r="AR326" s="17"/>
      <c r="AS326" s="17"/>
      <c r="AT326" s="17"/>
      <c r="AU326" s="17"/>
      <c r="AV326" s="17"/>
      <c r="AW326" s="17"/>
      <c r="AX326" s="17"/>
      <c r="BB326" s="17"/>
    </row>
    <row r="327" spans="1:54" x14ac:dyDescent="0.2">
      <c r="A327" s="17" t="s">
        <v>41</v>
      </c>
      <c r="B327" s="18" t="s">
        <v>42</v>
      </c>
      <c r="C327" s="18" t="str">
        <f t="shared" si="99"/>
        <v>BI10.8</v>
      </c>
      <c r="D327" s="18" t="str">
        <f t="shared" si="100"/>
        <v>BI10.8_326</v>
      </c>
      <c r="E327" s="17">
        <v>8</v>
      </c>
      <c r="F327" s="19">
        <v>326</v>
      </c>
      <c r="G327" s="20">
        <v>2.0499999999999998</v>
      </c>
      <c r="H327" s="20">
        <v>2.4500000000000002</v>
      </c>
      <c r="I327" s="20">
        <v>1.1000000000000001</v>
      </c>
      <c r="J327" s="20">
        <f t="shared" si="98"/>
        <v>4.3714687500000009</v>
      </c>
      <c r="K327" s="53">
        <v>0.19358974358974315</v>
      </c>
      <c r="L327" s="20">
        <f t="shared" si="93"/>
        <v>41.682051282052328</v>
      </c>
      <c r="M327" s="20">
        <f t="shared" si="93"/>
        <v>42.78205128205235</v>
      </c>
      <c r="N327" s="20">
        <f t="shared" si="93"/>
        <v>42.232051282052339</v>
      </c>
      <c r="O327" s="20">
        <f>P326+$AO$298</f>
        <v>321.68205128205233</v>
      </c>
      <c r="P327" s="20">
        <f t="shared" si="97"/>
        <v>322.78205128205235</v>
      </c>
      <c r="Q327" s="20">
        <f t="shared" si="108"/>
        <v>322.23205128205234</v>
      </c>
      <c r="R327" s="20">
        <f t="shared" si="94"/>
        <v>325.68205128205233</v>
      </c>
      <c r="S327" s="20">
        <f t="shared" si="95"/>
        <v>326.78205128205235</v>
      </c>
      <c r="T327" s="20">
        <f t="shared" si="96"/>
        <v>326.23205128205234</v>
      </c>
      <c r="U327" s="20">
        <v>326.23205128205234</v>
      </c>
      <c r="V327" s="22">
        <v>7.1081000000000003</v>
      </c>
      <c r="W327" s="22">
        <v>2.2025000000000001</v>
      </c>
      <c r="X327" s="23">
        <v>1.1476266666666668</v>
      </c>
      <c r="Y327" s="23">
        <f t="shared" si="101"/>
        <v>5.9604733333333337</v>
      </c>
      <c r="Z327" s="23">
        <f t="shared" si="102"/>
        <v>1.0548733333333333</v>
      </c>
      <c r="AA327" s="22">
        <f t="shared" si="103"/>
        <v>82.302188528651527</v>
      </c>
      <c r="AB327" s="22">
        <f t="shared" si="104"/>
        <v>17.697811471348473</v>
      </c>
      <c r="AC327" s="22">
        <f t="shared" si="105"/>
        <v>1.363494439559549</v>
      </c>
      <c r="AD327" s="22">
        <f t="shared" si="106"/>
        <v>0.24130867533556841</v>
      </c>
      <c r="AE327" s="24">
        <v>4.9504999999999999</v>
      </c>
      <c r="AF327" s="24">
        <v>5.6329000000000002</v>
      </c>
      <c r="AG327" s="24">
        <v>5.1634000000000002</v>
      </c>
      <c r="AH327" s="25">
        <f>AG327-AE327</f>
        <v>0.21290000000000031</v>
      </c>
      <c r="AI327" s="25">
        <v>68.801289566236775</v>
      </c>
      <c r="AJ327" s="26">
        <v>3.440064478311839</v>
      </c>
      <c r="AK327" s="25">
        <v>34.400644783118388</v>
      </c>
      <c r="AL327" s="26">
        <v>3.4412415804390872</v>
      </c>
      <c r="AM327" s="17">
        <f t="shared" si="107"/>
        <v>0.5780346820809249</v>
      </c>
      <c r="AN327" s="17"/>
      <c r="AO327" s="27"/>
      <c r="AP327" s="17"/>
      <c r="AQ327" s="17"/>
      <c r="AR327" s="17"/>
      <c r="AS327" s="17"/>
      <c r="AT327" s="17"/>
      <c r="AU327" s="17"/>
      <c r="AV327" s="17"/>
      <c r="AW327" s="17"/>
      <c r="AX327" s="17"/>
      <c r="BB327" s="17"/>
    </row>
    <row r="328" spans="1:54" x14ac:dyDescent="0.2">
      <c r="A328" s="17" t="s">
        <v>41</v>
      </c>
      <c r="B328" s="18" t="s">
        <v>42</v>
      </c>
      <c r="C328" s="18" t="str">
        <f t="shared" si="99"/>
        <v>BI10.8</v>
      </c>
      <c r="D328" s="18" t="str">
        <f t="shared" si="100"/>
        <v>BI10.8_327</v>
      </c>
      <c r="E328" s="17">
        <v>8</v>
      </c>
      <c r="F328" s="19">
        <v>327</v>
      </c>
      <c r="G328" s="20">
        <v>2.1</v>
      </c>
      <c r="H328" s="20">
        <v>2.5</v>
      </c>
      <c r="I328" s="20">
        <v>1.1000000000000001</v>
      </c>
      <c r="J328" s="20">
        <f t="shared" si="98"/>
        <v>4.5679150000000002</v>
      </c>
      <c r="K328" s="53">
        <v>0.19358974358974315</v>
      </c>
      <c r="L328" s="20">
        <f t="shared" si="93"/>
        <v>42.975641025642119</v>
      </c>
      <c r="M328" s="20">
        <f t="shared" si="93"/>
        <v>44.075641025642142</v>
      </c>
      <c r="N328" s="20">
        <f t="shared" si="93"/>
        <v>43.52564102564213</v>
      </c>
      <c r="O328" s="20">
        <f>P327+$AO$298</f>
        <v>322.97564102564212</v>
      </c>
      <c r="P328" s="20">
        <f t="shared" si="97"/>
        <v>324.07564102564214</v>
      </c>
      <c r="Q328" s="20">
        <f t="shared" si="108"/>
        <v>323.52564102564213</v>
      </c>
      <c r="R328" s="20">
        <f t="shared" si="94"/>
        <v>326.97564102564212</v>
      </c>
      <c r="S328" s="20">
        <f t="shared" si="95"/>
        <v>328.07564102564214</v>
      </c>
      <c r="T328" s="20">
        <f t="shared" si="96"/>
        <v>327.52564102564213</v>
      </c>
      <c r="U328" s="20">
        <v>327.52564102564213</v>
      </c>
      <c r="V328" s="22">
        <v>7.3207999999999984</v>
      </c>
      <c r="W328" s="22">
        <v>2.7448999999999999</v>
      </c>
      <c r="X328" s="23">
        <v>1.1476266666666668</v>
      </c>
      <c r="Y328" s="23">
        <f t="shared" si="101"/>
        <v>6.1731733333333318</v>
      </c>
      <c r="Z328" s="23">
        <f t="shared" si="102"/>
        <v>1.5972733333333331</v>
      </c>
      <c r="AA328" s="22">
        <f t="shared" si="103"/>
        <v>74.125571289104684</v>
      </c>
      <c r="AB328" s="22">
        <f t="shared" si="104"/>
        <v>25.874428710895316</v>
      </c>
      <c r="AC328" s="22">
        <f t="shared" si="105"/>
        <v>1.351420359908915</v>
      </c>
      <c r="AD328" s="22">
        <f t="shared" si="106"/>
        <v>0.34967229760915713</v>
      </c>
      <c r="AE328" s="24">
        <v>4.8993000000000002</v>
      </c>
      <c r="AF328" s="24">
        <v>6.0298999999999996</v>
      </c>
      <c r="AG328" s="24">
        <v>5.46</v>
      </c>
      <c r="AH328" s="25">
        <f>AG328-AE328</f>
        <v>0.56069999999999975</v>
      </c>
      <c r="AI328" s="25">
        <v>50.406863612241281</v>
      </c>
      <c r="AJ328" s="26">
        <v>2.5203431806120644</v>
      </c>
      <c r="AK328" s="25">
        <v>25.203431806120641</v>
      </c>
      <c r="AL328" s="26">
        <v>2.521949592687716</v>
      </c>
      <c r="AM328" s="17">
        <f t="shared" si="107"/>
        <v>0.5780346820809249</v>
      </c>
      <c r="AN328" s="17"/>
      <c r="AO328" s="27"/>
      <c r="AP328" s="17"/>
      <c r="AQ328" s="17"/>
      <c r="AR328" s="17"/>
      <c r="AS328" s="17"/>
      <c r="AT328" s="17"/>
      <c r="AU328" s="17"/>
      <c r="AV328" s="17"/>
      <c r="AW328" s="17"/>
      <c r="AX328" s="17"/>
      <c r="BB328" s="17"/>
    </row>
    <row r="329" spans="1:54" x14ac:dyDescent="0.2">
      <c r="A329" s="17" t="s">
        <v>41</v>
      </c>
      <c r="B329" s="18" t="s">
        <v>42</v>
      </c>
      <c r="C329" s="18" t="str">
        <f t="shared" si="99"/>
        <v>BI10.8</v>
      </c>
      <c r="D329" s="18" t="str">
        <f t="shared" si="100"/>
        <v>BI10.8_328</v>
      </c>
      <c r="E329" s="17">
        <v>8</v>
      </c>
      <c r="F329" s="19">
        <v>328</v>
      </c>
      <c r="G329" s="20">
        <v>2.15</v>
      </c>
      <c r="H329" s="20">
        <v>2.6</v>
      </c>
      <c r="I329" s="20">
        <v>1.05</v>
      </c>
      <c r="J329" s="20">
        <f t="shared" si="98"/>
        <v>4.6492851562500004</v>
      </c>
      <c r="K329" s="53">
        <v>0.19358974358974315</v>
      </c>
      <c r="L329" s="20">
        <f t="shared" si="93"/>
        <v>44.26923076923191</v>
      </c>
      <c r="M329" s="20">
        <f t="shared" si="93"/>
        <v>45.319230769231922</v>
      </c>
      <c r="N329" s="20">
        <f t="shared" si="93"/>
        <v>44.794230769231945</v>
      </c>
      <c r="O329" s="20">
        <f>P328+$AO$298</f>
        <v>324.26923076923191</v>
      </c>
      <c r="P329" s="20">
        <f t="shared" si="97"/>
        <v>325.31923076923192</v>
      </c>
      <c r="Q329" s="20">
        <f t="shared" si="108"/>
        <v>324.79423076923194</v>
      </c>
      <c r="R329" s="20">
        <f t="shared" si="94"/>
        <v>328.26923076923191</v>
      </c>
      <c r="S329" s="20">
        <f t="shared" si="95"/>
        <v>329.31923076923192</v>
      </c>
      <c r="T329" s="20">
        <f t="shared" si="96"/>
        <v>328.79423076923194</v>
      </c>
      <c r="U329" s="20">
        <v>328.79423076923194</v>
      </c>
      <c r="V329" s="22">
        <v>7.5929000000000002</v>
      </c>
      <c r="W329" s="22">
        <v>2.6745000000000001</v>
      </c>
      <c r="X329" s="23">
        <v>1.1476266666666668</v>
      </c>
      <c r="Y329" s="23">
        <f t="shared" si="101"/>
        <v>6.4452733333333336</v>
      </c>
      <c r="Z329" s="23">
        <f t="shared" si="102"/>
        <v>1.5268733333333333</v>
      </c>
      <c r="AA329" s="22">
        <f t="shared" si="103"/>
        <v>76.310184931386402</v>
      </c>
      <c r="AB329" s="22">
        <f t="shared" si="104"/>
        <v>23.689815068613598</v>
      </c>
      <c r="AC329" s="22">
        <f t="shared" si="105"/>
        <v>1.3862934013993526</v>
      </c>
      <c r="AD329" s="22">
        <f t="shared" si="106"/>
        <v>0.32841034309989969</v>
      </c>
      <c r="AE329" s="24">
        <v>4.9036999999999997</v>
      </c>
      <c r="AF329" s="24">
        <v>5.5433000000000003</v>
      </c>
      <c r="AG329" s="24">
        <v>5.2009999999999996</v>
      </c>
      <c r="AH329" s="25">
        <f>AG329-AE329</f>
        <v>0.2972999999999999</v>
      </c>
      <c r="AI329" s="25">
        <v>53.517823639774917</v>
      </c>
      <c r="AJ329" s="26">
        <v>2.6758911819887459</v>
      </c>
      <c r="AK329" s="25">
        <v>26.758911819887459</v>
      </c>
      <c r="AL329" s="26">
        <v>2.6774042686611836</v>
      </c>
      <c r="AM329" s="17">
        <f t="shared" si="107"/>
        <v>0.5780346820809249</v>
      </c>
      <c r="AN329" s="17"/>
      <c r="AO329" s="27"/>
      <c r="AP329" s="17"/>
      <c r="AQ329" s="17"/>
      <c r="AR329" s="17"/>
      <c r="AS329" s="17"/>
      <c r="AT329" s="17"/>
      <c r="AU329" s="17"/>
      <c r="AV329" s="17"/>
      <c r="AW329" s="17"/>
      <c r="AX329" s="17"/>
      <c r="BB329" s="17"/>
    </row>
    <row r="330" spans="1:54" x14ac:dyDescent="0.2">
      <c r="A330" s="17" t="s">
        <v>41</v>
      </c>
      <c r="B330" s="18" t="s">
        <v>42</v>
      </c>
      <c r="C330" s="18" t="str">
        <f t="shared" si="99"/>
        <v>BI10.8</v>
      </c>
      <c r="D330" s="18" t="str">
        <f t="shared" si="100"/>
        <v>BI10.8_329</v>
      </c>
      <c r="E330" s="17">
        <v>8</v>
      </c>
      <c r="F330" s="19">
        <v>329</v>
      </c>
      <c r="G330" s="20">
        <v>2.15</v>
      </c>
      <c r="H330" s="20">
        <v>2.6</v>
      </c>
      <c r="I330" s="20">
        <v>1.1000000000000001</v>
      </c>
      <c r="J330" s="20">
        <f t="shared" si="98"/>
        <v>4.8706796875</v>
      </c>
      <c r="K330" s="53">
        <v>0.19358974358974315</v>
      </c>
      <c r="L330" s="20">
        <f t="shared" si="93"/>
        <v>45.51282051282169</v>
      </c>
      <c r="M330" s="20">
        <f t="shared" si="93"/>
        <v>46.612820512821713</v>
      </c>
      <c r="N330" s="20">
        <f t="shared" si="93"/>
        <v>46.062820512821702</v>
      </c>
      <c r="O330" s="20">
        <f>P329+$AO$298</f>
        <v>325.51282051282169</v>
      </c>
      <c r="P330" s="20">
        <f t="shared" si="97"/>
        <v>326.61282051282171</v>
      </c>
      <c r="Q330" s="20">
        <f t="shared" si="108"/>
        <v>326.0628205128217</v>
      </c>
      <c r="R330" s="20">
        <f t="shared" si="94"/>
        <v>329.51282051282169</v>
      </c>
      <c r="S330" s="20">
        <f t="shared" si="95"/>
        <v>330.61282051282171</v>
      </c>
      <c r="T330" s="20">
        <f t="shared" si="96"/>
        <v>330.0628205128217</v>
      </c>
      <c r="U330" s="20">
        <v>330.0628205128217</v>
      </c>
      <c r="V330" s="22">
        <v>7.8094999999999999</v>
      </c>
      <c r="W330" s="22">
        <v>3.5446</v>
      </c>
      <c r="X330" s="23">
        <v>1.1476266666666668</v>
      </c>
      <c r="Y330" s="23">
        <f t="shared" si="101"/>
        <v>6.6618733333333333</v>
      </c>
      <c r="Z330" s="23">
        <f t="shared" si="102"/>
        <v>2.3969733333333334</v>
      </c>
      <c r="AA330" s="22">
        <f t="shared" si="103"/>
        <v>64.019530042100271</v>
      </c>
      <c r="AB330" s="22">
        <f t="shared" si="104"/>
        <v>35.980469957899729</v>
      </c>
      <c r="AC330" s="22">
        <f t="shared" si="105"/>
        <v>1.3677502444741361</v>
      </c>
      <c r="AD330" s="22">
        <f t="shared" si="106"/>
        <v>0.49212296581211662</v>
      </c>
      <c r="AE330" s="24">
        <v>4.8044000000000002</v>
      </c>
      <c r="AF330" s="24">
        <v>5.3570000000000002</v>
      </c>
      <c r="AG330" s="24">
        <v>5.0953999999999997</v>
      </c>
      <c r="AH330" s="25">
        <f>AG330-AE330</f>
        <v>0.29099999999999948</v>
      </c>
      <c r="AI330" s="25">
        <v>47.339847991313881</v>
      </c>
      <c r="AJ330" s="26">
        <v>2.3669923995656941</v>
      </c>
      <c r="AK330" s="25">
        <v>23.669923995656941</v>
      </c>
      <c r="AL330" s="26">
        <v>2.3687028136939765</v>
      </c>
      <c r="AM330" s="17">
        <f t="shared" si="107"/>
        <v>0.5780346820809249</v>
      </c>
      <c r="AN330" s="17"/>
      <c r="AO330" s="27"/>
      <c r="AP330" s="17"/>
      <c r="AQ330" s="17"/>
      <c r="AR330" s="17"/>
      <c r="AS330" s="17"/>
      <c r="AT330" s="17"/>
      <c r="AU330" s="17"/>
      <c r="AV330" s="17"/>
      <c r="AW330" s="17"/>
      <c r="AX330" s="17"/>
      <c r="BB330" s="17"/>
    </row>
    <row r="331" spans="1:54" x14ac:dyDescent="0.2">
      <c r="A331" s="17" t="s">
        <v>41</v>
      </c>
      <c r="B331" s="18" t="s">
        <v>42</v>
      </c>
      <c r="C331" s="18" t="str">
        <f t="shared" si="99"/>
        <v>BI10.8</v>
      </c>
      <c r="D331" s="18" t="str">
        <f t="shared" si="100"/>
        <v>BI10.8_330</v>
      </c>
      <c r="E331" s="17">
        <v>8</v>
      </c>
      <c r="F331" s="19">
        <v>330</v>
      </c>
      <c r="G331" s="20">
        <v>2.4500000000000002</v>
      </c>
      <c r="H331" s="20">
        <v>2.6</v>
      </c>
      <c r="I331" s="20">
        <v>1</v>
      </c>
      <c r="J331" s="20">
        <f t="shared" si="98"/>
        <v>5.0048656250000016</v>
      </c>
      <c r="K331" s="53">
        <v>0.19358974358974315</v>
      </c>
      <c r="L331" s="20">
        <f t="shared" si="93"/>
        <v>46.806410256411482</v>
      </c>
      <c r="M331" s="20">
        <f t="shared" si="93"/>
        <v>47.806410256411482</v>
      </c>
      <c r="N331" s="20">
        <f t="shared" si="93"/>
        <v>47.306410256411482</v>
      </c>
      <c r="O331" s="20">
        <f>P330+$AO$298</f>
        <v>326.80641025641148</v>
      </c>
      <c r="P331" s="20">
        <f>O331+I331</f>
        <v>327.80641025641148</v>
      </c>
      <c r="Q331" s="20">
        <f t="shared" si="108"/>
        <v>327.30641025641148</v>
      </c>
      <c r="R331" s="20">
        <f t="shared" si="94"/>
        <v>330.80641025641148</v>
      </c>
      <c r="S331" s="20">
        <f t="shared" si="95"/>
        <v>331.80641025641148</v>
      </c>
      <c r="T331" s="20">
        <f t="shared" si="96"/>
        <v>331.30641025641148</v>
      </c>
      <c r="U331" s="20">
        <v>331.30641025641148</v>
      </c>
      <c r="V331" s="22">
        <v>8.573599999999999</v>
      </c>
      <c r="W331" s="22">
        <v>4.3563999999999998</v>
      </c>
      <c r="X331" s="23">
        <v>1.1476266666666668</v>
      </c>
      <c r="Y331" s="23">
        <f t="shared" si="101"/>
        <v>7.4259733333333324</v>
      </c>
      <c r="Z331" s="23">
        <f t="shared" si="102"/>
        <v>3.2087733333333333</v>
      </c>
      <c r="AA331" s="22">
        <f t="shared" si="103"/>
        <v>56.789861890158498</v>
      </c>
      <c r="AB331" s="22">
        <f t="shared" si="104"/>
        <v>43.210138109841502</v>
      </c>
      <c r="AC331" s="22">
        <f t="shared" si="105"/>
        <v>1.4837507916775148</v>
      </c>
      <c r="AD331" s="22">
        <f t="shared" si="106"/>
        <v>0.64113076628972077</v>
      </c>
      <c r="AE331" s="24">
        <v>5.0590999999999999</v>
      </c>
      <c r="AF331" s="24">
        <v>6.6289999999999996</v>
      </c>
      <c r="AG331" s="24">
        <v>5.9898999999999996</v>
      </c>
      <c r="AH331" s="25">
        <f>AG331-AE331</f>
        <v>0.93079999999999963</v>
      </c>
      <c r="AI331" s="25">
        <v>40.709599337537433</v>
      </c>
      <c r="AJ331" s="26">
        <v>2.0354799668768719</v>
      </c>
      <c r="AK331" s="25">
        <v>20.354799668768717</v>
      </c>
      <c r="AL331" s="26">
        <v>2.0374686980557692</v>
      </c>
      <c r="AM331" s="17">
        <f t="shared" si="107"/>
        <v>0.5780346820809249</v>
      </c>
      <c r="AN331" s="17"/>
      <c r="AO331" s="27"/>
      <c r="AP331" s="17"/>
      <c r="AQ331" s="17"/>
      <c r="AR331" s="17"/>
      <c r="AS331" s="17"/>
      <c r="AT331" s="17"/>
      <c r="AU331" s="17"/>
      <c r="AV331" s="17"/>
      <c r="AW331" s="17"/>
      <c r="AX331" s="17"/>
      <c r="BB331" s="17"/>
    </row>
    <row r="332" spans="1:54" x14ac:dyDescent="0.2">
      <c r="A332" s="17" t="s">
        <v>41</v>
      </c>
      <c r="B332" s="18" t="s">
        <v>42</v>
      </c>
      <c r="C332" s="18" t="str">
        <f t="shared" si="99"/>
        <v>BI10.8</v>
      </c>
      <c r="D332" s="18" t="str">
        <f t="shared" si="100"/>
        <v>BI10.8_331</v>
      </c>
      <c r="E332" s="17">
        <v>8</v>
      </c>
      <c r="F332" s="19">
        <v>331</v>
      </c>
      <c r="G332" s="20">
        <v>2.5</v>
      </c>
      <c r="H332" s="20">
        <v>2.35</v>
      </c>
      <c r="I332" s="20">
        <v>2</v>
      </c>
      <c r="J332" s="20">
        <f t="shared" si="98"/>
        <v>9.2325812499999991</v>
      </c>
      <c r="K332" s="53">
        <v>0.19358974358974315</v>
      </c>
      <c r="L332" s="20">
        <f t="shared" si="93"/>
        <v>48.000000000001251</v>
      </c>
      <c r="M332" s="20">
        <f t="shared" si="93"/>
        <v>50.000000000001251</v>
      </c>
      <c r="N332" s="20">
        <f t="shared" si="93"/>
        <v>49.000000000001251</v>
      </c>
      <c r="O332" s="20">
        <f>P331+$AO$298</f>
        <v>328.00000000000125</v>
      </c>
      <c r="P332" s="20">
        <f t="shared" si="97"/>
        <v>330.00000000000125</v>
      </c>
      <c r="Q332" s="20">
        <f t="shared" si="108"/>
        <v>329.00000000000125</v>
      </c>
      <c r="R332" s="20">
        <f t="shared" si="94"/>
        <v>332.00000000000125</v>
      </c>
      <c r="S332" s="20">
        <f t="shared" si="95"/>
        <v>334.00000000000125</v>
      </c>
      <c r="T332" s="20">
        <f t="shared" si="96"/>
        <v>333.00000000000125</v>
      </c>
      <c r="U332" s="20">
        <v>333.00000000000125</v>
      </c>
      <c r="V332" s="22">
        <v>10.767199999999995</v>
      </c>
      <c r="W332" s="22">
        <v>3.4622999999999999</v>
      </c>
      <c r="X332" s="23">
        <v>1.1476266666666668</v>
      </c>
      <c r="Y332" s="23">
        <f t="shared" si="101"/>
        <v>9.619573333333328</v>
      </c>
      <c r="Z332" s="23">
        <f t="shared" si="102"/>
        <v>2.3146733333333334</v>
      </c>
      <c r="AA332" s="22">
        <f t="shared" si="103"/>
        <v>75.937879434708108</v>
      </c>
      <c r="AB332" s="22">
        <f t="shared" si="104"/>
        <v>24.062120565291892</v>
      </c>
      <c r="AC332" s="22">
        <f t="shared" si="105"/>
        <v>1.0419159141798322</v>
      </c>
      <c r="AD332" s="22">
        <f t="shared" si="106"/>
        <v>0.25070706345891441</v>
      </c>
      <c r="AE332" s="24">
        <v>4.9412000000000003</v>
      </c>
      <c r="AF332" s="24">
        <v>5.5532000000000004</v>
      </c>
      <c r="AG332" s="24">
        <v>5.2371999999999996</v>
      </c>
      <c r="AH332" s="25">
        <f>AG332-AE332</f>
        <v>0.29599999999999937</v>
      </c>
      <c r="AI332" s="25">
        <v>51.633986928104683</v>
      </c>
      <c r="AJ332" s="26">
        <v>2.5816993464052342</v>
      </c>
      <c r="AK332" s="25">
        <v>25.816993464052342</v>
      </c>
      <c r="AL332" s="26">
        <v>2.583267604261938</v>
      </c>
      <c r="AM332" s="17">
        <f t="shared" si="107"/>
        <v>0.5780346820809249</v>
      </c>
      <c r="AN332" s="17"/>
      <c r="AO332" s="27"/>
      <c r="AP332" s="17"/>
      <c r="AQ332" s="17"/>
      <c r="AR332" s="17"/>
      <c r="AS332" s="17"/>
      <c r="AT332" s="17"/>
      <c r="AU332" s="17"/>
      <c r="AV332" s="17"/>
      <c r="AW332" s="17"/>
      <c r="AX332" s="17"/>
      <c r="BB332" s="17"/>
    </row>
    <row r="333" spans="1:54" x14ac:dyDescent="0.2">
      <c r="A333" s="17" t="s">
        <v>41</v>
      </c>
      <c r="B333" s="18" t="s">
        <v>42</v>
      </c>
      <c r="C333" s="18" t="str">
        <f t="shared" si="99"/>
        <v>BI10.9</v>
      </c>
      <c r="D333" s="18" t="str">
        <f t="shared" si="100"/>
        <v>BI10.9_332</v>
      </c>
      <c r="E333" s="17">
        <v>9</v>
      </c>
      <c r="F333" s="19">
        <v>332</v>
      </c>
      <c r="G333" s="20">
        <v>2.4</v>
      </c>
      <c r="H333" s="20">
        <v>2.2000000000000002</v>
      </c>
      <c r="I333" s="20">
        <v>0.9</v>
      </c>
      <c r="J333" s="20">
        <f t="shared" si="98"/>
        <v>3.7373849999999993</v>
      </c>
      <c r="K333" s="53">
        <v>0.2</v>
      </c>
      <c r="L333" s="20">
        <f>O333-320</f>
        <v>0</v>
      </c>
      <c r="M333" s="20">
        <f t="shared" ref="M333:N348" si="109">P333-320</f>
        <v>0.89999999999997726</v>
      </c>
      <c r="N333" s="20">
        <f t="shared" si="109"/>
        <v>0.44999999999998863</v>
      </c>
      <c r="O333" s="20">
        <v>320</v>
      </c>
      <c r="P333" s="20">
        <f t="shared" si="97"/>
        <v>320.89999999999998</v>
      </c>
      <c r="Q333" s="20">
        <f t="shared" si="108"/>
        <v>320.45</v>
      </c>
      <c r="R333" s="20">
        <f>O333</f>
        <v>320</v>
      </c>
      <c r="S333" s="20">
        <f t="shared" si="95"/>
        <v>320.89999999999998</v>
      </c>
      <c r="T333" s="20">
        <f t="shared" si="96"/>
        <v>320.45</v>
      </c>
      <c r="U333" s="20">
        <v>320.45</v>
      </c>
      <c r="V333" s="22">
        <v>4.3696999999999981</v>
      </c>
      <c r="W333" s="22">
        <v>1.7926</v>
      </c>
      <c r="X333" s="23">
        <v>1.1476266666666668</v>
      </c>
      <c r="Y333" s="23">
        <f t="shared" si="101"/>
        <v>3.2220733333333316</v>
      </c>
      <c r="Z333" s="23">
        <f t="shared" si="102"/>
        <v>0.64497333333333318</v>
      </c>
      <c r="AA333" s="22">
        <f t="shared" si="103"/>
        <v>79.982661267796502</v>
      </c>
      <c r="AB333" s="22">
        <f t="shared" si="104"/>
        <v>20.017338732203498</v>
      </c>
      <c r="AC333" s="22">
        <f t="shared" si="105"/>
        <v>0.86211972631487854</v>
      </c>
      <c r="AD333" s="22">
        <f t="shared" si="106"/>
        <v>0.17257342589359492</v>
      </c>
      <c r="AE333" s="24">
        <v>4.8301999999999996</v>
      </c>
      <c r="AF333" s="24">
        <v>5.1711</v>
      </c>
      <c r="AG333" s="24">
        <v>4.9093</v>
      </c>
      <c r="AH333" s="25">
        <f>AG333-AE333</f>
        <v>7.9100000000000392E-2</v>
      </c>
      <c r="AI333" s="25">
        <v>76.796714579055362</v>
      </c>
      <c r="AJ333" s="26">
        <v>3.8398357289527683</v>
      </c>
      <c r="AK333" s="25">
        <v>38.398357289527681</v>
      </c>
      <c r="AL333" s="26">
        <v>3.8408903167549888</v>
      </c>
      <c r="AM333" s="17">
        <f t="shared" si="107"/>
        <v>0.5780346820809249</v>
      </c>
      <c r="AN333" s="28" t="s">
        <v>43</v>
      </c>
      <c r="AO333" s="27">
        <v>51</v>
      </c>
      <c r="AP333" s="17"/>
      <c r="AQ333" s="17"/>
      <c r="AR333" s="17"/>
      <c r="AS333" s="17"/>
      <c r="AT333" s="17"/>
      <c r="AU333" s="17"/>
      <c r="AV333" s="17"/>
      <c r="AW333" s="17"/>
      <c r="AX333" s="17"/>
      <c r="BB333" s="17"/>
    </row>
    <row r="334" spans="1:54" x14ac:dyDescent="0.2">
      <c r="A334" s="17" t="s">
        <v>41</v>
      </c>
      <c r="B334" s="18" t="s">
        <v>42</v>
      </c>
      <c r="C334" s="18" t="str">
        <f t="shared" si="99"/>
        <v>BI10.9</v>
      </c>
      <c r="D334" s="18" t="str">
        <f t="shared" si="100"/>
        <v>BI10.9_333</v>
      </c>
      <c r="E334" s="17">
        <v>9</v>
      </c>
      <c r="F334" s="19">
        <v>333</v>
      </c>
      <c r="G334" s="20">
        <v>2.1</v>
      </c>
      <c r="H334" s="20">
        <v>2.2999999999999998</v>
      </c>
      <c r="I334" s="20">
        <v>1.05</v>
      </c>
      <c r="J334" s="20">
        <f t="shared" si="98"/>
        <v>3.9893700000000014</v>
      </c>
      <c r="K334" s="53">
        <v>0.2</v>
      </c>
      <c r="L334" s="20">
        <f t="shared" ref="L334:N373" si="110">O334-320</f>
        <v>1.0999999999999659</v>
      </c>
      <c r="M334" s="20">
        <f t="shared" si="109"/>
        <v>2.1499999999999773</v>
      </c>
      <c r="N334" s="20">
        <f t="shared" si="109"/>
        <v>1.625</v>
      </c>
      <c r="O334" s="20">
        <f>P333+$AO$338</f>
        <v>321.09999999999997</v>
      </c>
      <c r="P334" s="20">
        <f t="shared" si="97"/>
        <v>322.14999999999998</v>
      </c>
      <c r="Q334" s="20">
        <f t="shared" si="108"/>
        <v>321.625</v>
      </c>
      <c r="R334" s="20">
        <f t="shared" ref="R334:R373" si="111">O334</f>
        <v>321.09999999999997</v>
      </c>
      <c r="S334" s="20">
        <f t="shared" si="95"/>
        <v>322.14999999999998</v>
      </c>
      <c r="T334" s="20">
        <f t="shared" si="96"/>
        <v>321.625</v>
      </c>
      <c r="U334" s="20">
        <v>321.625</v>
      </c>
      <c r="V334" s="22">
        <v>5.3391999999999982</v>
      </c>
      <c r="W334" s="22">
        <v>2.0455000000000001</v>
      </c>
      <c r="X334" s="23">
        <v>1.1476266666666668</v>
      </c>
      <c r="Y334" s="23">
        <f t="shared" si="101"/>
        <v>4.1915733333333316</v>
      </c>
      <c r="Z334" s="23">
        <f t="shared" si="102"/>
        <v>0.8978733333333333</v>
      </c>
      <c r="AA334" s="22">
        <f t="shared" si="103"/>
        <v>78.579085657573287</v>
      </c>
      <c r="AB334" s="22">
        <f t="shared" si="104"/>
        <v>21.420914342426713</v>
      </c>
      <c r="AC334" s="22">
        <f t="shared" si="105"/>
        <v>1.050685530129652</v>
      </c>
      <c r="AD334" s="22">
        <f t="shared" si="106"/>
        <v>0.22506644741734483</v>
      </c>
      <c r="AE334" s="24">
        <v>4.7324999999999999</v>
      </c>
      <c r="AF334" s="24">
        <v>5.1721000000000004</v>
      </c>
      <c r="AG334" s="24">
        <v>4.8468999999999998</v>
      </c>
      <c r="AH334" s="25">
        <f>AG334-AE334</f>
        <v>0.11439999999999984</v>
      </c>
      <c r="AI334" s="25">
        <v>73.976342129208433</v>
      </c>
      <c r="AJ334" s="26">
        <v>3.6988171064604218</v>
      </c>
      <c r="AK334" s="25">
        <v>36.988171064604217</v>
      </c>
      <c r="AL334" s="26">
        <v>3.6999118890919886</v>
      </c>
      <c r="AM334" s="17">
        <f t="shared" si="107"/>
        <v>0.5780346820809249</v>
      </c>
      <c r="AN334" s="28" t="s">
        <v>44</v>
      </c>
      <c r="AO334" s="27" t="s">
        <v>61</v>
      </c>
      <c r="AP334" s="17"/>
      <c r="AQ334" s="17"/>
      <c r="AR334" s="17"/>
      <c r="AS334" s="17"/>
      <c r="AT334" s="17"/>
      <c r="AU334" s="17"/>
      <c r="AV334" s="17"/>
      <c r="AW334" s="17"/>
      <c r="AX334" s="17"/>
      <c r="BB334" s="17"/>
    </row>
    <row r="335" spans="1:54" x14ac:dyDescent="0.2">
      <c r="A335" s="17" t="s">
        <v>41</v>
      </c>
      <c r="B335" s="18" t="s">
        <v>42</v>
      </c>
      <c r="C335" s="18" t="str">
        <f t="shared" si="99"/>
        <v>BI10.9</v>
      </c>
      <c r="D335" s="18" t="str">
        <f t="shared" si="100"/>
        <v>BI10.9_334</v>
      </c>
      <c r="E335" s="17">
        <v>9</v>
      </c>
      <c r="F335" s="19">
        <v>334</v>
      </c>
      <c r="G335" s="20">
        <v>2.2999999999999998</v>
      </c>
      <c r="H335" s="20">
        <v>2.2999999999999998</v>
      </c>
      <c r="I335" s="20">
        <v>1</v>
      </c>
      <c r="J335" s="20">
        <f t="shared" si="98"/>
        <v>4.1526499999999995</v>
      </c>
      <c r="K335" s="53">
        <v>0.2</v>
      </c>
      <c r="L335" s="20">
        <f t="shared" si="110"/>
        <v>2.3499999999999659</v>
      </c>
      <c r="M335" s="20">
        <f t="shared" si="109"/>
        <v>3.3499999999999659</v>
      </c>
      <c r="N335" s="20">
        <f t="shared" si="109"/>
        <v>2.8499999999999659</v>
      </c>
      <c r="O335" s="20">
        <f>P334+$AO$338</f>
        <v>322.34999999999997</v>
      </c>
      <c r="P335" s="20">
        <f t="shared" si="97"/>
        <v>323.34999999999997</v>
      </c>
      <c r="Q335" s="20">
        <f t="shared" si="108"/>
        <v>322.84999999999997</v>
      </c>
      <c r="R335" s="20">
        <f t="shared" si="111"/>
        <v>322.34999999999997</v>
      </c>
      <c r="S335" s="20">
        <f t="shared" si="95"/>
        <v>323.34999999999997</v>
      </c>
      <c r="T335" s="20">
        <f t="shared" si="96"/>
        <v>322.84999999999997</v>
      </c>
      <c r="U335" s="20">
        <v>322.84999999999997</v>
      </c>
      <c r="V335" s="22">
        <v>5.553799999999999</v>
      </c>
      <c r="W335" s="22">
        <v>2.044</v>
      </c>
      <c r="X335" s="23">
        <v>1.1476266666666668</v>
      </c>
      <c r="Y335" s="23">
        <f t="shared" si="101"/>
        <v>4.4061733333333324</v>
      </c>
      <c r="Z335" s="23">
        <f t="shared" si="102"/>
        <v>0.89637333333333324</v>
      </c>
      <c r="AA335" s="22">
        <f t="shared" si="103"/>
        <v>79.656421445063444</v>
      </c>
      <c r="AB335" s="22">
        <f t="shared" si="104"/>
        <v>20.343578554936556</v>
      </c>
      <c r="AC335" s="22">
        <f t="shared" si="105"/>
        <v>1.0610509754815198</v>
      </c>
      <c r="AD335" s="22">
        <f t="shared" si="106"/>
        <v>0.21585573870500363</v>
      </c>
      <c r="AE335" s="24">
        <v>4.9447000000000001</v>
      </c>
      <c r="AF335" s="24">
        <v>5.3800999999999997</v>
      </c>
      <c r="AG335" s="24">
        <v>5.0369000000000002</v>
      </c>
      <c r="AH335" s="25">
        <f>AG335-AE335</f>
        <v>9.220000000000006E-2</v>
      </c>
      <c r="AI335" s="25">
        <v>78.824069820854348</v>
      </c>
      <c r="AJ335" s="26">
        <v>3.9412034910427174</v>
      </c>
      <c r="AK335" s="25">
        <v>39.412034910427174</v>
      </c>
      <c r="AL335" s="26">
        <v>3.9422309620070846</v>
      </c>
      <c r="AM335" s="17">
        <f t="shared" si="107"/>
        <v>0.5780346820809249</v>
      </c>
      <c r="AN335" s="28" t="s">
        <v>46</v>
      </c>
      <c r="AO335" s="29">
        <f>SUM(I333:I373)</f>
        <v>43</v>
      </c>
      <c r="AP335" s="17"/>
      <c r="AQ335" s="17"/>
      <c r="AR335" s="17"/>
      <c r="AS335" s="17"/>
      <c r="AT335" s="17"/>
      <c r="AU335" s="17"/>
      <c r="AV335" s="17"/>
      <c r="AW335" s="17"/>
      <c r="AX335" s="17"/>
      <c r="BB335" s="17"/>
    </row>
    <row r="336" spans="1:54" x14ac:dyDescent="0.2">
      <c r="A336" s="17" t="s">
        <v>41</v>
      </c>
      <c r="B336" s="18" t="s">
        <v>42</v>
      </c>
      <c r="C336" s="18" t="str">
        <f t="shared" si="99"/>
        <v>BI10.9</v>
      </c>
      <c r="D336" s="18" t="str">
        <f t="shared" si="100"/>
        <v>BI10.9_335</v>
      </c>
      <c r="E336" s="17">
        <v>9</v>
      </c>
      <c r="F336" s="19">
        <v>335</v>
      </c>
      <c r="G336" s="20">
        <v>2.4</v>
      </c>
      <c r="H336" s="20">
        <v>2.2999999999999998</v>
      </c>
      <c r="I336" s="20">
        <v>1</v>
      </c>
      <c r="J336" s="20">
        <f t="shared" si="98"/>
        <v>4.3351624999999991</v>
      </c>
      <c r="K336" s="53">
        <v>0.2</v>
      </c>
      <c r="L336" s="20">
        <f t="shared" si="110"/>
        <v>3.5499999999999545</v>
      </c>
      <c r="M336" s="20">
        <f t="shared" si="109"/>
        <v>4.5499999999999545</v>
      </c>
      <c r="N336" s="20">
        <f t="shared" si="109"/>
        <v>4.0499999999999545</v>
      </c>
      <c r="O336" s="20">
        <f>P335+$AO$338</f>
        <v>323.54999999999995</v>
      </c>
      <c r="P336" s="20">
        <f t="shared" si="97"/>
        <v>324.54999999999995</v>
      </c>
      <c r="Q336" s="20">
        <f t="shared" si="108"/>
        <v>324.04999999999995</v>
      </c>
      <c r="R336" s="20">
        <f t="shared" si="111"/>
        <v>323.54999999999995</v>
      </c>
      <c r="S336" s="20">
        <f t="shared" si="95"/>
        <v>324.54999999999995</v>
      </c>
      <c r="T336" s="20">
        <f t="shared" si="96"/>
        <v>324.04999999999995</v>
      </c>
      <c r="U336" s="20">
        <v>324.04999999999995</v>
      </c>
      <c r="V336" s="22">
        <v>5.9847000000000001</v>
      </c>
      <c r="W336" s="22">
        <v>1.9941</v>
      </c>
      <c r="X336" s="23">
        <v>1.1476266666666668</v>
      </c>
      <c r="Y336" s="23">
        <f t="shared" si="101"/>
        <v>4.8370733333333336</v>
      </c>
      <c r="Z336" s="23">
        <f t="shared" si="102"/>
        <v>0.84647333333333319</v>
      </c>
      <c r="AA336" s="22">
        <f t="shared" si="103"/>
        <v>82.500299768041558</v>
      </c>
      <c r="AB336" s="22">
        <f t="shared" si="104"/>
        <v>17.499700231958442</v>
      </c>
      <c r="AC336" s="22">
        <f t="shared" si="105"/>
        <v>1.1157767057943813</v>
      </c>
      <c r="AD336" s="22">
        <f t="shared" si="106"/>
        <v>0.19525757877203759</v>
      </c>
      <c r="AE336" s="24">
        <v>4.4539</v>
      </c>
      <c r="AF336" s="24">
        <v>4.9500999999999999</v>
      </c>
      <c r="AG336" s="24">
        <v>4.5880999999999998</v>
      </c>
      <c r="AH336" s="25">
        <f>AG336-AE336</f>
        <v>0.13419999999999987</v>
      </c>
      <c r="AI336" s="25">
        <v>72.95445384925435</v>
      </c>
      <c r="AJ336" s="26">
        <v>3.6477226924627177</v>
      </c>
      <c r="AK336" s="25">
        <v>36.477226924627175</v>
      </c>
      <c r="AL336" s="26">
        <v>3.6488328053101391</v>
      </c>
      <c r="AM336" s="17">
        <f t="shared" si="107"/>
        <v>0.5780346820809249</v>
      </c>
      <c r="AN336" s="28" t="s">
        <v>47</v>
      </c>
      <c r="AO336" s="29">
        <f>AO333-AO335</f>
        <v>8</v>
      </c>
      <c r="AP336" s="17"/>
      <c r="AQ336" s="17"/>
      <c r="AR336" s="17"/>
      <c r="AS336" s="17"/>
      <c r="AT336" s="17"/>
      <c r="AU336" s="17"/>
      <c r="AV336" s="17"/>
      <c r="AW336" s="17"/>
      <c r="AX336" s="17"/>
      <c r="BB336" s="17"/>
    </row>
    <row r="337" spans="1:66" x14ac:dyDescent="0.2">
      <c r="A337" s="17" t="s">
        <v>41</v>
      </c>
      <c r="B337" s="18" t="s">
        <v>42</v>
      </c>
      <c r="C337" s="18" t="str">
        <f t="shared" si="99"/>
        <v>BI10.9</v>
      </c>
      <c r="D337" s="18" t="str">
        <f t="shared" si="100"/>
        <v>BI10.9_336</v>
      </c>
      <c r="E337" s="17">
        <v>9</v>
      </c>
      <c r="F337" s="19">
        <v>336</v>
      </c>
      <c r="G337" s="20">
        <v>2.25</v>
      </c>
      <c r="H337" s="20">
        <v>2.2999999999999998</v>
      </c>
      <c r="I337" s="20">
        <v>1.05</v>
      </c>
      <c r="J337" s="20">
        <f t="shared" si="98"/>
        <v>4.2660089062500006</v>
      </c>
      <c r="K337" s="53">
        <v>0.2</v>
      </c>
      <c r="L337" s="20">
        <f t="shared" si="110"/>
        <v>4.7499999999999432</v>
      </c>
      <c r="M337" s="20">
        <f t="shared" si="109"/>
        <v>5.7999999999999545</v>
      </c>
      <c r="N337" s="20">
        <f t="shared" si="109"/>
        <v>5.2749999999999773</v>
      </c>
      <c r="O337" s="20">
        <f>P336+$AO$338</f>
        <v>324.74999999999994</v>
      </c>
      <c r="P337" s="20">
        <f t="shared" si="97"/>
        <v>325.79999999999995</v>
      </c>
      <c r="Q337" s="20">
        <f t="shared" si="108"/>
        <v>325.27499999999998</v>
      </c>
      <c r="R337" s="20">
        <f t="shared" si="111"/>
        <v>324.74999999999994</v>
      </c>
      <c r="S337" s="20">
        <f t="shared" si="95"/>
        <v>325.79999999999995</v>
      </c>
      <c r="T337" s="20">
        <f t="shared" si="96"/>
        <v>325.27499999999998</v>
      </c>
      <c r="U337" s="20">
        <v>325.27499999999998</v>
      </c>
      <c r="V337" s="22">
        <v>5.8901000000000003</v>
      </c>
      <c r="W337" s="22">
        <v>1.9695</v>
      </c>
      <c r="X337" s="23">
        <v>1.1476266666666668</v>
      </c>
      <c r="Y337" s="23">
        <f t="shared" si="101"/>
        <v>4.7424733333333338</v>
      </c>
      <c r="Z337" s="23">
        <f t="shared" si="102"/>
        <v>0.82187333333333323</v>
      </c>
      <c r="AA337" s="22">
        <f t="shared" si="103"/>
        <v>82.669942969280442</v>
      </c>
      <c r="AB337" s="22">
        <f t="shared" si="104"/>
        <v>17.330057030719558</v>
      </c>
      <c r="AC337" s="22">
        <f t="shared" si="105"/>
        <v>1.1116885682974735</v>
      </c>
      <c r="AD337" s="22">
        <f t="shared" si="106"/>
        <v>0.19265626288994181</v>
      </c>
      <c r="AE337" s="24">
        <v>4.8278999999999996</v>
      </c>
      <c r="AF337" s="24">
        <v>5.1414</v>
      </c>
      <c r="AG337" s="24">
        <v>4.8878000000000004</v>
      </c>
      <c r="AH337" s="25">
        <f>AG337-AE337</f>
        <v>5.990000000000073E-2</v>
      </c>
      <c r="AI337" s="25">
        <v>80.893141945773323</v>
      </c>
      <c r="AJ337" s="26">
        <v>4.044657097288666</v>
      </c>
      <c r="AK337" s="25">
        <v>40.446570972886661</v>
      </c>
      <c r="AL337" s="26">
        <v>4.0456582943505719</v>
      </c>
      <c r="AM337" s="17">
        <f t="shared" si="107"/>
        <v>0.5780346820809249</v>
      </c>
      <c r="AN337" s="28" t="s">
        <v>48</v>
      </c>
      <c r="AO337" s="27">
        <v>40</v>
      </c>
      <c r="AP337" s="17"/>
      <c r="AQ337" s="17"/>
      <c r="AR337" s="17"/>
      <c r="AS337" s="17"/>
      <c r="AT337" s="17"/>
      <c r="AU337" s="17"/>
      <c r="AV337" s="17"/>
      <c r="AW337" s="17"/>
      <c r="AX337" s="17"/>
      <c r="BB337" s="17"/>
    </row>
    <row r="338" spans="1:66" x14ac:dyDescent="0.2">
      <c r="A338" s="17" t="s">
        <v>41</v>
      </c>
      <c r="B338" s="18" t="s">
        <v>42</v>
      </c>
      <c r="C338" s="18" t="str">
        <f t="shared" si="99"/>
        <v>BI10.9</v>
      </c>
      <c r="D338" s="18" t="str">
        <f t="shared" si="100"/>
        <v>BI10.9_337</v>
      </c>
      <c r="E338" s="17">
        <v>9</v>
      </c>
      <c r="F338" s="19">
        <v>337</v>
      </c>
      <c r="G338" s="20">
        <v>2.2999999999999998</v>
      </c>
      <c r="H338" s="20">
        <v>2.35</v>
      </c>
      <c r="I338" s="20">
        <v>1.05</v>
      </c>
      <c r="J338" s="20">
        <f t="shared" si="98"/>
        <v>4.455586406250001</v>
      </c>
      <c r="K338" s="53">
        <v>0.2</v>
      </c>
      <c r="L338" s="20">
        <f t="shared" si="110"/>
        <v>5.9999999999999432</v>
      </c>
      <c r="M338" s="20">
        <f t="shared" si="109"/>
        <v>7.0499999999999545</v>
      </c>
      <c r="N338" s="20">
        <f t="shared" si="109"/>
        <v>6.5249999999999773</v>
      </c>
      <c r="O338" s="20">
        <f>P337+$AO$338</f>
        <v>325.99999999999994</v>
      </c>
      <c r="P338" s="20">
        <f t="shared" si="97"/>
        <v>327.04999999999995</v>
      </c>
      <c r="Q338" s="20">
        <f t="shared" si="108"/>
        <v>326.52499999999998</v>
      </c>
      <c r="R338" s="20">
        <f t="shared" si="111"/>
        <v>325.99999999999994</v>
      </c>
      <c r="S338" s="20">
        <f t="shared" si="95"/>
        <v>327.04999999999995</v>
      </c>
      <c r="T338" s="20">
        <f t="shared" si="96"/>
        <v>326.52499999999998</v>
      </c>
      <c r="U338" s="20">
        <v>326.52499999999998</v>
      </c>
      <c r="V338" s="22">
        <v>5.3592999999999975</v>
      </c>
      <c r="W338" s="22">
        <v>1.9129</v>
      </c>
      <c r="X338" s="23">
        <v>1.1476266666666668</v>
      </c>
      <c r="Y338" s="23">
        <f t="shared" si="101"/>
        <v>4.2116733333333309</v>
      </c>
      <c r="Z338" s="23">
        <f t="shared" si="102"/>
        <v>0.76527333333333325</v>
      </c>
      <c r="AA338" s="22">
        <f t="shared" si="103"/>
        <v>81.829708223651394</v>
      </c>
      <c r="AB338" s="22">
        <f t="shared" si="104"/>
        <v>18.170291776348606</v>
      </c>
      <c r="AC338" s="22">
        <f t="shared" si="105"/>
        <v>0.94525679659707085</v>
      </c>
      <c r="AD338" s="22">
        <f t="shared" si="106"/>
        <v>0.17175591797745379</v>
      </c>
      <c r="AE338" s="24">
        <v>4.7140000000000004</v>
      </c>
      <c r="AF338" s="24">
        <v>5.1204000000000001</v>
      </c>
      <c r="AG338" s="24">
        <v>4.7991000000000001</v>
      </c>
      <c r="AH338" s="25">
        <f>AG338-AE338</f>
        <v>8.5099999999999731E-2</v>
      </c>
      <c r="AI338" s="25">
        <v>79.060039370078783</v>
      </c>
      <c r="AJ338" s="26">
        <v>3.9530019685039393</v>
      </c>
      <c r="AK338" s="25">
        <v>39.530019685039392</v>
      </c>
      <c r="AL338" s="26">
        <v>3.95402637358377</v>
      </c>
      <c r="AM338" s="17">
        <f t="shared" si="107"/>
        <v>0.5780346820809249</v>
      </c>
      <c r="AN338" s="28" t="s">
        <v>49</v>
      </c>
      <c r="AO338" s="30">
        <f>AO336/AO337</f>
        <v>0.2</v>
      </c>
      <c r="AP338" s="17"/>
      <c r="AQ338" s="17"/>
      <c r="AR338" s="17"/>
      <c r="AS338" s="17"/>
      <c r="AT338" s="17"/>
      <c r="AU338" s="17"/>
      <c r="AV338" s="17"/>
      <c r="AW338" s="17"/>
      <c r="AX338" s="17"/>
      <c r="BB338" s="17"/>
    </row>
    <row r="339" spans="1:66" x14ac:dyDescent="0.2">
      <c r="A339" s="17" t="s">
        <v>41</v>
      </c>
      <c r="B339" s="18" t="s">
        <v>42</v>
      </c>
      <c r="C339" s="18" t="str">
        <f t="shared" si="99"/>
        <v>BI10.9</v>
      </c>
      <c r="D339" s="18" t="str">
        <f t="shared" si="100"/>
        <v>BI10.9_338</v>
      </c>
      <c r="E339" s="17">
        <v>9</v>
      </c>
      <c r="F339" s="19">
        <v>338</v>
      </c>
      <c r="G339" s="20">
        <v>1.9</v>
      </c>
      <c r="H339" s="20">
        <v>2.4</v>
      </c>
      <c r="I339" s="20">
        <v>1.1000000000000001</v>
      </c>
      <c r="J339" s="20">
        <f t="shared" si="98"/>
        <v>3.9915287500000001</v>
      </c>
      <c r="K339" s="53">
        <v>0.2</v>
      </c>
      <c r="L339" s="20">
        <f t="shared" si="110"/>
        <v>7.2499999999999432</v>
      </c>
      <c r="M339" s="20">
        <f t="shared" si="109"/>
        <v>8.3499999999999659</v>
      </c>
      <c r="N339" s="20">
        <f t="shared" si="109"/>
        <v>7.7999999999999545</v>
      </c>
      <c r="O339" s="20">
        <f>P338+$AO$338</f>
        <v>327.24999999999994</v>
      </c>
      <c r="P339" s="20">
        <f t="shared" si="97"/>
        <v>328.34999999999997</v>
      </c>
      <c r="Q339" s="20">
        <f t="shared" si="108"/>
        <v>327.79999999999995</v>
      </c>
      <c r="R339" s="20">
        <f t="shared" si="111"/>
        <v>327.24999999999994</v>
      </c>
      <c r="S339" s="20">
        <f t="shared" si="95"/>
        <v>328.34999999999997</v>
      </c>
      <c r="T339" s="20">
        <f t="shared" si="96"/>
        <v>327.79999999999995</v>
      </c>
      <c r="U339" s="20">
        <v>327.79999999999995</v>
      </c>
      <c r="V339" s="22">
        <v>5.0632999999999981</v>
      </c>
      <c r="W339" s="22">
        <v>1.8301000000000001</v>
      </c>
      <c r="X339" s="23">
        <v>1.1476266666666668</v>
      </c>
      <c r="Y339" s="23">
        <f t="shared" si="101"/>
        <v>3.9156733333333316</v>
      </c>
      <c r="Z339" s="23">
        <f t="shared" si="102"/>
        <v>0.68247333333333327</v>
      </c>
      <c r="AA339" s="22">
        <f t="shared" si="103"/>
        <v>82.570728576268706</v>
      </c>
      <c r="AB339" s="22">
        <f t="shared" si="104"/>
        <v>17.429271423731294</v>
      </c>
      <c r="AC339" s="22">
        <f t="shared" si="105"/>
        <v>0.98099589871006976</v>
      </c>
      <c r="AD339" s="22">
        <f t="shared" si="106"/>
        <v>0.17098043784185027</v>
      </c>
      <c r="AE339" s="24">
        <v>4.8754999999999997</v>
      </c>
      <c r="AF339" s="24">
        <v>5.3780999999999999</v>
      </c>
      <c r="AG339" s="24">
        <v>5.0351999999999997</v>
      </c>
      <c r="AH339" s="25">
        <f>AG339-AE339</f>
        <v>0.15969999999999995</v>
      </c>
      <c r="AI339" s="25">
        <v>68.225228810187048</v>
      </c>
      <c r="AJ339" s="26">
        <v>3.4112614405093526</v>
      </c>
      <c r="AK339" s="25">
        <v>34.112614405093524</v>
      </c>
      <c r="AL339" s="26">
        <v>3.4124484780734705</v>
      </c>
      <c r="AM339" s="17">
        <f t="shared" si="107"/>
        <v>0.5780346820809249</v>
      </c>
      <c r="AN339" s="17"/>
      <c r="AO339" s="27"/>
      <c r="AP339" s="17"/>
      <c r="AQ339" s="17"/>
      <c r="AR339" s="17"/>
      <c r="AS339" s="17"/>
      <c r="AT339" s="17"/>
      <c r="AU339" s="17"/>
      <c r="AV339" s="17"/>
      <c r="AW339" s="17"/>
      <c r="AX339" s="17"/>
      <c r="BB339" s="17"/>
    </row>
    <row r="340" spans="1:66" x14ac:dyDescent="0.2">
      <c r="A340" s="17" t="s">
        <v>41</v>
      </c>
      <c r="B340" s="18" t="s">
        <v>42</v>
      </c>
      <c r="C340" s="18" t="str">
        <f t="shared" si="99"/>
        <v>BI10.9</v>
      </c>
      <c r="D340" s="18" t="str">
        <f t="shared" si="100"/>
        <v>BI10.9_339</v>
      </c>
      <c r="E340" s="17">
        <v>9</v>
      </c>
      <c r="F340" s="19">
        <v>339</v>
      </c>
      <c r="G340" s="20">
        <v>2.2999999999999998</v>
      </c>
      <c r="H340" s="20">
        <v>2.25</v>
      </c>
      <c r="I340" s="20">
        <v>1</v>
      </c>
      <c r="J340" s="20">
        <f t="shared" si="98"/>
        <v>4.0628656249999997</v>
      </c>
      <c r="K340" s="53">
        <v>0.2</v>
      </c>
      <c r="L340" s="20">
        <f t="shared" si="110"/>
        <v>8.5499999999999545</v>
      </c>
      <c r="M340" s="20">
        <f t="shared" si="109"/>
        <v>9.5499999999999545</v>
      </c>
      <c r="N340" s="20">
        <f t="shared" si="109"/>
        <v>9.0499999999999545</v>
      </c>
      <c r="O340" s="20">
        <f>P339+$AO$338</f>
        <v>328.54999999999995</v>
      </c>
      <c r="P340" s="20">
        <f t="shared" si="97"/>
        <v>329.54999999999995</v>
      </c>
      <c r="Q340" s="20">
        <f t="shared" si="108"/>
        <v>329.04999999999995</v>
      </c>
      <c r="R340" s="20">
        <f t="shared" si="111"/>
        <v>328.54999999999995</v>
      </c>
      <c r="S340" s="20">
        <f t="shared" si="95"/>
        <v>329.54999999999995</v>
      </c>
      <c r="T340" s="20">
        <f t="shared" si="96"/>
        <v>329.04999999999995</v>
      </c>
      <c r="U340" s="20">
        <v>329.04999999999995</v>
      </c>
      <c r="V340" s="22">
        <v>5.3830999999999989</v>
      </c>
      <c r="W340" s="22">
        <v>1.9645999999999999</v>
      </c>
      <c r="X340" s="23">
        <v>1.1476266666666668</v>
      </c>
      <c r="Y340" s="23">
        <f t="shared" si="101"/>
        <v>4.2354733333333323</v>
      </c>
      <c r="Z340" s="23">
        <f t="shared" si="102"/>
        <v>0.81697333333333311</v>
      </c>
      <c r="AA340" s="22">
        <f t="shared" si="103"/>
        <v>80.711168055203586</v>
      </c>
      <c r="AB340" s="22">
        <f t="shared" si="104"/>
        <v>19.288831944796414</v>
      </c>
      <c r="AC340" s="22">
        <f t="shared" si="105"/>
        <v>1.042484227701558</v>
      </c>
      <c r="AD340" s="22">
        <f t="shared" si="106"/>
        <v>0.20108303073236225</v>
      </c>
      <c r="AE340" s="24">
        <v>4.5622999999999996</v>
      </c>
      <c r="AF340" s="24">
        <v>4.9043999999999999</v>
      </c>
      <c r="AG340" s="24">
        <v>4.6561000000000003</v>
      </c>
      <c r="AH340" s="25">
        <f>AG340-AE340</f>
        <v>9.3800000000000772E-2</v>
      </c>
      <c r="AI340" s="25">
        <v>72.581116632563379</v>
      </c>
      <c r="AJ340" s="26">
        <v>3.6290558316281691</v>
      </c>
      <c r="AK340" s="25">
        <v>36.29055831628169</v>
      </c>
      <c r="AL340" s="26">
        <v>3.6301716528388051</v>
      </c>
      <c r="AM340" s="17">
        <f t="shared" si="107"/>
        <v>0.5780346820809249</v>
      </c>
      <c r="AN340" s="17"/>
      <c r="AO340" s="27"/>
      <c r="AP340" s="17"/>
      <c r="AQ340" s="17"/>
      <c r="AR340" s="17"/>
      <c r="AS340" s="17"/>
      <c r="AT340" s="17"/>
      <c r="AU340" s="17"/>
      <c r="AV340" s="17"/>
      <c r="AW340" s="17"/>
      <c r="AX340" s="17"/>
      <c r="BB340" s="17"/>
    </row>
    <row r="341" spans="1:66" x14ac:dyDescent="0.2">
      <c r="A341" s="17" t="s">
        <v>41</v>
      </c>
      <c r="B341" s="18" t="s">
        <v>42</v>
      </c>
      <c r="C341" s="18" t="str">
        <f t="shared" si="99"/>
        <v>BI10.9</v>
      </c>
      <c r="D341" s="18" t="str">
        <f t="shared" si="100"/>
        <v>BI10.9_340</v>
      </c>
      <c r="E341" s="17">
        <v>9</v>
      </c>
      <c r="F341" s="19">
        <v>340</v>
      </c>
      <c r="G341" s="20">
        <v>2.2000000000000002</v>
      </c>
      <c r="H341" s="20">
        <v>2.2999999999999998</v>
      </c>
      <c r="I341" s="20">
        <v>1</v>
      </c>
      <c r="J341" s="20">
        <f t="shared" si="98"/>
        <v>3.9740625000000001</v>
      </c>
      <c r="K341" s="53">
        <v>0.2</v>
      </c>
      <c r="L341" s="20">
        <f t="shared" si="110"/>
        <v>9.7499999999999432</v>
      </c>
      <c r="M341" s="20">
        <f t="shared" si="109"/>
        <v>10.749999999999943</v>
      </c>
      <c r="N341" s="20">
        <f t="shared" si="109"/>
        <v>10.249999999999943</v>
      </c>
      <c r="O341" s="20">
        <f>P340+$AO$338</f>
        <v>329.74999999999994</v>
      </c>
      <c r="P341" s="20">
        <f t="shared" si="97"/>
        <v>330.74999999999994</v>
      </c>
      <c r="Q341" s="20">
        <f t="shared" si="108"/>
        <v>330.24999999999994</v>
      </c>
      <c r="R341" s="20">
        <f t="shared" si="111"/>
        <v>329.74999999999994</v>
      </c>
      <c r="S341" s="20">
        <f t="shared" si="95"/>
        <v>330.74999999999994</v>
      </c>
      <c r="T341" s="20">
        <f t="shared" si="96"/>
        <v>330.24999999999994</v>
      </c>
      <c r="U341" s="20">
        <v>330.24999999999994</v>
      </c>
      <c r="V341" s="22">
        <v>5.3792999999999971</v>
      </c>
      <c r="W341" s="22">
        <v>1.9486000000000001</v>
      </c>
      <c r="X341" s="23">
        <v>1.1476266666666668</v>
      </c>
      <c r="Y341" s="23">
        <f t="shared" si="101"/>
        <v>4.2316733333333305</v>
      </c>
      <c r="Z341" s="23">
        <f t="shared" si="102"/>
        <v>0.80097333333333331</v>
      </c>
      <c r="AA341" s="22">
        <f t="shared" si="103"/>
        <v>81.07194789767955</v>
      </c>
      <c r="AB341" s="22">
        <f t="shared" si="104"/>
        <v>18.92805210232045</v>
      </c>
      <c r="AC341" s="22">
        <f t="shared" si="105"/>
        <v>1.0648230452674889</v>
      </c>
      <c r="AD341" s="22">
        <f t="shared" si="106"/>
        <v>0.20155026080574559</v>
      </c>
      <c r="AE341" s="24">
        <v>4.9207000000000001</v>
      </c>
      <c r="AF341" s="24">
        <v>5.2679</v>
      </c>
      <c r="AG341" s="24">
        <v>5.0103999999999997</v>
      </c>
      <c r="AH341" s="25">
        <f>AG341-AE341</f>
        <v>8.9699999999999669E-2</v>
      </c>
      <c r="AI341" s="25">
        <v>74.16474654377889</v>
      </c>
      <c r="AJ341" s="26">
        <v>3.7082373271889448</v>
      </c>
      <c r="AK341" s="25">
        <v>37.082373271889445</v>
      </c>
      <c r="AL341" s="26">
        <v>3.7093293295092322</v>
      </c>
      <c r="AM341" s="17">
        <f t="shared" si="107"/>
        <v>0.5780346820809249</v>
      </c>
      <c r="AN341" s="17"/>
      <c r="AO341" s="27"/>
      <c r="AP341" s="17"/>
      <c r="AQ341" s="17"/>
      <c r="AR341" s="17"/>
      <c r="AS341" s="17"/>
      <c r="AT341" s="17"/>
      <c r="AU341" s="17"/>
      <c r="AV341" s="17"/>
      <c r="AW341" s="17"/>
      <c r="AX341" s="17"/>
      <c r="BB341" s="17"/>
    </row>
    <row r="342" spans="1:66" x14ac:dyDescent="0.2">
      <c r="A342" s="17" t="s">
        <v>41</v>
      </c>
      <c r="B342" s="18" t="s">
        <v>42</v>
      </c>
      <c r="C342" s="18" t="str">
        <f t="shared" si="99"/>
        <v>BI10.9</v>
      </c>
      <c r="D342" s="18" t="str">
        <f t="shared" si="100"/>
        <v>BI10.9_341</v>
      </c>
      <c r="E342" s="17">
        <v>9</v>
      </c>
      <c r="F342" s="19">
        <v>341</v>
      </c>
      <c r="G342" s="20">
        <v>2.2000000000000002</v>
      </c>
      <c r="H342" s="20">
        <v>2.2999999999999998</v>
      </c>
      <c r="I342" s="20">
        <v>0.95</v>
      </c>
      <c r="J342" s="20">
        <f t="shared" si="98"/>
        <v>3.7753593750000003</v>
      </c>
      <c r="K342" s="53">
        <v>0.2</v>
      </c>
      <c r="L342" s="20">
        <f t="shared" si="110"/>
        <v>10.949999999999932</v>
      </c>
      <c r="M342" s="20">
        <f t="shared" si="109"/>
        <v>11.89999999999992</v>
      </c>
      <c r="N342" s="20">
        <f t="shared" si="109"/>
        <v>11.424999999999955</v>
      </c>
      <c r="O342" s="20">
        <f>P341+$AO$338</f>
        <v>330.94999999999993</v>
      </c>
      <c r="P342" s="20">
        <f t="shared" si="97"/>
        <v>331.89999999999992</v>
      </c>
      <c r="Q342" s="20">
        <f t="shared" si="108"/>
        <v>331.42499999999995</v>
      </c>
      <c r="R342" s="20">
        <f t="shared" si="111"/>
        <v>330.94999999999993</v>
      </c>
      <c r="S342" s="20">
        <f t="shared" si="95"/>
        <v>331.89999999999992</v>
      </c>
      <c r="T342" s="20">
        <f t="shared" si="96"/>
        <v>331.42499999999995</v>
      </c>
      <c r="U342" s="20">
        <v>331.42499999999995</v>
      </c>
      <c r="V342" s="22">
        <v>5.4401999999999973</v>
      </c>
      <c r="W342" s="22">
        <v>2.0158999999999998</v>
      </c>
      <c r="X342" s="23">
        <v>1.1476266666666668</v>
      </c>
      <c r="Y342" s="23">
        <f t="shared" si="101"/>
        <v>4.2925733333333307</v>
      </c>
      <c r="Z342" s="23">
        <f t="shared" si="102"/>
        <v>0.86827333333333301</v>
      </c>
      <c r="AA342" s="22">
        <f t="shared" si="103"/>
        <v>79.772661620224696</v>
      </c>
      <c r="AB342" s="22">
        <f t="shared" si="104"/>
        <v>20.227338379775304</v>
      </c>
      <c r="AC342" s="22">
        <f t="shared" si="105"/>
        <v>1.1369972781288749</v>
      </c>
      <c r="AD342" s="22">
        <f t="shared" si="106"/>
        <v>0.2299842868159625</v>
      </c>
      <c r="AE342" s="24">
        <v>4.9020000000000001</v>
      </c>
      <c r="AF342" s="24">
        <v>5.1970999999999998</v>
      </c>
      <c r="AG342" s="24">
        <v>4.9741</v>
      </c>
      <c r="AH342" s="25">
        <f>AG342-AE342</f>
        <v>7.2099999999999831E-2</v>
      </c>
      <c r="AI342" s="25">
        <v>75.567604201965466</v>
      </c>
      <c r="AJ342" s="26">
        <v>3.7783802100982733</v>
      </c>
      <c r="AK342" s="25">
        <v>37.783802100982733</v>
      </c>
      <c r="AL342" s="26">
        <v>3.7794519459919416</v>
      </c>
      <c r="AM342" s="17">
        <f t="shared" si="107"/>
        <v>0.5780346820809249</v>
      </c>
      <c r="AN342" s="17"/>
      <c r="AO342" s="27"/>
      <c r="AP342" s="17"/>
      <c r="AQ342" s="17"/>
      <c r="AR342" s="17"/>
      <c r="AS342" s="17"/>
      <c r="AT342" s="17"/>
      <c r="AU342" s="17"/>
      <c r="AV342" s="17"/>
      <c r="AW342" s="17"/>
      <c r="AX342" s="17"/>
      <c r="BB342" s="17"/>
    </row>
    <row r="343" spans="1:66" x14ac:dyDescent="0.2">
      <c r="A343" s="17" t="s">
        <v>41</v>
      </c>
      <c r="B343" s="18" t="s">
        <v>42</v>
      </c>
      <c r="C343" s="18" t="str">
        <f t="shared" si="99"/>
        <v>BI10.9</v>
      </c>
      <c r="D343" s="18" t="str">
        <f t="shared" si="100"/>
        <v>BI10.9_342</v>
      </c>
      <c r="E343" s="17">
        <v>9</v>
      </c>
      <c r="F343" s="19">
        <v>342</v>
      </c>
      <c r="G343" s="20">
        <v>2.4</v>
      </c>
      <c r="H343" s="20">
        <v>2.35</v>
      </c>
      <c r="I343" s="20">
        <v>1</v>
      </c>
      <c r="J343" s="20">
        <f t="shared" si="98"/>
        <v>4.4278906249999999</v>
      </c>
      <c r="K343" s="53">
        <v>0.2</v>
      </c>
      <c r="L343" s="20">
        <f t="shared" si="110"/>
        <v>12.099999999999909</v>
      </c>
      <c r="M343" s="20">
        <f t="shared" si="109"/>
        <v>13.099999999999909</v>
      </c>
      <c r="N343" s="20">
        <f t="shared" si="109"/>
        <v>12.599999999999909</v>
      </c>
      <c r="O343" s="20">
        <f>P342+$AO$338</f>
        <v>332.09999999999991</v>
      </c>
      <c r="P343" s="20">
        <f t="shared" si="97"/>
        <v>333.09999999999991</v>
      </c>
      <c r="Q343" s="20">
        <f t="shared" si="108"/>
        <v>332.59999999999991</v>
      </c>
      <c r="R343" s="20">
        <f t="shared" si="111"/>
        <v>332.09999999999991</v>
      </c>
      <c r="S343" s="20">
        <f t="shared" si="95"/>
        <v>333.09999999999991</v>
      </c>
      <c r="T343" s="20">
        <f t="shared" si="96"/>
        <v>332.59999999999991</v>
      </c>
      <c r="U343" s="20">
        <v>332.59999999999991</v>
      </c>
      <c r="V343" s="22">
        <v>3.8896999999999977</v>
      </c>
      <c r="W343" s="22">
        <v>2.4045999999999998</v>
      </c>
      <c r="X343" s="23">
        <v>1.1476266666666668</v>
      </c>
      <c r="Y343" s="23">
        <f t="shared" si="101"/>
        <v>2.7420733333333311</v>
      </c>
      <c r="Z343" s="23">
        <f t="shared" si="102"/>
        <v>1.2569733333333331</v>
      </c>
      <c r="AA343" s="22">
        <f t="shared" si="103"/>
        <v>54.159747733466865</v>
      </c>
      <c r="AB343" s="22">
        <f t="shared" si="104"/>
        <v>45.840252266533135</v>
      </c>
      <c r="AC343" s="22">
        <f t="shared" si="105"/>
        <v>0.61927305020849088</v>
      </c>
      <c r="AD343" s="22">
        <f t="shared" si="106"/>
        <v>0.28387632843422667</v>
      </c>
      <c r="AE343" s="24">
        <v>4.9196</v>
      </c>
      <c r="AF343" s="24">
        <v>5.3268000000000004</v>
      </c>
      <c r="AG343" s="24">
        <v>5.0458999999999996</v>
      </c>
      <c r="AH343" s="25">
        <f>AG343-AE343</f>
        <v>0.12629999999999963</v>
      </c>
      <c r="AI343" s="25">
        <v>68.983300589391078</v>
      </c>
      <c r="AJ343" s="26">
        <v>3.4491650294695542</v>
      </c>
      <c r="AK343" s="25">
        <v>34.491650294695539</v>
      </c>
      <c r="AL343" s="26">
        <v>3.4503390268951413</v>
      </c>
      <c r="AM343" s="17">
        <f t="shared" si="107"/>
        <v>0.5780346820809249</v>
      </c>
      <c r="AN343" s="17"/>
      <c r="AO343" s="27"/>
      <c r="AP343" s="17"/>
      <c r="AQ343" s="17"/>
      <c r="AR343" s="17"/>
      <c r="AS343" s="17"/>
      <c r="AT343" s="17"/>
      <c r="AU343" s="17"/>
      <c r="AV343" s="17"/>
      <c r="AW343" s="17"/>
      <c r="AX343" s="17"/>
      <c r="BB343" s="17"/>
    </row>
    <row r="344" spans="1:66" x14ac:dyDescent="0.2">
      <c r="A344" s="17" t="s">
        <v>41</v>
      </c>
      <c r="B344" s="18" t="s">
        <v>42</v>
      </c>
      <c r="C344" s="18" t="str">
        <f t="shared" si="99"/>
        <v>BI10.9</v>
      </c>
      <c r="D344" s="18" t="str">
        <f t="shared" si="100"/>
        <v>BI10.9_343</v>
      </c>
      <c r="E344" s="17">
        <v>9</v>
      </c>
      <c r="F344" s="19">
        <v>343</v>
      </c>
      <c r="G344" s="20">
        <v>2.5</v>
      </c>
      <c r="H344" s="20">
        <v>2.2999999999999998</v>
      </c>
      <c r="I344" s="20">
        <v>0.95</v>
      </c>
      <c r="J344" s="20">
        <f t="shared" si="98"/>
        <v>4.2955199999999998</v>
      </c>
      <c r="K344" s="53">
        <v>0.2</v>
      </c>
      <c r="L344" s="20">
        <f t="shared" si="110"/>
        <v>13.299999999999898</v>
      </c>
      <c r="M344" s="20">
        <f t="shared" si="109"/>
        <v>14.249999999999886</v>
      </c>
      <c r="N344" s="20">
        <f t="shared" si="109"/>
        <v>13.774999999999864</v>
      </c>
      <c r="O344" s="20">
        <f>P343+$AO$338</f>
        <v>333.2999999999999</v>
      </c>
      <c r="P344" s="20">
        <f t="shared" si="97"/>
        <v>334.24999999999989</v>
      </c>
      <c r="Q344" s="20">
        <f t="shared" si="108"/>
        <v>333.77499999999986</v>
      </c>
      <c r="R344" s="20">
        <f t="shared" si="111"/>
        <v>333.2999999999999</v>
      </c>
      <c r="S344" s="20">
        <f t="shared" si="95"/>
        <v>334.24999999999989</v>
      </c>
      <c r="T344" s="20">
        <f t="shared" si="96"/>
        <v>333.77499999999986</v>
      </c>
      <c r="U344" s="20">
        <v>333.77499999999986</v>
      </c>
      <c r="V344" s="22">
        <v>6.1112000000000002</v>
      </c>
      <c r="W344" s="22">
        <v>2.1596000000000002</v>
      </c>
      <c r="X344" s="23">
        <v>1.1476266666666668</v>
      </c>
      <c r="Y344" s="23">
        <f t="shared" si="101"/>
        <v>4.9635733333333336</v>
      </c>
      <c r="Z344" s="23">
        <f t="shared" si="102"/>
        <v>1.0119733333333334</v>
      </c>
      <c r="AA344" s="22">
        <f t="shared" si="103"/>
        <v>79.611999957020203</v>
      </c>
      <c r="AB344" s="22">
        <f t="shared" si="104"/>
        <v>20.388000042979797</v>
      </c>
      <c r="AC344" s="22">
        <f t="shared" si="105"/>
        <v>1.1555232738605183</v>
      </c>
      <c r="AD344" s="22">
        <f t="shared" si="106"/>
        <v>0.23558808557132394</v>
      </c>
      <c r="AE344" s="24">
        <v>4.6734999999999998</v>
      </c>
      <c r="AF344" s="24">
        <v>5.1805000000000003</v>
      </c>
      <c r="AG344" s="24">
        <v>4.8704000000000001</v>
      </c>
      <c r="AH344" s="25">
        <f>AG344-AE344</f>
        <v>0.1969000000000003</v>
      </c>
      <c r="AI344" s="25">
        <v>61.163708086784993</v>
      </c>
      <c r="AJ344" s="26">
        <v>3.05818540433925</v>
      </c>
      <c r="AK344" s="25">
        <v>30.581854043392497</v>
      </c>
      <c r="AL344" s="26">
        <v>3.0595094324603123</v>
      </c>
      <c r="AM344" s="17">
        <f t="shared" si="107"/>
        <v>0.5780346820809249</v>
      </c>
      <c r="AN344" s="17"/>
      <c r="AO344" s="27"/>
      <c r="AP344" s="17"/>
      <c r="AQ344" s="17"/>
      <c r="AR344" s="17"/>
      <c r="AS344" s="17"/>
      <c r="AT344" s="17"/>
      <c r="AU344" s="17"/>
      <c r="AV344" s="17"/>
      <c r="AW344" s="17"/>
      <c r="AX344" s="17"/>
      <c r="BB344" s="17"/>
    </row>
    <row r="345" spans="1:66" x14ac:dyDescent="0.2">
      <c r="A345" s="17" t="s">
        <v>41</v>
      </c>
      <c r="B345" s="18" t="s">
        <v>42</v>
      </c>
      <c r="C345" s="18" t="str">
        <f t="shared" si="99"/>
        <v>BI10.9</v>
      </c>
      <c r="D345" s="18" t="str">
        <f t="shared" si="100"/>
        <v>BI10.9_344</v>
      </c>
      <c r="E345" s="17">
        <v>9</v>
      </c>
      <c r="F345" s="19">
        <v>344</v>
      </c>
      <c r="G345" s="20">
        <v>2.4</v>
      </c>
      <c r="H345" s="20">
        <v>2.2999999999999998</v>
      </c>
      <c r="I345" s="20">
        <v>1.05</v>
      </c>
      <c r="J345" s="20">
        <f t="shared" si="98"/>
        <v>4.5519206249999993</v>
      </c>
      <c r="K345" s="53">
        <v>0.2</v>
      </c>
      <c r="L345" s="20">
        <f t="shared" si="110"/>
        <v>14.449999999999875</v>
      </c>
      <c r="M345" s="20">
        <f t="shared" si="109"/>
        <v>15.499999999999886</v>
      </c>
      <c r="N345" s="20">
        <f t="shared" si="109"/>
        <v>14.974999999999909</v>
      </c>
      <c r="O345" s="20">
        <f>P344+$AO$338</f>
        <v>334.44999999999987</v>
      </c>
      <c r="P345" s="20">
        <f t="shared" si="97"/>
        <v>335.49999999999989</v>
      </c>
      <c r="Q345" s="20">
        <f t="shared" si="108"/>
        <v>334.97499999999991</v>
      </c>
      <c r="R345" s="20">
        <f t="shared" si="111"/>
        <v>334.44999999999987</v>
      </c>
      <c r="S345" s="20">
        <f t="shared" si="95"/>
        <v>335.49999999999989</v>
      </c>
      <c r="T345" s="20">
        <f t="shared" si="96"/>
        <v>334.97499999999991</v>
      </c>
      <c r="U345" s="20">
        <v>334.97499999999991</v>
      </c>
      <c r="V345" s="22">
        <v>5.9121999999999986</v>
      </c>
      <c r="W345" s="22">
        <v>2.0326</v>
      </c>
      <c r="X345" s="23">
        <v>1.1476266666666668</v>
      </c>
      <c r="Y345" s="23">
        <f t="shared" si="101"/>
        <v>4.764573333333332</v>
      </c>
      <c r="Z345" s="23">
        <f t="shared" si="102"/>
        <v>0.88497333333333317</v>
      </c>
      <c r="AA345" s="22">
        <f t="shared" si="103"/>
        <v>81.425968887035708</v>
      </c>
      <c r="AB345" s="22">
        <f t="shared" si="104"/>
        <v>18.574031112964292</v>
      </c>
      <c r="AC345" s="22">
        <f t="shared" si="105"/>
        <v>1.0467171389512824</v>
      </c>
      <c r="AD345" s="22">
        <f t="shared" si="106"/>
        <v>0.19441756705354091</v>
      </c>
      <c r="AE345" s="24">
        <v>4.9823000000000004</v>
      </c>
      <c r="AF345" s="24">
        <v>5.35</v>
      </c>
      <c r="AG345" s="24">
        <v>5.0681000000000003</v>
      </c>
      <c r="AH345" s="25">
        <f>AG345-AE345</f>
        <v>8.5799999999999876E-2</v>
      </c>
      <c r="AI345" s="25">
        <v>76.665760130541187</v>
      </c>
      <c r="AJ345" s="26">
        <v>3.8332880065270594</v>
      </c>
      <c r="AK345" s="25">
        <v>38.332880065270594</v>
      </c>
      <c r="AL345" s="26">
        <v>3.8343443951977236</v>
      </c>
      <c r="AM345" s="17">
        <f t="shared" si="107"/>
        <v>0.5780346820809249</v>
      </c>
      <c r="AN345" s="17"/>
      <c r="AO345" s="27"/>
      <c r="AP345" s="17"/>
      <c r="AQ345" s="17"/>
      <c r="AR345" s="17"/>
      <c r="AS345" s="17"/>
      <c r="AT345" s="17"/>
      <c r="AU345" s="17"/>
      <c r="AV345" s="17"/>
      <c r="AW345" s="17"/>
      <c r="AX345" s="17"/>
      <c r="BB345" s="17"/>
    </row>
    <row r="346" spans="1:66" x14ac:dyDescent="0.2">
      <c r="A346" s="17" t="s">
        <v>41</v>
      </c>
      <c r="B346" s="18" t="s">
        <v>42</v>
      </c>
      <c r="C346" s="18" t="str">
        <f t="shared" si="99"/>
        <v>BI10.9</v>
      </c>
      <c r="D346" s="18" t="str">
        <f t="shared" si="100"/>
        <v>BI10.9_345</v>
      </c>
      <c r="E346" s="17">
        <v>9</v>
      </c>
      <c r="F346" s="19">
        <v>345</v>
      </c>
      <c r="G346" s="20">
        <v>2.35</v>
      </c>
      <c r="H346" s="20">
        <v>2.2999999999999998</v>
      </c>
      <c r="I346" s="20">
        <v>1.05</v>
      </c>
      <c r="J346" s="20">
        <f t="shared" si="98"/>
        <v>4.455586406250001</v>
      </c>
      <c r="K346" s="53">
        <v>0.2</v>
      </c>
      <c r="L346" s="20">
        <f t="shared" si="110"/>
        <v>15.699999999999875</v>
      </c>
      <c r="M346" s="20">
        <f t="shared" si="109"/>
        <v>16.749999999999886</v>
      </c>
      <c r="N346" s="20">
        <f t="shared" si="109"/>
        <v>16.224999999999909</v>
      </c>
      <c r="O346" s="20">
        <f>P345+$AO$338</f>
        <v>335.69999999999987</v>
      </c>
      <c r="P346" s="20">
        <f t="shared" si="97"/>
        <v>336.74999999999989</v>
      </c>
      <c r="Q346" s="20">
        <f t="shared" si="108"/>
        <v>336.22499999999991</v>
      </c>
      <c r="R346" s="20">
        <f t="shared" si="111"/>
        <v>335.69999999999987</v>
      </c>
      <c r="S346" s="20">
        <f t="shared" si="95"/>
        <v>336.74999999999989</v>
      </c>
      <c r="T346" s="20">
        <f t="shared" si="96"/>
        <v>336.22499999999991</v>
      </c>
      <c r="U346" s="20">
        <v>336.22499999999991</v>
      </c>
      <c r="V346" s="22">
        <v>5.7900999999999989</v>
      </c>
      <c r="W346" s="22">
        <v>2.0181</v>
      </c>
      <c r="X346" s="23">
        <v>1.1476266666666668</v>
      </c>
      <c r="Y346" s="23">
        <f t="shared" si="101"/>
        <v>4.6424733333333323</v>
      </c>
      <c r="Z346" s="23">
        <f t="shared" si="102"/>
        <v>0.87047333333333321</v>
      </c>
      <c r="AA346" s="22">
        <f t="shared" si="103"/>
        <v>81.249793572678925</v>
      </c>
      <c r="AB346" s="22">
        <f t="shared" si="104"/>
        <v>18.750206427321075</v>
      </c>
      <c r="AC346" s="22">
        <f t="shared" si="105"/>
        <v>1.0419444064245234</v>
      </c>
      <c r="AD346" s="22">
        <f t="shared" si="106"/>
        <v>0.19536672706252334</v>
      </c>
      <c r="AE346" s="24">
        <v>4.7801</v>
      </c>
      <c r="AF346" s="24">
        <v>5.0949</v>
      </c>
      <c r="AG346" s="24">
        <v>4.8532000000000002</v>
      </c>
      <c r="AH346" s="25">
        <f>AG346-AE346</f>
        <v>7.3100000000000165E-2</v>
      </c>
      <c r="AI346" s="25">
        <v>76.77890724269372</v>
      </c>
      <c r="AJ346" s="26">
        <v>3.8389453621346861</v>
      </c>
      <c r="AK346" s="25">
        <v>38.38945362134686</v>
      </c>
      <c r="AL346" s="26">
        <v>3.8400001944603357</v>
      </c>
      <c r="AM346" s="17">
        <f t="shared" si="107"/>
        <v>0.5780346820809249</v>
      </c>
      <c r="AN346" s="17"/>
      <c r="AO346" s="27"/>
      <c r="AP346" s="17"/>
      <c r="AQ346" s="17"/>
      <c r="AR346" s="17"/>
      <c r="AS346" s="17"/>
      <c r="AT346" s="17"/>
      <c r="AU346" s="17"/>
      <c r="AV346" s="17"/>
      <c r="AW346" s="17"/>
      <c r="AX346" s="17"/>
      <c r="BB346" s="17"/>
    </row>
    <row r="347" spans="1:66" x14ac:dyDescent="0.2">
      <c r="A347" s="17" t="s">
        <v>41</v>
      </c>
      <c r="B347" s="18" t="s">
        <v>42</v>
      </c>
      <c r="C347" s="18" t="str">
        <f t="shared" si="99"/>
        <v>BI10.9</v>
      </c>
      <c r="D347" s="18" t="str">
        <f t="shared" si="100"/>
        <v>BI10.9_346</v>
      </c>
      <c r="E347" s="17">
        <v>9</v>
      </c>
      <c r="F347" s="19">
        <v>346</v>
      </c>
      <c r="G347" s="20">
        <v>2.0499999999999998</v>
      </c>
      <c r="H347" s="20">
        <v>2.2999999999999998</v>
      </c>
      <c r="I347" s="20">
        <v>1</v>
      </c>
      <c r="J347" s="20">
        <f t="shared" si="98"/>
        <v>3.7135406249999994</v>
      </c>
      <c r="K347" s="53">
        <v>0.2</v>
      </c>
      <c r="L347" s="20">
        <f t="shared" si="110"/>
        <v>16.949999999999875</v>
      </c>
      <c r="M347" s="20">
        <f t="shared" si="109"/>
        <v>17.949999999999875</v>
      </c>
      <c r="N347" s="20">
        <f t="shared" si="109"/>
        <v>17.449999999999875</v>
      </c>
      <c r="O347" s="20">
        <f>P346+$AO$338</f>
        <v>336.94999999999987</v>
      </c>
      <c r="P347" s="20">
        <f t="shared" si="97"/>
        <v>337.94999999999987</v>
      </c>
      <c r="Q347" s="20">
        <f t="shared" si="108"/>
        <v>337.44999999999987</v>
      </c>
      <c r="R347" s="20">
        <f t="shared" si="111"/>
        <v>336.94999999999987</v>
      </c>
      <c r="S347" s="20">
        <f t="shared" si="95"/>
        <v>337.94999999999987</v>
      </c>
      <c r="T347" s="20">
        <f t="shared" si="96"/>
        <v>337.44999999999987</v>
      </c>
      <c r="U347" s="20">
        <v>337.44999999999987</v>
      </c>
      <c r="V347" s="22">
        <v>5.8265999999999991</v>
      </c>
      <c r="W347" s="22">
        <v>1.9861</v>
      </c>
      <c r="X347" s="23">
        <v>1.1476266666666668</v>
      </c>
      <c r="Y347" s="23">
        <f t="shared" si="101"/>
        <v>4.6789733333333325</v>
      </c>
      <c r="Z347" s="23">
        <f t="shared" si="102"/>
        <v>0.83847333333333318</v>
      </c>
      <c r="AA347" s="22">
        <f t="shared" si="103"/>
        <v>82.079971959660668</v>
      </c>
      <c r="AB347" s="22">
        <f t="shared" si="104"/>
        <v>17.920028040339332</v>
      </c>
      <c r="AC347" s="22">
        <f t="shared" si="105"/>
        <v>1.2599763422093526</v>
      </c>
      <c r="AD347" s="22">
        <f t="shared" si="106"/>
        <v>0.22578811382555788</v>
      </c>
      <c r="AE347" s="24">
        <v>4.6932999999999998</v>
      </c>
      <c r="AF347" s="24">
        <v>5.0274999999999999</v>
      </c>
      <c r="AG347" s="24">
        <v>4.7732000000000001</v>
      </c>
      <c r="AH347" s="25">
        <f>AG347-AE347</f>
        <v>7.9900000000000304E-2</v>
      </c>
      <c r="AI347" s="25">
        <v>76.092160383004099</v>
      </c>
      <c r="AJ347" s="26">
        <v>3.804608019150205</v>
      </c>
      <c r="AK347" s="25">
        <v>38.04608019150205</v>
      </c>
      <c r="AL347" s="26">
        <v>3.8056723688964671</v>
      </c>
      <c r="AM347" s="17">
        <f t="shared" si="107"/>
        <v>0.5780346820809249</v>
      </c>
      <c r="AN347" s="17"/>
      <c r="AO347" s="27"/>
      <c r="AP347" s="17"/>
      <c r="AQ347" s="17"/>
      <c r="AR347" s="17"/>
      <c r="AS347" s="17"/>
      <c r="AT347" s="17"/>
      <c r="AU347" s="17"/>
      <c r="AV347" s="17"/>
      <c r="AW347" s="17"/>
      <c r="AX347" s="17"/>
      <c r="BB347" s="17"/>
    </row>
    <row r="348" spans="1:66" x14ac:dyDescent="0.2">
      <c r="A348" s="17" t="s">
        <v>41</v>
      </c>
      <c r="B348" s="18" t="s">
        <v>42</v>
      </c>
      <c r="C348" s="18" t="str">
        <f t="shared" si="99"/>
        <v>BI10.9</v>
      </c>
      <c r="D348" s="18" t="str">
        <f t="shared" si="100"/>
        <v>BI10.9_347</v>
      </c>
      <c r="E348" s="17">
        <v>9</v>
      </c>
      <c r="F348" s="19">
        <v>347</v>
      </c>
      <c r="G348" s="20">
        <v>2.2999999999999998</v>
      </c>
      <c r="H348" s="20">
        <v>2.4500000000000002</v>
      </c>
      <c r="I348" s="20">
        <v>1.1000000000000001</v>
      </c>
      <c r="J348" s="20">
        <f t="shared" si="98"/>
        <v>4.8706796875</v>
      </c>
      <c r="K348" s="53">
        <v>0.2</v>
      </c>
      <c r="L348" s="20">
        <f t="shared" si="110"/>
        <v>18.149999999999864</v>
      </c>
      <c r="M348" s="20">
        <f t="shared" si="109"/>
        <v>19.249999999999886</v>
      </c>
      <c r="N348" s="20">
        <f t="shared" si="109"/>
        <v>18.699999999999875</v>
      </c>
      <c r="O348" s="20">
        <f>P347+$AO$338</f>
        <v>338.14999999999986</v>
      </c>
      <c r="P348" s="20">
        <f t="shared" si="97"/>
        <v>339.24999999999989</v>
      </c>
      <c r="Q348" s="20">
        <f t="shared" si="108"/>
        <v>338.69999999999987</v>
      </c>
      <c r="R348" s="20">
        <f t="shared" si="111"/>
        <v>338.14999999999986</v>
      </c>
      <c r="S348" s="20">
        <f t="shared" si="95"/>
        <v>339.24999999999989</v>
      </c>
      <c r="T348" s="20">
        <f t="shared" si="96"/>
        <v>338.69999999999987</v>
      </c>
      <c r="U348" s="20">
        <v>338.69999999999987</v>
      </c>
      <c r="V348" s="22">
        <v>6.5400999999999989</v>
      </c>
      <c r="W348" s="22">
        <v>2.1798000000000002</v>
      </c>
      <c r="X348" s="23">
        <v>1.1476266666666668</v>
      </c>
      <c r="Y348" s="23">
        <f t="shared" si="101"/>
        <v>5.3924733333333323</v>
      </c>
      <c r="Z348" s="23">
        <f t="shared" si="102"/>
        <v>1.0321733333333334</v>
      </c>
      <c r="AA348" s="22">
        <f t="shared" si="103"/>
        <v>80.858999766340972</v>
      </c>
      <c r="AB348" s="22">
        <f t="shared" si="104"/>
        <v>19.141000233659028</v>
      </c>
      <c r="AC348" s="22">
        <f t="shared" si="105"/>
        <v>1.1071295341330802</v>
      </c>
      <c r="AD348" s="22">
        <f t="shared" si="106"/>
        <v>0.21191566671532092</v>
      </c>
      <c r="AE348" s="24">
        <v>4.7046000000000001</v>
      </c>
      <c r="AF348" s="24">
        <v>5.1155999999999997</v>
      </c>
      <c r="AG348" s="24">
        <v>4.7872000000000003</v>
      </c>
      <c r="AH348" s="25">
        <f>AG348-AE348</f>
        <v>8.2600000000000229E-2</v>
      </c>
      <c r="AI348" s="25">
        <v>79.902676399026689</v>
      </c>
      <c r="AJ348" s="26">
        <v>3.9951338199513344</v>
      </c>
      <c r="AK348" s="25">
        <v>39.951338199513344</v>
      </c>
      <c r="AL348" s="26">
        <v>3.996147424622738</v>
      </c>
      <c r="AM348" s="17">
        <f t="shared" si="107"/>
        <v>0.5780346820809249</v>
      </c>
      <c r="AN348" s="17"/>
      <c r="AO348" s="27"/>
      <c r="AP348" s="17"/>
      <c r="AQ348" s="17"/>
      <c r="AR348" s="17"/>
      <c r="AS348" s="17"/>
      <c r="AT348" s="17"/>
      <c r="AU348" s="17"/>
      <c r="AV348" s="17"/>
      <c r="AW348" s="17"/>
      <c r="AX348" s="17"/>
      <c r="BB348" s="17"/>
    </row>
    <row r="349" spans="1:66" x14ac:dyDescent="0.2">
      <c r="A349" s="17" t="s">
        <v>41</v>
      </c>
      <c r="B349" s="18" t="s">
        <v>42</v>
      </c>
      <c r="C349" s="18" t="str">
        <f t="shared" si="99"/>
        <v>BI10.9</v>
      </c>
      <c r="D349" s="18" t="str">
        <f t="shared" si="100"/>
        <v>BI10.9_348</v>
      </c>
      <c r="E349" s="17">
        <v>9</v>
      </c>
      <c r="F349" s="19">
        <v>348</v>
      </c>
      <c r="G349" s="20">
        <v>2.5499999999999998</v>
      </c>
      <c r="H349" s="20">
        <v>2.4</v>
      </c>
      <c r="I349" s="20">
        <v>1</v>
      </c>
      <c r="J349" s="20">
        <f t="shared" si="98"/>
        <v>4.8086156249999989</v>
      </c>
      <c r="K349" s="53">
        <v>0.2</v>
      </c>
      <c r="L349" s="20">
        <f t="shared" si="110"/>
        <v>19.449999999999875</v>
      </c>
      <c r="M349" s="20">
        <f t="shared" si="110"/>
        <v>20.449999999999875</v>
      </c>
      <c r="N349" s="20">
        <f t="shared" si="110"/>
        <v>19.949999999999875</v>
      </c>
      <c r="O349" s="20">
        <f>P348+$AO$338</f>
        <v>339.44999999999987</v>
      </c>
      <c r="P349" s="20">
        <f t="shared" si="97"/>
        <v>340.44999999999987</v>
      </c>
      <c r="Q349" s="20">
        <f t="shared" si="108"/>
        <v>339.94999999999987</v>
      </c>
      <c r="R349" s="20">
        <f t="shared" si="111"/>
        <v>339.44999999999987</v>
      </c>
      <c r="S349" s="20">
        <f t="shared" si="95"/>
        <v>340.44999999999987</v>
      </c>
      <c r="T349" s="20">
        <f t="shared" si="96"/>
        <v>339.94999999999987</v>
      </c>
      <c r="U349" s="20">
        <v>339.94999999999987</v>
      </c>
      <c r="V349" s="22">
        <v>6.7452000000000005</v>
      </c>
      <c r="W349" s="22">
        <v>2.2711999999999999</v>
      </c>
      <c r="X349" s="23">
        <v>1.1476266666666668</v>
      </c>
      <c r="Y349" s="23">
        <f t="shared" si="101"/>
        <v>5.597573333333334</v>
      </c>
      <c r="Z349" s="23">
        <f t="shared" si="102"/>
        <v>1.1235733333333331</v>
      </c>
      <c r="AA349" s="22">
        <f t="shared" si="103"/>
        <v>79.927492389559291</v>
      </c>
      <c r="AB349" s="22">
        <f t="shared" si="104"/>
        <v>20.072507610440709</v>
      </c>
      <c r="AC349" s="22">
        <f t="shared" si="105"/>
        <v>1.1640716933646231</v>
      </c>
      <c r="AD349" s="22">
        <f t="shared" si="106"/>
        <v>0.23365837924159999</v>
      </c>
      <c r="AE349" s="24">
        <v>4.6840999999999999</v>
      </c>
      <c r="AF349" s="24">
        <v>5.0408999999999997</v>
      </c>
      <c r="AG349" s="24">
        <v>4.7603</v>
      </c>
      <c r="AH349" s="25">
        <f>AG349-AE349</f>
        <v>7.6200000000000045E-2</v>
      </c>
      <c r="AI349" s="25">
        <v>78.643497757847499</v>
      </c>
      <c r="AJ349" s="26">
        <v>3.932174887892375</v>
      </c>
      <c r="AK349" s="25">
        <v>39.321748878923749</v>
      </c>
      <c r="AL349" s="26">
        <v>3.9332047173992115</v>
      </c>
      <c r="AM349" s="17">
        <f t="shared" si="107"/>
        <v>0.5780346820809249</v>
      </c>
      <c r="AN349" s="17"/>
      <c r="AO349" s="27"/>
      <c r="AP349" s="17"/>
      <c r="AQ349" s="17"/>
      <c r="AR349" s="17"/>
      <c r="AS349" s="17"/>
      <c r="AT349" s="17"/>
      <c r="AU349" s="17"/>
      <c r="AV349" s="17"/>
      <c r="AW349" s="17"/>
      <c r="AX349" s="17"/>
      <c r="BB349" s="17"/>
    </row>
    <row r="350" spans="1:66" x14ac:dyDescent="0.2">
      <c r="A350" s="17" t="s">
        <v>41</v>
      </c>
      <c r="B350" s="18" t="s">
        <v>42</v>
      </c>
      <c r="C350" s="18" t="str">
        <f t="shared" si="99"/>
        <v>BI10.9</v>
      </c>
      <c r="D350" s="18" t="str">
        <f t="shared" si="100"/>
        <v>BI10.9_349</v>
      </c>
      <c r="E350" s="17">
        <v>9</v>
      </c>
      <c r="F350" s="19">
        <v>349</v>
      </c>
      <c r="G350" s="20">
        <v>2.5</v>
      </c>
      <c r="H350" s="20">
        <v>2.4</v>
      </c>
      <c r="I350" s="20">
        <v>1.05</v>
      </c>
      <c r="J350" s="20">
        <f t="shared" si="98"/>
        <v>4.9475606250000004</v>
      </c>
      <c r="K350" s="53">
        <v>0.2</v>
      </c>
      <c r="L350" s="20">
        <f t="shared" si="110"/>
        <v>20.649999999999864</v>
      </c>
      <c r="M350" s="20">
        <f t="shared" si="110"/>
        <v>21.699999999999875</v>
      </c>
      <c r="N350" s="20">
        <f t="shared" si="110"/>
        <v>21.174999999999841</v>
      </c>
      <c r="O350" s="20">
        <f>P349+$AO$338</f>
        <v>340.64999999999986</v>
      </c>
      <c r="P350" s="20">
        <f t="shared" si="97"/>
        <v>341.69999999999987</v>
      </c>
      <c r="Q350" s="20">
        <f t="shared" si="108"/>
        <v>341.17499999999984</v>
      </c>
      <c r="R350" s="20">
        <f t="shared" si="111"/>
        <v>340.64999999999986</v>
      </c>
      <c r="S350" s="20">
        <f t="shared" si="95"/>
        <v>341.69999999999987</v>
      </c>
      <c r="T350" s="20">
        <f t="shared" si="96"/>
        <v>341.17499999999984</v>
      </c>
      <c r="U350" s="20">
        <v>341.17499999999984</v>
      </c>
      <c r="V350" s="22">
        <v>6.4861000000000004</v>
      </c>
      <c r="W350" s="22">
        <v>2.1968999999999999</v>
      </c>
      <c r="X350" s="23">
        <v>1.1476266666666668</v>
      </c>
      <c r="Y350" s="23">
        <f t="shared" si="101"/>
        <v>5.3384733333333338</v>
      </c>
      <c r="Z350" s="23">
        <f t="shared" si="102"/>
        <v>1.0492733333333331</v>
      </c>
      <c r="AA350" s="22">
        <f t="shared" si="103"/>
        <v>80.345067441253505</v>
      </c>
      <c r="AB350" s="22">
        <f t="shared" si="104"/>
        <v>19.654932558746495</v>
      </c>
      <c r="AC350" s="22">
        <f t="shared" si="105"/>
        <v>1.0790112012691777</v>
      </c>
      <c r="AD350" s="22">
        <f t="shared" si="106"/>
        <v>0.21207892391077734</v>
      </c>
      <c r="AE350" s="24">
        <v>4.8956999999999997</v>
      </c>
      <c r="AF350" s="24">
        <v>5.2567000000000004</v>
      </c>
      <c r="AG350" s="24">
        <v>4.9629000000000003</v>
      </c>
      <c r="AH350" s="25">
        <f>AG350-AE350</f>
        <v>6.7200000000000593E-2</v>
      </c>
      <c r="AI350" s="25">
        <v>81.385041551246402</v>
      </c>
      <c r="AJ350" s="26">
        <v>4.0692520775623207</v>
      </c>
      <c r="AK350" s="25">
        <v>40.692520775623201</v>
      </c>
      <c r="AL350" s="26">
        <v>4.0702472247696777</v>
      </c>
      <c r="AM350" s="17">
        <f t="shared" si="107"/>
        <v>0.5780346820809249</v>
      </c>
      <c r="AN350" s="17"/>
      <c r="AO350" s="27"/>
      <c r="AP350" s="17"/>
      <c r="AQ350" s="17"/>
      <c r="AR350" s="17"/>
      <c r="AS350" s="17"/>
      <c r="AT350" s="17"/>
      <c r="AU350" s="17"/>
      <c r="AV350" s="17"/>
      <c r="AW350" s="17"/>
      <c r="AX350" s="17"/>
      <c r="BB350" s="17"/>
    </row>
    <row r="351" spans="1:66" x14ac:dyDescent="0.2">
      <c r="A351" s="17" t="s">
        <v>41</v>
      </c>
      <c r="B351" s="18" t="s">
        <v>42</v>
      </c>
      <c r="C351" s="18" t="str">
        <f t="shared" si="99"/>
        <v>BI10.9</v>
      </c>
      <c r="D351" s="18" t="str">
        <f t="shared" si="100"/>
        <v>BI10.9_350</v>
      </c>
      <c r="E351" s="17">
        <v>9</v>
      </c>
      <c r="F351" s="19">
        <v>350</v>
      </c>
      <c r="G351" s="20">
        <v>2.1</v>
      </c>
      <c r="H351" s="20">
        <v>2.4</v>
      </c>
      <c r="I351" s="20">
        <v>1.05</v>
      </c>
      <c r="J351" s="20">
        <f t="shared" si="98"/>
        <v>4.1727656250000003</v>
      </c>
      <c r="K351" s="53">
        <v>0.2</v>
      </c>
      <c r="L351" s="20">
        <f t="shared" si="110"/>
        <v>21.899999999999864</v>
      </c>
      <c r="M351" s="20">
        <f t="shared" si="110"/>
        <v>22.949999999999875</v>
      </c>
      <c r="N351" s="20">
        <f t="shared" si="110"/>
        <v>22.424999999999841</v>
      </c>
      <c r="O351" s="20">
        <f>P350+$AO$338</f>
        <v>341.89999999999986</v>
      </c>
      <c r="P351" s="20">
        <f t="shared" si="97"/>
        <v>342.94999999999987</v>
      </c>
      <c r="Q351" s="20">
        <f t="shared" si="108"/>
        <v>342.42499999999984</v>
      </c>
      <c r="R351" s="20">
        <f t="shared" si="111"/>
        <v>341.89999999999986</v>
      </c>
      <c r="S351" s="20">
        <f t="shared" si="95"/>
        <v>342.94999999999987</v>
      </c>
      <c r="T351" s="20">
        <f t="shared" si="96"/>
        <v>342.42499999999984</v>
      </c>
      <c r="U351" s="20">
        <v>342.42499999999984</v>
      </c>
      <c r="V351" s="22">
        <v>5.7320999999999991</v>
      </c>
      <c r="W351" s="22">
        <v>2.0567000000000002</v>
      </c>
      <c r="X351" s="23">
        <v>1.1476266666666668</v>
      </c>
      <c r="Y351" s="23">
        <f t="shared" si="101"/>
        <v>4.5844733333333325</v>
      </c>
      <c r="Z351" s="23">
        <f t="shared" si="102"/>
        <v>0.9090733333333334</v>
      </c>
      <c r="AA351" s="22">
        <f t="shared" si="103"/>
        <v>80.17060483865103</v>
      </c>
      <c r="AB351" s="22">
        <f t="shared" si="104"/>
        <v>19.82939516134897</v>
      </c>
      <c r="AC351" s="22">
        <f t="shared" si="105"/>
        <v>1.0986654284790636</v>
      </c>
      <c r="AD351" s="22">
        <f t="shared" si="106"/>
        <v>0.21785870931424128</v>
      </c>
      <c r="AE351" s="24">
        <v>4.9707999999999997</v>
      </c>
      <c r="AF351" s="24">
        <v>5.2930000000000001</v>
      </c>
      <c r="AG351" s="24">
        <v>5.0335999999999999</v>
      </c>
      <c r="AH351" s="25">
        <f>AG351-AE351</f>
        <v>6.2800000000000189E-2</v>
      </c>
      <c r="AI351" s="25">
        <v>80.509000620732436</v>
      </c>
      <c r="AJ351" s="26">
        <v>4.0254500310366224</v>
      </c>
      <c r="AK351" s="25">
        <v>40.254500310366218</v>
      </c>
      <c r="AL351" s="26">
        <v>4.0264560040279518</v>
      </c>
      <c r="AM351" s="17">
        <f t="shared" si="107"/>
        <v>0.5780346820809249</v>
      </c>
      <c r="AN351" s="17"/>
      <c r="AO351" s="27"/>
      <c r="AP351" s="17"/>
      <c r="AQ351" s="17"/>
      <c r="AR351" s="17"/>
      <c r="AS351" s="17"/>
      <c r="AT351" s="17"/>
      <c r="AU351" s="17"/>
      <c r="AV351" s="17"/>
      <c r="AW351" s="17"/>
      <c r="AX351" s="17"/>
      <c r="BB351" s="17"/>
    </row>
    <row r="352" spans="1:66" s="27" customFormat="1" x14ac:dyDescent="0.2">
      <c r="A352" s="17" t="s">
        <v>41</v>
      </c>
      <c r="B352" s="18" t="s">
        <v>42</v>
      </c>
      <c r="C352" s="18" t="str">
        <f t="shared" si="99"/>
        <v>BI10.9</v>
      </c>
      <c r="D352" s="18" t="str">
        <f t="shared" si="100"/>
        <v>BI10.9_351</v>
      </c>
      <c r="E352" s="17">
        <v>9</v>
      </c>
      <c r="F352" s="19">
        <v>351</v>
      </c>
      <c r="G352" s="20">
        <v>2.1</v>
      </c>
      <c r="H352" s="20">
        <v>2.2999999999999998</v>
      </c>
      <c r="I352" s="20">
        <v>1.05</v>
      </c>
      <c r="J352" s="20">
        <f t="shared" si="98"/>
        <v>3.9893700000000014</v>
      </c>
      <c r="K352" s="53">
        <v>0.2</v>
      </c>
      <c r="L352" s="20">
        <f t="shared" si="110"/>
        <v>23.149999999999864</v>
      </c>
      <c r="M352" s="20">
        <f t="shared" si="110"/>
        <v>24.199999999999875</v>
      </c>
      <c r="N352" s="20">
        <f t="shared" si="110"/>
        <v>23.674999999999841</v>
      </c>
      <c r="O352" s="20">
        <f>P351+$AO$338</f>
        <v>343.14999999999986</v>
      </c>
      <c r="P352" s="20">
        <f t="shared" si="97"/>
        <v>344.19999999999987</v>
      </c>
      <c r="Q352" s="20">
        <f t="shared" si="108"/>
        <v>343.67499999999984</v>
      </c>
      <c r="R352" s="20">
        <f t="shared" si="111"/>
        <v>343.14999999999986</v>
      </c>
      <c r="S352" s="20">
        <f t="shared" si="95"/>
        <v>344.19999999999987</v>
      </c>
      <c r="T352" s="20">
        <f t="shared" si="96"/>
        <v>343.67499999999984</v>
      </c>
      <c r="U352" s="20">
        <v>343.67499999999984</v>
      </c>
      <c r="V352" s="22">
        <v>6.2887999999999984</v>
      </c>
      <c r="W352" s="22">
        <v>2.1389</v>
      </c>
      <c r="X352" s="23">
        <v>1.1476266666666668</v>
      </c>
      <c r="Y352" s="23">
        <f t="shared" si="101"/>
        <v>5.1411733333333318</v>
      </c>
      <c r="Z352" s="23">
        <f t="shared" si="102"/>
        <v>0.99127333333333323</v>
      </c>
      <c r="AA352" s="22">
        <f t="shared" si="103"/>
        <v>80.718927974936989</v>
      </c>
      <c r="AB352" s="22">
        <f t="shared" si="104"/>
        <v>19.281072025063011</v>
      </c>
      <c r="AC352" s="22">
        <f t="shared" si="105"/>
        <v>1.2887181016885698</v>
      </c>
      <c r="AD352" s="22">
        <f t="shared" si="106"/>
        <v>0.2484786653865981</v>
      </c>
      <c r="AE352" s="24">
        <v>4.3692000000000002</v>
      </c>
      <c r="AF352" s="24">
        <v>4.7004999999999999</v>
      </c>
      <c r="AG352" s="24">
        <v>4.4333999999999998</v>
      </c>
      <c r="AH352" s="25">
        <f>AG352-AE352</f>
        <v>6.4199999999999591E-2</v>
      </c>
      <c r="AI352" s="25">
        <v>80.621792936915298</v>
      </c>
      <c r="AJ352" s="26">
        <v>4.0310896468457651</v>
      </c>
      <c r="AK352" s="25">
        <v>40.310896468457649</v>
      </c>
      <c r="AL352" s="26">
        <v>4.0320942128014714</v>
      </c>
      <c r="AM352" s="17">
        <f t="shared" si="107"/>
        <v>0.5780346820809249</v>
      </c>
      <c r="AN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</row>
    <row r="353" spans="1:66" s="27" customFormat="1" x14ac:dyDescent="0.2">
      <c r="A353" s="17" t="s">
        <v>41</v>
      </c>
      <c r="B353" s="18" t="s">
        <v>42</v>
      </c>
      <c r="C353" s="18" t="str">
        <f t="shared" si="99"/>
        <v>BI10.9</v>
      </c>
      <c r="D353" s="18" t="str">
        <f t="shared" si="100"/>
        <v>BI10.9_352</v>
      </c>
      <c r="E353" s="17">
        <v>9</v>
      </c>
      <c r="F353" s="19">
        <v>352</v>
      </c>
      <c r="G353" s="20">
        <v>2.2000000000000002</v>
      </c>
      <c r="H353" s="20">
        <v>2.4</v>
      </c>
      <c r="I353" s="20">
        <v>1.05</v>
      </c>
      <c r="J353" s="20">
        <f t="shared" si="98"/>
        <v>4.3602824999999994</v>
      </c>
      <c r="K353" s="53">
        <v>0.2</v>
      </c>
      <c r="L353" s="20">
        <f t="shared" si="110"/>
        <v>24.399999999999864</v>
      </c>
      <c r="M353" s="20">
        <f t="shared" si="110"/>
        <v>25.449999999999875</v>
      </c>
      <c r="N353" s="20">
        <f t="shared" si="110"/>
        <v>24.924999999999841</v>
      </c>
      <c r="O353" s="20">
        <f>P352+$AO$338</f>
        <v>344.39999999999986</v>
      </c>
      <c r="P353" s="20">
        <f t="shared" si="97"/>
        <v>345.44999999999987</v>
      </c>
      <c r="Q353" s="20">
        <f t="shared" si="108"/>
        <v>344.92499999999984</v>
      </c>
      <c r="R353" s="20">
        <f t="shared" si="111"/>
        <v>344.39999999999986</v>
      </c>
      <c r="S353" s="20">
        <f t="shared" si="95"/>
        <v>345.44999999999987</v>
      </c>
      <c r="T353" s="20">
        <f t="shared" si="96"/>
        <v>344.92499999999984</v>
      </c>
      <c r="U353" s="20">
        <v>344.92499999999984</v>
      </c>
      <c r="V353" s="22">
        <v>6.5122999999999998</v>
      </c>
      <c r="W353" s="22">
        <v>2.7673000000000001</v>
      </c>
      <c r="X353" s="23">
        <v>1.1476266666666668</v>
      </c>
      <c r="Y353" s="23">
        <f t="shared" si="101"/>
        <v>5.3646733333333332</v>
      </c>
      <c r="Z353" s="23">
        <f t="shared" si="102"/>
        <v>1.6196733333333333</v>
      </c>
      <c r="AA353" s="22">
        <f t="shared" si="103"/>
        <v>69.808537581039417</v>
      </c>
      <c r="AB353" s="22">
        <f t="shared" si="104"/>
        <v>30.191462418960583</v>
      </c>
      <c r="AC353" s="22">
        <f t="shared" si="105"/>
        <v>1.2303499448334676</v>
      </c>
      <c r="AD353" s="22">
        <f t="shared" si="106"/>
        <v>0.37146064121609862</v>
      </c>
      <c r="AE353" s="24">
        <v>4.8398000000000003</v>
      </c>
      <c r="AF353" s="24">
        <v>5.5651000000000002</v>
      </c>
      <c r="AG353" s="24">
        <v>5.1180000000000003</v>
      </c>
      <c r="AH353" s="25">
        <f>AG353-AE353</f>
        <v>0.2782</v>
      </c>
      <c r="AI353" s="25">
        <v>61.643457879498129</v>
      </c>
      <c r="AJ353" s="26">
        <v>3.0821728939749065</v>
      </c>
      <c r="AK353" s="25">
        <v>30.821728939749065</v>
      </c>
      <c r="AL353" s="26">
        <v>3.0834866220487562</v>
      </c>
      <c r="AM353" s="17">
        <f t="shared" si="107"/>
        <v>0.5780346820809249</v>
      </c>
      <c r="AN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</row>
    <row r="354" spans="1:66" s="27" customFormat="1" x14ac:dyDescent="0.2">
      <c r="A354" s="17" t="s">
        <v>41</v>
      </c>
      <c r="B354" s="18" t="s">
        <v>42</v>
      </c>
      <c r="C354" s="18" t="str">
        <f t="shared" si="99"/>
        <v>BI10.9</v>
      </c>
      <c r="D354" s="18" t="str">
        <f t="shared" si="100"/>
        <v>BI10.9_353</v>
      </c>
      <c r="E354" s="17">
        <v>9</v>
      </c>
      <c r="F354" s="19">
        <v>353</v>
      </c>
      <c r="G354" s="20">
        <v>2.4</v>
      </c>
      <c r="H354" s="20">
        <v>2.2999999999999998</v>
      </c>
      <c r="I354" s="20">
        <v>1.05</v>
      </c>
      <c r="J354" s="20">
        <f t="shared" si="98"/>
        <v>4.5519206249999993</v>
      </c>
      <c r="K354" s="53">
        <v>0.2</v>
      </c>
      <c r="L354" s="20">
        <f t="shared" si="110"/>
        <v>25.649999999999864</v>
      </c>
      <c r="M354" s="20">
        <f t="shared" si="110"/>
        <v>26.699999999999875</v>
      </c>
      <c r="N354" s="20">
        <f t="shared" si="110"/>
        <v>26.174999999999841</v>
      </c>
      <c r="O354" s="20">
        <f>P353+$AO$338</f>
        <v>345.64999999999986</v>
      </c>
      <c r="P354" s="20">
        <f t="shared" si="97"/>
        <v>346.69999999999987</v>
      </c>
      <c r="Q354" s="20">
        <f t="shared" si="108"/>
        <v>346.17499999999984</v>
      </c>
      <c r="R354" s="20">
        <f t="shared" si="111"/>
        <v>345.64999999999986</v>
      </c>
      <c r="S354" s="20">
        <f t="shared" si="95"/>
        <v>346.69999999999987</v>
      </c>
      <c r="T354" s="20">
        <f t="shared" si="96"/>
        <v>346.17499999999984</v>
      </c>
      <c r="U354" s="20">
        <v>346.17499999999984</v>
      </c>
      <c r="V354" s="22">
        <v>7.1383999999999972</v>
      </c>
      <c r="W354" s="22">
        <v>3.5945999999999998</v>
      </c>
      <c r="X354" s="23">
        <v>1.1476266666666668</v>
      </c>
      <c r="Y354" s="23">
        <f t="shared" si="101"/>
        <v>5.9907733333333306</v>
      </c>
      <c r="Z354" s="23">
        <f t="shared" si="102"/>
        <v>2.4469733333333332</v>
      </c>
      <c r="AA354" s="22">
        <f t="shared" si="103"/>
        <v>59.154299500565301</v>
      </c>
      <c r="AB354" s="22">
        <f t="shared" si="104"/>
        <v>40.845700499434699</v>
      </c>
      <c r="AC354" s="22">
        <f t="shared" si="105"/>
        <v>1.3160979346675958</v>
      </c>
      <c r="AD354" s="22">
        <f t="shared" si="106"/>
        <v>0.53756942067357194</v>
      </c>
      <c r="AE354" s="24">
        <v>5.0480999999999998</v>
      </c>
      <c r="AF354" s="24">
        <v>5.4446000000000003</v>
      </c>
      <c r="AG354" s="24">
        <v>5.1912000000000003</v>
      </c>
      <c r="AH354" s="25">
        <f>AG354-AE354</f>
        <v>0.14310000000000045</v>
      </c>
      <c r="AI354" s="25">
        <v>63.909205548549743</v>
      </c>
      <c r="AJ354" s="26">
        <v>3.1954602774274874</v>
      </c>
      <c r="AK354" s="25">
        <v>31.954602774274871</v>
      </c>
      <c r="AL354" s="26">
        <v>3.1967274492231823</v>
      </c>
      <c r="AM354" s="17">
        <f t="shared" si="107"/>
        <v>0.5780346820809249</v>
      </c>
      <c r="AN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</row>
    <row r="355" spans="1:66" s="27" customFormat="1" x14ac:dyDescent="0.2">
      <c r="A355" s="17" t="s">
        <v>41</v>
      </c>
      <c r="B355" s="18" t="s">
        <v>42</v>
      </c>
      <c r="C355" s="18" t="str">
        <f t="shared" si="99"/>
        <v>BI10.9</v>
      </c>
      <c r="D355" s="18" t="str">
        <f t="shared" si="100"/>
        <v>BI10.9_354</v>
      </c>
      <c r="E355" s="17">
        <v>9</v>
      </c>
      <c r="F355" s="19">
        <v>354</v>
      </c>
      <c r="G355" s="20">
        <v>2.1</v>
      </c>
      <c r="H355" s="20">
        <v>2.4500000000000002</v>
      </c>
      <c r="I355" s="20">
        <v>1.05</v>
      </c>
      <c r="J355" s="20">
        <f t="shared" si="98"/>
        <v>4.2660089062500015</v>
      </c>
      <c r="K355" s="53">
        <v>0.2</v>
      </c>
      <c r="L355" s="20">
        <f t="shared" si="110"/>
        <v>26.899999999999864</v>
      </c>
      <c r="M355" s="20">
        <f t="shared" si="110"/>
        <v>27.949999999999875</v>
      </c>
      <c r="N355" s="20">
        <f t="shared" si="110"/>
        <v>27.424999999999841</v>
      </c>
      <c r="O355" s="20">
        <f>P354+$AO$338</f>
        <v>346.89999999999986</v>
      </c>
      <c r="P355" s="20">
        <f t="shared" si="97"/>
        <v>347.94999999999987</v>
      </c>
      <c r="Q355" s="20">
        <f t="shared" si="108"/>
        <v>347.42499999999984</v>
      </c>
      <c r="R355" s="20">
        <f t="shared" si="111"/>
        <v>346.89999999999986</v>
      </c>
      <c r="S355" s="20">
        <f t="shared" si="95"/>
        <v>347.94999999999987</v>
      </c>
      <c r="T355" s="20">
        <f t="shared" si="96"/>
        <v>347.42499999999984</v>
      </c>
      <c r="U355" s="20">
        <v>347.42499999999984</v>
      </c>
      <c r="V355" s="22">
        <v>5.7949999999999982</v>
      </c>
      <c r="W355" s="22">
        <v>2.3054000000000001</v>
      </c>
      <c r="X355" s="23">
        <v>1.1476266666666668</v>
      </c>
      <c r="Y355" s="23">
        <f t="shared" si="101"/>
        <v>4.6473733333333316</v>
      </c>
      <c r="Z355" s="23">
        <f t="shared" si="102"/>
        <v>1.1577733333333333</v>
      </c>
      <c r="AA355" s="22">
        <f t="shared" si="103"/>
        <v>75.087576351372675</v>
      </c>
      <c r="AB355" s="22">
        <f t="shared" si="104"/>
        <v>24.912423648627325</v>
      </c>
      <c r="AC355" s="22">
        <f t="shared" si="105"/>
        <v>1.0893960691278926</v>
      </c>
      <c r="AD355" s="22">
        <f t="shared" si="106"/>
        <v>0.27139496395263368</v>
      </c>
      <c r="AE355" s="24">
        <v>4.8642000000000003</v>
      </c>
      <c r="AF355" s="24">
        <v>5.3513000000000002</v>
      </c>
      <c r="AG355" s="24">
        <v>5.0052000000000003</v>
      </c>
      <c r="AH355" s="25">
        <f>AG355-AE355</f>
        <v>0.14100000000000001</v>
      </c>
      <c r="AI355" s="25">
        <v>71.053171833299118</v>
      </c>
      <c r="AJ355" s="26">
        <v>3.5526585916649562</v>
      </c>
      <c r="AK355" s="25">
        <v>35.526585916649559</v>
      </c>
      <c r="AL355" s="26">
        <v>3.5537984001531138</v>
      </c>
      <c r="AM355" s="17">
        <f t="shared" si="107"/>
        <v>0.5780346820809249</v>
      </c>
      <c r="AN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</row>
    <row r="356" spans="1:66" s="27" customFormat="1" x14ac:dyDescent="0.2">
      <c r="A356" s="17" t="s">
        <v>41</v>
      </c>
      <c r="B356" s="18" t="s">
        <v>42</v>
      </c>
      <c r="C356" s="18" t="str">
        <f t="shared" si="99"/>
        <v>BI10.9</v>
      </c>
      <c r="D356" s="18" t="str">
        <f t="shared" si="100"/>
        <v>BI10.9_355</v>
      </c>
      <c r="E356" s="17">
        <v>9</v>
      </c>
      <c r="F356" s="19">
        <v>355</v>
      </c>
      <c r="G356" s="20">
        <v>2.15</v>
      </c>
      <c r="H356" s="20">
        <v>2.2999999999999998</v>
      </c>
      <c r="I356" s="20">
        <v>1</v>
      </c>
      <c r="J356" s="20">
        <f t="shared" si="98"/>
        <v>3.8862406249999992</v>
      </c>
      <c r="K356" s="53">
        <v>0.2</v>
      </c>
      <c r="L356" s="20">
        <f t="shared" si="110"/>
        <v>28.149999999999864</v>
      </c>
      <c r="M356" s="20">
        <f t="shared" si="110"/>
        <v>29.149999999999864</v>
      </c>
      <c r="N356" s="20">
        <f t="shared" si="110"/>
        <v>28.649999999999864</v>
      </c>
      <c r="O356" s="20">
        <f>P355+$AO$338</f>
        <v>348.14999999999986</v>
      </c>
      <c r="P356" s="20">
        <f t="shared" si="97"/>
        <v>349.14999999999986</v>
      </c>
      <c r="Q356" s="20">
        <f t="shared" si="108"/>
        <v>348.64999999999986</v>
      </c>
      <c r="R356" s="20">
        <f t="shared" si="111"/>
        <v>348.14999999999986</v>
      </c>
      <c r="S356" s="20">
        <f t="shared" si="95"/>
        <v>349.14999999999986</v>
      </c>
      <c r="T356" s="20">
        <f t="shared" si="96"/>
        <v>348.64999999999986</v>
      </c>
      <c r="U356" s="20">
        <v>348.64999999999986</v>
      </c>
      <c r="V356" s="22">
        <v>5.3190999999999988</v>
      </c>
      <c r="W356" s="22">
        <v>2.0804</v>
      </c>
      <c r="X356" s="23">
        <v>1.1476266666666668</v>
      </c>
      <c r="Y356" s="23">
        <f t="shared" si="101"/>
        <v>4.1714733333333323</v>
      </c>
      <c r="Z356" s="23">
        <f t="shared" si="102"/>
        <v>0.93277333333333323</v>
      </c>
      <c r="AA356" s="22">
        <f t="shared" si="103"/>
        <v>77.639235378067852</v>
      </c>
      <c r="AB356" s="22">
        <f t="shared" si="104"/>
        <v>22.360764621932148</v>
      </c>
      <c r="AC356" s="22">
        <f t="shared" si="105"/>
        <v>1.07339553461987</v>
      </c>
      <c r="AD356" s="22">
        <f t="shared" si="106"/>
        <v>0.2400194489586793</v>
      </c>
      <c r="AE356" s="24">
        <v>4.5731999999999999</v>
      </c>
      <c r="AF356" s="24">
        <v>5.0850999999999997</v>
      </c>
      <c r="AG356" s="24">
        <v>4.7408999999999999</v>
      </c>
      <c r="AH356" s="25">
        <f>AG356-AE356</f>
        <v>0.16769999999999996</v>
      </c>
      <c r="AI356" s="25">
        <v>67.239695252979089</v>
      </c>
      <c r="AJ356" s="26">
        <v>3.3619847626489547</v>
      </c>
      <c r="AK356" s="25">
        <v>33.619847626489545</v>
      </c>
      <c r="AL356" s="26">
        <v>3.3631891924605952</v>
      </c>
      <c r="AM356" s="17">
        <f t="shared" si="107"/>
        <v>0.5780346820809249</v>
      </c>
      <c r="AN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</row>
    <row r="357" spans="1:66" s="27" customFormat="1" x14ac:dyDescent="0.2">
      <c r="A357" s="17" t="s">
        <v>41</v>
      </c>
      <c r="B357" s="18" t="s">
        <v>42</v>
      </c>
      <c r="C357" s="18" t="str">
        <f t="shared" si="99"/>
        <v>BI10.9</v>
      </c>
      <c r="D357" s="18" t="str">
        <f t="shared" si="100"/>
        <v>BI10.9_356</v>
      </c>
      <c r="E357" s="17">
        <v>9</v>
      </c>
      <c r="F357" s="19">
        <v>356</v>
      </c>
      <c r="G357" s="20">
        <v>2.2999999999999998</v>
      </c>
      <c r="H357" s="20">
        <v>2.2999999999999998</v>
      </c>
      <c r="I357" s="20">
        <v>1.05</v>
      </c>
      <c r="J357" s="20">
        <f t="shared" si="98"/>
        <v>4.3602824999999994</v>
      </c>
      <c r="K357" s="53">
        <v>0.2</v>
      </c>
      <c r="L357" s="20">
        <f t="shared" si="110"/>
        <v>29.349999999999852</v>
      </c>
      <c r="M357" s="20">
        <f t="shared" si="110"/>
        <v>30.399999999999864</v>
      </c>
      <c r="N357" s="20">
        <f t="shared" si="110"/>
        <v>29.874999999999886</v>
      </c>
      <c r="O357" s="20">
        <f>P356+$AO$338</f>
        <v>349.34999999999985</v>
      </c>
      <c r="P357" s="20">
        <f t="shared" si="97"/>
        <v>350.39999999999986</v>
      </c>
      <c r="Q357" s="20">
        <f t="shared" si="108"/>
        <v>349.87499999999989</v>
      </c>
      <c r="R357" s="20">
        <f t="shared" si="111"/>
        <v>349.34999999999985</v>
      </c>
      <c r="S357" s="20">
        <f t="shared" si="95"/>
        <v>350.39999999999986</v>
      </c>
      <c r="T357" s="20">
        <f t="shared" si="96"/>
        <v>349.87499999999989</v>
      </c>
      <c r="U357" s="20">
        <v>349.87499999999989</v>
      </c>
      <c r="V357" s="22">
        <v>5.3607999999999976</v>
      </c>
      <c r="W357" s="22">
        <v>2.0409000000000002</v>
      </c>
      <c r="X357" s="23">
        <v>1.1476266666666668</v>
      </c>
      <c r="Y357" s="23">
        <f t="shared" si="101"/>
        <v>4.213173333333331</v>
      </c>
      <c r="Z357" s="23">
        <f t="shared" si="102"/>
        <v>0.89327333333333336</v>
      </c>
      <c r="AA357" s="22">
        <f t="shared" si="103"/>
        <v>78.798087269136801</v>
      </c>
      <c r="AB357" s="22">
        <f t="shared" si="104"/>
        <v>21.201912730863199</v>
      </c>
      <c r="AC357" s="22">
        <f t="shared" si="105"/>
        <v>0.9662615514782199</v>
      </c>
      <c r="AD357" s="22">
        <f t="shared" si="106"/>
        <v>0.20486593089629709</v>
      </c>
      <c r="AE357" s="24">
        <v>4.7183000000000002</v>
      </c>
      <c r="AF357" s="24">
        <v>5.1513</v>
      </c>
      <c r="AG357" s="24">
        <v>4.8305999999999996</v>
      </c>
      <c r="AH357" s="25">
        <f>AG357-AE357</f>
        <v>0.1122999999999994</v>
      </c>
      <c r="AI357" s="25">
        <v>74.064665127020916</v>
      </c>
      <c r="AJ357" s="26">
        <v>3.7032332563510462</v>
      </c>
      <c r="AK357" s="25">
        <v>37.032332563510458</v>
      </c>
      <c r="AL357" s="26">
        <v>3.7043267338268602</v>
      </c>
      <c r="AM357" s="17">
        <f t="shared" si="107"/>
        <v>0.5780346820809249</v>
      </c>
      <c r="AN357" s="17">
        <f>390-187</f>
        <v>203</v>
      </c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</row>
    <row r="358" spans="1:66" s="27" customFormat="1" x14ac:dyDescent="0.2">
      <c r="A358" s="17" t="s">
        <v>41</v>
      </c>
      <c r="B358" s="18" t="s">
        <v>42</v>
      </c>
      <c r="C358" s="18" t="str">
        <f t="shared" si="99"/>
        <v>BI10.9</v>
      </c>
      <c r="D358" s="18" t="str">
        <f t="shared" si="100"/>
        <v>BI10.9_357</v>
      </c>
      <c r="E358" s="17">
        <v>9</v>
      </c>
      <c r="F358" s="19">
        <v>357</v>
      </c>
      <c r="G358" s="20">
        <v>2.2000000000000002</v>
      </c>
      <c r="H358" s="20">
        <v>2.35</v>
      </c>
      <c r="I358" s="20">
        <v>1.1000000000000001</v>
      </c>
      <c r="J358" s="20">
        <f t="shared" si="98"/>
        <v>4.4691521875000015</v>
      </c>
      <c r="K358" s="53">
        <v>0.2</v>
      </c>
      <c r="L358" s="20">
        <f t="shared" si="110"/>
        <v>30.599999999999852</v>
      </c>
      <c r="M358" s="20">
        <f t="shared" si="110"/>
        <v>31.699999999999875</v>
      </c>
      <c r="N358" s="20">
        <f t="shared" si="110"/>
        <v>31.149999999999864</v>
      </c>
      <c r="O358" s="20">
        <f>P357+$AO$338</f>
        <v>350.59999999999985</v>
      </c>
      <c r="P358" s="20">
        <f t="shared" si="97"/>
        <v>351.69999999999987</v>
      </c>
      <c r="Q358" s="20">
        <f t="shared" si="108"/>
        <v>351.14999999999986</v>
      </c>
      <c r="R358" s="20">
        <f t="shared" si="111"/>
        <v>350.59999999999985</v>
      </c>
      <c r="S358" s="20">
        <f t="shared" si="95"/>
        <v>351.69999999999987</v>
      </c>
      <c r="T358" s="20">
        <f t="shared" si="96"/>
        <v>351.14999999999986</v>
      </c>
      <c r="U358" s="20">
        <v>351.14999999999986</v>
      </c>
      <c r="V358" s="22">
        <v>6.0991</v>
      </c>
      <c r="W358" s="22">
        <v>2.1764000000000001</v>
      </c>
      <c r="X358" s="23">
        <v>1.1476266666666668</v>
      </c>
      <c r="Y358" s="23">
        <f t="shared" si="101"/>
        <v>4.9514733333333334</v>
      </c>
      <c r="Z358" s="23">
        <f t="shared" si="102"/>
        <v>1.0287733333333333</v>
      </c>
      <c r="AA358" s="22">
        <f t="shared" si="103"/>
        <v>79.222884501717331</v>
      </c>
      <c r="AB358" s="22">
        <f t="shared" si="104"/>
        <v>20.777115498282669</v>
      </c>
      <c r="AC358" s="22">
        <f t="shared" si="105"/>
        <v>1.1079222916557552</v>
      </c>
      <c r="AD358" s="22">
        <f t="shared" si="106"/>
        <v>0.2301942941685364</v>
      </c>
      <c r="AE358" s="24">
        <v>5.2393999999999998</v>
      </c>
      <c r="AF358" s="24">
        <v>5.6361999999999997</v>
      </c>
      <c r="AG358" s="24">
        <v>5.3266999999999998</v>
      </c>
      <c r="AH358" s="25">
        <f>AG358-AE358</f>
        <v>8.7299999999999933E-2</v>
      </c>
      <c r="AI358" s="25">
        <v>77.998991935483872</v>
      </c>
      <c r="AJ358" s="26">
        <v>3.8999495967741939</v>
      </c>
      <c r="AK358" s="25">
        <v>38.999495967741936</v>
      </c>
      <c r="AL358" s="26">
        <v>3.900987933508536</v>
      </c>
      <c r="AM358" s="17">
        <f t="shared" si="107"/>
        <v>0.5780346820809249</v>
      </c>
      <c r="AN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</row>
    <row r="359" spans="1:66" s="27" customFormat="1" x14ac:dyDescent="0.2">
      <c r="A359" s="17" t="s">
        <v>41</v>
      </c>
      <c r="B359" s="18" t="s">
        <v>42</v>
      </c>
      <c r="C359" s="18" t="str">
        <f t="shared" si="99"/>
        <v>BI10.9</v>
      </c>
      <c r="D359" s="18" t="str">
        <f t="shared" si="100"/>
        <v>BI10.9_358</v>
      </c>
      <c r="E359" s="17">
        <v>9</v>
      </c>
      <c r="F359" s="19">
        <v>358</v>
      </c>
      <c r="G359" s="20">
        <v>2.0499999999999998</v>
      </c>
      <c r="H359" s="20">
        <v>2.2999999999999998</v>
      </c>
      <c r="I359" s="20">
        <v>1</v>
      </c>
      <c r="J359" s="20">
        <f t="shared" si="98"/>
        <v>3.7135406249999994</v>
      </c>
      <c r="K359" s="53">
        <v>0.2</v>
      </c>
      <c r="L359" s="20">
        <f t="shared" si="110"/>
        <v>31.899999999999864</v>
      </c>
      <c r="M359" s="20">
        <f t="shared" si="110"/>
        <v>32.899999999999864</v>
      </c>
      <c r="N359" s="20">
        <f t="shared" si="110"/>
        <v>32.399999999999864</v>
      </c>
      <c r="O359" s="20">
        <f>P358+$AO$338</f>
        <v>351.89999999999986</v>
      </c>
      <c r="P359" s="20">
        <f t="shared" si="97"/>
        <v>352.89999999999986</v>
      </c>
      <c r="Q359" s="20">
        <f t="shared" si="108"/>
        <v>352.39999999999986</v>
      </c>
      <c r="R359" s="20">
        <f t="shared" si="111"/>
        <v>351.89999999999986</v>
      </c>
      <c r="S359" s="20">
        <f t="shared" si="95"/>
        <v>352.89999999999986</v>
      </c>
      <c r="T359" s="20">
        <f t="shared" si="96"/>
        <v>352.39999999999986</v>
      </c>
      <c r="U359" s="20">
        <v>352.39999999999986</v>
      </c>
      <c r="V359" s="22">
        <v>5.4172999999999973</v>
      </c>
      <c r="W359" s="22">
        <v>2.0274000000000001</v>
      </c>
      <c r="X359" s="23">
        <v>1.1476266666666668</v>
      </c>
      <c r="Y359" s="23">
        <f t="shared" si="101"/>
        <v>4.2696733333333308</v>
      </c>
      <c r="Z359" s="23">
        <f t="shared" si="102"/>
        <v>0.8797733333333333</v>
      </c>
      <c r="AA359" s="22">
        <f t="shared" si="103"/>
        <v>79.394832703828996</v>
      </c>
      <c r="AB359" s="22">
        <f t="shared" si="104"/>
        <v>20.605167296171004</v>
      </c>
      <c r="AC359" s="22">
        <f t="shared" si="105"/>
        <v>1.1497580784735137</v>
      </c>
      <c r="AD359" s="22">
        <f t="shared" si="106"/>
        <v>0.23690957557070846</v>
      </c>
      <c r="AE359" s="24">
        <v>5.1174999999999997</v>
      </c>
      <c r="AF359" s="24">
        <v>5.4512</v>
      </c>
      <c r="AG359" s="24">
        <v>5.1875999999999998</v>
      </c>
      <c r="AH359" s="25">
        <f>AG359-AE359</f>
        <v>7.0100000000000051E-2</v>
      </c>
      <c r="AI359" s="25">
        <v>78.993107581660183</v>
      </c>
      <c r="AJ359" s="26">
        <v>3.9496553790830093</v>
      </c>
      <c r="AK359" s="25">
        <v>39.496553790830092</v>
      </c>
      <c r="AL359" s="26">
        <v>3.9506806519281397</v>
      </c>
      <c r="AM359" s="17">
        <f t="shared" si="107"/>
        <v>0.5780346820809249</v>
      </c>
      <c r="AN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</row>
    <row r="360" spans="1:66" s="27" customFormat="1" x14ac:dyDescent="0.2">
      <c r="A360" s="17" t="s">
        <v>41</v>
      </c>
      <c r="B360" s="18" t="s">
        <v>42</v>
      </c>
      <c r="C360" s="18" t="str">
        <f t="shared" si="99"/>
        <v>BI10.9</v>
      </c>
      <c r="D360" s="18" t="str">
        <f t="shared" si="100"/>
        <v>BI10.9_359</v>
      </c>
      <c r="E360" s="17">
        <v>9</v>
      </c>
      <c r="F360" s="19">
        <v>359</v>
      </c>
      <c r="G360" s="20">
        <v>2.2000000000000002</v>
      </c>
      <c r="H360" s="20">
        <v>2.4</v>
      </c>
      <c r="I360" s="20">
        <v>1.1000000000000001</v>
      </c>
      <c r="J360" s="20">
        <f t="shared" si="98"/>
        <v>4.5679150000000002</v>
      </c>
      <c r="K360" s="53">
        <v>0.2</v>
      </c>
      <c r="L360" s="20">
        <f t="shared" si="110"/>
        <v>33.099999999999852</v>
      </c>
      <c r="M360" s="20">
        <f t="shared" si="110"/>
        <v>34.199999999999875</v>
      </c>
      <c r="N360" s="20">
        <f t="shared" si="110"/>
        <v>33.649999999999864</v>
      </c>
      <c r="O360" s="20">
        <f>P359+$AO$338</f>
        <v>353.09999999999985</v>
      </c>
      <c r="P360" s="20">
        <f t="shared" si="97"/>
        <v>354.19999999999987</v>
      </c>
      <c r="Q360" s="20">
        <f t="shared" si="108"/>
        <v>353.64999999999986</v>
      </c>
      <c r="R360" s="20">
        <f t="shared" si="111"/>
        <v>353.09999999999985</v>
      </c>
      <c r="S360" s="20">
        <f t="shared" si="95"/>
        <v>354.19999999999987</v>
      </c>
      <c r="T360" s="20">
        <f t="shared" si="96"/>
        <v>353.64999999999986</v>
      </c>
      <c r="U360" s="20">
        <v>353.64999999999986</v>
      </c>
      <c r="V360" s="22">
        <v>6.0173999999999985</v>
      </c>
      <c r="W360" s="22">
        <v>2.1690999999999998</v>
      </c>
      <c r="X360" s="23">
        <v>1.1476266666666668</v>
      </c>
      <c r="Y360" s="23">
        <f t="shared" si="101"/>
        <v>4.869773333333332</v>
      </c>
      <c r="Z360" s="23">
        <f t="shared" si="102"/>
        <v>1.021473333333333</v>
      </c>
      <c r="AA360" s="22">
        <f t="shared" si="103"/>
        <v>79.024211941418216</v>
      </c>
      <c r="AB360" s="22">
        <f t="shared" si="104"/>
        <v>20.975788058581784</v>
      </c>
      <c r="AC360" s="22">
        <f t="shared" si="105"/>
        <v>1.066082300860093</v>
      </c>
      <c r="AD360" s="22">
        <f t="shared" si="106"/>
        <v>0.22361916395846529</v>
      </c>
      <c r="AE360" s="24">
        <v>4.9192999999999998</v>
      </c>
      <c r="AF360" s="24">
        <v>5.2122999999999999</v>
      </c>
      <c r="AG360" s="24">
        <v>4.9850000000000003</v>
      </c>
      <c r="AH360" s="25">
        <f>AG360-AE360</f>
        <v>6.5700000000000536E-2</v>
      </c>
      <c r="AI360" s="25">
        <v>77.576791808873551</v>
      </c>
      <c r="AJ360" s="26">
        <v>3.8788395904436777</v>
      </c>
      <c r="AK360" s="25">
        <v>38.788395904436776</v>
      </c>
      <c r="AL360" s="26">
        <v>3.8798835766544952</v>
      </c>
      <c r="AM360" s="17">
        <f t="shared" si="107"/>
        <v>0.5780346820809249</v>
      </c>
      <c r="AN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</row>
    <row r="361" spans="1:66" s="27" customFormat="1" x14ac:dyDescent="0.2">
      <c r="A361" s="17" t="s">
        <v>41</v>
      </c>
      <c r="B361" s="18" t="s">
        <v>42</v>
      </c>
      <c r="C361" s="18" t="str">
        <f t="shared" si="99"/>
        <v>BI10.9</v>
      </c>
      <c r="D361" s="18" t="str">
        <f t="shared" si="100"/>
        <v>BI10.9_360</v>
      </c>
      <c r="E361" s="17">
        <v>9</v>
      </c>
      <c r="F361" s="19">
        <v>360</v>
      </c>
      <c r="G361" s="20">
        <v>2.4500000000000002</v>
      </c>
      <c r="H361" s="20">
        <v>2.4</v>
      </c>
      <c r="I361" s="20">
        <v>1.1000000000000001</v>
      </c>
      <c r="J361" s="20">
        <f t="shared" si="98"/>
        <v>5.0779196874999997</v>
      </c>
      <c r="K361" s="53">
        <v>0.2</v>
      </c>
      <c r="L361" s="20">
        <f t="shared" si="110"/>
        <v>34.399999999999864</v>
      </c>
      <c r="M361" s="20">
        <f t="shared" si="110"/>
        <v>35.499999999999886</v>
      </c>
      <c r="N361" s="20">
        <f t="shared" si="110"/>
        <v>34.949999999999875</v>
      </c>
      <c r="O361" s="20">
        <f>P360+$AO$338</f>
        <v>354.39999999999986</v>
      </c>
      <c r="P361" s="20">
        <f t="shared" si="97"/>
        <v>355.49999999999989</v>
      </c>
      <c r="Q361" s="20">
        <f t="shared" si="108"/>
        <v>354.94999999999987</v>
      </c>
      <c r="R361" s="20">
        <f t="shared" si="111"/>
        <v>354.39999999999986</v>
      </c>
      <c r="S361" s="20">
        <f t="shared" si="95"/>
        <v>355.49999999999989</v>
      </c>
      <c r="T361" s="20">
        <f t="shared" si="96"/>
        <v>354.94999999999987</v>
      </c>
      <c r="U361" s="20">
        <v>354.94999999999987</v>
      </c>
      <c r="V361" s="22">
        <v>6.2317</v>
      </c>
      <c r="W361" s="22">
        <v>2.2042999999999999</v>
      </c>
      <c r="X361" s="23">
        <v>1.1476266666666668</v>
      </c>
      <c r="Y361" s="23">
        <f t="shared" si="101"/>
        <v>5.0840733333333334</v>
      </c>
      <c r="Z361" s="23">
        <f t="shared" si="102"/>
        <v>1.0566733333333331</v>
      </c>
      <c r="AA361" s="22">
        <f t="shared" si="103"/>
        <v>79.216009210462474</v>
      </c>
      <c r="AB361" s="22">
        <f t="shared" si="104"/>
        <v>20.783990789537526</v>
      </c>
      <c r="AC361" s="22">
        <f t="shared" si="105"/>
        <v>1.0012118438675748</v>
      </c>
      <c r="AD361" s="22">
        <f t="shared" si="106"/>
        <v>0.20809177741319548</v>
      </c>
      <c r="AE361" s="24">
        <v>5.0183</v>
      </c>
      <c r="AF361" s="24">
        <v>5.3186999999999998</v>
      </c>
      <c r="AG361" s="24">
        <v>5.0853000000000002</v>
      </c>
      <c r="AH361" s="25">
        <f>AG361-AE361</f>
        <v>6.7000000000000171E-2</v>
      </c>
      <c r="AI361" s="25">
        <v>77.696404793608451</v>
      </c>
      <c r="AJ361" s="26">
        <v>3.8848202396804226</v>
      </c>
      <c r="AK361" s="25">
        <v>38.848202396804226</v>
      </c>
      <c r="AL361" s="26">
        <v>3.8858626191144041</v>
      </c>
      <c r="AM361" s="17">
        <f t="shared" si="107"/>
        <v>0.5780346820809249</v>
      </c>
      <c r="AN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</row>
    <row r="362" spans="1:66" s="27" customFormat="1" x14ac:dyDescent="0.2">
      <c r="A362" s="17" t="s">
        <v>41</v>
      </c>
      <c r="B362" s="18" t="s">
        <v>42</v>
      </c>
      <c r="C362" s="18" t="str">
        <f t="shared" si="99"/>
        <v>BI10.9</v>
      </c>
      <c r="D362" s="18" t="str">
        <f t="shared" si="100"/>
        <v>BI10.9_361</v>
      </c>
      <c r="E362" s="17">
        <v>9</v>
      </c>
      <c r="F362" s="19">
        <v>361</v>
      </c>
      <c r="G362" s="20">
        <v>2.25</v>
      </c>
      <c r="H362" s="20">
        <v>2.4</v>
      </c>
      <c r="I362" s="20">
        <v>1</v>
      </c>
      <c r="J362" s="20">
        <f t="shared" si="98"/>
        <v>4.2434156250000008</v>
      </c>
      <c r="K362" s="53">
        <v>0.2</v>
      </c>
      <c r="L362" s="20">
        <f t="shared" si="110"/>
        <v>35.699999999999875</v>
      </c>
      <c r="M362" s="20">
        <f t="shared" si="110"/>
        <v>36.699999999999875</v>
      </c>
      <c r="N362" s="20">
        <f t="shared" si="110"/>
        <v>36.199999999999875</v>
      </c>
      <c r="O362" s="20">
        <f>P361+$AO$338</f>
        <v>355.69999999999987</v>
      </c>
      <c r="P362" s="20">
        <f t="shared" si="97"/>
        <v>356.69999999999987</v>
      </c>
      <c r="Q362" s="20">
        <f t="shared" si="108"/>
        <v>356.19999999999987</v>
      </c>
      <c r="R362" s="20">
        <f t="shared" si="111"/>
        <v>355.69999999999987</v>
      </c>
      <c r="S362" s="20">
        <f t="shared" si="95"/>
        <v>356.69999999999987</v>
      </c>
      <c r="T362" s="20">
        <f t="shared" si="96"/>
        <v>356.19999999999987</v>
      </c>
      <c r="U362" s="20">
        <v>356.19999999999987</v>
      </c>
      <c r="V362" s="22">
        <v>5.8463999999999992</v>
      </c>
      <c r="W362" s="22">
        <v>2.2980999999999998</v>
      </c>
      <c r="X362" s="23">
        <v>1.1476266666666668</v>
      </c>
      <c r="Y362" s="23">
        <f t="shared" si="101"/>
        <v>4.6987733333333326</v>
      </c>
      <c r="Z362" s="23">
        <f t="shared" si="102"/>
        <v>1.150473333333333</v>
      </c>
      <c r="AA362" s="22">
        <f t="shared" si="103"/>
        <v>75.515453678690605</v>
      </c>
      <c r="AB362" s="22">
        <f t="shared" si="104"/>
        <v>24.484546321309395</v>
      </c>
      <c r="AC362" s="22">
        <f t="shared" si="105"/>
        <v>1.1073092406151781</v>
      </c>
      <c r="AD362" s="22">
        <f t="shared" si="106"/>
        <v>0.27111964393856253</v>
      </c>
      <c r="AE362" s="24">
        <v>6.0130999999999997</v>
      </c>
      <c r="AF362" s="24">
        <v>6.4389000000000003</v>
      </c>
      <c r="AG362" s="24">
        <v>6.1165000000000003</v>
      </c>
      <c r="AH362" s="25">
        <f>AG362-AE362</f>
        <v>0.1034000000000006</v>
      </c>
      <c r="AI362" s="25">
        <v>75.716298731798858</v>
      </c>
      <c r="AJ362" s="26">
        <v>3.7858149365899432</v>
      </c>
      <c r="AK362" s="25">
        <v>37.858149365899429</v>
      </c>
      <c r="AL362" s="26">
        <v>3.7868845683632233</v>
      </c>
      <c r="AM362" s="17">
        <f t="shared" si="107"/>
        <v>0.5780346820809249</v>
      </c>
      <c r="AN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</row>
    <row r="363" spans="1:66" s="27" customFormat="1" x14ac:dyDescent="0.2">
      <c r="A363" s="17" t="s">
        <v>41</v>
      </c>
      <c r="B363" s="18" t="s">
        <v>42</v>
      </c>
      <c r="C363" s="18" t="str">
        <f t="shared" si="99"/>
        <v>BI10.9</v>
      </c>
      <c r="D363" s="18" t="str">
        <f t="shared" si="100"/>
        <v>BI10.9_362</v>
      </c>
      <c r="E363" s="17">
        <v>9</v>
      </c>
      <c r="F363" s="19">
        <v>362</v>
      </c>
      <c r="G363" s="20">
        <v>2.2999999999999998</v>
      </c>
      <c r="H363" s="20">
        <v>2.2999999999999998</v>
      </c>
      <c r="I363" s="20">
        <v>1.1000000000000001</v>
      </c>
      <c r="J363" s="20">
        <f t="shared" si="98"/>
        <v>4.5679150000000002</v>
      </c>
      <c r="K363" s="53">
        <v>0.2</v>
      </c>
      <c r="L363" s="20">
        <f t="shared" si="110"/>
        <v>36.899999999999864</v>
      </c>
      <c r="M363" s="20">
        <f t="shared" si="110"/>
        <v>37.999999999999886</v>
      </c>
      <c r="N363" s="20">
        <f t="shared" si="110"/>
        <v>37.449999999999875</v>
      </c>
      <c r="O363" s="20">
        <f>P362+$AO$338</f>
        <v>356.89999999999986</v>
      </c>
      <c r="P363" s="20">
        <f t="shared" si="97"/>
        <v>357.99999999999989</v>
      </c>
      <c r="Q363" s="20">
        <f t="shared" si="108"/>
        <v>357.44999999999987</v>
      </c>
      <c r="R363" s="20">
        <f t="shared" si="111"/>
        <v>356.89999999999986</v>
      </c>
      <c r="S363" s="20">
        <f t="shared" ref="S363:S426" si="112">R363+I363</f>
        <v>357.99999999999989</v>
      </c>
      <c r="T363" s="20">
        <f t="shared" ref="T363:T426" si="113">AVERAGE(R363:S363)</f>
        <v>357.44999999999987</v>
      </c>
      <c r="U363" s="20">
        <v>357.44999999999987</v>
      </c>
      <c r="V363" s="22">
        <v>5.9592999999999989</v>
      </c>
      <c r="W363" s="22">
        <v>2.2063000000000001</v>
      </c>
      <c r="X363" s="23">
        <v>1.1476266666666668</v>
      </c>
      <c r="Y363" s="23">
        <f t="shared" si="101"/>
        <v>4.8116733333333324</v>
      </c>
      <c r="Z363" s="23">
        <f t="shared" si="102"/>
        <v>1.0586733333333334</v>
      </c>
      <c r="AA363" s="22">
        <f t="shared" si="103"/>
        <v>77.997813650414059</v>
      </c>
      <c r="AB363" s="22">
        <f t="shared" si="104"/>
        <v>22.002186349585941</v>
      </c>
      <c r="AC363" s="22">
        <f t="shared" si="105"/>
        <v>1.0533631500002369</v>
      </c>
      <c r="AD363" s="22">
        <f t="shared" si="106"/>
        <v>0.23176292320092062</v>
      </c>
      <c r="AE363" s="24">
        <v>4.7832999999999997</v>
      </c>
      <c r="AF363" s="24">
        <v>5.1302000000000003</v>
      </c>
      <c r="AG363" s="24">
        <v>4.8871000000000002</v>
      </c>
      <c r="AH363" s="25">
        <f>AG363-AE363</f>
        <v>0.10380000000000056</v>
      </c>
      <c r="AI363" s="25">
        <v>70.07783222830777</v>
      </c>
      <c r="AJ363" s="26">
        <v>3.5038916114153889</v>
      </c>
      <c r="AK363" s="25">
        <v>35.038916114153885</v>
      </c>
      <c r="AL363" s="26">
        <v>3.5050472785038336</v>
      </c>
      <c r="AM363" s="17">
        <f t="shared" si="107"/>
        <v>0.5780346820809249</v>
      </c>
      <c r="AN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</row>
    <row r="364" spans="1:66" s="27" customFormat="1" x14ac:dyDescent="0.2">
      <c r="A364" s="17" t="s">
        <v>41</v>
      </c>
      <c r="B364" s="18" t="s">
        <v>42</v>
      </c>
      <c r="C364" s="18" t="str">
        <f t="shared" si="99"/>
        <v>BI10.9</v>
      </c>
      <c r="D364" s="18" t="str">
        <f t="shared" si="100"/>
        <v>BI10.9_363</v>
      </c>
      <c r="E364" s="17">
        <v>9</v>
      </c>
      <c r="F364" s="19">
        <v>363</v>
      </c>
      <c r="G364" s="20">
        <v>2.1</v>
      </c>
      <c r="H364" s="20">
        <v>2.25</v>
      </c>
      <c r="I364" s="20">
        <v>1.05</v>
      </c>
      <c r="J364" s="20">
        <f t="shared" si="98"/>
        <v>3.8992176562499994</v>
      </c>
      <c r="K364" s="53">
        <v>0.2</v>
      </c>
      <c r="L364" s="20">
        <f t="shared" si="110"/>
        <v>38.199999999999875</v>
      </c>
      <c r="M364" s="20">
        <f t="shared" si="110"/>
        <v>39.249999999999886</v>
      </c>
      <c r="N364" s="20">
        <f t="shared" si="110"/>
        <v>38.724999999999909</v>
      </c>
      <c r="O364" s="20">
        <f>P363+$AO$338</f>
        <v>358.19999999999987</v>
      </c>
      <c r="P364" s="20">
        <f t="shared" ref="P364:P427" si="114">O364+I364</f>
        <v>359.24999999999989</v>
      </c>
      <c r="Q364" s="20">
        <f t="shared" si="108"/>
        <v>358.72499999999991</v>
      </c>
      <c r="R364" s="20">
        <f t="shared" si="111"/>
        <v>358.19999999999987</v>
      </c>
      <c r="S364" s="20">
        <f t="shared" si="112"/>
        <v>359.24999999999989</v>
      </c>
      <c r="T364" s="20">
        <f t="shared" si="113"/>
        <v>358.72499999999991</v>
      </c>
      <c r="U364" s="20">
        <v>358.72499999999991</v>
      </c>
      <c r="V364" s="22">
        <v>5.8190999999999988</v>
      </c>
      <c r="W364" s="22">
        <v>2.1507000000000001</v>
      </c>
      <c r="X364" s="23">
        <v>1.1476266666666668</v>
      </c>
      <c r="Y364" s="23">
        <f t="shared" si="101"/>
        <v>4.6714733333333323</v>
      </c>
      <c r="Z364" s="23">
        <f t="shared" si="102"/>
        <v>1.0030733333333333</v>
      </c>
      <c r="AA364" s="22">
        <f t="shared" si="103"/>
        <v>78.527687910024099</v>
      </c>
      <c r="AB364" s="22">
        <f t="shared" si="104"/>
        <v>21.472312089975901</v>
      </c>
      <c r="AC364" s="22">
        <f t="shared" si="105"/>
        <v>1.1980540059992535</v>
      </c>
      <c r="AD364" s="22">
        <f t="shared" si="106"/>
        <v>0.25724989517461833</v>
      </c>
      <c r="AE364" s="24">
        <v>5.5643000000000002</v>
      </c>
      <c r="AF364" s="24">
        <v>5.9793000000000003</v>
      </c>
      <c r="AG364" s="24">
        <v>5.6623000000000001</v>
      </c>
      <c r="AH364" s="25">
        <f>AG364-AE364</f>
        <v>9.7999999999999865E-2</v>
      </c>
      <c r="AI364" s="25">
        <v>76.385542168674732</v>
      </c>
      <c r="AJ364" s="26">
        <v>3.8192771084337367</v>
      </c>
      <c r="AK364" s="25">
        <v>38.192771084337366</v>
      </c>
      <c r="AL364" s="26">
        <v>3.8203373713594937</v>
      </c>
      <c r="AM364" s="17">
        <f t="shared" si="107"/>
        <v>0.5780346820809249</v>
      </c>
      <c r="AN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</row>
    <row r="365" spans="1:66" s="27" customFormat="1" x14ac:dyDescent="0.2">
      <c r="A365" s="17" t="s">
        <v>41</v>
      </c>
      <c r="B365" s="18" t="s">
        <v>42</v>
      </c>
      <c r="C365" s="18" t="str">
        <f t="shared" si="99"/>
        <v>BI10.9</v>
      </c>
      <c r="D365" s="18" t="str">
        <f t="shared" si="100"/>
        <v>BI10.9_364</v>
      </c>
      <c r="E365" s="17">
        <v>9</v>
      </c>
      <c r="F365" s="19">
        <v>364</v>
      </c>
      <c r="G365" s="20">
        <v>2.0499999999999998</v>
      </c>
      <c r="H365" s="20">
        <v>2.25</v>
      </c>
      <c r="I365" s="20">
        <v>1</v>
      </c>
      <c r="J365" s="20">
        <f t="shared" si="98"/>
        <v>3.6286624999999999</v>
      </c>
      <c r="K365" s="53">
        <v>0.2</v>
      </c>
      <c r="L365" s="20">
        <f t="shared" si="110"/>
        <v>39.449999999999875</v>
      </c>
      <c r="M365" s="20">
        <f t="shared" si="110"/>
        <v>40.449999999999875</v>
      </c>
      <c r="N365" s="20">
        <f t="shared" si="110"/>
        <v>39.949999999999875</v>
      </c>
      <c r="O365" s="20">
        <f>P364+$AO$338</f>
        <v>359.44999999999987</v>
      </c>
      <c r="P365" s="20">
        <f t="shared" si="114"/>
        <v>360.44999999999987</v>
      </c>
      <c r="Q365" s="20">
        <f t="shared" si="108"/>
        <v>359.94999999999987</v>
      </c>
      <c r="R365" s="20">
        <f t="shared" si="111"/>
        <v>359.44999999999987</v>
      </c>
      <c r="S365" s="20">
        <f t="shared" si="112"/>
        <v>360.44999999999987</v>
      </c>
      <c r="T365" s="20">
        <f t="shared" si="113"/>
        <v>359.94999999999987</v>
      </c>
      <c r="U365" s="20">
        <v>359.94999999999987</v>
      </c>
      <c r="V365" s="22">
        <v>5.7932999999999986</v>
      </c>
      <c r="W365" s="22">
        <v>2.2524999999999999</v>
      </c>
      <c r="X365" s="23">
        <v>1.1476266666666668</v>
      </c>
      <c r="Y365" s="23">
        <f t="shared" si="101"/>
        <v>4.645673333333332</v>
      </c>
      <c r="Z365" s="23">
        <f t="shared" si="102"/>
        <v>1.1048733333333332</v>
      </c>
      <c r="AA365" s="22">
        <f t="shared" si="103"/>
        <v>76.217154025753004</v>
      </c>
      <c r="AB365" s="22">
        <f t="shared" si="104"/>
        <v>23.782845974246996</v>
      </c>
      <c r="AC365" s="22">
        <f t="shared" si="105"/>
        <v>1.2802715417411601</v>
      </c>
      <c r="AD365" s="22">
        <f t="shared" si="106"/>
        <v>0.30448500882441759</v>
      </c>
      <c r="AE365" s="24">
        <v>5.0149999999999997</v>
      </c>
      <c r="AF365" s="24">
        <v>5.3564999999999996</v>
      </c>
      <c r="AG365" s="24">
        <v>5.0877999999999997</v>
      </c>
      <c r="AH365" s="25">
        <f>AG365-AE365</f>
        <v>7.2799999999999976E-2</v>
      </c>
      <c r="AI365" s="25">
        <v>78.682284040995611</v>
      </c>
      <c r="AJ365" s="26">
        <v>3.9341142020497806</v>
      </c>
      <c r="AK365" s="25">
        <v>39.341142020497806</v>
      </c>
      <c r="AL365" s="26">
        <v>3.9351435240369295</v>
      </c>
      <c r="AM365" s="17">
        <f t="shared" si="107"/>
        <v>0.5780346820809249</v>
      </c>
      <c r="AN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</row>
    <row r="366" spans="1:66" s="27" customFormat="1" x14ac:dyDescent="0.2">
      <c r="A366" s="17" t="s">
        <v>41</v>
      </c>
      <c r="B366" s="18" t="s">
        <v>42</v>
      </c>
      <c r="C366" s="18" t="str">
        <f t="shared" si="99"/>
        <v>BI10.9</v>
      </c>
      <c r="D366" s="18" t="str">
        <f t="shared" si="100"/>
        <v>BI10.9_365</v>
      </c>
      <c r="E366" s="17">
        <v>9</v>
      </c>
      <c r="F366" s="19">
        <v>365</v>
      </c>
      <c r="G366" s="20">
        <v>2.1</v>
      </c>
      <c r="H366" s="20">
        <v>2.2000000000000002</v>
      </c>
      <c r="I366" s="20">
        <v>1</v>
      </c>
      <c r="J366" s="20">
        <f t="shared" si="98"/>
        <v>3.6286625000000012</v>
      </c>
      <c r="K366" s="53">
        <v>0.2</v>
      </c>
      <c r="L366" s="20">
        <f t="shared" si="110"/>
        <v>40.649999999999864</v>
      </c>
      <c r="M366" s="20">
        <f t="shared" si="110"/>
        <v>41.649999999999864</v>
      </c>
      <c r="N366" s="20">
        <f t="shared" si="110"/>
        <v>41.149999999999864</v>
      </c>
      <c r="O366" s="20">
        <f>P365+$AO$338</f>
        <v>360.64999999999986</v>
      </c>
      <c r="P366" s="20">
        <f t="shared" si="114"/>
        <v>361.64999999999986</v>
      </c>
      <c r="Q366" s="20">
        <f t="shared" si="108"/>
        <v>361.14999999999986</v>
      </c>
      <c r="R366" s="20">
        <f t="shared" si="111"/>
        <v>360.64999999999986</v>
      </c>
      <c r="S366" s="20">
        <f t="shared" si="112"/>
        <v>361.64999999999986</v>
      </c>
      <c r="T366" s="20">
        <f t="shared" si="113"/>
        <v>361.14999999999986</v>
      </c>
      <c r="U366" s="20">
        <v>361.14999999999986</v>
      </c>
      <c r="V366" s="22">
        <v>5.6771999999999991</v>
      </c>
      <c r="W366" s="22">
        <v>2.2606999999999999</v>
      </c>
      <c r="X366" s="23">
        <v>1.1476266666666668</v>
      </c>
      <c r="Y366" s="23">
        <f t="shared" si="101"/>
        <v>4.5295733333333326</v>
      </c>
      <c r="Z366" s="23">
        <f t="shared" si="102"/>
        <v>1.1130733333333331</v>
      </c>
      <c r="AA366" s="22">
        <f t="shared" si="103"/>
        <v>75.426530239787112</v>
      </c>
      <c r="AB366" s="22">
        <f t="shared" si="104"/>
        <v>24.573469760212888</v>
      </c>
      <c r="AC366" s="22">
        <f t="shared" si="105"/>
        <v>1.2482762817796726</v>
      </c>
      <c r="AD366" s="22">
        <f t="shared" si="106"/>
        <v>0.30674479462703758</v>
      </c>
      <c r="AE366" s="24">
        <v>5.5796999999999999</v>
      </c>
      <c r="AF366" s="24">
        <v>5.8994</v>
      </c>
      <c r="AG366" s="24">
        <v>5.6623000000000001</v>
      </c>
      <c r="AH366" s="25">
        <f>AG366-AE366</f>
        <v>8.2600000000000229E-2</v>
      </c>
      <c r="AI366" s="25">
        <v>74.163278073193553</v>
      </c>
      <c r="AJ366" s="26">
        <v>3.7081639036596776</v>
      </c>
      <c r="AK366" s="25">
        <v>37.081639036596776</v>
      </c>
      <c r="AL366" s="26">
        <v>3.7092559275958004</v>
      </c>
      <c r="AM366" s="17">
        <f t="shared" si="107"/>
        <v>0.5780346820809249</v>
      </c>
      <c r="AN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</row>
    <row r="367" spans="1:66" s="27" customFormat="1" x14ac:dyDescent="0.2">
      <c r="A367" s="17" t="s">
        <v>41</v>
      </c>
      <c r="B367" s="18" t="s">
        <v>42</v>
      </c>
      <c r="C367" s="18" t="str">
        <f t="shared" si="99"/>
        <v>BI10.9</v>
      </c>
      <c r="D367" s="18" t="str">
        <f t="shared" si="100"/>
        <v>BI10.9_366</v>
      </c>
      <c r="E367" s="17">
        <v>9</v>
      </c>
      <c r="F367" s="19">
        <v>366</v>
      </c>
      <c r="G367" s="20">
        <v>2.0499999999999998</v>
      </c>
      <c r="H367" s="20">
        <v>2.2999999999999998</v>
      </c>
      <c r="I367" s="20">
        <v>1.05</v>
      </c>
      <c r="J367" s="20">
        <f t="shared" si="98"/>
        <v>3.8992176562499994</v>
      </c>
      <c r="K367" s="53">
        <v>0.2</v>
      </c>
      <c r="L367" s="20">
        <f t="shared" si="110"/>
        <v>41.849999999999852</v>
      </c>
      <c r="M367" s="20">
        <f t="shared" si="110"/>
        <v>42.899999999999864</v>
      </c>
      <c r="N367" s="20">
        <f t="shared" si="110"/>
        <v>42.374999999999886</v>
      </c>
      <c r="O367" s="20">
        <f>P366+$AO$338</f>
        <v>361.84999999999985</v>
      </c>
      <c r="P367" s="20">
        <f t="shared" si="114"/>
        <v>362.89999999999986</v>
      </c>
      <c r="Q367" s="20">
        <f t="shared" si="108"/>
        <v>362.37499999999989</v>
      </c>
      <c r="R367" s="20">
        <f t="shared" si="111"/>
        <v>361.84999999999985</v>
      </c>
      <c r="S367" s="20">
        <f t="shared" si="112"/>
        <v>362.89999999999986</v>
      </c>
      <c r="T367" s="20">
        <f t="shared" si="113"/>
        <v>362.37499999999989</v>
      </c>
      <c r="U367" s="20">
        <v>362.37499999999989</v>
      </c>
      <c r="V367" s="22">
        <v>5.4854999999999983</v>
      </c>
      <c r="W367" s="22">
        <v>2.2054999999999998</v>
      </c>
      <c r="X367" s="23">
        <v>1.1476266666666668</v>
      </c>
      <c r="Y367" s="23">
        <f t="shared" si="101"/>
        <v>4.3378733333333317</v>
      </c>
      <c r="Z367" s="23">
        <f t="shared" si="102"/>
        <v>1.057873333333333</v>
      </c>
      <c r="AA367" s="22">
        <f t="shared" si="103"/>
        <v>75.613088441186989</v>
      </c>
      <c r="AB367" s="22">
        <f t="shared" si="104"/>
        <v>24.386911558813011</v>
      </c>
      <c r="AC367" s="22">
        <f t="shared" si="105"/>
        <v>1.1124983819203367</v>
      </c>
      <c r="AD367" s="22">
        <f t="shared" si="106"/>
        <v>0.27130399649213816</v>
      </c>
      <c r="AE367" s="24">
        <v>5.3773999999999997</v>
      </c>
      <c r="AF367" s="24">
        <v>5.8174000000000001</v>
      </c>
      <c r="AG367" s="24">
        <v>5.5025000000000004</v>
      </c>
      <c r="AH367" s="25">
        <f>AG367-AE367</f>
        <v>0.12510000000000066</v>
      </c>
      <c r="AI367" s="25">
        <v>71.568181818181699</v>
      </c>
      <c r="AJ367" s="26">
        <v>3.5784090909090853</v>
      </c>
      <c r="AK367" s="25">
        <v>35.78409090909085</v>
      </c>
      <c r="AL367" s="26">
        <v>3.5795406998525365</v>
      </c>
      <c r="AM367" s="17">
        <f t="shared" si="107"/>
        <v>0.5780346820809249</v>
      </c>
      <c r="AN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</row>
    <row r="368" spans="1:66" x14ac:dyDescent="0.2">
      <c r="A368" s="17" t="s">
        <v>41</v>
      </c>
      <c r="B368" s="18" t="s">
        <v>42</v>
      </c>
      <c r="C368" s="18" t="str">
        <f t="shared" si="99"/>
        <v>BI10.9</v>
      </c>
      <c r="D368" s="18" t="str">
        <f t="shared" si="100"/>
        <v>BI10.9_367</v>
      </c>
      <c r="E368" s="17">
        <v>9</v>
      </c>
      <c r="F368" s="19">
        <v>367</v>
      </c>
      <c r="G368" s="20">
        <v>2.25</v>
      </c>
      <c r="H368" s="20">
        <v>2.25</v>
      </c>
      <c r="I368" s="20">
        <v>1</v>
      </c>
      <c r="J368" s="20">
        <f t="shared" si="98"/>
        <v>3.9740625000000001</v>
      </c>
      <c r="K368" s="53">
        <v>0.2</v>
      </c>
      <c r="L368" s="20">
        <f t="shared" si="110"/>
        <v>43.099999999999852</v>
      </c>
      <c r="M368" s="20">
        <f t="shared" si="110"/>
        <v>44.099999999999852</v>
      </c>
      <c r="N368" s="20">
        <f t="shared" si="110"/>
        <v>43.599999999999852</v>
      </c>
      <c r="O368" s="20">
        <f>P367+$AO$338</f>
        <v>363.09999999999985</v>
      </c>
      <c r="P368" s="20">
        <f t="shared" si="114"/>
        <v>364.09999999999985</v>
      </c>
      <c r="Q368" s="20">
        <f t="shared" si="108"/>
        <v>363.59999999999985</v>
      </c>
      <c r="R368" s="20">
        <f t="shared" si="111"/>
        <v>363.09999999999985</v>
      </c>
      <c r="S368" s="20">
        <f t="shared" si="112"/>
        <v>364.09999999999985</v>
      </c>
      <c r="T368" s="20">
        <f t="shared" si="113"/>
        <v>363.59999999999985</v>
      </c>
      <c r="U368" s="20">
        <v>363.59999999999985</v>
      </c>
      <c r="V368" s="22">
        <v>5.867799999999999</v>
      </c>
      <c r="W368" s="22">
        <v>2.1476999999999999</v>
      </c>
      <c r="X368" s="23">
        <v>1.1476266666666668</v>
      </c>
      <c r="Y368" s="23">
        <f t="shared" si="101"/>
        <v>4.7201733333333324</v>
      </c>
      <c r="Z368" s="23">
        <f t="shared" si="102"/>
        <v>1.0000733333333331</v>
      </c>
      <c r="AA368" s="22">
        <f t="shared" si="103"/>
        <v>78.812783711332628</v>
      </c>
      <c r="AB368" s="22">
        <f t="shared" si="104"/>
        <v>21.187216288667372</v>
      </c>
      <c r="AC368" s="22">
        <f t="shared" si="105"/>
        <v>1.1877451180834051</v>
      </c>
      <c r="AD368" s="22">
        <f t="shared" si="106"/>
        <v>0.25165012712641865</v>
      </c>
      <c r="AE368" s="24">
        <v>6.101</v>
      </c>
      <c r="AF368" s="24">
        <v>6.3860000000000001</v>
      </c>
      <c r="AG368" s="24">
        <v>6.1680999999999999</v>
      </c>
      <c r="AH368" s="25">
        <f>AG368-AE368</f>
        <v>6.7099999999999937E-2</v>
      </c>
      <c r="AI368" s="25">
        <v>76.45614035087722</v>
      </c>
      <c r="AJ368" s="26">
        <v>3.8228070175438611</v>
      </c>
      <c r="AK368" s="25">
        <v>38.22807017543861</v>
      </c>
      <c r="AL368" s="26">
        <v>3.8238663017138284</v>
      </c>
      <c r="AM368" s="17">
        <f t="shared" si="107"/>
        <v>0.5780346820809249</v>
      </c>
      <c r="AN368" s="17"/>
      <c r="AO368" s="27"/>
      <c r="AP368" s="17"/>
      <c r="AQ368" s="17"/>
      <c r="AR368" s="17"/>
      <c r="AS368" s="17"/>
      <c r="AT368" s="17"/>
      <c r="AU368" s="17"/>
      <c r="AV368" s="17"/>
      <c r="AW368" s="17"/>
      <c r="AX368" s="17"/>
      <c r="BB368" s="17"/>
    </row>
    <row r="369" spans="1:54" x14ac:dyDescent="0.2">
      <c r="A369" s="17" t="s">
        <v>41</v>
      </c>
      <c r="B369" s="18" t="s">
        <v>42</v>
      </c>
      <c r="C369" s="18" t="str">
        <f t="shared" si="99"/>
        <v>BI10.9</v>
      </c>
      <c r="D369" s="18" t="str">
        <f t="shared" si="100"/>
        <v>BI10.9_368</v>
      </c>
      <c r="E369" s="17">
        <v>9</v>
      </c>
      <c r="F369" s="19">
        <v>368</v>
      </c>
      <c r="G369" s="20">
        <v>1.7</v>
      </c>
      <c r="H369" s="20">
        <v>2.25</v>
      </c>
      <c r="I369" s="20">
        <v>1</v>
      </c>
      <c r="J369" s="20">
        <f t="shared" si="98"/>
        <v>3.0619906250000004</v>
      </c>
      <c r="K369" s="53">
        <v>0.2</v>
      </c>
      <c r="L369" s="20">
        <f t="shared" si="110"/>
        <v>44.299999999999841</v>
      </c>
      <c r="M369" s="20">
        <f t="shared" si="110"/>
        <v>45.299999999999841</v>
      </c>
      <c r="N369" s="20">
        <f t="shared" si="110"/>
        <v>44.799999999999841</v>
      </c>
      <c r="O369" s="20">
        <f>P368+$AO$338</f>
        <v>364.29999999999984</v>
      </c>
      <c r="P369" s="20">
        <f t="shared" si="114"/>
        <v>365.29999999999984</v>
      </c>
      <c r="Q369" s="20">
        <f t="shared" si="108"/>
        <v>364.79999999999984</v>
      </c>
      <c r="R369" s="20">
        <f t="shared" si="111"/>
        <v>364.29999999999984</v>
      </c>
      <c r="S369" s="20">
        <f t="shared" si="112"/>
        <v>365.29999999999984</v>
      </c>
      <c r="T369" s="20">
        <f t="shared" si="113"/>
        <v>364.79999999999984</v>
      </c>
      <c r="U369" s="20">
        <v>364.79999999999984</v>
      </c>
      <c r="V369" s="22">
        <v>4.5581999999999994</v>
      </c>
      <c r="W369" s="22">
        <v>1.8125</v>
      </c>
      <c r="X369" s="23">
        <v>1.1476266666666668</v>
      </c>
      <c r="Y369" s="23">
        <f t="shared" si="101"/>
        <v>3.4105733333333328</v>
      </c>
      <c r="Z369" s="23">
        <f t="shared" si="102"/>
        <v>0.66487333333333321</v>
      </c>
      <c r="AA369" s="22">
        <f t="shared" si="103"/>
        <v>80.505525952625746</v>
      </c>
      <c r="AB369" s="22">
        <f t="shared" si="104"/>
        <v>19.494474047374254</v>
      </c>
      <c r="AC369" s="22">
        <f t="shared" si="105"/>
        <v>1.1138418600916953</v>
      </c>
      <c r="AD369" s="22">
        <f t="shared" si="106"/>
        <v>0.21713761234436604</v>
      </c>
      <c r="AE369" s="24">
        <v>5.5145</v>
      </c>
      <c r="AF369" s="24">
        <v>6.0296000000000003</v>
      </c>
      <c r="AG369" s="24">
        <v>5.6444999999999999</v>
      </c>
      <c r="AH369" s="25">
        <f>AG369-AE369</f>
        <v>0.12999999999999989</v>
      </c>
      <c r="AI369" s="25">
        <v>74.762182100563038</v>
      </c>
      <c r="AJ369" s="26">
        <v>3.7381091050281521</v>
      </c>
      <c r="AK369" s="25">
        <v>37.381091050281519</v>
      </c>
      <c r="AL369" s="26">
        <v>3.739192383536099</v>
      </c>
      <c r="AM369" s="17">
        <f t="shared" si="107"/>
        <v>0.5780346820809249</v>
      </c>
      <c r="AN369" s="17"/>
      <c r="AO369" s="27"/>
      <c r="AP369" s="17"/>
      <c r="AQ369" s="17"/>
      <c r="AR369" s="17"/>
      <c r="AS369" s="17"/>
      <c r="AT369" s="17"/>
      <c r="AU369" s="17"/>
      <c r="AV369" s="17"/>
      <c r="AW369" s="17"/>
      <c r="AX369" s="17"/>
      <c r="BB369" s="17"/>
    </row>
    <row r="370" spans="1:54" x14ac:dyDescent="0.2">
      <c r="A370" s="17" t="s">
        <v>41</v>
      </c>
      <c r="B370" s="18" t="s">
        <v>42</v>
      </c>
      <c r="C370" s="18" t="str">
        <f t="shared" si="99"/>
        <v>BI10.9</v>
      </c>
      <c r="D370" s="18" t="str">
        <f t="shared" si="100"/>
        <v>BI10.9_369</v>
      </c>
      <c r="E370" s="17">
        <v>9</v>
      </c>
      <c r="F370" s="19">
        <v>369</v>
      </c>
      <c r="G370" s="20">
        <v>2.4</v>
      </c>
      <c r="H370" s="20">
        <v>2.25</v>
      </c>
      <c r="I370" s="20">
        <v>1.05</v>
      </c>
      <c r="J370" s="20">
        <f t="shared" si="98"/>
        <v>4.455586406250001</v>
      </c>
      <c r="K370" s="53">
        <v>0.2</v>
      </c>
      <c r="L370" s="20">
        <f t="shared" si="110"/>
        <v>45.499999999999829</v>
      </c>
      <c r="M370" s="20">
        <f t="shared" si="110"/>
        <v>46.549999999999841</v>
      </c>
      <c r="N370" s="20">
        <f t="shared" si="110"/>
        <v>46.024999999999864</v>
      </c>
      <c r="O370" s="20">
        <f>P369+$AO$338</f>
        <v>365.49999999999983</v>
      </c>
      <c r="P370" s="20">
        <f t="shared" si="114"/>
        <v>366.54999999999984</v>
      </c>
      <c r="Q370" s="20">
        <f t="shared" si="108"/>
        <v>366.02499999999986</v>
      </c>
      <c r="R370" s="20">
        <f t="shared" si="111"/>
        <v>365.49999999999983</v>
      </c>
      <c r="S370" s="20">
        <f t="shared" si="112"/>
        <v>366.54999999999984</v>
      </c>
      <c r="T370" s="20">
        <f t="shared" si="113"/>
        <v>366.02499999999986</v>
      </c>
      <c r="U370" s="20">
        <v>366.02499999999986</v>
      </c>
      <c r="V370" s="22">
        <v>5.4604999999999997</v>
      </c>
      <c r="W370" s="22">
        <v>2.1084999999999998</v>
      </c>
      <c r="X370" s="23">
        <v>1.1476266666666668</v>
      </c>
      <c r="Y370" s="23">
        <f t="shared" si="101"/>
        <v>4.3128733333333331</v>
      </c>
      <c r="Z370" s="23">
        <f t="shared" si="102"/>
        <v>0.96087333333333302</v>
      </c>
      <c r="AA370" s="22">
        <f t="shared" si="103"/>
        <v>77.720807937786262</v>
      </c>
      <c r="AB370" s="22">
        <f t="shared" si="104"/>
        <v>22.279192062213738</v>
      </c>
      <c r="AC370" s="22">
        <f t="shared" si="105"/>
        <v>0.96796985628727128</v>
      </c>
      <c r="AD370" s="22">
        <f t="shared" si="106"/>
        <v>0.21565586338657547</v>
      </c>
      <c r="AE370" s="24">
        <v>5.5842999999999998</v>
      </c>
      <c r="AF370" s="24">
        <v>5.7834000000000003</v>
      </c>
      <c r="AG370" s="24">
        <v>5.6280999999999999</v>
      </c>
      <c r="AH370" s="25">
        <f>AG370-AE370</f>
        <v>4.3800000000000061E-2</v>
      </c>
      <c r="AI370" s="25">
        <v>78.001004520341567</v>
      </c>
      <c r="AJ370" s="26">
        <v>3.9000502260170786</v>
      </c>
      <c r="AK370" s="25">
        <v>39.000502260170784</v>
      </c>
      <c r="AL370" s="26">
        <v>3.9010885359673479</v>
      </c>
      <c r="AM370" s="17">
        <f t="shared" si="107"/>
        <v>0.5780346820809249</v>
      </c>
      <c r="AN370" s="17"/>
      <c r="AO370" s="27"/>
      <c r="AP370" s="17"/>
      <c r="AQ370" s="17"/>
      <c r="AR370" s="17"/>
      <c r="AS370" s="17"/>
      <c r="AT370" s="17"/>
      <c r="AU370" s="17"/>
      <c r="AV370" s="17"/>
      <c r="AW370" s="17"/>
      <c r="AX370" s="17"/>
      <c r="BB370" s="17"/>
    </row>
    <row r="371" spans="1:54" x14ac:dyDescent="0.2">
      <c r="A371" s="17" t="s">
        <v>41</v>
      </c>
      <c r="B371" s="18" t="s">
        <v>42</v>
      </c>
      <c r="C371" s="18" t="str">
        <f t="shared" si="99"/>
        <v>BI10.9</v>
      </c>
      <c r="D371" s="18" t="str">
        <f t="shared" si="100"/>
        <v>BI10.9_370</v>
      </c>
      <c r="E371" s="17">
        <v>9</v>
      </c>
      <c r="F371" s="19">
        <v>370</v>
      </c>
      <c r="G371" s="20">
        <v>2</v>
      </c>
      <c r="H371" s="20">
        <v>2.2000000000000002</v>
      </c>
      <c r="I371" s="20">
        <v>1</v>
      </c>
      <c r="J371" s="20">
        <f t="shared" si="98"/>
        <v>3.4618500000000001</v>
      </c>
      <c r="K371" s="53">
        <v>0.2</v>
      </c>
      <c r="L371" s="20">
        <f t="shared" si="110"/>
        <v>46.749999999999829</v>
      </c>
      <c r="M371" s="20">
        <f t="shared" si="110"/>
        <v>47.749999999999829</v>
      </c>
      <c r="N371" s="20">
        <f t="shared" si="110"/>
        <v>47.249999999999829</v>
      </c>
      <c r="O371" s="20">
        <f>P370+$AO$338</f>
        <v>366.74999999999983</v>
      </c>
      <c r="P371" s="20">
        <f t="shared" si="114"/>
        <v>367.74999999999983</v>
      </c>
      <c r="Q371" s="20">
        <f t="shared" si="108"/>
        <v>367.24999999999983</v>
      </c>
      <c r="R371" s="20">
        <f t="shared" si="111"/>
        <v>366.74999999999983</v>
      </c>
      <c r="S371" s="20">
        <f t="shared" si="112"/>
        <v>367.74999999999983</v>
      </c>
      <c r="T371" s="20">
        <f t="shared" si="113"/>
        <v>367.24999999999983</v>
      </c>
      <c r="U371" s="20">
        <v>367.24999999999983</v>
      </c>
      <c r="V371" s="22">
        <v>5.0829999999999984</v>
      </c>
      <c r="W371" s="22">
        <v>2.0722</v>
      </c>
      <c r="X371" s="23">
        <v>1.1476266666666668</v>
      </c>
      <c r="Y371" s="23">
        <f t="shared" si="101"/>
        <v>3.9353733333333318</v>
      </c>
      <c r="Z371" s="23">
        <f t="shared" si="102"/>
        <v>0.92457333333333325</v>
      </c>
      <c r="AA371" s="22">
        <f t="shared" si="103"/>
        <v>76.506083285617962</v>
      </c>
      <c r="AB371" s="22">
        <f t="shared" si="104"/>
        <v>23.493916714382038</v>
      </c>
      <c r="AC371" s="22">
        <f t="shared" si="105"/>
        <v>1.1367833191309074</v>
      </c>
      <c r="AD371" s="22">
        <f t="shared" si="106"/>
        <v>0.26707492621960316</v>
      </c>
      <c r="AE371" s="24">
        <v>5.3647</v>
      </c>
      <c r="AF371" s="24">
        <v>5.6666999999999996</v>
      </c>
      <c r="AG371" s="24">
        <v>5.4344000000000001</v>
      </c>
      <c r="AH371" s="25">
        <f>AG371-AE371</f>
        <v>6.9700000000000095E-2</v>
      </c>
      <c r="AI371" s="25">
        <v>76.920529801324449</v>
      </c>
      <c r="AJ371" s="26">
        <v>3.8460264900662224</v>
      </c>
      <c r="AK371" s="25">
        <v>38.460264900662224</v>
      </c>
      <c r="AL371" s="26">
        <v>3.8470793808148938</v>
      </c>
      <c r="AM371" s="17">
        <f t="shared" si="107"/>
        <v>0.5780346820809249</v>
      </c>
      <c r="AN371" s="17"/>
      <c r="AO371" s="27"/>
      <c r="AP371" s="17"/>
      <c r="AQ371" s="17"/>
      <c r="AR371" s="17"/>
      <c r="AS371" s="17"/>
      <c r="AT371" s="17"/>
      <c r="AU371" s="17"/>
      <c r="AV371" s="17"/>
      <c r="AW371" s="17"/>
      <c r="AX371" s="17"/>
      <c r="BB371" s="17"/>
    </row>
    <row r="372" spans="1:54" x14ac:dyDescent="0.2">
      <c r="A372" s="17" t="s">
        <v>41</v>
      </c>
      <c r="B372" s="18" t="s">
        <v>42</v>
      </c>
      <c r="C372" s="18" t="str">
        <f t="shared" si="99"/>
        <v>BI10.9</v>
      </c>
      <c r="D372" s="18" t="str">
        <f t="shared" si="100"/>
        <v>BI10.9_371</v>
      </c>
      <c r="E372" s="17">
        <v>9</v>
      </c>
      <c r="F372" s="19">
        <v>371</v>
      </c>
      <c r="G372" s="20">
        <v>2</v>
      </c>
      <c r="H372" s="20">
        <v>2.1</v>
      </c>
      <c r="I372" s="20">
        <v>0.95</v>
      </c>
      <c r="J372" s="20">
        <f t="shared" si="98"/>
        <v>3.1340143749999991</v>
      </c>
      <c r="K372" s="53">
        <v>0.2</v>
      </c>
      <c r="L372" s="20">
        <f t="shared" si="110"/>
        <v>47.949999999999818</v>
      </c>
      <c r="M372" s="20">
        <f t="shared" si="110"/>
        <v>48.899999999999807</v>
      </c>
      <c r="N372" s="20">
        <f t="shared" si="110"/>
        <v>48.424999999999841</v>
      </c>
      <c r="O372" s="20">
        <f>P371+$AO$338</f>
        <v>367.94999999999982</v>
      </c>
      <c r="P372" s="20">
        <f t="shared" si="114"/>
        <v>368.89999999999981</v>
      </c>
      <c r="Q372" s="20">
        <f t="shared" si="108"/>
        <v>368.42499999999984</v>
      </c>
      <c r="R372" s="20">
        <f t="shared" si="111"/>
        <v>367.94999999999982</v>
      </c>
      <c r="S372" s="20">
        <f t="shared" si="112"/>
        <v>368.89999999999981</v>
      </c>
      <c r="T372" s="20">
        <f t="shared" si="113"/>
        <v>368.42499999999984</v>
      </c>
      <c r="U372" s="20">
        <v>368.42499999999984</v>
      </c>
      <c r="V372" s="22">
        <v>4.4317999999999991</v>
      </c>
      <c r="W372" s="22">
        <v>1.9233</v>
      </c>
      <c r="X372" s="23">
        <v>1.1476266666666668</v>
      </c>
      <c r="Y372" s="23">
        <f t="shared" si="101"/>
        <v>3.2841733333333325</v>
      </c>
      <c r="Z372" s="23">
        <f t="shared" si="102"/>
        <v>0.77567333333333321</v>
      </c>
      <c r="AA372" s="22">
        <f t="shared" si="103"/>
        <v>76.381473978230957</v>
      </c>
      <c r="AB372" s="22">
        <f t="shared" si="104"/>
        <v>23.618526021769043</v>
      </c>
      <c r="AC372" s="22">
        <f t="shared" si="105"/>
        <v>1.0479126578139366</v>
      </c>
      <c r="AD372" s="22">
        <f t="shared" si="106"/>
        <v>0.2475015237711963</v>
      </c>
      <c r="AE372" s="24">
        <v>5.0392999999999999</v>
      </c>
      <c r="AF372" s="24">
        <v>5.4055</v>
      </c>
      <c r="AG372" s="24">
        <v>5.1376999999999997</v>
      </c>
      <c r="AH372" s="25">
        <f>AG372-AE372</f>
        <v>9.8399999999999821E-2</v>
      </c>
      <c r="AI372" s="25">
        <v>73.129437465865692</v>
      </c>
      <c r="AJ372" s="26">
        <v>3.6564718732932846</v>
      </c>
      <c r="AK372" s="25">
        <v>36.564718732932846</v>
      </c>
      <c r="AL372" s="26">
        <v>3.657579330675536</v>
      </c>
      <c r="AM372" s="17">
        <f t="shared" si="107"/>
        <v>0.5780346820809249</v>
      </c>
      <c r="AN372" s="17"/>
      <c r="AO372" s="27"/>
      <c r="AP372" s="17"/>
      <c r="AQ372" s="17"/>
      <c r="AR372" s="17"/>
      <c r="AS372" s="17"/>
      <c r="AT372" s="17"/>
      <c r="AU372" s="17"/>
      <c r="AV372" s="17"/>
      <c r="AW372" s="17"/>
      <c r="AX372" s="17"/>
      <c r="BB372" s="17"/>
    </row>
    <row r="373" spans="1:54" x14ac:dyDescent="0.2">
      <c r="A373" s="17" t="s">
        <v>41</v>
      </c>
      <c r="B373" s="18" t="s">
        <v>42</v>
      </c>
      <c r="C373" s="18" t="str">
        <f t="shared" si="99"/>
        <v>BI10.9</v>
      </c>
      <c r="D373" s="18" t="str">
        <f t="shared" si="100"/>
        <v>BI10.9_372</v>
      </c>
      <c r="E373" s="17">
        <v>9</v>
      </c>
      <c r="F373" s="19">
        <v>372</v>
      </c>
      <c r="G373" s="20">
        <v>1.9</v>
      </c>
      <c r="H373" s="20">
        <v>2.1</v>
      </c>
      <c r="I373" s="20">
        <v>1.9</v>
      </c>
      <c r="J373" s="20">
        <f t="shared" si="98"/>
        <v>5.9660000000000002</v>
      </c>
      <c r="K373" s="53">
        <v>0.2</v>
      </c>
      <c r="L373" s="20">
        <f t="shared" si="110"/>
        <v>49.099999999999795</v>
      </c>
      <c r="M373" s="20">
        <f t="shared" si="110"/>
        <v>50.999999999999773</v>
      </c>
      <c r="N373" s="20">
        <f t="shared" si="110"/>
        <v>50.049999999999784</v>
      </c>
      <c r="O373" s="20">
        <f>P372+$AO$338</f>
        <v>369.0999999999998</v>
      </c>
      <c r="P373" s="20">
        <f t="shared" si="114"/>
        <v>370.99999999999977</v>
      </c>
      <c r="Q373" s="20">
        <f t="shared" si="108"/>
        <v>370.04999999999978</v>
      </c>
      <c r="R373" s="20">
        <f t="shared" si="111"/>
        <v>369.0999999999998</v>
      </c>
      <c r="S373" s="20">
        <f t="shared" si="112"/>
        <v>370.99999999999977</v>
      </c>
      <c r="T373" s="20">
        <f t="shared" si="113"/>
        <v>370.04999999999978</v>
      </c>
      <c r="U373" s="20">
        <v>370.04999999999978</v>
      </c>
      <c r="V373" s="22">
        <v>7.0067999999999984</v>
      </c>
      <c r="W373" s="22">
        <v>2.4468000000000001</v>
      </c>
      <c r="X373" s="23">
        <v>1.1476266666666668</v>
      </c>
      <c r="Y373" s="23">
        <f t="shared" si="101"/>
        <v>5.8591733333333318</v>
      </c>
      <c r="Z373" s="23">
        <f t="shared" si="102"/>
        <v>1.2991733333333333</v>
      </c>
      <c r="AA373" s="22">
        <f t="shared" si="103"/>
        <v>77.826678621329975</v>
      </c>
      <c r="AB373" s="22">
        <f t="shared" si="104"/>
        <v>22.173321378670025</v>
      </c>
      <c r="AC373" s="22">
        <f t="shared" si="105"/>
        <v>0.98209408872499693</v>
      </c>
      <c r="AD373" s="22">
        <f t="shared" si="106"/>
        <v>0.21776287853391438</v>
      </c>
      <c r="AE373" s="24">
        <v>5.4260000000000002</v>
      </c>
      <c r="AF373" s="24">
        <v>5.9592000000000001</v>
      </c>
      <c r="AG373" s="24">
        <v>5.5602</v>
      </c>
      <c r="AH373" s="25">
        <f>AG373-AE373</f>
        <v>0.13419999999999987</v>
      </c>
      <c r="AI373" s="25">
        <v>74.831207801950512</v>
      </c>
      <c r="AJ373" s="26">
        <v>3.7415603900975256</v>
      </c>
      <c r="AK373" s="25">
        <v>37.415603900975256</v>
      </c>
      <c r="AL373" s="26">
        <v>3.7426426696582658</v>
      </c>
      <c r="AM373" s="17">
        <f t="shared" si="107"/>
        <v>0.5780346820809249</v>
      </c>
      <c r="AN373" s="17"/>
      <c r="AO373" s="27"/>
      <c r="AP373" s="17"/>
      <c r="AQ373" s="17"/>
      <c r="AR373" s="17"/>
      <c r="AS373" s="17"/>
      <c r="AT373" s="17"/>
      <c r="AU373" s="17"/>
      <c r="AV373" s="17"/>
      <c r="AW373" s="17"/>
      <c r="AX373" s="17"/>
      <c r="BB373" s="17"/>
    </row>
    <row r="374" spans="1:54" x14ac:dyDescent="0.2">
      <c r="A374" s="17" t="s">
        <v>41</v>
      </c>
      <c r="B374" s="18" t="s">
        <v>42</v>
      </c>
      <c r="C374" s="18" t="str">
        <f t="shared" si="99"/>
        <v>BI10.10</v>
      </c>
      <c r="D374" s="18" t="str">
        <f t="shared" si="100"/>
        <v>BI10.10_373</v>
      </c>
      <c r="E374" s="17">
        <v>10</v>
      </c>
      <c r="F374" s="19">
        <v>373</v>
      </c>
      <c r="G374" s="20">
        <v>2</v>
      </c>
      <c r="H374" s="20">
        <v>2.1</v>
      </c>
      <c r="I374" s="20">
        <v>1</v>
      </c>
      <c r="J374" s="20">
        <f t="shared" si="98"/>
        <v>3.2989624999999996</v>
      </c>
      <c r="K374" s="53">
        <v>0.18999999999999986</v>
      </c>
      <c r="L374" s="20">
        <f>O374-360</f>
        <v>0</v>
      </c>
      <c r="M374" s="20">
        <f t="shared" ref="M374:N389" si="115">P374-360</f>
        <v>1</v>
      </c>
      <c r="N374" s="20">
        <f t="shared" si="115"/>
        <v>0.5</v>
      </c>
      <c r="O374" s="20">
        <v>360</v>
      </c>
      <c r="P374" s="20">
        <f t="shared" si="114"/>
        <v>361</v>
      </c>
      <c r="Q374" s="20">
        <f t="shared" si="108"/>
        <v>360.5</v>
      </c>
      <c r="R374" s="20">
        <f>O374-1</f>
        <v>359</v>
      </c>
      <c r="S374" s="20">
        <f t="shared" si="112"/>
        <v>360</v>
      </c>
      <c r="T374" s="20">
        <f t="shared" si="113"/>
        <v>359.5</v>
      </c>
      <c r="U374" s="20">
        <v>359.5</v>
      </c>
      <c r="V374" s="22">
        <v>4.1605999999999996</v>
      </c>
      <c r="W374" s="22">
        <v>1.7576000000000001</v>
      </c>
      <c r="X374" s="23">
        <v>1.1476266666666668</v>
      </c>
      <c r="Y374" s="23">
        <f t="shared" si="101"/>
        <v>3.0129733333333331</v>
      </c>
      <c r="Z374" s="23">
        <f t="shared" si="102"/>
        <v>0.60997333333333326</v>
      </c>
      <c r="AA374" s="22">
        <f t="shared" si="103"/>
        <v>79.755103485814672</v>
      </c>
      <c r="AB374" s="22">
        <f t="shared" si="104"/>
        <v>20.244896514185328</v>
      </c>
      <c r="AC374" s="22">
        <f t="shared" si="105"/>
        <v>0.91330936115015959</v>
      </c>
      <c r="AD374" s="22">
        <f t="shared" si="106"/>
        <v>0.18489853501921691</v>
      </c>
      <c r="AE374" s="24">
        <v>5.4169</v>
      </c>
      <c r="AF374" s="24">
        <v>5.9008000000000003</v>
      </c>
      <c r="AG374" s="24">
        <v>5.5517000000000003</v>
      </c>
      <c r="AH374" s="25">
        <f>AG374-AE374</f>
        <v>0.13480000000000025</v>
      </c>
      <c r="AI374" s="25">
        <v>72.143004753048118</v>
      </c>
      <c r="AJ374" s="26">
        <v>3.6071502376524061</v>
      </c>
      <c r="AK374" s="25">
        <v>36.071502376524059</v>
      </c>
      <c r="AL374" s="26">
        <v>3.6082728329487241</v>
      </c>
      <c r="AM374" s="17">
        <f t="shared" si="107"/>
        <v>0.5780346820809249</v>
      </c>
      <c r="AN374" s="28" t="s">
        <v>43</v>
      </c>
      <c r="AO374" s="27">
        <v>50</v>
      </c>
      <c r="AP374" s="17"/>
      <c r="AQ374" s="17"/>
      <c r="AR374" s="17"/>
      <c r="AS374" s="17"/>
      <c r="AT374" s="17"/>
      <c r="AU374" s="17"/>
      <c r="AV374" s="17"/>
      <c r="AW374" s="17"/>
      <c r="AX374" s="17"/>
      <c r="BB374" s="17"/>
    </row>
    <row r="375" spans="1:54" x14ac:dyDescent="0.2">
      <c r="A375" s="17" t="s">
        <v>41</v>
      </c>
      <c r="B375" s="18" t="s">
        <v>42</v>
      </c>
      <c r="C375" s="18" t="str">
        <f t="shared" si="99"/>
        <v>BI10.10</v>
      </c>
      <c r="D375" s="18" t="str">
        <f t="shared" si="100"/>
        <v>BI10.10_374</v>
      </c>
      <c r="E375" s="17">
        <v>10</v>
      </c>
      <c r="F375" s="19">
        <v>374</v>
      </c>
      <c r="G375" s="20">
        <v>2.2999999999999998</v>
      </c>
      <c r="H375" s="20">
        <v>2.4</v>
      </c>
      <c r="I375" s="20">
        <v>1.05</v>
      </c>
      <c r="J375" s="20">
        <f t="shared" si="98"/>
        <v>4.5519206249999993</v>
      </c>
      <c r="K375" s="53">
        <v>0.18999999999999986</v>
      </c>
      <c r="L375" s="20">
        <f t="shared" ref="L375:N414" si="116">O375-360</f>
        <v>1.1899999999999977</v>
      </c>
      <c r="M375" s="20">
        <f t="shared" si="115"/>
        <v>2.2400000000000091</v>
      </c>
      <c r="N375" s="20">
        <f t="shared" si="115"/>
        <v>1.7150000000000318</v>
      </c>
      <c r="O375" s="20">
        <f>P374+$AO$379</f>
        <v>361.19</v>
      </c>
      <c r="P375" s="20">
        <f t="shared" si="114"/>
        <v>362.24</v>
      </c>
      <c r="Q375" s="20">
        <f t="shared" si="108"/>
        <v>361.71500000000003</v>
      </c>
      <c r="R375" s="20">
        <f t="shared" ref="R375:R414" si="117">O375-1</f>
        <v>360.19</v>
      </c>
      <c r="S375" s="20">
        <f t="shared" si="112"/>
        <v>361.24</v>
      </c>
      <c r="T375" s="20">
        <f t="shared" si="113"/>
        <v>360.71500000000003</v>
      </c>
      <c r="U375" s="20">
        <v>360.71500000000003</v>
      </c>
      <c r="V375" s="22">
        <v>5.6227</v>
      </c>
      <c r="W375" s="22">
        <v>2.0095999999999998</v>
      </c>
      <c r="X375" s="23">
        <v>1.1476266666666668</v>
      </c>
      <c r="Y375" s="23">
        <f t="shared" si="101"/>
        <v>4.4750733333333335</v>
      </c>
      <c r="Z375" s="23">
        <f t="shared" si="102"/>
        <v>0.86197333333333304</v>
      </c>
      <c r="AA375" s="22">
        <f t="shared" si="103"/>
        <v>80.738341718050052</v>
      </c>
      <c r="AB375" s="22">
        <f t="shared" si="104"/>
        <v>19.261658281949948</v>
      </c>
      <c r="AC375" s="22">
        <f t="shared" si="105"/>
        <v>0.98311761166383127</v>
      </c>
      <c r="AD375" s="22">
        <f t="shared" si="106"/>
        <v>0.18936475486835475</v>
      </c>
      <c r="AE375" s="24">
        <v>5.2686999999999999</v>
      </c>
      <c r="AF375" s="24">
        <v>5.5598000000000001</v>
      </c>
      <c r="AG375" s="24">
        <v>5.3589000000000002</v>
      </c>
      <c r="AH375" s="25">
        <f>AG375-AE375</f>
        <v>9.020000000000028E-2</v>
      </c>
      <c r="AI375" s="25">
        <v>69.01408450704217</v>
      </c>
      <c r="AJ375" s="26">
        <v>3.4507042253521085</v>
      </c>
      <c r="AK375" s="25">
        <v>34.507042253521085</v>
      </c>
      <c r="AL375" s="26">
        <v>3.4518776992910536</v>
      </c>
      <c r="AM375" s="17">
        <f t="shared" si="107"/>
        <v>0.5780346820809249</v>
      </c>
      <c r="AN375" s="28" t="s">
        <v>44</v>
      </c>
      <c r="AO375" s="27" t="s">
        <v>62</v>
      </c>
      <c r="AP375" s="17"/>
      <c r="AQ375" s="17"/>
      <c r="AR375" s="17"/>
      <c r="AS375" s="17"/>
      <c r="AT375" s="17"/>
      <c r="AU375" s="17"/>
      <c r="AV375" s="17"/>
      <c r="AW375" s="17"/>
      <c r="AX375" s="17"/>
      <c r="BB375" s="17"/>
    </row>
    <row r="376" spans="1:54" x14ac:dyDescent="0.2">
      <c r="A376" s="17" t="s">
        <v>41</v>
      </c>
      <c r="B376" s="18" t="s">
        <v>42</v>
      </c>
      <c r="C376" s="18" t="str">
        <f t="shared" si="99"/>
        <v>BI10.10</v>
      </c>
      <c r="D376" s="18" t="str">
        <f t="shared" si="100"/>
        <v>BI10.10_375</v>
      </c>
      <c r="E376" s="17">
        <v>10</v>
      </c>
      <c r="F376" s="19">
        <v>375</v>
      </c>
      <c r="G376" s="20">
        <v>2.1</v>
      </c>
      <c r="H376" s="20">
        <v>2.4500000000000002</v>
      </c>
      <c r="I376" s="20">
        <v>1.05</v>
      </c>
      <c r="J376" s="20">
        <f t="shared" si="98"/>
        <v>4.2660089062500015</v>
      </c>
      <c r="K376" s="53">
        <v>0.18999999999999986</v>
      </c>
      <c r="L376" s="20">
        <f t="shared" si="116"/>
        <v>2.4300000000000068</v>
      </c>
      <c r="M376" s="20">
        <f t="shared" si="115"/>
        <v>3.4800000000000182</v>
      </c>
      <c r="N376" s="20">
        <f t="shared" si="115"/>
        <v>2.9550000000000409</v>
      </c>
      <c r="O376" s="20">
        <f>P375+$AO$379</f>
        <v>362.43</v>
      </c>
      <c r="P376" s="20">
        <f t="shared" si="114"/>
        <v>363.48</v>
      </c>
      <c r="Q376" s="20">
        <f t="shared" si="108"/>
        <v>362.95500000000004</v>
      </c>
      <c r="R376" s="20">
        <f t="shared" si="117"/>
        <v>361.43</v>
      </c>
      <c r="S376" s="20">
        <f t="shared" si="112"/>
        <v>362.48</v>
      </c>
      <c r="T376" s="20">
        <f t="shared" si="113"/>
        <v>361.95500000000004</v>
      </c>
      <c r="U376" s="20">
        <v>361.95500000000004</v>
      </c>
      <c r="V376" s="22">
        <v>5.7403000000000004</v>
      </c>
      <c r="W376" s="22">
        <v>2.1292</v>
      </c>
      <c r="X376" s="23">
        <v>1.1476266666666668</v>
      </c>
      <c r="Y376" s="23">
        <f t="shared" si="101"/>
        <v>4.5926733333333338</v>
      </c>
      <c r="Z376" s="23">
        <f t="shared" si="102"/>
        <v>0.98157333333333319</v>
      </c>
      <c r="AA376" s="22">
        <f t="shared" si="103"/>
        <v>78.627408002020616</v>
      </c>
      <c r="AB376" s="22">
        <f t="shared" si="104"/>
        <v>21.372591997979384</v>
      </c>
      <c r="AC376" s="22">
        <f t="shared" si="105"/>
        <v>1.0765737799104793</v>
      </c>
      <c r="AD376" s="22">
        <f t="shared" si="106"/>
        <v>0.2300917215374913</v>
      </c>
      <c r="AE376" s="24">
        <v>5.7302</v>
      </c>
      <c r="AF376" s="24">
        <v>6.1567999999999996</v>
      </c>
      <c r="AG376" s="24">
        <v>5.8555999999999999</v>
      </c>
      <c r="AH376" s="25">
        <f>AG376-AE376</f>
        <v>0.12539999999999996</v>
      </c>
      <c r="AI376" s="25">
        <v>70.604781997187047</v>
      </c>
      <c r="AJ376" s="26">
        <v>3.5302390998593527</v>
      </c>
      <c r="AK376" s="25">
        <v>35.302390998593523</v>
      </c>
      <c r="AL376" s="26">
        <v>3.5313861445862549</v>
      </c>
      <c r="AM376" s="17">
        <f t="shared" si="107"/>
        <v>0.5780346820809249</v>
      </c>
      <c r="AN376" s="28" t="s">
        <v>46</v>
      </c>
      <c r="AO376" s="29">
        <f>SUM(I374:I414)</f>
        <v>42.400000000000006</v>
      </c>
      <c r="AP376" s="17"/>
      <c r="AQ376" s="17"/>
      <c r="AR376" s="17"/>
      <c r="AS376" s="17"/>
      <c r="AT376" s="17"/>
      <c r="AU376" s="17"/>
      <c r="AV376" s="17"/>
      <c r="AW376" s="17"/>
      <c r="AX376" s="17"/>
      <c r="BB376" s="17"/>
    </row>
    <row r="377" spans="1:54" x14ac:dyDescent="0.2">
      <c r="A377" s="17" t="s">
        <v>41</v>
      </c>
      <c r="B377" s="18" t="s">
        <v>42</v>
      </c>
      <c r="C377" s="18" t="str">
        <f t="shared" si="99"/>
        <v>BI10.10</v>
      </c>
      <c r="D377" s="18" t="str">
        <f t="shared" si="100"/>
        <v>BI10.10_376</v>
      </c>
      <c r="E377" s="17">
        <v>10</v>
      </c>
      <c r="F377" s="19">
        <v>376</v>
      </c>
      <c r="G377" s="20">
        <v>2.25</v>
      </c>
      <c r="H377" s="20">
        <v>2.35</v>
      </c>
      <c r="I377" s="20">
        <v>1</v>
      </c>
      <c r="J377" s="20">
        <f t="shared" si="98"/>
        <v>4.1526499999999995</v>
      </c>
      <c r="K377" s="53">
        <v>0.18999999999999986</v>
      </c>
      <c r="L377" s="20">
        <f t="shared" si="116"/>
        <v>3.6700000000000159</v>
      </c>
      <c r="M377" s="20">
        <f t="shared" si="115"/>
        <v>4.6700000000000159</v>
      </c>
      <c r="N377" s="20">
        <f t="shared" si="115"/>
        <v>4.1700000000000159</v>
      </c>
      <c r="O377" s="20">
        <f>P376+$AO$379</f>
        <v>363.67</v>
      </c>
      <c r="P377" s="20">
        <f t="shared" si="114"/>
        <v>364.67</v>
      </c>
      <c r="Q377" s="20">
        <f t="shared" si="108"/>
        <v>364.17</v>
      </c>
      <c r="R377" s="20">
        <f t="shared" si="117"/>
        <v>362.67</v>
      </c>
      <c r="S377" s="20">
        <f t="shared" si="112"/>
        <v>363.67</v>
      </c>
      <c r="T377" s="20">
        <f t="shared" si="113"/>
        <v>363.17</v>
      </c>
      <c r="U377" s="20">
        <v>363.17</v>
      </c>
      <c r="V377" s="22">
        <v>6.3052999999999999</v>
      </c>
      <c r="W377" s="22">
        <v>2.2946</v>
      </c>
      <c r="X377" s="23">
        <v>1.1476266666666668</v>
      </c>
      <c r="Y377" s="23">
        <f t="shared" si="101"/>
        <v>5.1576733333333333</v>
      </c>
      <c r="Z377" s="23">
        <f t="shared" si="102"/>
        <v>1.1469733333333332</v>
      </c>
      <c r="AA377" s="22">
        <f t="shared" si="103"/>
        <v>77.761807326559392</v>
      </c>
      <c r="AB377" s="22">
        <f t="shared" si="104"/>
        <v>22.238192673440608</v>
      </c>
      <c r="AC377" s="22">
        <f t="shared" si="105"/>
        <v>1.2420197544539833</v>
      </c>
      <c r="AD377" s="22">
        <f t="shared" si="106"/>
        <v>0.2762027460376707</v>
      </c>
      <c r="AE377" s="24">
        <v>5.3699000000000003</v>
      </c>
      <c r="AF377" s="24">
        <v>5.7652000000000001</v>
      </c>
      <c r="AG377" s="24">
        <v>5.4938000000000002</v>
      </c>
      <c r="AH377" s="25">
        <f>AG377-AE377</f>
        <v>0.1238999999999999</v>
      </c>
      <c r="AI377" s="25">
        <v>68.656716417910459</v>
      </c>
      <c r="AJ377" s="26">
        <v>3.432835820895523</v>
      </c>
      <c r="AK377" s="25">
        <v>34.32835820895523</v>
      </c>
      <c r="AL377" s="26">
        <v>3.4340154008424948</v>
      </c>
      <c r="AM377" s="17">
        <f t="shared" si="107"/>
        <v>0.5780346820809249</v>
      </c>
      <c r="AN377" s="28" t="s">
        <v>47</v>
      </c>
      <c r="AO377" s="29">
        <f>AO374-AO376</f>
        <v>7.5999999999999943</v>
      </c>
      <c r="AP377" s="17"/>
      <c r="AQ377" s="17"/>
      <c r="AR377" s="17"/>
      <c r="AS377" s="17"/>
      <c r="AT377" s="17"/>
      <c r="AU377" s="17"/>
      <c r="AV377" s="17"/>
      <c r="AW377" s="17"/>
      <c r="AX377" s="17"/>
      <c r="BB377" s="17"/>
    </row>
    <row r="378" spans="1:54" x14ac:dyDescent="0.2">
      <c r="A378" s="17" t="s">
        <v>41</v>
      </c>
      <c r="B378" s="18" t="s">
        <v>42</v>
      </c>
      <c r="C378" s="18" t="str">
        <f t="shared" si="99"/>
        <v>BI10.10</v>
      </c>
      <c r="D378" s="18" t="str">
        <f t="shared" si="100"/>
        <v>BI10.10_377</v>
      </c>
      <c r="E378" s="17">
        <v>10</v>
      </c>
      <c r="F378" s="19">
        <v>377</v>
      </c>
      <c r="G378" s="20">
        <v>2.2999999999999998</v>
      </c>
      <c r="H378" s="20">
        <v>2.35</v>
      </c>
      <c r="I378" s="20">
        <v>1.05</v>
      </c>
      <c r="J378" s="20">
        <f t="shared" si="98"/>
        <v>4.455586406250001</v>
      </c>
      <c r="K378" s="53">
        <v>0.18999999999999986</v>
      </c>
      <c r="L378" s="20">
        <f t="shared" si="116"/>
        <v>4.8600000000000136</v>
      </c>
      <c r="M378" s="20">
        <f t="shared" si="115"/>
        <v>5.910000000000025</v>
      </c>
      <c r="N378" s="20">
        <f t="shared" si="115"/>
        <v>5.3849999999999909</v>
      </c>
      <c r="O378" s="20">
        <f>P377+$AO$379</f>
        <v>364.86</v>
      </c>
      <c r="P378" s="20">
        <f t="shared" si="114"/>
        <v>365.91</v>
      </c>
      <c r="Q378" s="20">
        <f t="shared" si="108"/>
        <v>365.38499999999999</v>
      </c>
      <c r="R378" s="20">
        <f t="shared" si="117"/>
        <v>363.86</v>
      </c>
      <c r="S378" s="20">
        <f t="shared" si="112"/>
        <v>364.91</v>
      </c>
      <c r="T378" s="20">
        <f t="shared" si="113"/>
        <v>364.38499999999999</v>
      </c>
      <c r="U378" s="20">
        <v>364.38499999999999</v>
      </c>
      <c r="V378" s="22">
        <v>6.1113999999999997</v>
      </c>
      <c r="W378" s="22">
        <v>2.2766000000000002</v>
      </c>
      <c r="X378" s="23">
        <v>1.1476266666666668</v>
      </c>
      <c r="Y378" s="23">
        <f t="shared" si="101"/>
        <v>4.9637733333333331</v>
      </c>
      <c r="Z378" s="23">
        <f t="shared" si="102"/>
        <v>1.1289733333333334</v>
      </c>
      <c r="AA378" s="22">
        <f t="shared" si="103"/>
        <v>77.255743614400856</v>
      </c>
      <c r="AB378" s="22">
        <f t="shared" si="104"/>
        <v>22.744256385599144</v>
      </c>
      <c r="AC378" s="22">
        <f t="shared" si="105"/>
        <v>1.1140561265674214</v>
      </c>
      <c r="AD378" s="22">
        <f t="shared" si="106"/>
        <v>0.25338378170596904</v>
      </c>
      <c r="AE378" s="24">
        <v>5.3872999999999998</v>
      </c>
      <c r="AF378" s="24">
        <v>5.7938999999999998</v>
      </c>
      <c r="AG378" s="24">
        <v>5.4882999999999997</v>
      </c>
      <c r="AH378" s="25">
        <f>AG378-AE378</f>
        <v>0.10099999999999998</v>
      </c>
      <c r="AI378" s="25">
        <v>75.159862272503702</v>
      </c>
      <c r="AJ378" s="26">
        <v>3.7579931136251852</v>
      </c>
      <c r="AK378" s="25">
        <v>37.579931136251851</v>
      </c>
      <c r="AL378" s="26">
        <v>3.7590706620193131</v>
      </c>
      <c r="AM378" s="17">
        <f t="shared" si="107"/>
        <v>0.5780346820809249</v>
      </c>
      <c r="AN378" s="28" t="s">
        <v>48</v>
      </c>
      <c r="AO378" s="27">
        <v>40</v>
      </c>
      <c r="AP378" s="17"/>
      <c r="AQ378" s="17"/>
      <c r="AR378" s="17"/>
      <c r="AS378" s="17"/>
      <c r="AT378" s="17"/>
      <c r="AU378" s="17"/>
      <c r="AV378" s="17"/>
      <c r="AW378" s="17"/>
      <c r="AX378" s="17"/>
      <c r="BB378" s="17"/>
    </row>
    <row r="379" spans="1:54" x14ac:dyDescent="0.2">
      <c r="A379" s="17" t="s">
        <v>41</v>
      </c>
      <c r="B379" s="18" t="s">
        <v>42</v>
      </c>
      <c r="C379" s="18" t="str">
        <f t="shared" si="99"/>
        <v>BI10.10</v>
      </c>
      <c r="D379" s="18" t="str">
        <f t="shared" si="100"/>
        <v>BI10.10_378</v>
      </c>
      <c r="E379" s="17">
        <v>10</v>
      </c>
      <c r="F379" s="19">
        <v>378</v>
      </c>
      <c r="G379" s="20">
        <v>2.2999999999999998</v>
      </c>
      <c r="H379" s="20">
        <v>2.4</v>
      </c>
      <c r="I379" s="20">
        <v>1.05</v>
      </c>
      <c r="J379" s="20">
        <f t="shared" si="98"/>
        <v>4.5519206249999993</v>
      </c>
      <c r="K379" s="53">
        <v>0.18999999999999986</v>
      </c>
      <c r="L379" s="20">
        <f t="shared" si="116"/>
        <v>6.1000000000000227</v>
      </c>
      <c r="M379" s="20">
        <f t="shared" si="115"/>
        <v>7.1500000000000341</v>
      </c>
      <c r="N379" s="20">
        <f t="shared" si="115"/>
        <v>6.625</v>
      </c>
      <c r="O379" s="20">
        <f>P378+$AO$379</f>
        <v>366.1</v>
      </c>
      <c r="P379" s="20">
        <f t="shared" si="114"/>
        <v>367.15000000000003</v>
      </c>
      <c r="Q379" s="20">
        <f t="shared" si="108"/>
        <v>366.625</v>
      </c>
      <c r="R379" s="20">
        <f t="shared" si="117"/>
        <v>365.1</v>
      </c>
      <c r="S379" s="20">
        <f t="shared" si="112"/>
        <v>366.15000000000003</v>
      </c>
      <c r="T379" s="20">
        <f t="shared" si="113"/>
        <v>365.625</v>
      </c>
      <c r="U379" s="20">
        <v>365.625</v>
      </c>
      <c r="V379" s="22">
        <v>6.1410999999999998</v>
      </c>
      <c r="W379" s="22">
        <v>2.2143999999999999</v>
      </c>
      <c r="X379" s="23">
        <v>1.1476266666666668</v>
      </c>
      <c r="Y379" s="23">
        <f t="shared" si="101"/>
        <v>4.9934733333333332</v>
      </c>
      <c r="Z379" s="23">
        <f t="shared" si="102"/>
        <v>1.0667733333333331</v>
      </c>
      <c r="AA379" s="22">
        <f t="shared" si="103"/>
        <v>78.636647036598447</v>
      </c>
      <c r="AB379" s="22">
        <f t="shared" si="104"/>
        <v>21.363352963401553</v>
      </c>
      <c r="AC379" s="22">
        <f t="shared" si="105"/>
        <v>1.0970036045682001</v>
      </c>
      <c r="AD379" s="22">
        <f t="shared" si="106"/>
        <v>0.23435675206514245</v>
      </c>
      <c r="AE379" s="24">
        <v>5.2881</v>
      </c>
      <c r="AF379" s="24">
        <v>5.5591999999999997</v>
      </c>
      <c r="AG379" s="24">
        <v>5.3590999999999998</v>
      </c>
      <c r="AH379" s="25">
        <f>AG379-AE379</f>
        <v>7.099999999999973E-2</v>
      </c>
      <c r="AI379" s="25">
        <v>73.810402065658494</v>
      </c>
      <c r="AJ379" s="26">
        <v>3.6905201032829247</v>
      </c>
      <c r="AK379" s="25">
        <v>36.905201032829247</v>
      </c>
      <c r="AL379" s="26">
        <v>3.6916173464669124</v>
      </c>
      <c r="AM379" s="17">
        <f t="shared" si="107"/>
        <v>0.5780346820809249</v>
      </c>
      <c r="AN379" s="28" t="s">
        <v>49</v>
      </c>
      <c r="AO379" s="30">
        <f>AO377/AO378</f>
        <v>0.18999999999999986</v>
      </c>
      <c r="AP379" s="17"/>
      <c r="AQ379" s="17"/>
      <c r="AR379" s="17"/>
      <c r="AS379" s="17"/>
      <c r="AT379" s="17"/>
      <c r="AU379" s="17"/>
      <c r="AV379" s="17"/>
      <c r="AW379" s="17"/>
      <c r="AX379" s="17"/>
      <c r="BB379" s="17"/>
    </row>
    <row r="380" spans="1:54" x14ac:dyDescent="0.2">
      <c r="A380" s="17" t="s">
        <v>41</v>
      </c>
      <c r="B380" s="18" t="s">
        <v>42</v>
      </c>
      <c r="C380" s="18" t="str">
        <f t="shared" si="99"/>
        <v>BI10.10</v>
      </c>
      <c r="D380" s="18" t="str">
        <f t="shared" si="100"/>
        <v>BI10.10_379</v>
      </c>
      <c r="E380" s="17">
        <v>10</v>
      </c>
      <c r="F380" s="19">
        <v>379</v>
      </c>
      <c r="G380" s="20">
        <v>2.15</v>
      </c>
      <c r="H380" s="20">
        <v>2.2999999999999998</v>
      </c>
      <c r="I380" s="20">
        <v>1.05</v>
      </c>
      <c r="J380" s="20">
        <f t="shared" si="98"/>
        <v>4.0805526562499992</v>
      </c>
      <c r="K380" s="53">
        <v>0.18999999999999986</v>
      </c>
      <c r="L380" s="20">
        <f t="shared" si="116"/>
        <v>7.3400000000000318</v>
      </c>
      <c r="M380" s="20">
        <f t="shared" si="115"/>
        <v>8.3900000000000432</v>
      </c>
      <c r="N380" s="20">
        <f t="shared" si="115"/>
        <v>7.8650000000000091</v>
      </c>
      <c r="O380" s="20">
        <f>P379+$AO$379</f>
        <v>367.34000000000003</v>
      </c>
      <c r="P380" s="20">
        <f t="shared" si="114"/>
        <v>368.39000000000004</v>
      </c>
      <c r="Q380" s="20">
        <f t="shared" si="108"/>
        <v>367.86500000000001</v>
      </c>
      <c r="R380" s="20">
        <f t="shared" si="117"/>
        <v>366.34000000000003</v>
      </c>
      <c r="S380" s="20">
        <f t="shared" si="112"/>
        <v>367.39000000000004</v>
      </c>
      <c r="T380" s="20">
        <f t="shared" si="113"/>
        <v>366.86500000000001</v>
      </c>
      <c r="U380" s="20">
        <v>366.86500000000001</v>
      </c>
      <c r="V380" s="22">
        <v>6.3208000000000002</v>
      </c>
      <c r="W380" s="22">
        <v>2.3374000000000001</v>
      </c>
      <c r="X380" s="23">
        <v>1.1476266666666668</v>
      </c>
      <c r="Y380" s="23">
        <f t="shared" si="101"/>
        <v>5.1731733333333336</v>
      </c>
      <c r="Z380" s="23">
        <f t="shared" si="102"/>
        <v>1.1897733333333333</v>
      </c>
      <c r="AA380" s="22">
        <f t="shared" si="103"/>
        <v>77.001092817303629</v>
      </c>
      <c r="AB380" s="22">
        <f t="shared" si="104"/>
        <v>22.998907182696371</v>
      </c>
      <c r="AC380" s="22">
        <f t="shared" si="105"/>
        <v>1.2677629157437329</v>
      </c>
      <c r="AD380" s="22">
        <f t="shared" si="106"/>
        <v>0.29157161628854633</v>
      </c>
      <c r="AE380" s="24">
        <v>5.5122999999999998</v>
      </c>
      <c r="AF380" s="24">
        <v>5.9653999999999998</v>
      </c>
      <c r="AG380" s="24">
        <v>5.6593999999999998</v>
      </c>
      <c r="AH380" s="25">
        <f>AG380-AE380</f>
        <v>0.14710000000000001</v>
      </c>
      <c r="AI380" s="25">
        <v>67.534760538512472</v>
      </c>
      <c r="AJ380" s="26">
        <v>3.376738026925624</v>
      </c>
      <c r="AK380" s="25">
        <v>33.767380269256236</v>
      </c>
      <c r="AL380" s="26">
        <v>3.3779371963500977</v>
      </c>
      <c r="AM380" s="17">
        <f t="shared" si="107"/>
        <v>0.5780346820809249</v>
      </c>
      <c r="AN380" s="17"/>
      <c r="AO380" s="27"/>
      <c r="AP380" s="17"/>
      <c r="AQ380" s="17"/>
      <c r="AR380" s="17"/>
      <c r="AS380" s="17"/>
      <c r="AT380" s="17"/>
      <c r="AU380" s="17"/>
      <c r="AV380" s="17"/>
      <c r="AW380" s="17"/>
      <c r="AX380" s="17"/>
      <c r="BB380" s="17"/>
    </row>
    <row r="381" spans="1:54" x14ac:dyDescent="0.2">
      <c r="A381" s="17" t="s">
        <v>41</v>
      </c>
      <c r="B381" s="18" t="s">
        <v>42</v>
      </c>
      <c r="C381" s="18" t="str">
        <f t="shared" si="99"/>
        <v>BI10.10</v>
      </c>
      <c r="D381" s="18" t="str">
        <f t="shared" si="100"/>
        <v>BI10.10_380</v>
      </c>
      <c r="E381" s="17">
        <v>10</v>
      </c>
      <c r="F381" s="19">
        <v>380</v>
      </c>
      <c r="G381" s="20">
        <v>2.4500000000000002</v>
      </c>
      <c r="H381" s="20">
        <v>2.2999999999999998</v>
      </c>
      <c r="I381" s="20">
        <v>1</v>
      </c>
      <c r="J381" s="20">
        <f t="shared" si="98"/>
        <v>4.4278906249999999</v>
      </c>
      <c r="K381" s="53">
        <v>0.18999999999999986</v>
      </c>
      <c r="L381" s="20">
        <f t="shared" si="116"/>
        <v>8.5800000000000409</v>
      </c>
      <c r="M381" s="20">
        <f t="shared" si="115"/>
        <v>9.5800000000000409</v>
      </c>
      <c r="N381" s="20">
        <f t="shared" si="115"/>
        <v>9.0800000000000409</v>
      </c>
      <c r="O381" s="20">
        <f>P380+$AO$379</f>
        <v>368.58000000000004</v>
      </c>
      <c r="P381" s="20">
        <f t="shared" si="114"/>
        <v>369.58000000000004</v>
      </c>
      <c r="Q381" s="20">
        <f t="shared" si="108"/>
        <v>369.08000000000004</v>
      </c>
      <c r="R381" s="20">
        <f t="shared" si="117"/>
        <v>367.58000000000004</v>
      </c>
      <c r="S381" s="20">
        <f t="shared" si="112"/>
        <v>368.58000000000004</v>
      </c>
      <c r="T381" s="20">
        <f t="shared" si="113"/>
        <v>368.08000000000004</v>
      </c>
      <c r="U381" s="20">
        <v>368.08000000000004</v>
      </c>
      <c r="V381" s="22">
        <v>6.9798</v>
      </c>
      <c r="W381" s="22">
        <v>2.6263999999999998</v>
      </c>
      <c r="X381" s="23">
        <v>1.1476266666666668</v>
      </c>
      <c r="Y381" s="23">
        <f t="shared" si="101"/>
        <v>5.8321733333333334</v>
      </c>
      <c r="Z381" s="23">
        <f t="shared" si="102"/>
        <v>1.4787733333333331</v>
      </c>
      <c r="AA381" s="22">
        <f t="shared" si="103"/>
        <v>74.644557889225979</v>
      </c>
      <c r="AB381" s="22">
        <f t="shared" si="104"/>
        <v>25.355442110774021</v>
      </c>
      <c r="AC381" s="22">
        <f t="shared" si="105"/>
        <v>1.3171448500567544</v>
      </c>
      <c r="AD381" s="22">
        <f t="shared" si="106"/>
        <v>0.33396789997118165</v>
      </c>
      <c r="AE381" s="24">
        <v>5.5510000000000002</v>
      </c>
      <c r="AF381" s="24">
        <v>5.8789999999999996</v>
      </c>
      <c r="AG381" s="24">
        <v>5.6395999999999997</v>
      </c>
      <c r="AH381" s="25">
        <f>AG381-AE381</f>
        <v>8.8599999999999568E-2</v>
      </c>
      <c r="AI381" s="25">
        <v>72.987804878048863</v>
      </c>
      <c r="AJ381" s="26">
        <v>3.6493902439024435</v>
      </c>
      <c r="AK381" s="25">
        <v>36.493902439024431</v>
      </c>
      <c r="AL381" s="26">
        <v>3.6504998496494059</v>
      </c>
      <c r="AM381" s="17">
        <f t="shared" si="107"/>
        <v>0.5780346820809249</v>
      </c>
      <c r="AN381" s="17"/>
      <c r="AO381" s="27"/>
      <c r="AP381" s="17"/>
      <c r="AQ381" s="17"/>
      <c r="AR381" s="17"/>
      <c r="AS381" s="17"/>
      <c r="AT381" s="17"/>
      <c r="AU381" s="17"/>
      <c r="AV381" s="17"/>
      <c r="AW381" s="17"/>
      <c r="AX381" s="17"/>
      <c r="BB381" s="17"/>
    </row>
    <row r="382" spans="1:54" x14ac:dyDescent="0.2">
      <c r="A382" s="17" t="s">
        <v>41</v>
      </c>
      <c r="B382" s="18" t="s">
        <v>42</v>
      </c>
      <c r="C382" s="18" t="str">
        <f t="shared" si="99"/>
        <v>BI10.10</v>
      </c>
      <c r="D382" s="18" t="str">
        <f t="shared" si="100"/>
        <v>BI10.10_381</v>
      </c>
      <c r="E382" s="17">
        <v>10</v>
      </c>
      <c r="F382" s="19">
        <v>381</v>
      </c>
      <c r="G382" s="20">
        <v>1.95</v>
      </c>
      <c r="H382" s="20">
        <v>2.4500000000000002</v>
      </c>
      <c r="I382" s="20">
        <v>1</v>
      </c>
      <c r="J382" s="20">
        <f t="shared" si="98"/>
        <v>3.7994000000000008</v>
      </c>
      <c r="K382" s="53">
        <v>0.18999999999999986</v>
      </c>
      <c r="L382" s="20">
        <f t="shared" si="116"/>
        <v>9.7700000000000387</v>
      </c>
      <c r="M382" s="20">
        <f t="shared" si="115"/>
        <v>10.770000000000039</v>
      </c>
      <c r="N382" s="20">
        <f t="shared" si="115"/>
        <v>10.270000000000039</v>
      </c>
      <c r="O382" s="20">
        <f>P381+$AO$379</f>
        <v>369.77000000000004</v>
      </c>
      <c r="P382" s="20">
        <f t="shared" si="114"/>
        <v>370.77000000000004</v>
      </c>
      <c r="Q382" s="20">
        <f t="shared" si="108"/>
        <v>370.27000000000004</v>
      </c>
      <c r="R382" s="20">
        <f t="shared" si="117"/>
        <v>368.77000000000004</v>
      </c>
      <c r="S382" s="20">
        <f t="shared" si="112"/>
        <v>369.77000000000004</v>
      </c>
      <c r="T382" s="20">
        <f t="shared" si="113"/>
        <v>369.27000000000004</v>
      </c>
      <c r="U382" s="20">
        <v>369.27000000000004</v>
      </c>
      <c r="V382" s="22">
        <v>5.6460999999999997</v>
      </c>
      <c r="W382" s="22">
        <v>2.1208</v>
      </c>
      <c r="X382" s="23">
        <v>1.1476266666666668</v>
      </c>
      <c r="Y382" s="23">
        <f t="shared" si="101"/>
        <v>4.4984733333333331</v>
      </c>
      <c r="Z382" s="23">
        <f t="shared" si="102"/>
        <v>0.97317333333333322</v>
      </c>
      <c r="AA382" s="22">
        <f t="shared" si="103"/>
        <v>78.366586590117237</v>
      </c>
      <c r="AB382" s="22">
        <f t="shared" si="104"/>
        <v>21.633413409882763</v>
      </c>
      <c r="AC382" s="22">
        <f t="shared" si="105"/>
        <v>1.1839957186222383</v>
      </c>
      <c r="AD382" s="22">
        <f t="shared" si="106"/>
        <v>0.25613868856486105</v>
      </c>
      <c r="AE382" s="24">
        <v>5.7374999999999998</v>
      </c>
      <c r="AF382" s="24">
        <v>6.1233000000000004</v>
      </c>
      <c r="AG382" s="24">
        <v>5.8338000000000001</v>
      </c>
      <c r="AH382" s="25">
        <f>AG382-AE382</f>
        <v>9.6300000000000274E-2</v>
      </c>
      <c r="AI382" s="25">
        <v>75.038880248833564</v>
      </c>
      <c r="AJ382" s="26">
        <v>3.7519440124416783</v>
      </c>
      <c r="AK382" s="25">
        <v>37.519440124416782</v>
      </c>
      <c r="AL382" s="26">
        <v>3.7530232976224593</v>
      </c>
      <c r="AM382" s="17">
        <f t="shared" si="107"/>
        <v>0.5780346820809249</v>
      </c>
      <c r="AN382" s="17"/>
      <c r="AO382" s="27"/>
      <c r="AP382" s="17"/>
      <c r="AQ382" s="17"/>
      <c r="AR382" s="17"/>
      <c r="AS382" s="17"/>
      <c r="AT382" s="17"/>
      <c r="AU382" s="17"/>
      <c r="AV382" s="17"/>
      <c r="AW382" s="17"/>
      <c r="AX382" s="17"/>
      <c r="BB382" s="17"/>
    </row>
    <row r="383" spans="1:54" x14ac:dyDescent="0.2">
      <c r="A383" s="17" t="s">
        <v>41</v>
      </c>
      <c r="B383" s="18" t="s">
        <v>42</v>
      </c>
      <c r="C383" s="18" t="str">
        <f t="shared" si="99"/>
        <v>BI10.10</v>
      </c>
      <c r="D383" s="18" t="str">
        <f t="shared" si="100"/>
        <v>BI10.10_382</v>
      </c>
      <c r="E383" s="17">
        <v>10</v>
      </c>
      <c r="F383" s="19">
        <v>382</v>
      </c>
      <c r="G383" s="20">
        <v>2.15</v>
      </c>
      <c r="H383" s="20">
        <v>2.4500000000000002</v>
      </c>
      <c r="I383" s="20">
        <v>0.95</v>
      </c>
      <c r="J383" s="20">
        <f t="shared" si="98"/>
        <v>3.9450174999999992</v>
      </c>
      <c r="K383" s="53">
        <v>0.18999999999999986</v>
      </c>
      <c r="L383" s="20">
        <f t="shared" si="116"/>
        <v>10.960000000000036</v>
      </c>
      <c r="M383" s="20">
        <f t="shared" si="115"/>
        <v>11.910000000000025</v>
      </c>
      <c r="N383" s="20">
        <f t="shared" si="115"/>
        <v>11.435000000000059</v>
      </c>
      <c r="O383" s="20">
        <f>P382+$AO$379</f>
        <v>370.96000000000004</v>
      </c>
      <c r="P383" s="20">
        <f t="shared" si="114"/>
        <v>371.91</v>
      </c>
      <c r="Q383" s="20">
        <f t="shared" si="108"/>
        <v>371.43500000000006</v>
      </c>
      <c r="R383" s="20">
        <f t="shared" si="117"/>
        <v>369.96000000000004</v>
      </c>
      <c r="S383" s="20">
        <f t="shared" si="112"/>
        <v>370.91</v>
      </c>
      <c r="T383" s="20">
        <f t="shared" si="113"/>
        <v>370.43500000000006</v>
      </c>
      <c r="U383" s="20">
        <v>370.43500000000006</v>
      </c>
      <c r="V383" s="22">
        <v>5.9055</v>
      </c>
      <c r="W383" s="22">
        <v>2.1448</v>
      </c>
      <c r="X383" s="23">
        <v>1.1476266666666668</v>
      </c>
      <c r="Y383" s="23">
        <f t="shared" si="101"/>
        <v>4.7578733333333334</v>
      </c>
      <c r="Z383" s="23">
        <f t="shared" si="102"/>
        <v>0.99717333333333324</v>
      </c>
      <c r="AA383" s="22">
        <f t="shared" si="103"/>
        <v>79.041616632641194</v>
      </c>
      <c r="AB383" s="22">
        <f t="shared" si="104"/>
        <v>20.958383367358806</v>
      </c>
      <c r="AC383" s="22">
        <f t="shared" si="105"/>
        <v>1.2060461920215397</v>
      </c>
      <c r="AD383" s="22">
        <f t="shared" si="106"/>
        <v>0.2527677845113066</v>
      </c>
      <c r="AE383" s="24">
        <v>5.3444000000000003</v>
      </c>
      <c r="AF383" s="24">
        <v>5.8987999999999996</v>
      </c>
      <c r="AG383" s="24">
        <v>5.4645999999999999</v>
      </c>
      <c r="AH383" s="25">
        <f>AG383-AE383</f>
        <v>0.12019999999999964</v>
      </c>
      <c r="AI383" s="25">
        <v>78.318903318903352</v>
      </c>
      <c r="AJ383" s="26">
        <v>3.9159451659451676</v>
      </c>
      <c r="AK383" s="25">
        <v>39.159451659451676</v>
      </c>
      <c r="AL383" s="26">
        <v>3.9169792624788462</v>
      </c>
      <c r="AM383" s="17">
        <f t="shared" si="107"/>
        <v>0.5780346820809249</v>
      </c>
      <c r="AN383" s="17"/>
      <c r="AO383" s="27"/>
      <c r="AP383" s="17"/>
      <c r="AQ383" s="17"/>
      <c r="AR383" s="17"/>
      <c r="AS383" s="17"/>
      <c r="AT383" s="17"/>
      <c r="AU383" s="17"/>
      <c r="AV383" s="17"/>
      <c r="AW383" s="17"/>
      <c r="AX383" s="17"/>
      <c r="BB383" s="17"/>
    </row>
    <row r="384" spans="1:54" x14ac:dyDescent="0.2">
      <c r="A384" s="17" t="s">
        <v>41</v>
      </c>
      <c r="B384" s="18" t="s">
        <v>42</v>
      </c>
      <c r="C384" s="18" t="str">
        <f t="shared" si="99"/>
        <v>BI10.10</v>
      </c>
      <c r="D384" s="18" t="str">
        <f t="shared" si="100"/>
        <v>BI10.10_383</v>
      </c>
      <c r="E384" s="17">
        <v>10</v>
      </c>
      <c r="F384" s="19">
        <v>383</v>
      </c>
      <c r="G384" s="20">
        <v>2.25</v>
      </c>
      <c r="H384" s="20">
        <v>2.35</v>
      </c>
      <c r="I384" s="20">
        <v>1</v>
      </c>
      <c r="J384" s="20">
        <f t="shared" si="98"/>
        <v>4.1526499999999995</v>
      </c>
      <c r="K384" s="53">
        <v>0.18999999999999986</v>
      </c>
      <c r="L384" s="20">
        <f t="shared" si="116"/>
        <v>12.100000000000023</v>
      </c>
      <c r="M384" s="20">
        <f t="shared" si="115"/>
        <v>13.100000000000023</v>
      </c>
      <c r="N384" s="20">
        <f t="shared" si="115"/>
        <v>12.600000000000023</v>
      </c>
      <c r="O384" s="20">
        <f>P383+$AO$379</f>
        <v>372.1</v>
      </c>
      <c r="P384" s="20">
        <f t="shared" si="114"/>
        <v>373.1</v>
      </c>
      <c r="Q384" s="20">
        <f t="shared" si="108"/>
        <v>372.6</v>
      </c>
      <c r="R384" s="20">
        <f t="shared" si="117"/>
        <v>371.1</v>
      </c>
      <c r="S384" s="20">
        <f t="shared" si="112"/>
        <v>372.1</v>
      </c>
      <c r="T384" s="20">
        <f t="shared" si="113"/>
        <v>371.6</v>
      </c>
      <c r="U384" s="20">
        <v>371.6</v>
      </c>
      <c r="V384" s="22">
        <v>6.4054000000000002</v>
      </c>
      <c r="W384" s="22">
        <v>2.3401000000000001</v>
      </c>
      <c r="X384" s="23">
        <v>1.1476266666666668</v>
      </c>
      <c r="Y384" s="23">
        <f t="shared" si="101"/>
        <v>5.2577733333333336</v>
      </c>
      <c r="Z384" s="23">
        <f t="shared" si="102"/>
        <v>1.1924733333333333</v>
      </c>
      <c r="AA384" s="22">
        <f t="shared" si="103"/>
        <v>77.319803313443217</v>
      </c>
      <c r="AB384" s="22">
        <f t="shared" si="104"/>
        <v>22.680196686556783</v>
      </c>
      <c r="AC384" s="22">
        <f t="shared" si="105"/>
        <v>1.2661248439751325</v>
      </c>
      <c r="AD384" s="22">
        <f t="shared" si="106"/>
        <v>0.28715960491092035</v>
      </c>
      <c r="AE384" s="24">
        <v>5.7370000000000001</v>
      </c>
      <c r="AF384" s="24">
        <v>6.1037999999999997</v>
      </c>
      <c r="AG384" s="24">
        <v>5.8216999999999999</v>
      </c>
      <c r="AH384" s="25">
        <f>AG384-AE384</f>
        <v>8.4699999999999775E-2</v>
      </c>
      <c r="AI384" s="25">
        <v>76.90839694656492</v>
      </c>
      <c r="AJ384" s="26">
        <v>3.8454198473282464</v>
      </c>
      <c r="AK384" s="25">
        <v>38.45419847328246</v>
      </c>
      <c r="AL384" s="26">
        <v>3.8464729041325634</v>
      </c>
      <c r="AM384" s="17">
        <f t="shared" si="107"/>
        <v>0.5780346820809249</v>
      </c>
      <c r="AN384" s="17"/>
      <c r="AO384" s="27"/>
      <c r="AP384" s="17"/>
      <c r="AQ384" s="17"/>
      <c r="AR384" s="17"/>
      <c r="AS384" s="17"/>
      <c r="AT384" s="17"/>
      <c r="AU384" s="17"/>
      <c r="AV384" s="17"/>
      <c r="AW384" s="17"/>
      <c r="AX384" s="17"/>
      <c r="BB384" s="17"/>
    </row>
    <row r="385" spans="1:54" x14ac:dyDescent="0.2">
      <c r="A385" s="17" t="s">
        <v>41</v>
      </c>
      <c r="B385" s="18" t="s">
        <v>42</v>
      </c>
      <c r="C385" s="18" t="str">
        <f t="shared" si="99"/>
        <v>BI10.10</v>
      </c>
      <c r="D385" s="18" t="str">
        <f t="shared" si="100"/>
        <v>BI10.10_384</v>
      </c>
      <c r="E385" s="17">
        <v>10</v>
      </c>
      <c r="F385" s="19">
        <v>384</v>
      </c>
      <c r="G385" s="20">
        <v>2.5</v>
      </c>
      <c r="H385" s="20">
        <v>2.2999999999999998</v>
      </c>
      <c r="I385" s="20">
        <v>0.95</v>
      </c>
      <c r="J385" s="20">
        <f t="shared" si="98"/>
        <v>4.2955199999999998</v>
      </c>
      <c r="K385" s="53">
        <v>0.18999999999999986</v>
      </c>
      <c r="L385" s="20">
        <f t="shared" si="116"/>
        <v>13.29000000000002</v>
      </c>
      <c r="M385" s="20">
        <f t="shared" si="115"/>
        <v>14.240000000000009</v>
      </c>
      <c r="N385" s="20">
        <f t="shared" si="115"/>
        <v>13.764999999999986</v>
      </c>
      <c r="O385" s="20">
        <f>P384+$AO$379</f>
        <v>373.29</v>
      </c>
      <c r="P385" s="20">
        <f t="shared" si="114"/>
        <v>374.24</v>
      </c>
      <c r="Q385" s="20">
        <f t="shared" si="108"/>
        <v>373.76499999999999</v>
      </c>
      <c r="R385" s="20">
        <f t="shared" si="117"/>
        <v>372.29</v>
      </c>
      <c r="S385" s="20">
        <f t="shared" si="112"/>
        <v>373.24</v>
      </c>
      <c r="T385" s="20">
        <f t="shared" si="113"/>
        <v>372.76499999999999</v>
      </c>
      <c r="U385" s="20">
        <v>372.76499999999999</v>
      </c>
      <c r="V385" s="22">
        <v>6.5674999999999999</v>
      </c>
      <c r="W385" s="22">
        <v>2.3786</v>
      </c>
      <c r="X385" s="23">
        <v>1.1476266666666668</v>
      </c>
      <c r="Y385" s="23">
        <f t="shared" si="101"/>
        <v>5.4198733333333333</v>
      </c>
      <c r="Z385" s="23">
        <f t="shared" si="102"/>
        <v>1.2309733333333333</v>
      </c>
      <c r="AA385" s="22">
        <f t="shared" si="103"/>
        <v>77.287784093355199</v>
      </c>
      <c r="AB385" s="22">
        <f t="shared" si="104"/>
        <v>22.712215906644801</v>
      </c>
      <c r="AC385" s="22">
        <f t="shared" si="105"/>
        <v>1.2617502265926672</v>
      </c>
      <c r="AD385" s="22">
        <f t="shared" si="106"/>
        <v>0.28657143566630661</v>
      </c>
      <c r="AE385" s="24">
        <v>5.5255999999999998</v>
      </c>
      <c r="AF385" s="24">
        <v>5.8708</v>
      </c>
      <c r="AG385" s="24">
        <v>5.6105999999999998</v>
      </c>
      <c r="AH385" s="25">
        <f>AG385-AE385</f>
        <v>8.4999999999999964E-2</v>
      </c>
      <c r="AI385" s="25">
        <v>75.376593279258415</v>
      </c>
      <c r="AJ385" s="26">
        <v>3.7688296639629209</v>
      </c>
      <c r="AK385" s="25">
        <v>37.688296639629208</v>
      </c>
      <c r="AL385" s="26">
        <v>3.769904114956621</v>
      </c>
      <c r="AM385" s="17">
        <f t="shared" si="107"/>
        <v>0.5780346820809249</v>
      </c>
      <c r="AN385" s="17"/>
      <c r="AO385" s="27"/>
      <c r="AP385" s="17"/>
      <c r="AQ385" s="17"/>
      <c r="AR385" s="17"/>
      <c r="AS385" s="17"/>
      <c r="AT385" s="17"/>
      <c r="AU385" s="17"/>
      <c r="AV385" s="17"/>
      <c r="AW385" s="17"/>
      <c r="AX385" s="17"/>
      <c r="BB385" s="17"/>
    </row>
    <row r="386" spans="1:54" x14ac:dyDescent="0.2">
      <c r="A386" s="17" t="s">
        <v>41</v>
      </c>
      <c r="B386" s="18" t="s">
        <v>42</v>
      </c>
      <c r="C386" s="18" t="str">
        <f t="shared" si="99"/>
        <v>BI10.10</v>
      </c>
      <c r="D386" s="18" t="str">
        <f t="shared" si="100"/>
        <v>BI10.10_385</v>
      </c>
      <c r="E386" s="17">
        <v>10</v>
      </c>
      <c r="F386" s="19">
        <v>385</v>
      </c>
      <c r="G386" s="20">
        <v>2.2000000000000002</v>
      </c>
      <c r="H386" s="20">
        <v>2.35</v>
      </c>
      <c r="I386" s="20">
        <v>1.05</v>
      </c>
      <c r="J386" s="20">
        <f t="shared" ref="J386:J449" si="118">(AVERAGE(G386:H386)*(AVERAGE(G386:H386)*3.14/4*I386))</f>
        <v>4.2660089062500015</v>
      </c>
      <c r="K386" s="53">
        <v>0.18999999999999986</v>
      </c>
      <c r="L386" s="20">
        <f t="shared" si="116"/>
        <v>14.430000000000007</v>
      </c>
      <c r="M386" s="20">
        <f t="shared" si="115"/>
        <v>15.480000000000018</v>
      </c>
      <c r="N386" s="20">
        <f t="shared" si="115"/>
        <v>14.955000000000041</v>
      </c>
      <c r="O386" s="20">
        <f>P385+$AO$379</f>
        <v>374.43</v>
      </c>
      <c r="P386" s="20">
        <f t="shared" si="114"/>
        <v>375.48</v>
      </c>
      <c r="Q386" s="20">
        <f t="shared" si="108"/>
        <v>374.95500000000004</v>
      </c>
      <c r="R386" s="20">
        <f t="shared" si="117"/>
        <v>373.43</v>
      </c>
      <c r="S386" s="20">
        <f t="shared" si="112"/>
        <v>374.48</v>
      </c>
      <c r="T386" s="20">
        <f t="shared" si="113"/>
        <v>373.95500000000004</v>
      </c>
      <c r="U386" s="20">
        <v>373.95500000000004</v>
      </c>
      <c r="V386" s="22">
        <v>5.9123999999999999</v>
      </c>
      <c r="W386" s="22">
        <v>2.4573999999999998</v>
      </c>
      <c r="X386" s="23">
        <v>1.1476266666666668</v>
      </c>
      <c r="Y386" s="23">
        <f t="shared" si="101"/>
        <v>4.7647733333333333</v>
      </c>
      <c r="Z386" s="23">
        <f t="shared" si="102"/>
        <v>1.309773333333333</v>
      </c>
      <c r="AA386" s="22">
        <f t="shared" si="103"/>
        <v>72.511319181325177</v>
      </c>
      <c r="AB386" s="22">
        <f t="shared" si="104"/>
        <v>27.488680818674823</v>
      </c>
      <c r="AC386" s="22">
        <f t="shared" si="105"/>
        <v>1.116915936662159</v>
      </c>
      <c r="AD386" s="22">
        <f t="shared" si="106"/>
        <v>0.30702545684197319</v>
      </c>
      <c r="AE386" s="24">
        <v>5.1771000000000003</v>
      </c>
      <c r="AF386" s="24">
        <v>5.5568</v>
      </c>
      <c r="AG386" s="24">
        <v>5.2766999999999999</v>
      </c>
      <c r="AH386" s="25">
        <f>AG386-AE386</f>
        <v>9.9599999999999689E-2</v>
      </c>
      <c r="AI386" s="25">
        <v>73.768764814327156</v>
      </c>
      <c r="AJ386" s="26">
        <v>3.6884382407163581</v>
      </c>
      <c r="AK386" s="25">
        <v>36.884382407163578</v>
      </c>
      <c r="AL386" s="26">
        <v>3.6895361030323017</v>
      </c>
      <c r="AM386" s="17">
        <f t="shared" si="107"/>
        <v>0.5780346820809249</v>
      </c>
      <c r="AN386" s="17"/>
      <c r="AO386" s="27"/>
      <c r="AP386" s="17"/>
      <c r="AQ386" s="17"/>
      <c r="AR386" s="17"/>
      <c r="AS386" s="17"/>
      <c r="AT386" s="17"/>
      <c r="AU386" s="17"/>
      <c r="AV386" s="17"/>
      <c r="AW386" s="17"/>
      <c r="AX386" s="17"/>
      <c r="BB386" s="17"/>
    </row>
    <row r="387" spans="1:54" x14ac:dyDescent="0.2">
      <c r="A387" s="17" t="s">
        <v>41</v>
      </c>
      <c r="B387" s="18" t="s">
        <v>42</v>
      </c>
      <c r="C387" s="18" t="str">
        <f t="shared" ref="C387:C450" si="119">B387&amp;"."&amp;E387</f>
        <v>BI10.10</v>
      </c>
      <c r="D387" s="18" t="str">
        <f t="shared" ref="D387:D450" si="120">C387&amp;"_"&amp;F387</f>
        <v>BI10.10_386</v>
      </c>
      <c r="E387" s="17">
        <v>10</v>
      </c>
      <c r="F387" s="19">
        <v>386</v>
      </c>
      <c r="G387" s="20">
        <v>2.1</v>
      </c>
      <c r="H387" s="20">
        <v>2.2000000000000002</v>
      </c>
      <c r="I387" s="20">
        <v>0.95</v>
      </c>
      <c r="J387" s="20">
        <f t="shared" si="118"/>
        <v>3.4472293750000009</v>
      </c>
      <c r="K387" s="53">
        <v>0.18999999999999986</v>
      </c>
      <c r="L387" s="20">
        <f t="shared" si="116"/>
        <v>15.670000000000016</v>
      </c>
      <c r="M387" s="20">
        <f t="shared" si="115"/>
        <v>16.620000000000005</v>
      </c>
      <c r="N387" s="20">
        <f t="shared" si="115"/>
        <v>16.144999999999982</v>
      </c>
      <c r="O387" s="20">
        <f>P386+$AO$379</f>
        <v>375.67</v>
      </c>
      <c r="P387" s="20">
        <f t="shared" si="114"/>
        <v>376.62</v>
      </c>
      <c r="Q387" s="20">
        <f t="shared" si="108"/>
        <v>376.14499999999998</v>
      </c>
      <c r="R387" s="20">
        <f t="shared" si="117"/>
        <v>374.67</v>
      </c>
      <c r="S387" s="20">
        <f t="shared" si="112"/>
        <v>375.62</v>
      </c>
      <c r="T387" s="20">
        <f t="shared" si="113"/>
        <v>375.14499999999998</v>
      </c>
      <c r="U387" s="20">
        <v>375.14499999999998</v>
      </c>
      <c r="V387" s="22">
        <v>5.6616999999999997</v>
      </c>
      <c r="W387" s="22">
        <v>2.4056000000000002</v>
      </c>
      <c r="X387" s="23">
        <v>1.1476266666666668</v>
      </c>
      <c r="Y387" s="23">
        <f t="shared" ref="Y387:Y450" si="121">V387-X387</f>
        <v>4.5140733333333332</v>
      </c>
      <c r="Z387" s="23">
        <f t="shared" ref="Z387:Z450" si="122">W387-X387</f>
        <v>1.2579733333333334</v>
      </c>
      <c r="AA387" s="22">
        <f t="shared" ref="AA387:AA450" si="123">((Y387-Z387)/Y387)*100</f>
        <v>72.132191029240417</v>
      </c>
      <c r="AB387" s="22">
        <f t="shared" ref="AB387:AB450" si="124">100-AA387</f>
        <v>27.867808970759583</v>
      </c>
      <c r="AC387" s="22">
        <f t="shared" ref="AC387:AC450" si="125">(V387-X387)/J387</f>
        <v>1.3094786688899493</v>
      </c>
      <c r="AD387" s="22">
        <f t="shared" ref="AD387:AD450" si="126">(W387-X387)/J387</f>
        <v>0.36492301395909665</v>
      </c>
      <c r="AE387" s="24">
        <v>5.6421999999999999</v>
      </c>
      <c r="AF387" s="24">
        <v>6.1109</v>
      </c>
      <c r="AG387" s="24">
        <v>5.7651000000000003</v>
      </c>
      <c r="AH387" s="25">
        <f>AG387-AE387</f>
        <v>0.12290000000000045</v>
      </c>
      <c r="AI387" s="25">
        <v>73.77853637721347</v>
      </c>
      <c r="AJ387" s="26">
        <v>3.6889268188606739</v>
      </c>
      <c r="AK387" s="25">
        <v>36.889268188606735</v>
      </c>
      <c r="AL387" s="26">
        <v>3.690024535814028</v>
      </c>
      <c r="AM387" s="17">
        <f t="shared" ref="AM387:AM450" si="127">1/1.73</f>
        <v>0.5780346820809249</v>
      </c>
      <c r="AN387" s="17"/>
      <c r="AO387" s="27"/>
      <c r="AP387" s="17"/>
      <c r="AQ387" s="17"/>
      <c r="AR387" s="17"/>
      <c r="AS387" s="17"/>
      <c r="AT387" s="17"/>
      <c r="AU387" s="17"/>
      <c r="AV387" s="17"/>
      <c r="AW387" s="17"/>
      <c r="AX387" s="17"/>
      <c r="BB387" s="17"/>
    </row>
    <row r="388" spans="1:54" x14ac:dyDescent="0.2">
      <c r="A388" s="17" t="s">
        <v>41</v>
      </c>
      <c r="B388" s="18" t="s">
        <v>42</v>
      </c>
      <c r="C388" s="18" t="str">
        <f t="shared" si="119"/>
        <v>BI10.10</v>
      </c>
      <c r="D388" s="18" t="str">
        <f t="shared" si="120"/>
        <v>BI10.10_387</v>
      </c>
      <c r="E388" s="17">
        <v>10</v>
      </c>
      <c r="F388" s="19">
        <v>387</v>
      </c>
      <c r="G388" s="20">
        <v>1.85</v>
      </c>
      <c r="H388" s="20">
        <v>2.4500000000000002</v>
      </c>
      <c r="I388" s="20">
        <v>1.1000000000000001</v>
      </c>
      <c r="J388" s="20">
        <f t="shared" si="118"/>
        <v>3.9915287500000014</v>
      </c>
      <c r="K388" s="53">
        <v>0.18999999999999986</v>
      </c>
      <c r="L388" s="20">
        <f t="shared" si="116"/>
        <v>16.810000000000002</v>
      </c>
      <c r="M388" s="20">
        <f t="shared" si="115"/>
        <v>17.910000000000025</v>
      </c>
      <c r="N388" s="20">
        <f t="shared" si="115"/>
        <v>17.360000000000014</v>
      </c>
      <c r="O388" s="20">
        <f>P387+$AO$379</f>
        <v>376.81</v>
      </c>
      <c r="P388" s="20">
        <f t="shared" si="114"/>
        <v>377.91</v>
      </c>
      <c r="Q388" s="20">
        <f t="shared" ref="Q388:Q451" si="128">O388+((P388-O388)/2)</f>
        <v>377.36</v>
      </c>
      <c r="R388" s="20">
        <f t="shared" si="117"/>
        <v>375.81</v>
      </c>
      <c r="S388" s="20">
        <f t="shared" si="112"/>
        <v>376.91</v>
      </c>
      <c r="T388" s="20">
        <f t="shared" si="113"/>
        <v>376.36</v>
      </c>
      <c r="U388" s="20">
        <v>376.36</v>
      </c>
      <c r="V388" s="22">
        <v>5.2164999999999999</v>
      </c>
      <c r="W388" s="22">
        <v>2.1396999999999999</v>
      </c>
      <c r="X388" s="23">
        <v>1.1476266666666668</v>
      </c>
      <c r="Y388" s="23">
        <f t="shared" si="121"/>
        <v>4.0688733333333333</v>
      </c>
      <c r="Z388" s="23">
        <f t="shared" si="122"/>
        <v>0.99207333333333314</v>
      </c>
      <c r="AA388" s="22">
        <f t="shared" si="123"/>
        <v>75.617984339645218</v>
      </c>
      <c r="AB388" s="22">
        <f t="shared" si="124"/>
        <v>24.382015660354782</v>
      </c>
      <c r="AC388" s="22">
        <f t="shared" si="125"/>
        <v>1.0193771830738616</v>
      </c>
      <c r="AD388" s="22">
        <f t="shared" si="126"/>
        <v>0.24854470441515242</v>
      </c>
      <c r="AE388" s="24">
        <v>5.3863000000000003</v>
      </c>
      <c r="AF388" s="24">
        <v>5.7370000000000001</v>
      </c>
      <c r="AG388" s="24">
        <v>5.4865000000000004</v>
      </c>
      <c r="AH388" s="25">
        <f>AG388-AE388</f>
        <v>0.10020000000000007</v>
      </c>
      <c r="AI388" s="25">
        <v>71.428571428571402</v>
      </c>
      <c r="AJ388" s="26">
        <v>3.5714285714285703</v>
      </c>
      <c r="AK388" s="25">
        <v>35.714285714285701</v>
      </c>
      <c r="AL388" s="26">
        <v>3.5725623914518718</v>
      </c>
      <c r="AM388" s="17">
        <f t="shared" si="127"/>
        <v>0.5780346820809249</v>
      </c>
      <c r="AN388" s="17"/>
      <c r="AO388" s="27"/>
      <c r="AP388" s="17"/>
      <c r="AQ388" s="17"/>
      <c r="AR388" s="17"/>
      <c r="AS388" s="17"/>
      <c r="AT388" s="17"/>
      <c r="AU388" s="17"/>
      <c r="AV388" s="17"/>
      <c r="AW388" s="17"/>
      <c r="AX388" s="17"/>
      <c r="BB388" s="17"/>
    </row>
    <row r="389" spans="1:54" x14ac:dyDescent="0.2">
      <c r="A389" s="17" t="s">
        <v>41</v>
      </c>
      <c r="B389" s="18" t="s">
        <v>42</v>
      </c>
      <c r="C389" s="18" t="str">
        <f t="shared" si="119"/>
        <v>BI10.10</v>
      </c>
      <c r="D389" s="18" t="str">
        <f t="shared" si="120"/>
        <v>BI10.10_388</v>
      </c>
      <c r="E389" s="17">
        <v>10</v>
      </c>
      <c r="F389" s="19">
        <v>388</v>
      </c>
      <c r="G389" s="20">
        <v>2.15</v>
      </c>
      <c r="H389" s="20">
        <v>2.2999999999999998</v>
      </c>
      <c r="I389" s="20">
        <v>1</v>
      </c>
      <c r="J389" s="20">
        <f t="shared" si="118"/>
        <v>3.8862406249999992</v>
      </c>
      <c r="K389" s="53">
        <v>0.18999999999999986</v>
      </c>
      <c r="L389" s="20">
        <f t="shared" si="116"/>
        <v>18.100000000000023</v>
      </c>
      <c r="M389" s="20">
        <f t="shared" si="115"/>
        <v>19.100000000000023</v>
      </c>
      <c r="N389" s="20">
        <f t="shared" si="115"/>
        <v>18.600000000000023</v>
      </c>
      <c r="O389" s="20">
        <f>P388+$AO$379</f>
        <v>378.1</v>
      </c>
      <c r="P389" s="20">
        <f t="shared" si="114"/>
        <v>379.1</v>
      </c>
      <c r="Q389" s="20">
        <f t="shared" si="128"/>
        <v>378.6</v>
      </c>
      <c r="R389" s="20">
        <f t="shared" si="117"/>
        <v>377.1</v>
      </c>
      <c r="S389" s="20">
        <f t="shared" si="112"/>
        <v>378.1</v>
      </c>
      <c r="T389" s="20">
        <f t="shared" si="113"/>
        <v>377.6</v>
      </c>
      <c r="U389" s="20">
        <v>377.6</v>
      </c>
      <c r="V389" s="22">
        <v>5.7378</v>
      </c>
      <c r="W389" s="22">
        <v>2.2315999999999998</v>
      </c>
      <c r="X389" s="23">
        <v>1.1476266666666668</v>
      </c>
      <c r="Y389" s="23">
        <f t="shared" si="121"/>
        <v>4.5901733333333334</v>
      </c>
      <c r="Z389" s="23">
        <f t="shared" si="122"/>
        <v>1.083973333333333</v>
      </c>
      <c r="AA389" s="22">
        <f t="shared" si="123"/>
        <v>76.384915021364492</v>
      </c>
      <c r="AB389" s="22">
        <f t="shared" si="124"/>
        <v>23.615084978635508</v>
      </c>
      <c r="AC389" s="22">
        <f t="shared" si="125"/>
        <v>1.1811346172969757</v>
      </c>
      <c r="AD389" s="22">
        <f t="shared" si="126"/>
        <v>0.27892594358676215</v>
      </c>
      <c r="AE389" s="24">
        <v>5.6410999999999998</v>
      </c>
      <c r="AF389" s="24">
        <v>5.9269999999999996</v>
      </c>
      <c r="AG389" s="24">
        <v>5.7145000000000001</v>
      </c>
      <c r="AH389" s="25">
        <f>AG389-AE389</f>
        <v>7.3400000000000354E-2</v>
      </c>
      <c r="AI389" s="25">
        <v>74.326687653025388</v>
      </c>
      <c r="AJ389" s="26">
        <v>3.7163343826512696</v>
      </c>
      <c r="AK389" s="25">
        <v>37.163343826512694</v>
      </c>
      <c r="AL389" s="26">
        <v>3.7174240064426325</v>
      </c>
      <c r="AM389" s="17">
        <f t="shared" si="127"/>
        <v>0.5780346820809249</v>
      </c>
      <c r="AN389" s="17"/>
      <c r="AO389" s="27"/>
      <c r="AP389" s="17"/>
      <c r="AQ389" s="17"/>
      <c r="AR389" s="17"/>
      <c r="AS389" s="17"/>
      <c r="AT389" s="17"/>
      <c r="AU389" s="17"/>
      <c r="AV389" s="17"/>
      <c r="AW389" s="17"/>
      <c r="AX389" s="17"/>
      <c r="BB389" s="17"/>
    </row>
    <row r="390" spans="1:54" x14ac:dyDescent="0.2">
      <c r="A390" s="17" t="s">
        <v>41</v>
      </c>
      <c r="B390" s="18" t="s">
        <v>42</v>
      </c>
      <c r="C390" s="18" t="str">
        <f t="shared" si="119"/>
        <v>BI10.10</v>
      </c>
      <c r="D390" s="18" t="str">
        <f t="shared" si="120"/>
        <v>BI10.10_389</v>
      </c>
      <c r="E390" s="17">
        <v>10</v>
      </c>
      <c r="F390" s="19">
        <v>389</v>
      </c>
      <c r="G390" s="20">
        <v>2.2000000000000002</v>
      </c>
      <c r="H390" s="20">
        <v>2.2999999999999998</v>
      </c>
      <c r="I390" s="20">
        <v>1.05</v>
      </c>
      <c r="J390" s="20">
        <f t="shared" si="118"/>
        <v>4.1727656250000003</v>
      </c>
      <c r="K390" s="53">
        <v>0.18999999999999986</v>
      </c>
      <c r="L390" s="20">
        <f t="shared" si="116"/>
        <v>19.29000000000002</v>
      </c>
      <c r="M390" s="20">
        <f t="shared" si="116"/>
        <v>20.340000000000032</v>
      </c>
      <c r="N390" s="20">
        <f t="shared" si="116"/>
        <v>19.815000000000055</v>
      </c>
      <c r="O390" s="20">
        <f>P389+$AO$379</f>
        <v>379.29</v>
      </c>
      <c r="P390" s="20">
        <f t="shared" si="114"/>
        <v>380.34000000000003</v>
      </c>
      <c r="Q390" s="20">
        <f t="shared" si="128"/>
        <v>379.81500000000005</v>
      </c>
      <c r="R390" s="20">
        <f t="shared" si="117"/>
        <v>378.29</v>
      </c>
      <c r="S390" s="20">
        <f t="shared" si="112"/>
        <v>379.34000000000003</v>
      </c>
      <c r="T390" s="20">
        <f t="shared" si="113"/>
        <v>378.81500000000005</v>
      </c>
      <c r="U390" s="20">
        <v>378.81500000000005</v>
      </c>
      <c r="V390" s="22">
        <v>5.9013999999999998</v>
      </c>
      <c r="W390" s="22">
        <v>2.2092000000000001</v>
      </c>
      <c r="X390" s="23">
        <v>1.1476266666666668</v>
      </c>
      <c r="Y390" s="23">
        <f t="shared" si="121"/>
        <v>4.7537733333333332</v>
      </c>
      <c r="Z390" s="23">
        <f t="shared" si="122"/>
        <v>1.0615733333333333</v>
      </c>
      <c r="AA390" s="22">
        <f t="shared" si="123"/>
        <v>77.668827289479509</v>
      </c>
      <c r="AB390" s="22">
        <f t="shared" si="124"/>
        <v>22.331172710520491</v>
      </c>
      <c r="AC390" s="22">
        <f t="shared" si="125"/>
        <v>1.1392380403184836</v>
      </c>
      <c r="AD390" s="22">
        <f t="shared" si="126"/>
        <v>0.2544052143674696</v>
      </c>
      <c r="AE390" s="24">
        <v>5.5884</v>
      </c>
      <c r="AF390" s="24">
        <v>6.0175000000000001</v>
      </c>
      <c r="AG390" s="24">
        <v>5.7018000000000004</v>
      </c>
      <c r="AH390" s="25">
        <f>AG390-AE390</f>
        <v>0.11340000000000039</v>
      </c>
      <c r="AI390" s="25">
        <v>73.572593800978709</v>
      </c>
      <c r="AJ390" s="26">
        <v>3.6786296900489357</v>
      </c>
      <c r="AK390" s="25">
        <v>36.786296900489354</v>
      </c>
      <c r="AL390" s="26">
        <v>3.679730478786392</v>
      </c>
      <c r="AM390" s="17">
        <f t="shared" si="127"/>
        <v>0.5780346820809249</v>
      </c>
      <c r="AN390" s="17"/>
      <c r="AO390" s="27"/>
      <c r="AP390" s="17"/>
      <c r="AQ390" s="17"/>
      <c r="AR390" s="17"/>
      <c r="AS390" s="17"/>
      <c r="AT390" s="17"/>
      <c r="AU390" s="17"/>
      <c r="AV390" s="17"/>
      <c r="AW390" s="17"/>
      <c r="AX390" s="17"/>
      <c r="BB390" s="17"/>
    </row>
    <row r="391" spans="1:54" x14ac:dyDescent="0.2">
      <c r="A391" s="17" t="s">
        <v>41</v>
      </c>
      <c r="B391" s="18" t="s">
        <v>42</v>
      </c>
      <c r="C391" s="18" t="str">
        <f t="shared" si="119"/>
        <v>BI10.10</v>
      </c>
      <c r="D391" s="18" t="str">
        <f t="shared" si="120"/>
        <v>BI10.10_390</v>
      </c>
      <c r="E391" s="17">
        <v>10</v>
      </c>
      <c r="F391" s="19">
        <v>390</v>
      </c>
      <c r="G391" s="20">
        <v>2.1</v>
      </c>
      <c r="H391" s="20">
        <v>2.35</v>
      </c>
      <c r="I391" s="20">
        <v>1</v>
      </c>
      <c r="J391" s="20">
        <f t="shared" si="118"/>
        <v>3.8862406250000006</v>
      </c>
      <c r="K391" s="53">
        <v>0.18999999999999986</v>
      </c>
      <c r="L391" s="20">
        <f t="shared" si="116"/>
        <v>20.53000000000003</v>
      </c>
      <c r="M391" s="20">
        <f t="shared" si="116"/>
        <v>21.53000000000003</v>
      </c>
      <c r="N391" s="20">
        <f t="shared" si="116"/>
        <v>21.03000000000003</v>
      </c>
      <c r="O391" s="20">
        <f>P390+$AO$379</f>
        <v>380.53000000000003</v>
      </c>
      <c r="P391" s="20">
        <f t="shared" si="114"/>
        <v>381.53000000000003</v>
      </c>
      <c r="Q391" s="20">
        <f t="shared" si="128"/>
        <v>381.03000000000003</v>
      </c>
      <c r="R391" s="20">
        <f t="shared" si="117"/>
        <v>379.53000000000003</v>
      </c>
      <c r="S391" s="20">
        <f t="shared" si="112"/>
        <v>380.53000000000003</v>
      </c>
      <c r="T391" s="20">
        <f t="shared" si="113"/>
        <v>380.03000000000003</v>
      </c>
      <c r="U391" s="20">
        <v>380.03000000000003</v>
      </c>
      <c r="V391" s="22">
        <v>5.5113000000000003</v>
      </c>
      <c r="W391" s="22">
        <v>2.0775000000000001</v>
      </c>
      <c r="X391" s="23">
        <v>1.1476266666666668</v>
      </c>
      <c r="Y391" s="23">
        <f t="shared" si="121"/>
        <v>4.3636733333333337</v>
      </c>
      <c r="Z391" s="23">
        <f t="shared" si="122"/>
        <v>0.92987333333333333</v>
      </c>
      <c r="AA391" s="22">
        <f t="shared" si="123"/>
        <v>78.690583315891359</v>
      </c>
      <c r="AB391" s="22">
        <f t="shared" si="124"/>
        <v>21.309416684108641</v>
      </c>
      <c r="AC391" s="22">
        <f t="shared" si="125"/>
        <v>1.1228520707807004</v>
      </c>
      <c r="AD391" s="22">
        <f t="shared" si="126"/>
        <v>0.23927322650880198</v>
      </c>
      <c r="AE391" s="24">
        <v>5.0590000000000002</v>
      </c>
      <c r="AF391" s="24">
        <v>5.5247000000000002</v>
      </c>
      <c r="AG391" s="24">
        <v>5.1767000000000003</v>
      </c>
      <c r="AH391" s="25">
        <f>AG391-AE391</f>
        <v>0.11770000000000014</v>
      </c>
      <c r="AI391" s="25">
        <v>74.726218595662417</v>
      </c>
      <c r="AJ391" s="26">
        <v>3.7363109297831212</v>
      </c>
      <c r="AK391" s="25">
        <v>37.363109297831208</v>
      </c>
      <c r="AL391" s="26">
        <v>3.737394729489623</v>
      </c>
      <c r="AM391" s="17">
        <f t="shared" si="127"/>
        <v>0.5780346820809249</v>
      </c>
      <c r="AN391" s="17"/>
      <c r="AO391" s="27"/>
      <c r="AP391" s="17"/>
      <c r="AQ391" s="17"/>
      <c r="AR391" s="17"/>
      <c r="AS391" s="17"/>
      <c r="AT391" s="17"/>
      <c r="AU391" s="17"/>
      <c r="AV391" s="17"/>
      <c r="AW391" s="17"/>
      <c r="AX391" s="17"/>
      <c r="BB391" s="17"/>
    </row>
    <row r="392" spans="1:54" x14ac:dyDescent="0.2">
      <c r="A392" s="17" t="s">
        <v>41</v>
      </c>
      <c r="B392" s="18" t="s">
        <v>42</v>
      </c>
      <c r="C392" s="18" t="str">
        <f t="shared" si="119"/>
        <v>BI10.10</v>
      </c>
      <c r="D392" s="18" t="str">
        <f t="shared" si="120"/>
        <v>BI10.10_391</v>
      </c>
      <c r="E392" s="17">
        <v>10</v>
      </c>
      <c r="F392" s="19">
        <v>391</v>
      </c>
      <c r="G392" s="20">
        <v>2.2999999999999998</v>
      </c>
      <c r="H392" s="20">
        <v>2.1</v>
      </c>
      <c r="I392" s="20">
        <v>1</v>
      </c>
      <c r="J392" s="20">
        <f t="shared" si="118"/>
        <v>3.7994000000000008</v>
      </c>
      <c r="K392" s="53">
        <v>0.18999999999999986</v>
      </c>
      <c r="L392" s="20">
        <f t="shared" si="116"/>
        <v>21.720000000000027</v>
      </c>
      <c r="M392" s="20">
        <f t="shared" si="116"/>
        <v>22.720000000000027</v>
      </c>
      <c r="N392" s="20">
        <f t="shared" si="116"/>
        <v>22.220000000000027</v>
      </c>
      <c r="O392" s="20">
        <f>P391+$AO$379</f>
        <v>381.72</v>
      </c>
      <c r="P392" s="20">
        <f t="shared" si="114"/>
        <v>382.72</v>
      </c>
      <c r="Q392" s="20">
        <f t="shared" si="128"/>
        <v>382.22</v>
      </c>
      <c r="R392" s="20">
        <f t="shared" si="117"/>
        <v>380.72</v>
      </c>
      <c r="S392" s="20">
        <f t="shared" si="112"/>
        <v>381.72</v>
      </c>
      <c r="T392" s="20">
        <f t="shared" si="113"/>
        <v>381.22</v>
      </c>
      <c r="U392" s="20">
        <v>381.22</v>
      </c>
      <c r="V392" s="22">
        <v>5.6645000000000003</v>
      </c>
      <c r="W392" s="22">
        <v>2.1286</v>
      </c>
      <c r="X392" s="23">
        <v>1.1476266666666668</v>
      </c>
      <c r="Y392" s="23">
        <f t="shared" si="121"/>
        <v>4.5168733333333337</v>
      </c>
      <c r="Z392" s="23">
        <f t="shared" si="122"/>
        <v>0.98097333333333325</v>
      </c>
      <c r="AA392" s="22">
        <f t="shared" si="123"/>
        <v>78.282026947844457</v>
      </c>
      <c r="AB392" s="22">
        <f t="shared" si="124"/>
        <v>21.717973052155543</v>
      </c>
      <c r="AC392" s="22">
        <f t="shared" si="125"/>
        <v>1.1888385885490691</v>
      </c>
      <c r="AD392" s="22">
        <f t="shared" si="126"/>
        <v>0.25819164429471314</v>
      </c>
      <c r="AE392" s="24">
        <v>4.9819000000000004</v>
      </c>
      <c r="AF392" s="24">
        <v>5.4359000000000002</v>
      </c>
      <c r="AG392" s="24">
        <v>5.1417000000000002</v>
      </c>
      <c r="AH392" s="25">
        <f>AG392-AE392</f>
        <v>0.15979999999999972</v>
      </c>
      <c r="AI392" s="25">
        <v>64.801762114537482</v>
      </c>
      <c r="AJ392" s="26">
        <v>3.2400881057268744</v>
      </c>
      <c r="AK392" s="25">
        <v>32.400881057268741</v>
      </c>
      <c r="AL392" s="26">
        <v>3.2413378307224883</v>
      </c>
      <c r="AM392" s="17">
        <f t="shared" si="127"/>
        <v>0.5780346820809249</v>
      </c>
      <c r="AN392" s="17"/>
      <c r="AO392" s="27"/>
      <c r="AP392" s="17"/>
      <c r="AQ392" s="17"/>
      <c r="AR392" s="17"/>
      <c r="AS392" s="17"/>
      <c r="AT392" s="17"/>
      <c r="AU392" s="17"/>
      <c r="AV392" s="17"/>
      <c r="AW392" s="17"/>
      <c r="AX392" s="17"/>
      <c r="BB392" s="17"/>
    </row>
    <row r="393" spans="1:54" x14ac:dyDescent="0.2">
      <c r="A393" s="17" t="s">
        <v>41</v>
      </c>
      <c r="B393" s="18" t="s">
        <v>42</v>
      </c>
      <c r="C393" s="18" t="str">
        <f t="shared" si="119"/>
        <v>BI10.10</v>
      </c>
      <c r="D393" s="18" t="str">
        <f t="shared" si="120"/>
        <v>BI10.10_392</v>
      </c>
      <c r="E393" s="17">
        <v>10</v>
      </c>
      <c r="F393" s="19">
        <v>392</v>
      </c>
      <c r="G393" s="20">
        <v>2.0499999999999998</v>
      </c>
      <c r="H393" s="20">
        <v>2.2999999999999998</v>
      </c>
      <c r="I393" s="20">
        <v>1.05</v>
      </c>
      <c r="J393" s="20">
        <f t="shared" si="118"/>
        <v>3.8992176562499994</v>
      </c>
      <c r="K393" s="53">
        <v>0.18999999999999986</v>
      </c>
      <c r="L393" s="20">
        <f t="shared" si="116"/>
        <v>22.910000000000025</v>
      </c>
      <c r="M393" s="20">
        <f t="shared" si="116"/>
        <v>23.960000000000036</v>
      </c>
      <c r="N393" s="20">
        <f t="shared" si="116"/>
        <v>23.435000000000059</v>
      </c>
      <c r="O393" s="20">
        <f>P392+$AO$379</f>
        <v>382.91</v>
      </c>
      <c r="P393" s="20">
        <f t="shared" si="114"/>
        <v>383.96000000000004</v>
      </c>
      <c r="Q393" s="20">
        <f t="shared" si="128"/>
        <v>383.43500000000006</v>
      </c>
      <c r="R393" s="20">
        <f t="shared" si="117"/>
        <v>381.91</v>
      </c>
      <c r="S393" s="20">
        <f t="shared" si="112"/>
        <v>382.96000000000004</v>
      </c>
      <c r="T393" s="20">
        <f t="shared" si="113"/>
        <v>382.43500000000006</v>
      </c>
      <c r="U393" s="20">
        <v>382.43500000000006</v>
      </c>
      <c r="V393" s="22">
        <v>5.7514000000000003</v>
      </c>
      <c r="W393" s="22">
        <v>2.4329000000000001</v>
      </c>
      <c r="X393" s="23">
        <v>1.1476266666666668</v>
      </c>
      <c r="Y393" s="23">
        <f t="shared" si="121"/>
        <v>4.6037733333333337</v>
      </c>
      <c r="Z393" s="23">
        <f t="shared" si="122"/>
        <v>1.2852733333333333</v>
      </c>
      <c r="AA393" s="22">
        <f t="shared" si="123"/>
        <v>72.082176070064264</v>
      </c>
      <c r="AB393" s="22">
        <f t="shared" si="124"/>
        <v>27.917823929935736</v>
      </c>
      <c r="AC393" s="22">
        <f t="shared" si="125"/>
        <v>1.1806915487146536</v>
      </c>
      <c r="AD393" s="22">
        <f t="shared" si="126"/>
        <v>0.32962338772578836</v>
      </c>
      <c r="AE393" s="24">
        <v>5.7373000000000003</v>
      </c>
      <c r="AF393" s="24">
        <v>6.1125999999999996</v>
      </c>
      <c r="AG393" s="24">
        <v>5.8456999999999999</v>
      </c>
      <c r="AH393" s="25">
        <f>AG393-AE393</f>
        <v>0.10839999999999961</v>
      </c>
      <c r="AI393" s="25">
        <v>71.116440181188437</v>
      </c>
      <c r="AJ393" s="26">
        <v>3.5558220090594221</v>
      </c>
      <c r="AK393" s="25">
        <v>35.558220090594219</v>
      </c>
      <c r="AL393" s="26">
        <v>3.5569608038480527</v>
      </c>
      <c r="AM393" s="17">
        <f t="shared" si="127"/>
        <v>0.5780346820809249</v>
      </c>
      <c r="AN393" s="17"/>
      <c r="AO393" s="27"/>
      <c r="AP393" s="17"/>
      <c r="AQ393" s="17"/>
      <c r="AR393" s="17"/>
      <c r="AS393" s="17"/>
      <c r="AT393" s="17"/>
      <c r="AU393" s="17"/>
      <c r="AV393" s="17"/>
      <c r="AW393" s="17"/>
      <c r="AX393" s="17"/>
      <c r="BB393" s="17"/>
    </row>
    <row r="394" spans="1:54" x14ac:dyDescent="0.2">
      <c r="A394" s="17" t="s">
        <v>41</v>
      </c>
      <c r="B394" s="18" t="s">
        <v>42</v>
      </c>
      <c r="C394" s="18" t="str">
        <f t="shared" si="119"/>
        <v>BI10.10</v>
      </c>
      <c r="D394" s="18" t="str">
        <f t="shared" si="120"/>
        <v>BI10.10_393</v>
      </c>
      <c r="E394" s="17">
        <v>10</v>
      </c>
      <c r="F394" s="19">
        <v>393</v>
      </c>
      <c r="G394" s="20">
        <v>2.25</v>
      </c>
      <c r="H394" s="20">
        <v>2.25</v>
      </c>
      <c r="I394" s="20">
        <v>0.9</v>
      </c>
      <c r="J394" s="20">
        <f t="shared" si="118"/>
        <v>3.5766562500000001</v>
      </c>
      <c r="K394" s="53">
        <v>0.18999999999999986</v>
      </c>
      <c r="L394" s="20">
        <f t="shared" si="116"/>
        <v>24.150000000000034</v>
      </c>
      <c r="M394" s="20">
        <f t="shared" si="116"/>
        <v>25.050000000000011</v>
      </c>
      <c r="N394" s="20">
        <f t="shared" si="116"/>
        <v>24.600000000000023</v>
      </c>
      <c r="O394" s="20">
        <f>P393+$AO$379</f>
        <v>384.15000000000003</v>
      </c>
      <c r="P394" s="20">
        <f t="shared" si="114"/>
        <v>385.05</v>
      </c>
      <c r="Q394" s="20">
        <f t="shared" si="128"/>
        <v>384.6</v>
      </c>
      <c r="R394" s="20">
        <f t="shared" si="117"/>
        <v>383.15000000000003</v>
      </c>
      <c r="S394" s="20">
        <f t="shared" si="112"/>
        <v>384.05</v>
      </c>
      <c r="T394" s="20">
        <f t="shared" si="113"/>
        <v>383.6</v>
      </c>
      <c r="U394" s="20">
        <v>383.6</v>
      </c>
      <c r="V394" s="22">
        <v>5.3038999999999996</v>
      </c>
      <c r="W394" s="22">
        <v>2.1379000000000001</v>
      </c>
      <c r="X394" s="23">
        <v>1.1476266666666668</v>
      </c>
      <c r="Y394" s="23">
        <f t="shared" si="121"/>
        <v>4.156273333333333</v>
      </c>
      <c r="Z394" s="23">
        <f t="shared" si="122"/>
        <v>0.99027333333333334</v>
      </c>
      <c r="AA394" s="22">
        <f t="shared" si="123"/>
        <v>76.174008446669362</v>
      </c>
      <c r="AB394" s="22">
        <f t="shared" si="124"/>
        <v>23.825991553330638</v>
      </c>
      <c r="AC394" s="22">
        <f t="shared" si="125"/>
        <v>1.1620555744861791</v>
      </c>
      <c r="AD394" s="22">
        <f t="shared" si="126"/>
        <v>0.27687126302208476</v>
      </c>
      <c r="AE394" s="24">
        <v>5.4413999999999998</v>
      </c>
      <c r="AF394" s="24">
        <v>5.9893000000000001</v>
      </c>
      <c r="AG394" s="24">
        <v>5.6016000000000004</v>
      </c>
      <c r="AH394" s="25">
        <f>AG394-AE394</f>
        <v>0.16020000000000056</v>
      </c>
      <c r="AI394" s="25">
        <v>70.761087789742561</v>
      </c>
      <c r="AJ394" s="26">
        <v>3.5380543894871281</v>
      </c>
      <c r="AK394" s="25">
        <v>35.38054389487128</v>
      </c>
      <c r="AL394" s="26">
        <v>3.5391989013008489</v>
      </c>
      <c r="AM394" s="17">
        <f t="shared" si="127"/>
        <v>0.5780346820809249</v>
      </c>
      <c r="AN394" s="17"/>
      <c r="AO394" s="27"/>
      <c r="AP394" s="17"/>
      <c r="AQ394" s="17"/>
      <c r="AR394" s="17"/>
      <c r="AS394" s="17"/>
      <c r="AT394" s="17"/>
      <c r="AU394" s="17"/>
      <c r="AV394" s="17"/>
      <c r="AW394" s="17"/>
      <c r="AX394" s="17"/>
      <c r="BB394" s="17"/>
    </row>
    <row r="395" spans="1:54" x14ac:dyDescent="0.2">
      <c r="A395" s="17" t="s">
        <v>41</v>
      </c>
      <c r="B395" s="18" t="s">
        <v>42</v>
      </c>
      <c r="C395" s="18" t="str">
        <f t="shared" si="119"/>
        <v>BI10.10</v>
      </c>
      <c r="D395" s="18" t="str">
        <f t="shared" si="120"/>
        <v>BI10.10_394</v>
      </c>
      <c r="E395" s="17">
        <v>10</v>
      </c>
      <c r="F395" s="19">
        <v>394</v>
      </c>
      <c r="G395" s="20">
        <v>2.25</v>
      </c>
      <c r="H395" s="20">
        <v>2.25</v>
      </c>
      <c r="I395" s="20">
        <v>0.95</v>
      </c>
      <c r="J395" s="20">
        <f t="shared" si="118"/>
        <v>3.7753593750000003</v>
      </c>
      <c r="K395" s="53">
        <v>0.18999999999999986</v>
      </c>
      <c r="L395" s="20">
        <f t="shared" si="116"/>
        <v>25.240000000000009</v>
      </c>
      <c r="M395" s="20">
        <f t="shared" si="116"/>
        <v>26.189999999999998</v>
      </c>
      <c r="N395" s="20">
        <f t="shared" si="116"/>
        <v>25.715000000000032</v>
      </c>
      <c r="O395" s="20">
        <f>P394+$AO$379</f>
        <v>385.24</v>
      </c>
      <c r="P395" s="20">
        <f t="shared" si="114"/>
        <v>386.19</v>
      </c>
      <c r="Q395" s="20">
        <f t="shared" si="128"/>
        <v>385.71500000000003</v>
      </c>
      <c r="R395" s="20">
        <f t="shared" si="117"/>
        <v>384.24</v>
      </c>
      <c r="S395" s="20">
        <f t="shared" si="112"/>
        <v>385.19</v>
      </c>
      <c r="T395" s="20">
        <f t="shared" si="113"/>
        <v>384.71500000000003</v>
      </c>
      <c r="U395" s="20">
        <v>384.71500000000003</v>
      </c>
      <c r="V395" s="22">
        <v>5.3552999999999997</v>
      </c>
      <c r="W395" s="22">
        <v>2.0089000000000001</v>
      </c>
      <c r="X395" s="23">
        <v>1.1476266666666668</v>
      </c>
      <c r="Y395" s="23">
        <f t="shared" si="121"/>
        <v>4.2076733333333332</v>
      </c>
      <c r="Z395" s="23">
        <f t="shared" si="122"/>
        <v>0.86127333333333334</v>
      </c>
      <c r="AA395" s="22">
        <f t="shared" si="123"/>
        <v>79.530888804739291</v>
      </c>
      <c r="AB395" s="22">
        <f t="shared" si="124"/>
        <v>20.469111195260709</v>
      </c>
      <c r="AC395" s="22">
        <f t="shared" si="125"/>
        <v>1.1145093527244232</v>
      </c>
      <c r="AD395" s="22">
        <f t="shared" si="126"/>
        <v>0.22813015869074271</v>
      </c>
      <c r="AE395" s="24">
        <v>5.4507000000000003</v>
      </c>
      <c r="AF395" s="24">
        <v>5.8590999999999998</v>
      </c>
      <c r="AG395" s="24">
        <v>5.5387000000000004</v>
      </c>
      <c r="AH395" s="25">
        <f>AG395-AE395</f>
        <v>8.8000000000000078E-2</v>
      </c>
      <c r="AI395" s="25">
        <v>78.452497551420137</v>
      </c>
      <c r="AJ395" s="26">
        <v>3.9226248775710069</v>
      </c>
      <c r="AK395" s="25">
        <v>39.226248775710069</v>
      </c>
      <c r="AL395" s="26">
        <v>3.9236572136386938</v>
      </c>
      <c r="AM395" s="17">
        <f t="shared" si="127"/>
        <v>0.5780346820809249</v>
      </c>
      <c r="AN395" s="17"/>
      <c r="AO395" s="27"/>
      <c r="AP395" s="17"/>
      <c r="AQ395" s="17"/>
      <c r="AR395" s="17"/>
      <c r="AS395" s="17"/>
      <c r="AT395" s="17"/>
      <c r="AU395" s="17"/>
      <c r="AV395" s="17"/>
      <c r="AW395" s="17"/>
      <c r="AX395" s="17"/>
      <c r="BB395" s="17"/>
    </row>
    <row r="396" spans="1:54" x14ac:dyDescent="0.2">
      <c r="A396" s="17" t="s">
        <v>41</v>
      </c>
      <c r="B396" s="18" t="s">
        <v>42</v>
      </c>
      <c r="C396" s="18" t="str">
        <f t="shared" si="119"/>
        <v>BI10.10</v>
      </c>
      <c r="D396" s="18" t="str">
        <f t="shared" si="120"/>
        <v>BI10.10_395</v>
      </c>
      <c r="E396" s="17">
        <v>10</v>
      </c>
      <c r="F396" s="19">
        <v>395</v>
      </c>
      <c r="G396" s="20">
        <v>2.2000000000000002</v>
      </c>
      <c r="H396" s="20">
        <v>2.25</v>
      </c>
      <c r="I396" s="20">
        <v>1.1000000000000001</v>
      </c>
      <c r="J396" s="20">
        <f t="shared" si="118"/>
        <v>4.2748646875000009</v>
      </c>
      <c r="K396" s="53">
        <v>0.18999999999999986</v>
      </c>
      <c r="L396" s="20">
        <f t="shared" si="116"/>
        <v>26.379999999999995</v>
      </c>
      <c r="M396" s="20">
        <f t="shared" si="116"/>
        <v>27.480000000000018</v>
      </c>
      <c r="N396" s="20">
        <f t="shared" si="116"/>
        <v>26.930000000000007</v>
      </c>
      <c r="O396" s="20">
        <f>P395+$AO$379</f>
        <v>386.38</v>
      </c>
      <c r="P396" s="20">
        <f t="shared" si="114"/>
        <v>387.48</v>
      </c>
      <c r="Q396" s="20">
        <f t="shared" si="128"/>
        <v>386.93</v>
      </c>
      <c r="R396" s="20">
        <f t="shared" si="117"/>
        <v>385.38</v>
      </c>
      <c r="S396" s="20">
        <f t="shared" si="112"/>
        <v>386.48</v>
      </c>
      <c r="T396" s="20">
        <f t="shared" si="113"/>
        <v>385.93</v>
      </c>
      <c r="U396" s="20">
        <v>385.93</v>
      </c>
      <c r="V396" s="22">
        <v>6.3331999999999997</v>
      </c>
      <c r="W396" s="22">
        <v>2.2585000000000002</v>
      </c>
      <c r="X396" s="23">
        <v>1.1476266666666668</v>
      </c>
      <c r="Y396" s="23">
        <f t="shared" si="121"/>
        <v>5.1855733333333331</v>
      </c>
      <c r="Z396" s="23">
        <f t="shared" si="122"/>
        <v>1.1108733333333334</v>
      </c>
      <c r="AA396" s="22">
        <f t="shared" si="123"/>
        <v>78.577617904031186</v>
      </c>
      <c r="AB396" s="22">
        <f t="shared" si="124"/>
        <v>21.422382095968814</v>
      </c>
      <c r="AC396" s="22">
        <f t="shared" si="125"/>
        <v>1.2130380052721452</v>
      </c>
      <c r="AD396" s="22">
        <f t="shared" si="126"/>
        <v>0.25986163645871729</v>
      </c>
      <c r="AE396" s="24">
        <v>5.0738000000000003</v>
      </c>
      <c r="AF396" s="24">
        <v>5.5934999999999997</v>
      </c>
      <c r="AG396" s="24">
        <v>5.1807999999999996</v>
      </c>
      <c r="AH396" s="25">
        <f>AG396-AE396</f>
        <v>0.10699999999999932</v>
      </c>
      <c r="AI396" s="25">
        <v>79.411198768520407</v>
      </c>
      <c r="AJ396" s="26">
        <v>3.9705599384260206</v>
      </c>
      <c r="AK396" s="25">
        <v>39.705599384260204</v>
      </c>
      <c r="AL396" s="26">
        <v>3.9715798147127352</v>
      </c>
      <c r="AM396" s="17">
        <f t="shared" si="127"/>
        <v>0.5780346820809249</v>
      </c>
      <c r="AN396" s="17"/>
      <c r="AO396" s="27"/>
      <c r="AP396" s="17"/>
      <c r="AQ396" s="17"/>
      <c r="AR396" s="17"/>
      <c r="AS396" s="17"/>
      <c r="AT396" s="17"/>
      <c r="AU396" s="17"/>
      <c r="AV396" s="17"/>
      <c r="AW396" s="17"/>
      <c r="AX396" s="17"/>
      <c r="BB396" s="17"/>
    </row>
    <row r="397" spans="1:54" x14ac:dyDescent="0.2">
      <c r="A397" s="17" t="s">
        <v>41</v>
      </c>
      <c r="B397" s="18" t="s">
        <v>42</v>
      </c>
      <c r="C397" s="18" t="str">
        <f t="shared" si="119"/>
        <v>BI10.10</v>
      </c>
      <c r="D397" s="18" t="str">
        <f t="shared" si="120"/>
        <v>BI10.10_396</v>
      </c>
      <c r="E397" s="17">
        <v>10</v>
      </c>
      <c r="F397" s="19">
        <v>396</v>
      </c>
      <c r="G397" s="20">
        <v>2.4</v>
      </c>
      <c r="H397" s="20">
        <v>2.4</v>
      </c>
      <c r="I397" s="20">
        <v>1.1000000000000001</v>
      </c>
      <c r="J397" s="20">
        <f t="shared" si="118"/>
        <v>4.9737599999999995</v>
      </c>
      <c r="K397" s="53">
        <v>0.18999999999999986</v>
      </c>
      <c r="L397" s="20">
        <f t="shared" si="116"/>
        <v>27.670000000000016</v>
      </c>
      <c r="M397" s="20">
        <f t="shared" si="116"/>
        <v>28.770000000000039</v>
      </c>
      <c r="N397" s="20">
        <f t="shared" si="116"/>
        <v>28.220000000000027</v>
      </c>
      <c r="O397" s="20">
        <f>P396+$AO$379</f>
        <v>387.67</v>
      </c>
      <c r="P397" s="20">
        <f t="shared" si="114"/>
        <v>388.77000000000004</v>
      </c>
      <c r="Q397" s="20">
        <f t="shared" si="128"/>
        <v>388.22</v>
      </c>
      <c r="R397" s="20">
        <f t="shared" si="117"/>
        <v>386.67</v>
      </c>
      <c r="S397" s="20">
        <f t="shared" si="112"/>
        <v>387.77000000000004</v>
      </c>
      <c r="T397" s="20">
        <f t="shared" si="113"/>
        <v>387.22</v>
      </c>
      <c r="U397" s="20">
        <v>387.22</v>
      </c>
      <c r="V397" s="22">
        <v>6.7576000000000001</v>
      </c>
      <c r="W397" s="22">
        <v>2.2526999999999999</v>
      </c>
      <c r="X397" s="23">
        <v>1.1476266666666668</v>
      </c>
      <c r="Y397" s="23">
        <f t="shared" si="121"/>
        <v>5.6099733333333335</v>
      </c>
      <c r="Z397" s="23">
        <f t="shared" si="122"/>
        <v>1.1050733333333331</v>
      </c>
      <c r="AA397" s="22">
        <f t="shared" si="123"/>
        <v>80.301629478928007</v>
      </c>
      <c r="AB397" s="22">
        <f t="shared" si="124"/>
        <v>19.698370521071993</v>
      </c>
      <c r="AC397" s="22">
        <f t="shared" si="125"/>
        <v>1.1279139591241503</v>
      </c>
      <c r="AD397" s="22">
        <f t="shared" si="126"/>
        <v>0.22218067082716764</v>
      </c>
      <c r="AE397" s="24">
        <v>5.6794000000000002</v>
      </c>
      <c r="AF397" s="24">
        <v>6.0833000000000004</v>
      </c>
      <c r="AG397" s="24">
        <v>5.7481</v>
      </c>
      <c r="AH397" s="25">
        <f>AG397-AE397</f>
        <v>6.8699999999999761E-2</v>
      </c>
      <c r="AI397" s="25">
        <v>82.990839316662601</v>
      </c>
      <c r="AJ397" s="26">
        <v>4.1495419658331301</v>
      </c>
      <c r="AK397" s="25">
        <v>41.495419658331301</v>
      </c>
      <c r="AL397" s="26">
        <v>4.1505178624131087</v>
      </c>
      <c r="AM397" s="17">
        <f t="shared" si="127"/>
        <v>0.5780346820809249</v>
      </c>
      <c r="AN397" s="17"/>
      <c r="AO397" s="27"/>
      <c r="AP397" s="17"/>
      <c r="AQ397" s="17"/>
      <c r="AR397" s="17"/>
      <c r="AS397" s="17"/>
      <c r="AT397" s="17"/>
      <c r="AU397" s="17"/>
      <c r="AV397" s="17"/>
      <c r="AW397" s="17"/>
      <c r="AX397" s="17"/>
      <c r="BB397" s="17"/>
    </row>
    <row r="398" spans="1:54" x14ac:dyDescent="0.2">
      <c r="A398" s="17" t="s">
        <v>41</v>
      </c>
      <c r="B398" s="18" t="s">
        <v>42</v>
      </c>
      <c r="C398" s="18" t="str">
        <f t="shared" si="119"/>
        <v>BI10.10</v>
      </c>
      <c r="D398" s="18" t="str">
        <f t="shared" si="120"/>
        <v>BI10.10_397</v>
      </c>
      <c r="E398" s="17">
        <v>10</v>
      </c>
      <c r="F398" s="19">
        <v>397</v>
      </c>
      <c r="G398" s="20">
        <v>2.2000000000000002</v>
      </c>
      <c r="H398" s="20">
        <v>2.4</v>
      </c>
      <c r="I398" s="20">
        <v>1</v>
      </c>
      <c r="J398" s="20">
        <f t="shared" si="118"/>
        <v>4.1526499999999995</v>
      </c>
      <c r="K398" s="53">
        <v>0.18999999999999986</v>
      </c>
      <c r="L398" s="20">
        <f t="shared" si="116"/>
        <v>28.960000000000036</v>
      </c>
      <c r="M398" s="20">
        <f t="shared" si="116"/>
        <v>29.960000000000036</v>
      </c>
      <c r="N398" s="20">
        <f t="shared" si="116"/>
        <v>29.460000000000036</v>
      </c>
      <c r="O398" s="20">
        <f>P397+$AO$379</f>
        <v>388.96000000000004</v>
      </c>
      <c r="P398" s="20">
        <f t="shared" si="114"/>
        <v>389.96000000000004</v>
      </c>
      <c r="Q398" s="20">
        <f t="shared" si="128"/>
        <v>389.46000000000004</v>
      </c>
      <c r="R398" s="20">
        <f t="shared" si="117"/>
        <v>387.96000000000004</v>
      </c>
      <c r="S398" s="20">
        <f t="shared" si="112"/>
        <v>388.96000000000004</v>
      </c>
      <c r="T398" s="20">
        <f t="shared" si="113"/>
        <v>388.46000000000004</v>
      </c>
      <c r="U398" s="20">
        <v>388.46000000000004</v>
      </c>
      <c r="V398" s="22">
        <v>6.3285</v>
      </c>
      <c r="W398" s="22">
        <v>2.1349</v>
      </c>
      <c r="X398" s="23">
        <v>1.1476266666666668</v>
      </c>
      <c r="Y398" s="23">
        <f t="shared" si="121"/>
        <v>5.1808733333333334</v>
      </c>
      <c r="Z398" s="23">
        <f t="shared" si="122"/>
        <v>0.98727333333333323</v>
      </c>
      <c r="AA398" s="22">
        <f t="shared" si="123"/>
        <v>80.943882048200365</v>
      </c>
      <c r="AB398" s="22">
        <f t="shared" si="124"/>
        <v>19.056117951799635</v>
      </c>
      <c r="AC398" s="22">
        <f t="shared" si="125"/>
        <v>1.2476065484289149</v>
      </c>
      <c r="AD398" s="22">
        <f t="shared" si="126"/>
        <v>0.23774537544299021</v>
      </c>
      <c r="AE398" s="24">
        <v>5.0137</v>
      </c>
      <c r="AF398" s="24">
        <v>5.4490999999999996</v>
      </c>
      <c r="AG398" s="24">
        <v>5.0906000000000002</v>
      </c>
      <c r="AH398" s="25">
        <f>AG398-AE398</f>
        <v>7.690000000000019E-2</v>
      </c>
      <c r="AI398" s="25">
        <v>82.338079926504307</v>
      </c>
      <c r="AJ398" s="26">
        <v>4.1169039963252159</v>
      </c>
      <c r="AK398" s="25">
        <v>41.169039963252153</v>
      </c>
      <c r="AL398" s="26">
        <v>4.1178876277720997</v>
      </c>
      <c r="AM398" s="17">
        <f t="shared" si="127"/>
        <v>0.5780346820809249</v>
      </c>
      <c r="AN398" s="17"/>
      <c r="AO398" s="27"/>
      <c r="AP398" s="17"/>
      <c r="AQ398" s="17"/>
      <c r="AR398" s="17"/>
      <c r="AS398" s="17"/>
      <c r="AT398" s="17"/>
      <c r="AU398" s="17"/>
      <c r="AV398" s="17"/>
      <c r="AW398" s="17"/>
      <c r="AX398" s="17"/>
      <c r="BB398" s="17"/>
    </row>
    <row r="399" spans="1:54" x14ac:dyDescent="0.2">
      <c r="A399" s="17" t="s">
        <v>41</v>
      </c>
      <c r="B399" s="18" t="s">
        <v>42</v>
      </c>
      <c r="C399" s="18" t="str">
        <f t="shared" si="119"/>
        <v>BI10.10</v>
      </c>
      <c r="D399" s="18" t="str">
        <f t="shared" si="120"/>
        <v>BI10.10_398</v>
      </c>
      <c r="E399" s="17">
        <v>10</v>
      </c>
      <c r="F399" s="19">
        <v>398</v>
      </c>
      <c r="G399" s="20">
        <v>2.4</v>
      </c>
      <c r="H399" s="20">
        <v>2.35</v>
      </c>
      <c r="I399" s="20">
        <v>1</v>
      </c>
      <c r="J399" s="20">
        <f t="shared" si="118"/>
        <v>4.4278906249999999</v>
      </c>
      <c r="K399" s="53">
        <v>0.18999999999999986</v>
      </c>
      <c r="L399" s="20">
        <f t="shared" si="116"/>
        <v>30.150000000000034</v>
      </c>
      <c r="M399" s="20">
        <f t="shared" si="116"/>
        <v>31.150000000000034</v>
      </c>
      <c r="N399" s="20">
        <f t="shared" si="116"/>
        <v>30.650000000000034</v>
      </c>
      <c r="O399" s="20">
        <f>P398+$AO$379</f>
        <v>390.15000000000003</v>
      </c>
      <c r="P399" s="20">
        <f t="shared" si="114"/>
        <v>391.15000000000003</v>
      </c>
      <c r="Q399" s="20">
        <f t="shared" si="128"/>
        <v>390.65000000000003</v>
      </c>
      <c r="R399" s="20">
        <f t="shared" si="117"/>
        <v>389.15000000000003</v>
      </c>
      <c r="S399" s="20">
        <f t="shared" si="112"/>
        <v>390.15000000000003</v>
      </c>
      <c r="T399" s="20">
        <f t="shared" si="113"/>
        <v>389.65000000000003</v>
      </c>
      <c r="U399" s="20">
        <v>389.65000000000003</v>
      </c>
      <c r="V399" s="22">
        <v>6.6052</v>
      </c>
      <c r="W399" s="22">
        <v>2.2139000000000002</v>
      </c>
      <c r="X399" s="23">
        <v>1.1476266666666668</v>
      </c>
      <c r="Y399" s="23">
        <f t="shared" si="121"/>
        <v>5.4575733333333334</v>
      </c>
      <c r="Z399" s="23">
        <f t="shared" si="122"/>
        <v>1.0662733333333334</v>
      </c>
      <c r="AA399" s="22">
        <f t="shared" si="123"/>
        <v>80.462501038312524</v>
      </c>
      <c r="AB399" s="22">
        <f t="shared" si="124"/>
        <v>19.537498961687476</v>
      </c>
      <c r="AC399" s="22">
        <f t="shared" si="125"/>
        <v>1.2325447477224742</v>
      </c>
      <c r="AD399" s="22">
        <f t="shared" si="126"/>
        <v>0.2408084172886121</v>
      </c>
      <c r="AE399" s="24">
        <v>5.3924000000000003</v>
      </c>
      <c r="AF399" s="24">
        <v>5.7445000000000004</v>
      </c>
      <c r="AG399" s="24">
        <v>5.4706999999999999</v>
      </c>
      <c r="AH399" s="25">
        <f>AG399-AE399</f>
        <v>7.8299999999999592E-2</v>
      </c>
      <c r="AI399" s="25">
        <v>77.76199943197966</v>
      </c>
      <c r="AJ399" s="26">
        <v>3.888099971598983</v>
      </c>
      <c r="AK399" s="25">
        <v>38.88099971598983</v>
      </c>
      <c r="AL399" s="26">
        <v>3.8891414719894173</v>
      </c>
      <c r="AM399" s="17">
        <f t="shared" si="127"/>
        <v>0.5780346820809249</v>
      </c>
      <c r="AN399" s="17"/>
      <c r="AO399" s="27"/>
      <c r="AP399" s="17"/>
      <c r="AQ399" s="17"/>
      <c r="AR399" s="17"/>
      <c r="AS399" s="17"/>
      <c r="AT399" s="17"/>
      <c r="AU399" s="17"/>
      <c r="AV399" s="17"/>
      <c r="AW399" s="17"/>
      <c r="AX399" s="17"/>
      <c r="BB399" s="17"/>
    </row>
    <row r="400" spans="1:54" x14ac:dyDescent="0.2">
      <c r="A400" s="17" t="s">
        <v>41</v>
      </c>
      <c r="B400" s="18" t="s">
        <v>42</v>
      </c>
      <c r="C400" s="18" t="str">
        <f t="shared" si="119"/>
        <v>BI10.10</v>
      </c>
      <c r="D400" s="18" t="str">
        <f t="shared" si="120"/>
        <v>BI10.10_399</v>
      </c>
      <c r="E400" s="17">
        <v>10</v>
      </c>
      <c r="F400" s="19">
        <v>399</v>
      </c>
      <c r="G400" s="20">
        <v>2.2999999999999998</v>
      </c>
      <c r="H400" s="20">
        <v>2.35</v>
      </c>
      <c r="I400" s="20">
        <v>1.05</v>
      </c>
      <c r="J400" s="20">
        <f t="shared" si="118"/>
        <v>4.455586406250001</v>
      </c>
      <c r="K400" s="53">
        <v>0.18999999999999986</v>
      </c>
      <c r="L400" s="20">
        <f t="shared" si="116"/>
        <v>31.340000000000032</v>
      </c>
      <c r="M400" s="20">
        <f t="shared" si="116"/>
        <v>32.390000000000043</v>
      </c>
      <c r="N400" s="20">
        <f t="shared" si="116"/>
        <v>31.865000000000009</v>
      </c>
      <c r="O400" s="20">
        <f>P399+$AO$379</f>
        <v>391.34000000000003</v>
      </c>
      <c r="P400" s="20">
        <f t="shared" si="114"/>
        <v>392.39000000000004</v>
      </c>
      <c r="Q400" s="20">
        <f t="shared" si="128"/>
        <v>391.86500000000001</v>
      </c>
      <c r="R400" s="20">
        <f t="shared" si="117"/>
        <v>390.34000000000003</v>
      </c>
      <c r="S400" s="20">
        <f t="shared" si="112"/>
        <v>391.39000000000004</v>
      </c>
      <c r="T400" s="20">
        <f t="shared" si="113"/>
        <v>390.86500000000001</v>
      </c>
      <c r="U400" s="20">
        <v>390.86500000000001</v>
      </c>
      <c r="V400" s="22">
        <v>5.7713000000000001</v>
      </c>
      <c r="W400" s="22">
        <v>2.0709</v>
      </c>
      <c r="X400" s="23">
        <v>1.1476266666666668</v>
      </c>
      <c r="Y400" s="23">
        <f t="shared" si="121"/>
        <v>4.6236733333333335</v>
      </c>
      <c r="Z400" s="23">
        <f t="shared" si="122"/>
        <v>0.92327333333333317</v>
      </c>
      <c r="AA400" s="22">
        <f t="shared" si="123"/>
        <v>80.031605462323611</v>
      </c>
      <c r="AB400" s="22">
        <f t="shared" si="124"/>
        <v>19.968394537676389</v>
      </c>
      <c r="AC400" s="22">
        <f t="shared" si="125"/>
        <v>1.0377249842686367</v>
      </c>
      <c r="AD400" s="22">
        <f t="shared" si="126"/>
        <v>0.20721701907480161</v>
      </c>
      <c r="AE400" s="24">
        <v>5.6681999999999997</v>
      </c>
      <c r="AF400" s="24">
        <v>6.1772999999999998</v>
      </c>
      <c r="AG400" s="24">
        <v>5.7718999999999996</v>
      </c>
      <c r="AH400" s="25">
        <f>AG400-AE400</f>
        <v>0.1036999999999999</v>
      </c>
      <c r="AI400" s="25">
        <v>79.63072087998431</v>
      </c>
      <c r="AJ400" s="26">
        <v>3.9815360439992156</v>
      </c>
      <c r="AK400" s="25">
        <v>39.815360439992155</v>
      </c>
      <c r="AL400" s="26">
        <v>3.9825531094594235</v>
      </c>
      <c r="AM400" s="17">
        <f t="shared" si="127"/>
        <v>0.5780346820809249</v>
      </c>
      <c r="AN400" s="17"/>
      <c r="AO400" s="27"/>
      <c r="AP400" s="17"/>
      <c r="AQ400" s="17"/>
      <c r="AR400" s="17"/>
      <c r="AS400" s="17"/>
      <c r="AT400" s="17"/>
      <c r="AU400" s="17"/>
      <c r="AV400" s="17"/>
      <c r="AW400" s="17"/>
      <c r="AX400" s="17"/>
      <c r="BB400" s="17"/>
    </row>
    <row r="401" spans="1:54" x14ac:dyDescent="0.2">
      <c r="A401" s="17" t="s">
        <v>41</v>
      </c>
      <c r="B401" s="18" t="s">
        <v>42</v>
      </c>
      <c r="C401" s="18" t="str">
        <f t="shared" si="119"/>
        <v>BI10.10</v>
      </c>
      <c r="D401" s="18" t="str">
        <f t="shared" si="120"/>
        <v>BI10.10_400</v>
      </c>
      <c r="E401" s="17">
        <v>10</v>
      </c>
      <c r="F401" s="19">
        <v>400</v>
      </c>
      <c r="G401" s="20">
        <v>2.2999999999999998</v>
      </c>
      <c r="H401" s="20">
        <v>2.4</v>
      </c>
      <c r="I401" s="20">
        <v>1.1000000000000001</v>
      </c>
      <c r="J401" s="20">
        <f t="shared" si="118"/>
        <v>4.7686787499999985</v>
      </c>
      <c r="K401" s="53">
        <v>0.18999999999999986</v>
      </c>
      <c r="L401" s="20">
        <f t="shared" si="116"/>
        <v>32.580000000000041</v>
      </c>
      <c r="M401" s="20">
        <f t="shared" si="116"/>
        <v>33.680000000000064</v>
      </c>
      <c r="N401" s="20">
        <f t="shared" si="116"/>
        <v>33.130000000000052</v>
      </c>
      <c r="O401" s="20">
        <f>P400+$AO$379</f>
        <v>392.58000000000004</v>
      </c>
      <c r="P401" s="20">
        <f t="shared" si="114"/>
        <v>393.68000000000006</v>
      </c>
      <c r="Q401" s="20">
        <f t="shared" si="128"/>
        <v>393.13000000000005</v>
      </c>
      <c r="R401" s="20">
        <f t="shared" si="117"/>
        <v>391.58000000000004</v>
      </c>
      <c r="S401" s="20">
        <f t="shared" si="112"/>
        <v>392.68000000000006</v>
      </c>
      <c r="T401" s="20">
        <f t="shared" si="113"/>
        <v>392.13000000000005</v>
      </c>
      <c r="U401" s="20">
        <v>392.13000000000005</v>
      </c>
      <c r="V401" s="22">
        <v>6.9104000000000001</v>
      </c>
      <c r="W401" s="22">
        <v>2.2884000000000002</v>
      </c>
      <c r="X401" s="23">
        <v>1.1476266666666668</v>
      </c>
      <c r="Y401" s="23">
        <f t="shared" si="121"/>
        <v>5.7627733333333335</v>
      </c>
      <c r="Z401" s="23">
        <f t="shared" si="122"/>
        <v>1.1407733333333334</v>
      </c>
      <c r="AA401" s="22">
        <f t="shared" si="123"/>
        <v>80.204438603635282</v>
      </c>
      <c r="AB401" s="22">
        <f t="shared" si="124"/>
        <v>19.795561396364718</v>
      </c>
      <c r="AC401" s="22">
        <f t="shared" si="125"/>
        <v>1.2084633156161622</v>
      </c>
      <c r="AD401" s="22">
        <f t="shared" si="126"/>
        <v>0.23922209759534205</v>
      </c>
      <c r="AE401" s="24">
        <v>5.3856999999999999</v>
      </c>
      <c r="AF401" s="24">
        <v>5.8813000000000004</v>
      </c>
      <c r="AG401" s="24">
        <v>5.492</v>
      </c>
      <c r="AH401" s="25">
        <f>AG401-AE401</f>
        <v>0.10630000000000006</v>
      </c>
      <c r="AI401" s="25">
        <v>78.551251008878126</v>
      </c>
      <c r="AJ401" s="26">
        <v>3.9275625504439065</v>
      </c>
      <c r="AK401" s="25">
        <v>39.275625504439063</v>
      </c>
      <c r="AL401" s="26">
        <v>3.9285935890149601</v>
      </c>
      <c r="AM401" s="17">
        <f t="shared" si="127"/>
        <v>0.5780346820809249</v>
      </c>
      <c r="AN401" s="17"/>
      <c r="AO401" s="27"/>
      <c r="AP401" s="17"/>
      <c r="AQ401" s="17"/>
      <c r="AR401" s="17"/>
      <c r="AS401" s="17"/>
      <c r="AT401" s="17"/>
      <c r="AU401" s="17"/>
      <c r="AV401" s="17"/>
      <c r="AW401" s="17"/>
      <c r="AX401" s="17"/>
      <c r="BB401" s="17"/>
    </row>
    <row r="402" spans="1:54" x14ac:dyDescent="0.2">
      <c r="A402" s="17" t="s">
        <v>41</v>
      </c>
      <c r="B402" s="18" t="s">
        <v>42</v>
      </c>
      <c r="C402" s="18" t="str">
        <f t="shared" si="119"/>
        <v>BI10.10</v>
      </c>
      <c r="D402" s="18" t="str">
        <f t="shared" si="120"/>
        <v>BI10.10_401</v>
      </c>
      <c r="E402" s="17">
        <v>10</v>
      </c>
      <c r="F402" s="19">
        <v>401</v>
      </c>
      <c r="G402" s="20">
        <v>2.15</v>
      </c>
      <c r="H402" s="20">
        <v>2.5</v>
      </c>
      <c r="I402" s="20">
        <v>1.05</v>
      </c>
      <c r="J402" s="20">
        <f t="shared" si="118"/>
        <v>4.455586406250001</v>
      </c>
      <c r="K402" s="53">
        <v>0.18999999999999986</v>
      </c>
      <c r="L402" s="20">
        <f t="shared" si="116"/>
        <v>33.870000000000061</v>
      </c>
      <c r="M402" s="20">
        <f t="shared" si="116"/>
        <v>34.920000000000073</v>
      </c>
      <c r="N402" s="20">
        <f t="shared" si="116"/>
        <v>34.395000000000095</v>
      </c>
      <c r="O402" s="20">
        <f>P401+$AO$379</f>
        <v>393.87000000000006</v>
      </c>
      <c r="P402" s="20">
        <f t="shared" si="114"/>
        <v>394.92000000000007</v>
      </c>
      <c r="Q402" s="20">
        <f t="shared" si="128"/>
        <v>394.3950000000001</v>
      </c>
      <c r="R402" s="20">
        <f t="shared" si="117"/>
        <v>392.87000000000006</v>
      </c>
      <c r="S402" s="20">
        <f t="shared" si="112"/>
        <v>393.92000000000007</v>
      </c>
      <c r="T402" s="20">
        <f t="shared" si="113"/>
        <v>393.3950000000001</v>
      </c>
      <c r="U402" s="20">
        <v>393.3950000000001</v>
      </c>
      <c r="V402" s="22">
        <v>6.4733999999999998</v>
      </c>
      <c r="W402" s="22">
        <v>2.2605</v>
      </c>
      <c r="X402" s="23">
        <v>1.1476266666666668</v>
      </c>
      <c r="Y402" s="23">
        <f t="shared" si="121"/>
        <v>5.3257733333333332</v>
      </c>
      <c r="Z402" s="23">
        <f t="shared" si="122"/>
        <v>1.1128733333333332</v>
      </c>
      <c r="AA402" s="22">
        <f t="shared" si="123"/>
        <v>79.104004926984004</v>
      </c>
      <c r="AB402" s="22">
        <f t="shared" si="124"/>
        <v>20.895995073015996</v>
      </c>
      <c r="AC402" s="22">
        <f t="shared" si="125"/>
        <v>1.195302446803117</v>
      </c>
      <c r="AD402" s="22">
        <f t="shared" si="126"/>
        <v>0.24977034039161899</v>
      </c>
      <c r="AE402" s="24">
        <v>5.5164</v>
      </c>
      <c r="AF402" s="24">
        <v>6.0228000000000002</v>
      </c>
      <c r="AG402" s="24">
        <v>5.6326999999999998</v>
      </c>
      <c r="AH402" s="25">
        <f>AG402-AE402</f>
        <v>0.11629999999999985</v>
      </c>
      <c r="AI402" s="25">
        <v>77.033965244865755</v>
      </c>
      <c r="AJ402" s="26">
        <v>3.8516982622432878</v>
      </c>
      <c r="AK402" s="25">
        <v>38.516982622432877</v>
      </c>
      <c r="AL402" s="26">
        <v>3.8527496029936805</v>
      </c>
      <c r="AM402" s="17">
        <f t="shared" si="127"/>
        <v>0.5780346820809249</v>
      </c>
      <c r="AN402" s="17"/>
      <c r="AO402" s="27"/>
      <c r="AP402" s="17"/>
      <c r="AQ402" s="17"/>
      <c r="AR402" s="17"/>
      <c r="AS402" s="17"/>
      <c r="AT402" s="17"/>
      <c r="AU402" s="17"/>
      <c r="AV402" s="17"/>
      <c r="AW402" s="17"/>
      <c r="AX402" s="17"/>
      <c r="BB402" s="17"/>
    </row>
    <row r="403" spans="1:54" x14ac:dyDescent="0.2">
      <c r="A403" s="17" t="s">
        <v>41</v>
      </c>
      <c r="B403" s="18" t="s">
        <v>42</v>
      </c>
      <c r="C403" s="18" t="str">
        <f t="shared" si="119"/>
        <v>BI10.10</v>
      </c>
      <c r="D403" s="18" t="str">
        <f t="shared" si="120"/>
        <v>BI10.10_402</v>
      </c>
      <c r="E403" s="17">
        <v>10</v>
      </c>
      <c r="F403" s="19">
        <v>402</v>
      </c>
      <c r="G403" s="20">
        <v>2.4</v>
      </c>
      <c r="H403" s="20">
        <v>2.35</v>
      </c>
      <c r="I403" s="20">
        <v>1</v>
      </c>
      <c r="J403" s="20">
        <f t="shared" si="118"/>
        <v>4.4278906249999999</v>
      </c>
      <c r="K403" s="53">
        <v>0.18999999999999986</v>
      </c>
      <c r="L403" s="20">
        <f t="shared" si="116"/>
        <v>35.11000000000007</v>
      </c>
      <c r="M403" s="20">
        <f t="shared" si="116"/>
        <v>36.11000000000007</v>
      </c>
      <c r="N403" s="20">
        <f t="shared" si="116"/>
        <v>35.61000000000007</v>
      </c>
      <c r="O403" s="20">
        <f>P402+$AO$379</f>
        <v>395.11000000000007</v>
      </c>
      <c r="P403" s="20">
        <f t="shared" si="114"/>
        <v>396.11000000000007</v>
      </c>
      <c r="Q403" s="20">
        <f t="shared" si="128"/>
        <v>395.61000000000007</v>
      </c>
      <c r="R403" s="20">
        <f t="shared" si="117"/>
        <v>394.11000000000007</v>
      </c>
      <c r="S403" s="20">
        <f t="shared" si="112"/>
        <v>395.11000000000007</v>
      </c>
      <c r="T403" s="20">
        <f t="shared" si="113"/>
        <v>394.61000000000007</v>
      </c>
      <c r="U403" s="20">
        <v>394.61000000000007</v>
      </c>
      <c r="V403" s="22">
        <v>6.6760999999999999</v>
      </c>
      <c r="W403" s="22">
        <v>2.3290000000000002</v>
      </c>
      <c r="X403" s="23">
        <v>1.1476266666666668</v>
      </c>
      <c r="Y403" s="23">
        <f t="shared" si="121"/>
        <v>5.5284733333333334</v>
      </c>
      <c r="Z403" s="23">
        <f t="shared" si="122"/>
        <v>1.1813733333333334</v>
      </c>
      <c r="AA403" s="22">
        <f t="shared" si="123"/>
        <v>78.631110939608405</v>
      </c>
      <c r="AB403" s="22">
        <f t="shared" si="124"/>
        <v>21.368889060391595</v>
      </c>
      <c r="AC403" s="22">
        <f t="shared" si="125"/>
        <v>1.2485568866853691</v>
      </c>
      <c r="AD403" s="22">
        <f t="shared" si="126"/>
        <v>0.26680273597167575</v>
      </c>
      <c r="AE403" s="24">
        <v>5.5385999999999997</v>
      </c>
      <c r="AF403" s="24">
        <v>6.0903999999999998</v>
      </c>
      <c r="AG403" s="24">
        <v>5.6765999999999996</v>
      </c>
      <c r="AH403" s="25">
        <f>AG403-AE403</f>
        <v>0.1379999999999999</v>
      </c>
      <c r="AI403" s="25">
        <v>74.990938745922449</v>
      </c>
      <c r="AJ403" s="26">
        <v>3.7495469372961225</v>
      </c>
      <c r="AK403" s="25">
        <v>37.495469372961225</v>
      </c>
      <c r="AL403" s="26">
        <v>3.7506269122623666</v>
      </c>
      <c r="AM403" s="17">
        <f t="shared" si="127"/>
        <v>0.5780346820809249</v>
      </c>
      <c r="AN403" s="17"/>
      <c r="AO403" s="27"/>
      <c r="AP403" s="17"/>
      <c r="AQ403" s="17"/>
      <c r="AR403" s="17"/>
      <c r="AS403" s="17"/>
      <c r="AT403" s="17"/>
      <c r="AU403" s="17"/>
      <c r="AV403" s="17"/>
      <c r="AW403" s="17"/>
      <c r="AX403" s="17"/>
      <c r="BB403" s="17"/>
    </row>
    <row r="404" spans="1:54" x14ac:dyDescent="0.2">
      <c r="A404" s="17" t="s">
        <v>41</v>
      </c>
      <c r="B404" s="18" t="s">
        <v>42</v>
      </c>
      <c r="C404" s="18" t="str">
        <f t="shared" si="119"/>
        <v>BI10.10</v>
      </c>
      <c r="D404" s="18" t="str">
        <f t="shared" si="120"/>
        <v>BI10.10_403</v>
      </c>
      <c r="E404" s="17">
        <v>10</v>
      </c>
      <c r="F404" s="19">
        <v>403</v>
      </c>
      <c r="G404" s="20">
        <v>2.1</v>
      </c>
      <c r="H404" s="20">
        <v>2.2999999999999998</v>
      </c>
      <c r="I404" s="20">
        <v>1.05</v>
      </c>
      <c r="J404" s="20">
        <f t="shared" si="118"/>
        <v>3.9893700000000014</v>
      </c>
      <c r="K404" s="53">
        <v>0.18999999999999986</v>
      </c>
      <c r="L404" s="20">
        <f t="shared" si="116"/>
        <v>36.300000000000068</v>
      </c>
      <c r="M404" s="20">
        <f t="shared" si="116"/>
        <v>37.35000000000008</v>
      </c>
      <c r="N404" s="20">
        <f t="shared" si="116"/>
        <v>36.825000000000045</v>
      </c>
      <c r="O404" s="20">
        <f>P403+$AO$379</f>
        <v>396.30000000000007</v>
      </c>
      <c r="P404" s="20">
        <f t="shared" si="114"/>
        <v>397.35000000000008</v>
      </c>
      <c r="Q404" s="20">
        <f t="shared" si="128"/>
        <v>396.82500000000005</v>
      </c>
      <c r="R404" s="20">
        <f t="shared" si="117"/>
        <v>395.30000000000007</v>
      </c>
      <c r="S404" s="20">
        <f t="shared" si="112"/>
        <v>396.35000000000008</v>
      </c>
      <c r="T404" s="20">
        <f t="shared" si="113"/>
        <v>395.82500000000005</v>
      </c>
      <c r="U404" s="20">
        <v>395.82500000000005</v>
      </c>
      <c r="V404" s="22">
        <v>6.6715999999999998</v>
      </c>
      <c r="W404" s="22">
        <v>2.3788999999999998</v>
      </c>
      <c r="X404" s="23">
        <v>1.1476266666666668</v>
      </c>
      <c r="Y404" s="23">
        <f t="shared" si="121"/>
        <v>5.5239733333333332</v>
      </c>
      <c r="Z404" s="23">
        <f t="shared" si="122"/>
        <v>1.231273333333333</v>
      </c>
      <c r="AA404" s="22">
        <f t="shared" si="123"/>
        <v>77.710367899434701</v>
      </c>
      <c r="AB404" s="22">
        <f t="shared" si="124"/>
        <v>22.289632100565299</v>
      </c>
      <c r="AC404" s="22">
        <f t="shared" si="125"/>
        <v>1.3846731021021694</v>
      </c>
      <c r="AD404" s="22">
        <f t="shared" si="126"/>
        <v>0.30863854025405829</v>
      </c>
      <c r="AE404" s="24">
        <v>4.8875000000000002</v>
      </c>
      <c r="AF404" s="24">
        <v>5.3628999999999998</v>
      </c>
      <c r="AG404" s="24">
        <v>4.9886999999999997</v>
      </c>
      <c r="AH404" s="25">
        <f>AG404-AE404</f>
        <v>0.10119999999999951</v>
      </c>
      <c r="AI404" s="25">
        <v>78.712663020614301</v>
      </c>
      <c r="AJ404" s="26">
        <v>3.9356331510307152</v>
      </c>
      <c r="AK404" s="25">
        <v>39.35633151030715</v>
      </c>
      <c r="AL404" s="26">
        <v>3.936662075857154</v>
      </c>
      <c r="AM404" s="17">
        <f t="shared" si="127"/>
        <v>0.5780346820809249</v>
      </c>
      <c r="AN404" s="17"/>
      <c r="AO404" s="27"/>
      <c r="AP404" s="17"/>
      <c r="AQ404" s="17"/>
      <c r="AR404" s="17"/>
      <c r="AS404" s="17"/>
      <c r="AT404" s="17"/>
      <c r="AU404" s="17"/>
      <c r="AV404" s="17"/>
      <c r="AW404" s="17"/>
      <c r="AX404" s="17"/>
      <c r="BB404" s="17"/>
    </row>
    <row r="405" spans="1:54" x14ac:dyDescent="0.2">
      <c r="A405" s="17" t="s">
        <v>41</v>
      </c>
      <c r="B405" s="18" t="s">
        <v>42</v>
      </c>
      <c r="C405" s="18" t="str">
        <f t="shared" si="119"/>
        <v>BI10.10</v>
      </c>
      <c r="D405" s="18" t="str">
        <f t="shared" si="120"/>
        <v>BI10.10_404</v>
      </c>
      <c r="E405" s="17">
        <v>10</v>
      </c>
      <c r="F405" s="19">
        <v>404</v>
      </c>
      <c r="G405" s="20">
        <v>2.2000000000000002</v>
      </c>
      <c r="H405" s="20">
        <v>2.4</v>
      </c>
      <c r="I405" s="20">
        <v>1</v>
      </c>
      <c r="J405" s="20">
        <f t="shared" si="118"/>
        <v>4.1526499999999995</v>
      </c>
      <c r="K405" s="53">
        <v>0.18999999999999986</v>
      </c>
      <c r="L405" s="20">
        <f t="shared" si="116"/>
        <v>37.540000000000077</v>
      </c>
      <c r="M405" s="20">
        <f t="shared" si="116"/>
        <v>38.540000000000077</v>
      </c>
      <c r="N405" s="20">
        <f t="shared" si="116"/>
        <v>38.040000000000077</v>
      </c>
      <c r="O405" s="20">
        <f>P404+$AO$379</f>
        <v>397.54000000000008</v>
      </c>
      <c r="P405" s="20">
        <f t="shared" si="114"/>
        <v>398.54000000000008</v>
      </c>
      <c r="Q405" s="20">
        <f t="shared" si="128"/>
        <v>398.04000000000008</v>
      </c>
      <c r="R405" s="20">
        <f t="shared" si="117"/>
        <v>396.54000000000008</v>
      </c>
      <c r="S405" s="20">
        <f t="shared" si="112"/>
        <v>397.54000000000008</v>
      </c>
      <c r="T405" s="20">
        <f t="shared" si="113"/>
        <v>397.04000000000008</v>
      </c>
      <c r="U405" s="20">
        <v>397.04000000000008</v>
      </c>
      <c r="V405" s="22">
        <v>5.8852000000000002</v>
      </c>
      <c r="W405" s="22">
        <v>2.1960000000000002</v>
      </c>
      <c r="X405" s="23">
        <v>1.1476266666666668</v>
      </c>
      <c r="Y405" s="23">
        <f t="shared" si="121"/>
        <v>4.7375733333333336</v>
      </c>
      <c r="Z405" s="23">
        <f t="shared" si="122"/>
        <v>1.0483733333333334</v>
      </c>
      <c r="AA405" s="22">
        <f t="shared" si="123"/>
        <v>77.871090122087821</v>
      </c>
      <c r="AB405" s="22">
        <f t="shared" si="124"/>
        <v>22.128909877912179</v>
      </c>
      <c r="AC405" s="22">
        <f t="shared" si="125"/>
        <v>1.1408554376923974</v>
      </c>
      <c r="AD405" s="22">
        <f t="shared" si="126"/>
        <v>0.25245887164421116</v>
      </c>
      <c r="AE405" s="24">
        <v>5.5069999999999997</v>
      </c>
      <c r="AF405" s="24">
        <v>6.0045000000000002</v>
      </c>
      <c r="AG405" s="24">
        <v>5.6082000000000001</v>
      </c>
      <c r="AH405" s="25">
        <f>AG405-AE405</f>
        <v>0.1012000000000004</v>
      </c>
      <c r="AI405" s="25">
        <v>79.658291457286367</v>
      </c>
      <c r="AJ405" s="26">
        <v>3.9829145728643187</v>
      </c>
      <c r="AK405" s="25">
        <v>39.829145728643184</v>
      </c>
      <c r="AL405" s="26">
        <v>3.9839312863972638</v>
      </c>
      <c r="AM405" s="17">
        <f t="shared" si="127"/>
        <v>0.5780346820809249</v>
      </c>
      <c r="AN405" s="17"/>
      <c r="AO405" s="27"/>
      <c r="AP405" s="17"/>
      <c r="AQ405" s="17"/>
      <c r="AR405" s="17"/>
      <c r="AS405" s="17"/>
      <c r="AT405" s="17"/>
      <c r="AU405" s="17"/>
      <c r="AV405" s="17"/>
      <c r="AW405" s="17"/>
      <c r="AX405" s="17"/>
      <c r="BB405" s="17"/>
    </row>
    <row r="406" spans="1:54" x14ac:dyDescent="0.2">
      <c r="A406" s="17" t="s">
        <v>41</v>
      </c>
      <c r="B406" s="18" t="s">
        <v>42</v>
      </c>
      <c r="C406" s="18" t="str">
        <f t="shared" si="119"/>
        <v>BI10.10</v>
      </c>
      <c r="D406" s="18" t="str">
        <f t="shared" si="120"/>
        <v>BI10.10_405</v>
      </c>
      <c r="E406" s="17">
        <v>10</v>
      </c>
      <c r="F406" s="19">
        <v>405</v>
      </c>
      <c r="G406" s="20">
        <v>2.15</v>
      </c>
      <c r="H406" s="20">
        <v>2.2999999999999998</v>
      </c>
      <c r="I406" s="20">
        <v>1</v>
      </c>
      <c r="J406" s="20">
        <f t="shared" si="118"/>
        <v>3.8862406249999992</v>
      </c>
      <c r="K406" s="53">
        <v>0.18999999999999986</v>
      </c>
      <c r="L406" s="20">
        <f t="shared" si="116"/>
        <v>38.730000000000075</v>
      </c>
      <c r="M406" s="20">
        <f t="shared" si="116"/>
        <v>39.730000000000075</v>
      </c>
      <c r="N406" s="20">
        <f t="shared" si="116"/>
        <v>39.230000000000075</v>
      </c>
      <c r="O406" s="20">
        <f>P405+$AO$379</f>
        <v>398.73000000000008</v>
      </c>
      <c r="P406" s="20">
        <f t="shared" si="114"/>
        <v>399.73000000000008</v>
      </c>
      <c r="Q406" s="20">
        <f t="shared" si="128"/>
        <v>399.23000000000008</v>
      </c>
      <c r="R406" s="20">
        <f t="shared" si="117"/>
        <v>397.73000000000008</v>
      </c>
      <c r="S406" s="20">
        <f t="shared" si="112"/>
        <v>398.73000000000008</v>
      </c>
      <c r="T406" s="20">
        <f t="shared" si="113"/>
        <v>398.23000000000008</v>
      </c>
      <c r="U406" s="20">
        <v>398.23000000000008</v>
      </c>
      <c r="V406" s="22">
        <v>5.7508999999999997</v>
      </c>
      <c r="W406" s="22">
        <v>2.2907999999999999</v>
      </c>
      <c r="X406" s="23">
        <v>1.1476266666666668</v>
      </c>
      <c r="Y406" s="23">
        <f t="shared" si="121"/>
        <v>4.6032733333333331</v>
      </c>
      <c r="Z406" s="23">
        <f t="shared" si="122"/>
        <v>1.1431733333333332</v>
      </c>
      <c r="AA406" s="22">
        <f t="shared" si="123"/>
        <v>75.166077472407309</v>
      </c>
      <c r="AB406" s="22">
        <f t="shared" si="124"/>
        <v>24.833922527592691</v>
      </c>
      <c r="AC406" s="22">
        <f t="shared" si="125"/>
        <v>1.1845054842257314</v>
      </c>
      <c r="AD406" s="22">
        <f t="shared" si="126"/>
        <v>0.29415917428770466</v>
      </c>
      <c r="AE406" s="24">
        <v>5.4837999999999996</v>
      </c>
      <c r="AF406" s="24">
        <v>6.0393999999999997</v>
      </c>
      <c r="AG406" s="24">
        <v>5.6130000000000004</v>
      </c>
      <c r="AH406" s="25">
        <f>AG406-AE406</f>
        <v>0.12920000000000087</v>
      </c>
      <c r="AI406" s="25">
        <v>76.745860331173361</v>
      </c>
      <c r="AJ406" s="26">
        <v>3.8372930165586681</v>
      </c>
      <c r="AK406" s="25">
        <v>38.372930165586681</v>
      </c>
      <c r="AL406" s="26">
        <v>3.8383483029722463</v>
      </c>
      <c r="AM406" s="17">
        <f t="shared" si="127"/>
        <v>0.5780346820809249</v>
      </c>
      <c r="AN406" s="17"/>
      <c r="AO406" s="27"/>
      <c r="AP406" s="17"/>
      <c r="AQ406" s="17"/>
      <c r="AR406" s="17"/>
      <c r="AS406" s="17"/>
      <c r="AT406" s="17"/>
      <c r="AU406" s="17"/>
      <c r="AV406" s="17"/>
      <c r="AW406" s="17"/>
      <c r="AX406" s="17"/>
      <c r="BB406" s="17"/>
    </row>
    <row r="407" spans="1:54" x14ac:dyDescent="0.2">
      <c r="A407" s="17" t="s">
        <v>41</v>
      </c>
      <c r="B407" s="18" t="s">
        <v>42</v>
      </c>
      <c r="C407" s="18" t="str">
        <f t="shared" si="119"/>
        <v>BI10.10</v>
      </c>
      <c r="D407" s="18" t="str">
        <f t="shared" si="120"/>
        <v>BI10.10_406</v>
      </c>
      <c r="E407" s="17">
        <v>10</v>
      </c>
      <c r="F407" s="19">
        <v>406</v>
      </c>
      <c r="G407" s="20">
        <v>2</v>
      </c>
      <c r="H407" s="20">
        <v>2.4</v>
      </c>
      <c r="I407" s="20">
        <v>1</v>
      </c>
      <c r="J407" s="20">
        <f t="shared" si="118"/>
        <v>3.7994000000000008</v>
      </c>
      <c r="K407" s="53">
        <v>0.18999999999999986</v>
      </c>
      <c r="L407" s="20">
        <f t="shared" si="116"/>
        <v>39.920000000000073</v>
      </c>
      <c r="M407" s="20">
        <f t="shared" si="116"/>
        <v>40.920000000000073</v>
      </c>
      <c r="N407" s="20">
        <f t="shared" si="116"/>
        <v>40.420000000000073</v>
      </c>
      <c r="O407" s="20">
        <f>P406+$AO$379</f>
        <v>399.92000000000007</v>
      </c>
      <c r="P407" s="20">
        <f t="shared" si="114"/>
        <v>400.92000000000007</v>
      </c>
      <c r="Q407" s="20">
        <f t="shared" si="128"/>
        <v>400.42000000000007</v>
      </c>
      <c r="R407" s="20">
        <f t="shared" si="117"/>
        <v>398.92000000000007</v>
      </c>
      <c r="S407" s="20">
        <f t="shared" si="112"/>
        <v>399.92000000000007</v>
      </c>
      <c r="T407" s="20">
        <f t="shared" si="113"/>
        <v>399.42000000000007</v>
      </c>
      <c r="U407" s="20">
        <v>399.42000000000007</v>
      </c>
      <c r="V407" s="22">
        <v>5.7797000000000001</v>
      </c>
      <c r="W407" s="22">
        <v>2.1482000000000001</v>
      </c>
      <c r="X407" s="23">
        <v>1.1476266666666668</v>
      </c>
      <c r="Y407" s="23">
        <f t="shared" si="121"/>
        <v>4.6320733333333335</v>
      </c>
      <c r="Z407" s="23">
        <f t="shared" si="122"/>
        <v>1.0005733333333333</v>
      </c>
      <c r="AA407" s="22">
        <f t="shared" si="123"/>
        <v>78.399017862411498</v>
      </c>
      <c r="AB407" s="22">
        <f t="shared" si="124"/>
        <v>21.600982137588502</v>
      </c>
      <c r="AC407" s="22">
        <f t="shared" si="125"/>
        <v>1.2191591654822689</v>
      </c>
      <c r="AD407" s="22">
        <f t="shared" si="126"/>
        <v>0.26335035356459785</v>
      </c>
      <c r="AE407" s="24">
        <v>5.6776</v>
      </c>
      <c r="AF407" s="24">
        <v>6.2995999999999999</v>
      </c>
      <c r="AG407" s="24">
        <v>5.8461999999999996</v>
      </c>
      <c r="AH407" s="25">
        <f>AG407-AE407</f>
        <v>0.16859999999999964</v>
      </c>
      <c r="AI407" s="25">
        <v>72.893890675241209</v>
      </c>
      <c r="AJ407" s="26">
        <v>3.6446945337620607</v>
      </c>
      <c r="AK407" s="25">
        <v>36.446945337620605</v>
      </c>
      <c r="AL407" s="26">
        <v>3.6458055686548954</v>
      </c>
      <c r="AM407" s="17">
        <f t="shared" si="127"/>
        <v>0.5780346820809249</v>
      </c>
      <c r="AN407" s="17"/>
      <c r="AO407" s="27"/>
      <c r="AP407" s="17"/>
      <c r="AQ407" s="17"/>
      <c r="AR407" s="17"/>
      <c r="AS407" s="17"/>
      <c r="AT407" s="17"/>
      <c r="AU407" s="17"/>
      <c r="AV407" s="17"/>
      <c r="AW407" s="17"/>
      <c r="AX407" s="17"/>
      <c r="BB407" s="17"/>
    </row>
    <row r="408" spans="1:54" x14ac:dyDescent="0.2">
      <c r="A408" s="17" t="s">
        <v>41</v>
      </c>
      <c r="B408" s="18" t="s">
        <v>42</v>
      </c>
      <c r="C408" s="18" t="str">
        <f t="shared" si="119"/>
        <v>BI10.10</v>
      </c>
      <c r="D408" s="18" t="str">
        <f t="shared" si="120"/>
        <v>BI10.10_407</v>
      </c>
      <c r="E408" s="17">
        <v>10</v>
      </c>
      <c r="F408" s="19">
        <v>407</v>
      </c>
      <c r="G408" s="20">
        <v>2.2000000000000002</v>
      </c>
      <c r="H408" s="20">
        <v>2.4</v>
      </c>
      <c r="I408" s="20">
        <v>1</v>
      </c>
      <c r="J408" s="20">
        <f t="shared" si="118"/>
        <v>4.1526499999999995</v>
      </c>
      <c r="K408" s="53">
        <v>0.18999999999999986</v>
      </c>
      <c r="L408" s="20">
        <f t="shared" si="116"/>
        <v>41.11000000000007</v>
      </c>
      <c r="M408" s="20">
        <f t="shared" si="116"/>
        <v>42.11000000000007</v>
      </c>
      <c r="N408" s="20">
        <f t="shared" si="116"/>
        <v>41.61000000000007</v>
      </c>
      <c r="O408" s="20">
        <f>P407+$AO$379</f>
        <v>401.11000000000007</v>
      </c>
      <c r="P408" s="20">
        <f t="shared" si="114"/>
        <v>402.11000000000007</v>
      </c>
      <c r="Q408" s="20">
        <f t="shared" si="128"/>
        <v>401.61000000000007</v>
      </c>
      <c r="R408" s="20">
        <f t="shared" si="117"/>
        <v>400.11000000000007</v>
      </c>
      <c r="S408" s="20">
        <f t="shared" si="112"/>
        <v>401.11000000000007</v>
      </c>
      <c r="T408" s="20">
        <f t="shared" si="113"/>
        <v>400.61000000000007</v>
      </c>
      <c r="U408" s="20">
        <v>400.61000000000007</v>
      </c>
      <c r="V408" s="22">
        <v>6.2083000000000004</v>
      </c>
      <c r="W408" s="22">
        <v>2.1787000000000001</v>
      </c>
      <c r="X408" s="23">
        <v>1.1476266666666668</v>
      </c>
      <c r="Y408" s="23">
        <f t="shared" si="121"/>
        <v>5.0606733333333338</v>
      </c>
      <c r="Z408" s="23">
        <f t="shared" si="122"/>
        <v>1.0310733333333333</v>
      </c>
      <c r="AA408" s="22">
        <f t="shared" si="123"/>
        <v>79.625767849074109</v>
      </c>
      <c r="AB408" s="22">
        <f t="shared" si="124"/>
        <v>20.374232150925891</v>
      </c>
      <c r="AC408" s="22">
        <f t="shared" si="125"/>
        <v>1.2186611761967261</v>
      </c>
      <c r="AD408" s="22">
        <f t="shared" si="126"/>
        <v>0.24829285717152502</v>
      </c>
      <c r="AE408" s="24">
        <v>5.4767000000000001</v>
      </c>
      <c r="AF408" s="24">
        <v>6.1698000000000004</v>
      </c>
      <c r="AG408" s="24">
        <v>5.8078000000000003</v>
      </c>
      <c r="AH408" s="25">
        <f>AG408-AE408</f>
        <v>0.33110000000000017</v>
      </c>
      <c r="AI408" s="25">
        <v>52.229115567739136</v>
      </c>
      <c r="AJ408" s="26">
        <v>2.611455778386957</v>
      </c>
      <c r="AK408" s="25">
        <v>26.114557783869568</v>
      </c>
      <c r="AL408" s="26">
        <v>2.6130061772737214</v>
      </c>
      <c r="AM408" s="17">
        <f t="shared" si="127"/>
        <v>0.5780346820809249</v>
      </c>
      <c r="AN408" s="17"/>
      <c r="AO408" s="27"/>
      <c r="AP408" s="17"/>
      <c r="AQ408" s="17"/>
      <c r="AR408" s="17"/>
      <c r="AS408" s="17"/>
      <c r="AT408" s="17"/>
      <c r="AU408" s="17"/>
      <c r="AV408" s="17"/>
      <c r="AW408" s="17"/>
      <c r="AX408" s="17"/>
      <c r="BB408" s="17"/>
    </row>
    <row r="409" spans="1:54" x14ac:dyDescent="0.2">
      <c r="A409" s="17" t="s">
        <v>41</v>
      </c>
      <c r="B409" s="18" t="s">
        <v>42</v>
      </c>
      <c r="C409" s="18" t="str">
        <f t="shared" si="119"/>
        <v>BI10.10</v>
      </c>
      <c r="D409" s="18" t="str">
        <f t="shared" si="120"/>
        <v>BI10.10_408</v>
      </c>
      <c r="E409" s="17">
        <v>10</v>
      </c>
      <c r="F409" s="19">
        <v>408</v>
      </c>
      <c r="G409" s="20">
        <v>2.2000000000000002</v>
      </c>
      <c r="H409" s="20">
        <v>2.35</v>
      </c>
      <c r="I409" s="20">
        <v>0.9</v>
      </c>
      <c r="J409" s="20">
        <f t="shared" si="118"/>
        <v>3.6565790625000014</v>
      </c>
      <c r="K409" s="53">
        <v>0.18999999999999986</v>
      </c>
      <c r="L409" s="20">
        <f t="shared" si="116"/>
        <v>42.300000000000068</v>
      </c>
      <c r="M409" s="20">
        <f t="shared" si="116"/>
        <v>43.200000000000045</v>
      </c>
      <c r="N409" s="20">
        <f t="shared" si="116"/>
        <v>42.750000000000057</v>
      </c>
      <c r="O409" s="20">
        <f>P408+$AO$379</f>
        <v>402.30000000000007</v>
      </c>
      <c r="P409" s="20">
        <f t="shared" si="114"/>
        <v>403.20000000000005</v>
      </c>
      <c r="Q409" s="20">
        <f t="shared" si="128"/>
        <v>402.75000000000006</v>
      </c>
      <c r="R409" s="20">
        <f t="shared" si="117"/>
        <v>401.30000000000007</v>
      </c>
      <c r="S409" s="20">
        <f t="shared" si="112"/>
        <v>402.20000000000005</v>
      </c>
      <c r="T409" s="20">
        <f t="shared" si="113"/>
        <v>401.75000000000006</v>
      </c>
      <c r="U409" s="20">
        <v>401.75000000000006</v>
      </c>
      <c r="V409" s="22">
        <v>6.1653000000000002</v>
      </c>
      <c r="W409" s="22">
        <v>2.1202999999999999</v>
      </c>
      <c r="X409" s="23">
        <v>1.1476266666666668</v>
      </c>
      <c r="Y409" s="23">
        <f t="shared" si="121"/>
        <v>5.0176733333333337</v>
      </c>
      <c r="Z409" s="23">
        <f t="shared" si="122"/>
        <v>0.97267333333333306</v>
      </c>
      <c r="AA409" s="22">
        <f t="shared" si="123"/>
        <v>80.615052660529258</v>
      </c>
      <c r="AB409" s="22">
        <f t="shared" si="124"/>
        <v>19.384947339470742</v>
      </c>
      <c r="AC409" s="22">
        <f t="shared" si="125"/>
        <v>1.3722315988712008</v>
      </c>
      <c r="AD409" s="22">
        <f t="shared" si="126"/>
        <v>0.26600637281675971</v>
      </c>
      <c r="AE409" s="24">
        <v>5.2445000000000004</v>
      </c>
      <c r="AF409" s="24">
        <v>5.7305999999999999</v>
      </c>
      <c r="AG409" s="24">
        <v>5.3403</v>
      </c>
      <c r="AH409" s="25">
        <f>AG409-AE409</f>
        <v>9.5799999999999663E-2</v>
      </c>
      <c r="AI409" s="25">
        <v>80.292120962764912</v>
      </c>
      <c r="AJ409" s="26">
        <v>4.014606048138246</v>
      </c>
      <c r="AK409" s="25">
        <v>40.146060481382456</v>
      </c>
      <c r="AL409" s="26">
        <v>4.0156147377142872</v>
      </c>
      <c r="AM409" s="17">
        <f t="shared" si="127"/>
        <v>0.5780346820809249</v>
      </c>
      <c r="AN409" s="17"/>
      <c r="AO409" s="27"/>
      <c r="AP409" s="17"/>
      <c r="AQ409" s="17"/>
      <c r="AR409" s="17"/>
      <c r="AS409" s="17"/>
      <c r="AT409" s="17"/>
      <c r="AU409" s="17"/>
      <c r="AV409" s="17"/>
      <c r="AW409" s="17"/>
      <c r="AX409" s="17"/>
      <c r="BB409" s="17"/>
    </row>
    <row r="410" spans="1:54" x14ac:dyDescent="0.2">
      <c r="A410" s="17" t="s">
        <v>41</v>
      </c>
      <c r="B410" s="18" t="s">
        <v>42</v>
      </c>
      <c r="C410" s="18" t="str">
        <f t="shared" si="119"/>
        <v>BI10.10</v>
      </c>
      <c r="D410" s="18" t="str">
        <f t="shared" si="120"/>
        <v>BI10.10_409</v>
      </c>
      <c r="E410" s="17">
        <v>10</v>
      </c>
      <c r="F410" s="19">
        <v>409</v>
      </c>
      <c r="G410" s="20">
        <v>2.2000000000000002</v>
      </c>
      <c r="H410" s="20">
        <v>2.4</v>
      </c>
      <c r="I410" s="20">
        <v>1</v>
      </c>
      <c r="J410" s="20">
        <f t="shared" si="118"/>
        <v>4.1526499999999995</v>
      </c>
      <c r="K410" s="53">
        <v>0.18999999999999986</v>
      </c>
      <c r="L410" s="20">
        <f t="shared" si="116"/>
        <v>43.390000000000043</v>
      </c>
      <c r="M410" s="20">
        <f t="shared" si="116"/>
        <v>44.390000000000043</v>
      </c>
      <c r="N410" s="20">
        <f t="shared" si="116"/>
        <v>43.890000000000043</v>
      </c>
      <c r="O410" s="20">
        <f>P409+$AO$379</f>
        <v>403.39000000000004</v>
      </c>
      <c r="P410" s="20">
        <f t="shared" si="114"/>
        <v>404.39000000000004</v>
      </c>
      <c r="Q410" s="20">
        <f t="shared" si="128"/>
        <v>403.89000000000004</v>
      </c>
      <c r="R410" s="20">
        <f t="shared" si="117"/>
        <v>402.39000000000004</v>
      </c>
      <c r="S410" s="20">
        <f t="shared" si="112"/>
        <v>403.39000000000004</v>
      </c>
      <c r="T410" s="20">
        <f t="shared" si="113"/>
        <v>402.89000000000004</v>
      </c>
      <c r="U410" s="20">
        <v>402.89000000000004</v>
      </c>
      <c r="V410" s="22">
        <v>6.2050000000000001</v>
      </c>
      <c r="W410" s="22">
        <v>2.0617999999999999</v>
      </c>
      <c r="X410" s="23">
        <v>1.1476266666666668</v>
      </c>
      <c r="Y410" s="23">
        <f t="shared" si="121"/>
        <v>5.0573733333333335</v>
      </c>
      <c r="Z410" s="23">
        <f t="shared" si="122"/>
        <v>0.91417333333333306</v>
      </c>
      <c r="AA410" s="22">
        <f t="shared" si="123"/>
        <v>81.923949981940552</v>
      </c>
      <c r="AB410" s="22">
        <f t="shared" si="124"/>
        <v>18.076050018059448</v>
      </c>
      <c r="AC410" s="22">
        <f t="shared" si="125"/>
        <v>1.2178665029158089</v>
      </c>
      <c r="AD410" s="22">
        <f t="shared" si="126"/>
        <v>0.2201421582202529</v>
      </c>
      <c r="AE410" s="24">
        <v>5.7537000000000003</v>
      </c>
      <c r="AF410" s="24">
        <v>6.1063000000000001</v>
      </c>
      <c r="AG410" s="24">
        <v>5.8281000000000001</v>
      </c>
      <c r="AH410" s="25">
        <f>AG410-AE410</f>
        <v>7.43999999999998E-2</v>
      </c>
      <c r="AI410" s="25">
        <v>78.899602949517913</v>
      </c>
      <c r="AJ410" s="26">
        <v>3.9449801474758956</v>
      </c>
      <c r="AK410" s="25">
        <v>39.449801474758956</v>
      </c>
      <c r="AL410" s="26">
        <v>3.9460066350652454</v>
      </c>
      <c r="AM410" s="17">
        <f t="shared" si="127"/>
        <v>0.5780346820809249</v>
      </c>
      <c r="AN410" s="17"/>
      <c r="AO410" s="27"/>
      <c r="AP410" s="17"/>
      <c r="AQ410" s="17"/>
      <c r="AR410" s="17"/>
      <c r="AS410" s="17"/>
      <c r="AT410" s="17"/>
      <c r="AU410" s="17"/>
      <c r="AV410" s="17"/>
      <c r="AW410" s="17"/>
      <c r="AX410" s="17"/>
      <c r="BB410" s="17"/>
    </row>
    <row r="411" spans="1:54" x14ac:dyDescent="0.2">
      <c r="A411" s="17" t="s">
        <v>41</v>
      </c>
      <c r="B411" s="18" t="s">
        <v>42</v>
      </c>
      <c r="C411" s="18" t="str">
        <f t="shared" si="119"/>
        <v>BI10.10</v>
      </c>
      <c r="D411" s="18" t="str">
        <f t="shared" si="120"/>
        <v>BI10.10_410</v>
      </c>
      <c r="E411" s="17">
        <v>10</v>
      </c>
      <c r="F411" s="19">
        <v>410</v>
      </c>
      <c r="G411" s="20">
        <v>2.4</v>
      </c>
      <c r="H411" s="20">
        <v>2.1</v>
      </c>
      <c r="I411" s="20">
        <v>1</v>
      </c>
      <c r="J411" s="20">
        <f t="shared" si="118"/>
        <v>3.9740625000000001</v>
      </c>
      <c r="K411" s="53">
        <v>0.18999999999999986</v>
      </c>
      <c r="L411" s="20">
        <f t="shared" si="116"/>
        <v>44.580000000000041</v>
      </c>
      <c r="M411" s="20">
        <f t="shared" si="116"/>
        <v>45.580000000000041</v>
      </c>
      <c r="N411" s="20">
        <f t="shared" si="116"/>
        <v>45.080000000000041</v>
      </c>
      <c r="O411" s="20">
        <f>P410+$AO$379</f>
        <v>404.58000000000004</v>
      </c>
      <c r="P411" s="20">
        <f t="shared" si="114"/>
        <v>405.58000000000004</v>
      </c>
      <c r="Q411" s="20">
        <f t="shared" si="128"/>
        <v>405.08000000000004</v>
      </c>
      <c r="R411" s="20">
        <f t="shared" si="117"/>
        <v>403.58000000000004</v>
      </c>
      <c r="S411" s="20">
        <f t="shared" si="112"/>
        <v>404.58000000000004</v>
      </c>
      <c r="T411" s="20">
        <f t="shared" si="113"/>
        <v>404.08000000000004</v>
      </c>
      <c r="U411" s="20">
        <v>404.08000000000004</v>
      </c>
      <c r="V411" s="22">
        <v>6.0297999999999998</v>
      </c>
      <c r="W411" s="22">
        <v>2.0528</v>
      </c>
      <c r="X411" s="23">
        <v>1.1476266666666668</v>
      </c>
      <c r="Y411" s="23">
        <f t="shared" si="121"/>
        <v>4.8821733333333333</v>
      </c>
      <c r="Z411" s="23">
        <f t="shared" si="122"/>
        <v>0.90517333333333316</v>
      </c>
      <c r="AA411" s="22">
        <f t="shared" si="123"/>
        <v>81.459623173286218</v>
      </c>
      <c r="AB411" s="22">
        <f t="shared" si="124"/>
        <v>18.540376826713782</v>
      </c>
      <c r="AC411" s="22">
        <f t="shared" si="125"/>
        <v>1.2285094492935964</v>
      </c>
      <c r="AD411" s="22">
        <f t="shared" si="126"/>
        <v>0.22777028125081908</v>
      </c>
      <c r="AE411" s="24">
        <v>5.6189999999999998</v>
      </c>
      <c r="AF411" s="24">
        <v>5.9763000000000002</v>
      </c>
      <c r="AG411" s="24">
        <v>5.6877000000000004</v>
      </c>
      <c r="AH411" s="25">
        <f>AG411-AE411</f>
        <v>6.8700000000000649E-2</v>
      </c>
      <c r="AI411" s="25">
        <v>80.772460117548121</v>
      </c>
      <c r="AJ411" s="26">
        <v>4.0386230058774064</v>
      </c>
      <c r="AK411" s="25">
        <v>40.386230058774061</v>
      </c>
      <c r="AL411" s="26">
        <v>4.0396256984530456</v>
      </c>
      <c r="AM411" s="17">
        <f t="shared" si="127"/>
        <v>0.5780346820809249</v>
      </c>
      <c r="AN411" s="17"/>
      <c r="AO411" s="27"/>
      <c r="AP411" s="17"/>
      <c r="AQ411" s="17"/>
      <c r="AR411" s="17"/>
      <c r="AS411" s="17"/>
      <c r="AT411" s="17"/>
      <c r="AU411" s="17"/>
      <c r="AV411" s="17"/>
      <c r="AW411" s="17"/>
      <c r="AX411" s="17"/>
      <c r="BB411" s="17"/>
    </row>
    <row r="412" spans="1:54" x14ac:dyDescent="0.2">
      <c r="A412" s="17" t="s">
        <v>41</v>
      </c>
      <c r="B412" s="18" t="s">
        <v>42</v>
      </c>
      <c r="C412" s="18" t="str">
        <f t="shared" si="119"/>
        <v>BI10.10</v>
      </c>
      <c r="D412" s="18" t="str">
        <f t="shared" si="120"/>
        <v>BI10.10_411</v>
      </c>
      <c r="E412" s="17">
        <v>10</v>
      </c>
      <c r="F412" s="19">
        <v>411</v>
      </c>
      <c r="G412" s="20">
        <v>2.25</v>
      </c>
      <c r="H412" s="20">
        <v>2.35</v>
      </c>
      <c r="I412" s="20">
        <v>1</v>
      </c>
      <c r="J412" s="20">
        <f t="shared" si="118"/>
        <v>4.1526499999999995</v>
      </c>
      <c r="K412" s="53">
        <v>0.18999999999999986</v>
      </c>
      <c r="L412" s="20">
        <f t="shared" si="116"/>
        <v>45.770000000000039</v>
      </c>
      <c r="M412" s="20">
        <f t="shared" si="116"/>
        <v>46.770000000000039</v>
      </c>
      <c r="N412" s="20">
        <f t="shared" si="116"/>
        <v>46.270000000000039</v>
      </c>
      <c r="O412" s="20">
        <f>P411+$AO$379</f>
        <v>405.77000000000004</v>
      </c>
      <c r="P412" s="20">
        <f t="shared" si="114"/>
        <v>406.77000000000004</v>
      </c>
      <c r="Q412" s="20">
        <f t="shared" si="128"/>
        <v>406.27000000000004</v>
      </c>
      <c r="R412" s="20">
        <f t="shared" si="117"/>
        <v>404.77000000000004</v>
      </c>
      <c r="S412" s="20">
        <f t="shared" si="112"/>
        <v>405.77000000000004</v>
      </c>
      <c r="T412" s="20">
        <f t="shared" si="113"/>
        <v>405.27000000000004</v>
      </c>
      <c r="U412" s="20">
        <v>405.27000000000004</v>
      </c>
      <c r="V412" s="22">
        <v>6.1258999999999997</v>
      </c>
      <c r="W412" s="22">
        <v>2.0863999999999998</v>
      </c>
      <c r="X412" s="23">
        <v>1.1476266666666668</v>
      </c>
      <c r="Y412" s="23">
        <f t="shared" si="121"/>
        <v>4.9782733333333331</v>
      </c>
      <c r="Z412" s="23">
        <f t="shared" si="122"/>
        <v>0.93877333333333302</v>
      </c>
      <c r="AA412" s="22">
        <f t="shared" si="123"/>
        <v>81.142591608067605</v>
      </c>
      <c r="AB412" s="22">
        <f t="shared" si="124"/>
        <v>18.857408391932395</v>
      </c>
      <c r="AC412" s="22">
        <f t="shared" si="125"/>
        <v>1.1988184251823133</v>
      </c>
      <c r="AD412" s="22">
        <f t="shared" si="126"/>
        <v>0.22606608631436145</v>
      </c>
      <c r="AE412" s="24">
        <v>5.1134000000000004</v>
      </c>
      <c r="AF412" s="24">
        <v>5.5552000000000001</v>
      </c>
      <c r="AG412" s="24">
        <v>5.2130999999999998</v>
      </c>
      <c r="AH412" s="25">
        <f>AG412-AE412</f>
        <v>9.9699999999999456E-2</v>
      </c>
      <c r="AI412" s="25">
        <v>77.433227704843929</v>
      </c>
      <c r="AJ412" s="26">
        <v>3.8716613852421968</v>
      </c>
      <c r="AK412" s="25">
        <v>38.716613852421965</v>
      </c>
      <c r="AL412" s="26">
        <v>3.8727073065202755</v>
      </c>
      <c r="AM412" s="17">
        <f t="shared" si="127"/>
        <v>0.5780346820809249</v>
      </c>
      <c r="AN412" s="17"/>
      <c r="AO412" s="27"/>
      <c r="AP412" s="17"/>
      <c r="AQ412" s="17"/>
      <c r="AR412" s="17"/>
      <c r="AS412" s="17"/>
      <c r="AT412" s="17"/>
      <c r="AU412" s="17"/>
      <c r="AV412" s="17"/>
      <c r="AW412" s="17"/>
      <c r="AX412" s="17"/>
      <c r="BB412" s="17"/>
    </row>
    <row r="413" spans="1:54" x14ac:dyDescent="0.2">
      <c r="A413" s="17" t="s">
        <v>41</v>
      </c>
      <c r="B413" s="18" t="s">
        <v>42</v>
      </c>
      <c r="C413" s="18" t="str">
        <f t="shared" si="119"/>
        <v>BI10.10</v>
      </c>
      <c r="D413" s="18" t="str">
        <f t="shared" si="120"/>
        <v>BI10.10_412</v>
      </c>
      <c r="E413" s="17">
        <v>10</v>
      </c>
      <c r="F413" s="19">
        <v>412</v>
      </c>
      <c r="G413" s="20">
        <v>2.15</v>
      </c>
      <c r="H413" s="20">
        <v>2.2000000000000002</v>
      </c>
      <c r="I413" s="20">
        <v>1</v>
      </c>
      <c r="J413" s="20">
        <f t="shared" si="118"/>
        <v>3.7135406249999994</v>
      </c>
      <c r="K413" s="53">
        <v>0.18999999999999986</v>
      </c>
      <c r="L413" s="20">
        <f t="shared" si="116"/>
        <v>46.960000000000036</v>
      </c>
      <c r="M413" s="20">
        <f t="shared" si="116"/>
        <v>47.960000000000036</v>
      </c>
      <c r="N413" s="20">
        <f t="shared" si="116"/>
        <v>47.460000000000036</v>
      </c>
      <c r="O413" s="20">
        <f>P412+$AO$379</f>
        <v>406.96000000000004</v>
      </c>
      <c r="P413" s="20">
        <f t="shared" si="114"/>
        <v>407.96000000000004</v>
      </c>
      <c r="Q413" s="20">
        <f t="shared" si="128"/>
        <v>407.46000000000004</v>
      </c>
      <c r="R413" s="20">
        <f t="shared" si="117"/>
        <v>405.96000000000004</v>
      </c>
      <c r="S413" s="20">
        <f t="shared" si="112"/>
        <v>406.96000000000004</v>
      </c>
      <c r="T413" s="20">
        <f t="shared" si="113"/>
        <v>406.46000000000004</v>
      </c>
      <c r="U413" s="20">
        <v>406.46000000000004</v>
      </c>
      <c r="V413" s="22">
        <v>5.9553000000000003</v>
      </c>
      <c r="W413" s="22">
        <v>2.2479</v>
      </c>
      <c r="X413" s="23">
        <v>1.1476266666666668</v>
      </c>
      <c r="Y413" s="23">
        <f t="shared" si="121"/>
        <v>4.8076733333333337</v>
      </c>
      <c r="Z413" s="23">
        <f t="shared" si="122"/>
        <v>1.1002733333333332</v>
      </c>
      <c r="AA413" s="22">
        <f t="shared" si="123"/>
        <v>77.114224344138748</v>
      </c>
      <c r="AB413" s="22">
        <f t="shared" si="124"/>
        <v>22.885775655861252</v>
      </c>
      <c r="AC413" s="22">
        <f t="shared" si="125"/>
        <v>1.2946332944272918</v>
      </c>
      <c r="AD413" s="22">
        <f t="shared" si="126"/>
        <v>0.29628687132871567</v>
      </c>
      <c r="AE413" s="24">
        <v>5.4027000000000003</v>
      </c>
      <c r="AF413" s="24">
        <v>5.9466999999999999</v>
      </c>
      <c r="AG413" s="24">
        <v>5.5538999999999996</v>
      </c>
      <c r="AH413" s="25">
        <f>AG413-AE413</f>
        <v>0.15119999999999933</v>
      </c>
      <c r="AI413" s="25">
        <v>72.205882352941273</v>
      </c>
      <c r="AJ413" s="26">
        <v>3.6102941176470638</v>
      </c>
      <c r="AK413" s="25">
        <v>36.102941176470637</v>
      </c>
      <c r="AL413" s="26">
        <v>3.6114157356799828</v>
      </c>
      <c r="AM413" s="17">
        <f t="shared" si="127"/>
        <v>0.5780346820809249</v>
      </c>
      <c r="AN413" s="17"/>
      <c r="AO413" s="27"/>
      <c r="AP413" s="17"/>
      <c r="AQ413" s="17"/>
      <c r="AR413" s="17"/>
      <c r="AS413" s="17"/>
      <c r="AT413" s="17"/>
      <c r="AU413" s="17"/>
      <c r="AV413" s="17"/>
      <c r="AW413" s="17"/>
      <c r="AX413" s="17"/>
      <c r="BB413" s="17"/>
    </row>
    <row r="414" spans="1:54" x14ac:dyDescent="0.2">
      <c r="A414" s="17" t="s">
        <v>41</v>
      </c>
      <c r="B414" s="18" t="s">
        <v>42</v>
      </c>
      <c r="C414" s="18" t="str">
        <f t="shared" si="119"/>
        <v>BI10.10</v>
      </c>
      <c r="D414" s="18" t="str">
        <f t="shared" si="120"/>
        <v>BI10.10_413</v>
      </c>
      <c r="E414" s="17">
        <v>10</v>
      </c>
      <c r="F414" s="19">
        <v>413</v>
      </c>
      <c r="G414" s="20">
        <v>2.1</v>
      </c>
      <c r="H414" s="20">
        <v>2.2000000000000002</v>
      </c>
      <c r="I414" s="20">
        <v>1.85</v>
      </c>
      <c r="J414" s="20">
        <f t="shared" si="118"/>
        <v>6.7130256250000029</v>
      </c>
      <c r="K414" s="53">
        <v>0.18999999999999986</v>
      </c>
      <c r="L414" s="20">
        <f t="shared" si="116"/>
        <v>48.150000000000034</v>
      </c>
      <c r="M414" s="20">
        <f t="shared" si="116"/>
        <v>50.000000000000057</v>
      </c>
      <c r="N414" s="20">
        <f t="shared" si="116"/>
        <v>49.075000000000045</v>
      </c>
      <c r="O414" s="20">
        <f>P413+$AO$379</f>
        <v>408.15000000000003</v>
      </c>
      <c r="P414" s="20">
        <f t="shared" si="114"/>
        <v>410.00000000000006</v>
      </c>
      <c r="Q414" s="20">
        <f t="shared" si="128"/>
        <v>409.07500000000005</v>
      </c>
      <c r="R414" s="20">
        <f t="shared" si="117"/>
        <v>407.15000000000003</v>
      </c>
      <c r="S414" s="20">
        <f t="shared" si="112"/>
        <v>409.00000000000006</v>
      </c>
      <c r="T414" s="20">
        <f t="shared" si="113"/>
        <v>408.07500000000005</v>
      </c>
      <c r="U414" s="20">
        <v>408.07500000000005</v>
      </c>
      <c r="V414" s="22">
        <v>5.4287000000000001</v>
      </c>
      <c r="W414" s="22">
        <v>2.0821000000000001</v>
      </c>
      <c r="X414" s="23">
        <v>1.1476266666666668</v>
      </c>
      <c r="Y414" s="23">
        <f t="shared" si="121"/>
        <v>4.2810733333333335</v>
      </c>
      <c r="Z414" s="23">
        <f t="shared" si="122"/>
        <v>0.93447333333333327</v>
      </c>
      <c r="AA414" s="22">
        <f t="shared" si="123"/>
        <v>78.171984907211751</v>
      </c>
      <c r="AB414" s="22">
        <f t="shared" si="124"/>
        <v>21.828015092788249</v>
      </c>
      <c r="AC414" s="22">
        <f t="shared" si="125"/>
        <v>0.63772635060265115</v>
      </c>
      <c r="AD414" s="22">
        <f t="shared" si="126"/>
        <v>0.13920300406023445</v>
      </c>
      <c r="AE414" s="24">
        <v>4.9501999999999997</v>
      </c>
      <c r="AF414" s="24">
        <v>5.4142999999999999</v>
      </c>
      <c r="AG414" s="24">
        <v>5.0617000000000001</v>
      </c>
      <c r="AH414" s="25">
        <f>AG414-AE414</f>
        <v>0.11150000000000038</v>
      </c>
      <c r="AI414" s="25">
        <v>75.975005386770022</v>
      </c>
      <c r="AJ414" s="26">
        <v>3.7987502693385014</v>
      </c>
      <c r="AK414" s="25">
        <v>37.987502693385011</v>
      </c>
      <c r="AL414" s="26">
        <v>3.7998162598735399</v>
      </c>
      <c r="AM414" s="17">
        <f t="shared" si="127"/>
        <v>0.5780346820809249</v>
      </c>
      <c r="AN414" s="17"/>
      <c r="AO414" s="27"/>
      <c r="AP414" s="17"/>
      <c r="AQ414" s="17"/>
      <c r="AR414" s="17"/>
      <c r="AS414" s="17"/>
      <c r="AT414" s="17"/>
      <c r="AU414" s="17"/>
      <c r="AV414" s="17"/>
      <c r="AW414" s="17"/>
      <c r="AX414" s="17"/>
      <c r="BB414" s="17"/>
    </row>
    <row r="415" spans="1:54" x14ac:dyDescent="0.2">
      <c r="A415" s="17" t="s">
        <v>41</v>
      </c>
      <c r="B415" s="18" t="s">
        <v>42</v>
      </c>
      <c r="C415" s="18" t="str">
        <f t="shared" si="119"/>
        <v>BI10.11</v>
      </c>
      <c r="D415" s="18" t="str">
        <f t="shared" si="120"/>
        <v>BI10.11_414</v>
      </c>
      <c r="E415" s="17">
        <v>11</v>
      </c>
      <c r="F415" s="19">
        <v>414</v>
      </c>
      <c r="G415" s="20">
        <v>2.1</v>
      </c>
      <c r="H415" s="20">
        <v>2.2999999999999998</v>
      </c>
      <c r="I415" s="20">
        <v>1.05</v>
      </c>
      <c r="J415" s="20">
        <f t="shared" si="118"/>
        <v>3.9893700000000014</v>
      </c>
      <c r="K415" s="53">
        <v>0.2075000000000001</v>
      </c>
      <c r="L415" s="20">
        <f>O415-400</f>
        <v>0</v>
      </c>
      <c r="M415" s="20">
        <f t="shared" ref="M415:N430" si="129">P415-400</f>
        <v>1.0500000000000114</v>
      </c>
      <c r="N415" s="20">
        <f t="shared" si="129"/>
        <v>0.52499999999997726</v>
      </c>
      <c r="O415" s="20">
        <v>400</v>
      </c>
      <c r="P415" s="20">
        <f t="shared" si="114"/>
        <v>401.05</v>
      </c>
      <c r="Q415" s="20">
        <f t="shared" si="128"/>
        <v>400.52499999999998</v>
      </c>
      <c r="R415" s="20">
        <f>O415+3</f>
        <v>403</v>
      </c>
      <c r="S415" s="20">
        <f t="shared" si="112"/>
        <v>404.05</v>
      </c>
      <c r="T415" s="20">
        <f t="shared" si="113"/>
        <v>403.52499999999998</v>
      </c>
      <c r="U415" s="20">
        <v>403.52499999999998</v>
      </c>
      <c r="V415" s="22">
        <v>4.3673999999999999</v>
      </c>
      <c r="W415" s="22">
        <v>1.7906</v>
      </c>
      <c r="X415" s="23">
        <v>1.1476266666666668</v>
      </c>
      <c r="Y415" s="23">
        <f t="shared" si="121"/>
        <v>3.2197733333333334</v>
      </c>
      <c r="Z415" s="23">
        <f t="shared" si="122"/>
        <v>0.64297333333333317</v>
      </c>
      <c r="AA415" s="22">
        <f t="shared" si="123"/>
        <v>80.030478335949127</v>
      </c>
      <c r="AB415" s="22">
        <f t="shared" si="124"/>
        <v>19.969521664050873</v>
      </c>
      <c r="AC415" s="22">
        <f t="shared" si="125"/>
        <v>0.80708817014549472</v>
      </c>
      <c r="AD415" s="22">
        <f t="shared" si="126"/>
        <v>0.1611716469851964</v>
      </c>
      <c r="AE415" s="24">
        <v>5.6908000000000003</v>
      </c>
      <c r="AF415" s="24">
        <v>6.2127999999999997</v>
      </c>
      <c r="AG415" s="24">
        <v>5.8494000000000002</v>
      </c>
      <c r="AH415" s="25">
        <f>AG415-AE415</f>
        <v>0.15859999999999985</v>
      </c>
      <c r="AI415" s="25">
        <v>69.616858237547888</v>
      </c>
      <c r="AJ415" s="26">
        <v>3.4808429118773945</v>
      </c>
      <c r="AK415" s="25">
        <v>34.808429118773944</v>
      </c>
      <c r="AL415" s="26">
        <v>3.4820062287662696</v>
      </c>
      <c r="AM415" s="17">
        <f t="shared" si="127"/>
        <v>0.5780346820809249</v>
      </c>
      <c r="AN415" s="28" t="s">
        <v>43</v>
      </c>
      <c r="AO415" s="27">
        <v>50</v>
      </c>
      <c r="AP415" s="17"/>
      <c r="AQ415" s="17"/>
      <c r="AR415" s="17"/>
      <c r="AS415" s="17"/>
      <c r="AT415" s="17"/>
      <c r="AU415" s="17"/>
      <c r="AV415" s="17"/>
      <c r="AW415" s="17"/>
      <c r="AX415" s="17"/>
      <c r="BB415" s="17"/>
    </row>
    <row r="416" spans="1:54" x14ac:dyDescent="0.2">
      <c r="A416" s="17" t="s">
        <v>41</v>
      </c>
      <c r="B416" s="18" t="s">
        <v>42</v>
      </c>
      <c r="C416" s="18" t="str">
        <f t="shared" si="119"/>
        <v>BI10.11</v>
      </c>
      <c r="D416" s="18" t="str">
        <f t="shared" si="120"/>
        <v>BI10.11_415</v>
      </c>
      <c r="E416" s="17">
        <v>11</v>
      </c>
      <c r="F416" s="19">
        <v>415</v>
      </c>
      <c r="G416" s="20">
        <v>2.15</v>
      </c>
      <c r="H416" s="20">
        <v>2.5499999999999998</v>
      </c>
      <c r="I416" s="20">
        <v>1</v>
      </c>
      <c r="J416" s="20">
        <f t="shared" si="118"/>
        <v>4.3351624999999991</v>
      </c>
      <c r="K416" s="53">
        <v>0.2075000000000001</v>
      </c>
      <c r="L416" s="20">
        <f t="shared" ref="L416:N455" si="130">O416-400</f>
        <v>1.2574999999999932</v>
      </c>
      <c r="M416" s="20">
        <f t="shared" si="129"/>
        <v>2.2574999999999932</v>
      </c>
      <c r="N416" s="20">
        <f t="shared" si="129"/>
        <v>1.7574999999999932</v>
      </c>
      <c r="O416" s="20">
        <f>P415+$AO$420</f>
        <v>401.25749999999999</v>
      </c>
      <c r="P416" s="20">
        <f t="shared" si="114"/>
        <v>402.25749999999999</v>
      </c>
      <c r="Q416" s="20">
        <f t="shared" si="128"/>
        <v>401.75749999999999</v>
      </c>
      <c r="R416" s="20">
        <f t="shared" ref="R416:R455" si="131">O416+3</f>
        <v>404.25749999999999</v>
      </c>
      <c r="S416" s="20">
        <f t="shared" si="112"/>
        <v>405.25749999999999</v>
      </c>
      <c r="T416" s="20">
        <f t="shared" si="113"/>
        <v>404.75749999999999</v>
      </c>
      <c r="U416" s="20">
        <v>404.75749999999999</v>
      </c>
      <c r="V416" s="22">
        <v>5.6661999999999999</v>
      </c>
      <c r="W416" s="22">
        <v>2.1315</v>
      </c>
      <c r="X416" s="23">
        <v>1.1476266666666668</v>
      </c>
      <c r="Y416" s="23">
        <f t="shared" si="121"/>
        <v>4.5185733333333333</v>
      </c>
      <c r="Z416" s="23">
        <f t="shared" si="122"/>
        <v>0.98387333333333316</v>
      </c>
      <c r="AA416" s="22">
        <f t="shared" si="123"/>
        <v>78.226018241745919</v>
      </c>
      <c r="AB416" s="22">
        <f t="shared" si="124"/>
        <v>21.773981758254081</v>
      </c>
      <c r="AC416" s="22">
        <f t="shared" si="125"/>
        <v>1.0423077181843436</v>
      </c>
      <c r="AD416" s="22">
        <f t="shared" si="126"/>
        <v>0.22695189242233327</v>
      </c>
      <c r="AE416" s="24">
        <v>5.5652999999999997</v>
      </c>
      <c r="AF416" s="24">
        <v>5.9987000000000004</v>
      </c>
      <c r="AG416" s="24">
        <v>5.7098000000000004</v>
      </c>
      <c r="AH416" s="25">
        <f>AG416-AE416</f>
        <v>0.14450000000000074</v>
      </c>
      <c r="AI416" s="25">
        <v>66.658975542224155</v>
      </c>
      <c r="AJ416" s="26">
        <v>3.3329487771112078</v>
      </c>
      <c r="AK416" s="25">
        <v>33.329487771112078</v>
      </c>
      <c r="AL416" s="26">
        <v>3.33416369586844</v>
      </c>
      <c r="AM416" s="17">
        <f t="shared" si="127"/>
        <v>0.5780346820809249</v>
      </c>
      <c r="AN416" s="28" t="s">
        <v>44</v>
      </c>
      <c r="AO416" s="27" t="s">
        <v>63</v>
      </c>
      <c r="AP416" s="17"/>
      <c r="AQ416" s="17"/>
      <c r="AR416" s="17"/>
      <c r="AS416" s="17"/>
      <c r="AT416" s="17"/>
      <c r="AU416" s="17"/>
      <c r="AV416" s="17"/>
      <c r="AW416" s="17"/>
      <c r="AX416" s="17"/>
      <c r="BB416" s="17"/>
    </row>
    <row r="417" spans="1:54" x14ac:dyDescent="0.2">
      <c r="A417" s="17" t="s">
        <v>41</v>
      </c>
      <c r="B417" s="18" t="s">
        <v>42</v>
      </c>
      <c r="C417" s="18" t="str">
        <f t="shared" si="119"/>
        <v>BI10.11</v>
      </c>
      <c r="D417" s="18" t="str">
        <f t="shared" si="120"/>
        <v>BI10.11_416</v>
      </c>
      <c r="E417" s="17">
        <v>11</v>
      </c>
      <c r="F417" s="19">
        <v>416</v>
      </c>
      <c r="G417" s="20">
        <v>2.1</v>
      </c>
      <c r="H417" s="20">
        <v>2.25</v>
      </c>
      <c r="I417" s="20">
        <v>1</v>
      </c>
      <c r="J417" s="20">
        <f t="shared" si="118"/>
        <v>3.7135406249999994</v>
      </c>
      <c r="K417" s="53">
        <v>0.2075000000000001</v>
      </c>
      <c r="L417" s="20">
        <f t="shared" si="130"/>
        <v>2.464999999999975</v>
      </c>
      <c r="M417" s="20">
        <f t="shared" si="129"/>
        <v>3.464999999999975</v>
      </c>
      <c r="N417" s="20">
        <f t="shared" si="129"/>
        <v>2.964999999999975</v>
      </c>
      <c r="O417" s="20">
        <f>P416+$AO$420</f>
        <v>402.46499999999997</v>
      </c>
      <c r="P417" s="20">
        <f t="shared" si="114"/>
        <v>403.46499999999997</v>
      </c>
      <c r="Q417" s="20">
        <f t="shared" si="128"/>
        <v>402.96499999999997</v>
      </c>
      <c r="R417" s="20">
        <f t="shared" si="131"/>
        <v>405.46499999999997</v>
      </c>
      <c r="S417" s="20">
        <f t="shared" si="112"/>
        <v>406.46499999999997</v>
      </c>
      <c r="T417" s="20">
        <f t="shared" si="113"/>
        <v>405.96499999999997</v>
      </c>
      <c r="U417" s="20">
        <v>405.96499999999997</v>
      </c>
      <c r="V417" s="22">
        <v>6.3902999999999999</v>
      </c>
      <c r="W417" s="22">
        <v>2.1650999999999998</v>
      </c>
      <c r="X417" s="23">
        <v>1.1476266666666668</v>
      </c>
      <c r="Y417" s="23">
        <f t="shared" si="121"/>
        <v>5.2426733333333333</v>
      </c>
      <c r="Z417" s="23">
        <f t="shared" si="122"/>
        <v>1.017473333333333</v>
      </c>
      <c r="AA417" s="22">
        <f t="shared" si="123"/>
        <v>80.592471271018212</v>
      </c>
      <c r="AB417" s="22">
        <f t="shared" si="124"/>
        <v>19.407528728981788</v>
      </c>
      <c r="AC417" s="22">
        <f t="shared" si="125"/>
        <v>1.4117721772151972</v>
      </c>
      <c r="AD417" s="22">
        <f t="shared" si="126"/>
        <v>0.27399009088081089</v>
      </c>
      <c r="AE417" s="24">
        <v>5.5726000000000004</v>
      </c>
      <c r="AF417" s="24">
        <v>6.3240999999999996</v>
      </c>
      <c r="AG417" s="24">
        <v>5.8677000000000001</v>
      </c>
      <c r="AH417" s="25">
        <f>AG417-AE417</f>
        <v>0.2950999999999997</v>
      </c>
      <c r="AI417" s="25">
        <v>60.731869594145039</v>
      </c>
      <c r="AJ417" s="26">
        <v>3.036593479707252</v>
      </c>
      <c r="AK417" s="25">
        <v>30.365934797072519</v>
      </c>
      <c r="AL417" s="26">
        <v>3.0379269183113338</v>
      </c>
      <c r="AM417" s="17">
        <f t="shared" si="127"/>
        <v>0.5780346820809249</v>
      </c>
      <c r="AN417" s="28" t="s">
        <v>46</v>
      </c>
      <c r="AO417" s="29">
        <f>SUM(I415:I455)</f>
        <v>41.699999999999996</v>
      </c>
      <c r="AP417" s="17"/>
      <c r="AQ417" s="17"/>
      <c r="AR417" s="17"/>
      <c r="AS417" s="17"/>
      <c r="AT417" s="17"/>
      <c r="AU417" s="17"/>
      <c r="AV417" s="17"/>
      <c r="AW417" s="17"/>
      <c r="AX417" s="17"/>
      <c r="BB417" s="17"/>
    </row>
    <row r="418" spans="1:54" x14ac:dyDescent="0.2">
      <c r="A418" s="17" t="s">
        <v>41</v>
      </c>
      <c r="B418" s="18" t="s">
        <v>42</v>
      </c>
      <c r="C418" s="18" t="str">
        <f t="shared" si="119"/>
        <v>BI10.11</v>
      </c>
      <c r="D418" s="18" t="str">
        <f t="shared" si="120"/>
        <v>BI10.11_417</v>
      </c>
      <c r="E418" s="17">
        <v>11</v>
      </c>
      <c r="F418" s="19">
        <v>417</v>
      </c>
      <c r="G418" s="20">
        <v>2.2999999999999998</v>
      </c>
      <c r="H418" s="20">
        <v>2.8</v>
      </c>
      <c r="I418" s="20">
        <v>1.05</v>
      </c>
      <c r="J418" s="20">
        <f t="shared" si="118"/>
        <v>5.3596856249999991</v>
      </c>
      <c r="K418" s="53">
        <v>0.2075000000000001</v>
      </c>
      <c r="L418" s="20">
        <f t="shared" si="130"/>
        <v>3.6724999999999568</v>
      </c>
      <c r="M418" s="20">
        <f t="shared" si="129"/>
        <v>4.7224999999999682</v>
      </c>
      <c r="N418" s="20">
        <f t="shared" si="129"/>
        <v>4.1974999999999909</v>
      </c>
      <c r="O418" s="20">
        <f>P417+$AO$420</f>
        <v>403.67249999999996</v>
      </c>
      <c r="P418" s="20">
        <f t="shared" si="114"/>
        <v>404.72249999999997</v>
      </c>
      <c r="Q418" s="20">
        <f t="shared" si="128"/>
        <v>404.19749999999999</v>
      </c>
      <c r="R418" s="20">
        <f t="shared" si="131"/>
        <v>406.67249999999996</v>
      </c>
      <c r="S418" s="20">
        <f t="shared" si="112"/>
        <v>407.72249999999997</v>
      </c>
      <c r="T418" s="20">
        <f t="shared" si="113"/>
        <v>407.19749999999999</v>
      </c>
      <c r="U418" s="20">
        <v>407.19749999999999</v>
      </c>
      <c r="V418" s="22">
        <v>6.6173000000000002</v>
      </c>
      <c r="W418" s="22">
        <v>2.4436</v>
      </c>
      <c r="X418" s="23">
        <v>1.1476266666666668</v>
      </c>
      <c r="Y418" s="23">
        <f t="shared" si="121"/>
        <v>5.4696733333333336</v>
      </c>
      <c r="Z418" s="23">
        <f t="shared" si="122"/>
        <v>1.2959733333333332</v>
      </c>
      <c r="AA418" s="22">
        <f t="shared" si="123"/>
        <v>76.306202320431083</v>
      </c>
      <c r="AB418" s="22">
        <f t="shared" si="124"/>
        <v>23.693797679568917</v>
      </c>
      <c r="AC418" s="22">
        <f t="shared" si="125"/>
        <v>1.0205212984545777</v>
      </c>
      <c r="AD418" s="22">
        <f t="shared" si="126"/>
        <v>0.24180025173273728</v>
      </c>
      <c r="AE418" s="24">
        <v>5.1855000000000002</v>
      </c>
      <c r="AF418" s="24">
        <v>5.6567999999999996</v>
      </c>
      <c r="AG418" s="24">
        <v>5.2908999999999997</v>
      </c>
      <c r="AH418" s="25">
        <f>AG418-AE418</f>
        <v>0.10539999999999949</v>
      </c>
      <c r="AI418" s="25">
        <v>77.636325058349314</v>
      </c>
      <c r="AJ418" s="26">
        <v>3.8818162529174658</v>
      </c>
      <c r="AK418" s="25">
        <v>38.818162529174657</v>
      </c>
      <c r="AL418" s="26">
        <v>3.8828594387917517</v>
      </c>
      <c r="AM418" s="17">
        <f t="shared" si="127"/>
        <v>0.5780346820809249</v>
      </c>
      <c r="AN418" s="28" t="s">
        <v>47</v>
      </c>
      <c r="AO418" s="29">
        <f>AO415-AO417</f>
        <v>8.3000000000000043</v>
      </c>
      <c r="AP418" s="17"/>
      <c r="AQ418" s="17"/>
      <c r="AR418" s="17"/>
      <c r="AS418" s="17"/>
      <c r="AT418" s="17"/>
      <c r="AU418" s="17"/>
      <c r="AV418" s="17"/>
      <c r="AW418" s="17"/>
      <c r="AX418" s="17"/>
      <c r="BB418" s="17"/>
    </row>
    <row r="419" spans="1:54" x14ac:dyDescent="0.2">
      <c r="A419" s="17" t="s">
        <v>41</v>
      </c>
      <c r="B419" s="18" t="s">
        <v>42</v>
      </c>
      <c r="C419" s="18" t="str">
        <f t="shared" si="119"/>
        <v>BI10.11</v>
      </c>
      <c r="D419" s="18" t="str">
        <f t="shared" si="120"/>
        <v>BI10.11_418</v>
      </c>
      <c r="E419" s="17">
        <v>11</v>
      </c>
      <c r="F419" s="19">
        <v>418</v>
      </c>
      <c r="G419" s="20">
        <v>2.15</v>
      </c>
      <c r="H419" s="20">
        <v>2.65</v>
      </c>
      <c r="I419" s="20">
        <v>1</v>
      </c>
      <c r="J419" s="20">
        <f t="shared" si="118"/>
        <v>4.5215999999999994</v>
      </c>
      <c r="K419" s="53">
        <v>0.2075000000000001</v>
      </c>
      <c r="L419" s="20">
        <f t="shared" si="130"/>
        <v>4.92999999999995</v>
      </c>
      <c r="M419" s="20">
        <f t="shared" si="129"/>
        <v>5.92999999999995</v>
      </c>
      <c r="N419" s="20">
        <f t="shared" si="129"/>
        <v>5.42999999999995</v>
      </c>
      <c r="O419" s="20">
        <f>P418+$AO$420</f>
        <v>404.92999999999995</v>
      </c>
      <c r="P419" s="20">
        <f t="shared" si="114"/>
        <v>405.92999999999995</v>
      </c>
      <c r="Q419" s="20">
        <f t="shared" si="128"/>
        <v>405.42999999999995</v>
      </c>
      <c r="R419" s="20">
        <f t="shared" si="131"/>
        <v>407.92999999999995</v>
      </c>
      <c r="S419" s="20">
        <f t="shared" si="112"/>
        <v>408.92999999999995</v>
      </c>
      <c r="T419" s="20">
        <f t="shared" si="113"/>
        <v>408.42999999999995</v>
      </c>
      <c r="U419" s="20">
        <v>408.42999999999995</v>
      </c>
      <c r="V419" s="22">
        <v>5.9901999999999997</v>
      </c>
      <c r="W419" s="22">
        <v>2.2296</v>
      </c>
      <c r="X419" s="23">
        <v>1.1476266666666668</v>
      </c>
      <c r="Y419" s="23">
        <f t="shared" si="121"/>
        <v>4.8425733333333332</v>
      </c>
      <c r="Z419" s="23">
        <f t="shared" si="122"/>
        <v>1.0819733333333332</v>
      </c>
      <c r="AA419" s="22">
        <f t="shared" si="123"/>
        <v>77.657058368415704</v>
      </c>
      <c r="AB419" s="22">
        <f t="shared" si="124"/>
        <v>22.342941631584296</v>
      </c>
      <c r="AC419" s="22">
        <f t="shared" si="125"/>
        <v>1.0709866713847607</v>
      </c>
      <c r="AD419" s="22">
        <f t="shared" si="126"/>
        <v>0.2392899268695447</v>
      </c>
      <c r="AE419" s="24">
        <v>5.5294999999999996</v>
      </c>
      <c r="AF419" s="24">
        <v>6.0590999999999999</v>
      </c>
      <c r="AG419" s="24">
        <v>5.6586999999999996</v>
      </c>
      <c r="AH419" s="25">
        <f>AG419-AE419</f>
        <v>0.12919999999999998</v>
      </c>
      <c r="AI419" s="25">
        <v>75.604229607250772</v>
      </c>
      <c r="AJ419" s="26">
        <v>3.7802114803625386</v>
      </c>
      <c r="AK419" s="25">
        <v>37.802114803625386</v>
      </c>
      <c r="AL419" s="26">
        <v>3.7812826972159508</v>
      </c>
      <c r="AM419" s="17">
        <f t="shared" si="127"/>
        <v>0.5780346820809249</v>
      </c>
      <c r="AN419" s="28" t="s">
        <v>48</v>
      </c>
      <c r="AO419" s="27">
        <v>40</v>
      </c>
      <c r="AP419" s="17"/>
      <c r="AQ419" s="17"/>
      <c r="AR419" s="17"/>
      <c r="AS419" s="17"/>
      <c r="AT419" s="17"/>
      <c r="AU419" s="17"/>
      <c r="AV419" s="17"/>
      <c r="AW419" s="17"/>
      <c r="AX419" s="17"/>
      <c r="BB419" s="17"/>
    </row>
    <row r="420" spans="1:54" x14ac:dyDescent="0.2">
      <c r="A420" s="17" t="s">
        <v>41</v>
      </c>
      <c r="B420" s="18" t="s">
        <v>42</v>
      </c>
      <c r="C420" s="18" t="str">
        <f t="shared" si="119"/>
        <v>BI10.11</v>
      </c>
      <c r="D420" s="18" t="str">
        <f t="shared" si="120"/>
        <v>BI10.11_419</v>
      </c>
      <c r="E420" s="17">
        <v>11</v>
      </c>
      <c r="F420" s="19">
        <v>419</v>
      </c>
      <c r="G420" s="20">
        <v>2.2999999999999998</v>
      </c>
      <c r="H420" s="20">
        <v>2.7</v>
      </c>
      <c r="I420" s="20">
        <v>1.05</v>
      </c>
      <c r="J420" s="20">
        <f t="shared" si="118"/>
        <v>5.1515625000000007</v>
      </c>
      <c r="K420" s="53">
        <v>0.2075000000000001</v>
      </c>
      <c r="L420" s="20">
        <f t="shared" si="130"/>
        <v>6.1374999999999318</v>
      </c>
      <c r="M420" s="20">
        <f t="shared" si="129"/>
        <v>7.1874999999999432</v>
      </c>
      <c r="N420" s="20">
        <f t="shared" si="129"/>
        <v>6.6624999999999091</v>
      </c>
      <c r="O420" s="20">
        <f>P419+$AO$420</f>
        <v>406.13749999999993</v>
      </c>
      <c r="P420" s="20">
        <f t="shared" si="114"/>
        <v>407.18749999999994</v>
      </c>
      <c r="Q420" s="20">
        <f t="shared" si="128"/>
        <v>406.66249999999991</v>
      </c>
      <c r="R420" s="20">
        <f t="shared" si="131"/>
        <v>409.13749999999993</v>
      </c>
      <c r="S420" s="20">
        <f t="shared" si="112"/>
        <v>410.18749999999994</v>
      </c>
      <c r="T420" s="20">
        <f t="shared" si="113"/>
        <v>409.66249999999991</v>
      </c>
      <c r="U420" s="20">
        <v>409.66249999999991</v>
      </c>
      <c r="V420" s="22">
        <v>6.4264999999999999</v>
      </c>
      <c r="W420" s="22">
        <v>2.3481999999999998</v>
      </c>
      <c r="X420" s="23">
        <v>1.1476266666666668</v>
      </c>
      <c r="Y420" s="23">
        <f t="shared" si="121"/>
        <v>5.2788733333333333</v>
      </c>
      <c r="Z420" s="23">
        <f t="shared" si="122"/>
        <v>1.200573333333333</v>
      </c>
      <c r="AA420" s="22">
        <f t="shared" si="123"/>
        <v>77.257015701582802</v>
      </c>
      <c r="AB420" s="22">
        <f t="shared" si="124"/>
        <v>22.742984298417198</v>
      </c>
      <c r="AC420" s="22">
        <f t="shared" si="125"/>
        <v>1.0247130522697401</v>
      </c>
      <c r="AD420" s="22">
        <f t="shared" si="126"/>
        <v>0.23305032858153868</v>
      </c>
      <c r="AE420" s="24">
        <v>5.3573000000000004</v>
      </c>
      <c r="AF420" s="24">
        <v>6.0868000000000002</v>
      </c>
      <c r="AG420" s="24">
        <v>5.5518000000000001</v>
      </c>
      <c r="AH420" s="25">
        <f>AG420-AE420</f>
        <v>0.19449999999999967</v>
      </c>
      <c r="AI420" s="25">
        <v>73.33790267306378</v>
      </c>
      <c r="AJ420" s="26">
        <v>3.6668951336531892</v>
      </c>
      <c r="AK420" s="25">
        <v>36.66895133653189</v>
      </c>
      <c r="AL420" s="26">
        <v>3.667999444003426</v>
      </c>
      <c r="AM420" s="17">
        <f t="shared" si="127"/>
        <v>0.5780346820809249</v>
      </c>
      <c r="AN420" s="28" t="s">
        <v>49</v>
      </c>
      <c r="AO420" s="30">
        <f>AO418/AO419</f>
        <v>0.2075000000000001</v>
      </c>
      <c r="AP420" s="17"/>
      <c r="AQ420" s="17"/>
      <c r="AR420" s="17"/>
      <c r="AS420" s="17"/>
      <c r="AT420" s="17"/>
      <c r="AU420" s="17"/>
      <c r="AV420" s="17"/>
      <c r="AW420" s="17"/>
      <c r="AX420" s="17"/>
      <c r="BB420" s="17"/>
    </row>
    <row r="421" spans="1:54" x14ac:dyDescent="0.2">
      <c r="A421" s="17" t="s">
        <v>41</v>
      </c>
      <c r="B421" s="18" t="s">
        <v>42</v>
      </c>
      <c r="C421" s="18" t="str">
        <f t="shared" si="119"/>
        <v>BI10.11</v>
      </c>
      <c r="D421" s="18" t="str">
        <f t="shared" si="120"/>
        <v>BI10.11_420</v>
      </c>
      <c r="E421" s="17">
        <v>11</v>
      </c>
      <c r="F421" s="19">
        <v>420</v>
      </c>
      <c r="G421" s="20">
        <v>2.1</v>
      </c>
      <c r="H421" s="20">
        <v>2.8</v>
      </c>
      <c r="I421" s="20">
        <v>1</v>
      </c>
      <c r="J421" s="20">
        <f t="shared" si="118"/>
        <v>4.7119625000000003</v>
      </c>
      <c r="K421" s="53">
        <v>0.2075000000000001</v>
      </c>
      <c r="L421" s="20">
        <f t="shared" si="130"/>
        <v>7.394999999999925</v>
      </c>
      <c r="M421" s="20">
        <f t="shared" si="129"/>
        <v>8.394999999999925</v>
      </c>
      <c r="N421" s="20">
        <f t="shared" si="129"/>
        <v>7.894999999999925</v>
      </c>
      <c r="O421" s="20">
        <f>P420+$AO$420</f>
        <v>407.39499999999992</v>
      </c>
      <c r="P421" s="20">
        <f t="shared" si="114"/>
        <v>408.39499999999992</v>
      </c>
      <c r="Q421" s="20">
        <f t="shared" si="128"/>
        <v>407.89499999999992</v>
      </c>
      <c r="R421" s="20">
        <f t="shared" si="131"/>
        <v>410.39499999999992</v>
      </c>
      <c r="S421" s="20">
        <f t="shared" si="112"/>
        <v>411.39499999999992</v>
      </c>
      <c r="T421" s="20">
        <f t="shared" si="113"/>
        <v>410.89499999999992</v>
      </c>
      <c r="U421" s="20">
        <v>410.89499999999992</v>
      </c>
      <c r="V421" s="22">
        <v>5.9882</v>
      </c>
      <c r="W421" s="22">
        <v>2.1627999999999998</v>
      </c>
      <c r="X421" s="23">
        <v>1.1476266666666668</v>
      </c>
      <c r="Y421" s="23">
        <f t="shared" si="121"/>
        <v>4.8405733333333334</v>
      </c>
      <c r="Z421" s="23">
        <f t="shared" si="122"/>
        <v>1.015173333333333</v>
      </c>
      <c r="AA421" s="22">
        <f t="shared" si="123"/>
        <v>79.027828659415007</v>
      </c>
      <c r="AB421" s="22">
        <f t="shared" si="124"/>
        <v>20.972171340584993</v>
      </c>
      <c r="AC421" s="22">
        <f t="shared" si="125"/>
        <v>1.027294536688977</v>
      </c>
      <c r="AD421" s="22">
        <f t="shared" si="126"/>
        <v>0.21544597040688099</v>
      </c>
      <c r="AE421" s="24">
        <v>5.8257000000000003</v>
      </c>
      <c r="AF421" s="24">
        <v>6.3247</v>
      </c>
      <c r="AG421" s="24">
        <v>5.952</v>
      </c>
      <c r="AH421" s="25">
        <f>AG421-AE421</f>
        <v>0.12629999999999963</v>
      </c>
      <c r="AI421" s="25">
        <v>74.689378757515087</v>
      </c>
      <c r="AJ421" s="26">
        <v>3.7344689378757545</v>
      </c>
      <c r="AK421" s="25">
        <v>37.344689378757543</v>
      </c>
      <c r="AL421" s="26">
        <v>3.7355532720011992</v>
      </c>
      <c r="AM421" s="17">
        <f t="shared" si="127"/>
        <v>0.5780346820809249</v>
      </c>
      <c r="AN421" s="17"/>
      <c r="AO421" s="27"/>
      <c r="AP421" s="17"/>
      <c r="AQ421" s="17"/>
      <c r="AR421" s="17"/>
      <c r="AS421" s="17"/>
      <c r="AT421" s="17"/>
      <c r="AU421" s="17"/>
      <c r="AV421" s="17"/>
      <c r="AW421" s="17"/>
      <c r="AX421" s="17"/>
      <c r="BB421" s="17"/>
    </row>
    <row r="422" spans="1:54" x14ac:dyDescent="0.2">
      <c r="A422" s="17" t="s">
        <v>41</v>
      </c>
      <c r="B422" s="18" t="s">
        <v>42</v>
      </c>
      <c r="C422" s="18" t="str">
        <f t="shared" si="119"/>
        <v>BI10.11</v>
      </c>
      <c r="D422" s="18" t="str">
        <f t="shared" si="120"/>
        <v>BI10.11_421</v>
      </c>
      <c r="E422" s="17">
        <v>11</v>
      </c>
      <c r="F422" s="19">
        <v>421</v>
      </c>
      <c r="G422" s="20">
        <v>2.2999999999999998</v>
      </c>
      <c r="H422" s="20">
        <v>2.6</v>
      </c>
      <c r="I422" s="20">
        <v>1.05</v>
      </c>
      <c r="J422" s="20">
        <f t="shared" si="118"/>
        <v>4.9475606250000004</v>
      </c>
      <c r="K422" s="53">
        <v>0.2075000000000001</v>
      </c>
      <c r="L422" s="20">
        <f t="shared" si="130"/>
        <v>8.6024999999999068</v>
      </c>
      <c r="M422" s="20">
        <f t="shared" si="129"/>
        <v>9.6524999999999181</v>
      </c>
      <c r="N422" s="20">
        <f t="shared" si="129"/>
        <v>9.1274999999999409</v>
      </c>
      <c r="O422" s="20">
        <f>P421+$AO$420</f>
        <v>408.60249999999991</v>
      </c>
      <c r="P422" s="20">
        <f t="shared" si="114"/>
        <v>409.65249999999992</v>
      </c>
      <c r="Q422" s="20">
        <f t="shared" si="128"/>
        <v>409.12749999999994</v>
      </c>
      <c r="R422" s="20">
        <f t="shared" si="131"/>
        <v>411.60249999999991</v>
      </c>
      <c r="S422" s="20">
        <f t="shared" si="112"/>
        <v>412.65249999999992</v>
      </c>
      <c r="T422" s="20">
        <f t="shared" si="113"/>
        <v>412.12749999999994</v>
      </c>
      <c r="U422" s="20">
        <v>412.12749999999994</v>
      </c>
      <c r="V422" s="22">
        <v>6.4401999999999999</v>
      </c>
      <c r="W422" s="22">
        <v>2.1575000000000002</v>
      </c>
      <c r="X422" s="23">
        <v>1.1476266666666668</v>
      </c>
      <c r="Y422" s="23">
        <f t="shared" si="121"/>
        <v>5.2925733333333334</v>
      </c>
      <c r="Z422" s="23">
        <f t="shared" si="122"/>
        <v>1.0098733333333334</v>
      </c>
      <c r="AA422" s="22">
        <f t="shared" si="123"/>
        <v>80.919048830688538</v>
      </c>
      <c r="AB422" s="22">
        <f t="shared" si="124"/>
        <v>19.080951169311462</v>
      </c>
      <c r="AC422" s="22">
        <f t="shared" si="125"/>
        <v>1.0697339021153143</v>
      </c>
      <c r="AD422" s="22">
        <f t="shared" si="126"/>
        <v>0.20411540350419322</v>
      </c>
      <c r="AE422" s="24">
        <v>6.0130999999999997</v>
      </c>
      <c r="AF422" s="24">
        <v>6.8231000000000002</v>
      </c>
      <c r="AG422" s="24">
        <v>6.3784000000000001</v>
      </c>
      <c r="AH422" s="25">
        <f>AG422-AE422</f>
        <v>0.3653000000000004</v>
      </c>
      <c r="AI422" s="25">
        <v>54.901234567901213</v>
      </c>
      <c r="AJ422" s="26">
        <v>2.7450617283950609</v>
      </c>
      <c r="AK422" s="25">
        <v>27.450617283950606</v>
      </c>
      <c r="AL422" s="26">
        <v>2.7465367087842245</v>
      </c>
      <c r="AM422" s="17">
        <f t="shared" si="127"/>
        <v>0.5780346820809249</v>
      </c>
      <c r="AN422" s="17"/>
      <c r="AO422" s="27"/>
      <c r="AP422" s="17"/>
      <c r="AQ422" s="17"/>
      <c r="AR422" s="17"/>
      <c r="AS422" s="17"/>
      <c r="AT422" s="17"/>
      <c r="AU422" s="17"/>
      <c r="AV422" s="17"/>
      <c r="AW422" s="17"/>
      <c r="AX422" s="17"/>
      <c r="BB422" s="17"/>
    </row>
    <row r="423" spans="1:54" x14ac:dyDescent="0.2">
      <c r="A423" s="17" t="s">
        <v>41</v>
      </c>
      <c r="B423" s="18" t="s">
        <v>42</v>
      </c>
      <c r="C423" s="18" t="str">
        <f t="shared" si="119"/>
        <v>BI10.11</v>
      </c>
      <c r="D423" s="18" t="str">
        <f t="shared" si="120"/>
        <v>BI10.11_422</v>
      </c>
      <c r="E423" s="17">
        <v>11</v>
      </c>
      <c r="F423" s="19">
        <v>422</v>
      </c>
      <c r="G423" s="20">
        <v>2.15</v>
      </c>
      <c r="H423" s="20">
        <v>2.4</v>
      </c>
      <c r="I423" s="20">
        <v>1</v>
      </c>
      <c r="J423" s="20">
        <f t="shared" si="118"/>
        <v>4.0628656249999997</v>
      </c>
      <c r="K423" s="53">
        <v>0.2075000000000001</v>
      </c>
      <c r="L423" s="20">
        <f t="shared" si="130"/>
        <v>9.8599999999999</v>
      </c>
      <c r="M423" s="20">
        <f t="shared" si="129"/>
        <v>10.8599999999999</v>
      </c>
      <c r="N423" s="20">
        <f t="shared" si="129"/>
        <v>10.3599999999999</v>
      </c>
      <c r="O423" s="20">
        <f>P422+$AO$420</f>
        <v>409.8599999999999</v>
      </c>
      <c r="P423" s="20">
        <f t="shared" si="114"/>
        <v>410.8599999999999</v>
      </c>
      <c r="Q423" s="20">
        <f t="shared" si="128"/>
        <v>410.3599999999999</v>
      </c>
      <c r="R423" s="20">
        <f t="shared" si="131"/>
        <v>412.8599999999999</v>
      </c>
      <c r="S423" s="20">
        <f t="shared" si="112"/>
        <v>413.8599999999999</v>
      </c>
      <c r="T423" s="20">
        <f t="shared" si="113"/>
        <v>413.3599999999999</v>
      </c>
      <c r="U423" s="20">
        <v>413.3599999999999</v>
      </c>
      <c r="V423" s="22">
        <v>5.9745999999999997</v>
      </c>
      <c r="W423" s="22">
        <v>2.5108000000000001</v>
      </c>
      <c r="X423" s="23">
        <v>1.1476266666666668</v>
      </c>
      <c r="Y423" s="23">
        <f t="shared" si="121"/>
        <v>4.8269733333333331</v>
      </c>
      <c r="Z423" s="23">
        <f t="shared" si="122"/>
        <v>1.3631733333333333</v>
      </c>
      <c r="AA423" s="22">
        <f t="shared" si="123"/>
        <v>71.759252865149463</v>
      </c>
      <c r="AB423" s="22">
        <f t="shared" si="124"/>
        <v>28.240747134850537</v>
      </c>
      <c r="AC423" s="22">
        <f t="shared" si="125"/>
        <v>1.188071124880812</v>
      </c>
      <c r="AD423" s="22">
        <f t="shared" si="126"/>
        <v>0.3355201621597646</v>
      </c>
      <c r="AE423" s="24">
        <v>4.7835000000000001</v>
      </c>
      <c r="AF423" s="24">
        <v>5.3585000000000003</v>
      </c>
      <c r="AG423" s="24">
        <v>4.9428000000000001</v>
      </c>
      <c r="AH423" s="25">
        <f>AG423-AE423</f>
        <v>0.1593</v>
      </c>
      <c r="AI423" s="25">
        <v>72.295652173913055</v>
      </c>
      <c r="AJ423" s="26">
        <v>3.6147826086956529</v>
      </c>
      <c r="AK423" s="25">
        <v>36.147826086956528</v>
      </c>
      <c r="AL423" s="26">
        <v>3.6159028344423958</v>
      </c>
      <c r="AM423" s="17">
        <f t="shared" si="127"/>
        <v>0.5780346820809249</v>
      </c>
      <c r="AN423" s="17"/>
      <c r="AO423" s="27"/>
      <c r="AP423" s="17"/>
      <c r="AQ423" s="17"/>
      <c r="AR423" s="17"/>
      <c r="AS423" s="17"/>
      <c r="AT423" s="17"/>
      <c r="AU423" s="17"/>
      <c r="AV423" s="17"/>
      <c r="AW423" s="17"/>
      <c r="AX423" s="17"/>
      <c r="BB423" s="17"/>
    </row>
    <row r="424" spans="1:54" x14ac:dyDescent="0.2">
      <c r="A424" s="17" t="s">
        <v>41</v>
      </c>
      <c r="B424" s="18" t="s">
        <v>42</v>
      </c>
      <c r="C424" s="18" t="str">
        <f t="shared" si="119"/>
        <v>BI10.11</v>
      </c>
      <c r="D424" s="18" t="str">
        <f t="shared" si="120"/>
        <v>BI10.11_423</v>
      </c>
      <c r="E424" s="17">
        <v>11</v>
      </c>
      <c r="F424" s="19">
        <v>423</v>
      </c>
      <c r="G424" s="20">
        <v>2.15</v>
      </c>
      <c r="H424" s="20">
        <v>2.35</v>
      </c>
      <c r="I424" s="20">
        <v>0.95</v>
      </c>
      <c r="J424" s="20">
        <f t="shared" si="118"/>
        <v>3.7753593750000003</v>
      </c>
      <c r="K424" s="53">
        <v>0.2075000000000001</v>
      </c>
      <c r="L424" s="20">
        <f t="shared" si="130"/>
        <v>11.067499999999882</v>
      </c>
      <c r="M424" s="20">
        <f t="shared" si="129"/>
        <v>12.01749999999987</v>
      </c>
      <c r="N424" s="20">
        <f t="shared" si="129"/>
        <v>11.542499999999905</v>
      </c>
      <c r="O424" s="20">
        <f>P423+$AO$420</f>
        <v>411.06749999999988</v>
      </c>
      <c r="P424" s="20">
        <f t="shared" si="114"/>
        <v>412.01749999999987</v>
      </c>
      <c r="Q424" s="20">
        <f t="shared" si="128"/>
        <v>411.5424999999999</v>
      </c>
      <c r="R424" s="20">
        <f t="shared" si="131"/>
        <v>414.06749999999988</v>
      </c>
      <c r="S424" s="20">
        <f t="shared" si="112"/>
        <v>415.01749999999987</v>
      </c>
      <c r="T424" s="20">
        <f t="shared" si="113"/>
        <v>414.5424999999999</v>
      </c>
      <c r="U424" s="20">
        <v>414.5424999999999</v>
      </c>
      <c r="V424" s="22">
        <v>5.6580000000000004</v>
      </c>
      <c r="W424" s="22">
        <v>2.0840000000000001</v>
      </c>
      <c r="X424" s="23">
        <v>1.1476266666666668</v>
      </c>
      <c r="Y424" s="23">
        <f t="shared" si="121"/>
        <v>4.5103733333333338</v>
      </c>
      <c r="Z424" s="23">
        <f t="shared" si="122"/>
        <v>0.93637333333333328</v>
      </c>
      <c r="AA424" s="22">
        <f t="shared" si="123"/>
        <v>79.239560361596091</v>
      </c>
      <c r="AB424" s="22">
        <f t="shared" si="124"/>
        <v>20.760439638403909</v>
      </c>
      <c r="AC424" s="22">
        <f t="shared" si="125"/>
        <v>1.1946871503678596</v>
      </c>
      <c r="AD424" s="22">
        <f t="shared" si="126"/>
        <v>0.24802230471988729</v>
      </c>
      <c r="AE424" s="24">
        <v>5.5640999999999998</v>
      </c>
      <c r="AF424" s="24">
        <v>6.1150000000000002</v>
      </c>
      <c r="AG424" s="24">
        <v>5.6951000000000001</v>
      </c>
      <c r="AH424" s="25">
        <f>AG424-AE424</f>
        <v>0.13100000000000023</v>
      </c>
      <c r="AI424" s="25">
        <v>76.220729715011771</v>
      </c>
      <c r="AJ424" s="26">
        <v>3.8110364857505887</v>
      </c>
      <c r="AK424" s="25">
        <v>38.110364857505886</v>
      </c>
      <c r="AL424" s="26">
        <v>3.8120990406496786</v>
      </c>
      <c r="AM424" s="17">
        <f t="shared" si="127"/>
        <v>0.5780346820809249</v>
      </c>
      <c r="AN424" s="17"/>
      <c r="AO424" s="27"/>
      <c r="AP424" s="17"/>
      <c r="AQ424" s="17"/>
      <c r="AR424" s="17"/>
      <c r="AS424" s="17"/>
      <c r="AT424" s="17"/>
      <c r="AU424" s="17"/>
      <c r="AV424" s="17"/>
      <c r="AW424" s="17"/>
      <c r="AX424" s="17"/>
      <c r="BB424" s="17"/>
    </row>
    <row r="425" spans="1:54" x14ac:dyDescent="0.2">
      <c r="A425" s="17" t="s">
        <v>41</v>
      </c>
      <c r="B425" s="18" t="s">
        <v>42</v>
      </c>
      <c r="C425" s="18" t="str">
        <f t="shared" si="119"/>
        <v>BI10.11</v>
      </c>
      <c r="D425" s="18" t="str">
        <f t="shared" si="120"/>
        <v>BI10.11_424</v>
      </c>
      <c r="E425" s="17">
        <v>11</v>
      </c>
      <c r="F425" s="19">
        <v>424</v>
      </c>
      <c r="G425" s="20">
        <v>2.1</v>
      </c>
      <c r="H425" s="20">
        <v>2.7</v>
      </c>
      <c r="I425" s="20">
        <v>1</v>
      </c>
      <c r="J425" s="20">
        <f t="shared" si="118"/>
        <v>4.5216000000000012</v>
      </c>
      <c r="K425" s="53">
        <v>0.2075000000000001</v>
      </c>
      <c r="L425" s="20">
        <f t="shared" si="130"/>
        <v>12.224999999999852</v>
      </c>
      <c r="M425" s="20">
        <f t="shared" si="129"/>
        <v>13.224999999999852</v>
      </c>
      <c r="N425" s="20">
        <f t="shared" si="129"/>
        <v>12.724999999999852</v>
      </c>
      <c r="O425" s="20">
        <f>P424+$AO$420</f>
        <v>412.22499999999985</v>
      </c>
      <c r="P425" s="20">
        <f t="shared" si="114"/>
        <v>413.22499999999985</v>
      </c>
      <c r="Q425" s="20">
        <f t="shared" si="128"/>
        <v>412.72499999999985</v>
      </c>
      <c r="R425" s="20">
        <f t="shared" si="131"/>
        <v>415.22499999999985</v>
      </c>
      <c r="S425" s="20">
        <f t="shared" si="112"/>
        <v>416.22499999999985</v>
      </c>
      <c r="T425" s="20">
        <f t="shared" si="113"/>
        <v>415.72499999999985</v>
      </c>
      <c r="U425" s="20">
        <v>415.72499999999985</v>
      </c>
      <c r="V425" s="22">
        <v>5.8201000000000001</v>
      </c>
      <c r="W425" s="22">
        <v>1.9878</v>
      </c>
      <c r="X425" s="23">
        <v>1.1476266666666668</v>
      </c>
      <c r="Y425" s="23">
        <f t="shared" si="121"/>
        <v>4.6724733333333335</v>
      </c>
      <c r="Z425" s="23">
        <f t="shared" si="122"/>
        <v>0.84017333333333322</v>
      </c>
      <c r="AA425" s="22">
        <f t="shared" si="123"/>
        <v>82.018659639220331</v>
      </c>
      <c r="AB425" s="22">
        <f t="shared" si="124"/>
        <v>17.981340360779669</v>
      </c>
      <c r="AC425" s="22">
        <f t="shared" si="125"/>
        <v>1.0333672446331679</v>
      </c>
      <c r="AD425" s="22">
        <f t="shared" si="126"/>
        <v>0.18581328143430048</v>
      </c>
      <c r="AE425" s="24">
        <v>5.0151000000000003</v>
      </c>
      <c r="AF425" s="24">
        <v>5.6207000000000003</v>
      </c>
      <c r="AG425" s="24">
        <v>5.1577999999999999</v>
      </c>
      <c r="AH425" s="25">
        <f>AG425-AE425</f>
        <v>0.1426999999999996</v>
      </c>
      <c r="AI425" s="25">
        <v>76.436591809775493</v>
      </c>
      <c r="AJ425" s="26">
        <v>3.8218295904887749</v>
      </c>
      <c r="AK425" s="25">
        <v>38.218295904887746</v>
      </c>
      <c r="AL425" s="26">
        <v>3.8228891454939675</v>
      </c>
      <c r="AM425" s="17">
        <f t="shared" si="127"/>
        <v>0.5780346820809249</v>
      </c>
      <c r="AN425" s="17"/>
      <c r="AO425" s="27"/>
      <c r="AP425" s="17"/>
      <c r="AQ425" s="17"/>
      <c r="AR425" s="17"/>
      <c r="AS425" s="17"/>
      <c r="AT425" s="17"/>
      <c r="AU425" s="17"/>
      <c r="AV425" s="17"/>
      <c r="AW425" s="17"/>
      <c r="AX425" s="17"/>
      <c r="BB425" s="17"/>
    </row>
    <row r="426" spans="1:54" x14ac:dyDescent="0.2">
      <c r="A426" s="17" t="s">
        <v>41</v>
      </c>
      <c r="B426" s="18" t="s">
        <v>42</v>
      </c>
      <c r="C426" s="18" t="str">
        <f t="shared" si="119"/>
        <v>BI10.11</v>
      </c>
      <c r="D426" s="18" t="str">
        <f t="shared" si="120"/>
        <v>BI10.11_425</v>
      </c>
      <c r="E426" s="17">
        <v>11</v>
      </c>
      <c r="F426" s="19">
        <v>425</v>
      </c>
      <c r="G426" s="20">
        <v>2.25</v>
      </c>
      <c r="H426" s="20">
        <v>2.5499999999999998</v>
      </c>
      <c r="I426" s="20">
        <v>1</v>
      </c>
      <c r="J426" s="20">
        <f t="shared" si="118"/>
        <v>4.5215999999999994</v>
      </c>
      <c r="K426" s="53">
        <v>0.2075000000000001</v>
      </c>
      <c r="L426" s="20">
        <f t="shared" si="130"/>
        <v>13.432499999999834</v>
      </c>
      <c r="M426" s="20">
        <f t="shared" si="129"/>
        <v>14.432499999999834</v>
      </c>
      <c r="N426" s="20">
        <f t="shared" si="129"/>
        <v>13.932499999999834</v>
      </c>
      <c r="O426" s="20">
        <f>P425+$AO$420</f>
        <v>413.43249999999983</v>
      </c>
      <c r="P426" s="20">
        <f t="shared" si="114"/>
        <v>414.43249999999983</v>
      </c>
      <c r="Q426" s="20">
        <f t="shared" si="128"/>
        <v>413.93249999999983</v>
      </c>
      <c r="R426" s="20">
        <f t="shared" si="131"/>
        <v>416.43249999999983</v>
      </c>
      <c r="S426" s="20">
        <f t="shared" si="112"/>
        <v>417.43249999999983</v>
      </c>
      <c r="T426" s="20">
        <f t="shared" si="113"/>
        <v>416.93249999999983</v>
      </c>
      <c r="U426" s="20">
        <v>416.93249999999983</v>
      </c>
      <c r="V426" s="22">
        <v>6.2401</v>
      </c>
      <c r="W426" s="22">
        <v>2.1076999999999999</v>
      </c>
      <c r="X426" s="23">
        <v>1.1476266666666668</v>
      </c>
      <c r="Y426" s="23">
        <f t="shared" si="121"/>
        <v>5.0924733333333334</v>
      </c>
      <c r="Z426" s="23">
        <f t="shared" si="122"/>
        <v>0.96007333333333311</v>
      </c>
      <c r="AA426" s="22">
        <f t="shared" si="123"/>
        <v>81.147209411013122</v>
      </c>
      <c r="AB426" s="22">
        <f t="shared" si="124"/>
        <v>18.852790588986878</v>
      </c>
      <c r="AC426" s="22">
        <f t="shared" si="125"/>
        <v>1.1262547180938902</v>
      </c>
      <c r="AD426" s="22">
        <f t="shared" si="126"/>
        <v>0.21233044350082564</v>
      </c>
      <c r="AE426" s="24">
        <v>5.5796999999999999</v>
      </c>
      <c r="AF426" s="24">
        <v>6.0701999999999998</v>
      </c>
      <c r="AG426" s="24">
        <v>5.6919000000000004</v>
      </c>
      <c r="AH426" s="25">
        <f>AG426-AE426</f>
        <v>0.11220000000000052</v>
      </c>
      <c r="AI426" s="25">
        <v>77.125382262996837</v>
      </c>
      <c r="AJ426" s="26">
        <v>3.8562691131498421</v>
      </c>
      <c r="AK426" s="25">
        <v>38.562691131498418</v>
      </c>
      <c r="AL426" s="26">
        <v>3.8573192080813676</v>
      </c>
      <c r="AM426" s="17">
        <f t="shared" si="127"/>
        <v>0.5780346820809249</v>
      </c>
      <c r="AN426" s="17"/>
      <c r="AO426" s="27"/>
      <c r="AP426" s="17"/>
      <c r="AQ426" s="17"/>
      <c r="AR426" s="17"/>
      <c r="AS426" s="17"/>
      <c r="AT426" s="17"/>
      <c r="AU426" s="17"/>
      <c r="AV426" s="17"/>
      <c r="AW426" s="17"/>
      <c r="AX426" s="17"/>
      <c r="BB426" s="17"/>
    </row>
    <row r="427" spans="1:54" x14ac:dyDescent="0.2">
      <c r="A427" s="17" t="s">
        <v>41</v>
      </c>
      <c r="B427" s="18" t="s">
        <v>42</v>
      </c>
      <c r="C427" s="18" t="str">
        <f t="shared" si="119"/>
        <v>BI10.11</v>
      </c>
      <c r="D427" s="18" t="str">
        <f t="shared" si="120"/>
        <v>BI10.11_426</v>
      </c>
      <c r="E427" s="17">
        <v>11</v>
      </c>
      <c r="F427" s="19">
        <v>426</v>
      </c>
      <c r="G427" s="20">
        <v>2.0499999999999998</v>
      </c>
      <c r="H427" s="20">
        <v>2.5</v>
      </c>
      <c r="I427" s="20">
        <v>1</v>
      </c>
      <c r="J427" s="20">
        <f t="shared" si="118"/>
        <v>4.0628656249999997</v>
      </c>
      <c r="K427" s="53">
        <v>0.2075000000000001</v>
      </c>
      <c r="L427" s="20">
        <f t="shared" si="130"/>
        <v>14.639999999999816</v>
      </c>
      <c r="M427" s="20">
        <f t="shared" si="129"/>
        <v>15.639999999999816</v>
      </c>
      <c r="N427" s="20">
        <f t="shared" si="129"/>
        <v>15.139999999999816</v>
      </c>
      <c r="O427" s="20">
        <f>P426+$AO$420</f>
        <v>414.63999999999982</v>
      </c>
      <c r="P427" s="20">
        <f t="shared" si="114"/>
        <v>415.63999999999982</v>
      </c>
      <c r="Q427" s="20">
        <f t="shared" si="128"/>
        <v>415.13999999999982</v>
      </c>
      <c r="R427" s="20">
        <f t="shared" si="131"/>
        <v>417.63999999999982</v>
      </c>
      <c r="S427" s="20">
        <f t="shared" ref="S427:S490" si="132">R427+I427</f>
        <v>418.63999999999982</v>
      </c>
      <c r="T427" s="20">
        <f t="shared" ref="T427:T490" si="133">AVERAGE(R427:S427)</f>
        <v>418.13999999999982</v>
      </c>
      <c r="U427" s="20">
        <v>418.13999999999982</v>
      </c>
      <c r="V427" s="22">
        <v>5.8182999999999998</v>
      </c>
      <c r="W427" s="22">
        <v>2.1223000000000001</v>
      </c>
      <c r="X427" s="23">
        <v>1.1476266666666668</v>
      </c>
      <c r="Y427" s="23">
        <f t="shared" si="121"/>
        <v>4.6706733333333332</v>
      </c>
      <c r="Z427" s="23">
        <f t="shared" si="122"/>
        <v>0.97467333333333328</v>
      </c>
      <c r="AA427" s="22">
        <f t="shared" si="123"/>
        <v>79.132059474651044</v>
      </c>
      <c r="AB427" s="22">
        <f t="shared" si="124"/>
        <v>20.867940525348956</v>
      </c>
      <c r="AC427" s="22">
        <f t="shared" si="125"/>
        <v>1.1496007410615097</v>
      </c>
      <c r="AD427" s="22">
        <f t="shared" si="126"/>
        <v>0.23989799892368663</v>
      </c>
      <c r="AE427" s="24">
        <v>5.3776000000000002</v>
      </c>
      <c r="AF427" s="24">
        <v>5.9794</v>
      </c>
      <c r="AG427" s="24">
        <v>5.5309999999999997</v>
      </c>
      <c r="AH427" s="25">
        <f>AG427-AE427</f>
        <v>0.15339999999999954</v>
      </c>
      <c r="AI427" s="25">
        <v>74.50980392156869</v>
      </c>
      <c r="AJ427" s="26">
        <v>3.7254901960784346</v>
      </c>
      <c r="AK427" s="25">
        <v>37.254901960784345</v>
      </c>
      <c r="AL427" s="26">
        <v>3.7265771427781464</v>
      </c>
      <c r="AM427" s="17">
        <f t="shared" si="127"/>
        <v>0.5780346820809249</v>
      </c>
      <c r="AN427" s="17"/>
      <c r="AO427" s="27"/>
      <c r="AP427" s="17"/>
      <c r="AQ427" s="17"/>
      <c r="AR427" s="17"/>
      <c r="AS427" s="17"/>
      <c r="AT427" s="17"/>
      <c r="AU427" s="17"/>
      <c r="AV427" s="17"/>
      <c r="AW427" s="17"/>
      <c r="AX427" s="17"/>
      <c r="BB427" s="17"/>
    </row>
    <row r="428" spans="1:54" x14ac:dyDescent="0.2">
      <c r="A428" s="17" t="s">
        <v>41</v>
      </c>
      <c r="B428" s="18" t="s">
        <v>42</v>
      </c>
      <c r="C428" s="18" t="str">
        <f t="shared" si="119"/>
        <v>BI10.11</v>
      </c>
      <c r="D428" s="18" t="str">
        <f t="shared" si="120"/>
        <v>BI10.11_427</v>
      </c>
      <c r="E428" s="17">
        <v>11</v>
      </c>
      <c r="F428" s="19">
        <v>427</v>
      </c>
      <c r="G428" s="20">
        <v>2</v>
      </c>
      <c r="H428" s="20">
        <v>2.5</v>
      </c>
      <c r="I428" s="20">
        <v>1</v>
      </c>
      <c r="J428" s="20">
        <f t="shared" si="118"/>
        <v>3.9740625000000001</v>
      </c>
      <c r="K428" s="53">
        <v>0.2075000000000001</v>
      </c>
      <c r="L428" s="20">
        <f t="shared" si="130"/>
        <v>15.847499999999798</v>
      </c>
      <c r="M428" s="20">
        <f t="shared" si="129"/>
        <v>16.847499999999798</v>
      </c>
      <c r="N428" s="20">
        <f t="shared" si="129"/>
        <v>16.347499999999798</v>
      </c>
      <c r="O428" s="20">
        <f>P427+$AO$420</f>
        <v>415.8474999999998</v>
      </c>
      <c r="P428" s="20">
        <f t="shared" ref="P428:P491" si="134">O428+I428</f>
        <v>416.8474999999998</v>
      </c>
      <c r="Q428" s="20">
        <f t="shared" si="128"/>
        <v>416.3474999999998</v>
      </c>
      <c r="R428" s="20">
        <f t="shared" si="131"/>
        <v>418.8474999999998</v>
      </c>
      <c r="S428" s="20">
        <f t="shared" si="132"/>
        <v>419.8474999999998</v>
      </c>
      <c r="T428" s="20">
        <f t="shared" si="133"/>
        <v>419.3474999999998</v>
      </c>
      <c r="U428" s="20">
        <v>419.3474999999998</v>
      </c>
      <c r="V428" s="22">
        <v>6.1384999999999996</v>
      </c>
      <c r="W428" s="22">
        <v>2.2679</v>
      </c>
      <c r="X428" s="23">
        <v>1.1476266666666668</v>
      </c>
      <c r="Y428" s="23">
        <f t="shared" si="121"/>
        <v>4.9908733333333331</v>
      </c>
      <c r="Z428" s="23">
        <f t="shared" si="122"/>
        <v>1.1202733333333332</v>
      </c>
      <c r="AA428" s="22">
        <f t="shared" si="123"/>
        <v>77.553561100194884</v>
      </c>
      <c r="AB428" s="22">
        <f t="shared" si="124"/>
        <v>22.446438899805116</v>
      </c>
      <c r="AC428" s="22">
        <f t="shared" si="125"/>
        <v>1.2558618122722864</v>
      </c>
      <c r="AD428" s="22">
        <f t="shared" si="126"/>
        <v>0.2818962543576839</v>
      </c>
      <c r="AE428" s="24">
        <v>6.101</v>
      </c>
      <c r="AF428" s="24">
        <v>6.5594000000000001</v>
      </c>
      <c r="AG428" s="24">
        <v>6.2381000000000002</v>
      </c>
      <c r="AH428" s="25">
        <f>AG428-AE428</f>
        <v>0.13710000000000022</v>
      </c>
      <c r="AI428" s="25">
        <v>70.091623036649182</v>
      </c>
      <c r="AJ428" s="26">
        <v>3.5045811518324594</v>
      </c>
      <c r="AK428" s="25">
        <v>35.045811518324591</v>
      </c>
      <c r="AL428" s="26">
        <v>3.5057365916137124</v>
      </c>
      <c r="AM428" s="17">
        <f t="shared" si="127"/>
        <v>0.5780346820809249</v>
      </c>
      <c r="AN428" s="17"/>
      <c r="AO428" s="27"/>
      <c r="AP428" s="17"/>
      <c r="AQ428" s="17"/>
      <c r="AR428" s="17"/>
      <c r="AS428" s="17"/>
      <c r="AT428" s="17"/>
      <c r="AU428" s="17"/>
      <c r="AV428" s="17"/>
      <c r="AW428" s="17"/>
      <c r="AX428" s="17"/>
      <c r="BB428" s="17"/>
    </row>
    <row r="429" spans="1:54" x14ac:dyDescent="0.2">
      <c r="A429" s="17" t="s">
        <v>41</v>
      </c>
      <c r="B429" s="18" t="s">
        <v>42</v>
      </c>
      <c r="C429" s="18" t="str">
        <f t="shared" si="119"/>
        <v>BI10.11</v>
      </c>
      <c r="D429" s="18" t="str">
        <f t="shared" si="120"/>
        <v>BI10.11_428</v>
      </c>
      <c r="E429" s="17">
        <v>11</v>
      </c>
      <c r="F429" s="19">
        <v>428</v>
      </c>
      <c r="G429" s="20">
        <v>2.2999999999999998</v>
      </c>
      <c r="H429" s="20">
        <v>2.5499999999999998</v>
      </c>
      <c r="I429" s="20">
        <v>1</v>
      </c>
      <c r="J429" s="20">
        <f t="shared" si="118"/>
        <v>4.6162906249999995</v>
      </c>
      <c r="K429" s="53">
        <v>0.2075000000000001</v>
      </c>
      <c r="L429" s="20">
        <f t="shared" si="130"/>
        <v>17.054999999999779</v>
      </c>
      <c r="M429" s="20">
        <f t="shared" si="129"/>
        <v>18.054999999999779</v>
      </c>
      <c r="N429" s="20">
        <f t="shared" si="129"/>
        <v>17.554999999999779</v>
      </c>
      <c r="O429" s="20">
        <f>P428+$AO$420</f>
        <v>417.05499999999978</v>
      </c>
      <c r="P429" s="20">
        <f t="shared" si="134"/>
        <v>418.05499999999978</v>
      </c>
      <c r="Q429" s="20">
        <f t="shared" si="128"/>
        <v>417.55499999999978</v>
      </c>
      <c r="R429" s="20">
        <f t="shared" si="131"/>
        <v>420.05499999999978</v>
      </c>
      <c r="S429" s="20">
        <f t="shared" si="132"/>
        <v>421.05499999999978</v>
      </c>
      <c r="T429" s="20">
        <f t="shared" si="133"/>
        <v>420.55499999999978</v>
      </c>
      <c r="U429" s="20">
        <v>420.55499999999978</v>
      </c>
      <c r="V429" s="22">
        <v>6.3865999999999996</v>
      </c>
      <c r="W429" s="22">
        <v>2.1871999999999998</v>
      </c>
      <c r="X429" s="23">
        <v>1.1476266666666668</v>
      </c>
      <c r="Y429" s="23">
        <f t="shared" si="121"/>
        <v>5.238973333333333</v>
      </c>
      <c r="Z429" s="23">
        <f t="shared" si="122"/>
        <v>1.039573333333333</v>
      </c>
      <c r="AA429" s="22">
        <f t="shared" si="123"/>
        <v>80.156926420698198</v>
      </c>
      <c r="AB429" s="22">
        <f t="shared" si="124"/>
        <v>19.843073579301802</v>
      </c>
      <c r="AC429" s="22">
        <f t="shared" si="125"/>
        <v>1.1348881079889406</v>
      </c>
      <c r="AD429" s="22">
        <f t="shared" si="126"/>
        <v>0.22519668231099144</v>
      </c>
      <c r="AE429" s="24">
        <v>5.5145</v>
      </c>
      <c r="AF429" s="24">
        <v>5.8032000000000004</v>
      </c>
      <c r="AG429" s="24">
        <v>5.5758999999999999</v>
      </c>
      <c r="AH429" s="25">
        <f>AG429-AE429</f>
        <v>6.1399999999999899E-2</v>
      </c>
      <c r="AI429" s="25">
        <v>78.732248008313192</v>
      </c>
      <c r="AJ429" s="26">
        <v>3.93661240041566</v>
      </c>
      <c r="AK429" s="25">
        <v>39.366124004156596</v>
      </c>
      <c r="AL429" s="26">
        <v>3.9376410693594641</v>
      </c>
      <c r="AM429" s="17">
        <f t="shared" si="127"/>
        <v>0.5780346820809249</v>
      </c>
      <c r="AN429" s="17"/>
      <c r="AO429" s="27"/>
      <c r="AP429" s="17"/>
      <c r="AQ429" s="17"/>
      <c r="AR429" s="17"/>
      <c r="AS429" s="17"/>
      <c r="AT429" s="17"/>
      <c r="AU429" s="17"/>
      <c r="AV429" s="17"/>
      <c r="AW429" s="17"/>
      <c r="AX429" s="17"/>
      <c r="BB429" s="17"/>
    </row>
    <row r="430" spans="1:54" x14ac:dyDescent="0.2">
      <c r="A430" s="17" t="s">
        <v>41</v>
      </c>
      <c r="B430" s="18" t="s">
        <v>42</v>
      </c>
      <c r="C430" s="18" t="str">
        <f t="shared" si="119"/>
        <v>BI10.11</v>
      </c>
      <c r="D430" s="18" t="str">
        <f t="shared" si="120"/>
        <v>BI10.11_429</v>
      </c>
      <c r="E430" s="17">
        <v>11</v>
      </c>
      <c r="F430" s="19">
        <v>429</v>
      </c>
      <c r="G430" s="20">
        <v>2.5</v>
      </c>
      <c r="H430" s="20">
        <v>2.5499999999999998</v>
      </c>
      <c r="I430" s="20">
        <v>1.05</v>
      </c>
      <c r="J430" s="20">
        <f t="shared" si="118"/>
        <v>5.2551089062500003</v>
      </c>
      <c r="K430" s="53">
        <v>0.2075000000000001</v>
      </c>
      <c r="L430" s="20">
        <f t="shared" si="130"/>
        <v>18.262499999999761</v>
      </c>
      <c r="M430" s="20">
        <f t="shared" si="129"/>
        <v>19.312499999999773</v>
      </c>
      <c r="N430" s="20">
        <f t="shared" si="129"/>
        <v>18.787499999999795</v>
      </c>
      <c r="O430" s="20">
        <f>P429+$AO$420</f>
        <v>418.26249999999976</v>
      </c>
      <c r="P430" s="20">
        <f t="shared" si="134"/>
        <v>419.31249999999977</v>
      </c>
      <c r="Q430" s="20">
        <f t="shared" si="128"/>
        <v>418.7874999999998</v>
      </c>
      <c r="R430" s="20">
        <f t="shared" si="131"/>
        <v>421.26249999999976</v>
      </c>
      <c r="S430" s="20">
        <f t="shared" si="132"/>
        <v>422.31249999999977</v>
      </c>
      <c r="T430" s="20">
        <f t="shared" si="133"/>
        <v>421.7874999999998</v>
      </c>
      <c r="U430" s="20">
        <v>421.7874999999998</v>
      </c>
      <c r="V430" s="22">
        <v>6.7625000000000002</v>
      </c>
      <c r="W430" s="22">
        <v>2.3157999999999999</v>
      </c>
      <c r="X430" s="23">
        <v>1.1476266666666668</v>
      </c>
      <c r="Y430" s="23">
        <f t="shared" si="121"/>
        <v>5.6148733333333336</v>
      </c>
      <c r="Z430" s="23">
        <f t="shared" si="122"/>
        <v>1.1681733333333331</v>
      </c>
      <c r="AA430" s="22">
        <f t="shared" si="123"/>
        <v>79.19501894373397</v>
      </c>
      <c r="AB430" s="22">
        <f t="shared" si="124"/>
        <v>20.80498105626603</v>
      </c>
      <c r="AC430" s="22">
        <f t="shared" si="125"/>
        <v>1.0684599374630388</v>
      </c>
      <c r="AD430" s="22">
        <f t="shared" si="126"/>
        <v>0.22229288758297711</v>
      </c>
      <c r="AE430" s="24">
        <v>5.5842999999999998</v>
      </c>
      <c r="AF430" s="24">
        <v>5.94</v>
      </c>
      <c r="AG430" s="24">
        <v>5.6664000000000003</v>
      </c>
      <c r="AH430" s="25">
        <f>AG430-AE430</f>
        <v>8.2100000000000506E-2</v>
      </c>
      <c r="AI430" s="25">
        <v>76.918751757098562</v>
      </c>
      <c r="AJ430" s="26">
        <v>3.8459375878549285</v>
      </c>
      <c r="AK430" s="25">
        <v>38.459375878549281</v>
      </c>
      <c r="AL430" s="26">
        <v>3.8469905029354292</v>
      </c>
      <c r="AM430" s="17">
        <f t="shared" si="127"/>
        <v>0.5780346820809249</v>
      </c>
      <c r="AN430" s="17"/>
      <c r="AO430" s="27"/>
      <c r="AP430" s="17"/>
      <c r="AQ430" s="17"/>
      <c r="AR430" s="17"/>
      <c r="AS430" s="17"/>
      <c r="AT430" s="17"/>
      <c r="AU430" s="17"/>
      <c r="AV430" s="17"/>
      <c r="AW430" s="17"/>
      <c r="AX430" s="17"/>
      <c r="BB430" s="17"/>
    </row>
    <row r="431" spans="1:54" x14ac:dyDescent="0.2">
      <c r="A431" s="17" t="s">
        <v>41</v>
      </c>
      <c r="B431" s="18" t="s">
        <v>42</v>
      </c>
      <c r="C431" s="18" t="str">
        <f t="shared" si="119"/>
        <v>BI10.11</v>
      </c>
      <c r="D431" s="18" t="str">
        <f t="shared" si="120"/>
        <v>BI10.11_430</v>
      </c>
      <c r="E431" s="17">
        <v>11</v>
      </c>
      <c r="F431" s="19">
        <v>430</v>
      </c>
      <c r="G431" s="20">
        <v>2</v>
      </c>
      <c r="H431" s="20">
        <v>2.4</v>
      </c>
      <c r="I431" s="20">
        <v>1</v>
      </c>
      <c r="J431" s="20">
        <f t="shared" si="118"/>
        <v>3.7994000000000008</v>
      </c>
      <c r="K431" s="53">
        <v>0.2075000000000001</v>
      </c>
      <c r="L431" s="20">
        <f t="shared" si="130"/>
        <v>19.519999999999754</v>
      </c>
      <c r="M431" s="20">
        <f t="shared" si="130"/>
        <v>20.519999999999754</v>
      </c>
      <c r="N431" s="20">
        <f t="shared" si="130"/>
        <v>20.019999999999754</v>
      </c>
      <c r="O431" s="20">
        <f>P430+$AO$420</f>
        <v>419.51999999999975</v>
      </c>
      <c r="P431" s="20">
        <f t="shared" si="134"/>
        <v>420.51999999999975</v>
      </c>
      <c r="Q431" s="20">
        <f t="shared" si="128"/>
        <v>420.01999999999975</v>
      </c>
      <c r="R431" s="20">
        <f t="shared" si="131"/>
        <v>422.51999999999975</v>
      </c>
      <c r="S431" s="20">
        <f t="shared" si="132"/>
        <v>423.51999999999975</v>
      </c>
      <c r="T431" s="20">
        <f t="shared" si="133"/>
        <v>423.01999999999975</v>
      </c>
      <c r="U431" s="20">
        <v>423.01999999999975</v>
      </c>
      <c r="V431" s="22">
        <v>5.7415000000000003</v>
      </c>
      <c r="W431" s="22">
        <v>2.0988000000000002</v>
      </c>
      <c r="X431" s="23">
        <v>1.1476266666666668</v>
      </c>
      <c r="Y431" s="23">
        <f t="shared" si="121"/>
        <v>4.5938733333333337</v>
      </c>
      <c r="Z431" s="23">
        <f t="shared" si="122"/>
        <v>0.95117333333333343</v>
      </c>
      <c r="AA431" s="22">
        <f t="shared" si="123"/>
        <v>79.294741837316664</v>
      </c>
      <c r="AB431" s="22">
        <f t="shared" si="124"/>
        <v>20.705258162683336</v>
      </c>
      <c r="AC431" s="22">
        <f t="shared" si="125"/>
        <v>1.2091049463950447</v>
      </c>
      <c r="AD431" s="22">
        <f t="shared" si="126"/>
        <v>0.25034830060886804</v>
      </c>
      <c r="AE431" s="24">
        <v>5.3647</v>
      </c>
      <c r="AF431" s="24">
        <v>5.8476999999999997</v>
      </c>
      <c r="AG431" s="24">
        <v>5.4584999999999999</v>
      </c>
      <c r="AH431" s="25">
        <f>AG431-AE431</f>
        <v>9.3799999999999883E-2</v>
      </c>
      <c r="AI431" s="25">
        <v>80.579710144927546</v>
      </c>
      <c r="AJ431" s="26">
        <v>4.0289855072463778</v>
      </c>
      <c r="AK431" s="25">
        <v>40.289855072463773</v>
      </c>
      <c r="AL431" s="26">
        <v>4.0299905977063206</v>
      </c>
      <c r="AM431" s="17">
        <f t="shared" si="127"/>
        <v>0.5780346820809249</v>
      </c>
      <c r="AN431" s="17"/>
      <c r="AO431" s="27"/>
      <c r="AP431" s="17"/>
      <c r="AQ431" s="17"/>
      <c r="AR431" s="17"/>
      <c r="AS431" s="17"/>
      <c r="AT431" s="17"/>
      <c r="AU431" s="17"/>
      <c r="AV431" s="17"/>
      <c r="AW431" s="17"/>
      <c r="AX431" s="17"/>
      <c r="BB431" s="17"/>
    </row>
    <row r="432" spans="1:54" x14ac:dyDescent="0.2">
      <c r="A432" s="17" t="s">
        <v>41</v>
      </c>
      <c r="B432" s="18" t="s">
        <v>42</v>
      </c>
      <c r="C432" s="18" t="str">
        <f t="shared" si="119"/>
        <v>BI10.11</v>
      </c>
      <c r="D432" s="18" t="str">
        <f t="shared" si="120"/>
        <v>BI10.11_431</v>
      </c>
      <c r="E432" s="17">
        <v>11</v>
      </c>
      <c r="F432" s="19">
        <v>431</v>
      </c>
      <c r="G432" s="20">
        <v>2.2000000000000002</v>
      </c>
      <c r="H432" s="20">
        <v>2.4</v>
      </c>
      <c r="I432" s="20">
        <v>1.1000000000000001</v>
      </c>
      <c r="J432" s="20">
        <f t="shared" si="118"/>
        <v>4.5679150000000002</v>
      </c>
      <c r="K432" s="53">
        <v>0.2075000000000001</v>
      </c>
      <c r="L432" s="20">
        <f t="shared" si="130"/>
        <v>20.727499999999736</v>
      </c>
      <c r="M432" s="20">
        <f t="shared" si="130"/>
        <v>21.827499999999759</v>
      </c>
      <c r="N432" s="20">
        <f t="shared" si="130"/>
        <v>21.277499999999748</v>
      </c>
      <c r="O432" s="20">
        <f>P431+$AO$420</f>
        <v>420.72749999999974</v>
      </c>
      <c r="P432" s="20">
        <f t="shared" si="134"/>
        <v>421.82749999999976</v>
      </c>
      <c r="Q432" s="20">
        <f t="shared" si="128"/>
        <v>421.27749999999975</v>
      </c>
      <c r="R432" s="20">
        <f t="shared" si="131"/>
        <v>423.72749999999974</v>
      </c>
      <c r="S432" s="20">
        <f t="shared" si="132"/>
        <v>424.82749999999976</v>
      </c>
      <c r="T432" s="20">
        <f t="shared" si="133"/>
        <v>424.27749999999975</v>
      </c>
      <c r="U432" s="20">
        <v>424.27749999999975</v>
      </c>
      <c r="V432" s="22">
        <v>5.9861000000000004</v>
      </c>
      <c r="W432" s="22">
        <v>2.1669999999999998</v>
      </c>
      <c r="X432" s="23">
        <v>1.1476266666666668</v>
      </c>
      <c r="Y432" s="23">
        <f t="shared" si="121"/>
        <v>4.8384733333333338</v>
      </c>
      <c r="Z432" s="23">
        <f t="shared" si="122"/>
        <v>1.019373333333333</v>
      </c>
      <c r="AA432" s="22">
        <f t="shared" si="123"/>
        <v>78.931922052548259</v>
      </c>
      <c r="AB432" s="22">
        <f t="shared" si="124"/>
        <v>21.068077947451741</v>
      </c>
      <c r="AC432" s="22">
        <f t="shared" si="125"/>
        <v>1.0592301593469524</v>
      </c>
      <c r="AD432" s="22">
        <f t="shared" si="126"/>
        <v>0.22315943561413315</v>
      </c>
      <c r="AE432" s="24">
        <v>5.0393999999999997</v>
      </c>
      <c r="AF432" s="24">
        <v>5.5279999999999996</v>
      </c>
      <c r="AG432" s="24">
        <v>5.1250999999999998</v>
      </c>
      <c r="AH432" s="25">
        <f>AG432-AE432</f>
        <v>8.5700000000000109E-2</v>
      </c>
      <c r="AI432" s="25">
        <v>82.460090053213236</v>
      </c>
      <c r="AJ432" s="26">
        <v>4.1230045026606623</v>
      </c>
      <c r="AK432" s="25">
        <v>41.230045026606618</v>
      </c>
      <c r="AL432" s="26">
        <v>4.1239866790473627</v>
      </c>
      <c r="AM432" s="17">
        <f t="shared" si="127"/>
        <v>0.5780346820809249</v>
      </c>
      <c r="AN432" s="17"/>
      <c r="AO432" s="27"/>
      <c r="AP432" s="17"/>
      <c r="AQ432" s="17"/>
      <c r="AR432" s="17"/>
      <c r="AS432" s="17"/>
      <c r="AT432" s="17"/>
      <c r="AU432" s="17"/>
      <c r="AV432" s="17"/>
      <c r="AW432" s="17"/>
      <c r="AX432" s="17"/>
      <c r="BB432" s="17"/>
    </row>
    <row r="433" spans="1:54" x14ac:dyDescent="0.2">
      <c r="A433" s="17" t="s">
        <v>41</v>
      </c>
      <c r="B433" s="18" t="s">
        <v>42</v>
      </c>
      <c r="C433" s="18" t="str">
        <f t="shared" si="119"/>
        <v>BI10.11</v>
      </c>
      <c r="D433" s="18" t="str">
        <f t="shared" si="120"/>
        <v>BI10.11_432</v>
      </c>
      <c r="E433" s="17">
        <v>11</v>
      </c>
      <c r="F433" s="19">
        <v>432</v>
      </c>
      <c r="G433" s="20">
        <v>2.4500000000000002</v>
      </c>
      <c r="H433" s="20">
        <v>2.0499999999999998</v>
      </c>
      <c r="I433" s="20">
        <v>0.95</v>
      </c>
      <c r="J433" s="20">
        <f t="shared" si="118"/>
        <v>3.7753593750000003</v>
      </c>
      <c r="K433" s="53">
        <v>0.2075000000000001</v>
      </c>
      <c r="L433" s="20">
        <f t="shared" si="130"/>
        <v>22.034999999999741</v>
      </c>
      <c r="M433" s="20">
        <f t="shared" si="130"/>
        <v>22.984999999999729</v>
      </c>
      <c r="N433" s="20">
        <f t="shared" si="130"/>
        <v>22.509999999999764</v>
      </c>
      <c r="O433" s="20">
        <f>P432+$AO$420</f>
        <v>422.03499999999974</v>
      </c>
      <c r="P433" s="20">
        <f t="shared" si="134"/>
        <v>422.98499999999973</v>
      </c>
      <c r="Q433" s="20">
        <f t="shared" si="128"/>
        <v>422.50999999999976</v>
      </c>
      <c r="R433" s="20">
        <f t="shared" si="131"/>
        <v>425.03499999999974</v>
      </c>
      <c r="S433" s="20">
        <f t="shared" si="132"/>
        <v>425.98499999999973</v>
      </c>
      <c r="T433" s="20">
        <f t="shared" si="133"/>
        <v>425.50999999999976</v>
      </c>
      <c r="U433" s="20">
        <v>425.50999999999976</v>
      </c>
      <c r="V433" s="22">
        <v>5.3696000000000002</v>
      </c>
      <c r="W433" s="22">
        <v>2.0348999999999999</v>
      </c>
      <c r="X433" s="23">
        <v>1.1476266666666668</v>
      </c>
      <c r="Y433" s="23">
        <f t="shared" si="121"/>
        <v>4.2219733333333336</v>
      </c>
      <c r="Z433" s="23">
        <f t="shared" si="122"/>
        <v>0.88727333333333314</v>
      </c>
      <c r="AA433" s="22">
        <f t="shared" si="123"/>
        <v>78.984392764205055</v>
      </c>
      <c r="AB433" s="22">
        <f t="shared" si="124"/>
        <v>21.015607235794945</v>
      </c>
      <c r="AC433" s="22">
        <f t="shared" si="125"/>
        <v>1.118297071608801</v>
      </c>
      <c r="AD433" s="22">
        <f t="shared" si="126"/>
        <v>0.23501692029870216</v>
      </c>
      <c r="AE433" s="24">
        <v>5.4260999999999999</v>
      </c>
      <c r="AF433" s="24">
        <v>5.8109000000000002</v>
      </c>
      <c r="AG433" s="24">
        <v>5.5121000000000002</v>
      </c>
      <c r="AH433" s="25">
        <f>AG433-AE433</f>
        <v>8.6000000000000298E-2</v>
      </c>
      <c r="AI433" s="25">
        <v>77.650727650727589</v>
      </c>
      <c r="AJ433" s="26">
        <v>3.8825363825363794</v>
      </c>
      <c r="AK433" s="25">
        <v>38.825363825363794</v>
      </c>
      <c r="AL433" s="26">
        <v>3.8835793749733862</v>
      </c>
      <c r="AM433" s="17">
        <f t="shared" si="127"/>
        <v>0.5780346820809249</v>
      </c>
      <c r="AN433" s="17"/>
      <c r="AO433" s="27"/>
      <c r="AP433" s="17"/>
      <c r="AQ433" s="17"/>
      <c r="AR433" s="17"/>
      <c r="AS433" s="17"/>
      <c r="AT433" s="17"/>
      <c r="AU433" s="17"/>
      <c r="AV433" s="17"/>
      <c r="AW433" s="17"/>
      <c r="AX433" s="17"/>
      <c r="BB433" s="17"/>
    </row>
    <row r="434" spans="1:54" x14ac:dyDescent="0.2">
      <c r="A434" s="17" t="s">
        <v>41</v>
      </c>
      <c r="B434" s="18" t="s">
        <v>42</v>
      </c>
      <c r="C434" s="18" t="str">
        <f t="shared" si="119"/>
        <v>BI10.11</v>
      </c>
      <c r="D434" s="18" t="str">
        <f t="shared" si="120"/>
        <v>BI10.11_433</v>
      </c>
      <c r="E434" s="17">
        <v>11</v>
      </c>
      <c r="F434" s="19">
        <v>433</v>
      </c>
      <c r="G434" s="20">
        <v>1.9</v>
      </c>
      <c r="H434" s="20">
        <v>2.5499999999999998</v>
      </c>
      <c r="I434" s="20">
        <v>1</v>
      </c>
      <c r="J434" s="20">
        <f t="shared" si="118"/>
        <v>3.8862406249999992</v>
      </c>
      <c r="K434" s="53">
        <v>0.2075000000000001</v>
      </c>
      <c r="L434" s="20">
        <f t="shared" si="130"/>
        <v>23.192499999999711</v>
      </c>
      <c r="M434" s="20">
        <f t="shared" si="130"/>
        <v>24.192499999999711</v>
      </c>
      <c r="N434" s="20">
        <f t="shared" si="130"/>
        <v>23.692499999999711</v>
      </c>
      <c r="O434" s="20">
        <f>P433+$AO$420</f>
        <v>423.19249999999971</v>
      </c>
      <c r="P434" s="20">
        <f t="shared" si="134"/>
        <v>424.19249999999971</v>
      </c>
      <c r="Q434" s="20">
        <f t="shared" si="128"/>
        <v>423.69249999999971</v>
      </c>
      <c r="R434" s="20">
        <f t="shared" si="131"/>
        <v>426.19249999999971</v>
      </c>
      <c r="S434" s="20">
        <f t="shared" si="132"/>
        <v>427.19249999999971</v>
      </c>
      <c r="T434" s="20">
        <f t="shared" si="133"/>
        <v>426.69249999999971</v>
      </c>
      <c r="U434" s="20">
        <v>426.69249999999971</v>
      </c>
      <c r="V434" s="22">
        <v>5.5762</v>
      </c>
      <c r="W434" s="22">
        <v>2.0167000000000002</v>
      </c>
      <c r="X434" s="23">
        <v>1.1476266666666668</v>
      </c>
      <c r="Y434" s="23">
        <f t="shared" si="121"/>
        <v>4.4285733333333335</v>
      </c>
      <c r="Z434" s="23">
        <f t="shared" si="122"/>
        <v>0.86907333333333336</v>
      </c>
      <c r="AA434" s="22">
        <f t="shared" si="123"/>
        <v>80.375771881388431</v>
      </c>
      <c r="AB434" s="22">
        <f t="shared" si="124"/>
        <v>19.624228118611569</v>
      </c>
      <c r="AC434" s="22">
        <f t="shared" si="125"/>
        <v>1.1395520145727811</v>
      </c>
      <c r="AD434" s="22">
        <f t="shared" si="126"/>
        <v>0.22362828686999625</v>
      </c>
      <c r="AE434" s="24">
        <v>5.4169</v>
      </c>
      <c r="AF434" s="24">
        <v>5.9379</v>
      </c>
      <c r="AG434" s="24">
        <v>5.5231000000000003</v>
      </c>
      <c r="AH434" s="25">
        <f>AG434-AE434</f>
        <v>0.10620000000000029</v>
      </c>
      <c r="AI434" s="25">
        <v>79.61612284069092</v>
      </c>
      <c r="AJ434" s="26">
        <v>3.9808061420345462</v>
      </c>
      <c r="AK434" s="25">
        <v>39.80806142034546</v>
      </c>
      <c r="AL434" s="26">
        <v>3.9818233939314749</v>
      </c>
      <c r="AM434" s="17">
        <f t="shared" si="127"/>
        <v>0.5780346820809249</v>
      </c>
      <c r="AN434" s="17"/>
      <c r="AO434" s="27"/>
      <c r="AP434" s="17"/>
      <c r="AQ434" s="17"/>
      <c r="AR434" s="17"/>
      <c r="AS434" s="17"/>
      <c r="AT434" s="17"/>
      <c r="AU434" s="17"/>
      <c r="AV434" s="17"/>
      <c r="AW434" s="17"/>
      <c r="AX434" s="17"/>
      <c r="BB434" s="17"/>
    </row>
    <row r="435" spans="1:54" x14ac:dyDescent="0.2">
      <c r="A435" s="17" t="s">
        <v>41</v>
      </c>
      <c r="B435" s="18" t="s">
        <v>42</v>
      </c>
      <c r="C435" s="18" t="str">
        <f t="shared" si="119"/>
        <v>BI10.11</v>
      </c>
      <c r="D435" s="18" t="str">
        <f t="shared" si="120"/>
        <v>BI10.11_434</v>
      </c>
      <c r="E435" s="17">
        <v>11</v>
      </c>
      <c r="F435" s="19">
        <v>434</v>
      </c>
      <c r="G435" s="20">
        <v>2.4500000000000002</v>
      </c>
      <c r="H435" s="20">
        <v>2.2999999999999998</v>
      </c>
      <c r="I435" s="20">
        <v>1</v>
      </c>
      <c r="J435" s="20">
        <f t="shared" si="118"/>
        <v>4.4278906249999999</v>
      </c>
      <c r="K435" s="53">
        <v>0.2075000000000001</v>
      </c>
      <c r="L435" s="20">
        <f t="shared" si="130"/>
        <v>24.399999999999693</v>
      </c>
      <c r="M435" s="20">
        <f t="shared" si="130"/>
        <v>25.399999999999693</v>
      </c>
      <c r="N435" s="20">
        <f t="shared" si="130"/>
        <v>24.899999999999693</v>
      </c>
      <c r="O435" s="20">
        <f>P434+$AO$420</f>
        <v>424.39999999999969</v>
      </c>
      <c r="P435" s="20">
        <f t="shared" si="134"/>
        <v>425.39999999999969</v>
      </c>
      <c r="Q435" s="20">
        <f t="shared" si="128"/>
        <v>424.89999999999969</v>
      </c>
      <c r="R435" s="20">
        <f t="shared" si="131"/>
        <v>427.39999999999969</v>
      </c>
      <c r="S435" s="20">
        <f t="shared" si="132"/>
        <v>428.39999999999969</v>
      </c>
      <c r="T435" s="20">
        <f t="shared" si="133"/>
        <v>427.89999999999969</v>
      </c>
      <c r="U435" s="20">
        <v>427.89999999999969</v>
      </c>
      <c r="V435" s="22">
        <v>5.9908000000000001</v>
      </c>
      <c r="W435" s="22">
        <v>2.1962000000000002</v>
      </c>
      <c r="X435" s="23">
        <v>1.1476266666666668</v>
      </c>
      <c r="Y435" s="23">
        <f t="shared" si="121"/>
        <v>4.8431733333333336</v>
      </c>
      <c r="Z435" s="23">
        <f t="shared" si="122"/>
        <v>1.0485733333333334</v>
      </c>
      <c r="AA435" s="22">
        <f t="shared" si="123"/>
        <v>78.349456829957205</v>
      </c>
      <c r="AB435" s="22">
        <f t="shared" si="124"/>
        <v>21.650543170042795</v>
      </c>
      <c r="AC435" s="22">
        <f t="shared" si="125"/>
        <v>1.0937879327887268</v>
      </c>
      <c r="AD435" s="22">
        <f t="shared" si="126"/>
        <v>0.23681102857714184</v>
      </c>
      <c r="AE435" s="24">
        <v>5.2687999999999997</v>
      </c>
      <c r="AF435" s="24">
        <v>5.5948000000000002</v>
      </c>
      <c r="AG435" s="24">
        <v>5.3326000000000002</v>
      </c>
      <c r="AH435" s="25">
        <f>AG435-AE435</f>
        <v>6.3800000000000523E-2</v>
      </c>
      <c r="AI435" s="25">
        <v>80.429447852760603</v>
      </c>
      <c r="AJ435" s="26">
        <v>4.0214723926380307</v>
      </c>
      <c r="AK435" s="25">
        <v>40.214723926380302</v>
      </c>
      <c r="AL435" s="26">
        <v>4.0224793603882976</v>
      </c>
      <c r="AM435" s="17">
        <f t="shared" si="127"/>
        <v>0.5780346820809249</v>
      </c>
      <c r="AN435" s="17"/>
      <c r="AO435" s="27"/>
      <c r="AP435" s="17"/>
      <c r="AQ435" s="17"/>
      <c r="AR435" s="17"/>
      <c r="AS435" s="17"/>
      <c r="AT435" s="17"/>
      <c r="AU435" s="17"/>
      <c r="AV435" s="17"/>
      <c r="AW435" s="17"/>
      <c r="AX435" s="17"/>
      <c r="BB435" s="17"/>
    </row>
    <row r="436" spans="1:54" x14ac:dyDescent="0.2">
      <c r="A436" s="17" t="s">
        <v>41</v>
      </c>
      <c r="B436" s="18" t="s">
        <v>42</v>
      </c>
      <c r="C436" s="18" t="str">
        <f t="shared" si="119"/>
        <v>BI10.11</v>
      </c>
      <c r="D436" s="18" t="str">
        <f t="shared" si="120"/>
        <v>BI10.11_435</v>
      </c>
      <c r="E436" s="17">
        <v>11</v>
      </c>
      <c r="F436" s="19">
        <v>435</v>
      </c>
      <c r="G436" s="20">
        <v>2.25</v>
      </c>
      <c r="H436" s="20">
        <v>2.2999999999999998</v>
      </c>
      <c r="I436" s="20">
        <v>0.95</v>
      </c>
      <c r="J436" s="20">
        <f t="shared" si="118"/>
        <v>3.8597223437499997</v>
      </c>
      <c r="K436" s="53">
        <v>0.2075000000000001</v>
      </c>
      <c r="L436" s="20">
        <f t="shared" si="130"/>
        <v>25.607499999999675</v>
      </c>
      <c r="M436" s="20">
        <f t="shared" si="130"/>
        <v>26.557499999999663</v>
      </c>
      <c r="N436" s="20">
        <f t="shared" si="130"/>
        <v>26.082499999999641</v>
      </c>
      <c r="O436" s="20">
        <f>P435+$AO$420</f>
        <v>425.60749999999967</v>
      </c>
      <c r="P436" s="20">
        <f t="shared" si="134"/>
        <v>426.55749999999966</v>
      </c>
      <c r="Q436" s="20">
        <f t="shared" si="128"/>
        <v>426.08249999999964</v>
      </c>
      <c r="R436" s="20">
        <f t="shared" si="131"/>
        <v>428.60749999999967</v>
      </c>
      <c r="S436" s="20">
        <f t="shared" si="132"/>
        <v>429.55749999999966</v>
      </c>
      <c r="T436" s="20">
        <f t="shared" si="133"/>
        <v>429.08249999999964</v>
      </c>
      <c r="U436" s="20">
        <v>429.08249999999964</v>
      </c>
      <c r="V436" s="22">
        <v>5.5472999999999999</v>
      </c>
      <c r="W436" s="22">
        <v>2.1023999999999998</v>
      </c>
      <c r="X436" s="23">
        <v>1.1476266666666668</v>
      </c>
      <c r="Y436" s="23">
        <f t="shared" si="121"/>
        <v>4.3996733333333333</v>
      </c>
      <c r="Z436" s="23">
        <f t="shared" si="122"/>
        <v>0.95477333333333303</v>
      </c>
      <c r="AA436" s="22">
        <f t="shared" si="123"/>
        <v>78.298994925380839</v>
      </c>
      <c r="AB436" s="22">
        <f t="shared" si="124"/>
        <v>21.701005074619161</v>
      </c>
      <c r="AC436" s="22">
        <f t="shared" si="125"/>
        <v>1.1398937388482542</v>
      </c>
      <c r="AD436" s="22">
        <f t="shared" si="126"/>
        <v>0.24736839811272579</v>
      </c>
      <c r="AE436" s="24">
        <v>5.7302999999999997</v>
      </c>
      <c r="AF436" s="24">
        <v>6.1097000000000001</v>
      </c>
      <c r="AG436" s="24">
        <v>5.8262</v>
      </c>
      <c r="AH436" s="25">
        <f>AG436-AE436</f>
        <v>9.5900000000000318E-2</v>
      </c>
      <c r="AI436" s="25">
        <v>74.723247232472261</v>
      </c>
      <c r="AJ436" s="26">
        <v>3.736162361623613</v>
      </c>
      <c r="AK436" s="25">
        <v>37.36162361623613</v>
      </c>
      <c r="AL436" s="26">
        <v>3.7372462044148143</v>
      </c>
      <c r="AM436" s="17">
        <f t="shared" si="127"/>
        <v>0.5780346820809249</v>
      </c>
      <c r="AN436" s="17"/>
      <c r="AO436" s="27"/>
      <c r="AP436" s="17"/>
      <c r="AQ436" s="17"/>
      <c r="AR436" s="17"/>
      <c r="AS436" s="17"/>
      <c r="AT436" s="17"/>
      <c r="AU436" s="17"/>
      <c r="AV436" s="17"/>
      <c r="AW436" s="17"/>
      <c r="AX436" s="17"/>
      <c r="BB436" s="17"/>
    </row>
    <row r="437" spans="1:54" x14ac:dyDescent="0.2">
      <c r="A437" s="17" t="s">
        <v>41</v>
      </c>
      <c r="B437" s="18" t="s">
        <v>42</v>
      </c>
      <c r="C437" s="18" t="str">
        <f t="shared" si="119"/>
        <v>BI10.11</v>
      </c>
      <c r="D437" s="18" t="str">
        <f t="shared" si="120"/>
        <v>BI10.11_436</v>
      </c>
      <c r="E437" s="17">
        <v>11</v>
      </c>
      <c r="F437" s="19">
        <v>436</v>
      </c>
      <c r="G437" s="20">
        <v>2</v>
      </c>
      <c r="H437" s="20">
        <v>2.4</v>
      </c>
      <c r="I437" s="20">
        <v>1</v>
      </c>
      <c r="J437" s="20">
        <f t="shared" si="118"/>
        <v>3.7994000000000008</v>
      </c>
      <c r="K437" s="53">
        <v>0.2075000000000001</v>
      </c>
      <c r="L437" s="20">
        <f t="shared" si="130"/>
        <v>26.764999999999645</v>
      </c>
      <c r="M437" s="20">
        <f t="shared" si="130"/>
        <v>27.764999999999645</v>
      </c>
      <c r="N437" s="20">
        <f t="shared" si="130"/>
        <v>27.264999999999645</v>
      </c>
      <c r="O437" s="20">
        <f>P436+$AO$420</f>
        <v>426.76499999999965</v>
      </c>
      <c r="P437" s="20">
        <f t="shared" si="134"/>
        <v>427.76499999999965</v>
      </c>
      <c r="Q437" s="20">
        <f t="shared" si="128"/>
        <v>427.26499999999965</v>
      </c>
      <c r="R437" s="20">
        <f t="shared" si="131"/>
        <v>429.76499999999965</v>
      </c>
      <c r="S437" s="20">
        <f t="shared" si="132"/>
        <v>430.76499999999965</v>
      </c>
      <c r="T437" s="20">
        <f t="shared" si="133"/>
        <v>430.26499999999965</v>
      </c>
      <c r="U437" s="20">
        <v>430.26499999999965</v>
      </c>
      <c r="V437" s="22">
        <v>5.6999000000000004</v>
      </c>
      <c r="W437" s="22">
        <v>2.1385999999999998</v>
      </c>
      <c r="X437" s="23">
        <v>1.1476266666666668</v>
      </c>
      <c r="Y437" s="23">
        <f t="shared" si="121"/>
        <v>4.5522733333333338</v>
      </c>
      <c r="Z437" s="23">
        <f t="shared" si="122"/>
        <v>0.99097333333333304</v>
      </c>
      <c r="AA437" s="22">
        <f t="shared" si="123"/>
        <v>78.231242705109992</v>
      </c>
      <c r="AB437" s="22">
        <f t="shared" si="124"/>
        <v>21.768757294890008</v>
      </c>
      <c r="AC437" s="22">
        <f t="shared" si="125"/>
        <v>1.1981558491691668</v>
      </c>
      <c r="AD437" s="22">
        <f t="shared" si="126"/>
        <v>0.26082363882016446</v>
      </c>
      <c r="AE437" s="24">
        <v>5.37</v>
      </c>
      <c r="AF437" s="24">
        <v>5.8122999999999996</v>
      </c>
      <c r="AG437" s="24">
        <v>5.4698000000000002</v>
      </c>
      <c r="AH437" s="25">
        <f>AG437-AE437</f>
        <v>9.9800000000000111E-2</v>
      </c>
      <c r="AI437" s="25">
        <v>77.436129323988183</v>
      </c>
      <c r="AJ437" s="26">
        <v>3.8718064661994092</v>
      </c>
      <c r="AK437" s="25">
        <v>38.718064661994092</v>
      </c>
      <c r="AL437" s="26">
        <v>3.8728523482962216</v>
      </c>
      <c r="AM437" s="17">
        <f t="shared" si="127"/>
        <v>0.5780346820809249</v>
      </c>
      <c r="AN437" s="17"/>
      <c r="AO437" s="27"/>
      <c r="AP437" s="17"/>
      <c r="AQ437" s="17"/>
      <c r="AR437" s="17"/>
      <c r="AS437" s="17"/>
      <c r="AT437" s="17"/>
      <c r="AU437" s="17"/>
      <c r="AV437" s="17"/>
      <c r="AW437" s="17"/>
      <c r="AX437" s="17"/>
      <c r="BB437" s="17"/>
    </row>
    <row r="438" spans="1:54" x14ac:dyDescent="0.2">
      <c r="A438" s="17" t="s">
        <v>41</v>
      </c>
      <c r="B438" s="18" t="s">
        <v>42</v>
      </c>
      <c r="C438" s="18" t="str">
        <f t="shared" si="119"/>
        <v>BI10.11</v>
      </c>
      <c r="D438" s="18" t="str">
        <f t="shared" si="120"/>
        <v>BI10.11_437</v>
      </c>
      <c r="E438" s="17">
        <v>11</v>
      </c>
      <c r="F438" s="19">
        <v>437</v>
      </c>
      <c r="G438" s="20">
        <v>2.35</v>
      </c>
      <c r="H438" s="20">
        <v>2.1</v>
      </c>
      <c r="I438" s="20">
        <v>0.95</v>
      </c>
      <c r="J438" s="20">
        <f t="shared" si="118"/>
        <v>3.6919285937500002</v>
      </c>
      <c r="K438" s="53">
        <v>0.2075000000000001</v>
      </c>
      <c r="L438" s="20">
        <f t="shared" si="130"/>
        <v>27.972499999999627</v>
      </c>
      <c r="M438" s="20">
        <f t="shared" si="130"/>
        <v>28.922499999999616</v>
      </c>
      <c r="N438" s="20">
        <f t="shared" si="130"/>
        <v>28.44749999999965</v>
      </c>
      <c r="O438" s="20">
        <f>P437+$AO$420</f>
        <v>427.97249999999963</v>
      </c>
      <c r="P438" s="20">
        <f t="shared" si="134"/>
        <v>428.92249999999962</v>
      </c>
      <c r="Q438" s="20">
        <f t="shared" si="128"/>
        <v>428.44749999999965</v>
      </c>
      <c r="R438" s="20">
        <f t="shared" si="131"/>
        <v>430.97249999999963</v>
      </c>
      <c r="S438" s="20">
        <f t="shared" si="132"/>
        <v>431.92249999999962</v>
      </c>
      <c r="T438" s="20">
        <f t="shared" si="133"/>
        <v>431.44749999999965</v>
      </c>
      <c r="U438" s="20">
        <v>431.44749999999965</v>
      </c>
      <c r="V438" s="22">
        <v>5.4608999999999996</v>
      </c>
      <c r="W438" s="22">
        <v>2.1223000000000001</v>
      </c>
      <c r="X438" s="23">
        <v>1.1476266666666668</v>
      </c>
      <c r="Y438" s="23">
        <f t="shared" si="121"/>
        <v>4.3132733333333331</v>
      </c>
      <c r="Z438" s="23">
        <f t="shared" si="122"/>
        <v>0.97467333333333328</v>
      </c>
      <c r="AA438" s="22">
        <f t="shared" si="123"/>
        <v>77.402931416356637</v>
      </c>
      <c r="AB438" s="22">
        <f t="shared" si="124"/>
        <v>22.597068583643363</v>
      </c>
      <c r="AC438" s="22">
        <f t="shared" si="125"/>
        <v>1.168298146566322</v>
      </c>
      <c r="AD438" s="22">
        <f t="shared" si="126"/>
        <v>0.26400113344102599</v>
      </c>
      <c r="AE438" s="24">
        <v>5.3869999999999996</v>
      </c>
      <c r="AF438" s="24">
        <v>5.6738999999999997</v>
      </c>
      <c r="AG438" s="24">
        <v>5.4435000000000002</v>
      </c>
      <c r="AH438" s="25">
        <f>AG438-AE438</f>
        <v>5.6500000000000661E-2</v>
      </c>
      <c r="AI438" s="25">
        <v>80.306727082606969</v>
      </c>
      <c r="AJ438" s="26">
        <v>4.0153363541303486</v>
      </c>
      <c r="AK438" s="25">
        <v>40.153363541303484</v>
      </c>
      <c r="AL438" s="26">
        <v>4.0163448602928513</v>
      </c>
      <c r="AM438" s="17">
        <f t="shared" si="127"/>
        <v>0.5780346820809249</v>
      </c>
      <c r="AN438" s="17"/>
      <c r="AO438" s="27"/>
      <c r="AP438" s="17"/>
      <c r="AQ438" s="17"/>
      <c r="AR438" s="17"/>
      <c r="AS438" s="17"/>
      <c r="AT438" s="17"/>
      <c r="AU438" s="17"/>
      <c r="AV438" s="17"/>
      <c r="AW438" s="17"/>
      <c r="AX438" s="17"/>
      <c r="BB438" s="17"/>
    </row>
    <row r="439" spans="1:54" x14ac:dyDescent="0.2">
      <c r="A439" s="17" t="s">
        <v>41</v>
      </c>
      <c r="B439" s="18" t="s">
        <v>42</v>
      </c>
      <c r="C439" s="18" t="str">
        <f t="shared" si="119"/>
        <v>BI10.11</v>
      </c>
      <c r="D439" s="18" t="str">
        <f t="shared" si="120"/>
        <v>BI10.11_438</v>
      </c>
      <c r="E439" s="17">
        <v>11</v>
      </c>
      <c r="F439" s="19">
        <v>438</v>
      </c>
      <c r="G439" s="20">
        <v>2.2999999999999998</v>
      </c>
      <c r="H439" s="20">
        <v>2.4</v>
      </c>
      <c r="I439" s="20">
        <v>1</v>
      </c>
      <c r="J439" s="20">
        <f t="shared" si="118"/>
        <v>4.3351624999999991</v>
      </c>
      <c r="K439" s="53">
        <v>0.2075000000000001</v>
      </c>
      <c r="L439" s="20">
        <f t="shared" si="130"/>
        <v>29.129999999999598</v>
      </c>
      <c r="M439" s="20">
        <f t="shared" si="130"/>
        <v>30.129999999999598</v>
      </c>
      <c r="N439" s="20">
        <f t="shared" si="130"/>
        <v>29.629999999999598</v>
      </c>
      <c r="O439" s="20">
        <f>P438+$AO$420</f>
        <v>429.1299999999996</v>
      </c>
      <c r="P439" s="20">
        <f t="shared" si="134"/>
        <v>430.1299999999996</v>
      </c>
      <c r="Q439" s="20">
        <f t="shared" si="128"/>
        <v>429.6299999999996</v>
      </c>
      <c r="R439" s="20">
        <f t="shared" si="131"/>
        <v>432.1299999999996</v>
      </c>
      <c r="S439" s="20">
        <f t="shared" si="132"/>
        <v>433.1299999999996</v>
      </c>
      <c r="T439" s="20">
        <f t="shared" si="133"/>
        <v>432.6299999999996</v>
      </c>
      <c r="U439" s="20">
        <v>432.6299999999996</v>
      </c>
      <c r="V439" s="22">
        <v>6.218</v>
      </c>
      <c r="W439" s="22">
        <v>2.3932000000000002</v>
      </c>
      <c r="X439" s="23">
        <v>1.1476266666666668</v>
      </c>
      <c r="Y439" s="23">
        <f t="shared" si="121"/>
        <v>5.0703733333333334</v>
      </c>
      <c r="Z439" s="23">
        <f t="shared" si="122"/>
        <v>1.2455733333333334</v>
      </c>
      <c r="AA439" s="22">
        <f t="shared" si="123"/>
        <v>75.434287547531014</v>
      </c>
      <c r="AB439" s="22">
        <f t="shared" si="124"/>
        <v>24.565712452468986</v>
      </c>
      <c r="AC439" s="22">
        <f t="shared" si="125"/>
        <v>1.1695924508789082</v>
      </c>
      <c r="AD439" s="22">
        <f t="shared" si="126"/>
        <v>0.2873187183486971</v>
      </c>
      <c r="AE439" s="24">
        <v>5.2881999999999998</v>
      </c>
      <c r="AF439" s="24">
        <v>5.5378999999999996</v>
      </c>
      <c r="AG439" s="24">
        <v>5.3407999999999998</v>
      </c>
      <c r="AH439" s="25">
        <f>AG439-AE439</f>
        <v>5.259999999999998E-2</v>
      </c>
      <c r="AI439" s="25">
        <v>78.934721665999191</v>
      </c>
      <c r="AJ439" s="26">
        <v>3.9467360832999598</v>
      </c>
      <c r="AK439" s="25">
        <v>39.467360832999596</v>
      </c>
      <c r="AL439" s="26">
        <v>3.9477621143151356</v>
      </c>
      <c r="AM439" s="17">
        <f t="shared" si="127"/>
        <v>0.5780346820809249</v>
      </c>
      <c r="AN439" s="17"/>
      <c r="AO439" s="27"/>
      <c r="AP439" s="17"/>
      <c r="AQ439" s="17"/>
      <c r="AR439" s="17"/>
      <c r="AS439" s="17"/>
      <c r="AT439" s="17"/>
      <c r="AU439" s="17"/>
      <c r="AV439" s="17"/>
      <c r="AW439" s="17"/>
      <c r="AX439" s="17"/>
      <c r="BB439" s="17"/>
    </row>
    <row r="440" spans="1:54" x14ac:dyDescent="0.2">
      <c r="A440" s="17" t="s">
        <v>41</v>
      </c>
      <c r="B440" s="18" t="s">
        <v>42</v>
      </c>
      <c r="C440" s="18" t="str">
        <f t="shared" si="119"/>
        <v>BI10.11</v>
      </c>
      <c r="D440" s="18" t="str">
        <f t="shared" si="120"/>
        <v>BI10.11_439</v>
      </c>
      <c r="E440" s="17">
        <v>11</v>
      </c>
      <c r="F440" s="19">
        <v>439</v>
      </c>
      <c r="G440" s="20">
        <v>2.0499999999999998</v>
      </c>
      <c r="H440" s="20">
        <v>1.6</v>
      </c>
      <c r="I440" s="20">
        <v>1</v>
      </c>
      <c r="J440" s="20">
        <f t="shared" si="118"/>
        <v>2.6145406250000001</v>
      </c>
      <c r="K440" s="53">
        <v>0.2075000000000001</v>
      </c>
      <c r="L440" s="20">
        <f t="shared" si="130"/>
        <v>30.337499999999579</v>
      </c>
      <c r="M440" s="20">
        <f t="shared" si="130"/>
        <v>31.337499999999579</v>
      </c>
      <c r="N440" s="20">
        <f t="shared" si="130"/>
        <v>30.837499999999579</v>
      </c>
      <c r="O440" s="20">
        <f>P439+$AO$420</f>
        <v>430.33749999999958</v>
      </c>
      <c r="P440" s="20">
        <f t="shared" si="134"/>
        <v>431.33749999999958</v>
      </c>
      <c r="Q440" s="20">
        <f t="shared" si="128"/>
        <v>430.83749999999958</v>
      </c>
      <c r="R440" s="20">
        <f t="shared" si="131"/>
        <v>433.33749999999958</v>
      </c>
      <c r="S440" s="20">
        <f t="shared" si="132"/>
        <v>434.33749999999958</v>
      </c>
      <c r="T440" s="20">
        <f t="shared" si="133"/>
        <v>433.83749999999958</v>
      </c>
      <c r="U440" s="20">
        <v>433.83749999999958</v>
      </c>
      <c r="V440" s="22">
        <v>4.4463999999999997</v>
      </c>
      <c r="W440" s="22">
        <v>1.9702999999999999</v>
      </c>
      <c r="X440" s="23">
        <v>1.1476266666666668</v>
      </c>
      <c r="Y440" s="23">
        <f t="shared" si="121"/>
        <v>3.2987733333333331</v>
      </c>
      <c r="Z440" s="23">
        <f t="shared" si="122"/>
        <v>0.82267333333333315</v>
      </c>
      <c r="AA440" s="22">
        <f t="shared" si="123"/>
        <v>75.061234883269734</v>
      </c>
      <c r="AB440" s="22">
        <f t="shared" si="124"/>
        <v>24.938765116730266</v>
      </c>
      <c r="AC440" s="22">
        <f t="shared" si="125"/>
        <v>1.2617028405643278</v>
      </c>
      <c r="AD440" s="22">
        <f t="shared" si="126"/>
        <v>0.31465310787945133</v>
      </c>
      <c r="AE440" s="24">
        <v>5.5124000000000004</v>
      </c>
      <c r="AF440" s="24">
        <v>6.1835000000000004</v>
      </c>
      <c r="AG440" s="24">
        <v>5.6672000000000002</v>
      </c>
      <c r="AH440" s="25">
        <f>AG440-AE440</f>
        <v>0.15479999999999983</v>
      </c>
      <c r="AI440" s="25">
        <v>76.933392936969184</v>
      </c>
      <c r="AJ440" s="26">
        <v>3.8466696468484596</v>
      </c>
      <c r="AK440" s="25">
        <v>38.466696468484592</v>
      </c>
      <c r="AL440" s="26">
        <v>3.8477223616037128</v>
      </c>
      <c r="AM440" s="17">
        <f t="shared" si="127"/>
        <v>0.5780346820809249</v>
      </c>
      <c r="AN440" s="17"/>
      <c r="AO440" s="27"/>
      <c r="AP440" s="17"/>
      <c r="AQ440" s="17"/>
      <c r="AR440" s="17"/>
      <c r="AS440" s="17"/>
      <c r="AT440" s="17"/>
      <c r="AU440" s="17"/>
      <c r="AV440" s="17"/>
      <c r="AW440" s="17"/>
      <c r="AX440" s="17"/>
      <c r="BB440" s="17"/>
    </row>
    <row r="441" spans="1:54" x14ac:dyDescent="0.2">
      <c r="A441" s="17" t="s">
        <v>41</v>
      </c>
      <c r="B441" s="18" t="s">
        <v>42</v>
      </c>
      <c r="C441" s="18" t="str">
        <f t="shared" si="119"/>
        <v>BI10.11</v>
      </c>
      <c r="D441" s="18" t="str">
        <f t="shared" si="120"/>
        <v>BI10.11_440</v>
      </c>
      <c r="E441" s="17">
        <v>11</v>
      </c>
      <c r="F441" s="19">
        <v>440</v>
      </c>
      <c r="G441" s="20">
        <v>2.2000000000000002</v>
      </c>
      <c r="H441" s="20">
        <v>2.2999999999999998</v>
      </c>
      <c r="I441" s="20">
        <v>1</v>
      </c>
      <c r="J441" s="20">
        <f t="shared" si="118"/>
        <v>3.9740625000000001</v>
      </c>
      <c r="K441" s="53">
        <v>0.2075000000000001</v>
      </c>
      <c r="L441" s="20">
        <f t="shared" si="130"/>
        <v>31.544999999999561</v>
      </c>
      <c r="M441" s="20">
        <f t="shared" si="130"/>
        <v>32.544999999999561</v>
      </c>
      <c r="N441" s="20">
        <f t="shared" si="130"/>
        <v>32.044999999999561</v>
      </c>
      <c r="O441" s="20">
        <f>P440+$AO$420</f>
        <v>431.54499999999956</v>
      </c>
      <c r="P441" s="20">
        <f t="shared" si="134"/>
        <v>432.54499999999956</v>
      </c>
      <c r="Q441" s="20">
        <f t="shared" si="128"/>
        <v>432.04499999999956</v>
      </c>
      <c r="R441" s="20">
        <f t="shared" si="131"/>
        <v>434.54499999999956</v>
      </c>
      <c r="S441" s="20">
        <f t="shared" si="132"/>
        <v>435.54499999999956</v>
      </c>
      <c r="T441" s="20">
        <f t="shared" si="133"/>
        <v>435.04499999999956</v>
      </c>
      <c r="U441" s="20">
        <v>435.04499999999956</v>
      </c>
      <c r="V441" s="22">
        <v>6.0411999999999999</v>
      </c>
      <c r="W441" s="22">
        <v>2.3026</v>
      </c>
      <c r="X441" s="23">
        <v>1.1476266666666668</v>
      </c>
      <c r="Y441" s="23">
        <f t="shared" si="121"/>
        <v>4.8935733333333333</v>
      </c>
      <c r="Z441" s="23">
        <f t="shared" si="122"/>
        <v>1.1549733333333332</v>
      </c>
      <c r="AA441" s="22">
        <f t="shared" si="123"/>
        <v>76.398160308213775</v>
      </c>
      <c r="AB441" s="22">
        <f t="shared" si="124"/>
        <v>23.601839691786225</v>
      </c>
      <c r="AC441" s="22">
        <f t="shared" si="125"/>
        <v>1.2313780503787581</v>
      </c>
      <c r="AD441" s="22">
        <f t="shared" si="126"/>
        <v>0.29062787345023716</v>
      </c>
      <c r="AE441" s="24">
        <v>5.5510000000000002</v>
      </c>
      <c r="AF441" s="24">
        <v>6.0429000000000004</v>
      </c>
      <c r="AG441" s="24">
        <v>5.6597999999999997</v>
      </c>
      <c r="AH441" s="25">
        <f>AG441-AE441</f>
        <v>0.10879999999999956</v>
      </c>
      <c r="AI441" s="25">
        <v>77.881683268957204</v>
      </c>
      <c r="AJ441" s="26">
        <v>3.8940841634478605</v>
      </c>
      <c r="AK441" s="25">
        <v>38.940841634478602</v>
      </c>
      <c r="AL441" s="26">
        <v>3.8951240637514264</v>
      </c>
      <c r="AM441" s="17">
        <f t="shared" si="127"/>
        <v>0.5780346820809249</v>
      </c>
      <c r="AN441" s="17"/>
      <c r="AO441" s="27"/>
      <c r="AP441" s="17"/>
      <c r="AQ441" s="17"/>
      <c r="AR441" s="17"/>
      <c r="AS441" s="17"/>
      <c r="AT441" s="17"/>
      <c r="AU441" s="17"/>
      <c r="AV441" s="17"/>
      <c r="AW441" s="17"/>
      <c r="AX441" s="17"/>
      <c r="BB441" s="17"/>
    </row>
    <row r="442" spans="1:54" x14ac:dyDescent="0.2">
      <c r="A442" s="17" t="s">
        <v>41</v>
      </c>
      <c r="B442" s="18" t="s">
        <v>42</v>
      </c>
      <c r="C442" s="18" t="str">
        <f t="shared" si="119"/>
        <v>BI10.11</v>
      </c>
      <c r="D442" s="18" t="str">
        <f t="shared" si="120"/>
        <v>BI10.11_441</v>
      </c>
      <c r="E442" s="17">
        <v>11</v>
      </c>
      <c r="F442" s="19">
        <v>441</v>
      </c>
      <c r="G442" s="20">
        <v>2.1</v>
      </c>
      <c r="H442" s="20">
        <v>2.4500000000000002</v>
      </c>
      <c r="I442" s="20">
        <v>1</v>
      </c>
      <c r="J442" s="20">
        <f t="shared" si="118"/>
        <v>4.0628656250000015</v>
      </c>
      <c r="K442" s="53">
        <v>0.2075000000000001</v>
      </c>
      <c r="L442" s="20">
        <f t="shared" si="130"/>
        <v>32.752499999999543</v>
      </c>
      <c r="M442" s="20">
        <f t="shared" si="130"/>
        <v>33.752499999999543</v>
      </c>
      <c r="N442" s="20">
        <f t="shared" si="130"/>
        <v>33.252499999999543</v>
      </c>
      <c r="O442" s="20">
        <f>P441+$AO$420</f>
        <v>432.75249999999954</v>
      </c>
      <c r="P442" s="20">
        <f t="shared" si="134"/>
        <v>433.75249999999954</v>
      </c>
      <c r="Q442" s="20">
        <f t="shared" si="128"/>
        <v>433.25249999999954</v>
      </c>
      <c r="R442" s="20">
        <f t="shared" si="131"/>
        <v>435.75249999999954</v>
      </c>
      <c r="S442" s="20">
        <f t="shared" si="132"/>
        <v>436.75249999999954</v>
      </c>
      <c r="T442" s="20">
        <f t="shared" si="133"/>
        <v>436.25249999999954</v>
      </c>
      <c r="U442" s="20">
        <v>436.25249999999954</v>
      </c>
      <c r="V442" s="17">
        <v>6.0293999999999999</v>
      </c>
      <c r="W442" s="22">
        <v>2.1840000000000002</v>
      </c>
      <c r="X442" s="23">
        <v>1.1476266666666668</v>
      </c>
      <c r="Y442" s="23">
        <f t="shared" si="121"/>
        <v>4.8817733333333333</v>
      </c>
      <c r="Z442" s="23">
        <f t="shared" si="122"/>
        <v>1.0363733333333334</v>
      </c>
      <c r="AA442" s="22">
        <f t="shared" si="123"/>
        <v>78.770556054766985</v>
      </c>
      <c r="AB442" s="22">
        <f t="shared" si="124"/>
        <v>21.229443945233015</v>
      </c>
      <c r="AC442" s="22">
        <f t="shared" si="125"/>
        <v>1.2015591417285261</v>
      </c>
      <c r="AD442" s="22">
        <f t="shared" si="126"/>
        <v>0.2550843244620804</v>
      </c>
      <c r="AE442" s="24">
        <v>5.7370000000000001</v>
      </c>
      <c r="AF442" s="24">
        <v>6.2275999999999998</v>
      </c>
      <c r="AG442" s="24">
        <v>5.8303000000000003</v>
      </c>
      <c r="AH442" s="25">
        <f>AG442-AE442</f>
        <v>9.3300000000000161E-2</v>
      </c>
      <c r="AI442" s="25">
        <v>80.982470444353808</v>
      </c>
      <c r="AJ442" s="26">
        <v>4.0491235222176902</v>
      </c>
      <c r="AK442" s="25">
        <v>40.491235222176904</v>
      </c>
      <c r="AL442" s="26">
        <v>4.050123615172331</v>
      </c>
      <c r="AM442" s="17">
        <f t="shared" si="127"/>
        <v>0.5780346820809249</v>
      </c>
      <c r="AN442" s="17"/>
      <c r="AO442" s="27"/>
      <c r="AP442" s="17"/>
      <c r="AQ442" s="17"/>
      <c r="AR442" s="17"/>
      <c r="AS442" s="17"/>
      <c r="AT442" s="17"/>
      <c r="AU442" s="17"/>
      <c r="AV442" s="17"/>
      <c r="AW442" s="17"/>
      <c r="AX442" s="17"/>
      <c r="BB442" s="17"/>
    </row>
    <row r="443" spans="1:54" x14ac:dyDescent="0.2">
      <c r="A443" s="17" t="s">
        <v>41</v>
      </c>
      <c r="B443" s="18" t="s">
        <v>42</v>
      </c>
      <c r="C443" s="18" t="str">
        <f t="shared" si="119"/>
        <v>BI10.11</v>
      </c>
      <c r="D443" s="18" t="str">
        <f t="shared" si="120"/>
        <v>BI10.11_442</v>
      </c>
      <c r="E443" s="17">
        <v>11</v>
      </c>
      <c r="F443" s="19">
        <v>442</v>
      </c>
      <c r="G443" s="20">
        <v>2.4</v>
      </c>
      <c r="H443" s="20">
        <v>2.1</v>
      </c>
      <c r="I443" s="20">
        <v>1</v>
      </c>
      <c r="J443" s="20">
        <f t="shared" si="118"/>
        <v>3.9740625000000001</v>
      </c>
      <c r="K443" s="53">
        <v>0.2075000000000001</v>
      </c>
      <c r="L443" s="20">
        <f t="shared" si="130"/>
        <v>33.959999999999525</v>
      </c>
      <c r="M443" s="20">
        <f t="shared" si="130"/>
        <v>34.959999999999525</v>
      </c>
      <c r="N443" s="20">
        <f t="shared" si="130"/>
        <v>34.459999999999525</v>
      </c>
      <c r="O443" s="20">
        <f>P442+$AO$420</f>
        <v>433.95999999999952</v>
      </c>
      <c r="P443" s="20">
        <f t="shared" si="134"/>
        <v>434.95999999999952</v>
      </c>
      <c r="Q443" s="20">
        <f t="shared" si="128"/>
        <v>434.45999999999952</v>
      </c>
      <c r="R443" s="20">
        <f t="shared" si="131"/>
        <v>436.95999999999952</v>
      </c>
      <c r="S443" s="20">
        <f t="shared" si="132"/>
        <v>437.95999999999952</v>
      </c>
      <c r="T443" s="20">
        <f t="shared" si="133"/>
        <v>437.45999999999952</v>
      </c>
      <c r="U443" s="20">
        <v>437.45999999999952</v>
      </c>
      <c r="V443" s="22">
        <v>5.9080000000000004</v>
      </c>
      <c r="W443" s="22">
        <v>2.1587999999999998</v>
      </c>
      <c r="X443" s="23">
        <v>1.1476266666666668</v>
      </c>
      <c r="Y443" s="23">
        <f t="shared" si="121"/>
        <v>4.7603733333333338</v>
      </c>
      <c r="Z443" s="23">
        <f t="shared" si="122"/>
        <v>1.011173333333333</v>
      </c>
      <c r="AA443" s="22">
        <f t="shared" si="123"/>
        <v>78.758528742843708</v>
      </c>
      <c r="AB443" s="22">
        <f t="shared" si="124"/>
        <v>21.241471257156292</v>
      </c>
      <c r="AC443" s="22">
        <f t="shared" si="125"/>
        <v>1.1978607113837121</v>
      </c>
      <c r="AD443" s="22">
        <f t="shared" si="126"/>
        <v>0.2544432387093391</v>
      </c>
      <c r="AE443" s="24">
        <v>5.3445</v>
      </c>
      <c r="AF443" s="24">
        <v>5.7933000000000003</v>
      </c>
      <c r="AG443" s="24">
        <v>5.4447000000000001</v>
      </c>
      <c r="AH443" s="25">
        <f>AG443-AE443</f>
        <v>0.10020000000000007</v>
      </c>
      <c r="AI443" s="25">
        <v>77.673796791443849</v>
      </c>
      <c r="AJ443" s="26">
        <v>3.8836898395721926</v>
      </c>
      <c r="AK443" s="25">
        <v>38.836898395721924</v>
      </c>
      <c r="AL443" s="26">
        <v>3.8847325223232918</v>
      </c>
      <c r="AM443" s="17">
        <f t="shared" si="127"/>
        <v>0.5780346820809249</v>
      </c>
      <c r="AN443" s="17"/>
      <c r="AO443" s="27"/>
      <c r="AP443" s="17"/>
      <c r="AQ443" s="17"/>
      <c r="AR443" s="17"/>
      <c r="AS443" s="17"/>
      <c r="AT443" s="17"/>
      <c r="AU443" s="17"/>
      <c r="AV443" s="17"/>
      <c r="AW443" s="17"/>
      <c r="AX443" s="17"/>
      <c r="BB443" s="17"/>
    </row>
    <row r="444" spans="1:54" x14ac:dyDescent="0.2">
      <c r="A444" s="17" t="s">
        <v>41</v>
      </c>
      <c r="B444" s="18" t="s">
        <v>42</v>
      </c>
      <c r="C444" s="18" t="str">
        <f t="shared" si="119"/>
        <v>BI10.11</v>
      </c>
      <c r="D444" s="18" t="str">
        <f t="shared" si="120"/>
        <v>BI10.11_443</v>
      </c>
      <c r="E444" s="17">
        <v>11</v>
      </c>
      <c r="F444" s="19">
        <v>443</v>
      </c>
      <c r="G444" s="20">
        <v>2.1</v>
      </c>
      <c r="H444" s="20">
        <v>2.2999999999999998</v>
      </c>
      <c r="I444" s="20">
        <v>1.1000000000000001</v>
      </c>
      <c r="J444" s="20">
        <f t="shared" si="118"/>
        <v>4.1793400000000016</v>
      </c>
      <c r="K444" s="53">
        <v>0.2075000000000001</v>
      </c>
      <c r="L444" s="20">
        <f t="shared" si="130"/>
        <v>35.167499999999507</v>
      </c>
      <c r="M444" s="20">
        <f t="shared" si="130"/>
        <v>36.267499999999529</v>
      </c>
      <c r="N444" s="20">
        <f t="shared" si="130"/>
        <v>35.717499999999518</v>
      </c>
      <c r="O444" s="20">
        <f>P443+$AO$420</f>
        <v>435.16749999999951</v>
      </c>
      <c r="P444" s="20">
        <f t="shared" si="134"/>
        <v>436.26749999999953</v>
      </c>
      <c r="Q444" s="20">
        <f t="shared" si="128"/>
        <v>435.71749999999952</v>
      </c>
      <c r="R444" s="20">
        <f t="shared" si="131"/>
        <v>438.16749999999951</v>
      </c>
      <c r="S444" s="20">
        <f t="shared" si="132"/>
        <v>439.26749999999953</v>
      </c>
      <c r="T444" s="20">
        <f t="shared" si="133"/>
        <v>438.71749999999952</v>
      </c>
      <c r="U444" s="20">
        <v>438.71749999999952</v>
      </c>
      <c r="V444" s="22">
        <v>6.5286999999999997</v>
      </c>
      <c r="W444" s="22">
        <v>2.2223999999999999</v>
      </c>
      <c r="X444" s="23">
        <v>1.1476266666666668</v>
      </c>
      <c r="Y444" s="23">
        <f t="shared" si="121"/>
        <v>5.3810733333333332</v>
      </c>
      <c r="Z444" s="23">
        <f t="shared" si="122"/>
        <v>1.0747733333333331</v>
      </c>
      <c r="AA444" s="22">
        <f t="shared" si="123"/>
        <v>80.026785238632698</v>
      </c>
      <c r="AB444" s="22">
        <f t="shared" si="124"/>
        <v>19.973214761367302</v>
      </c>
      <c r="AC444" s="22">
        <f t="shared" si="125"/>
        <v>1.2875414140350705</v>
      </c>
      <c r="AD444" s="22">
        <f t="shared" si="126"/>
        <v>0.25716341176677004</v>
      </c>
      <c r="AE444" s="24">
        <v>5.7370999999999999</v>
      </c>
      <c r="AF444" s="24">
        <v>6.2306999999999997</v>
      </c>
      <c r="AG444" s="24">
        <v>5.8282999999999996</v>
      </c>
      <c r="AH444" s="25">
        <f>AG444-AE444</f>
        <v>9.1199999999999726E-2</v>
      </c>
      <c r="AI444" s="25">
        <v>81.523500810372823</v>
      </c>
      <c r="AJ444" s="26">
        <v>4.076175040518641</v>
      </c>
      <c r="AK444" s="25">
        <v>40.761750405186412</v>
      </c>
      <c r="AL444" s="26">
        <v>4.0771684979832683</v>
      </c>
      <c r="AM444" s="17">
        <f t="shared" si="127"/>
        <v>0.5780346820809249</v>
      </c>
      <c r="AN444" s="17"/>
      <c r="AO444" s="27"/>
      <c r="AP444" s="17"/>
      <c r="AQ444" s="17"/>
      <c r="AR444" s="17"/>
      <c r="AS444" s="17"/>
      <c r="AT444" s="17"/>
      <c r="AU444" s="17"/>
      <c r="AV444" s="17"/>
      <c r="AW444" s="17"/>
      <c r="AX444" s="17"/>
      <c r="BB444" s="17"/>
    </row>
    <row r="445" spans="1:54" x14ac:dyDescent="0.2">
      <c r="A445" s="17" t="s">
        <v>41</v>
      </c>
      <c r="B445" s="18" t="s">
        <v>42</v>
      </c>
      <c r="C445" s="18" t="str">
        <f t="shared" si="119"/>
        <v>BI10.11</v>
      </c>
      <c r="D445" s="18" t="str">
        <f t="shared" si="120"/>
        <v>BI10.11_444</v>
      </c>
      <c r="E445" s="17">
        <v>11</v>
      </c>
      <c r="F445" s="19">
        <v>444</v>
      </c>
      <c r="G445" s="20">
        <v>2.2999999999999998</v>
      </c>
      <c r="H445" s="20">
        <v>2.2999999999999998</v>
      </c>
      <c r="I445" s="20">
        <v>1</v>
      </c>
      <c r="J445" s="20">
        <f t="shared" si="118"/>
        <v>4.1526499999999995</v>
      </c>
      <c r="K445" s="53">
        <v>0.2075000000000001</v>
      </c>
      <c r="L445" s="20">
        <f t="shared" si="130"/>
        <v>36.474999999999511</v>
      </c>
      <c r="M445" s="20">
        <f t="shared" si="130"/>
        <v>37.474999999999511</v>
      </c>
      <c r="N445" s="20">
        <f t="shared" si="130"/>
        <v>36.974999999999511</v>
      </c>
      <c r="O445" s="20">
        <f>P444+$AO$420</f>
        <v>436.47499999999951</v>
      </c>
      <c r="P445" s="20">
        <f t="shared" si="134"/>
        <v>437.47499999999951</v>
      </c>
      <c r="Q445" s="20">
        <f t="shared" si="128"/>
        <v>436.97499999999951</v>
      </c>
      <c r="R445" s="20">
        <f t="shared" si="131"/>
        <v>439.47499999999951</v>
      </c>
      <c r="S445" s="20">
        <f t="shared" si="132"/>
        <v>440.47499999999951</v>
      </c>
      <c r="T445" s="20">
        <f t="shared" si="133"/>
        <v>439.97499999999951</v>
      </c>
      <c r="U445" s="20">
        <v>439.97499999999951</v>
      </c>
      <c r="V445" s="22">
        <v>6.1967999999999996</v>
      </c>
      <c r="W445" s="22">
        <v>2.2252999999999998</v>
      </c>
      <c r="X445" s="23">
        <v>1.1476266666666668</v>
      </c>
      <c r="Y445" s="23">
        <f t="shared" si="121"/>
        <v>5.0491733333333331</v>
      </c>
      <c r="Z445" s="23">
        <f t="shared" si="122"/>
        <v>1.077673333333333</v>
      </c>
      <c r="AA445" s="22">
        <f t="shared" si="123"/>
        <v>78.656440130133504</v>
      </c>
      <c r="AB445" s="22">
        <f t="shared" si="124"/>
        <v>21.343559869866496</v>
      </c>
      <c r="AC445" s="22">
        <f t="shared" si="125"/>
        <v>1.2158918602177726</v>
      </c>
      <c r="AD445" s="22">
        <f t="shared" si="126"/>
        <v>0.25951460713841357</v>
      </c>
      <c r="AE445" s="24">
        <v>5.5258000000000003</v>
      </c>
      <c r="AF445" s="24">
        <v>6.0397999999999996</v>
      </c>
      <c r="AG445" s="24">
        <v>5.6205999999999996</v>
      </c>
      <c r="AH445" s="25">
        <f>AG445-AE445</f>
        <v>9.4799999999999329E-2</v>
      </c>
      <c r="AI445" s="25">
        <v>81.556420233463143</v>
      </c>
      <c r="AJ445" s="26">
        <v>4.0778210116731577</v>
      </c>
      <c r="AK445" s="25">
        <v>40.778210116731572</v>
      </c>
      <c r="AL445" s="26">
        <v>4.0788140682363903</v>
      </c>
      <c r="AM445" s="17">
        <f t="shared" si="127"/>
        <v>0.5780346820809249</v>
      </c>
      <c r="AN445" s="17"/>
      <c r="AO445" s="27"/>
      <c r="AP445" s="17"/>
      <c r="AQ445" s="17"/>
      <c r="AR445" s="17"/>
      <c r="AS445" s="17"/>
      <c r="AT445" s="17"/>
      <c r="AU445" s="17"/>
      <c r="AV445" s="17"/>
      <c r="AW445" s="17"/>
      <c r="AX445" s="17"/>
      <c r="BB445" s="17"/>
    </row>
    <row r="446" spans="1:54" x14ac:dyDescent="0.2">
      <c r="A446" s="17" t="s">
        <v>41</v>
      </c>
      <c r="B446" s="18" t="s">
        <v>42</v>
      </c>
      <c r="C446" s="18" t="str">
        <f t="shared" si="119"/>
        <v>BI10.11</v>
      </c>
      <c r="D446" s="18" t="str">
        <f t="shared" si="120"/>
        <v>BI10.11_445</v>
      </c>
      <c r="E446" s="17">
        <v>11</v>
      </c>
      <c r="F446" s="19">
        <v>445</v>
      </c>
      <c r="G446" s="20">
        <v>2.1</v>
      </c>
      <c r="H446" s="20">
        <v>2.2999999999999998</v>
      </c>
      <c r="I446" s="20">
        <v>1</v>
      </c>
      <c r="J446" s="20">
        <f t="shared" si="118"/>
        <v>3.7994000000000008</v>
      </c>
      <c r="K446" s="53">
        <v>0.2075000000000001</v>
      </c>
      <c r="L446" s="20">
        <f t="shared" si="130"/>
        <v>37.682499999999493</v>
      </c>
      <c r="M446" s="20">
        <f t="shared" si="130"/>
        <v>38.682499999999493</v>
      </c>
      <c r="N446" s="20">
        <f t="shared" si="130"/>
        <v>38.182499999999493</v>
      </c>
      <c r="O446" s="20">
        <f>P445+$AO$420</f>
        <v>437.68249999999949</v>
      </c>
      <c r="P446" s="20">
        <f t="shared" si="134"/>
        <v>438.68249999999949</v>
      </c>
      <c r="Q446" s="20">
        <f t="shared" si="128"/>
        <v>438.18249999999949</v>
      </c>
      <c r="R446" s="20">
        <f t="shared" si="131"/>
        <v>440.68249999999949</v>
      </c>
      <c r="S446" s="20">
        <f t="shared" si="132"/>
        <v>441.68249999999949</v>
      </c>
      <c r="T446" s="20">
        <f t="shared" si="133"/>
        <v>441.18249999999949</v>
      </c>
      <c r="U446" s="20">
        <v>441.18249999999949</v>
      </c>
      <c r="V446" s="22">
        <v>5.8078000000000003</v>
      </c>
      <c r="W446" s="22">
        <v>2.09</v>
      </c>
      <c r="X446" s="23">
        <v>1.1476266666666668</v>
      </c>
      <c r="Y446" s="23">
        <f t="shared" si="121"/>
        <v>4.6601733333333337</v>
      </c>
      <c r="Z446" s="23">
        <f t="shared" si="122"/>
        <v>0.94237333333333306</v>
      </c>
      <c r="AA446" s="22">
        <f t="shared" si="123"/>
        <v>79.778148452275019</v>
      </c>
      <c r="AB446" s="22">
        <f t="shared" si="124"/>
        <v>20.221851547724981</v>
      </c>
      <c r="AC446" s="22">
        <f t="shared" si="125"/>
        <v>1.2265550700987873</v>
      </c>
      <c r="AD446" s="22">
        <f t="shared" si="126"/>
        <v>0.24803214542647073</v>
      </c>
      <c r="AE446" s="24">
        <v>5.6422999999999996</v>
      </c>
      <c r="AF446" s="24">
        <v>6.1387</v>
      </c>
      <c r="AG446" s="24">
        <v>5.7302999999999997</v>
      </c>
      <c r="AH446" s="25">
        <f>AG446-AE446</f>
        <v>8.8000000000000078E-2</v>
      </c>
      <c r="AI446" s="25">
        <v>82.272360999194191</v>
      </c>
      <c r="AJ446" s="26">
        <v>4.1136180499597099</v>
      </c>
      <c r="AK446" s="25">
        <v>41.136180499597096</v>
      </c>
      <c r="AL446" s="26">
        <v>4.1146024669406795</v>
      </c>
      <c r="AM446" s="17">
        <f t="shared" si="127"/>
        <v>0.5780346820809249</v>
      </c>
      <c r="AN446" s="17"/>
      <c r="AO446" s="27"/>
      <c r="AP446" s="17"/>
      <c r="AQ446" s="17"/>
      <c r="AR446" s="17"/>
      <c r="AS446" s="17"/>
      <c r="AT446" s="17"/>
      <c r="AU446" s="17"/>
      <c r="AV446" s="17"/>
      <c r="AW446" s="17"/>
      <c r="AX446" s="17"/>
      <c r="BB446" s="17"/>
    </row>
    <row r="447" spans="1:54" x14ac:dyDescent="0.2">
      <c r="A447" s="17" t="s">
        <v>41</v>
      </c>
      <c r="B447" s="18" t="s">
        <v>42</v>
      </c>
      <c r="C447" s="18" t="str">
        <f t="shared" si="119"/>
        <v>BI10.11</v>
      </c>
      <c r="D447" s="18" t="str">
        <f t="shared" si="120"/>
        <v>BI10.11_446</v>
      </c>
      <c r="E447" s="17">
        <v>11</v>
      </c>
      <c r="F447" s="19">
        <v>446</v>
      </c>
      <c r="G447" s="20">
        <v>2.1</v>
      </c>
      <c r="H447" s="20">
        <v>2.4500000000000002</v>
      </c>
      <c r="I447" s="20">
        <v>1</v>
      </c>
      <c r="J447" s="20">
        <f t="shared" si="118"/>
        <v>4.0628656250000015</v>
      </c>
      <c r="K447" s="53">
        <v>0.2075000000000001</v>
      </c>
      <c r="L447" s="20">
        <f t="shared" si="130"/>
        <v>38.889999999999475</v>
      </c>
      <c r="M447" s="20">
        <f t="shared" si="130"/>
        <v>39.889999999999475</v>
      </c>
      <c r="N447" s="20">
        <f t="shared" si="130"/>
        <v>39.389999999999475</v>
      </c>
      <c r="O447" s="20">
        <f>P446+$AO$420</f>
        <v>438.88999999999947</v>
      </c>
      <c r="P447" s="20">
        <f t="shared" si="134"/>
        <v>439.88999999999947</v>
      </c>
      <c r="Q447" s="20">
        <f t="shared" si="128"/>
        <v>439.38999999999947</v>
      </c>
      <c r="R447" s="20">
        <f t="shared" si="131"/>
        <v>441.88999999999947</v>
      </c>
      <c r="S447" s="20">
        <f t="shared" si="132"/>
        <v>442.88999999999947</v>
      </c>
      <c r="T447" s="20">
        <f t="shared" si="133"/>
        <v>442.38999999999947</v>
      </c>
      <c r="U447" s="20">
        <v>442.38999999999947</v>
      </c>
      <c r="V447" s="22">
        <v>6.2431000000000001</v>
      </c>
      <c r="W447" s="22">
        <v>2.1219999999999999</v>
      </c>
      <c r="X447" s="23">
        <v>1.1476266666666668</v>
      </c>
      <c r="Y447" s="23">
        <f t="shared" si="121"/>
        <v>5.0954733333333335</v>
      </c>
      <c r="Z447" s="23">
        <f t="shared" si="122"/>
        <v>0.97437333333333309</v>
      </c>
      <c r="AA447" s="22">
        <f t="shared" si="123"/>
        <v>80.877667890846908</v>
      </c>
      <c r="AB447" s="22">
        <f t="shared" si="124"/>
        <v>19.122332109153092</v>
      </c>
      <c r="AC447" s="22">
        <f t="shared" si="125"/>
        <v>1.2541574848007264</v>
      </c>
      <c r="AD447" s="22">
        <f t="shared" si="126"/>
        <v>0.23982415941539606</v>
      </c>
      <c r="AE447" s="24">
        <v>5.1772999999999998</v>
      </c>
      <c r="AF447" s="24">
        <v>5.6170999999999998</v>
      </c>
      <c r="AG447" s="24">
        <v>5.2244999999999999</v>
      </c>
      <c r="AH447" s="25">
        <f>AG447-AE447</f>
        <v>4.7200000000000131E-2</v>
      </c>
      <c r="AI447" s="25">
        <v>89.267849022282832</v>
      </c>
      <c r="AJ447" s="26">
        <v>4.4633924511141414</v>
      </c>
      <c r="AK447" s="25">
        <v>44.633924511141416</v>
      </c>
      <c r="AL447" s="26">
        <v>4.4642997404590457</v>
      </c>
      <c r="AM447" s="17">
        <f t="shared" si="127"/>
        <v>0.5780346820809249</v>
      </c>
      <c r="AN447" s="17"/>
      <c r="AO447" s="27"/>
      <c r="AP447" s="17"/>
      <c r="AQ447" s="17"/>
      <c r="AR447" s="17"/>
      <c r="AS447" s="17"/>
      <c r="AT447" s="17"/>
      <c r="AU447" s="17"/>
      <c r="AV447" s="17"/>
      <c r="AW447" s="17"/>
      <c r="AX447" s="17"/>
      <c r="BB447" s="17"/>
    </row>
    <row r="448" spans="1:54" x14ac:dyDescent="0.2">
      <c r="A448" s="17" t="s">
        <v>41</v>
      </c>
      <c r="B448" s="18" t="s">
        <v>42</v>
      </c>
      <c r="C448" s="18" t="str">
        <f t="shared" si="119"/>
        <v>BI10.11</v>
      </c>
      <c r="D448" s="18" t="str">
        <f t="shared" si="120"/>
        <v>BI10.11_447</v>
      </c>
      <c r="E448" s="17">
        <v>11</v>
      </c>
      <c r="F448" s="19">
        <v>447</v>
      </c>
      <c r="G448" s="20">
        <v>2</v>
      </c>
      <c r="H448" s="20">
        <v>2.2999999999999998</v>
      </c>
      <c r="I448" s="20">
        <v>1.1499999999999999</v>
      </c>
      <c r="J448" s="20">
        <f t="shared" si="118"/>
        <v>4.1729618749999995</v>
      </c>
      <c r="K448" s="53">
        <v>0.2075000000000001</v>
      </c>
      <c r="L448" s="20">
        <f t="shared" si="130"/>
        <v>40.097499999999457</v>
      </c>
      <c r="M448" s="20">
        <f t="shared" si="130"/>
        <v>41.247499999999434</v>
      </c>
      <c r="N448" s="20">
        <f t="shared" si="130"/>
        <v>40.672499999999445</v>
      </c>
      <c r="O448" s="20">
        <f>P447+$AO$420</f>
        <v>440.09749999999946</v>
      </c>
      <c r="P448" s="20">
        <f t="shared" si="134"/>
        <v>441.24749999999943</v>
      </c>
      <c r="Q448" s="20">
        <f t="shared" si="128"/>
        <v>440.67249999999945</v>
      </c>
      <c r="R448" s="20">
        <f t="shared" si="131"/>
        <v>443.09749999999946</v>
      </c>
      <c r="S448" s="20">
        <f t="shared" si="132"/>
        <v>444.24749999999943</v>
      </c>
      <c r="T448" s="20">
        <f t="shared" si="133"/>
        <v>443.67249999999945</v>
      </c>
      <c r="U448" s="20">
        <v>443.67249999999945</v>
      </c>
      <c r="V448" s="22">
        <v>5.3715999999999999</v>
      </c>
      <c r="W448" s="22">
        <v>2.4512</v>
      </c>
      <c r="X448" s="23">
        <v>1.1476266666666668</v>
      </c>
      <c r="Y448" s="23">
        <f t="shared" si="121"/>
        <v>4.2239733333333334</v>
      </c>
      <c r="Z448" s="23">
        <f t="shared" si="122"/>
        <v>1.3035733333333333</v>
      </c>
      <c r="AA448" s="22">
        <f t="shared" si="123"/>
        <v>69.138694057411982</v>
      </c>
      <c r="AB448" s="22">
        <f t="shared" si="124"/>
        <v>30.861305942588018</v>
      </c>
      <c r="AC448" s="22">
        <f t="shared" si="125"/>
        <v>1.0122242809451343</v>
      </c>
      <c r="AD448" s="22">
        <f t="shared" si="126"/>
        <v>0.31238563216763954</v>
      </c>
      <c r="AE448" s="24">
        <v>5.3864999999999998</v>
      </c>
      <c r="AF448" s="24">
        <v>5.7270000000000003</v>
      </c>
      <c r="AG448" s="24">
        <v>5.52</v>
      </c>
      <c r="AH448" s="25">
        <f>AG448-AE448</f>
        <v>0.13349999999999973</v>
      </c>
      <c r="AI448" s="25">
        <v>60.79295154185035</v>
      </c>
      <c r="AJ448" s="26">
        <v>3.0396475770925178</v>
      </c>
      <c r="AK448" s="25">
        <v>30.396475770925175</v>
      </c>
      <c r="AL448" s="26">
        <v>3.0409796765063088</v>
      </c>
      <c r="AM448" s="17">
        <f t="shared" si="127"/>
        <v>0.5780346820809249</v>
      </c>
      <c r="AN448" s="17"/>
      <c r="AO448" s="27"/>
      <c r="AP448" s="17"/>
      <c r="AQ448" s="17"/>
      <c r="AR448" s="17"/>
      <c r="AS448" s="17"/>
      <c r="AT448" s="17"/>
      <c r="AU448" s="17"/>
      <c r="AV448" s="17"/>
      <c r="AW448" s="17"/>
      <c r="AX448" s="17"/>
      <c r="BB448" s="17"/>
    </row>
    <row r="449" spans="1:54" x14ac:dyDescent="0.2">
      <c r="A449" s="17" t="s">
        <v>41</v>
      </c>
      <c r="B449" s="18" t="s">
        <v>42</v>
      </c>
      <c r="C449" s="18" t="str">
        <f t="shared" si="119"/>
        <v>BI10.11</v>
      </c>
      <c r="D449" s="18" t="str">
        <f t="shared" si="120"/>
        <v>BI10.11_448</v>
      </c>
      <c r="E449" s="17">
        <v>11</v>
      </c>
      <c r="F449" s="19">
        <v>448</v>
      </c>
      <c r="G449" s="20">
        <v>2.2000000000000002</v>
      </c>
      <c r="H449" s="20">
        <v>2.35</v>
      </c>
      <c r="I449" s="20">
        <v>1.1000000000000001</v>
      </c>
      <c r="J449" s="20">
        <f t="shared" si="118"/>
        <v>4.4691521875000015</v>
      </c>
      <c r="K449" s="53">
        <v>0.2075000000000001</v>
      </c>
      <c r="L449" s="20">
        <f t="shared" si="130"/>
        <v>41.454999999999416</v>
      </c>
      <c r="M449" s="20">
        <f t="shared" si="130"/>
        <v>42.554999999999438</v>
      </c>
      <c r="N449" s="20">
        <f t="shared" si="130"/>
        <v>42.004999999999427</v>
      </c>
      <c r="O449" s="20">
        <f>P448+$AO$420</f>
        <v>441.45499999999942</v>
      </c>
      <c r="P449" s="20">
        <f t="shared" si="134"/>
        <v>442.55499999999944</v>
      </c>
      <c r="Q449" s="20">
        <f t="shared" si="128"/>
        <v>442.00499999999943</v>
      </c>
      <c r="R449" s="20">
        <f t="shared" si="131"/>
        <v>444.45499999999942</v>
      </c>
      <c r="S449" s="20">
        <f t="shared" si="132"/>
        <v>445.55499999999944</v>
      </c>
      <c r="T449" s="20">
        <f t="shared" si="133"/>
        <v>445.00499999999943</v>
      </c>
      <c r="U449" s="20">
        <v>445.00499999999943</v>
      </c>
      <c r="V449" s="22">
        <v>6.1383000000000001</v>
      </c>
      <c r="W449" s="22">
        <v>2.4741</v>
      </c>
      <c r="X449" s="23">
        <v>1.1476266666666668</v>
      </c>
      <c r="Y449" s="23">
        <f t="shared" si="121"/>
        <v>4.9906733333333335</v>
      </c>
      <c r="Z449" s="23">
        <f t="shared" si="122"/>
        <v>1.3264733333333332</v>
      </c>
      <c r="AA449" s="22">
        <f t="shared" si="123"/>
        <v>73.420954553894532</v>
      </c>
      <c r="AB449" s="22">
        <f t="shared" si="124"/>
        <v>26.579045446105468</v>
      </c>
      <c r="AC449" s="22">
        <f t="shared" si="125"/>
        <v>1.1166935302163128</v>
      </c>
      <c r="AD449" s="22">
        <f t="shared" si="126"/>
        <v>0.29680648088991324</v>
      </c>
      <c r="AE449" s="24">
        <v>5.6410999999999998</v>
      </c>
      <c r="AF449" s="24">
        <v>6.1264000000000003</v>
      </c>
      <c r="AG449" s="24">
        <v>5.7199</v>
      </c>
      <c r="AH449" s="25">
        <f>AG449-AE449</f>
        <v>7.8800000000000203E-2</v>
      </c>
      <c r="AI449" s="25">
        <v>83.762621059138652</v>
      </c>
      <c r="AJ449" s="26">
        <v>4.1881310529569324</v>
      </c>
      <c r="AK449" s="25">
        <v>41.881310529569326</v>
      </c>
      <c r="AL449" s="26">
        <v>4.189097959793032</v>
      </c>
      <c r="AM449" s="17">
        <f t="shared" si="127"/>
        <v>0.5780346820809249</v>
      </c>
      <c r="AN449" s="17"/>
      <c r="AO449" s="27"/>
      <c r="AP449" s="17"/>
      <c r="AQ449" s="17"/>
      <c r="AR449" s="17"/>
      <c r="AS449" s="17"/>
      <c r="AT449" s="17"/>
      <c r="AU449" s="17"/>
      <c r="AV449" s="17"/>
      <c r="AW449" s="17"/>
      <c r="AX449" s="17"/>
      <c r="BB449" s="17"/>
    </row>
    <row r="450" spans="1:54" x14ac:dyDescent="0.2">
      <c r="A450" s="17" t="s">
        <v>41</v>
      </c>
      <c r="B450" s="18" t="s">
        <v>42</v>
      </c>
      <c r="C450" s="18" t="str">
        <f t="shared" si="119"/>
        <v>BI10.11</v>
      </c>
      <c r="D450" s="18" t="str">
        <f t="shared" si="120"/>
        <v>BI10.11_449</v>
      </c>
      <c r="E450" s="17">
        <v>11</v>
      </c>
      <c r="F450" s="19">
        <v>449</v>
      </c>
      <c r="G450" s="20">
        <v>2.1</v>
      </c>
      <c r="H450" s="20">
        <v>2.4</v>
      </c>
      <c r="I450" s="20">
        <v>1.05</v>
      </c>
      <c r="J450" s="20">
        <f t="shared" ref="J450:J513" si="135">(AVERAGE(G450:H450)*(AVERAGE(G450:H450)*3.14/4*I450))</f>
        <v>4.1727656250000003</v>
      </c>
      <c r="K450" s="53">
        <v>0.2075000000000001</v>
      </c>
      <c r="L450" s="20">
        <f t="shared" si="130"/>
        <v>42.76249999999942</v>
      </c>
      <c r="M450" s="20">
        <f t="shared" si="130"/>
        <v>43.812499999999432</v>
      </c>
      <c r="N450" s="20">
        <f t="shared" si="130"/>
        <v>43.287499999999454</v>
      </c>
      <c r="O450" s="20">
        <f>P449+$AO$420</f>
        <v>442.76249999999942</v>
      </c>
      <c r="P450" s="20">
        <f t="shared" si="134"/>
        <v>443.81249999999943</v>
      </c>
      <c r="Q450" s="20">
        <f t="shared" si="128"/>
        <v>443.28749999999945</v>
      </c>
      <c r="R450" s="20">
        <f t="shared" si="131"/>
        <v>445.76249999999942</v>
      </c>
      <c r="S450" s="20">
        <f t="shared" si="132"/>
        <v>446.81249999999943</v>
      </c>
      <c r="T450" s="20">
        <f t="shared" si="133"/>
        <v>446.28749999999945</v>
      </c>
      <c r="U450" s="20">
        <v>446.28749999999945</v>
      </c>
      <c r="V450" s="22">
        <v>5.8863000000000003</v>
      </c>
      <c r="W450" s="22">
        <v>2.0929000000000002</v>
      </c>
      <c r="X450" s="23">
        <v>1.1476266666666668</v>
      </c>
      <c r="Y450" s="23">
        <f t="shared" si="121"/>
        <v>4.7386733333333337</v>
      </c>
      <c r="Z450" s="23">
        <f t="shared" si="122"/>
        <v>0.94527333333333341</v>
      </c>
      <c r="AA450" s="22">
        <f t="shared" si="123"/>
        <v>80.051941401320477</v>
      </c>
      <c r="AB450" s="22">
        <f t="shared" si="124"/>
        <v>19.948058598679523</v>
      </c>
      <c r="AC450" s="22">
        <f t="shared" si="125"/>
        <v>1.1356193371951806</v>
      </c>
      <c r="AD450" s="22">
        <f t="shared" si="126"/>
        <v>0.22653401084163058</v>
      </c>
      <c r="AE450" s="24">
        <v>5.5884999999999998</v>
      </c>
      <c r="AF450" s="24">
        <v>6.1029</v>
      </c>
      <c r="AG450" s="24">
        <v>5.6592000000000002</v>
      </c>
      <c r="AH450" s="25">
        <f>AG450-AE450</f>
        <v>7.0700000000000429E-2</v>
      </c>
      <c r="AI450" s="25">
        <v>86.255832037324964</v>
      </c>
      <c r="AJ450" s="26">
        <v>4.3127916018662482</v>
      </c>
      <c r="AK450" s="25">
        <v>43.127916018662482</v>
      </c>
      <c r="AL450" s="26">
        <v>4.313730566589439</v>
      </c>
      <c r="AM450" s="17">
        <f t="shared" si="127"/>
        <v>0.5780346820809249</v>
      </c>
      <c r="AN450" s="17"/>
      <c r="AO450" s="27"/>
      <c r="AP450" s="17"/>
      <c r="AQ450" s="17"/>
      <c r="AR450" s="17"/>
      <c r="AS450" s="17"/>
      <c r="AT450" s="17"/>
      <c r="AU450" s="17"/>
      <c r="AV450" s="17"/>
      <c r="AW450" s="17"/>
      <c r="AX450" s="17"/>
      <c r="BB450" s="17"/>
    </row>
    <row r="451" spans="1:54" x14ac:dyDescent="0.2">
      <c r="A451" s="17" t="s">
        <v>41</v>
      </c>
      <c r="B451" s="18" t="s">
        <v>42</v>
      </c>
      <c r="C451" s="18" t="str">
        <f t="shared" ref="C451:C514" si="136">B451&amp;"."&amp;E451</f>
        <v>BI10.11</v>
      </c>
      <c r="D451" s="18" t="str">
        <f t="shared" ref="D451:D514" si="137">C451&amp;"_"&amp;F451</f>
        <v>BI10.11_450</v>
      </c>
      <c r="E451" s="17">
        <v>11</v>
      </c>
      <c r="F451" s="19">
        <v>450</v>
      </c>
      <c r="G451" s="20">
        <v>2.1</v>
      </c>
      <c r="H451" s="20">
        <v>2.35</v>
      </c>
      <c r="I451" s="20">
        <v>1</v>
      </c>
      <c r="J451" s="20">
        <f t="shared" si="135"/>
        <v>3.8862406250000006</v>
      </c>
      <c r="K451" s="53">
        <v>0.2075000000000001</v>
      </c>
      <c r="L451" s="20">
        <f t="shared" si="130"/>
        <v>44.019999999999413</v>
      </c>
      <c r="M451" s="20">
        <f t="shared" si="130"/>
        <v>45.019999999999413</v>
      </c>
      <c r="N451" s="20">
        <f t="shared" si="130"/>
        <v>44.519999999999413</v>
      </c>
      <c r="O451" s="20">
        <f>P450+$AO$420</f>
        <v>444.01999999999941</v>
      </c>
      <c r="P451" s="20">
        <f t="shared" si="134"/>
        <v>445.01999999999941</v>
      </c>
      <c r="Q451" s="20">
        <f t="shared" si="128"/>
        <v>444.51999999999941</v>
      </c>
      <c r="R451" s="20">
        <f t="shared" si="131"/>
        <v>447.01999999999941</v>
      </c>
      <c r="S451" s="20">
        <f t="shared" si="132"/>
        <v>448.01999999999941</v>
      </c>
      <c r="T451" s="20">
        <f t="shared" si="133"/>
        <v>447.51999999999941</v>
      </c>
      <c r="U451" s="20">
        <v>447.51999999999941</v>
      </c>
      <c r="V451" s="22">
        <v>5.9294000000000002</v>
      </c>
      <c r="W451" s="22">
        <v>2.0647000000000002</v>
      </c>
      <c r="X451" s="23">
        <v>1.1476266666666668</v>
      </c>
      <c r="Y451" s="23">
        <f t="shared" ref="Y451:Y514" si="138">V451-X451</f>
        <v>4.7817733333333337</v>
      </c>
      <c r="Z451" s="23">
        <f t="shared" ref="Z451:Z514" si="139">W451-X451</f>
        <v>0.91707333333333341</v>
      </c>
      <c r="AA451" s="22">
        <f t="shared" ref="AA451:AA514" si="140">((Y451-Z451)/Y451)*100</f>
        <v>80.821480454949764</v>
      </c>
      <c r="AB451" s="22">
        <f t="shared" ref="AB451:AB514" si="141">100-AA451</f>
        <v>19.178519545050236</v>
      </c>
      <c r="AC451" s="22">
        <f t="shared" ref="AC451:AC514" si="142">(V451-X451)/J451</f>
        <v>1.2304367626061068</v>
      </c>
      <c r="AD451" s="22">
        <f t="shared" ref="AD451:AD514" si="143">(W451-X451)/J451</f>
        <v>0.23597955500589551</v>
      </c>
      <c r="AE451" s="24">
        <v>5.0590999999999999</v>
      </c>
      <c r="AF451" s="24">
        <v>5.5639000000000003</v>
      </c>
      <c r="AG451" s="24">
        <v>5.1205999999999996</v>
      </c>
      <c r="AH451" s="25">
        <f>AG451-AE451</f>
        <v>6.1499999999999666E-2</v>
      </c>
      <c r="AI451" s="25">
        <v>87.816957210776621</v>
      </c>
      <c r="AJ451" s="26">
        <v>4.3908478605388312</v>
      </c>
      <c r="AK451" s="25">
        <v>43.908478605388311</v>
      </c>
      <c r="AL451" s="26">
        <v>4.391770136789769</v>
      </c>
      <c r="AM451" s="17">
        <f t="shared" ref="AM451:AM514" si="144">1/1.73</f>
        <v>0.5780346820809249</v>
      </c>
      <c r="AN451" s="17"/>
      <c r="AO451" s="27"/>
      <c r="AP451" s="17"/>
      <c r="AQ451" s="17"/>
      <c r="AR451" s="17"/>
      <c r="AS451" s="17"/>
      <c r="AT451" s="17"/>
      <c r="AU451" s="17"/>
      <c r="AV451" s="17"/>
      <c r="AW451" s="17"/>
      <c r="AX451" s="17"/>
      <c r="BB451" s="17"/>
    </row>
    <row r="452" spans="1:54" x14ac:dyDescent="0.2">
      <c r="A452" s="17" t="s">
        <v>41</v>
      </c>
      <c r="B452" s="18" t="s">
        <v>42</v>
      </c>
      <c r="C452" s="18" t="str">
        <f t="shared" si="136"/>
        <v>BI10.11</v>
      </c>
      <c r="D452" s="18" t="str">
        <f t="shared" si="137"/>
        <v>BI10.11_451</v>
      </c>
      <c r="E452" s="17">
        <v>11</v>
      </c>
      <c r="F452" s="19">
        <v>451</v>
      </c>
      <c r="G452" s="20">
        <v>2.2000000000000002</v>
      </c>
      <c r="H452" s="20">
        <v>2.2000000000000002</v>
      </c>
      <c r="I452" s="20">
        <v>1</v>
      </c>
      <c r="J452" s="20">
        <f t="shared" si="135"/>
        <v>3.7994000000000008</v>
      </c>
      <c r="K452" s="53">
        <v>0.2075000000000001</v>
      </c>
      <c r="L452" s="20">
        <f t="shared" si="130"/>
        <v>45.227499999999395</v>
      </c>
      <c r="M452" s="20">
        <f t="shared" si="130"/>
        <v>46.227499999999395</v>
      </c>
      <c r="N452" s="20">
        <f t="shared" si="130"/>
        <v>45.727499999999395</v>
      </c>
      <c r="O452" s="20">
        <f>P451+$AO$420</f>
        <v>445.2274999999994</v>
      </c>
      <c r="P452" s="20">
        <f t="shared" si="134"/>
        <v>446.2274999999994</v>
      </c>
      <c r="Q452" s="20">
        <f t="shared" ref="Q452:Q515" si="145">O452+((P452-O452)/2)</f>
        <v>445.7274999999994</v>
      </c>
      <c r="R452" s="20">
        <f t="shared" si="131"/>
        <v>448.2274999999994</v>
      </c>
      <c r="S452" s="20">
        <f t="shared" si="132"/>
        <v>449.2274999999994</v>
      </c>
      <c r="T452" s="20">
        <f t="shared" si="133"/>
        <v>448.7274999999994</v>
      </c>
      <c r="U452" s="20">
        <v>448.7274999999994</v>
      </c>
      <c r="V452" s="22">
        <v>5.0911</v>
      </c>
      <c r="W452" s="22">
        <v>2.0615999999999999</v>
      </c>
      <c r="X452" s="23">
        <v>1.1476266666666668</v>
      </c>
      <c r="Y452" s="23">
        <f t="shared" si="138"/>
        <v>3.9434733333333334</v>
      </c>
      <c r="Z452" s="23">
        <f t="shared" si="139"/>
        <v>0.91397333333333308</v>
      </c>
      <c r="AA452" s="22">
        <f t="shared" si="140"/>
        <v>76.823138992529437</v>
      </c>
      <c r="AB452" s="22">
        <f t="shared" si="141"/>
        <v>23.176861007470563</v>
      </c>
      <c r="AC452" s="22">
        <f t="shared" si="142"/>
        <v>1.0379200224596865</v>
      </c>
      <c r="AD452" s="22">
        <f t="shared" si="143"/>
        <v>0.2405572809741888</v>
      </c>
      <c r="AE452" s="24">
        <v>4.9821999999999997</v>
      </c>
      <c r="AF452" s="24">
        <v>5.4108000000000001</v>
      </c>
      <c r="AG452" s="24">
        <v>5.0839999999999996</v>
      </c>
      <c r="AH452" s="25">
        <f>AG452-AE452</f>
        <v>0.10179999999999989</v>
      </c>
      <c r="AI452" s="25">
        <v>76.248250116658937</v>
      </c>
      <c r="AJ452" s="26">
        <v>3.8124125058329472</v>
      </c>
      <c r="AK452" s="25">
        <v>38.124125058329469</v>
      </c>
      <c r="AL452" s="26">
        <v>3.8134746773292534</v>
      </c>
      <c r="AM452" s="17">
        <f t="shared" si="144"/>
        <v>0.5780346820809249</v>
      </c>
      <c r="AN452" s="17"/>
      <c r="AO452" s="27"/>
      <c r="AP452" s="17"/>
      <c r="AQ452" s="17"/>
      <c r="AR452" s="17"/>
      <c r="AS452" s="17"/>
      <c r="AT452" s="17"/>
      <c r="AU452" s="17"/>
      <c r="AV452" s="17"/>
      <c r="AW452" s="17"/>
      <c r="AX452" s="17"/>
      <c r="BB452" s="17"/>
    </row>
    <row r="453" spans="1:54" x14ac:dyDescent="0.2">
      <c r="A453" s="17" t="s">
        <v>41</v>
      </c>
      <c r="B453" s="18" t="s">
        <v>42</v>
      </c>
      <c r="C453" s="18" t="str">
        <f t="shared" si="136"/>
        <v>BI10.11</v>
      </c>
      <c r="D453" s="18" t="str">
        <f t="shared" si="137"/>
        <v>BI10.11_452</v>
      </c>
      <c r="E453" s="17">
        <v>11</v>
      </c>
      <c r="F453" s="19">
        <v>452</v>
      </c>
      <c r="G453" s="20">
        <v>2.2000000000000002</v>
      </c>
      <c r="H453" s="20">
        <v>2.2999999999999998</v>
      </c>
      <c r="I453" s="20">
        <v>1</v>
      </c>
      <c r="J453" s="20">
        <f t="shared" si="135"/>
        <v>3.9740625000000001</v>
      </c>
      <c r="K453" s="53">
        <v>0.2075000000000001</v>
      </c>
      <c r="L453" s="20">
        <f t="shared" si="130"/>
        <v>46.434999999999377</v>
      </c>
      <c r="M453" s="20">
        <f t="shared" si="130"/>
        <v>47.434999999999377</v>
      </c>
      <c r="N453" s="20">
        <f t="shared" si="130"/>
        <v>46.934999999999377</v>
      </c>
      <c r="O453" s="20">
        <f>P452+$AO$420</f>
        <v>446.43499999999938</v>
      </c>
      <c r="P453" s="20">
        <f t="shared" si="134"/>
        <v>447.43499999999938</v>
      </c>
      <c r="Q453" s="20">
        <f t="shared" si="145"/>
        <v>446.93499999999938</v>
      </c>
      <c r="R453" s="20">
        <f t="shared" si="131"/>
        <v>449.43499999999938</v>
      </c>
      <c r="S453" s="20">
        <f t="shared" si="132"/>
        <v>450.43499999999938</v>
      </c>
      <c r="T453" s="20">
        <f t="shared" si="133"/>
        <v>449.93499999999938</v>
      </c>
      <c r="U453" s="20">
        <v>449.93499999999938</v>
      </c>
      <c r="V453" s="22">
        <v>6.1372</v>
      </c>
      <c r="W453" s="22">
        <v>2.0133000000000001</v>
      </c>
      <c r="X453" s="23">
        <v>1.1476266666666668</v>
      </c>
      <c r="Y453" s="23">
        <f t="shared" si="138"/>
        <v>4.9895733333333334</v>
      </c>
      <c r="Z453" s="23">
        <f t="shared" si="139"/>
        <v>0.86567333333333329</v>
      </c>
      <c r="AA453" s="22">
        <f t="shared" si="140"/>
        <v>82.650353537242992</v>
      </c>
      <c r="AB453" s="22">
        <f t="shared" si="141"/>
        <v>17.349646462757008</v>
      </c>
      <c r="AC453" s="22">
        <f t="shared" si="142"/>
        <v>1.2555346910959084</v>
      </c>
      <c r="AD453" s="22">
        <f t="shared" si="143"/>
        <v>0.21783083012240831</v>
      </c>
      <c r="AE453" s="24">
        <v>5.7374000000000001</v>
      </c>
      <c r="AF453" s="24">
        <v>6.1349999999999998</v>
      </c>
      <c r="AG453" s="24">
        <v>5.798</v>
      </c>
      <c r="AH453" s="25">
        <f>AG453-AE453</f>
        <v>6.0599999999999987E-2</v>
      </c>
      <c r="AI453" s="25">
        <v>84.758551307847071</v>
      </c>
      <c r="AJ453" s="26">
        <v>4.2379275653923534</v>
      </c>
      <c r="AK453" s="25">
        <v>42.379275653923536</v>
      </c>
      <c r="AL453" s="26">
        <v>4.2388831134524523</v>
      </c>
      <c r="AM453" s="17">
        <f t="shared" si="144"/>
        <v>0.5780346820809249</v>
      </c>
      <c r="AN453" s="17"/>
      <c r="AO453" s="27"/>
      <c r="AP453" s="17"/>
      <c r="AQ453" s="17"/>
      <c r="AR453" s="17"/>
      <c r="AS453" s="17"/>
      <c r="AT453" s="17"/>
      <c r="AU453" s="17"/>
      <c r="AV453" s="17"/>
      <c r="AW453" s="17"/>
      <c r="AX453" s="17"/>
      <c r="BB453" s="17"/>
    </row>
    <row r="454" spans="1:54" x14ac:dyDescent="0.2">
      <c r="A454" s="17" t="s">
        <v>41</v>
      </c>
      <c r="B454" s="18" t="s">
        <v>42</v>
      </c>
      <c r="C454" s="18" t="str">
        <f t="shared" si="136"/>
        <v>BI10.11</v>
      </c>
      <c r="D454" s="18" t="str">
        <f t="shared" si="137"/>
        <v>BI10.11_453</v>
      </c>
      <c r="E454" s="17">
        <v>11</v>
      </c>
      <c r="F454" s="19">
        <v>453</v>
      </c>
      <c r="G454" s="20">
        <v>2.4500000000000002</v>
      </c>
      <c r="H454" s="20">
        <v>2.2999999999999998</v>
      </c>
      <c r="I454" s="20">
        <v>1</v>
      </c>
      <c r="J454" s="20">
        <f t="shared" si="135"/>
        <v>4.4278906249999999</v>
      </c>
      <c r="K454" s="53">
        <v>0.2075000000000001</v>
      </c>
      <c r="L454" s="20">
        <f t="shared" si="130"/>
        <v>47.642499999999359</v>
      </c>
      <c r="M454" s="20">
        <f t="shared" si="130"/>
        <v>48.642499999999359</v>
      </c>
      <c r="N454" s="20">
        <f t="shared" si="130"/>
        <v>48.142499999999359</v>
      </c>
      <c r="O454" s="20">
        <f>P453+$AO$420</f>
        <v>447.64249999999936</v>
      </c>
      <c r="P454" s="20">
        <f t="shared" si="134"/>
        <v>448.64249999999936</v>
      </c>
      <c r="Q454" s="20">
        <f t="shared" si="145"/>
        <v>448.14249999999936</v>
      </c>
      <c r="R454" s="20">
        <f t="shared" si="131"/>
        <v>450.64249999999936</v>
      </c>
      <c r="S454" s="20">
        <f t="shared" si="132"/>
        <v>451.64249999999936</v>
      </c>
      <c r="T454" s="20">
        <f t="shared" si="133"/>
        <v>451.14249999999936</v>
      </c>
      <c r="U454" s="20">
        <v>451.14249999999936</v>
      </c>
      <c r="V454" s="22">
        <v>6.3025000000000002</v>
      </c>
      <c r="W454" s="22">
        <v>1.9947999999999999</v>
      </c>
      <c r="X454" s="23">
        <v>1.1476266666666668</v>
      </c>
      <c r="Y454" s="23">
        <f t="shared" si="138"/>
        <v>5.1548733333333336</v>
      </c>
      <c r="Z454" s="23">
        <f t="shared" si="139"/>
        <v>0.84717333333333311</v>
      </c>
      <c r="AA454" s="22">
        <f t="shared" si="140"/>
        <v>83.565583894075644</v>
      </c>
      <c r="AB454" s="22">
        <f t="shared" si="141"/>
        <v>16.434416105924356</v>
      </c>
      <c r="AC454" s="22">
        <f t="shared" si="142"/>
        <v>1.1641826255212286</v>
      </c>
      <c r="AD454" s="22">
        <f t="shared" si="143"/>
        <v>0.19132661691103384</v>
      </c>
      <c r="AE454" s="24">
        <v>5.4414999999999996</v>
      </c>
      <c r="AF454" s="24">
        <v>5.7240000000000002</v>
      </c>
      <c r="AG454" s="24">
        <v>5.4695</v>
      </c>
      <c r="AH454" s="25">
        <f>AG454-AE454</f>
        <v>2.8000000000000469E-2</v>
      </c>
      <c r="AI454" s="25">
        <v>90.088495575221089</v>
      </c>
      <c r="AJ454" s="26">
        <v>4.504424778761055</v>
      </c>
      <c r="AK454" s="25">
        <v>45.044247787610544</v>
      </c>
      <c r="AL454" s="26">
        <v>4.5053238049574835</v>
      </c>
      <c r="AM454" s="17">
        <f t="shared" si="144"/>
        <v>0.5780346820809249</v>
      </c>
      <c r="AN454" s="17"/>
      <c r="AO454" s="27"/>
      <c r="AP454" s="17"/>
      <c r="AQ454" s="17"/>
      <c r="AR454" s="17"/>
      <c r="AS454" s="17"/>
      <c r="AT454" s="17"/>
      <c r="AU454" s="17"/>
      <c r="AV454" s="17"/>
      <c r="AW454" s="17"/>
      <c r="AX454" s="17"/>
      <c r="BB454" s="17"/>
    </row>
    <row r="455" spans="1:54" x14ac:dyDescent="0.2">
      <c r="A455" s="17" t="s">
        <v>41</v>
      </c>
      <c r="B455" s="18" t="s">
        <v>42</v>
      </c>
      <c r="C455" s="18" t="str">
        <f t="shared" si="136"/>
        <v>BI10.11</v>
      </c>
      <c r="D455" s="18" t="str">
        <f t="shared" si="137"/>
        <v>BI10.11_454</v>
      </c>
      <c r="E455" s="17">
        <v>11</v>
      </c>
      <c r="F455" s="19">
        <v>454</v>
      </c>
      <c r="G455" s="20">
        <v>2.1</v>
      </c>
      <c r="H455" s="20">
        <v>2.4</v>
      </c>
      <c r="I455" s="20">
        <v>1.1499999999999999</v>
      </c>
      <c r="J455" s="20">
        <f t="shared" si="135"/>
        <v>4.5701718750000007</v>
      </c>
      <c r="K455" s="53">
        <v>0.2075000000000001</v>
      </c>
      <c r="L455" s="20">
        <f t="shared" si="130"/>
        <v>48.849999999999341</v>
      </c>
      <c r="M455" s="20">
        <f t="shared" si="130"/>
        <v>49.999999999999318</v>
      </c>
      <c r="N455" s="20">
        <f t="shared" si="130"/>
        <v>49.424999999999329</v>
      </c>
      <c r="O455" s="20">
        <f>P454+$AO$420</f>
        <v>448.84999999999934</v>
      </c>
      <c r="P455" s="20">
        <f t="shared" si="134"/>
        <v>449.99999999999932</v>
      </c>
      <c r="Q455" s="20">
        <f t="shared" si="145"/>
        <v>449.42499999999933</v>
      </c>
      <c r="R455" s="20">
        <f t="shared" si="131"/>
        <v>451.84999999999934</v>
      </c>
      <c r="S455" s="20">
        <f t="shared" si="132"/>
        <v>452.99999999999932</v>
      </c>
      <c r="T455" s="20">
        <f t="shared" si="133"/>
        <v>452.42499999999933</v>
      </c>
      <c r="U455" s="20">
        <v>452.42499999999933</v>
      </c>
      <c r="V455" s="22">
        <v>6.6036000000000001</v>
      </c>
      <c r="W455" s="22">
        <v>1.8271999999999999</v>
      </c>
      <c r="X455" s="23">
        <v>1.1476266666666668</v>
      </c>
      <c r="Y455" s="23">
        <f t="shared" si="138"/>
        <v>5.4559733333333336</v>
      </c>
      <c r="Z455" s="23">
        <f t="shared" si="139"/>
        <v>0.67957333333333314</v>
      </c>
      <c r="AA455" s="22">
        <f t="shared" si="140"/>
        <v>87.544416150616584</v>
      </c>
      <c r="AB455" s="22">
        <f t="shared" si="141"/>
        <v>12.455583849383416</v>
      </c>
      <c r="AC455" s="22">
        <f t="shared" si="142"/>
        <v>1.1938223512290405</v>
      </c>
      <c r="AD455" s="22">
        <f t="shared" si="143"/>
        <v>0.14869754397001383</v>
      </c>
      <c r="AE455" s="24">
        <v>5.4507000000000003</v>
      </c>
      <c r="AF455" s="24">
        <v>5.8076999999999996</v>
      </c>
      <c r="AG455" s="24">
        <v>5.4880000000000004</v>
      </c>
      <c r="AH455" s="25">
        <f>AG455-AE455</f>
        <v>3.7300000000000111E-2</v>
      </c>
      <c r="AI455" s="25">
        <v>89.551820728291261</v>
      </c>
      <c r="AJ455" s="26">
        <v>4.4775910364145632</v>
      </c>
      <c r="AK455" s="25">
        <v>44.775910364145631</v>
      </c>
      <c r="AL455" s="26">
        <v>4.4784954492976814</v>
      </c>
      <c r="AM455" s="17">
        <f t="shared" si="144"/>
        <v>0.5780346820809249</v>
      </c>
      <c r="AN455" s="17"/>
      <c r="AO455" s="27"/>
      <c r="AP455" s="17"/>
      <c r="AQ455" s="17"/>
      <c r="AR455" s="17"/>
      <c r="AS455" s="17"/>
      <c r="AT455" s="17"/>
      <c r="AU455" s="17"/>
      <c r="AV455" s="17"/>
      <c r="AW455" s="17"/>
      <c r="AX455" s="17"/>
      <c r="BB455" s="17"/>
    </row>
    <row r="456" spans="1:54" x14ac:dyDescent="0.2">
      <c r="A456" s="17" t="s">
        <v>41</v>
      </c>
      <c r="B456" s="18" t="s">
        <v>42</v>
      </c>
      <c r="C456" s="18" t="str">
        <f t="shared" si="136"/>
        <v>BI10.12</v>
      </c>
      <c r="D456" s="18" t="str">
        <f t="shared" si="137"/>
        <v>BI10.12_455</v>
      </c>
      <c r="E456" s="17">
        <v>12</v>
      </c>
      <c r="F456" s="19">
        <v>455</v>
      </c>
      <c r="G456" s="20">
        <v>2.1</v>
      </c>
      <c r="H456" s="20">
        <v>2.1</v>
      </c>
      <c r="I456" s="20">
        <v>0.95</v>
      </c>
      <c r="J456" s="20">
        <f t="shared" si="135"/>
        <v>3.2887575000000004</v>
      </c>
      <c r="K456" s="53">
        <v>0.22171052631578922</v>
      </c>
      <c r="L456" s="20">
        <f>O456-440</f>
        <v>0</v>
      </c>
      <c r="M456" s="20">
        <f t="shared" ref="M456:N471" si="146">P456-440</f>
        <v>0.94999999999998863</v>
      </c>
      <c r="N456" s="20">
        <f t="shared" si="146"/>
        <v>0.47500000000002274</v>
      </c>
      <c r="O456" s="20">
        <v>440</v>
      </c>
      <c r="P456" s="20">
        <f t="shared" si="134"/>
        <v>440.95</v>
      </c>
      <c r="Q456" s="20">
        <f t="shared" si="145"/>
        <v>440.47500000000002</v>
      </c>
      <c r="R456" s="20">
        <f>O456+5</f>
        <v>445</v>
      </c>
      <c r="S456" s="20">
        <f t="shared" si="132"/>
        <v>445.95</v>
      </c>
      <c r="T456" s="20">
        <f t="shared" si="133"/>
        <v>445.47500000000002</v>
      </c>
      <c r="U456" s="20">
        <v>445.47500000000002</v>
      </c>
      <c r="V456" s="22">
        <v>4.7999000000000001</v>
      </c>
      <c r="W456" s="22">
        <v>1.9267000000000001</v>
      </c>
      <c r="X456" s="23">
        <v>1.1476266666666668</v>
      </c>
      <c r="Y456" s="23">
        <f t="shared" si="138"/>
        <v>3.6522733333333335</v>
      </c>
      <c r="Z456" s="23">
        <f t="shared" si="139"/>
        <v>0.77907333333333328</v>
      </c>
      <c r="AA456" s="22">
        <f t="shared" si="140"/>
        <v>78.668810841101717</v>
      </c>
      <c r="AB456" s="22">
        <f t="shared" si="141"/>
        <v>21.331189158898283</v>
      </c>
      <c r="AC456" s="22">
        <f t="shared" si="142"/>
        <v>1.1105328785516515</v>
      </c>
      <c r="AD456" s="22">
        <f t="shared" si="143"/>
        <v>0.23688986899561101</v>
      </c>
      <c r="AE456" s="24">
        <v>5.0739999999999998</v>
      </c>
      <c r="AF456" s="24">
        <v>5.3536999999999999</v>
      </c>
      <c r="AG456" s="24">
        <v>5.1277999999999997</v>
      </c>
      <c r="AH456" s="25">
        <f>AG456-AE456</f>
        <v>5.3799999999999848E-2</v>
      </c>
      <c r="AI456" s="25">
        <v>80.765105470146651</v>
      </c>
      <c r="AJ456" s="26">
        <v>4.0382552735073327</v>
      </c>
      <c r="AK456" s="25">
        <v>40.382552735073325</v>
      </c>
      <c r="AL456" s="26">
        <v>4.0392580573676877</v>
      </c>
      <c r="AM456" s="17">
        <f t="shared" si="144"/>
        <v>0.5780346820809249</v>
      </c>
      <c r="AN456" s="28" t="s">
        <v>43</v>
      </c>
      <c r="AO456" s="27">
        <v>50</v>
      </c>
      <c r="AP456" s="17"/>
      <c r="AQ456" s="17"/>
      <c r="AR456" s="17"/>
      <c r="AS456" s="17"/>
      <c r="AT456" s="17"/>
      <c r="AU456" s="17"/>
      <c r="AV456" s="17"/>
      <c r="AW456" s="17"/>
      <c r="AX456" s="17"/>
      <c r="BB456" s="17"/>
    </row>
    <row r="457" spans="1:54" x14ac:dyDescent="0.2">
      <c r="A457" s="17" t="s">
        <v>41</v>
      </c>
      <c r="B457" s="18" t="s">
        <v>42</v>
      </c>
      <c r="C457" s="18" t="str">
        <f t="shared" si="136"/>
        <v>BI10.12</v>
      </c>
      <c r="D457" s="18" t="str">
        <f t="shared" si="137"/>
        <v>BI10.12_456</v>
      </c>
      <c r="E457" s="17">
        <v>12</v>
      </c>
      <c r="F457" s="19">
        <v>456</v>
      </c>
      <c r="G457" s="20">
        <v>2.35</v>
      </c>
      <c r="H457" s="20">
        <v>2.2000000000000002</v>
      </c>
      <c r="I457" s="20">
        <v>1</v>
      </c>
      <c r="J457" s="20">
        <f t="shared" si="135"/>
        <v>4.0628656250000015</v>
      </c>
      <c r="K457" s="53">
        <v>0.22171052631578922</v>
      </c>
      <c r="L457" s="20">
        <f t="shared" ref="L457:N494" si="147">O457-440</f>
        <v>1.1717105263157919</v>
      </c>
      <c r="M457" s="20">
        <f t="shared" si="146"/>
        <v>2.1717105263157919</v>
      </c>
      <c r="N457" s="20">
        <f t="shared" si="146"/>
        <v>1.6717105263157919</v>
      </c>
      <c r="O457" s="20">
        <f>P456+$AO$461</f>
        <v>441.17171052631579</v>
      </c>
      <c r="P457" s="20">
        <f t="shared" si="134"/>
        <v>442.17171052631579</v>
      </c>
      <c r="Q457" s="20">
        <f t="shared" si="145"/>
        <v>441.67171052631579</v>
      </c>
      <c r="R457" s="20">
        <f t="shared" ref="R457:R494" si="148">O457+5</f>
        <v>446.17171052631579</v>
      </c>
      <c r="S457" s="20">
        <f t="shared" si="132"/>
        <v>447.17171052631579</v>
      </c>
      <c r="T457" s="20">
        <f t="shared" si="133"/>
        <v>446.67171052631579</v>
      </c>
      <c r="U457" s="20">
        <v>446.67171052631579</v>
      </c>
      <c r="V457" s="22">
        <v>5.3964999999999996</v>
      </c>
      <c r="W457" s="22">
        <v>2.0287999999999999</v>
      </c>
      <c r="X457" s="23">
        <v>1.1476266666666668</v>
      </c>
      <c r="Y457" s="23">
        <f t="shared" si="138"/>
        <v>4.2488733333333331</v>
      </c>
      <c r="Z457" s="23">
        <f t="shared" si="139"/>
        <v>0.88117333333333314</v>
      </c>
      <c r="AA457" s="22">
        <f t="shared" si="140"/>
        <v>79.26101193885124</v>
      </c>
      <c r="AB457" s="22">
        <f t="shared" si="141"/>
        <v>20.73898806114876</v>
      </c>
      <c r="AC457" s="22">
        <f t="shared" si="142"/>
        <v>1.0457823924051959</v>
      </c>
      <c r="AD457" s="22">
        <f t="shared" si="143"/>
        <v>0.21688468550650941</v>
      </c>
      <c r="AE457" s="24">
        <v>5.6794000000000002</v>
      </c>
      <c r="AF457" s="24">
        <v>6.1722000000000001</v>
      </c>
      <c r="AG457" s="24">
        <v>5.7851999999999997</v>
      </c>
      <c r="AH457" s="25">
        <f>AG457-AE457</f>
        <v>0.10579999999999945</v>
      </c>
      <c r="AI457" s="25">
        <v>78.530844155844264</v>
      </c>
      <c r="AJ457" s="26">
        <v>3.9265422077922132</v>
      </c>
      <c r="AK457" s="25">
        <v>39.265422077922132</v>
      </c>
      <c r="AL457" s="26">
        <v>3.9275735142163475</v>
      </c>
      <c r="AM457" s="17">
        <f t="shared" si="144"/>
        <v>0.5780346820809249</v>
      </c>
      <c r="AN457" s="28" t="s">
        <v>44</v>
      </c>
      <c r="AO457" s="27" t="s">
        <v>64</v>
      </c>
      <c r="AP457" s="17"/>
      <c r="AQ457" s="17"/>
      <c r="AR457" s="17"/>
      <c r="AS457" s="17"/>
      <c r="AT457" s="17"/>
      <c r="AU457" s="17"/>
      <c r="AV457" s="17"/>
      <c r="AW457" s="17"/>
      <c r="AX457" s="17"/>
      <c r="BB457" s="17"/>
    </row>
    <row r="458" spans="1:54" x14ac:dyDescent="0.2">
      <c r="A458" s="17" t="s">
        <v>41</v>
      </c>
      <c r="B458" s="18" t="s">
        <v>42</v>
      </c>
      <c r="C458" s="18" t="str">
        <f t="shared" si="136"/>
        <v>BI10.12</v>
      </c>
      <c r="D458" s="18" t="str">
        <f t="shared" si="137"/>
        <v>BI10.12_457</v>
      </c>
      <c r="E458" s="17">
        <v>12</v>
      </c>
      <c r="F458" s="19">
        <v>457</v>
      </c>
      <c r="G458" s="20">
        <v>2</v>
      </c>
      <c r="H458" s="20">
        <v>2.1</v>
      </c>
      <c r="I458" s="20">
        <v>0.95</v>
      </c>
      <c r="J458" s="20">
        <f t="shared" si="135"/>
        <v>3.1340143749999991</v>
      </c>
      <c r="K458" s="53">
        <v>0.22171052631578922</v>
      </c>
      <c r="L458" s="20">
        <f t="shared" si="147"/>
        <v>2.3934210526315951</v>
      </c>
      <c r="M458" s="20">
        <f t="shared" si="146"/>
        <v>3.3434210526315837</v>
      </c>
      <c r="N458" s="20">
        <f t="shared" si="146"/>
        <v>2.868421052631561</v>
      </c>
      <c r="O458" s="20">
        <f>P457+$AO$461</f>
        <v>442.3934210526316</v>
      </c>
      <c r="P458" s="20">
        <f t="shared" si="134"/>
        <v>443.34342105263158</v>
      </c>
      <c r="Q458" s="20">
        <f t="shared" si="145"/>
        <v>442.86842105263156</v>
      </c>
      <c r="R458" s="20">
        <f t="shared" si="148"/>
        <v>447.3934210526316</v>
      </c>
      <c r="S458" s="20">
        <f t="shared" si="132"/>
        <v>448.34342105263158</v>
      </c>
      <c r="T458" s="20">
        <f t="shared" si="133"/>
        <v>447.86842105263156</v>
      </c>
      <c r="U458" s="20">
        <v>447.86842105263156</v>
      </c>
      <c r="V458" s="22">
        <v>5.0746000000000002</v>
      </c>
      <c r="W458" s="22">
        <v>1.9494</v>
      </c>
      <c r="X458" s="23">
        <v>1.1476266666666668</v>
      </c>
      <c r="Y458" s="23">
        <f t="shared" si="138"/>
        <v>3.9269733333333336</v>
      </c>
      <c r="Z458" s="23">
        <f t="shared" si="139"/>
        <v>0.80177333333333323</v>
      </c>
      <c r="AA458" s="22">
        <f t="shared" si="140"/>
        <v>79.582918821280515</v>
      </c>
      <c r="AB458" s="22">
        <f t="shared" si="141"/>
        <v>20.417081178719485</v>
      </c>
      <c r="AC458" s="22">
        <f t="shared" si="142"/>
        <v>1.2530170137886922</v>
      </c>
      <c r="AD458" s="22">
        <f t="shared" si="143"/>
        <v>0.255829500888404</v>
      </c>
      <c r="AE458" s="24">
        <v>5.0140000000000002</v>
      </c>
      <c r="AF458" s="24">
        <v>5.3861999999999997</v>
      </c>
      <c r="AG458" s="24">
        <v>5.0899000000000001</v>
      </c>
      <c r="AH458" s="25">
        <f>AG458-AE458</f>
        <v>7.5899999999999856E-2</v>
      </c>
      <c r="AI458" s="25">
        <v>79.60773777538958</v>
      </c>
      <c r="AJ458" s="26">
        <v>3.9803868887694791</v>
      </c>
      <c r="AK458" s="25">
        <v>39.80386888769479</v>
      </c>
      <c r="AL458" s="26">
        <v>3.9814042477859459</v>
      </c>
      <c r="AM458" s="17">
        <f t="shared" si="144"/>
        <v>0.5780346820809249</v>
      </c>
      <c r="AN458" s="28" t="s">
        <v>46</v>
      </c>
      <c r="AO458" s="29">
        <f>SUM(I456:I494)</f>
        <v>41.57500000000001</v>
      </c>
      <c r="AP458" s="17"/>
      <c r="AQ458" s="17"/>
      <c r="AR458" s="17"/>
      <c r="AS458" s="17"/>
      <c r="AT458" s="17"/>
      <c r="AU458" s="17"/>
      <c r="AV458" s="17"/>
      <c r="AW458" s="17"/>
      <c r="AX458" s="17"/>
      <c r="BB458" s="17"/>
    </row>
    <row r="459" spans="1:54" x14ac:dyDescent="0.2">
      <c r="A459" s="17" t="s">
        <v>41</v>
      </c>
      <c r="B459" s="18" t="s">
        <v>42</v>
      </c>
      <c r="C459" s="18" t="str">
        <f t="shared" si="136"/>
        <v>BI10.12</v>
      </c>
      <c r="D459" s="18" t="str">
        <f t="shared" si="137"/>
        <v>BI10.12_458</v>
      </c>
      <c r="E459" s="17">
        <v>12</v>
      </c>
      <c r="F459" s="19">
        <v>458</v>
      </c>
      <c r="G459" s="20">
        <v>2.35</v>
      </c>
      <c r="H459" s="20">
        <v>2</v>
      </c>
      <c r="I459" s="20">
        <v>1</v>
      </c>
      <c r="J459" s="20">
        <f t="shared" si="135"/>
        <v>3.7135406249999994</v>
      </c>
      <c r="K459" s="53">
        <v>0.22171052631578922</v>
      </c>
      <c r="L459" s="20">
        <f t="shared" si="147"/>
        <v>3.565131578947387</v>
      </c>
      <c r="M459" s="20">
        <f t="shared" si="146"/>
        <v>4.565131578947387</v>
      </c>
      <c r="N459" s="20">
        <f t="shared" si="146"/>
        <v>4.065131578947387</v>
      </c>
      <c r="O459" s="20">
        <f>P458+$AO$461</f>
        <v>443.56513157894739</v>
      </c>
      <c r="P459" s="20">
        <f t="shared" si="134"/>
        <v>444.56513157894739</v>
      </c>
      <c r="Q459" s="20">
        <f t="shared" si="145"/>
        <v>444.06513157894739</v>
      </c>
      <c r="R459" s="20">
        <f t="shared" si="148"/>
        <v>448.56513157894739</v>
      </c>
      <c r="S459" s="20">
        <f t="shared" si="132"/>
        <v>449.56513157894739</v>
      </c>
      <c r="T459" s="20">
        <f t="shared" si="133"/>
        <v>449.06513157894739</v>
      </c>
      <c r="U459" s="20">
        <v>449.06513157894739</v>
      </c>
      <c r="V459" s="22">
        <v>5.4032999999999998</v>
      </c>
      <c r="W459" s="22">
        <v>2.3540999999999999</v>
      </c>
      <c r="X459" s="23">
        <v>1.1476266666666668</v>
      </c>
      <c r="Y459" s="23">
        <f t="shared" si="138"/>
        <v>4.2556733333333332</v>
      </c>
      <c r="Z459" s="23">
        <f t="shared" si="139"/>
        <v>1.2064733333333331</v>
      </c>
      <c r="AA459" s="22">
        <f t="shared" si="140"/>
        <v>71.650236311997631</v>
      </c>
      <c r="AB459" s="22">
        <f t="shared" si="141"/>
        <v>28.349763688002369</v>
      </c>
      <c r="AC459" s="22">
        <f t="shared" si="142"/>
        <v>1.1459880914412601</v>
      </c>
      <c r="AD459" s="22">
        <f t="shared" si="143"/>
        <v>0.32488491581624568</v>
      </c>
      <c r="AE459" s="24">
        <v>5.3924000000000003</v>
      </c>
      <c r="AF459" s="24">
        <v>5.8159000000000001</v>
      </c>
      <c r="AG459" s="24">
        <v>5.4969999999999999</v>
      </c>
      <c r="AH459" s="25">
        <f>AG459-AE459</f>
        <v>0.10459999999999958</v>
      </c>
      <c r="AI459" s="25">
        <v>75.301062573789935</v>
      </c>
      <c r="AJ459" s="26">
        <v>3.7650531286894968</v>
      </c>
      <c r="AK459" s="25">
        <v>37.650531286894967</v>
      </c>
      <c r="AL459" s="26">
        <v>3.7661286571032817</v>
      </c>
      <c r="AM459" s="17">
        <f t="shared" si="144"/>
        <v>0.5780346820809249</v>
      </c>
      <c r="AN459" s="28" t="s">
        <v>47</v>
      </c>
      <c r="AO459" s="29">
        <f>AO456-AO458</f>
        <v>8.4249999999999901</v>
      </c>
      <c r="AP459" s="17"/>
      <c r="AQ459" s="17"/>
      <c r="AR459" s="17"/>
      <c r="AS459" s="17"/>
      <c r="AT459" s="17"/>
      <c r="AU459" s="17"/>
      <c r="AV459" s="17"/>
      <c r="AW459" s="17"/>
      <c r="AX459" s="17"/>
      <c r="BB459" s="17"/>
    </row>
    <row r="460" spans="1:54" x14ac:dyDescent="0.2">
      <c r="A460" s="17" t="s">
        <v>41</v>
      </c>
      <c r="B460" s="18" t="s">
        <v>42</v>
      </c>
      <c r="C460" s="18" t="str">
        <f t="shared" si="136"/>
        <v>BI10.12</v>
      </c>
      <c r="D460" s="18" t="str">
        <f t="shared" si="137"/>
        <v>BI10.12_459</v>
      </c>
      <c r="E460" s="17">
        <v>12</v>
      </c>
      <c r="F460" s="19">
        <v>459</v>
      </c>
      <c r="G460" s="20">
        <v>1.95</v>
      </c>
      <c r="H460" s="20">
        <v>2</v>
      </c>
      <c r="I460" s="20">
        <v>1</v>
      </c>
      <c r="J460" s="20">
        <f t="shared" si="135"/>
        <v>3.0619906250000004</v>
      </c>
      <c r="K460" s="53">
        <v>0.22171052631578922</v>
      </c>
      <c r="L460" s="20">
        <f t="shared" si="147"/>
        <v>4.7868421052631902</v>
      </c>
      <c r="M460" s="20">
        <f t="shared" si="146"/>
        <v>5.7868421052631902</v>
      </c>
      <c r="N460" s="20">
        <f t="shared" si="146"/>
        <v>5.2868421052631902</v>
      </c>
      <c r="O460" s="20">
        <f>P459+$AO$461</f>
        <v>444.78684210526319</v>
      </c>
      <c r="P460" s="20">
        <f t="shared" si="134"/>
        <v>445.78684210526319</v>
      </c>
      <c r="Q460" s="20">
        <f t="shared" si="145"/>
        <v>445.28684210526319</v>
      </c>
      <c r="R460" s="20">
        <f t="shared" si="148"/>
        <v>449.78684210526319</v>
      </c>
      <c r="S460" s="20">
        <f t="shared" si="132"/>
        <v>450.78684210526319</v>
      </c>
      <c r="T460" s="20">
        <f t="shared" si="133"/>
        <v>450.28684210526319</v>
      </c>
      <c r="U460" s="20">
        <v>450.28684210526319</v>
      </c>
      <c r="V460" s="22">
        <v>4.6763000000000003</v>
      </c>
      <c r="W460" s="22">
        <v>2.0575999999999999</v>
      </c>
      <c r="X460" s="23">
        <v>1.1476266666666668</v>
      </c>
      <c r="Y460" s="23">
        <f t="shared" si="138"/>
        <v>3.5286733333333338</v>
      </c>
      <c r="Z460" s="23">
        <f t="shared" si="139"/>
        <v>0.90997333333333308</v>
      </c>
      <c r="AA460" s="22">
        <f t="shared" si="140"/>
        <v>74.212026805163802</v>
      </c>
      <c r="AB460" s="22">
        <f t="shared" si="141"/>
        <v>25.787973194836198</v>
      </c>
      <c r="AC460" s="22">
        <f t="shared" si="142"/>
        <v>1.152411540558957</v>
      </c>
      <c r="AD460" s="22">
        <f t="shared" si="143"/>
        <v>0.29718357917354271</v>
      </c>
      <c r="AE460" s="24">
        <v>5.6683000000000003</v>
      </c>
      <c r="AF460" s="24">
        <v>5.9333999999999998</v>
      </c>
      <c r="AG460" s="24">
        <v>5.74</v>
      </c>
      <c r="AH460" s="25">
        <f>AG460-AE460</f>
        <v>7.1699999999999875E-2</v>
      </c>
      <c r="AI460" s="25">
        <v>72.953602414183322</v>
      </c>
      <c r="AJ460" s="26">
        <v>3.6476801207091665</v>
      </c>
      <c r="AK460" s="25">
        <v>36.476801207091661</v>
      </c>
      <c r="AL460" s="26">
        <v>3.6487902465086752</v>
      </c>
      <c r="AM460" s="17">
        <f t="shared" si="144"/>
        <v>0.5780346820809249</v>
      </c>
      <c r="AN460" s="28" t="s">
        <v>48</v>
      </c>
      <c r="AO460" s="27">
        <v>38</v>
      </c>
      <c r="AP460" s="17"/>
      <c r="AQ460" s="17"/>
      <c r="AR460" s="17"/>
      <c r="AS460" s="17"/>
      <c r="AT460" s="17"/>
      <c r="AU460" s="17"/>
      <c r="AV460" s="17"/>
      <c r="AW460" s="17"/>
      <c r="AX460" s="17"/>
      <c r="BB460" s="17"/>
    </row>
    <row r="461" spans="1:54" x14ac:dyDescent="0.2">
      <c r="A461" s="17" t="s">
        <v>41</v>
      </c>
      <c r="B461" s="18" t="s">
        <v>42</v>
      </c>
      <c r="C461" s="18" t="str">
        <f t="shared" si="136"/>
        <v>BI10.12</v>
      </c>
      <c r="D461" s="18" t="str">
        <f t="shared" si="137"/>
        <v>BI10.12_460</v>
      </c>
      <c r="E461" s="17">
        <v>12</v>
      </c>
      <c r="F461" s="19">
        <v>460</v>
      </c>
      <c r="G461" s="20">
        <v>2.1</v>
      </c>
      <c r="H461" s="20">
        <v>1.9</v>
      </c>
      <c r="I461" s="20">
        <v>1.1499999999999999</v>
      </c>
      <c r="J461" s="20">
        <f t="shared" si="135"/>
        <v>3.6109999999999998</v>
      </c>
      <c r="K461" s="53">
        <v>0.22171052631578922</v>
      </c>
      <c r="L461" s="20">
        <f t="shared" si="147"/>
        <v>6.0085526315789934</v>
      </c>
      <c r="M461" s="20">
        <f t="shared" si="146"/>
        <v>7.1585526315789707</v>
      </c>
      <c r="N461" s="20">
        <f t="shared" si="146"/>
        <v>6.5835526315789821</v>
      </c>
      <c r="O461" s="20">
        <f>P460+$AO$461</f>
        <v>446.00855263157899</v>
      </c>
      <c r="P461" s="20">
        <f t="shared" si="134"/>
        <v>447.15855263157897</v>
      </c>
      <c r="Q461" s="20">
        <f t="shared" si="145"/>
        <v>446.58355263157898</v>
      </c>
      <c r="R461" s="20">
        <f t="shared" si="148"/>
        <v>451.00855263157899</v>
      </c>
      <c r="S461" s="20">
        <f t="shared" si="132"/>
        <v>452.15855263157897</v>
      </c>
      <c r="T461" s="20">
        <f t="shared" si="133"/>
        <v>451.58355263157898</v>
      </c>
      <c r="U461" s="20">
        <v>451.58355263157898</v>
      </c>
      <c r="V461" s="22">
        <v>5.5353000000000003</v>
      </c>
      <c r="W461" s="22">
        <v>2.6945999999999999</v>
      </c>
      <c r="X461" s="23">
        <v>1.1476266666666668</v>
      </c>
      <c r="Y461" s="23">
        <f t="shared" si="138"/>
        <v>4.3876733333333338</v>
      </c>
      <c r="Z461" s="23">
        <f t="shared" si="139"/>
        <v>1.5469733333333331</v>
      </c>
      <c r="AA461" s="22">
        <f t="shared" si="140"/>
        <v>64.742741407367021</v>
      </c>
      <c r="AB461" s="22">
        <f t="shared" si="141"/>
        <v>35.257258592632979</v>
      </c>
      <c r="AC461" s="22">
        <f t="shared" si="142"/>
        <v>1.2150853872426846</v>
      </c>
      <c r="AD461" s="22">
        <f t="shared" si="143"/>
        <v>0.42840579710144921</v>
      </c>
      <c r="AE461" s="24">
        <v>5.3857999999999997</v>
      </c>
      <c r="AF461" s="24">
        <v>5.8680000000000003</v>
      </c>
      <c r="AG461" s="24">
        <v>5.6279000000000003</v>
      </c>
      <c r="AH461" s="25">
        <f>AG461-AE461</f>
        <v>0.24210000000000065</v>
      </c>
      <c r="AI461" s="25">
        <v>49.792617171298147</v>
      </c>
      <c r="AJ461" s="26">
        <v>2.4896308585649076</v>
      </c>
      <c r="AK461" s="25">
        <v>24.896308585649074</v>
      </c>
      <c r="AL461" s="26">
        <v>2.4912570746349401</v>
      </c>
      <c r="AM461" s="17">
        <f t="shared" si="144"/>
        <v>0.5780346820809249</v>
      </c>
      <c r="AN461" s="28" t="s">
        <v>49</v>
      </c>
      <c r="AO461" s="30">
        <f>AO459/AO460</f>
        <v>0.22171052631578922</v>
      </c>
      <c r="AP461" s="17"/>
      <c r="AQ461" s="17"/>
      <c r="AR461" s="17"/>
      <c r="AS461" s="17"/>
      <c r="AT461" s="17"/>
      <c r="AU461" s="17"/>
      <c r="AV461" s="17"/>
      <c r="AW461" s="17"/>
      <c r="AX461" s="17"/>
      <c r="BB461" s="17"/>
    </row>
    <row r="462" spans="1:54" x14ac:dyDescent="0.2">
      <c r="A462" s="17" t="s">
        <v>41</v>
      </c>
      <c r="B462" s="18" t="s">
        <v>42</v>
      </c>
      <c r="C462" s="18" t="str">
        <f t="shared" si="136"/>
        <v>BI10.12</v>
      </c>
      <c r="D462" s="18" t="str">
        <f t="shared" si="137"/>
        <v>BI10.12_461</v>
      </c>
      <c r="E462" s="17">
        <v>12</v>
      </c>
      <c r="F462" s="19">
        <v>461</v>
      </c>
      <c r="G462" s="20">
        <v>2.25</v>
      </c>
      <c r="H462" s="20">
        <v>2.1</v>
      </c>
      <c r="I462" s="20">
        <v>1.2</v>
      </c>
      <c r="J462" s="20">
        <f t="shared" si="135"/>
        <v>4.4562487499999994</v>
      </c>
      <c r="K462" s="53">
        <v>0.22171052631578922</v>
      </c>
      <c r="L462" s="20">
        <f t="shared" si="147"/>
        <v>7.3802631578947739</v>
      </c>
      <c r="M462" s="20">
        <f t="shared" si="146"/>
        <v>8.5802631578947626</v>
      </c>
      <c r="N462" s="20">
        <f t="shared" si="146"/>
        <v>7.9802631578947967</v>
      </c>
      <c r="O462" s="20">
        <f>P461+$AO$461</f>
        <v>447.38026315789477</v>
      </c>
      <c r="P462" s="20">
        <f t="shared" si="134"/>
        <v>448.58026315789476</v>
      </c>
      <c r="Q462" s="20">
        <f t="shared" si="145"/>
        <v>447.9802631578948</v>
      </c>
      <c r="R462" s="20">
        <f t="shared" si="148"/>
        <v>452.38026315789477</v>
      </c>
      <c r="S462" s="20">
        <f t="shared" si="132"/>
        <v>453.58026315789476</v>
      </c>
      <c r="T462" s="20">
        <f t="shared" si="133"/>
        <v>452.9802631578948</v>
      </c>
      <c r="U462" s="20">
        <v>452.9802631578948</v>
      </c>
      <c r="V462" s="22">
        <v>7.2106000000000003</v>
      </c>
      <c r="W462" s="22">
        <v>4.5941000000000001</v>
      </c>
      <c r="X462" s="23">
        <v>1.1476266666666668</v>
      </c>
      <c r="Y462" s="23">
        <f t="shared" si="138"/>
        <v>6.0629733333333338</v>
      </c>
      <c r="Z462" s="23">
        <f t="shared" si="139"/>
        <v>3.4464733333333335</v>
      </c>
      <c r="AA462" s="22">
        <f t="shared" si="140"/>
        <v>43.15539350329761</v>
      </c>
      <c r="AB462" s="22">
        <f t="shared" si="141"/>
        <v>56.84460649670239</v>
      </c>
      <c r="AC462" s="22">
        <f t="shared" si="142"/>
        <v>1.3605554073554207</v>
      </c>
      <c r="AD462" s="22">
        <f t="shared" si="143"/>
        <v>0.77340236748079516</v>
      </c>
      <c r="AE462" s="24">
        <v>5.5164</v>
      </c>
      <c r="AF462" s="24">
        <v>7.2953999999999999</v>
      </c>
      <c r="AG462" s="24">
        <v>7.0579000000000001</v>
      </c>
      <c r="AH462" s="25">
        <f>AG462-AE462</f>
        <v>1.5415000000000001</v>
      </c>
      <c r="AI462" s="25">
        <v>13.350196739741419</v>
      </c>
      <c r="AJ462" s="26">
        <v>0.667509836987071</v>
      </c>
      <c r="AK462" s="25">
        <v>6.6750983698707094</v>
      </c>
      <c r="AL462" s="26">
        <v>0.67354983666726997</v>
      </c>
      <c r="AM462" s="17">
        <f t="shared" si="144"/>
        <v>0.5780346820809249</v>
      </c>
      <c r="AN462" s="17"/>
      <c r="AO462" s="27"/>
      <c r="AP462" s="17"/>
      <c r="AQ462" s="17"/>
      <c r="AR462" s="17"/>
      <c r="AS462" s="17"/>
      <c r="AT462" s="17"/>
      <c r="AU462" s="17"/>
      <c r="AV462" s="17"/>
      <c r="AW462" s="17"/>
      <c r="AX462" s="17"/>
      <c r="BB462" s="17"/>
    </row>
    <row r="463" spans="1:54" x14ac:dyDescent="0.2">
      <c r="A463" s="17" t="s">
        <v>41</v>
      </c>
      <c r="B463" s="18" t="s">
        <v>42</v>
      </c>
      <c r="C463" s="18" t="str">
        <f t="shared" si="136"/>
        <v>BI10.12</v>
      </c>
      <c r="D463" s="18" t="str">
        <f t="shared" si="137"/>
        <v>BI10.12_462</v>
      </c>
      <c r="E463" s="17">
        <v>12</v>
      </c>
      <c r="F463" s="19">
        <v>462</v>
      </c>
      <c r="G463" s="20">
        <v>2.25</v>
      </c>
      <c r="H463" s="20">
        <v>2.2000000000000002</v>
      </c>
      <c r="I463" s="20">
        <v>1.1000000000000001</v>
      </c>
      <c r="J463" s="20">
        <f t="shared" si="135"/>
        <v>4.2748646875000009</v>
      </c>
      <c r="K463" s="53">
        <v>0.22171052631578922</v>
      </c>
      <c r="L463" s="20">
        <f t="shared" si="147"/>
        <v>8.8019736842105658</v>
      </c>
      <c r="M463" s="20">
        <f t="shared" si="146"/>
        <v>9.9019736842105885</v>
      </c>
      <c r="N463" s="20">
        <f t="shared" si="146"/>
        <v>9.3519736842105772</v>
      </c>
      <c r="O463" s="20">
        <f>P462+$AO$461</f>
        <v>448.80197368421057</v>
      </c>
      <c r="P463" s="20">
        <f t="shared" si="134"/>
        <v>449.90197368421059</v>
      </c>
      <c r="Q463" s="20">
        <f t="shared" si="145"/>
        <v>449.35197368421058</v>
      </c>
      <c r="R463" s="20">
        <f t="shared" si="148"/>
        <v>453.80197368421057</v>
      </c>
      <c r="S463" s="20">
        <f t="shared" si="132"/>
        <v>454.90197368421059</v>
      </c>
      <c r="T463" s="20">
        <f t="shared" si="133"/>
        <v>454.35197368421058</v>
      </c>
      <c r="U463" s="20">
        <v>454.35197368421058</v>
      </c>
      <c r="V463" s="22">
        <v>6.2319000000000004</v>
      </c>
      <c r="W463" s="22">
        <v>3.4432999999999998</v>
      </c>
      <c r="X463" s="23">
        <v>1.1476266666666668</v>
      </c>
      <c r="Y463" s="23">
        <f t="shared" si="138"/>
        <v>5.0842733333333339</v>
      </c>
      <c r="Z463" s="23">
        <f t="shared" si="139"/>
        <v>2.2956733333333332</v>
      </c>
      <c r="AA463" s="22">
        <f t="shared" si="140"/>
        <v>54.847562614650933</v>
      </c>
      <c r="AB463" s="22">
        <f t="shared" si="141"/>
        <v>45.152437385349067</v>
      </c>
      <c r="AC463" s="22">
        <f t="shared" si="142"/>
        <v>1.1893413487917173</v>
      </c>
      <c r="AD463" s="22">
        <f t="shared" si="143"/>
        <v>0.53701660781124616</v>
      </c>
      <c r="AE463" s="24">
        <v>5.5387000000000004</v>
      </c>
      <c r="AF463" s="24">
        <v>8.0457000000000001</v>
      </c>
      <c r="AG463" s="24">
        <v>7.8098000000000001</v>
      </c>
      <c r="AH463" s="25">
        <f>AG463-AE463</f>
        <v>2.2710999999999997</v>
      </c>
      <c r="AI463" s="25">
        <v>9.4096529716793</v>
      </c>
      <c r="AJ463" s="26">
        <v>0.47048264858396505</v>
      </c>
      <c r="AK463" s="25">
        <v>4.70482648583965</v>
      </c>
      <c r="AL463" s="26">
        <v>0.47901348897351809</v>
      </c>
      <c r="AM463" s="17">
        <f t="shared" si="144"/>
        <v>0.5780346820809249</v>
      </c>
      <c r="AN463" s="17"/>
      <c r="AO463" s="27"/>
      <c r="AP463" s="17"/>
      <c r="AQ463" s="17"/>
      <c r="AR463" s="17"/>
      <c r="AS463" s="17"/>
      <c r="AT463" s="17"/>
      <c r="AU463" s="17"/>
      <c r="AV463" s="17"/>
      <c r="AW463" s="17"/>
      <c r="AX463" s="17"/>
      <c r="BB463" s="17"/>
    </row>
    <row r="464" spans="1:54" x14ac:dyDescent="0.2">
      <c r="A464" s="17" t="s">
        <v>41</v>
      </c>
      <c r="B464" s="18" t="s">
        <v>42</v>
      </c>
      <c r="C464" s="18" t="str">
        <f t="shared" si="136"/>
        <v>BI10.12</v>
      </c>
      <c r="D464" s="18" t="str">
        <f t="shared" si="137"/>
        <v>BI10.12_463</v>
      </c>
      <c r="E464" s="17">
        <v>12</v>
      </c>
      <c r="F464" s="19">
        <v>463</v>
      </c>
      <c r="G464" s="20">
        <v>2.15</v>
      </c>
      <c r="H464" s="20">
        <v>2.5</v>
      </c>
      <c r="I464" s="20">
        <v>1</v>
      </c>
      <c r="J464" s="20">
        <f t="shared" si="135"/>
        <v>4.2434156250000008</v>
      </c>
      <c r="K464" s="53">
        <v>0.22171052631578922</v>
      </c>
      <c r="L464" s="20">
        <f t="shared" si="147"/>
        <v>10.123684210526392</v>
      </c>
      <c r="M464" s="20">
        <f t="shared" si="146"/>
        <v>11.123684210526392</v>
      </c>
      <c r="N464" s="20">
        <f t="shared" si="146"/>
        <v>10.623684210526392</v>
      </c>
      <c r="O464" s="20">
        <f>P463+$AO$461</f>
        <v>450.12368421052639</v>
      </c>
      <c r="P464" s="20">
        <f t="shared" si="134"/>
        <v>451.12368421052639</v>
      </c>
      <c r="Q464" s="20">
        <f t="shared" si="145"/>
        <v>450.62368421052639</v>
      </c>
      <c r="R464" s="20">
        <f t="shared" si="148"/>
        <v>455.12368421052639</v>
      </c>
      <c r="S464" s="20">
        <f t="shared" si="132"/>
        <v>456.12368421052639</v>
      </c>
      <c r="T464" s="20">
        <f t="shared" si="133"/>
        <v>455.62368421052639</v>
      </c>
      <c r="U464" s="20">
        <v>455.62368421052639</v>
      </c>
      <c r="V464" s="22">
        <v>5.8929999999999998</v>
      </c>
      <c r="W464" s="22">
        <v>3.3349000000000002</v>
      </c>
      <c r="X464" s="23">
        <v>1.1476266666666668</v>
      </c>
      <c r="Y464" s="23">
        <f t="shared" si="138"/>
        <v>4.7453733333333332</v>
      </c>
      <c r="Z464" s="23">
        <f t="shared" si="139"/>
        <v>2.1872733333333336</v>
      </c>
      <c r="AA464" s="22">
        <f t="shared" si="140"/>
        <v>53.90724438962301</v>
      </c>
      <c r="AB464" s="22">
        <f t="shared" si="141"/>
        <v>46.09275561037699</v>
      </c>
      <c r="AC464" s="22">
        <f t="shared" si="142"/>
        <v>1.1182909600879203</v>
      </c>
      <c r="AD464" s="22">
        <f t="shared" si="143"/>
        <v>0.51545111924626363</v>
      </c>
      <c r="AE464" s="24">
        <v>4.8876999999999997</v>
      </c>
      <c r="AF464" s="24">
        <v>6.0084999999999997</v>
      </c>
      <c r="AG464" s="24">
        <v>5.7819000000000003</v>
      </c>
      <c r="AH464" s="25">
        <f>AG464-AE464</f>
        <v>0.89420000000000055</v>
      </c>
      <c r="AI464" s="25">
        <v>20.217701641684464</v>
      </c>
      <c r="AJ464" s="26">
        <v>1.0108850820842232</v>
      </c>
      <c r="AK464" s="25">
        <v>10.108850820842232</v>
      </c>
      <c r="AL464" s="26">
        <v>1.0148835643463867</v>
      </c>
      <c r="AM464" s="17">
        <f t="shared" si="144"/>
        <v>0.5780346820809249</v>
      </c>
      <c r="AN464" s="17"/>
      <c r="AO464" s="27"/>
      <c r="AP464" s="17"/>
      <c r="AQ464" s="17"/>
      <c r="AR464" s="17"/>
      <c r="AS464" s="17"/>
      <c r="AT464" s="17"/>
      <c r="AU464" s="17"/>
      <c r="AV464" s="17"/>
      <c r="AW464" s="17"/>
      <c r="AX464" s="17"/>
      <c r="BB464" s="17"/>
    </row>
    <row r="465" spans="1:54" x14ac:dyDescent="0.2">
      <c r="A465" s="17" t="s">
        <v>41</v>
      </c>
      <c r="B465" s="18" t="s">
        <v>42</v>
      </c>
      <c r="C465" s="18" t="str">
        <f t="shared" si="136"/>
        <v>BI10.12</v>
      </c>
      <c r="D465" s="18" t="str">
        <f t="shared" si="137"/>
        <v>BI10.12_464</v>
      </c>
      <c r="E465" s="17">
        <v>12</v>
      </c>
      <c r="F465" s="19">
        <v>464</v>
      </c>
      <c r="G465" s="20">
        <v>2.2000000000000002</v>
      </c>
      <c r="H465" s="20">
        <v>2.1</v>
      </c>
      <c r="I465" s="20">
        <v>1</v>
      </c>
      <c r="J465" s="20">
        <f t="shared" si="135"/>
        <v>3.6286625000000012</v>
      </c>
      <c r="K465" s="53">
        <v>0.22171052631578922</v>
      </c>
      <c r="L465" s="20">
        <f t="shared" si="147"/>
        <v>11.345394736842195</v>
      </c>
      <c r="M465" s="20">
        <f t="shared" si="146"/>
        <v>12.345394736842195</v>
      </c>
      <c r="N465" s="20">
        <f t="shared" si="146"/>
        <v>11.845394736842195</v>
      </c>
      <c r="O465" s="20">
        <f>P464+$AO$461</f>
        <v>451.3453947368422</v>
      </c>
      <c r="P465" s="20">
        <f t="shared" si="134"/>
        <v>452.3453947368422</v>
      </c>
      <c r="Q465" s="20">
        <f t="shared" si="145"/>
        <v>451.8453947368422</v>
      </c>
      <c r="R465" s="20">
        <f t="shared" si="148"/>
        <v>456.3453947368422</v>
      </c>
      <c r="S465" s="20">
        <f t="shared" si="132"/>
        <v>457.3453947368422</v>
      </c>
      <c r="T465" s="20">
        <f t="shared" si="133"/>
        <v>456.8453947368422</v>
      </c>
      <c r="U465" s="20">
        <v>456.8453947368422</v>
      </c>
      <c r="V465" s="22">
        <v>5.4001999999999999</v>
      </c>
      <c r="W465" s="22">
        <v>2.5093000000000001</v>
      </c>
      <c r="X465" s="23">
        <v>1.1476266666666668</v>
      </c>
      <c r="Y465" s="23">
        <f t="shared" si="138"/>
        <v>4.2525733333333333</v>
      </c>
      <c r="Z465" s="23">
        <f t="shared" si="139"/>
        <v>1.3616733333333333</v>
      </c>
      <c r="AA465" s="22">
        <f t="shared" si="140"/>
        <v>67.980015237832475</v>
      </c>
      <c r="AB465" s="22">
        <f t="shared" si="141"/>
        <v>32.019984762167525</v>
      </c>
      <c r="AC465" s="22">
        <f t="shared" si="142"/>
        <v>1.1719396150326276</v>
      </c>
      <c r="AD465" s="22">
        <f t="shared" si="143"/>
        <v>0.37525488615525221</v>
      </c>
      <c r="AE465" s="24">
        <v>5.5071000000000003</v>
      </c>
      <c r="AF465" s="24">
        <v>6.8897000000000004</v>
      </c>
      <c r="AG465" s="24">
        <v>6.6811999999999996</v>
      </c>
      <c r="AH465" s="25">
        <f>AG465-AE465</f>
        <v>1.1740999999999993</v>
      </c>
      <c r="AI465" s="25">
        <v>15.080283523795805</v>
      </c>
      <c r="AJ465" s="26">
        <v>0.75401417618979028</v>
      </c>
      <c r="AK465" s="25">
        <v>7.5401417618979023</v>
      </c>
      <c r="AL465" s="26">
        <v>0.75936643189909847</v>
      </c>
      <c r="AM465" s="17">
        <f t="shared" si="144"/>
        <v>0.5780346820809249</v>
      </c>
      <c r="AN465" s="17"/>
      <c r="AO465" s="27"/>
      <c r="AP465" s="17"/>
      <c r="AQ465" s="17"/>
      <c r="AR465" s="17"/>
      <c r="AS465" s="17"/>
      <c r="AT465" s="17"/>
      <c r="AU465" s="17"/>
      <c r="AV465" s="17"/>
      <c r="AW465" s="17"/>
      <c r="AX465" s="17"/>
      <c r="BB465" s="17"/>
    </row>
    <row r="466" spans="1:54" x14ac:dyDescent="0.2">
      <c r="A466" s="17" t="s">
        <v>41</v>
      </c>
      <c r="B466" s="18" t="s">
        <v>42</v>
      </c>
      <c r="C466" s="18" t="str">
        <f t="shared" si="136"/>
        <v>BI10.12</v>
      </c>
      <c r="D466" s="18" t="str">
        <f t="shared" si="137"/>
        <v>BI10.12_465</v>
      </c>
      <c r="E466" s="17">
        <v>12</v>
      </c>
      <c r="F466" s="19">
        <v>465</v>
      </c>
      <c r="G466" s="20">
        <v>2.1</v>
      </c>
      <c r="H466" s="20">
        <v>2.25</v>
      </c>
      <c r="I466" s="20">
        <v>1.1000000000000001</v>
      </c>
      <c r="J466" s="20">
        <f t="shared" si="135"/>
        <v>4.0848946874999994</v>
      </c>
      <c r="K466" s="53">
        <v>0.22171052631578922</v>
      </c>
      <c r="L466" s="20">
        <f t="shared" si="147"/>
        <v>12.567105263157998</v>
      </c>
      <c r="M466" s="20">
        <f t="shared" si="146"/>
        <v>13.667105263158021</v>
      </c>
      <c r="N466" s="20">
        <f t="shared" si="146"/>
        <v>13.11710526315801</v>
      </c>
      <c r="O466" s="20">
        <f>P465+$AO$461</f>
        <v>452.567105263158</v>
      </c>
      <c r="P466" s="20">
        <f t="shared" si="134"/>
        <v>453.66710526315802</v>
      </c>
      <c r="Q466" s="20">
        <f t="shared" si="145"/>
        <v>453.11710526315801</v>
      </c>
      <c r="R466" s="20">
        <f t="shared" si="148"/>
        <v>457.567105263158</v>
      </c>
      <c r="S466" s="20">
        <f t="shared" si="132"/>
        <v>458.66710526315802</v>
      </c>
      <c r="T466" s="20">
        <f t="shared" si="133"/>
        <v>458.11710526315801</v>
      </c>
      <c r="U466" s="20">
        <v>458.11710526315801</v>
      </c>
      <c r="V466" s="22">
        <v>5.9908999999999999</v>
      </c>
      <c r="W466" s="22">
        <v>2.6901999999999999</v>
      </c>
      <c r="X466" s="23">
        <v>1.1476266666666668</v>
      </c>
      <c r="Y466" s="23">
        <f t="shared" si="138"/>
        <v>4.8432733333333333</v>
      </c>
      <c r="Z466" s="23">
        <f t="shared" si="139"/>
        <v>1.5425733333333331</v>
      </c>
      <c r="AA466" s="22">
        <f t="shared" si="140"/>
        <v>68.150190435944836</v>
      </c>
      <c r="AB466" s="22">
        <f t="shared" si="141"/>
        <v>31.849809564055164</v>
      </c>
      <c r="AC466" s="22">
        <f t="shared" si="142"/>
        <v>1.1856543935279442</v>
      </c>
      <c r="AD466" s="22">
        <f t="shared" si="143"/>
        <v>0.37762866642650339</v>
      </c>
      <c r="AE466" s="24">
        <v>5.4837999999999996</v>
      </c>
      <c r="AF466" s="24">
        <v>6.0654000000000003</v>
      </c>
      <c r="AG466" s="24">
        <v>5.8556999999999997</v>
      </c>
      <c r="AH466" s="25">
        <f>AG466-AE466</f>
        <v>0.37190000000000012</v>
      </c>
      <c r="AI466" s="25">
        <v>36.055708390646558</v>
      </c>
      <c r="AJ466" s="26">
        <v>1.8027854195323281</v>
      </c>
      <c r="AK466" s="25">
        <v>18.027854195323279</v>
      </c>
      <c r="AL466" s="26">
        <v>1.8050305451372153</v>
      </c>
      <c r="AM466" s="17">
        <f t="shared" si="144"/>
        <v>0.5780346820809249</v>
      </c>
      <c r="AN466" s="17"/>
      <c r="AO466" s="27"/>
      <c r="AP466" s="17"/>
      <c r="AQ466" s="17"/>
      <c r="AR466" s="17"/>
      <c r="AS466" s="17"/>
      <c r="AT466" s="17"/>
      <c r="AU466" s="17"/>
      <c r="AV466" s="17"/>
      <c r="AW466" s="17"/>
      <c r="AX466" s="17"/>
      <c r="BB466" s="17"/>
    </row>
    <row r="467" spans="1:54" x14ac:dyDescent="0.2">
      <c r="A467" s="17" t="s">
        <v>41</v>
      </c>
      <c r="B467" s="18" t="s">
        <v>42</v>
      </c>
      <c r="C467" s="18" t="str">
        <f t="shared" si="136"/>
        <v>BI10.12</v>
      </c>
      <c r="D467" s="18" t="str">
        <f t="shared" si="137"/>
        <v>BI10.12_466</v>
      </c>
      <c r="E467" s="17">
        <v>12</v>
      </c>
      <c r="F467" s="19">
        <v>466</v>
      </c>
      <c r="G467" s="20">
        <v>2</v>
      </c>
      <c r="H467" s="20">
        <v>2.2000000000000002</v>
      </c>
      <c r="I467" s="20">
        <v>1.2</v>
      </c>
      <c r="J467" s="20">
        <f t="shared" si="135"/>
        <v>4.1542200000000005</v>
      </c>
      <c r="K467" s="53">
        <v>0.22171052631578922</v>
      </c>
      <c r="L467" s="20">
        <f t="shared" si="147"/>
        <v>13.888815789473824</v>
      </c>
      <c r="M467" s="20">
        <f t="shared" si="146"/>
        <v>15.088815789473813</v>
      </c>
      <c r="N467" s="20">
        <f t="shared" si="146"/>
        <v>14.488815789473847</v>
      </c>
      <c r="O467" s="20">
        <f>P466+$AO$461</f>
        <v>453.88881578947382</v>
      </c>
      <c r="P467" s="20">
        <f t="shared" si="134"/>
        <v>455.08881578947381</v>
      </c>
      <c r="Q467" s="20">
        <f t="shared" si="145"/>
        <v>454.48881578947385</v>
      </c>
      <c r="R467" s="20">
        <f t="shared" si="148"/>
        <v>458.88881578947382</v>
      </c>
      <c r="S467" s="20">
        <f t="shared" si="132"/>
        <v>460.08881578947381</v>
      </c>
      <c r="T467" s="20">
        <f t="shared" si="133"/>
        <v>459.48881578947385</v>
      </c>
      <c r="U467" s="20">
        <v>459.48881578947385</v>
      </c>
      <c r="V467" s="22">
        <v>6.6477000000000004</v>
      </c>
      <c r="W467" s="22">
        <v>2.8822999999999999</v>
      </c>
      <c r="X467" s="23">
        <v>1.1476266666666668</v>
      </c>
      <c r="Y467" s="23">
        <f t="shared" si="138"/>
        <v>5.5000733333333338</v>
      </c>
      <c r="Z467" s="23">
        <f t="shared" si="139"/>
        <v>1.7346733333333331</v>
      </c>
      <c r="AA467" s="22">
        <f t="shared" si="140"/>
        <v>68.460905369746598</v>
      </c>
      <c r="AB467" s="22">
        <f t="shared" si="141"/>
        <v>31.539094630253402</v>
      </c>
      <c r="AC467" s="22">
        <f t="shared" si="142"/>
        <v>1.323972570863684</v>
      </c>
      <c r="AD467" s="22">
        <f t="shared" si="143"/>
        <v>0.41756896200329613</v>
      </c>
      <c r="AE467" s="24">
        <v>5.6776</v>
      </c>
      <c r="AF467" s="24">
        <v>6.3823999999999996</v>
      </c>
      <c r="AG467" s="24">
        <v>6.1062000000000003</v>
      </c>
      <c r="AH467" s="25">
        <f>AG467-AE467</f>
        <v>0.42860000000000031</v>
      </c>
      <c r="AI467" s="25">
        <v>39.188422247446006</v>
      </c>
      <c r="AJ467" s="26">
        <v>1.9594211123723004</v>
      </c>
      <c r="AK467" s="25">
        <v>19.594211123723003</v>
      </c>
      <c r="AL467" s="26">
        <v>1.9614869603467426</v>
      </c>
      <c r="AM467" s="17">
        <f t="shared" si="144"/>
        <v>0.5780346820809249</v>
      </c>
      <c r="AN467" s="17"/>
      <c r="AO467" s="27"/>
      <c r="AP467" s="17"/>
      <c r="AQ467" s="17"/>
      <c r="AR467" s="17"/>
      <c r="AS467" s="17"/>
      <c r="AT467" s="17"/>
      <c r="AU467" s="17"/>
      <c r="AV467" s="17"/>
      <c r="AW467" s="17"/>
      <c r="AX467" s="17"/>
      <c r="BB467" s="17"/>
    </row>
    <row r="468" spans="1:54" x14ac:dyDescent="0.2">
      <c r="A468" s="17" t="s">
        <v>41</v>
      </c>
      <c r="B468" s="18" t="s">
        <v>42</v>
      </c>
      <c r="C468" s="18" t="str">
        <f t="shared" si="136"/>
        <v>BI10.12</v>
      </c>
      <c r="D468" s="18" t="str">
        <f t="shared" si="137"/>
        <v>BI10.12_467</v>
      </c>
      <c r="E468" s="17">
        <v>12</v>
      </c>
      <c r="F468" s="19">
        <v>467</v>
      </c>
      <c r="G468" s="20">
        <v>1.9</v>
      </c>
      <c r="H468" s="20">
        <v>2.1</v>
      </c>
      <c r="I468" s="20">
        <v>1.1499999999999999</v>
      </c>
      <c r="J468" s="20">
        <f t="shared" si="135"/>
        <v>3.6109999999999998</v>
      </c>
      <c r="K468" s="53">
        <v>0.22171052631578922</v>
      </c>
      <c r="L468" s="20">
        <f t="shared" si="147"/>
        <v>15.310526315789616</v>
      </c>
      <c r="M468" s="20">
        <f t="shared" si="146"/>
        <v>16.460526315789593</v>
      </c>
      <c r="N468" s="20">
        <f t="shared" si="146"/>
        <v>15.885526315789605</v>
      </c>
      <c r="O468" s="20">
        <f>P467+$AO$461</f>
        <v>455.31052631578962</v>
      </c>
      <c r="P468" s="20">
        <f t="shared" si="134"/>
        <v>456.46052631578959</v>
      </c>
      <c r="Q468" s="20">
        <f t="shared" si="145"/>
        <v>455.8855263157896</v>
      </c>
      <c r="R468" s="20">
        <f t="shared" si="148"/>
        <v>460.31052631578962</v>
      </c>
      <c r="S468" s="20">
        <f t="shared" si="132"/>
        <v>461.46052631578959</v>
      </c>
      <c r="T468" s="20">
        <f t="shared" si="133"/>
        <v>460.8855263157896</v>
      </c>
      <c r="U468" s="20">
        <v>460.8855263157896</v>
      </c>
      <c r="V468" s="22">
        <v>5.109</v>
      </c>
      <c r="W468" s="22">
        <v>2.3224999999999998</v>
      </c>
      <c r="X468" s="23">
        <v>1.1476266666666668</v>
      </c>
      <c r="Y468" s="23">
        <f t="shared" si="138"/>
        <v>3.9613733333333334</v>
      </c>
      <c r="Z468" s="23">
        <f t="shared" si="139"/>
        <v>1.174873333333333</v>
      </c>
      <c r="AA468" s="22">
        <f t="shared" si="140"/>
        <v>70.34176699663081</v>
      </c>
      <c r="AB468" s="22">
        <f t="shared" si="141"/>
        <v>29.65823300336919</v>
      </c>
      <c r="AC468" s="22">
        <f t="shared" si="142"/>
        <v>1.0970294470599096</v>
      </c>
      <c r="AD468" s="22">
        <f t="shared" si="143"/>
        <v>0.32535954952460067</v>
      </c>
      <c r="AE468" s="24">
        <v>5.4767999999999999</v>
      </c>
      <c r="AF468" s="24">
        <v>6.0880000000000001</v>
      </c>
      <c r="AG468" s="24">
        <v>5.7282999999999999</v>
      </c>
      <c r="AH468" s="25">
        <f>AG468-AE468</f>
        <v>0.25150000000000006</v>
      </c>
      <c r="AI468" s="25">
        <v>58.851439790575924</v>
      </c>
      <c r="AJ468" s="26">
        <v>2.9425719895287963</v>
      </c>
      <c r="AK468" s="25">
        <v>29.425719895287962</v>
      </c>
      <c r="AL468" s="26">
        <v>2.9439480147515273</v>
      </c>
      <c r="AM468" s="17">
        <f t="shared" si="144"/>
        <v>0.5780346820809249</v>
      </c>
      <c r="AN468" s="17"/>
      <c r="AO468" s="27"/>
      <c r="AP468" s="17"/>
      <c r="AQ468" s="17"/>
      <c r="AR468" s="17"/>
      <c r="AS468" s="17"/>
      <c r="AT468" s="17"/>
      <c r="AU468" s="17"/>
      <c r="AV468" s="17"/>
      <c r="AW468" s="17"/>
      <c r="AX468" s="17"/>
      <c r="BB468" s="17"/>
    </row>
    <row r="469" spans="1:54" x14ac:dyDescent="0.2">
      <c r="A469" s="17" t="s">
        <v>41</v>
      </c>
      <c r="B469" s="18" t="s">
        <v>42</v>
      </c>
      <c r="C469" s="18" t="str">
        <f t="shared" si="136"/>
        <v>BI10.12</v>
      </c>
      <c r="D469" s="18" t="str">
        <f t="shared" si="137"/>
        <v>BI10.12_468</v>
      </c>
      <c r="E469" s="17">
        <v>12</v>
      </c>
      <c r="F469" s="19">
        <v>468</v>
      </c>
      <c r="G469" s="20">
        <v>2</v>
      </c>
      <c r="H469" s="20">
        <v>2</v>
      </c>
      <c r="I469" s="20">
        <v>1</v>
      </c>
      <c r="J469" s="20">
        <f t="shared" si="135"/>
        <v>3.14</v>
      </c>
      <c r="K469" s="53">
        <v>0.22171052631578922</v>
      </c>
      <c r="L469" s="20">
        <f t="shared" si="147"/>
        <v>16.682236842105397</v>
      </c>
      <c r="M469" s="20">
        <f t="shared" si="146"/>
        <v>17.682236842105397</v>
      </c>
      <c r="N469" s="20">
        <f t="shared" si="146"/>
        <v>17.182236842105397</v>
      </c>
      <c r="O469" s="20">
        <f>P468+$AO$461</f>
        <v>456.6822368421054</v>
      </c>
      <c r="P469" s="20">
        <f t="shared" si="134"/>
        <v>457.6822368421054</v>
      </c>
      <c r="Q469" s="20">
        <f t="shared" si="145"/>
        <v>457.1822368421054</v>
      </c>
      <c r="R469" s="20">
        <f t="shared" si="148"/>
        <v>461.6822368421054</v>
      </c>
      <c r="S469" s="20">
        <f t="shared" si="132"/>
        <v>462.6822368421054</v>
      </c>
      <c r="T469" s="20">
        <f t="shared" si="133"/>
        <v>462.1822368421054</v>
      </c>
      <c r="U469" s="20">
        <v>462.1822368421054</v>
      </c>
      <c r="V469" s="22">
        <v>3.9055</v>
      </c>
      <c r="W469" s="22">
        <v>1.873</v>
      </c>
      <c r="X469" s="23">
        <v>1.1476266666666668</v>
      </c>
      <c r="Y469" s="23">
        <f t="shared" si="138"/>
        <v>2.7578733333333334</v>
      </c>
      <c r="Z469" s="23">
        <f t="shared" si="139"/>
        <v>0.7253733333333332</v>
      </c>
      <c r="AA469" s="22">
        <f t="shared" si="140"/>
        <v>73.698091041164574</v>
      </c>
      <c r="AB469" s="22">
        <f t="shared" si="141"/>
        <v>26.301908958835426</v>
      </c>
      <c r="AC469" s="22">
        <f t="shared" si="142"/>
        <v>0.87830360934182594</v>
      </c>
      <c r="AD469" s="22">
        <f t="shared" si="143"/>
        <v>0.23101061571125261</v>
      </c>
      <c r="AE469" s="24">
        <v>5.2446000000000002</v>
      </c>
      <c r="AF469" s="24">
        <v>6.0176999999999996</v>
      </c>
      <c r="AG469" s="24">
        <v>5.6253000000000002</v>
      </c>
      <c r="AH469" s="25">
        <f>AG469-AE469</f>
        <v>0.38070000000000004</v>
      </c>
      <c r="AI469" s="25">
        <v>50.756693830034884</v>
      </c>
      <c r="AJ469" s="26">
        <v>2.5378346915017445</v>
      </c>
      <c r="AK469" s="25">
        <v>25.378346915017442</v>
      </c>
      <c r="AL469" s="26">
        <v>2.5394300386877671</v>
      </c>
      <c r="AM469" s="17">
        <f t="shared" si="144"/>
        <v>0.5780346820809249</v>
      </c>
      <c r="AN469" s="17"/>
      <c r="AO469" s="27"/>
      <c r="AP469" s="17"/>
      <c r="AQ469" s="17"/>
      <c r="AR469" s="17"/>
      <c r="AS469" s="17"/>
      <c r="AT469" s="17"/>
      <c r="AU469" s="17"/>
      <c r="AV469" s="17"/>
      <c r="AW469" s="17"/>
      <c r="AX469" s="17"/>
      <c r="BB469" s="17"/>
    </row>
    <row r="470" spans="1:54" x14ac:dyDescent="0.2">
      <c r="A470" s="17" t="s">
        <v>41</v>
      </c>
      <c r="B470" s="18" t="s">
        <v>42</v>
      </c>
      <c r="C470" s="18" t="str">
        <f t="shared" si="136"/>
        <v>BI10.12</v>
      </c>
      <c r="D470" s="18" t="str">
        <f t="shared" si="137"/>
        <v>BI10.12_469</v>
      </c>
      <c r="E470" s="17">
        <v>12</v>
      </c>
      <c r="F470" s="19">
        <v>469</v>
      </c>
      <c r="G470" s="20">
        <v>1.9</v>
      </c>
      <c r="H470" s="20">
        <v>2.35</v>
      </c>
      <c r="I470" s="20">
        <v>1</v>
      </c>
      <c r="J470" s="20">
        <f t="shared" si="135"/>
        <v>3.5447656250000001</v>
      </c>
      <c r="K470" s="53">
        <v>0.22171052631578922</v>
      </c>
      <c r="L470" s="20">
        <f t="shared" si="147"/>
        <v>17.9039473684212</v>
      </c>
      <c r="M470" s="20">
        <f t="shared" si="146"/>
        <v>18.9039473684212</v>
      </c>
      <c r="N470" s="20">
        <f t="shared" si="146"/>
        <v>18.4039473684212</v>
      </c>
      <c r="O470" s="20">
        <f>P469+$AO$461</f>
        <v>457.9039473684212</v>
      </c>
      <c r="P470" s="20">
        <f t="shared" si="134"/>
        <v>458.9039473684212</v>
      </c>
      <c r="Q470" s="20">
        <f t="shared" si="145"/>
        <v>458.4039473684212</v>
      </c>
      <c r="R470" s="20">
        <f t="shared" si="148"/>
        <v>462.9039473684212</v>
      </c>
      <c r="S470" s="20">
        <f t="shared" si="132"/>
        <v>463.9039473684212</v>
      </c>
      <c r="T470" s="20">
        <f t="shared" si="133"/>
        <v>463.4039473684212</v>
      </c>
      <c r="U470" s="20">
        <v>463.4039473684212</v>
      </c>
      <c r="V470" s="22">
        <v>5.8140999999999998</v>
      </c>
      <c r="W470" s="22">
        <v>2.9449000000000001</v>
      </c>
      <c r="X470" s="23">
        <v>1.1476266666666668</v>
      </c>
      <c r="Y470" s="23">
        <f t="shared" si="138"/>
        <v>4.6664733333333333</v>
      </c>
      <c r="Z470" s="23">
        <f t="shared" si="139"/>
        <v>1.7972733333333333</v>
      </c>
      <c r="AA470" s="22">
        <f t="shared" si="140"/>
        <v>61.485404395324949</v>
      </c>
      <c r="AB470" s="22">
        <f t="shared" si="141"/>
        <v>38.514595604675051</v>
      </c>
      <c r="AC470" s="22">
        <f t="shared" si="142"/>
        <v>1.3164405850762935</v>
      </c>
      <c r="AD470" s="22">
        <f t="shared" si="143"/>
        <v>0.5070217677179526</v>
      </c>
      <c r="AE470" s="24">
        <v>5.7538</v>
      </c>
      <c r="AF470" s="24">
        <v>6.7542999999999997</v>
      </c>
      <c r="AG470" s="24">
        <v>6.3529999999999998</v>
      </c>
      <c r="AH470" s="25">
        <f>AG470-AE470</f>
        <v>0.59919999999999973</v>
      </c>
      <c r="AI470" s="25">
        <v>40.109945027486269</v>
      </c>
      <c r="AJ470" s="26">
        <v>2.0054972513743134</v>
      </c>
      <c r="AK470" s="25">
        <v>20.054972513743134</v>
      </c>
      <c r="AL470" s="26">
        <v>2.0075156849374616</v>
      </c>
      <c r="AM470" s="17">
        <f t="shared" si="144"/>
        <v>0.5780346820809249</v>
      </c>
      <c r="AN470" s="17"/>
      <c r="AO470" s="27"/>
      <c r="AP470" s="17"/>
      <c r="AQ470" s="17"/>
      <c r="AR470" s="17"/>
      <c r="AS470" s="17"/>
      <c r="AT470" s="17"/>
      <c r="AU470" s="17"/>
      <c r="AV470" s="17"/>
      <c r="AW470" s="17"/>
      <c r="AX470" s="17"/>
      <c r="BB470" s="17"/>
    </row>
    <row r="471" spans="1:54" x14ac:dyDescent="0.2">
      <c r="A471" s="17" t="s">
        <v>41</v>
      </c>
      <c r="B471" s="18" t="s">
        <v>42</v>
      </c>
      <c r="C471" s="18" t="str">
        <f t="shared" si="136"/>
        <v>BI10.12</v>
      </c>
      <c r="D471" s="18" t="str">
        <f t="shared" si="137"/>
        <v>BI10.12_470</v>
      </c>
      <c r="E471" s="17">
        <v>12</v>
      </c>
      <c r="F471" s="19">
        <v>470</v>
      </c>
      <c r="G471" s="20">
        <v>2.0499999999999998</v>
      </c>
      <c r="H471" s="20">
        <v>2.35</v>
      </c>
      <c r="I471" s="20">
        <v>1.1000000000000001</v>
      </c>
      <c r="J471" s="20">
        <f t="shared" si="135"/>
        <v>4.1793400000000016</v>
      </c>
      <c r="K471" s="53">
        <v>0.22171052631578922</v>
      </c>
      <c r="L471" s="20">
        <f t="shared" si="147"/>
        <v>19.125657894737003</v>
      </c>
      <c r="M471" s="20">
        <f t="shared" si="146"/>
        <v>20.225657894737026</v>
      </c>
      <c r="N471" s="20">
        <f t="shared" si="146"/>
        <v>19.675657894737014</v>
      </c>
      <c r="O471" s="20">
        <f>P470+$AO$461</f>
        <v>459.125657894737</v>
      </c>
      <c r="P471" s="20">
        <f t="shared" si="134"/>
        <v>460.22565789473703</v>
      </c>
      <c r="Q471" s="20">
        <f t="shared" si="145"/>
        <v>459.67565789473701</v>
      </c>
      <c r="R471" s="20">
        <f t="shared" si="148"/>
        <v>464.125657894737</v>
      </c>
      <c r="S471" s="20">
        <f t="shared" si="132"/>
        <v>465.22565789473703</v>
      </c>
      <c r="T471" s="20">
        <f t="shared" si="133"/>
        <v>464.67565789473701</v>
      </c>
      <c r="U471" s="20">
        <v>464.67565789473701</v>
      </c>
      <c r="V471" s="22">
        <v>6.6483999999999996</v>
      </c>
      <c r="W471" s="22">
        <v>3.0348999999999999</v>
      </c>
      <c r="X471" s="23">
        <v>1.1476266666666668</v>
      </c>
      <c r="Y471" s="23">
        <f t="shared" si="138"/>
        <v>5.5007733333333331</v>
      </c>
      <c r="Z471" s="23">
        <f t="shared" si="139"/>
        <v>1.8872733333333331</v>
      </c>
      <c r="AA471" s="22">
        <f t="shared" si="140"/>
        <v>65.690763480528801</v>
      </c>
      <c r="AB471" s="22">
        <f t="shared" si="141"/>
        <v>34.309236519471199</v>
      </c>
      <c r="AC471" s="22">
        <f t="shared" si="142"/>
        <v>1.3161822999165731</v>
      </c>
      <c r="AD471" s="22">
        <f t="shared" si="143"/>
        <v>0.45157209830579287</v>
      </c>
      <c r="AE471" s="24">
        <v>5.6189</v>
      </c>
      <c r="AF471" s="24">
        <v>6.2606999999999999</v>
      </c>
      <c r="AG471" s="24">
        <v>5.8925000000000001</v>
      </c>
      <c r="AH471" s="25">
        <f>AG471-AE471</f>
        <v>0.27360000000000007</v>
      </c>
      <c r="AI471" s="25">
        <v>57.369897164225605</v>
      </c>
      <c r="AJ471" s="26">
        <v>2.8684948582112804</v>
      </c>
      <c r="AK471" s="25">
        <v>28.684948582112803</v>
      </c>
      <c r="AL471" s="26">
        <v>2.8699064011888185</v>
      </c>
      <c r="AM471" s="17">
        <f t="shared" si="144"/>
        <v>0.5780346820809249</v>
      </c>
      <c r="AN471" s="17"/>
      <c r="AO471" s="27"/>
      <c r="AP471" s="17"/>
      <c r="AQ471" s="17"/>
      <c r="AR471" s="17"/>
      <c r="AS471" s="17"/>
      <c r="AT471" s="17"/>
      <c r="AU471" s="17"/>
      <c r="AV471" s="17"/>
      <c r="AW471" s="17"/>
      <c r="AX471" s="17"/>
      <c r="BB471" s="17"/>
    </row>
    <row r="472" spans="1:54" x14ac:dyDescent="0.2">
      <c r="A472" s="17" t="s">
        <v>41</v>
      </c>
      <c r="B472" s="18" t="s">
        <v>42</v>
      </c>
      <c r="C472" s="18" t="str">
        <f t="shared" si="136"/>
        <v>BI10.12</v>
      </c>
      <c r="D472" s="18" t="str">
        <f t="shared" si="137"/>
        <v>BI10.12_471</v>
      </c>
      <c r="E472" s="17">
        <v>12</v>
      </c>
      <c r="F472" s="19">
        <v>471</v>
      </c>
      <c r="G472" s="20">
        <v>2.4500000000000002</v>
      </c>
      <c r="H472" s="20">
        <v>2.4</v>
      </c>
      <c r="I472" s="20">
        <v>1.1000000000000001</v>
      </c>
      <c r="J472" s="20">
        <f t="shared" si="135"/>
        <v>5.0779196874999997</v>
      </c>
      <c r="K472" s="53">
        <v>0.22171052631578922</v>
      </c>
      <c r="L472" s="20">
        <f t="shared" si="147"/>
        <v>20.447368421052829</v>
      </c>
      <c r="M472" s="20">
        <f t="shared" si="147"/>
        <v>21.547368421052852</v>
      </c>
      <c r="N472" s="20">
        <f t="shared" si="147"/>
        <v>20.99736842105284</v>
      </c>
      <c r="O472" s="20">
        <f>P471+$AO$461</f>
        <v>460.44736842105283</v>
      </c>
      <c r="P472" s="20">
        <f t="shared" si="134"/>
        <v>461.54736842105285</v>
      </c>
      <c r="Q472" s="20">
        <f t="shared" si="145"/>
        <v>460.99736842105284</v>
      </c>
      <c r="R472" s="20">
        <f t="shared" si="148"/>
        <v>465.44736842105283</v>
      </c>
      <c r="S472" s="20">
        <f t="shared" si="132"/>
        <v>466.54736842105285</v>
      </c>
      <c r="T472" s="20">
        <f t="shared" si="133"/>
        <v>465.99736842105284</v>
      </c>
      <c r="U472" s="20">
        <v>465.99736842105284</v>
      </c>
      <c r="V472" s="22">
        <v>6.4945000000000004</v>
      </c>
      <c r="W472" s="22">
        <v>2.4727999999999999</v>
      </c>
      <c r="X472" s="23">
        <v>1.1476266666666668</v>
      </c>
      <c r="Y472" s="23">
        <f t="shared" si="138"/>
        <v>5.3468733333333338</v>
      </c>
      <c r="Z472" s="23">
        <f t="shared" si="139"/>
        <v>1.3251733333333331</v>
      </c>
      <c r="AA472" s="22">
        <f t="shared" si="140"/>
        <v>75.215920581623422</v>
      </c>
      <c r="AB472" s="22">
        <f t="shared" si="141"/>
        <v>24.784079418376578</v>
      </c>
      <c r="AC472" s="22">
        <f t="shared" si="142"/>
        <v>1.0529653209158469</v>
      </c>
      <c r="AD472" s="22">
        <f t="shared" si="143"/>
        <v>0.26096776138374739</v>
      </c>
      <c r="AE472" s="24">
        <v>5.1135000000000002</v>
      </c>
      <c r="AF472" s="24">
        <v>6.0042999999999997</v>
      </c>
      <c r="AG472" s="24">
        <v>5.6205999999999996</v>
      </c>
      <c r="AH472" s="25">
        <f>AG472-AE472</f>
        <v>0.50709999999999944</v>
      </c>
      <c r="AI472" s="25">
        <v>43.073641670408655</v>
      </c>
      <c r="AJ472" s="26">
        <v>2.1536820835204327</v>
      </c>
      <c r="AK472" s="25">
        <v>21.536820835204328</v>
      </c>
      <c r="AL472" s="26">
        <v>2.1555617636423485</v>
      </c>
      <c r="AM472" s="17">
        <f t="shared" si="144"/>
        <v>0.5780346820809249</v>
      </c>
      <c r="AN472" s="17"/>
      <c r="AO472" s="27"/>
      <c r="AP472" s="17"/>
      <c r="AQ472" s="17"/>
      <c r="AR472" s="17"/>
      <c r="AS472" s="17"/>
      <c r="AT472" s="17"/>
      <c r="AU472" s="17"/>
      <c r="AV472" s="17"/>
      <c r="AW472" s="17"/>
      <c r="AX472" s="17"/>
      <c r="BB472" s="17"/>
    </row>
    <row r="473" spans="1:54" x14ac:dyDescent="0.2">
      <c r="A473" s="17" t="s">
        <v>41</v>
      </c>
      <c r="B473" s="18" t="s">
        <v>42</v>
      </c>
      <c r="C473" s="18" t="str">
        <f t="shared" si="136"/>
        <v>BI10.12</v>
      </c>
      <c r="D473" s="18" t="str">
        <f t="shared" si="137"/>
        <v>BI10.12_472</v>
      </c>
      <c r="E473" s="17">
        <v>12</v>
      </c>
      <c r="F473" s="19">
        <v>472</v>
      </c>
      <c r="G473" s="20">
        <v>2.4500000000000002</v>
      </c>
      <c r="H473" s="20">
        <v>2.2999999999999998</v>
      </c>
      <c r="I473" s="20">
        <v>1.05</v>
      </c>
      <c r="J473" s="20">
        <f t="shared" si="135"/>
        <v>4.6492851562500004</v>
      </c>
      <c r="K473" s="53">
        <v>0.22171052631578922</v>
      </c>
      <c r="L473" s="20">
        <f t="shared" si="147"/>
        <v>21.769078947368655</v>
      </c>
      <c r="M473" s="20">
        <f t="shared" si="147"/>
        <v>22.819078947368666</v>
      </c>
      <c r="N473" s="20">
        <f t="shared" si="147"/>
        <v>22.294078947368689</v>
      </c>
      <c r="O473" s="20">
        <f>P472+$AO$461</f>
        <v>461.76907894736866</v>
      </c>
      <c r="P473" s="20">
        <f t="shared" si="134"/>
        <v>462.81907894736867</v>
      </c>
      <c r="Q473" s="20">
        <f t="shared" si="145"/>
        <v>462.29407894736869</v>
      </c>
      <c r="R473" s="20">
        <f t="shared" si="148"/>
        <v>466.76907894736866</v>
      </c>
      <c r="S473" s="20">
        <f t="shared" si="132"/>
        <v>467.81907894736867</v>
      </c>
      <c r="T473" s="20">
        <f t="shared" si="133"/>
        <v>467.29407894736869</v>
      </c>
      <c r="U473" s="20">
        <v>467.29407894736869</v>
      </c>
      <c r="V473" s="22">
        <v>6.0941999999999998</v>
      </c>
      <c r="W473" s="22">
        <v>2.3235999999999999</v>
      </c>
      <c r="X473" s="23">
        <v>1.1476266666666668</v>
      </c>
      <c r="Y473" s="23">
        <f t="shared" si="138"/>
        <v>4.9465733333333333</v>
      </c>
      <c r="Z473" s="23">
        <f t="shared" si="139"/>
        <v>1.1759733333333331</v>
      </c>
      <c r="AA473" s="22">
        <f t="shared" si="140"/>
        <v>76.226505621399866</v>
      </c>
      <c r="AB473" s="22">
        <f t="shared" si="141"/>
        <v>23.773494378600134</v>
      </c>
      <c r="AC473" s="22">
        <f t="shared" si="142"/>
        <v>1.0639427712201499</v>
      </c>
      <c r="AD473" s="22">
        <f t="shared" si="143"/>
        <v>0.25293637490754478</v>
      </c>
      <c r="AE473" s="24">
        <v>5.4027000000000003</v>
      </c>
      <c r="AF473" s="24">
        <v>5.9494999999999996</v>
      </c>
      <c r="AG473" s="24">
        <v>5.5682</v>
      </c>
      <c r="AH473" s="25">
        <f>AG473-AE473</f>
        <v>0.16549999999999976</v>
      </c>
      <c r="AI473" s="25">
        <v>69.73299195318215</v>
      </c>
      <c r="AJ473" s="26">
        <v>3.4866495976591079</v>
      </c>
      <c r="AK473" s="25">
        <v>34.866495976591075</v>
      </c>
      <c r="AL473" s="26">
        <v>3.4878109777991724</v>
      </c>
      <c r="AM473" s="17">
        <f t="shared" si="144"/>
        <v>0.5780346820809249</v>
      </c>
      <c r="AN473" s="17"/>
      <c r="AO473" s="27"/>
      <c r="AP473" s="17"/>
      <c r="AQ473" s="17"/>
      <c r="AR473" s="17"/>
      <c r="AS473" s="17"/>
      <c r="AT473" s="17"/>
      <c r="AU473" s="17"/>
      <c r="AV473" s="17"/>
      <c r="AW473" s="17"/>
      <c r="AX473" s="17"/>
      <c r="BB473" s="17"/>
    </row>
    <row r="474" spans="1:54" x14ac:dyDescent="0.2">
      <c r="A474" s="17" t="s">
        <v>41</v>
      </c>
      <c r="B474" s="18" t="s">
        <v>42</v>
      </c>
      <c r="C474" s="18" t="str">
        <f t="shared" si="136"/>
        <v>BI10.12</v>
      </c>
      <c r="D474" s="18" t="str">
        <f t="shared" si="137"/>
        <v>BI10.12_473</v>
      </c>
      <c r="E474" s="17">
        <v>12</v>
      </c>
      <c r="F474" s="19">
        <v>473</v>
      </c>
      <c r="G474" s="20">
        <v>2.2999999999999998</v>
      </c>
      <c r="H474" s="20">
        <v>2.4</v>
      </c>
      <c r="I474" s="20">
        <v>1</v>
      </c>
      <c r="J474" s="20">
        <f t="shared" si="135"/>
        <v>4.3351624999999991</v>
      </c>
      <c r="K474" s="53">
        <v>0.22171052631578922</v>
      </c>
      <c r="L474" s="20">
        <f t="shared" si="147"/>
        <v>23.04078947368447</v>
      </c>
      <c r="M474" s="20">
        <f t="shared" si="147"/>
        <v>24.04078947368447</v>
      </c>
      <c r="N474" s="20">
        <f t="shared" si="147"/>
        <v>23.54078947368447</v>
      </c>
      <c r="O474" s="20">
        <f>P473+$AO$461</f>
        <v>463.04078947368447</v>
      </c>
      <c r="P474" s="20">
        <f t="shared" si="134"/>
        <v>464.04078947368447</v>
      </c>
      <c r="Q474" s="20">
        <f t="shared" si="145"/>
        <v>463.54078947368447</v>
      </c>
      <c r="R474" s="20">
        <f t="shared" si="148"/>
        <v>468.04078947368447</v>
      </c>
      <c r="S474" s="20">
        <f t="shared" si="132"/>
        <v>469.04078947368447</v>
      </c>
      <c r="T474" s="20">
        <f t="shared" si="133"/>
        <v>468.54078947368447</v>
      </c>
      <c r="U474" s="20">
        <v>468.54078947368447</v>
      </c>
      <c r="V474" s="22">
        <v>6.1741999999999999</v>
      </c>
      <c r="W474" s="22">
        <v>2.3384</v>
      </c>
      <c r="X474" s="23">
        <v>1.1476266666666668</v>
      </c>
      <c r="Y474" s="23">
        <f t="shared" si="138"/>
        <v>5.0265733333333333</v>
      </c>
      <c r="Z474" s="23">
        <f t="shared" si="139"/>
        <v>1.1907733333333332</v>
      </c>
      <c r="AA474" s="22">
        <f t="shared" si="140"/>
        <v>76.310435472276666</v>
      </c>
      <c r="AB474" s="22">
        <f t="shared" si="141"/>
        <v>23.689564527723334</v>
      </c>
      <c r="AC474" s="22">
        <f t="shared" si="142"/>
        <v>1.159489023383399</v>
      </c>
      <c r="AD474" s="22">
        <f t="shared" si="143"/>
        <v>0.27467790038627926</v>
      </c>
      <c r="AE474" s="24">
        <v>4.9501999999999997</v>
      </c>
      <c r="AF474" s="24">
        <v>5.4421999999999997</v>
      </c>
      <c r="AG474" s="24">
        <v>5.0856000000000003</v>
      </c>
      <c r="AH474" s="25">
        <f>AG474-AE474</f>
        <v>0.13540000000000063</v>
      </c>
      <c r="AI474" s="25">
        <v>72.479674796747844</v>
      </c>
      <c r="AJ474" s="26">
        <v>3.6239837398373922</v>
      </c>
      <c r="AK474" s="25">
        <v>36.239837398373922</v>
      </c>
      <c r="AL474" s="26">
        <v>3.6251011222593243</v>
      </c>
      <c r="AM474" s="17">
        <f t="shared" si="144"/>
        <v>0.5780346820809249</v>
      </c>
      <c r="AN474" s="17"/>
      <c r="AO474" s="27"/>
      <c r="AP474" s="17"/>
      <c r="AQ474" s="17"/>
      <c r="AR474" s="17"/>
      <c r="AS474" s="17"/>
      <c r="AT474" s="17"/>
      <c r="AU474" s="17"/>
      <c r="AV474" s="17"/>
      <c r="AW474" s="17"/>
      <c r="AX474" s="17"/>
      <c r="BB474" s="17"/>
    </row>
    <row r="475" spans="1:54" x14ac:dyDescent="0.2">
      <c r="A475" s="17" t="s">
        <v>41</v>
      </c>
      <c r="B475" s="18" t="s">
        <v>42</v>
      </c>
      <c r="C475" s="18" t="str">
        <f t="shared" si="136"/>
        <v>BI10.12</v>
      </c>
      <c r="D475" s="18" t="str">
        <f t="shared" si="137"/>
        <v>BI10.12_474</v>
      </c>
      <c r="E475" s="17">
        <v>12</v>
      </c>
      <c r="F475" s="19">
        <v>474</v>
      </c>
      <c r="G475" s="20">
        <v>2.0499999999999998</v>
      </c>
      <c r="H475" s="20">
        <v>2.35</v>
      </c>
      <c r="I475" s="20">
        <v>1.05</v>
      </c>
      <c r="J475" s="20">
        <f t="shared" si="135"/>
        <v>3.9893700000000014</v>
      </c>
      <c r="K475" s="53">
        <v>0.22171052631578922</v>
      </c>
      <c r="L475" s="20">
        <f t="shared" si="147"/>
        <v>24.262500000000273</v>
      </c>
      <c r="M475" s="20">
        <f t="shared" si="147"/>
        <v>25.312500000000284</v>
      </c>
      <c r="N475" s="20">
        <f t="shared" si="147"/>
        <v>24.78750000000025</v>
      </c>
      <c r="O475" s="20">
        <f>P474+$AO$461</f>
        <v>464.26250000000027</v>
      </c>
      <c r="P475" s="20">
        <f t="shared" si="134"/>
        <v>465.31250000000028</v>
      </c>
      <c r="Q475" s="20">
        <f t="shared" si="145"/>
        <v>464.78750000000025</v>
      </c>
      <c r="R475" s="20">
        <f t="shared" si="148"/>
        <v>469.26250000000027</v>
      </c>
      <c r="S475" s="20">
        <f t="shared" si="132"/>
        <v>470.31250000000028</v>
      </c>
      <c r="T475" s="20">
        <f t="shared" si="133"/>
        <v>469.78750000000025</v>
      </c>
      <c r="U475" s="20">
        <v>469.78750000000025</v>
      </c>
      <c r="V475" s="22">
        <v>5.7534999999999998</v>
      </c>
      <c r="W475" s="22">
        <v>2.2290000000000001</v>
      </c>
      <c r="X475" s="23">
        <v>1.1476266666666668</v>
      </c>
      <c r="Y475" s="23">
        <f t="shared" si="138"/>
        <v>4.6058733333333333</v>
      </c>
      <c r="Z475" s="23">
        <f t="shared" si="139"/>
        <v>1.0813733333333333</v>
      </c>
      <c r="AA475" s="22">
        <f t="shared" si="140"/>
        <v>76.521861217778451</v>
      </c>
      <c r="AB475" s="22">
        <f t="shared" si="141"/>
        <v>23.478138782221549</v>
      </c>
      <c r="AC475" s="22">
        <f t="shared" si="142"/>
        <v>1.1545365141196058</v>
      </c>
      <c r="AD475" s="22">
        <f t="shared" si="143"/>
        <v>0.27106368507642381</v>
      </c>
      <c r="AE475" s="24">
        <v>5.6909000000000001</v>
      </c>
      <c r="AF475" s="24">
        <v>6.0166000000000004</v>
      </c>
      <c r="AG475" s="24">
        <v>5.8236999999999997</v>
      </c>
      <c r="AH475" s="25">
        <f>AG475-AE475</f>
        <v>0.13279999999999959</v>
      </c>
      <c r="AI475" s="25">
        <v>59.226281854467466</v>
      </c>
      <c r="AJ475" s="26">
        <v>2.9613140927233736</v>
      </c>
      <c r="AK475" s="25">
        <v>29.613140927233733</v>
      </c>
      <c r="AL475" s="26">
        <v>2.9626814131394652</v>
      </c>
      <c r="AM475" s="17">
        <f t="shared" si="144"/>
        <v>0.5780346820809249</v>
      </c>
      <c r="AN475" s="17"/>
      <c r="AO475" s="27"/>
      <c r="AP475" s="17"/>
      <c r="AQ475" s="17"/>
      <c r="AR475" s="17"/>
      <c r="AS475" s="17"/>
      <c r="AT475" s="17"/>
      <c r="AU475" s="17"/>
      <c r="AV475" s="17"/>
      <c r="AW475" s="17"/>
      <c r="AX475" s="17"/>
      <c r="BB475" s="17"/>
    </row>
    <row r="476" spans="1:54" x14ac:dyDescent="0.2">
      <c r="A476" s="17" t="s">
        <v>41</v>
      </c>
      <c r="B476" s="18" t="s">
        <v>42</v>
      </c>
      <c r="C476" s="18" t="str">
        <f t="shared" si="136"/>
        <v>BI10.12</v>
      </c>
      <c r="D476" s="18" t="str">
        <f t="shared" si="137"/>
        <v>BI10.12_475</v>
      </c>
      <c r="E476" s="17">
        <v>12</v>
      </c>
      <c r="F476" s="19">
        <v>475</v>
      </c>
      <c r="G476" s="20">
        <v>2.2999999999999998</v>
      </c>
      <c r="H476" s="20">
        <v>1.6</v>
      </c>
      <c r="I476" s="20">
        <v>1.1000000000000001</v>
      </c>
      <c r="J476" s="20">
        <f t="shared" si="135"/>
        <v>3.2834587500000003</v>
      </c>
      <c r="K476" s="53">
        <v>0.22171052631578922</v>
      </c>
      <c r="L476" s="20">
        <f t="shared" si="147"/>
        <v>25.534210526316087</v>
      </c>
      <c r="M476" s="20">
        <f t="shared" si="147"/>
        <v>26.63421052631611</v>
      </c>
      <c r="N476" s="20">
        <f t="shared" si="147"/>
        <v>26.084210526316099</v>
      </c>
      <c r="O476" s="20">
        <f>P475+$AO$461</f>
        <v>465.53421052631609</v>
      </c>
      <c r="P476" s="20">
        <f t="shared" si="134"/>
        <v>466.63421052631611</v>
      </c>
      <c r="Q476" s="20">
        <f t="shared" si="145"/>
        <v>466.0842105263161</v>
      </c>
      <c r="R476" s="20">
        <f t="shared" si="148"/>
        <v>470.53421052631609</v>
      </c>
      <c r="S476" s="20">
        <f t="shared" si="132"/>
        <v>471.63421052631611</v>
      </c>
      <c r="T476" s="20">
        <f t="shared" si="133"/>
        <v>471.0842105263161</v>
      </c>
      <c r="U476" s="20">
        <v>471.0842105263161</v>
      </c>
      <c r="V476" s="22">
        <v>6.2466999999999997</v>
      </c>
      <c r="W476" s="22">
        <v>4.4433999999999996</v>
      </c>
      <c r="X476" s="23">
        <v>1.1476266666666668</v>
      </c>
      <c r="Y476" s="23">
        <f t="shared" si="138"/>
        <v>5.0990733333333331</v>
      </c>
      <c r="Z476" s="23">
        <f t="shared" si="139"/>
        <v>3.295773333333333</v>
      </c>
      <c r="AA476" s="22">
        <f t="shared" si="140"/>
        <v>35.365249372108138</v>
      </c>
      <c r="AB476" s="22">
        <f t="shared" si="141"/>
        <v>64.634750627891862</v>
      </c>
      <c r="AC476" s="22">
        <f t="shared" si="142"/>
        <v>1.5529579390431911</v>
      </c>
      <c r="AD476" s="22">
        <f t="shared" si="143"/>
        <v>1.0037504912566155</v>
      </c>
      <c r="AE476" s="24">
        <v>5.5652999999999997</v>
      </c>
      <c r="AF476" s="24">
        <v>12.8315</v>
      </c>
      <c r="AG476" s="24">
        <v>12.660500000000001</v>
      </c>
      <c r="AH476" s="25">
        <f>AG476-AE476</f>
        <v>7.0952000000000011</v>
      </c>
      <c r="AI476" s="25">
        <v>2.3533621425229057</v>
      </c>
      <c r="AJ476" s="26">
        <v>0.11766810712614528</v>
      </c>
      <c r="AK476" s="25">
        <v>1.1766810712614528</v>
      </c>
      <c r="AL476" s="26">
        <v>0.14814109299802672</v>
      </c>
      <c r="AM476" s="17">
        <f t="shared" si="144"/>
        <v>0.5780346820809249</v>
      </c>
      <c r="AN476" s="17"/>
      <c r="AO476" s="27"/>
      <c r="AP476" s="17"/>
      <c r="AQ476" s="17"/>
      <c r="AR476" s="17"/>
      <c r="AS476" s="17"/>
      <c r="AT476" s="17"/>
      <c r="AU476" s="17"/>
      <c r="AV476" s="17"/>
      <c r="AW476" s="17"/>
      <c r="AX476" s="17"/>
      <c r="BB476" s="17"/>
    </row>
    <row r="477" spans="1:54" x14ac:dyDescent="0.2">
      <c r="A477" s="17" t="s">
        <v>41</v>
      </c>
      <c r="B477" s="18" t="s">
        <v>42</v>
      </c>
      <c r="C477" s="18" t="str">
        <f t="shared" si="136"/>
        <v>BI10.12</v>
      </c>
      <c r="D477" s="18" t="str">
        <f t="shared" si="137"/>
        <v>BI10.12_476</v>
      </c>
      <c r="E477" s="17">
        <v>12</v>
      </c>
      <c r="F477" s="19">
        <v>476</v>
      </c>
      <c r="G477" s="20">
        <v>2.4500000000000002</v>
      </c>
      <c r="H477" s="20">
        <v>1.8</v>
      </c>
      <c r="I477" s="20">
        <v>1</v>
      </c>
      <c r="J477" s="20">
        <f t="shared" si="135"/>
        <v>3.5447656250000001</v>
      </c>
      <c r="K477" s="53">
        <v>0.22171052631578922</v>
      </c>
      <c r="L477" s="20">
        <f t="shared" si="147"/>
        <v>26.855921052631913</v>
      </c>
      <c r="M477" s="20">
        <f t="shared" si="147"/>
        <v>27.855921052631913</v>
      </c>
      <c r="N477" s="20">
        <f t="shared" si="147"/>
        <v>27.355921052631913</v>
      </c>
      <c r="O477" s="20">
        <f>P476+$AO$461</f>
        <v>466.85592105263191</v>
      </c>
      <c r="P477" s="20">
        <f t="shared" si="134"/>
        <v>467.85592105263191</v>
      </c>
      <c r="Q477" s="20">
        <f t="shared" si="145"/>
        <v>467.35592105263191</v>
      </c>
      <c r="R477" s="20">
        <f t="shared" si="148"/>
        <v>471.85592105263191</v>
      </c>
      <c r="S477" s="20">
        <f t="shared" si="132"/>
        <v>472.85592105263191</v>
      </c>
      <c r="T477" s="20">
        <f t="shared" si="133"/>
        <v>472.35592105263191</v>
      </c>
      <c r="U477" s="20">
        <v>472.35592105263191</v>
      </c>
      <c r="V477" s="22">
        <v>5.1261000000000001</v>
      </c>
      <c r="W477" s="22">
        <v>2.8344</v>
      </c>
      <c r="X477" s="23">
        <v>1.1476266666666668</v>
      </c>
      <c r="Y477" s="23">
        <f t="shared" si="138"/>
        <v>3.9784733333333335</v>
      </c>
      <c r="Z477" s="23">
        <f t="shared" si="139"/>
        <v>1.6867733333333332</v>
      </c>
      <c r="AA477" s="22">
        <f t="shared" si="140"/>
        <v>57.602497440391723</v>
      </c>
      <c r="AB477" s="22">
        <f t="shared" si="141"/>
        <v>42.397502559608277</v>
      </c>
      <c r="AC477" s="22">
        <f t="shared" si="142"/>
        <v>1.1223515894180827</v>
      </c>
      <c r="AD477" s="22">
        <f t="shared" si="143"/>
        <v>0.47584904385133592</v>
      </c>
      <c r="AE477" s="24">
        <v>5.5727000000000002</v>
      </c>
      <c r="AF477" s="24">
        <v>5.9040999999999997</v>
      </c>
      <c r="AG477" s="24">
        <v>5.6870000000000003</v>
      </c>
      <c r="AH477" s="25">
        <f>AG477-AE477</f>
        <v>0.11430000000000007</v>
      </c>
      <c r="AI477" s="25">
        <v>65.509957754978799</v>
      </c>
      <c r="AJ477" s="26">
        <v>3.2754978877489402</v>
      </c>
      <c r="AK477" s="25">
        <v>32.7549788774894</v>
      </c>
      <c r="AL477" s="26">
        <v>3.2767341077127039</v>
      </c>
      <c r="AM477" s="17">
        <f t="shared" si="144"/>
        <v>0.5780346820809249</v>
      </c>
      <c r="AN477" s="17"/>
      <c r="AO477" s="27"/>
      <c r="AP477" s="17"/>
      <c r="AQ477" s="17"/>
      <c r="AR477" s="17"/>
      <c r="AS477" s="17"/>
      <c r="AT477" s="17"/>
      <c r="AU477" s="17"/>
      <c r="AV477" s="17"/>
      <c r="AW477" s="17"/>
      <c r="AX477" s="17"/>
      <c r="BB477" s="17"/>
    </row>
    <row r="478" spans="1:54" x14ac:dyDescent="0.2">
      <c r="A478" s="17" t="s">
        <v>41</v>
      </c>
      <c r="B478" s="18" t="s">
        <v>42</v>
      </c>
      <c r="C478" s="18" t="str">
        <f t="shared" si="136"/>
        <v>BI10.12</v>
      </c>
      <c r="D478" s="18" t="str">
        <f t="shared" si="137"/>
        <v>BI10.12_477</v>
      </c>
      <c r="E478" s="17">
        <v>12</v>
      </c>
      <c r="F478" s="19">
        <v>477</v>
      </c>
      <c r="G478" s="20">
        <v>2.35</v>
      </c>
      <c r="H478" s="20">
        <v>2</v>
      </c>
      <c r="I478" s="20">
        <v>1.1000000000000001</v>
      </c>
      <c r="J478" s="20">
        <f t="shared" si="135"/>
        <v>4.0848946874999994</v>
      </c>
      <c r="K478" s="53">
        <v>0.22171052631578922</v>
      </c>
      <c r="L478" s="20">
        <f t="shared" si="147"/>
        <v>28.077631578947717</v>
      </c>
      <c r="M478" s="20">
        <f t="shared" si="147"/>
        <v>29.177631578947739</v>
      </c>
      <c r="N478" s="20">
        <f t="shared" si="147"/>
        <v>28.627631578947728</v>
      </c>
      <c r="O478" s="20">
        <f>P477+$AO$461</f>
        <v>468.07763157894772</v>
      </c>
      <c r="P478" s="20">
        <f t="shared" si="134"/>
        <v>469.17763157894774</v>
      </c>
      <c r="Q478" s="20">
        <f t="shared" si="145"/>
        <v>468.62763157894773</v>
      </c>
      <c r="R478" s="20">
        <f t="shared" si="148"/>
        <v>473.07763157894772</v>
      </c>
      <c r="S478" s="20">
        <f t="shared" si="132"/>
        <v>474.17763157894774</v>
      </c>
      <c r="T478" s="20">
        <f t="shared" si="133"/>
        <v>473.62763157894773</v>
      </c>
      <c r="U478" s="20">
        <v>473.62763157894773</v>
      </c>
      <c r="V478" s="22">
        <v>5.5674999999999999</v>
      </c>
      <c r="W478" s="22">
        <v>2.266</v>
      </c>
      <c r="X478" s="23">
        <v>1.1476266666666668</v>
      </c>
      <c r="Y478" s="23">
        <f t="shared" si="138"/>
        <v>4.4198733333333333</v>
      </c>
      <c r="Z478" s="23">
        <f t="shared" si="139"/>
        <v>1.1183733333333332</v>
      </c>
      <c r="AA478" s="22">
        <f t="shared" si="140"/>
        <v>74.696710765466875</v>
      </c>
      <c r="AB478" s="22">
        <f t="shared" si="141"/>
        <v>25.303289234533125</v>
      </c>
      <c r="AC478" s="22">
        <f t="shared" si="142"/>
        <v>1.0820042305762219</v>
      </c>
      <c r="AD478" s="22">
        <f t="shared" si="143"/>
        <v>0.273782659992586</v>
      </c>
      <c r="AE478" s="24">
        <v>5.1856</v>
      </c>
      <c r="AF478" s="24">
        <v>5.5187999999999997</v>
      </c>
      <c r="AG478" s="24">
        <v>5.2862999999999998</v>
      </c>
      <c r="AH478" s="25">
        <f>AG478-AE478</f>
        <v>0.10069999999999979</v>
      </c>
      <c r="AI478" s="25">
        <v>69.77791116446582</v>
      </c>
      <c r="AJ478" s="26">
        <v>3.488895558223291</v>
      </c>
      <c r="AK478" s="25">
        <v>34.88895558223291</v>
      </c>
      <c r="AL478" s="26">
        <v>3.4900561909789087</v>
      </c>
      <c r="AM478" s="17">
        <f t="shared" si="144"/>
        <v>0.5780346820809249</v>
      </c>
      <c r="AN478" s="17"/>
      <c r="AO478" s="27"/>
      <c r="AP478" s="17"/>
      <c r="AQ478" s="17"/>
      <c r="AR478" s="17"/>
      <c r="AS478" s="17"/>
      <c r="AT478" s="17"/>
      <c r="AU478" s="17"/>
      <c r="AV478" s="17"/>
      <c r="AW478" s="17"/>
      <c r="AX478" s="17"/>
      <c r="BB478" s="17"/>
    </row>
    <row r="479" spans="1:54" x14ac:dyDescent="0.2">
      <c r="A479" s="17" t="s">
        <v>41</v>
      </c>
      <c r="B479" s="18" t="s">
        <v>42</v>
      </c>
      <c r="C479" s="18" t="str">
        <f t="shared" si="136"/>
        <v>BI10.12</v>
      </c>
      <c r="D479" s="18" t="str">
        <f t="shared" si="137"/>
        <v>BI10.12_478</v>
      </c>
      <c r="E479" s="17">
        <v>12</v>
      </c>
      <c r="F479" s="19">
        <v>478</v>
      </c>
      <c r="G479" s="20">
        <v>1.9</v>
      </c>
      <c r="H479" s="20">
        <v>2.6</v>
      </c>
      <c r="I479" s="20">
        <v>1.1000000000000001</v>
      </c>
      <c r="J479" s="20">
        <f t="shared" si="135"/>
        <v>4.3714687500000009</v>
      </c>
      <c r="K479" s="53">
        <v>0.22171052631578922</v>
      </c>
      <c r="L479" s="20">
        <f t="shared" si="147"/>
        <v>29.399342105263543</v>
      </c>
      <c r="M479" s="20">
        <f t="shared" si="147"/>
        <v>30.499342105263565</v>
      </c>
      <c r="N479" s="20">
        <f t="shared" si="147"/>
        <v>29.949342105263554</v>
      </c>
      <c r="O479" s="20">
        <f>P478+$AO$461</f>
        <v>469.39934210526354</v>
      </c>
      <c r="P479" s="20">
        <f t="shared" si="134"/>
        <v>470.49934210526357</v>
      </c>
      <c r="Q479" s="20">
        <f t="shared" si="145"/>
        <v>469.94934210526355</v>
      </c>
      <c r="R479" s="20">
        <f t="shared" si="148"/>
        <v>474.39934210526354</v>
      </c>
      <c r="S479" s="20">
        <f t="shared" si="132"/>
        <v>475.49934210526357</v>
      </c>
      <c r="T479" s="20">
        <f t="shared" si="133"/>
        <v>474.94934210526355</v>
      </c>
      <c r="U479" s="20">
        <v>474.94934210526355</v>
      </c>
      <c r="V479" s="22">
        <v>4.4809000000000001</v>
      </c>
      <c r="W479" s="22">
        <v>2.1229</v>
      </c>
      <c r="X479" s="23">
        <v>1.1476266666666668</v>
      </c>
      <c r="Y479" s="23">
        <f t="shared" si="138"/>
        <v>3.3332733333333335</v>
      </c>
      <c r="Z479" s="23">
        <f t="shared" si="139"/>
        <v>0.97527333333333321</v>
      </c>
      <c r="AA479" s="22">
        <f t="shared" si="140"/>
        <v>70.741273342920181</v>
      </c>
      <c r="AB479" s="22">
        <f t="shared" si="141"/>
        <v>29.258726657079819</v>
      </c>
      <c r="AC479" s="22">
        <f t="shared" si="142"/>
        <v>0.76250649929347725</v>
      </c>
      <c r="AD479" s="22">
        <f t="shared" si="143"/>
        <v>0.22309969237074678</v>
      </c>
      <c r="AE479" s="24">
        <v>5.5294999999999996</v>
      </c>
      <c r="AF479" s="24">
        <v>6.2083000000000004</v>
      </c>
      <c r="AG479" s="24">
        <v>5.9329000000000001</v>
      </c>
      <c r="AH479" s="25">
        <f>AG479-AE479</f>
        <v>0.40340000000000042</v>
      </c>
      <c r="AI479" s="25">
        <v>40.571596935769008</v>
      </c>
      <c r="AJ479" s="26">
        <v>2.0285798467884506</v>
      </c>
      <c r="AK479" s="25">
        <v>20.285798467884504</v>
      </c>
      <c r="AL479" s="26">
        <v>2.0305753359075975</v>
      </c>
      <c r="AM479" s="17">
        <f t="shared" si="144"/>
        <v>0.5780346820809249</v>
      </c>
      <c r="AN479" s="17"/>
      <c r="AO479" s="27"/>
      <c r="AP479" s="17"/>
      <c r="AQ479" s="17"/>
      <c r="AR479" s="17"/>
      <c r="AS479" s="17"/>
      <c r="AT479" s="17"/>
      <c r="AU479" s="17"/>
      <c r="AV479" s="17"/>
      <c r="AW479" s="17"/>
      <c r="AX479" s="17"/>
      <c r="BB479" s="17"/>
    </row>
    <row r="480" spans="1:54" x14ac:dyDescent="0.2">
      <c r="A480" s="17" t="s">
        <v>41</v>
      </c>
      <c r="B480" s="18" t="s">
        <v>42</v>
      </c>
      <c r="C480" s="18" t="str">
        <f t="shared" si="136"/>
        <v>BI10.12</v>
      </c>
      <c r="D480" s="18" t="str">
        <f t="shared" si="137"/>
        <v>BI10.12_479</v>
      </c>
      <c r="E480" s="17">
        <v>12</v>
      </c>
      <c r="F480" s="19">
        <v>479</v>
      </c>
      <c r="G480" s="20">
        <v>2.4</v>
      </c>
      <c r="H480" s="20">
        <v>2.4</v>
      </c>
      <c r="I480" s="20">
        <v>1</v>
      </c>
      <c r="J480" s="20">
        <f t="shared" si="135"/>
        <v>4.5215999999999994</v>
      </c>
      <c r="K480" s="53">
        <v>0.22171052631578922</v>
      </c>
      <c r="L480" s="20">
        <f t="shared" si="147"/>
        <v>30.721052631579369</v>
      </c>
      <c r="M480" s="20">
        <f t="shared" si="147"/>
        <v>31.721052631579369</v>
      </c>
      <c r="N480" s="20">
        <f t="shared" si="147"/>
        <v>31.221052631579369</v>
      </c>
      <c r="O480" s="20">
        <f>P479+$AO$461</f>
        <v>470.72105263157937</v>
      </c>
      <c r="P480" s="20">
        <f t="shared" si="134"/>
        <v>471.72105263157937</v>
      </c>
      <c r="Q480" s="20">
        <f t="shared" si="145"/>
        <v>471.22105263157937</v>
      </c>
      <c r="R480" s="20">
        <f t="shared" si="148"/>
        <v>475.72105263157937</v>
      </c>
      <c r="S480" s="20">
        <f t="shared" si="132"/>
        <v>476.72105263157937</v>
      </c>
      <c r="T480" s="20">
        <f t="shared" si="133"/>
        <v>476.22105263157937</v>
      </c>
      <c r="U480" s="20">
        <v>476.22105263157937</v>
      </c>
      <c r="V480" s="22">
        <v>6.4804000000000004</v>
      </c>
      <c r="W480" s="22">
        <v>2.7235999999999998</v>
      </c>
      <c r="X480" s="23">
        <v>1.1476266666666668</v>
      </c>
      <c r="Y480" s="23">
        <f t="shared" si="138"/>
        <v>5.3327733333333338</v>
      </c>
      <c r="Z480" s="23">
        <f t="shared" si="139"/>
        <v>1.575973333333333</v>
      </c>
      <c r="AA480" s="22">
        <f t="shared" si="140"/>
        <v>70.447396976682569</v>
      </c>
      <c r="AB480" s="22">
        <f t="shared" si="141"/>
        <v>29.552603023317431</v>
      </c>
      <c r="AC480" s="22">
        <f t="shared" si="142"/>
        <v>1.179399622552489</v>
      </c>
      <c r="AD480" s="22">
        <f t="shared" si="143"/>
        <v>0.34854328851144134</v>
      </c>
      <c r="AE480" s="24">
        <v>5.3574000000000002</v>
      </c>
      <c r="AF480" s="24">
        <v>6.0025000000000004</v>
      </c>
      <c r="AG480" s="24">
        <v>5.6829999999999998</v>
      </c>
      <c r="AH480" s="25">
        <f>AG480-AE480</f>
        <v>0.32559999999999967</v>
      </c>
      <c r="AI480" s="25">
        <v>49.527205084483093</v>
      </c>
      <c r="AJ480" s="26">
        <v>2.4763602542241547</v>
      </c>
      <c r="AK480" s="25">
        <v>24.763602542241546</v>
      </c>
      <c r="AL480" s="26">
        <v>2.4779951793135355</v>
      </c>
      <c r="AM480" s="17">
        <f t="shared" si="144"/>
        <v>0.5780346820809249</v>
      </c>
      <c r="AN480" s="17"/>
      <c r="AO480" s="27"/>
      <c r="AP480" s="17"/>
      <c r="AQ480" s="17"/>
      <c r="AR480" s="17"/>
      <c r="AS480" s="17"/>
      <c r="AT480" s="17"/>
      <c r="AU480" s="17"/>
      <c r="AV480" s="17"/>
      <c r="AW480" s="17"/>
      <c r="AX480" s="17"/>
      <c r="BB480" s="17"/>
    </row>
    <row r="481" spans="1:54" x14ac:dyDescent="0.2">
      <c r="A481" s="17" t="s">
        <v>41</v>
      </c>
      <c r="B481" s="18" t="s">
        <v>42</v>
      </c>
      <c r="C481" s="18" t="str">
        <f t="shared" si="136"/>
        <v>BI10.12</v>
      </c>
      <c r="D481" s="18" t="str">
        <f t="shared" si="137"/>
        <v>BI10.12_480</v>
      </c>
      <c r="E481" s="17">
        <v>12</v>
      </c>
      <c r="F481" s="19">
        <v>480</v>
      </c>
      <c r="G481" s="20">
        <v>2.35</v>
      </c>
      <c r="H481" s="20">
        <v>2.4</v>
      </c>
      <c r="I481" s="20">
        <v>1.1000000000000001</v>
      </c>
      <c r="J481" s="20">
        <f t="shared" si="135"/>
        <v>4.8706796875</v>
      </c>
      <c r="K481" s="53">
        <v>0.22171052631578922</v>
      </c>
      <c r="L481" s="20">
        <f t="shared" si="147"/>
        <v>31.942763157895172</v>
      </c>
      <c r="M481" s="20">
        <f t="shared" si="147"/>
        <v>33.042763157895195</v>
      </c>
      <c r="N481" s="20">
        <f t="shared" si="147"/>
        <v>32.492763157895183</v>
      </c>
      <c r="O481" s="20">
        <f>P480+$AO$461</f>
        <v>471.94276315789517</v>
      </c>
      <c r="P481" s="20">
        <f t="shared" si="134"/>
        <v>473.04276315789519</v>
      </c>
      <c r="Q481" s="20">
        <f t="shared" si="145"/>
        <v>472.49276315789518</v>
      </c>
      <c r="R481" s="20">
        <f t="shared" si="148"/>
        <v>476.94276315789517</v>
      </c>
      <c r="S481" s="20">
        <f t="shared" si="132"/>
        <v>478.04276315789519</v>
      </c>
      <c r="T481" s="20">
        <f t="shared" si="133"/>
        <v>477.49276315789518</v>
      </c>
      <c r="U481" s="20">
        <v>477.49276315789518</v>
      </c>
      <c r="V481" s="22">
        <v>6.2846000000000002</v>
      </c>
      <c r="W481" s="22">
        <v>2.3843999999999999</v>
      </c>
      <c r="X481" s="23">
        <v>1.1476266666666668</v>
      </c>
      <c r="Y481" s="23">
        <f t="shared" si="138"/>
        <v>5.1369733333333336</v>
      </c>
      <c r="Z481" s="23">
        <f t="shared" si="139"/>
        <v>1.2367733333333331</v>
      </c>
      <c r="AA481" s="22">
        <f t="shared" si="140"/>
        <v>75.924084999467922</v>
      </c>
      <c r="AB481" s="22">
        <f t="shared" si="141"/>
        <v>24.075915000532078</v>
      </c>
      <c r="AC481" s="22">
        <f t="shared" si="142"/>
        <v>1.0546727896143004</v>
      </c>
      <c r="AD481" s="22">
        <f t="shared" si="143"/>
        <v>0.25392212436127953</v>
      </c>
      <c r="AE481" s="24">
        <v>5.8257000000000003</v>
      </c>
      <c r="AF481" s="24">
        <v>6.3990999999999998</v>
      </c>
      <c r="AG481" s="24">
        <v>6.0042999999999997</v>
      </c>
      <c r="AH481" s="25">
        <f>AG481-AE481</f>
        <v>0.17859999999999943</v>
      </c>
      <c r="AI481" s="25">
        <v>68.852459016393524</v>
      </c>
      <c r="AJ481" s="26">
        <v>3.4426229508196764</v>
      </c>
      <c r="AK481" s="25">
        <v>34.426229508196762</v>
      </c>
      <c r="AL481" s="26">
        <v>3.4437991784525384</v>
      </c>
      <c r="AM481" s="17">
        <f t="shared" si="144"/>
        <v>0.5780346820809249</v>
      </c>
      <c r="AN481" s="17"/>
      <c r="AO481" s="27"/>
      <c r="AP481" s="17"/>
      <c r="AQ481" s="17"/>
      <c r="AR481" s="17"/>
      <c r="AS481" s="17"/>
      <c r="AT481" s="17"/>
      <c r="AU481" s="17"/>
      <c r="AV481" s="17"/>
      <c r="AW481" s="17"/>
      <c r="AX481" s="17"/>
      <c r="BB481" s="17"/>
    </row>
    <row r="482" spans="1:54" x14ac:dyDescent="0.2">
      <c r="A482" s="17" t="s">
        <v>41</v>
      </c>
      <c r="B482" s="18" t="s">
        <v>42</v>
      </c>
      <c r="C482" s="18" t="str">
        <f t="shared" si="136"/>
        <v>BI10.12</v>
      </c>
      <c r="D482" s="18" t="str">
        <f t="shared" si="137"/>
        <v>BI10.12_481</v>
      </c>
      <c r="E482" s="17">
        <v>12</v>
      </c>
      <c r="F482" s="19">
        <v>481</v>
      </c>
      <c r="G482" s="20">
        <v>2</v>
      </c>
      <c r="H482" s="20">
        <v>2.4500000000000002</v>
      </c>
      <c r="I482" s="20">
        <v>1.05</v>
      </c>
      <c r="J482" s="20">
        <f t="shared" si="135"/>
        <v>4.080552656250001</v>
      </c>
      <c r="K482" s="53">
        <v>0.22171052631578922</v>
      </c>
      <c r="L482" s="20">
        <f t="shared" si="147"/>
        <v>33.264473684210998</v>
      </c>
      <c r="M482" s="20">
        <f t="shared" si="147"/>
        <v>34.314473684211009</v>
      </c>
      <c r="N482" s="20">
        <f t="shared" si="147"/>
        <v>33.789473684210975</v>
      </c>
      <c r="O482" s="20">
        <f>P481+$AO$461</f>
        <v>473.264473684211</v>
      </c>
      <c r="P482" s="20">
        <f t="shared" si="134"/>
        <v>474.31447368421101</v>
      </c>
      <c r="Q482" s="20">
        <f t="shared" si="145"/>
        <v>473.78947368421098</v>
      </c>
      <c r="R482" s="20">
        <f t="shared" si="148"/>
        <v>478.264473684211</v>
      </c>
      <c r="S482" s="20">
        <f t="shared" si="132"/>
        <v>479.31447368421101</v>
      </c>
      <c r="T482" s="20">
        <f t="shared" si="133"/>
        <v>478.78947368421098</v>
      </c>
      <c r="U482" s="20">
        <v>478.78947368421098</v>
      </c>
      <c r="V482" s="22">
        <v>5.9653999999999998</v>
      </c>
      <c r="W482" s="22">
        <v>2.2467999999999999</v>
      </c>
      <c r="X482" s="23">
        <v>1.1476266666666668</v>
      </c>
      <c r="Y482" s="23">
        <f t="shared" si="138"/>
        <v>4.8177733333333332</v>
      </c>
      <c r="Z482" s="23">
        <f t="shared" si="139"/>
        <v>1.0991733333333331</v>
      </c>
      <c r="AA482" s="22">
        <f t="shared" si="140"/>
        <v>77.185034303537194</v>
      </c>
      <c r="AB482" s="22">
        <f t="shared" si="141"/>
        <v>22.814965696462806</v>
      </c>
      <c r="AC482" s="22">
        <f t="shared" si="142"/>
        <v>1.1806668701981249</v>
      </c>
      <c r="AD482" s="22">
        <f t="shared" si="143"/>
        <v>0.26936874142520334</v>
      </c>
      <c r="AE482" s="25">
        <v>4.7576999999999998</v>
      </c>
      <c r="AF482" s="25">
        <v>5.4640000000000004</v>
      </c>
      <c r="AG482" s="25">
        <v>4.9600999999999997</v>
      </c>
      <c r="AH482" s="25">
        <f>AG482-AE482</f>
        <v>0.20239999999999991</v>
      </c>
      <c r="AI482" s="25">
        <v>71.34362169049983</v>
      </c>
      <c r="AJ482" s="26">
        <v>3.5671810845249916</v>
      </c>
      <c r="AK482" s="25">
        <v>35.671810845249915</v>
      </c>
      <c r="AL482" s="26">
        <v>3.568316254172673</v>
      </c>
      <c r="AM482" s="17">
        <f t="shared" si="144"/>
        <v>0.5780346820809249</v>
      </c>
      <c r="AN482" s="17"/>
      <c r="AO482" s="27"/>
      <c r="AP482" s="17"/>
      <c r="AQ482" s="17"/>
      <c r="AR482" s="17"/>
      <c r="AS482" s="17"/>
      <c r="AT482" s="17"/>
      <c r="AU482" s="17"/>
      <c r="AV482" s="17"/>
      <c r="AW482" s="17"/>
      <c r="AX482" s="17"/>
      <c r="BB482" s="17"/>
    </row>
    <row r="483" spans="1:54" x14ac:dyDescent="0.2">
      <c r="A483" s="17" t="s">
        <v>41</v>
      </c>
      <c r="B483" s="18" t="s">
        <v>42</v>
      </c>
      <c r="C483" s="18" t="str">
        <f t="shared" si="136"/>
        <v>BI10.12</v>
      </c>
      <c r="D483" s="18" t="str">
        <f t="shared" si="137"/>
        <v>BI10.12_482</v>
      </c>
      <c r="E483" s="17">
        <v>12</v>
      </c>
      <c r="F483" s="19">
        <v>482</v>
      </c>
      <c r="G483" s="20">
        <v>2.1</v>
      </c>
      <c r="H483" s="20">
        <v>2.4</v>
      </c>
      <c r="I483" s="20">
        <v>1.2</v>
      </c>
      <c r="J483" s="20">
        <f t="shared" si="135"/>
        <v>4.7688749999999995</v>
      </c>
      <c r="K483" s="53">
        <v>0.22171052631578922</v>
      </c>
      <c r="L483" s="20">
        <f t="shared" si="147"/>
        <v>34.536184210526812</v>
      </c>
      <c r="M483" s="20">
        <f t="shared" si="147"/>
        <v>35.736184210526801</v>
      </c>
      <c r="N483" s="20">
        <f t="shared" si="147"/>
        <v>35.136184210526835</v>
      </c>
      <c r="O483" s="20">
        <f>P482+$AO$461</f>
        <v>474.53618421052681</v>
      </c>
      <c r="P483" s="20">
        <f t="shared" si="134"/>
        <v>475.7361842105268</v>
      </c>
      <c r="Q483" s="20">
        <f t="shared" si="145"/>
        <v>475.13618421052684</v>
      </c>
      <c r="R483" s="20">
        <f t="shared" si="148"/>
        <v>479.53618421052681</v>
      </c>
      <c r="S483" s="20">
        <f t="shared" si="132"/>
        <v>480.7361842105268</v>
      </c>
      <c r="T483" s="20">
        <f t="shared" si="133"/>
        <v>480.13618421052684</v>
      </c>
      <c r="U483" s="20">
        <v>480.13618421052684</v>
      </c>
      <c r="V483" s="22">
        <v>6.165</v>
      </c>
      <c r="W483" s="22">
        <v>2.3180999999999998</v>
      </c>
      <c r="X483" s="23">
        <v>1.1476266666666668</v>
      </c>
      <c r="Y483" s="23">
        <f t="shared" si="138"/>
        <v>5.0173733333333335</v>
      </c>
      <c r="Z483" s="23">
        <f t="shared" si="139"/>
        <v>1.170473333333333</v>
      </c>
      <c r="AA483" s="22">
        <f t="shared" si="140"/>
        <v>76.671591775776449</v>
      </c>
      <c r="AB483" s="22">
        <f t="shared" si="141"/>
        <v>23.328408224223551</v>
      </c>
      <c r="AC483" s="22">
        <f t="shared" si="142"/>
        <v>1.0521083763640973</v>
      </c>
      <c r="AD483" s="22">
        <f t="shared" si="143"/>
        <v>0.24544013699946698</v>
      </c>
      <c r="AE483" s="25">
        <v>4.7782</v>
      </c>
      <c r="AF483" s="25">
        <v>5.4565000000000001</v>
      </c>
      <c r="AG483" s="25">
        <v>5.0458999999999996</v>
      </c>
      <c r="AH483" s="25">
        <f>AG483-AE483</f>
        <v>0.2676999999999996</v>
      </c>
      <c r="AI483" s="25">
        <v>60.533687159074226</v>
      </c>
      <c r="AJ483" s="26">
        <v>3.0266843579537115</v>
      </c>
      <c r="AK483" s="25">
        <v>30.266843579537113</v>
      </c>
      <c r="AL483" s="26">
        <v>3.0280221602032031</v>
      </c>
      <c r="AM483" s="17">
        <f t="shared" si="144"/>
        <v>0.5780346820809249</v>
      </c>
      <c r="AN483" s="17"/>
      <c r="AO483" s="27"/>
      <c r="AP483" s="17"/>
      <c r="AQ483" s="17"/>
      <c r="AR483" s="17"/>
      <c r="AS483" s="17"/>
      <c r="AT483" s="17"/>
      <c r="AU483" s="17"/>
      <c r="AV483" s="17"/>
      <c r="AW483" s="17"/>
      <c r="AX483" s="17"/>
      <c r="BB483" s="17"/>
    </row>
    <row r="484" spans="1:54" x14ac:dyDescent="0.2">
      <c r="A484" s="17" t="s">
        <v>41</v>
      </c>
      <c r="B484" s="18" t="s">
        <v>42</v>
      </c>
      <c r="C484" s="18" t="str">
        <f t="shared" si="136"/>
        <v>BI10.12</v>
      </c>
      <c r="D484" s="18" t="str">
        <f t="shared" si="137"/>
        <v>BI10.12_483</v>
      </c>
      <c r="E484" s="17">
        <v>12</v>
      </c>
      <c r="F484" s="19">
        <v>483</v>
      </c>
      <c r="G484" s="20">
        <v>2.25</v>
      </c>
      <c r="H484" s="20">
        <v>2.6</v>
      </c>
      <c r="I484" s="20">
        <v>1.2</v>
      </c>
      <c r="J484" s="20">
        <f t="shared" si="135"/>
        <v>5.5395487499999989</v>
      </c>
      <c r="K484" s="53">
        <v>0.22171052631578922</v>
      </c>
      <c r="L484" s="20">
        <f t="shared" si="147"/>
        <v>35.957894736842604</v>
      </c>
      <c r="M484" s="20">
        <f t="shared" si="147"/>
        <v>37.157894736842593</v>
      </c>
      <c r="N484" s="20">
        <f t="shared" si="147"/>
        <v>36.557894736842627</v>
      </c>
      <c r="O484" s="20">
        <f>P483+$AO$461</f>
        <v>475.9578947368426</v>
      </c>
      <c r="P484" s="20">
        <f t="shared" si="134"/>
        <v>477.15789473684259</v>
      </c>
      <c r="Q484" s="20">
        <f t="shared" si="145"/>
        <v>476.55789473684263</v>
      </c>
      <c r="R484" s="20">
        <f t="shared" si="148"/>
        <v>480.9578947368426</v>
      </c>
      <c r="S484" s="20">
        <f t="shared" si="132"/>
        <v>482.15789473684259</v>
      </c>
      <c r="T484" s="20">
        <f t="shared" si="133"/>
        <v>481.55789473684263</v>
      </c>
      <c r="U484" s="20">
        <v>481.55789473684263</v>
      </c>
      <c r="V484" s="22">
        <v>6.3933999999999997</v>
      </c>
      <c r="W484" s="17">
        <v>2.3641000000000001</v>
      </c>
      <c r="X484" s="23">
        <v>1.1476266666666668</v>
      </c>
      <c r="Y484" s="23">
        <f t="shared" si="138"/>
        <v>5.2457733333333332</v>
      </c>
      <c r="Z484" s="23">
        <f t="shared" si="139"/>
        <v>1.2164733333333333</v>
      </c>
      <c r="AA484" s="22">
        <f t="shared" si="140"/>
        <v>76.810409904608917</v>
      </c>
      <c r="AB484" s="22">
        <f t="shared" si="141"/>
        <v>23.189590095391083</v>
      </c>
      <c r="AC484" s="22">
        <f t="shared" si="142"/>
        <v>0.94696762680052848</v>
      </c>
      <c r="AD484" s="22">
        <f t="shared" si="143"/>
        <v>0.21959791099109535</v>
      </c>
      <c r="AE484" s="25">
        <v>4.7233000000000001</v>
      </c>
      <c r="AF484" s="25">
        <v>5.2971000000000004</v>
      </c>
      <c r="AG484" s="25">
        <v>4.8650000000000002</v>
      </c>
      <c r="AH484" s="25">
        <f>AG484-AE484</f>
        <v>0.14170000000000016</v>
      </c>
      <c r="AI484" s="25">
        <v>75.304984315092355</v>
      </c>
      <c r="AJ484" s="26">
        <v>3.765249215754618</v>
      </c>
      <c r="AK484" s="25">
        <v>37.652492157546178</v>
      </c>
      <c r="AL484" s="26">
        <v>3.7663246881729098</v>
      </c>
      <c r="AM484" s="17">
        <f t="shared" si="144"/>
        <v>0.5780346820809249</v>
      </c>
      <c r="AN484" s="17"/>
      <c r="AO484" s="27"/>
      <c r="AP484" s="17"/>
      <c r="AQ484" s="17"/>
      <c r="AR484" s="17"/>
      <c r="AS484" s="17"/>
      <c r="AT484" s="17"/>
      <c r="AU484" s="17"/>
      <c r="AV484" s="17"/>
      <c r="AW484" s="17"/>
      <c r="AX484" s="17"/>
      <c r="BB484" s="17"/>
    </row>
    <row r="485" spans="1:54" x14ac:dyDescent="0.2">
      <c r="A485" s="17" t="s">
        <v>41</v>
      </c>
      <c r="B485" s="18" t="s">
        <v>42</v>
      </c>
      <c r="C485" s="18" t="str">
        <f t="shared" si="136"/>
        <v>BI10.12</v>
      </c>
      <c r="D485" s="18" t="str">
        <f t="shared" si="137"/>
        <v>BI10.12_484</v>
      </c>
      <c r="E485" s="17">
        <v>12</v>
      </c>
      <c r="F485" s="19">
        <v>484</v>
      </c>
      <c r="G485" s="20">
        <v>2.1</v>
      </c>
      <c r="H485" s="20">
        <v>2.5499999999999998</v>
      </c>
      <c r="I485" s="20">
        <v>1.05</v>
      </c>
      <c r="J485" s="20">
        <f t="shared" si="135"/>
        <v>4.455586406250001</v>
      </c>
      <c r="K485" s="53">
        <v>0.22171052631578922</v>
      </c>
      <c r="L485" s="20">
        <f t="shared" si="147"/>
        <v>37.379605263158396</v>
      </c>
      <c r="M485" s="20">
        <f t="shared" si="147"/>
        <v>38.429605263158408</v>
      </c>
      <c r="N485" s="20">
        <f t="shared" si="147"/>
        <v>37.904605263158373</v>
      </c>
      <c r="O485" s="20">
        <f>P484+$AO$461</f>
        <v>477.3796052631584</v>
      </c>
      <c r="P485" s="20">
        <f t="shared" si="134"/>
        <v>478.42960526315841</v>
      </c>
      <c r="Q485" s="20">
        <f t="shared" si="145"/>
        <v>477.90460526315837</v>
      </c>
      <c r="R485" s="20">
        <f t="shared" si="148"/>
        <v>482.3796052631584</v>
      </c>
      <c r="S485" s="20">
        <f t="shared" si="132"/>
        <v>483.42960526315841</v>
      </c>
      <c r="T485" s="20">
        <f t="shared" si="133"/>
        <v>482.90460526315837</v>
      </c>
      <c r="U485" s="20">
        <v>482.90460526315837</v>
      </c>
      <c r="V485" s="22">
        <v>6.4292999999999996</v>
      </c>
      <c r="W485" s="22">
        <v>2.4127999999999998</v>
      </c>
      <c r="X485" s="23">
        <v>1.1476266666666668</v>
      </c>
      <c r="Y485" s="23">
        <f t="shared" si="138"/>
        <v>5.281673333333333</v>
      </c>
      <c r="Z485" s="23">
        <f t="shared" si="139"/>
        <v>1.265173333333333</v>
      </c>
      <c r="AA485" s="22">
        <f t="shared" si="140"/>
        <v>76.045975328525941</v>
      </c>
      <c r="AB485" s="22">
        <f t="shared" si="141"/>
        <v>23.954024671474059</v>
      </c>
      <c r="AC485" s="22">
        <f t="shared" si="142"/>
        <v>1.18540475972468</v>
      </c>
      <c r="AD485" s="22">
        <f t="shared" si="143"/>
        <v>0.28395214860127765</v>
      </c>
      <c r="AE485" s="25">
        <v>4.7683999999999997</v>
      </c>
      <c r="AF485" s="25">
        <v>5.4541000000000004</v>
      </c>
      <c r="AG485" s="25">
        <v>4.9753999999999996</v>
      </c>
      <c r="AH485" s="25">
        <f>AG485-AE485</f>
        <v>0.20699999999999985</v>
      </c>
      <c r="AI485" s="25">
        <v>69.811871080647563</v>
      </c>
      <c r="AJ485" s="26">
        <v>3.4905935540323783</v>
      </c>
      <c r="AK485" s="25">
        <v>34.905935540323782</v>
      </c>
      <c r="AL485" s="26">
        <v>3.4917536223869505</v>
      </c>
      <c r="AM485" s="17">
        <f t="shared" si="144"/>
        <v>0.5780346820809249</v>
      </c>
      <c r="AN485" s="17"/>
      <c r="AO485" s="27"/>
      <c r="AP485" s="17"/>
      <c r="AQ485" s="17"/>
      <c r="AR485" s="17"/>
      <c r="AS485" s="17"/>
      <c r="AT485" s="17"/>
      <c r="AU485" s="17"/>
      <c r="AV485" s="17"/>
      <c r="AW485" s="17"/>
      <c r="AX485" s="17"/>
      <c r="BB485" s="17"/>
    </row>
    <row r="486" spans="1:54" x14ac:dyDescent="0.2">
      <c r="A486" s="17" t="s">
        <v>41</v>
      </c>
      <c r="B486" s="18" t="s">
        <v>42</v>
      </c>
      <c r="C486" s="18" t="str">
        <f t="shared" si="136"/>
        <v>BI10.12</v>
      </c>
      <c r="D486" s="18" t="str">
        <f t="shared" si="137"/>
        <v>BI10.12_485</v>
      </c>
      <c r="E486" s="17">
        <v>12</v>
      </c>
      <c r="F486" s="19">
        <v>485</v>
      </c>
      <c r="G486" s="20">
        <v>1.95</v>
      </c>
      <c r="H486" s="20">
        <v>2.4500000000000002</v>
      </c>
      <c r="I486" s="20">
        <v>1.1499999999999999</v>
      </c>
      <c r="J486" s="20">
        <f t="shared" si="135"/>
        <v>4.3693100000000014</v>
      </c>
      <c r="K486" s="53">
        <v>0.22171052631578922</v>
      </c>
      <c r="L486" s="20">
        <f t="shared" si="147"/>
        <v>38.651315789474211</v>
      </c>
      <c r="M486" s="20">
        <f t="shared" si="147"/>
        <v>39.801315789474188</v>
      </c>
      <c r="N486" s="20">
        <f t="shared" si="147"/>
        <v>39.226315789474199</v>
      </c>
      <c r="O486" s="20">
        <f>P485+$AO$461</f>
        <v>478.65131578947421</v>
      </c>
      <c r="P486" s="20">
        <f t="shared" si="134"/>
        <v>479.80131578947419</v>
      </c>
      <c r="Q486" s="20">
        <f t="shared" si="145"/>
        <v>479.2263157894742</v>
      </c>
      <c r="R486" s="20">
        <f t="shared" si="148"/>
        <v>483.65131578947421</v>
      </c>
      <c r="S486" s="20">
        <f t="shared" si="132"/>
        <v>484.80131578947419</v>
      </c>
      <c r="T486" s="20">
        <f t="shared" si="133"/>
        <v>484.2263157894742</v>
      </c>
      <c r="U486" s="20">
        <v>484.2263157894742</v>
      </c>
      <c r="V486" s="22">
        <v>6.5038</v>
      </c>
      <c r="W486" s="22">
        <v>2.5236999999999998</v>
      </c>
      <c r="X486" s="23">
        <v>1.1476266666666668</v>
      </c>
      <c r="Y486" s="23">
        <f t="shared" si="138"/>
        <v>5.3561733333333335</v>
      </c>
      <c r="Z486" s="23">
        <f t="shared" si="139"/>
        <v>1.376073333333333</v>
      </c>
      <c r="AA486" s="22">
        <f t="shared" si="140"/>
        <v>74.308648214023449</v>
      </c>
      <c r="AB486" s="22">
        <f t="shared" si="141"/>
        <v>25.691351785976551</v>
      </c>
      <c r="AC486" s="22">
        <f t="shared" si="142"/>
        <v>1.2258625122349598</v>
      </c>
      <c r="AD486" s="22">
        <f t="shared" si="143"/>
        <v>0.3149406504306933</v>
      </c>
      <c r="AE486" s="25">
        <v>4.8947000000000003</v>
      </c>
      <c r="AF486" s="25">
        <v>5.5548000000000002</v>
      </c>
      <c r="AG486" s="25">
        <v>5.1318999999999999</v>
      </c>
      <c r="AH486" s="25">
        <f>AG486-AE486</f>
        <v>0.23719999999999963</v>
      </c>
      <c r="AI486" s="25">
        <v>64.066050598394227</v>
      </c>
      <c r="AJ486" s="26">
        <v>3.2033025299197115</v>
      </c>
      <c r="AK486" s="25">
        <v>32.033025299197114</v>
      </c>
      <c r="AL486" s="26">
        <v>3.2045666006794158</v>
      </c>
      <c r="AM486" s="17">
        <f t="shared" si="144"/>
        <v>0.5780346820809249</v>
      </c>
      <c r="AN486" s="17"/>
      <c r="AO486" s="27"/>
      <c r="AP486" s="17"/>
      <c r="AQ486" s="17"/>
      <c r="AR486" s="17"/>
      <c r="AS486" s="17"/>
      <c r="AT486" s="17"/>
      <c r="AU486" s="17"/>
      <c r="AV486" s="17"/>
      <c r="AW486" s="17"/>
      <c r="AX486" s="17"/>
      <c r="BB486" s="17"/>
    </row>
    <row r="487" spans="1:54" x14ac:dyDescent="0.2">
      <c r="A487" s="17" t="s">
        <v>41</v>
      </c>
      <c r="B487" s="18" t="s">
        <v>42</v>
      </c>
      <c r="C487" s="18" t="str">
        <f t="shared" si="136"/>
        <v>BI10.12</v>
      </c>
      <c r="D487" s="18" t="str">
        <f t="shared" si="137"/>
        <v>BI10.12_486</v>
      </c>
      <c r="E487" s="17">
        <v>12</v>
      </c>
      <c r="F487" s="19">
        <v>486</v>
      </c>
      <c r="G487" s="20">
        <v>1.95</v>
      </c>
      <c r="H487" s="20">
        <v>2.5</v>
      </c>
      <c r="I487" s="20">
        <v>1</v>
      </c>
      <c r="J487" s="20">
        <f t="shared" si="135"/>
        <v>3.8862406250000006</v>
      </c>
      <c r="K487" s="53">
        <v>0.22171052631578922</v>
      </c>
      <c r="L487" s="20">
        <f t="shared" si="147"/>
        <v>40.023026315789991</v>
      </c>
      <c r="M487" s="20">
        <f t="shared" si="147"/>
        <v>41.023026315789991</v>
      </c>
      <c r="N487" s="20">
        <f t="shared" si="147"/>
        <v>40.523026315789991</v>
      </c>
      <c r="O487" s="20">
        <f>P486+$AO$461</f>
        <v>480.02302631578999</v>
      </c>
      <c r="P487" s="20">
        <f t="shared" si="134"/>
        <v>481.02302631578999</v>
      </c>
      <c r="Q487" s="20">
        <f t="shared" si="145"/>
        <v>480.52302631578999</v>
      </c>
      <c r="R487" s="20">
        <f t="shared" si="148"/>
        <v>485.02302631578999</v>
      </c>
      <c r="S487" s="20">
        <f t="shared" si="132"/>
        <v>486.02302631578999</v>
      </c>
      <c r="T487" s="20">
        <f t="shared" si="133"/>
        <v>485.52302631578999</v>
      </c>
      <c r="U487" s="20">
        <v>485.52302631578999</v>
      </c>
      <c r="V487" s="22">
        <v>6.1872999999999996</v>
      </c>
      <c r="W487" s="22">
        <v>2.4108000000000001</v>
      </c>
      <c r="X487" s="23">
        <v>1.1476266666666668</v>
      </c>
      <c r="Y487" s="23">
        <f t="shared" si="138"/>
        <v>5.039673333333333</v>
      </c>
      <c r="Z487" s="23">
        <f t="shared" si="139"/>
        <v>1.2631733333333333</v>
      </c>
      <c r="AA487" s="22">
        <f t="shared" si="140"/>
        <v>74.935412480438544</v>
      </c>
      <c r="AB487" s="22">
        <f t="shared" si="141"/>
        <v>25.064587519561456</v>
      </c>
      <c r="AC487" s="22">
        <f t="shared" si="142"/>
        <v>1.296799097027949</v>
      </c>
      <c r="AD487" s="22">
        <f t="shared" si="143"/>
        <v>0.32503734462745293</v>
      </c>
      <c r="AE487" s="25">
        <v>5.0422000000000002</v>
      </c>
      <c r="AF487" s="25">
        <v>5.8392999999999997</v>
      </c>
      <c r="AG487" s="25">
        <v>5.4303999999999997</v>
      </c>
      <c r="AH487" s="25">
        <f>AG487-AE487</f>
        <v>0.38819999999999943</v>
      </c>
      <c r="AI487" s="25">
        <v>51.298456906285331</v>
      </c>
      <c r="AJ487" s="26">
        <v>2.5649228453142667</v>
      </c>
      <c r="AK487" s="25">
        <v>25.649228453142666</v>
      </c>
      <c r="AL487" s="26">
        <v>2.5665013544541591</v>
      </c>
      <c r="AM487" s="17">
        <f t="shared" si="144"/>
        <v>0.5780346820809249</v>
      </c>
      <c r="AN487" s="17"/>
      <c r="AO487" s="27"/>
      <c r="AP487" s="17"/>
      <c r="AQ487" s="17"/>
      <c r="AR487" s="17"/>
      <c r="AS487" s="17"/>
      <c r="AT487" s="17"/>
      <c r="AU487" s="17"/>
      <c r="AV487" s="17"/>
      <c r="AW487" s="17"/>
      <c r="AX487" s="17"/>
      <c r="BB487" s="17"/>
    </row>
    <row r="488" spans="1:54" x14ac:dyDescent="0.2">
      <c r="A488" s="17" t="s">
        <v>41</v>
      </c>
      <c r="B488" s="18" t="s">
        <v>42</v>
      </c>
      <c r="C488" s="18" t="str">
        <f t="shared" si="136"/>
        <v>BI10.12</v>
      </c>
      <c r="D488" s="18" t="str">
        <f t="shared" si="137"/>
        <v>BI10.12_487</v>
      </c>
      <c r="E488" s="17">
        <v>12</v>
      </c>
      <c r="F488" s="19">
        <v>487</v>
      </c>
      <c r="G488" s="20">
        <v>2.2000000000000002</v>
      </c>
      <c r="H488" s="20">
        <v>2.2999999999999998</v>
      </c>
      <c r="I488" s="20">
        <v>1.2</v>
      </c>
      <c r="J488" s="20">
        <f t="shared" si="135"/>
        <v>4.7688749999999995</v>
      </c>
      <c r="K488" s="53">
        <v>0.22171052631578922</v>
      </c>
      <c r="L488" s="20">
        <f t="shared" si="147"/>
        <v>41.244736842105794</v>
      </c>
      <c r="M488" s="20">
        <f t="shared" si="147"/>
        <v>42.444736842105783</v>
      </c>
      <c r="N488" s="20">
        <f t="shared" si="147"/>
        <v>41.844736842105817</v>
      </c>
      <c r="O488" s="20">
        <f>P487+$AO$461</f>
        <v>481.24473684210579</v>
      </c>
      <c r="P488" s="20">
        <f t="shared" si="134"/>
        <v>482.44473684210578</v>
      </c>
      <c r="Q488" s="20">
        <f t="shared" si="145"/>
        <v>481.84473684210582</v>
      </c>
      <c r="R488" s="20">
        <f t="shared" si="148"/>
        <v>486.24473684210579</v>
      </c>
      <c r="S488" s="20">
        <f t="shared" si="132"/>
        <v>487.44473684210578</v>
      </c>
      <c r="T488" s="20">
        <f t="shared" si="133"/>
        <v>486.84473684210582</v>
      </c>
      <c r="U488" s="20">
        <v>486.84473684210582</v>
      </c>
      <c r="V488" s="22">
        <v>6.4683000000000002</v>
      </c>
      <c r="W488" s="22">
        <v>2.6263000000000001</v>
      </c>
      <c r="X488" s="23">
        <v>1.1476266666666668</v>
      </c>
      <c r="Y488" s="23">
        <f t="shared" si="138"/>
        <v>5.3206733333333336</v>
      </c>
      <c r="Z488" s="23">
        <f t="shared" si="139"/>
        <v>1.4786733333333333</v>
      </c>
      <c r="AA488" s="22">
        <f t="shared" si="140"/>
        <v>72.208905890357244</v>
      </c>
      <c r="AB488" s="22">
        <f t="shared" si="141"/>
        <v>27.791094109642756</v>
      </c>
      <c r="AC488" s="22">
        <f t="shared" si="142"/>
        <v>1.1157082820022195</v>
      </c>
      <c r="AD488" s="22">
        <f t="shared" si="143"/>
        <v>0.31006753864031528</v>
      </c>
      <c r="AE488" s="25">
        <v>4.6050000000000004</v>
      </c>
      <c r="AF488" s="25">
        <v>5.4915000000000003</v>
      </c>
      <c r="AG488" s="25">
        <v>5.0583999999999998</v>
      </c>
      <c r="AH488" s="25">
        <f>AG488-AE488</f>
        <v>0.45339999999999936</v>
      </c>
      <c r="AI488" s="25">
        <v>48.85504794134242</v>
      </c>
      <c r="AJ488" s="26">
        <v>2.442752397067121</v>
      </c>
      <c r="AK488" s="25">
        <v>24.42752397067121</v>
      </c>
      <c r="AL488" s="26">
        <v>2.4444098006220569</v>
      </c>
      <c r="AM488" s="17">
        <f t="shared" si="144"/>
        <v>0.5780346820809249</v>
      </c>
      <c r="AN488" s="17"/>
      <c r="AO488" s="27"/>
      <c r="AP488" s="17"/>
      <c r="AQ488" s="17"/>
      <c r="AR488" s="17"/>
      <c r="AS488" s="17"/>
      <c r="AT488" s="17"/>
      <c r="AU488" s="17"/>
      <c r="AV488" s="17"/>
      <c r="AW488" s="17"/>
      <c r="AX488" s="17"/>
      <c r="BB488" s="17"/>
    </row>
    <row r="489" spans="1:54" x14ac:dyDescent="0.2">
      <c r="A489" s="17" t="s">
        <v>41</v>
      </c>
      <c r="B489" s="18" t="s">
        <v>42</v>
      </c>
      <c r="C489" s="18" t="str">
        <f t="shared" si="136"/>
        <v>BI10.12</v>
      </c>
      <c r="D489" s="18" t="str">
        <f t="shared" si="137"/>
        <v>BI10.12_488</v>
      </c>
      <c r="E489" s="17">
        <v>12</v>
      </c>
      <c r="F489" s="19">
        <v>488</v>
      </c>
      <c r="G489" s="20">
        <v>2.1</v>
      </c>
      <c r="H489" s="20">
        <v>2.6</v>
      </c>
      <c r="I489" s="20">
        <v>1</v>
      </c>
      <c r="J489" s="20">
        <f t="shared" si="135"/>
        <v>4.3351625</v>
      </c>
      <c r="K489" s="53">
        <v>0.22171052631578922</v>
      </c>
      <c r="L489" s="20">
        <f t="shared" si="147"/>
        <v>42.666447368421586</v>
      </c>
      <c r="M489" s="20">
        <f t="shared" si="147"/>
        <v>43.666447368421586</v>
      </c>
      <c r="N489" s="20">
        <f t="shared" si="147"/>
        <v>43.166447368421586</v>
      </c>
      <c r="O489" s="20">
        <f>P488+$AO$461</f>
        <v>482.66644736842159</v>
      </c>
      <c r="P489" s="20">
        <f t="shared" si="134"/>
        <v>483.66644736842159</v>
      </c>
      <c r="Q489" s="20">
        <f t="shared" si="145"/>
        <v>483.16644736842159</v>
      </c>
      <c r="R489" s="20">
        <f t="shared" si="148"/>
        <v>487.66644736842159</v>
      </c>
      <c r="S489" s="20">
        <f t="shared" si="132"/>
        <v>488.66644736842159</v>
      </c>
      <c r="T489" s="20">
        <f t="shared" si="133"/>
        <v>488.16644736842159</v>
      </c>
      <c r="U489" s="20">
        <v>488.16644736842159</v>
      </c>
      <c r="V489" s="22">
        <v>5.8558000000000003</v>
      </c>
      <c r="W489" s="22">
        <v>2.4622999999999999</v>
      </c>
      <c r="X489" s="23">
        <v>1.1476266666666668</v>
      </c>
      <c r="Y489" s="23">
        <f t="shared" si="138"/>
        <v>4.7081733333333338</v>
      </c>
      <c r="Z489" s="23">
        <f t="shared" si="139"/>
        <v>1.3146733333333331</v>
      </c>
      <c r="AA489" s="22">
        <f t="shared" si="140"/>
        <v>72.076785618201541</v>
      </c>
      <c r="AB489" s="22">
        <f t="shared" si="141"/>
        <v>27.923214381798459</v>
      </c>
      <c r="AC489" s="22">
        <f t="shared" si="142"/>
        <v>1.086043102959424</v>
      </c>
      <c r="AD489" s="22">
        <f t="shared" si="143"/>
        <v>0.30325814391809608</v>
      </c>
      <c r="AE489" s="25">
        <v>4.7230999999999996</v>
      </c>
      <c r="AF489" s="25">
        <v>5.2659000000000002</v>
      </c>
      <c r="AG489" s="25">
        <v>5.0378999999999996</v>
      </c>
      <c r="AH489" s="25">
        <f>AG489-AE489</f>
        <v>0.31479999999999997</v>
      </c>
      <c r="AI489" s="25">
        <v>42.004421518054599</v>
      </c>
      <c r="AJ489" s="26">
        <v>2.1002210759027302</v>
      </c>
      <c r="AK489" s="25">
        <v>21.0022107590273</v>
      </c>
      <c r="AL489" s="26">
        <v>2.1021485598468113</v>
      </c>
      <c r="AM489" s="17">
        <f t="shared" si="144"/>
        <v>0.5780346820809249</v>
      </c>
      <c r="AN489" s="17"/>
      <c r="AO489" s="27"/>
      <c r="AP489" s="17"/>
      <c r="AQ489" s="17"/>
      <c r="AR489" s="17"/>
      <c r="AS489" s="17"/>
      <c r="AT489" s="17"/>
      <c r="AU489" s="17"/>
      <c r="AV489" s="17"/>
      <c r="AW489" s="17"/>
      <c r="AX489" s="17"/>
      <c r="BB489" s="17"/>
    </row>
    <row r="490" spans="1:54" x14ac:dyDescent="0.2">
      <c r="A490" s="17" t="s">
        <v>41</v>
      </c>
      <c r="B490" s="18" t="s">
        <v>42</v>
      </c>
      <c r="C490" s="18" t="str">
        <f t="shared" si="136"/>
        <v>BI10.12</v>
      </c>
      <c r="D490" s="18" t="str">
        <f t="shared" si="137"/>
        <v>BI10.12_489</v>
      </c>
      <c r="E490" s="17">
        <v>12</v>
      </c>
      <c r="F490" s="19">
        <v>489</v>
      </c>
      <c r="G490" s="20">
        <v>2.0499999999999998</v>
      </c>
      <c r="H490" s="20">
        <v>2.5</v>
      </c>
      <c r="I490" s="20">
        <v>1.05</v>
      </c>
      <c r="J490" s="20">
        <f t="shared" si="135"/>
        <v>4.2660089062500006</v>
      </c>
      <c r="K490" s="53">
        <v>0.22171052631578922</v>
      </c>
      <c r="L490" s="20">
        <f t="shared" si="147"/>
        <v>43.88815789473739</v>
      </c>
      <c r="M490" s="20">
        <f t="shared" si="147"/>
        <v>44.938157894737401</v>
      </c>
      <c r="N490" s="20">
        <f t="shared" si="147"/>
        <v>44.413157894737424</v>
      </c>
      <c r="O490" s="20">
        <f>P489+$AO$461</f>
        <v>483.88815789473739</v>
      </c>
      <c r="P490" s="20">
        <f t="shared" si="134"/>
        <v>484.9381578947374</v>
      </c>
      <c r="Q490" s="20">
        <f t="shared" si="145"/>
        <v>484.41315789473742</v>
      </c>
      <c r="R490" s="20">
        <f t="shared" si="148"/>
        <v>488.88815789473739</v>
      </c>
      <c r="S490" s="20">
        <f t="shared" si="132"/>
        <v>489.9381578947374</v>
      </c>
      <c r="T490" s="20">
        <f t="shared" si="133"/>
        <v>489.41315789473742</v>
      </c>
      <c r="U490" s="20">
        <v>489.41315789473742</v>
      </c>
      <c r="V490" s="22">
        <v>5.9097999999999997</v>
      </c>
      <c r="W490" s="22">
        <v>2.3672</v>
      </c>
      <c r="X490" s="23">
        <v>1.1476266666666668</v>
      </c>
      <c r="Y490" s="23">
        <f t="shared" si="138"/>
        <v>4.7621733333333331</v>
      </c>
      <c r="Z490" s="23">
        <f t="shared" si="139"/>
        <v>1.2195733333333332</v>
      </c>
      <c r="AA490" s="22">
        <f t="shared" si="140"/>
        <v>74.390404381192909</v>
      </c>
      <c r="AB490" s="22">
        <f t="shared" si="141"/>
        <v>25.609595618807091</v>
      </c>
      <c r="AC490" s="22">
        <f t="shared" si="142"/>
        <v>1.1163064677048415</v>
      </c>
      <c r="AD490" s="22">
        <f t="shared" si="143"/>
        <v>0.28588157224579941</v>
      </c>
      <c r="AE490" s="25">
        <v>5.4866999999999999</v>
      </c>
      <c r="AF490" s="25">
        <v>6.8963000000000001</v>
      </c>
      <c r="AG490" s="25">
        <v>6.6585000000000001</v>
      </c>
      <c r="AH490" s="25">
        <f>AG490-AE490</f>
        <v>1.1718000000000002</v>
      </c>
      <c r="AI490" s="25">
        <v>16.870034052213391</v>
      </c>
      <c r="AJ490" s="26">
        <v>0.84350170261066959</v>
      </c>
      <c r="AK490" s="25">
        <v>8.4350170261066957</v>
      </c>
      <c r="AL490" s="26">
        <v>0.84828952740623786</v>
      </c>
      <c r="AM490" s="17">
        <f t="shared" si="144"/>
        <v>0.5780346820809249</v>
      </c>
      <c r="AN490" s="17"/>
      <c r="AO490" s="27"/>
      <c r="AP490" s="17"/>
      <c r="AQ490" s="17"/>
      <c r="AR490" s="17"/>
      <c r="AS490" s="17"/>
      <c r="AT490" s="17"/>
      <c r="AU490" s="17"/>
      <c r="AV490" s="17"/>
      <c r="AW490" s="17"/>
      <c r="AX490" s="17"/>
      <c r="BB490" s="17"/>
    </row>
    <row r="491" spans="1:54" x14ac:dyDescent="0.2">
      <c r="A491" s="17" t="s">
        <v>41</v>
      </c>
      <c r="B491" s="18" t="s">
        <v>42</v>
      </c>
      <c r="C491" s="18" t="str">
        <f t="shared" si="136"/>
        <v>BI10.12</v>
      </c>
      <c r="D491" s="18" t="str">
        <f t="shared" si="137"/>
        <v>BI10.12_490</v>
      </c>
      <c r="E491" s="17">
        <v>12</v>
      </c>
      <c r="F491" s="19">
        <v>490</v>
      </c>
      <c r="G491" s="20">
        <f>AVERAGE(G490,G492)</f>
        <v>1.9249999999999998</v>
      </c>
      <c r="H491" s="20">
        <f t="shared" ref="H491:I491" si="149">AVERAGE(H490,H492)</f>
        <v>2.25</v>
      </c>
      <c r="I491" s="20">
        <f t="shared" si="149"/>
        <v>1.0249999999999999</v>
      </c>
      <c r="J491" s="20">
        <f t="shared" si="135"/>
        <v>3.5062791601562497</v>
      </c>
      <c r="K491" s="53">
        <v>0.22171052631578922</v>
      </c>
      <c r="L491" s="20">
        <f t="shared" si="147"/>
        <v>45.159868421053204</v>
      </c>
      <c r="M491" s="20">
        <f t="shared" si="147"/>
        <v>46.184868421053181</v>
      </c>
      <c r="N491" s="20">
        <f t="shared" si="147"/>
        <v>45.672368421053193</v>
      </c>
      <c r="O491" s="20">
        <f>P490+$AO$461</f>
        <v>485.1598684210532</v>
      </c>
      <c r="P491" s="20">
        <f t="shared" si="134"/>
        <v>486.18486842105318</v>
      </c>
      <c r="Q491" s="20">
        <f t="shared" si="145"/>
        <v>485.67236842105319</v>
      </c>
      <c r="R491" s="20">
        <f t="shared" si="148"/>
        <v>490.1598684210532</v>
      </c>
      <c r="S491" s="20">
        <f t="shared" ref="S491:S531" si="150">R491+I491</f>
        <v>491.18486842105318</v>
      </c>
      <c r="T491" s="20">
        <f t="shared" ref="T491:T531" si="151">AVERAGE(R491:S491)</f>
        <v>490.67236842105319</v>
      </c>
      <c r="U491" s="20">
        <v>490.67236842105319</v>
      </c>
      <c r="V491" s="22">
        <v>5.6115000000000004</v>
      </c>
      <c r="W491" s="22">
        <v>2.5144000000000002</v>
      </c>
      <c r="X491" s="23">
        <v>1.1476266666666668</v>
      </c>
      <c r="Y491" s="23">
        <f t="shared" si="138"/>
        <v>4.4638733333333338</v>
      </c>
      <c r="Z491" s="23">
        <f t="shared" si="139"/>
        <v>1.3667733333333334</v>
      </c>
      <c r="AA491" s="22">
        <f t="shared" si="140"/>
        <v>69.381448995715218</v>
      </c>
      <c r="AB491" s="22">
        <f t="shared" si="141"/>
        <v>30.618551004284782</v>
      </c>
      <c r="AC491" s="22">
        <f t="shared" si="142"/>
        <v>1.2731083662871872</v>
      </c>
      <c r="AD491" s="22">
        <f t="shared" si="143"/>
        <v>0.38980733447145893</v>
      </c>
      <c r="AE491" s="25">
        <v>5.1158000000000001</v>
      </c>
      <c r="AF491" s="25">
        <v>5.5293000000000001</v>
      </c>
      <c r="AG491" s="25">
        <v>5.2209000000000003</v>
      </c>
      <c r="AH491" s="25">
        <f>AG491-AE491</f>
        <v>0.10510000000000019</v>
      </c>
      <c r="AI491" s="25">
        <v>74.582829504232123</v>
      </c>
      <c r="AJ491" s="26">
        <v>3.7291414752116063</v>
      </c>
      <c r="AK491" s="25">
        <v>37.291414752116061</v>
      </c>
      <c r="AL491" s="26">
        <v>3.7302273579694036</v>
      </c>
      <c r="AM491" s="17">
        <f t="shared" si="144"/>
        <v>0.5780346820809249</v>
      </c>
      <c r="AN491" s="17"/>
      <c r="AO491" s="27"/>
      <c r="AP491" s="17"/>
      <c r="AQ491" s="17"/>
      <c r="AR491" s="17"/>
      <c r="AS491" s="17"/>
      <c r="AT491" s="17"/>
      <c r="AU491" s="17"/>
      <c r="AV491" s="17"/>
      <c r="AW491" s="17"/>
      <c r="AX491" s="17"/>
      <c r="BB491" s="17"/>
    </row>
    <row r="492" spans="1:54" x14ac:dyDescent="0.2">
      <c r="A492" s="17" t="s">
        <v>41</v>
      </c>
      <c r="B492" s="18" t="s">
        <v>42</v>
      </c>
      <c r="C492" s="18" t="str">
        <f t="shared" si="136"/>
        <v>BI10.12</v>
      </c>
      <c r="D492" s="18" t="str">
        <f t="shared" si="137"/>
        <v>BI10.12_491</v>
      </c>
      <c r="E492" s="17">
        <v>12</v>
      </c>
      <c r="F492" s="19">
        <v>491</v>
      </c>
      <c r="G492" s="20">
        <v>1.8</v>
      </c>
      <c r="H492" s="20">
        <v>2</v>
      </c>
      <c r="I492" s="20">
        <v>1</v>
      </c>
      <c r="J492" s="20">
        <f t="shared" si="135"/>
        <v>2.83385</v>
      </c>
      <c r="K492" s="53">
        <v>0.22171052631578922</v>
      </c>
      <c r="L492" s="20">
        <f t="shared" si="147"/>
        <v>46.406578947368985</v>
      </c>
      <c r="M492" s="20">
        <f t="shared" si="147"/>
        <v>47.406578947368985</v>
      </c>
      <c r="N492" s="20">
        <f t="shared" si="147"/>
        <v>46.906578947368985</v>
      </c>
      <c r="O492" s="20">
        <f>P491+$AO$461</f>
        <v>486.40657894736898</v>
      </c>
      <c r="P492" s="20">
        <f t="shared" ref="P492:P531" si="152">O492+I492</f>
        <v>487.40657894736898</v>
      </c>
      <c r="Q492" s="20">
        <f t="shared" si="145"/>
        <v>486.90657894736898</v>
      </c>
      <c r="R492" s="20">
        <f t="shared" si="148"/>
        <v>491.40657894736898</v>
      </c>
      <c r="S492" s="20">
        <f t="shared" si="150"/>
        <v>492.40657894736898</v>
      </c>
      <c r="T492" s="20">
        <f t="shared" si="151"/>
        <v>491.90657894736898</v>
      </c>
      <c r="U492" s="20">
        <v>491.90657894736898</v>
      </c>
      <c r="V492" s="22">
        <v>7.5875000000000004</v>
      </c>
      <c r="W492" s="22">
        <v>4.5970000000000004</v>
      </c>
      <c r="X492" s="23">
        <v>1.1476266666666668</v>
      </c>
      <c r="Y492" s="23">
        <f t="shared" si="138"/>
        <v>6.4398733333333338</v>
      </c>
      <c r="Z492" s="23">
        <f t="shared" si="139"/>
        <v>3.4493733333333338</v>
      </c>
      <c r="AA492" s="22">
        <f t="shared" si="140"/>
        <v>46.437248765762469</v>
      </c>
      <c r="AB492" s="22">
        <f t="shared" si="141"/>
        <v>53.562751234237531</v>
      </c>
      <c r="AC492" s="22">
        <f t="shared" si="142"/>
        <v>2.2724820767977607</v>
      </c>
      <c r="AD492" s="22">
        <f t="shared" si="143"/>
        <v>1.2172039216378192</v>
      </c>
      <c r="AE492" s="25">
        <v>5.0019999999999998</v>
      </c>
      <c r="AF492" s="25">
        <v>5.6071999999999997</v>
      </c>
      <c r="AG492" s="25">
        <v>5.2877999999999998</v>
      </c>
      <c r="AH492" s="25">
        <f>AG492-AE492</f>
        <v>0.28580000000000005</v>
      </c>
      <c r="AI492" s="25">
        <v>52.775941837409114</v>
      </c>
      <c r="AJ492" s="26">
        <v>2.638797091870456</v>
      </c>
      <c r="AK492" s="25">
        <v>26.387970918704557</v>
      </c>
      <c r="AL492" s="26">
        <v>2.6403314360254044</v>
      </c>
      <c r="AM492" s="17">
        <f t="shared" si="144"/>
        <v>0.5780346820809249</v>
      </c>
      <c r="AN492" s="17"/>
      <c r="AO492" s="27"/>
      <c r="AP492" s="17"/>
      <c r="AQ492" s="17"/>
      <c r="AR492" s="17"/>
      <c r="AS492" s="17"/>
      <c r="AT492" s="17"/>
      <c r="AU492" s="17"/>
      <c r="AV492" s="17"/>
      <c r="AW492" s="17"/>
      <c r="AX492" s="17"/>
      <c r="BB492" s="17"/>
    </row>
    <row r="493" spans="1:54" x14ac:dyDescent="0.2">
      <c r="A493" s="17" t="s">
        <v>41</v>
      </c>
      <c r="B493" s="18" t="s">
        <v>42</v>
      </c>
      <c r="C493" s="18" t="str">
        <f t="shared" si="136"/>
        <v>BI10.12</v>
      </c>
      <c r="D493" s="18" t="str">
        <f t="shared" si="137"/>
        <v>BI10.12_492</v>
      </c>
      <c r="E493" s="17">
        <v>12</v>
      </c>
      <c r="F493" s="19">
        <v>492</v>
      </c>
      <c r="G493" s="20">
        <v>2</v>
      </c>
      <c r="H493" s="20">
        <v>2.2999999999999998</v>
      </c>
      <c r="I493" s="20">
        <v>0.95</v>
      </c>
      <c r="J493" s="20">
        <f t="shared" si="135"/>
        <v>3.447229375</v>
      </c>
      <c r="K493" s="53">
        <v>0.22171052631578922</v>
      </c>
      <c r="L493" s="20">
        <f t="shared" si="147"/>
        <v>47.628289473684788</v>
      </c>
      <c r="M493" s="20">
        <f t="shared" si="147"/>
        <v>48.578289473684777</v>
      </c>
      <c r="N493" s="20">
        <f t="shared" si="147"/>
        <v>48.103289473684754</v>
      </c>
      <c r="O493" s="20">
        <f>P492+$AO$461</f>
        <v>487.62828947368479</v>
      </c>
      <c r="P493" s="20">
        <f t="shared" si="152"/>
        <v>488.57828947368478</v>
      </c>
      <c r="Q493" s="20">
        <f t="shared" si="145"/>
        <v>488.10328947368475</v>
      </c>
      <c r="R493" s="20">
        <f t="shared" si="148"/>
        <v>492.62828947368479</v>
      </c>
      <c r="S493" s="20">
        <f t="shared" si="150"/>
        <v>493.57828947368478</v>
      </c>
      <c r="T493" s="20">
        <f t="shared" si="151"/>
        <v>493.10328947368475</v>
      </c>
      <c r="U493" s="20">
        <v>493.10328947368475</v>
      </c>
      <c r="V493" s="22">
        <v>5.2450999999999999</v>
      </c>
      <c r="W493" s="22">
        <v>2.0541</v>
      </c>
      <c r="X493" s="23">
        <v>1.1476266666666668</v>
      </c>
      <c r="Y493" s="23">
        <f t="shared" si="138"/>
        <v>4.0974733333333333</v>
      </c>
      <c r="Z493" s="23">
        <f t="shared" si="139"/>
        <v>0.90647333333333324</v>
      </c>
      <c r="AA493" s="22">
        <f t="shared" si="140"/>
        <v>77.877260946176591</v>
      </c>
      <c r="AB493" s="22">
        <f t="shared" si="141"/>
        <v>22.122739053823409</v>
      </c>
      <c r="AC493" s="22">
        <f t="shared" si="142"/>
        <v>1.1886279929757599</v>
      </c>
      <c r="AD493" s="22">
        <f t="shared" si="143"/>
        <v>0.26295706920672585</v>
      </c>
      <c r="AE493" s="25">
        <v>5.2134</v>
      </c>
      <c r="AF493" s="25">
        <v>5.6276000000000002</v>
      </c>
      <c r="AG493" s="25">
        <v>5.3113999999999999</v>
      </c>
      <c r="AH493" s="25">
        <f>AG493-AE493</f>
        <v>9.7999999999999865E-2</v>
      </c>
      <c r="AI493" s="25">
        <v>76.339932399806898</v>
      </c>
      <c r="AJ493" s="26">
        <v>3.8169966199903449</v>
      </c>
      <c r="AK493" s="25">
        <v>38.169966199903449</v>
      </c>
      <c r="AL493" s="26">
        <v>3.8180575162008386</v>
      </c>
      <c r="AM493" s="17">
        <f t="shared" si="144"/>
        <v>0.5780346820809249</v>
      </c>
      <c r="AN493" s="17"/>
      <c r="AO493" s="27"/>
      <c r="AP493" s="17"/>
      <c r="AQ493" s="17"/>
      <c r="AR493" s="17"/>
      <c r="AS493" s="17"/>
      <c r="AT493" s="17"/>
      <c r="AU493" s="17"/>
      <c r="AV493" s="17"/>
      <c r="AW493" s="17"/>
      <c r="AX493" s="17"/>
      <c r="BB493" s="17"/>
    </row>
    <row r="494" spans="1:54" x14ac:dyDescent="0.2">
      <c r="A494" s="17" t="s">
        <v>41</v>
      </c>
      <c r="B494" s="18" t="s">
        <v>42</v>
      </c>
      <c r="C494" s="18" t="str">
        <f t="shared" si="136"/>
        <v>BI10.12</v>
      </c>
      <c r="D494" s="18" t="str">
        <f t="shared" si="137"/>
        <v>BI10.12_493</v>
      </c>
      <c r="E494" s="17">
        <v>12</v>
      </c>
      <c r="F494" s="19">
        <v>493</v>
      </c>
      <c r="G494" s="20">
        <v>2.15</v>
      </c>
      <c r="H494" s="20">
        <v>2.4</v>
      </c>
      <c r="I494" s="20">
        <v>1.2</v>
      </c>
      <c r="J494" s="20">
        <f t="shared" si="135"/>
        <v>4.8754387499999998</v>
      </c>
      <c r="K494" s="53">
        <v>0.22171052631578922</v>
      </c>
      <c r="L494" s="20">
        <f t="shared" si="147"/>
        <v>48.80000000000058</v>
      </c>
      <c r="M494" s="20">
        <f t="shared" si="147"/>
        <v>50.000000000000568</v>
      </c>
      <c r="N494" s="20">
        <f t="shared" si="147"/>
        <v>49.400000000000546</v>
      </c>
      <c r="O494" s="20">
        <f>P493+$AO$461</f>
        <v>488.80000000000058</v>
      </c>
      <c r="P494" s="20">
        <f t="shared" si="152"/>
        <v>490.00000000000057</v>
      </c>
      <c r="Q494" s="20">
        <f t="shared" si="145"/>
        <v>489.40000000000055</v>
      </c>
      <c r="R494" s="20">
        <f t="shared" si="148"/>
        <v>493.80000000000058</v>
      </c>
      <c r="S494" s="20">
        <f t="shared" si="150"/>
        <v>495.00000000000057</v>
      </c>
      <c r="T494" s="20">
        <f t="shared" si="151"/>
        <v>494.40000000000055</v>
      </c>
      <c r="U494" s="20">
        <v>494.40000000000055</v>
      </c>
      <c r="V494" s="22">
        <v>8.9011999999999993</v>
      </c>
      <c r="W494" s="22">
        <v>2.6417999999999999</v>
      </c>
      <c r="X494" s="23">
        <v>1.1476266666666668</v>
      </c>
      <c r="Y494" s="23">
        <f t="shared" si="138"/>
        <v>7.7535733333333328</v>
      </c>
      <c r="Z494" s="23">
        <f t="shared" si="139"/>
        <v>1.4941733333333331</v>
      </c>
      <c r="AA494" s="22">
        <f t="shared" si="140"/>
        <v>80.729229361773832</v>
      </c>
      <c r="AB494" s="22">
        <f t="shared" si="141"/>
        <v>19.270770638226168</v>
      </c>
      <c r="AC494" s="22">
        <f t="shared" si="142"/>
        <v>1.5903334511859744</v>
      </c>
      <c r="AD494" s="22">
        <f t="shared" si="143"/>
        <v>0.30646951176103548</v>
      </c>
      <c r="AE494" s="25">
        <v>4.633</v>
      </c>
      <c r="AF494" s="25">
        <v>5.3666999999999998</v>
      </c>
      <c r="AG494" s="25">
        <v>4.7798999999999996</v>
      </c>
      <c r="AH494" s="25">
        <f>AG494-AE494</f>
        <v>0.14689999999999959</v>
      </c>
      <c r="AI494" s="25">
        <v>79.97819272182096</v>
      </c>
      <c r="AJ494" s="26">
        <v>3.9989096360910481</v>
      </c>
      <c r="AK494" s="25">
        <v>39.98909636091048</v>
      </c>
      <c r="AL494" s="26">
        <v>3.9999222839477571</v>
      </c>
      <c r="AM494" s="17">
        <f t="shared" si="144"/>
        <v>0.5780346820809249</v>
      </c>
      <c r="AN494" s="17"/>
      <c r="AO494" s="27"/>
      <c r="AP494" s="17"/>
      <c r="AQ494" s="17"/>
      <c r="AR494" s="17"/>
      <c r="AS494" s="17"/>
      <c r="AT494" s="17"/>
      <c r="AU494" s="17"/>
      <c r="AV494" s="17"/>
      <c r="AW494" s="17"/>
      <c r="AX494" s="17"/>
      <c r="BB494" s="17"/>
    </row>
    <row r="495" spans="1:54" x14ac:dyDescent="0.2">
      <c r="A495" s="17" t="s">
        <v>41</v>
      </c>
      <c r="B495" s="18" t="s">
        <v>42</v>
      </c>
      <c r="C495" s="18" t="str">
        <f t="shared" si="136"/>
        <v>BI10.13</v>
      </c>
      <c r="D495" s="18" t="str">
        <f t="shared" si="137"/>
        <v>BI10.13_494</v>
      </c>
      <c r="E495" s="17">
        <v>13</v>
      </c>
      <c r="F495" s="19">
        <v>494</v>
      </c>
      <c r="G495" s="20">
        <v>1.9</v>
      </c>
      <c r="H495" s="20">
        <v>2.2000000000000002</v>
      </c>
      <c r="I495" s="20">
        <v>1.1499999999999999</v>
      </c>
      <c r="J495" s="20">
        <f t="shared" si="135"/>
        <v>3.7938068749999991</v>
      </c>
      <c r="K495" s="53">
        <v>0.23916666666666644</v>
      </c>
      <c r="L495" s="20">
        <f>O495-457</f>
        <v>0</v>
      </c>
      <c r="M495" s="20">
        <f t="shared" ref="M495:N510" si="153">P495-457</f>
        <v>1.1499999999999773</v>
      </c>
      <c r="N495" s="20">
        <f t="shared" si="153"/>
        <v>0.57499999999998863</v>
      </c>
      <c r="O495" s="20">
        <v>457</v>
      </c>
      <c r="P495" s="20">
        <f t="shared" si="152"/>
        <v>458.15</v>
      </c>
      <c r="Q495" s="20">
        <f t="shared" si="145"/>
        <v>457.57499999999999</v>
      </c>
      <c r="R495" s="20">
        <f>O495</f>
        <v>457</v>
      </c>
      <c r="S495" s="20">
        <f t="shared" si="150"/>
        <v>458.15</v>
      </c>
      <c r="T495" s="20">
        <f t="shared" si="151"/>
        <v>457.57499999999999</v>
      </c>
      <c r="U495" s="20">
        <v>457.57499999999999</v>
      </c>
      <c r="V495" s="22">
        <v>4.8201999999999998</v>
      </c>
      <c r="W495" s="22">
        <v>2.3178999999999998</v>
      </c>
      <c r="X495" s="23">
        <v>1.1476266666666668</v>
      </c>
      <c r="Y495" s="23">
        <f t="shared" si="138"/>
        <v>3.6725733333333332</v>
      </c>
      <c r="Z495" s="23">
        <f t="shared" si="139"/>
        <v>1.1702733333333331</v>
      </c>
      <c r="AA495" s="22">
        <f t="shared" si="140"/>
        <v>68.134786507553287</v>
      </c>
      <c r="AB495" s="22">
        <f t="shared" si="141"/>
        <v>31.865213492446713</v>
      </c>
      <c r="AC495" s="22">
        <f t="shared" si="142"/>
        <v>0.96804435606209771</v>
      </c>
      <c r="AD495" s="22">
        <f t="shared" si="143"/>
        <v>0.3084694007607684</v>
      </c>
      <c r="AE495" s="25">
        <v>4.6658999999999997</v>
      </c>
      <c r="AF495" s="25">
        <v>4.8784000000000001</v>
      </c>
      <c r="AG495" s="25">
        <v>4.7370999999999999</v>
      </c>
      <c r="AH495" s="25">
        <f>AG495-AE495</f>
        <v>7.1200000000000152E-2</v>
      </c>
      <c r="AI495" s="25">
        <v>66.4941176470588</v>
      </c>
      <c r="AJ495" s="26">
        <v>3.3247058823529403</v>
      </c>
      <c r="AK495" s="25">
        <v>33.2470588235294</v>
      </c>
      <c r="AL495" s="26">
        <v>3.3259238121388535</v>
      </c>
      <c r="AM495" s="17">
        <f t="shared" si="144"/>
        <v>0.5780346820809249</v>
      </c>
      <c r="AN495" s="28" t="s">
        <v>43</v>
      </c>
      <c r="AO495" s="27">
        <v>50</v>
      </c>
      <c r="AP495" s="17"/>
      <c r="AQ495" s="17"/>
      <c r="AR495" s="17"/>
      <c r="AS495" s="17"/>
      <c r="AT495" s="17"/>
      <c r="AU495" s="17"/>
      <c r="AV495" s="17"/>
      <c r="AW495" s="17"/>
      <c r="AX495" s="17"/>
      <c r="BB495" s="17"/>
    </row>
    <row r="496" spans="1:54" x14ac:dyDescent="0.2">
      <c r="A496" s="17" t="s">
        <v>41</v>
      </c>
      <c r="B496" s="18" t="s">
        <v>42</v>
      </c>
      <c r="C496" s="18" t="str">
        <f t="shared" si="136"/>
        <v>BI10.13</v>
      </c>
      <c r="D496" s="18" t="str">
        <f t="shared" si="137"/>
        <v>BI10.13_495</v>
      </c>
      <c r="E496" s="17">
        <v>13</v>
      </c>
      <c r="F496" s="19">
        <v>495</v>
      </c>
      <c r="G496" s="20">
        <v>2.4500000000000002</v>
      </c>
      <c r="H496" s="20">
        <v>2.15</v>
      </c>
      <c r="I496" s="20">
        <v>1.05</v>
      </c>
      <c r="J496" s="20">
        <f t="shared" si="135"/>
        <v>4.3602824999999994</v>
      </c>
      <c r="K496" s="53">
        <v>0.23916666666666644</v>
      </c>
      <c r="L496" s="20">
        <f t="shared" ref="L496:N531" si="154">O496-457</f>
        <v>1.3891666666666538</v>
      </c>
      <c r="M496" s="20">
        <f t="shared" si="153"/>
        <v>2.4391666666666652</v>
      </c>
      <c r="N496" s="20">
        <f t="shared" si="153"/>
        <v>1.9141666666666879</v>
      </c>
      <c r="O496" s="20">
        <f>P495+$AO$500</f>
        <v>458.38916666666665</v>
      </c>
      <c r="P496" s="20">
        <f t="shared" si="152"/>
        <v>459.43916666666667</v>
      </c>
      <c r="Q496" s="20">
        <f t="shared" si="145"/>
        <v>458.91416666666669</v>
      </c>
      <c r="R496" s="20">
        <f t="shared" ref="R496:R531" si="155">O496</f>
        <v>458.38916666666665</v>
      </c>
      <c r="S496" s="20">
        <f t="shared" si="150"/>
        <v>459.43916666666667</v>
      </c>
      <c r="T496" s="20">
        <f t="shared" si="151"/>
        <v>458.91416666666669</v>
      </c>
      <c r="U496" s="20">
        <v>458.91416666666669</v>
      </c>
      <c r="V496" s="22">
        <v>6.4511000000000003</v>
      </c>
      <c r="W496" s="22">
        <v>2.4460000000000002</v>
      </c>
      <c r="X496" s="23">
        <v>1.1476266666666668</v>
      </c>
      <c r="Y496" s="23">
        <f t="shared" si="138"/>
        <v>5.3034733333333337</v>
      </c>
      <c r="Z496" s="23">
        <f t="shared" si="139"/>
        <v>1.2983733333333334</v>
      </c>
      <c r="AA496" s="22">
        <f t="shared" si="140"/>
        <v>75.518433831413631</v>
      </c>
      <c r="AB496" s="22">
        <f t="shared" si="141"/>
        <v>24.481566168586369</v>
      </c>
      <c r="AC496" s="22">
        <f t="shared" si="142"/>
        <v>1.2163141570146738</v>
      </c>
      <c r="AD496" s="22">
        <f t="shared" si="143"/>
        <v>0.2977727551674309</v>
      </c>
      <c r="AE496" s="25">
        <v>4.8886000000000003</v>
      </c>
      <c r="AF496" s="25">
        <v>5.3596000000000004</v>
      </c>
      <c r="AG496" s="25">
        <v>5.0232999999999999</v>
      </c>
      <c r="AH496" s="25">
        <f>AG496-AE496</f>
        <v>0.1346999999999996</v>
      </c>
      <c r="AI496" s="25">
        <v>71.40127388535042</v>
      </c>
      <c r="AJ496" s="26">
        <v>3.570063694267521</v>
      </c>
      <c r="AK496" s="25">
        <v>35.70063694267521</v>
      </c>
      <c r="AL496" s="26">
        <v>3.5711979476258469</v>
      </c>
      <c r="AM496" s="17">
        <f t="shared" si="144"/>
        <v>0.5780346820809249</v>
      </c>
      <c r="AN496" s="28" t="s">
        <v>44</v>
      </c>
      <c r="AO496" s="27" t="s">
        <v>65</v>
      </c>
      <c r="AP496" s="17"/>
      <c r="AQ496" s="17"/>
      <c r="AR496" s="17"/>
      <c r="AS496" s="17"/>
      <c r="AT496" s="17"/>
      <c r="AU496" s="17"/>
      <c r="AV496" s="17"/>
      <c r="AW496" s="17"/>
      <c r="AX496" s="17"/>
      <c r="BB496" s="17"/>
    </row>
    <row r="497" spans="1:54" x14ac:dyDescent="0.2">
      <c r="A497" s="17" t="s">
        <v>41</v>
      </c>
      <c r="B497" s="18" t="s">
        <v>42</v>
      </c>
      <c r="C497" s="18" t="str">
        <f t="shared" si="136"/>
        <v>BI10.13</v>
      </c>
      <c r="D497" s="18" t="str">
        <f t="shared" si="137"/>
        <v>BI10.13_496</v>
      </c>
      <c r="E497" s="17">
        <v>13</v>
      </c>
      <c r="F497" s="19">
        <v>496</v>
      </c>
      <c r="G497" s="20">
        <v>2.2999999999999998</v>
      </c>
      <c r="H497" s="20">
        <v>2.7</v>
      </c>
      <c r="I497" s="20">
        <v>1.1499999999999999</v>
      </c>
      <c r="J497" s="20">
        <f t="shared" si="135"/>
        <v>5.6421875000000004</v>
      </c>
      <c r="K497" s="53">
        <v>0.23916666666666644</v>
      </c>
      <c r="L497" s="20">
        <f t="shared" si="154"/>
        <v>2.6783333333333417</v>
      </c>
      <c r="M497" s="20">
        <f t="shared" si="153"/>
        <v>3.8283333333333189</v>
      </c>
      <c r="N497" s="20">
        <f t="shared" si="153"/>
        <v>3.2533333333333303</v>
      </c>
      <c r="O497" s="20">
        <f>P496+$AO$500</f>
        <v>459.67833333333334</v>
      </c>
      <c r="P497" s="20">
        <f t="shared" si="152"/>
        <v>460.82833333333332</v>
      </c>
      <c r="Q497" s="20">
        <f t="shared" si="145"/>
        <v>460.25333333333333</v>
      </c>
      <c r="R497" s="20">
        <f t="shared" si="155"/>
        <v>459.67833333333334</v>
      </c>
      <c r="S497" s="20">
        <f t="shared" si="150"/>
        <v>460.82833333333332</v>
      </c>
      <c r="T497" s="20">
        <f t="shared" si="151"/>
        <v>460.25333333333333</v>
      </c>
      <c r="U497" s="20">
        <v>460.25333333333333</v>
      </c>
      <c r="V497" s="22">
        <v>6.4173999999999998</v>
      </c>
      <c r="W497" s="22">
        <v>2.3771</v>
      </c>
      <c r="X497" s="23">
        <v>1.1476266666666668</v>
      </c>
      <c r="Y497" s="23">
        <f t="shared" si="138"/>
        <v>5.2697733333333332</v>
      </c>
      <c r="Z497" s="23">
        <f t="shared" si="139"/>
        <v>1.2294733333333332</v>
      </c>
      <c r="AA497" s="22">
        <f t="shared" si="140"/>
        <v>76.669331761264885</v>
      </c>
      <c r="AB497" s="22">
        <f t="shared" si="141"/>
        <v>23.330668238735115</v>
      </c>
      <c r="AC497" s="22">
        <f t="shared" si="142"/>
        <v>0.93399471983753335</v>
      </c>
      <c r="AD497" s="22">
        <f t="shared" si="143"/>
        <v>0.2179072094525985</v>
      </c>
      <c r="AE497" s="25">
        <v>5.0475000000000003</v>
      </c>
      <c r="AF497" s="25">
        <v>5.5214999999999996</v>
      </c>
      <c r="AG497" s="25">
        <v>5.1711999999999998</v>
      </c>
      <c r="AH497" s="25">
        <f>AG497-AE497</f>
        <v>0.12369999999999948</v>
      </c>
      <c r="AI497" s="25">
        <v>73.902953586497972</v>
      </c>
      <c r="AJ497" s="26">
        <v>3.695147679324899</v>
      </c>
      <c r="AK497" s="25">
        <v>36.951476793248986</v>
      </c>
      <c r="AL497" s="26">
        <v>3.6962435487965597</v>
      </c>
      <c r="AM497" s="17">
        <f t="shared" si="144"/>
        <v>0.5780346820809249</v>
      </c>
      <c r="AN497" s="28" t="s">
        <v>46</v>
      </c>
      <c r="AO497" s="29">
        <f>SUM(I495:I531)</f>
        <v>41.390000000000008</v>
      </c>
      <c r="AP497" s="17"/>
      <c r="AQ497" s="17"/>
      <c r="AR497" s="17"/>
      <c r="AS497" s="17"/>
      <c r="AT497" s="17"/>
      <c r="AU497" s="17"/>
      <c r="AV497" s="17"/>
      <c r="AW497" s="17"/>
      <c r="AX497" s="17"/>
      <c r="BB497" s="17"/>
    </row>
    <row r="498" spans="1:54" x14ac:dyDescent="0.2">
      <c r="A498" s="17" t="s">
        <v>41</v>
      </c>
      <c r="B498" s="18" t="s">
        <v>42</v>
      </c>
      <c r="C498" s="18" t="str">
        <f t="shared" si="136"/>
        <v>BI10.13</v>
      </c>
      <c r="D498" s="18" t="str">
        <f t="shared" si="137"/>
        <v>BI10.13_497</v>
      </c>
      <c r="E498" s="17">
        <v>13</v>
      </c>
      <c r="F498" s="19">
        <v>497</v>
      </c>
      <c r="G498" s="20">
        <v>2.2999999999999998</v>
      </c>
      <c r="H498" s="20">
        <v>2.6</v>
      </c>
      <c r="I498" s="20">
        <v>1.1000000000000001</v>
      </c>
      <c r="J498" s="20">
        <f t="shared" si="135"/>
        <v>5.1831587500000005</v>
      </c>
      <c r="K498" s="53">
        <v>0.23916666666666644</v>
      </c>
      <c r="L498" s="20">
        <f t="shared" si="154"/>
        <v>4.0674999999999955</v>
      </c>
      <c r="M498" s="20">
        <f t="shared" si="153"/>
        <v>5.1675000000000182</v>
      </c>
      <c r="N498" s="20">
        <f t="shared" si="153"/>
        <v>4.6175000000000068</v>
      </c>
      <c r="O498" s="20">
        <f>P497+$AO$500</f>
        <v>461.0675</v>
      </c>
      <c r="P498" s="20">
        <f t="shared" si="152"/>
        <v>462.16750000000002</v>
      </c>
      <c r="Q498" s="20">
        <f t="shared" si="145"/>
        <v>461.61750000000001</v>
      </c>
      <c r="R498" s="20">
        <f t="shared" si="155"/>
        <v>461.0675</v>
      </c>
      <c r="S498" s="20">
        <f t="shared" si="150"/>
        <v>462.16750000000002</v>
      </c>
      <c r="T498" s="20">
        <f t="shared" si="151"/>
        <v>461.61750000000001</v>
      </c>
      <c r="U498" s="20">
        <v>461.61750000000001</v>
      </c>
      <c r="V498" s="22">
        <v>6.4631999999999996</v>
      </c>
      <c r="W498" s="22">
        <v>2.5125999999999999</v>
      </c>
      <c r="X498" s="23">
        <v>1.1476266666666668</v>
      </c>
      <c r="Y498" s="23">
        <f t="shared" si="138"/>
        <v>5.315573333333333</v>
      </c>
      <c r="Z498" s="23">
        <f t="shared" si="139"/>
        <v>1.3649733333333331</v>
      </c>
      <c r="AA498" s="22">
        <f t="shared" si="140"/>
        <v>74.321239728295225</v>
      </c>
      <c r="AB498" s="22">
        <f t="shared" si="141"/>
        <v>25.678760271704775</v>
      </c>
      <c r="AC498" s="22">
        <f t="shared" si="142"/>
        <v>1.0255470823334001</v>
      </c>
      <c r="AD498" s="22">
        <f t="shared" si="143"/>
        <v>0.26334777674585658</v>
      </c>
      <c r="AE498" s="25">
        <v>4.6645000000000003</v>
      </c>
      <c r="AF498" s="25">
        <v>5.4185999999999996</v>
      </c>
      <c r="AG498" s="25">
        <v>4.8780999999999999</v>
      </c>
      <c r="AH498" s="25">
        <f>AG498-AE498</f>
        <v>0.21359999999999957</v>
      </c>
      <c r="AI498" s="25">
        <v>71.674844185121373</v>
      </c>
      <c r="AJ498" s="26">
        <v>3.5837422092560689</v>
      </c>
      <c r="AK498" s="25">
        <v>35.837422092560686</v>
      </c>
      <c r="AL498" s="26">
        <v>3.584872134735571</v>
      </c>
      <c r="AM498" s="17">
        <f t="shared" si="144"/>
        <v>0.5780346820809249</v>
      </c>
      <c r="AN498" s="28" t="s">
        <v>47</v>
      </c>
      <c r="AO498" s="29">
        <f>AO495-AO497</f>
        <v>8.6099999999999923</v>
      </c>
      <c r="AP498" s="17"/>
      <c r="AQ498" s="17"/>
      <c r="AR498" s="17"/>
      <c r="AS498" s="17"/>
      <c r="AT498" s="17"/>
      <c r="AU498" s="17"/>
      <c r="AV498" s="17"/>
      <c r="AW498" s="17"/>
      <c r="AX498" s="17"/>
      <c r="BB498" s="17"/>
    </row>
    <row r="499" spans="1:54" x14ac:dyDescent="0.2">
      <c r="A499" s="17" t="s">
        <v>41</v>
      </c>
      <c r="B499" s="18" t="s">
        <v>42</v>
      </c>
      <c r="C499" s="18" t="str">
        <f t="shared" si="136"/>
        <v>BI10.13</v>
      </c>
      <c r="D499" s="18" t="str">
        <f t="shared" si="137"/>
        <v>BI10.13_498</v>
      </c>
      <c r="E499" s="17">
        <v>13</v>
      </c>
      <c r="F499" s="19">
        <v>498</v>
      </c>
      <c r="G499" s="20">
        <v>2.35</v>
      </c>
      <c r="H499" s="20">
        <v>2.8</v>
      </c>
      <c r="I499" s="20">
        <v>1.05</v>
      </c>
      <c r="J499" s="20">
        <f t="shared" si="135"/>
        <v>5.4652926562500017</v>
      </c>
      <c r="K499" s="53">
        <v>0.23916666666666644</v>
      </c>
      <c r="L499" s="20">
        <f t="shared" si="154"/>
        <v>5.4066666666666947</v>
      </c>
      <c r="M499" s="20">
        <f t="shared" si="153"/>
        <v>6.4566666666667061</v>
      </c>
      <c r="N499" s="20">
        <f t="shared" si="153"/>
        <v>5.9316666666667288</v>
      </c>
      <c r="O499" s="20">
        <f>P498+$AO$500</f>
        <v>462.40666666666669</v>
      </c>
      <c r="P499" s="20">
        <f t="shared" si="152"/>
        <v>463.45666666666671</v>
      </c>
      <c r="Q499" s="20">
        <f t="shared" si="145"/>
        <v>462.93166666666673</v>
      </c>
      <c r="R499" s="20">
        <f t="shared" si="155"/>
        <v>462.40666666666669</v>
      </c>
      <c r="S499" s="20">
        <f t="shared" si="150"/>
        <v>463.45666666666671</v>
      </c>
      <c r="T499" s="20">
        <f t="shared" si="151"/>
        <v>462.93166666666673</v>
      </c>
      <c r="U499" s="20">
        <v>462.93166666666673</v>
      </c>
      <c r="V499" s="22">
        <v>7.0446</v>
      </c>
      <c r="W499" s="22">
        <v>2.653</v>
      </c>
      <c r="X499" s="23">
        <v>1.1476266666666668</v>
      </c>
      <c r="Y499" s="23">
        <f t="shared" si="138"/>
        <v>5.8969733333333334</v>
      </c>
      <c r="Z499" s="23">
        <f t="shared" si="139"/>
        <v>1.5053733333333332</v>
      </c>
      <c r="AA499" s="22">
        <f t="shared" si="140"/>
        <v>74.472102072701702</v>
      </c>
      <c r="AB499" s="22">
        <f t="shared" si="141"/>
        <v>25.527897927298298</v>
      </c>
      <c r="AC499" s="22">
        <f t="shared" si="142"/>
        <v>1.0789858300798714</v>
      </c>
      <c r="AD499" s="22">
        <f t="shared" si="143"/>
        <v>0.27544240135280179</v>
      </c>
      <c r="AE499" s="25">
        <v>4.8708</v>
      </c>
      <c r="AF499" s="25">
        <v>5.6300999999999997</v>
      </c>
      <c r="AG499" s="25">
        <v>5.1597</v>
      </c>
      <c r="AH499" s="25">
        <f>AG499-AE499</f>
        <v>0.28889999999999993</v>
      </c>
      <c r="AI499" s="25">
        <v>61.951797708415633</v>
      </c>
      <c r="AJ499" s="26">
        <v>3.0975898854207817</v>
      </c>
      <c r="AK499" s="25">
        <v>30.975898854207816</v>
      </c>
      <c r="AL499" s="26">
        <v>3.0988970777134779</v>
      </c>
      <c r="AM499" s="17">
        <f t="shared" si="144"/>
        <v>0.5780346820809249</v>
      </c>
      <c r="AN499" s="28" t="s">
        <v>48</v>
      </c>
      <c r="AO499" s="27">
        <v>36</v>
      </c>
      <c r="AP499" s="17"/>
      <c r="AQ499" s="17"/>
      <c r="AR499" s="17"/>
      <c r="AS499" s="17"/>
      <c r="AT499" s="17"/>
      <c r="AU499" s="17"/>
      <c r="AV499" s="17"/>
      <c r="AW499" s="17"/>
      <c r="AX499" s="17"/>
      <c r="BB499" s="17"/>
    </row>
    <row r="500" spans="1:54" x14ac:dyDescent="0.2">
      <c r="A500" s="17" t="s">
        <v>41</v>
      </c>
      <c r="B500" s="18" t="s">
        <v>42</v>
      </c>
      <c r="C500" s="18" t="str">
        <f t="shared" si="136"/>
        <v>BI10.13</v>
      </c>
      <c r="D500" s="18" t="str">
        <f t="shared" si="137"/>
        <v>BI10.13_499</v>
      </c>
      <c r="E500" s="17">
        <v>13</v>
      </c>
      <c r="F500" s="19">
        <v>499</v>
      </c>
      <c r="G500" s="20">
        <v>2.7</v>
      </c>
      <c r="H500" s="20">
        <v>2.2999999999999998</v>
      </c>
      <c r="I500" s="20">
        <v>1.2</v>
      </c>
      <c r="J500" s="20">
        <f t="shared" si="135"/>
        <v>5.8875000000000002</v>
      </c>
      <c r="K500" s="53">
        <v>0.23916666666666644</v>
      </c>
      <c r="L500" s="20">
        <f t="shared" si="154"/>
        <v>6.6958333333333826</v>
      </c>
      <c r="M500" s="20">
        <f t="shared" si="153"/>
        <v>7.8958333333333712</v>
      </c>
      <c r="N500" s="20">
        <f t="shared" si="153"/>
        <v>7.2958333333333485</v>
      </c>
      <c r="O500" s="20">
        <f>P499+$AO$500</f>
        <v>463.69583333333338</v>
      </c>
      <c r="P500" s="20">
        <f t="shared" si="152"/>
        <v>464.89583333333337</v>
      </c>
      <c r="Q500" s="20">
        <f t="shared" si="145"/>
        <v>464.29583333333335</v>
      </c>
      <c r="R500" s="20">
        <f t="shared" si="155"/>
        <v>463.69583333333338</v>
      </c>
      <c r="S500" s="20">
        <f t="shared" si="150"/>
        <v>464.89583333333337</v>
      </c>
      <c r="T500" s="20">
        <f t="shared" si="151"/>
        <v>464.29583333333335</v>
      </c>
      <c r="U500" s="20">
        <v>464.29583333333335</v>
      </c>
      <c r="V500" s="22">
        <v>6.8098000000000001</v>
      </c>
      <c r="W500" s="22">
        <v>2.6440999999999999</v>
      </c>
      <c r="X500" s="23">
        <v>1.1476266666666668</v>
      </c>
      <c r="Y500" s="23">
        <f t="shared" si="138"/>
        <v>5.6621733333333335</v>
      </c>
      <c r="Z500" s="23">
        <f t="shared" si="139"/>
        <v>1.4964733333333331</v>
      </c>
      <c r="AA500" s="22">
        <f t="shared" si="140"/>
        <v>73.570690170794251</v>
      </c>
      <c r="AB500" s="22">
        <f t="shared" si="141"/>
        <v>26.429309829205749</v>
      </c>
      <c r="AC500" s="22">
        <f t="shared" si="142"/>
        <v>0.96172795470629868</v>
      </c>
      <c r="AD500" s="22">
        <f t="shared" si="143"/>
        <v>0.25417806086341116</v>
      </c>
      <c r="AE500" s="25">
        <v>4.7154999999999996</v>
      </c>
      <c r="AF500" s="25">
        <v>5.3766999999999996</v>
      </c>
      <c r="AG500" s="25">
        <v>4.8705999999999996</v>
      </c>
      <c r="AH500" s="25">
        <f>AG500-AE500</f>
        <v>0.15510000000000002</v>
      </c>
      <c r="AI500" s="25">
        <v>76.542649727767696</v>
      </c>
      <c r="AJ500" s="26">
        <v>3.8271324863883849</v>
      </c>
      <c r="AK500" s="25">
        <v>38.271324863883848</v>
      </c>
      <c r="AL500" s="26">
        <v>3.8281905736743753</v>
      </c>
      <c r="AM500" s="17">
        <f t="shared" si="144"/>
        <v>0.5780346820809249</v>
      </c>
      <c r="AN500" s="28" t="s">
        <v>49</v>
      </c>
      <c r="AO500" s="30">
        <f>AO498/AO499</f>
        <v>0.23916666666666644</v>
      </c>
      <c r="AP500" s="17"/>
      <c r="AQ500" s="17"/>
      <c r="AR500" s="17"/>
      <c r="AS500" s="17"/>
      <c r="AT500" s="17"/>
      <c r="AU500" s="17"/>
      <c r="AV500" s="17"/>
      <c r="AW500" s="17"/>
      <c r="AX500" s="17"/>
      <c r="BB500" s="17"/>
    </row>
    <row r="501" spans="1:54" x14ac:dyDescent="0.2">
      <c r="A501" s="17" t="s">
        <v>41</v>
      </c>
      <c r="B501" s="18" t="s">
        <v>42</v>
      </c>
      <c r="C501" s="18" t="str">
        <f t="shared" si="136"/>
        <v>BI10.13</v>
      </c>
      <c r="D501" s="18" t="str">
        <f t="shared" si="137"/>
        <v>BI10.13_500</v>
      </c>
      <c r="E501" s="17">
        <v>13</v>
      </c>
      <c r="F501" s="19">
        <v>500</v>
      </c>
      <c r="G501" s="20">
        <v>2.2000000000000002</v>
      </c>
      <c r="H501" s="20">
        <v>2.7</v>
      </c>
      <c r="I501" s="20">
        <v>1.1499999999999999</v>
      </c>
      <c r="J501" s="20">
        <f t="shared" si="135"/>
        <v>5.4187568750000006</v>
      </c>
      <c r="K501" s="53">
        <v>0.23916666666666644</v>
      </c>
      <c r="L501" s="20">
        <f t="shared" si="154"/>
        <v>8.1350000000000477</v>
      </c>
      <c r="M501" s="20">
        <f t="shared" si="153"/>
        <v>9.285000000000025</v>
      </c>
      <c r="N501" s="20">
        <f t="shared" si="153"/>
        <v>8.7100000000000364</v>
      </c>
      <c r="O501" s="20">
        <f>P500+$AO$500</f>
        <v>465.13500000000005</v>
      </c>
      <c r="P501" s="20">
        <f t="shared" si="152"/>
        <v>466.28500000000003</v>
      </c>
      <c r="Q501" s="20">
        <f t="shared" si="145"/>
        <v>465.71000000000004</v>
      </c>
      <c r="R501" s="20">
        <f t="shared" si="155"/>
        <v>465.13500000000005</v>
      </c>
      <c r="S501" s="20">
        <f t="shared" si="150"/>
        <v>466.28500000000003</v>
      </c>
      <c r="T501" s="20">
        <f t="shared" si="151"/>
        <v>465.71000000000004</v>
      </c>
      <c r="U501" s="20">
        <v>465.71000000000004</v>
      </c>
      <c r="V501" s="22">
        <v>6.8269000000000002</v>
      </c>
      <c r="W501" s="22">
        <v>2.6615000000000002</v>
      </c>
      <c r="X501" s="23">
        <v>1.1476266666666668</v>
      </c>
      <c r="Y501" s="23">
        <f t="shared" si="138"/>
        <v>5.6792733333333336</v>
      </c>
      <c r="Z501" s="23">
        <f t="shared" si="139"/>
        <v>1.5138733333333334</v>
      </c>
      <c r="AA501" s="22">
        <f t="shared" si="140"/>
        <v>73.343890239478995</v>
      </c>
      <c r="AB501" s="22">
        <f t="shared" si="141"/>
        <v>26.656109760521005</v>
      </c>
      <c r="AC501" s="22">
        <f t="shared" si="142"/>
        <v>1.0480767940586619</v>
      </c>
      <c r="AD501" s="22">
        <f t="shared" si="143"/>
        <v>0.27937650059882657</v>
      </c>
      <c r="AE501" s="25">
        <v>4.7043999999999997</v>
      </c>
      <c r="AF501" s="25">
        <v>5.4212999999999996</v>
      </c>
      <c r="AG501" s="25">
        <v>4.8711000000000002</v>
      </c>
      <c r="AH501" s="25">
        <f>AG501-AE501</f>
        <v>0.16670000000000051</v>
      </c>
      <c r="AI501" s="25">
        <v>76.747105593527607</v>
      </c>
      <c r="AJ501" s="26">
        <v>3.8373552796763803</v>
      </c>
      <c r="AK501" s="25">
        <v>38.373552796763803</v>
      </c>
      <c r="AL501" s="26">
        <v>3.8384105489720861</v>
      </c>
      <c r="AM501" s="17">
        <f t="shared" si="144"/>
        <v>0.5780346820809249</v>
      </c>
      <c r="AN501" s="17"/>
      <c r="AO501" s="27"/>
      <c r="AP501" s="17"/>
      <c r="AQ501" s="17"/>
      <c r="AR501" s="17"/>
      <c r="AS501" s="17"/>
      <c r="AT501" s="17"/>
      <c r="AU501" s="17"/>
      <c r="AV501" s="17"/>
      <c r="AW501" s="17"/>
      <c r="AX501" s="17"/>
      <c r="BB501" s="17"/>
    </row>
    <row r="502" spans="1:54" x14ac:dyDescent="0.2">
      <c r="A502" s="17" t="s">
        <v>41</v>
      </c>
      <c r="B502" s="18" t="s">
        <v>42</v>
      </c>
      <c r="C502" s="18" t="str">
        <f t="shared" si="136"/>
        <v>BI10.13</v>
      </c>
      <c r="D502" s="18" t="str">
        <f t="shared" si="137"/>
        <v>BI10.13_501</v>
      </c>
      <c r="E502" s="17">
        <v>13</v>
      </c>
      <c r="F502" s="19">
        <v>501</v>
      </c>
      <c r="G502" s="20">
        <v>2</v>
      </c>
      <c r="H502" s="20">
        <v>2.5499999999999998</v>
      </c>
      <c r="I502" s="20">
        <v>1.1499999999999999</v>
      </c>
      <c r="J502" s="20">
        <f t="shared" si="135"/>
        <v>4.6722954687499998</v>
      </c>
      <c r="K502" s="53">
        <v>0.23916666666666644</v>
      </c>
      <c r="L502" s="20">
        <f t="shared" si="154"/>
        <v>9.5241666666667015</v>
      </c>
      <c r="M502" s="20">
        <f t="shared" si="153"/>
        <v>10.674166666666679</v>
      </c>
      <c r="N502" s="20">
        <f t="shared" si="153"/>
        <v>10.09916666666669</v>
      </c>
      <c r="O502" s="20">
        <f>P501+$AO$500</f>
        <v>466.5241666666667</v>
      </c>
      <c r="P502" s="20">
        <f t="shared" si="152"/>
        <v>467.67416666666668</v>
      </c>
      <c r="Q502" s="20">
        <f t="shared" si="145"/>
        <v>467.09916666666669</v>
      </c>
      <c r="R502" s="20">
        <f t="shared" si="155"/>
        <v>466.5241666666667</v>
      </c>
      <c r="S502" s="20">
        <f t="shared" si="150"/>
        <v>467.67416666666668</v>
      </c>
      <c r="T502" s="20">
        <f t="shared" si="151"/>
        <v>467.09916666666669</v>
      </c>
      <c r="U502" s="20">
        <v>467.09916666666669</v>
      </c>
      <c r="V502" s="22">
        <v>6.5426000000000002</v>
      </c>
      <c r="W502" s="22">
        <v>2.4281999999999999</v>
      </c>
      <c r="X502" s="23">
        <v>1.1476266666666668</v>
      </c>
      <c r="Y502" s="23">
        <f t="shared" si="138"/>
        <v>5.3949733333333336</v>
      </c>
      <c r="Z502" s="23">
        <f t="shared" si="139"/>
        <v>1.2805733333333331</v>
      </c>
      <c r="AA502" s="22">
        <f t="shared" si="140"/>
        <v>76.263583632171191</v>
      </c>
      <c r="AB502" s="22">
        <f t="shared" si="141"/>
        <v>23.736416367828809</v>
      </c>
      <c r="AC502" s="22">
        <f t="shared" si="142"/>
        <v>1.15467298021216</v>
      </c>
      <c r="AD502" s="22">
        <f t="shared" si="143"/>
        <v>0.27407798626997593</v>
      </c>
      <c r="AE502" s="25">
        <v>4.8234000000000004</v>
      </c>
      <c r="AF502" s="25">
        <v>5.7024999999999997</v>
      </c>
      <c r="AG502" s="25">
        <v>5.0419999999999998</v>
      </c>
      <c r="AH502" s="25">
        <f>AG502-AE502</f>
        <v>0.21859999999999946</v>
      </c>
      <c r="AI502" s="25">
        <v>75.133659424411377</v>
      </c>
      <c r="AJ502" s="26">
        <v>3.7566829712205689</v>
      </c>
      <c r="AK502" s="25">
        <v>37.566829712205688</v>
      </c>
      <c r="AL502" s="26">
        <v>3.7577608953016957</v>
      </c>
      <c r="AM502" s="17">
        <f t="shared" si="144"/>
        <v>0.5780346820809249</v>
      </c>
      <c r="AN502" s="17"/>
      <c r="AO502" s="27"/>
      <c r="AP502" s="17"/>
      <c r="AQ502" s="17"/>
      <c r="AR502" s="17"/>
      <c r="AS502" s="17"/>
      <c r="AT502" s="17"/>
      <c r="AU502" s="17"/>
      <c r="AV502" s="17"/>
      <c r="AW502" s="17"/>
      <c r="AX502" s="17"/>
      <c r="BB502" s="17"/>
    </row>
    <row r="503" spans="1:54" x14ac:dyDescent="0.2">
      <c r="A503" s="17" t="s">
        <v>41</v>
      </c>
      <c r="B503" s="18" t="s">
        <v>42</v>
      </c>
      <c r="C503" s="18" t="str">
        <f t="shared" si="136"/>
        <v>BI10.13</v>
      </c>
      <c r="D503" s="18" t="str">
        <f t="shared" si="137"/>
        <v>BI10.13_502</v>
      </c>
      <c r="E503" s="17">
        <v>13</v>
      </c>
      <c r="F503" s="19">
        <v>502</v>
      </c>
      <c r="G503" s="20">
        <v>2.1</v>
      </c>
      <c r="H503" s="20">
        <v>2.7</v>
      </c>
      <c r="I503" s="20">
        <v>1</v>
      </c>
      <c r="J503" s="20">
        <f t="shared" si="135"/>
        <v>4.5216000000000012</v>
      </c>
      <c r="K503" s="53">
        <v>0.23916666666666644</v>
      </c>
      <c r="L503" s="20">
        <f t="shared" si="154"/>
        <v>10.913333333333355</v>
      </c>
      <c r="M503" s="20">
        <f t="shared" si="153"/>
        <v>11.913333333333355</v>
      </c>
      <c r="N503" s="20">
        <f t="shared" si="153"/>
        <v>11.413333333333355</v>
      </c>
      <c r="O503" s="20">
        <f>P502+$AO$500</f>
        <v>467.91333333333336</v>
      </c>
      <c r="P503" s="20">
        <f t="shared" si="152"/>
        <v>468.91333333333336</v>
      </c>
      <c r="Q503" s="20">
        <f t="shared" si="145"/>
        <v>468.41333333333336</v>
      </c>
      <c r="R503" s="20">
        <f t="shared" si="155"/>
        <v>467.91333333333336</v>
      </c>
      <c r="S503" s="20">
        <f t="shared" si="150"/>
        <v>468.91333333333336</v>
      </c>
      <c r="T503" s="20">
        <f t="shared" si="151"/>
        <v>468.41333333333336</v>
      </c>
      <c r="U503" s="20">
        <v>468.41333333333336</v>
      </c>
      <c r="V503" s="22">
        <v>6.2927</v>
      </c>
      <c r="W503" s="22">
        <v>2.3843000000000001</v>
      </c>
      <c r="X503" s="23">
        <v>1.1476266666666668</v>
      </c>
      <c r="Y503" s="23">
        <f t="shared" si="138"/>
        <v>5.1450733333333334</v>
      </c>
      <c r="Z503" s="23">
        <f t="shared" si="139"/>
        <v>1.2366733333333333</v>
      </c>
      <c r="AA503" s="22">
        <f t="shared" si="140"/>
        <v>75.963931839001972</v>
      </c>
      <c r="AB503" s="22">
        <f t="shared" si="141"/>
        <v>24.036068160998028</v>
      </c>
      <c r="AC503" s="22">
        <f t="shared" si="142"/>
        <v>1.1378877683415898</v>
      </c>
      <c r="AD503" s="22">
        <f t="shared" si="143"/>
        <v>0.27350347959424387</v>
      </c>
      <c r="AE503" s="25">
        <v>4.8361999999999998</v>
      </c>
      <c r="AF503" s="25">
        <v>5.5579000000000001</v>
      </c>
      <c r="AG503" s="25">
        <v>4.9946000000000002</v>
      </c>
      <c r="AH503" s="25">
        <f>AG503-AE503</f>
        <v>0.15840000000000032</v>
      </c>
      <c r="AI503" s="25">
        <v>78.051822086739605</v>
      </c>
      <c r="AJ503" s="26">
        <v>3.9025911043369805</v>
      </c>
      <c r="AK503" s="25">
        <v>39.025911043369803</v>
      </c>
      <c r="AL503" s="26">
        <v>3.9036287384496662</v>
      </c>
      <c r="AM503" s="17">
        <f t="shared" si="144"/>
        <v>0.5780346820809249</v>
      </c>
      <c r="AN503" s="17"/>
      <c r="AO503" s="27"/>
      <c r="AP503" s="17"/>
      <c r="AQ503" s="17"/>
      <c r="AR503" s="17"/>
      <c r="AS503" s="17"/>
      <c r="AT503" s="17"/>
      <c r="AU503" s="17"/>
      <c r="AV503" s="17"/>
      <c r="AW503" s="17"/>
      <c r="AX503" s="17"/>
      <c r="BB503" s="17"/>
    </row>
    <row r="504" spans="1:54" x14ac:dyDescent="0.2">
      <c r="A504" s="17" t="s">
        <v>41</v>
      </c>
      <c r="B504" s="18" t="s">
        <v>42</v>
      </c>
      <c r="C504" s="18" t="str">
        <f t="shared" si="136"/>
        <v>BI10.13</v>
      </c>
      <c r="D504" s="18" t="str">
        <f t="shared" si="137"/>
        <v>BI10.13_503</v>
      </c>
      <c r="E504" s="17">
        <v>13</v>
      </c>
      <c r="F504" s="19">
        <v>503</v>
      </c>
      <c r="G504" s="20">
        <v>1.85</v>
      </c>
      <c r="H504" s="20">
        <v>2.7</v>
      </c>
      <c r="I504" s="20">
        <v>1.1499999999999999</v>
      </c>
      <c r="J504" s="20">
        <f t="shared" si="135"/>
        <v>4.6722954687500007</v>
      </c>
      <c r="K504" s="53">
        <v>0.23916666666666644</v>
      </c>
      <c r="L504" s="20">
        <f t="shared" si="154"/>
        <v>12.152500000000032</v>
      </c>
      <c r="M504" s="20">
        <f t="shared" si="153"/>
        <v>13.302500000000009</v>
      </c>
      <c r="N504" s="20">
        <f t="shared" si="153"/>
        <v>12.72750000000002</v>
      </c>
      <c r="O504" s="20">
        <f>P503+$AO$500</f>
        <v>469.15250000000003</v>
      </c>
      <c r="P504" s="20">
        <f t="shared" si="152"/>
        <v>470.30250000000001</v>
      </c>
      <c r="Q504" s="20">
        <f t="shared" si="145"/>
        <v>469.72750000000002</v>
      </c>
      <c r="R504" s="20">
        <f t="shared" si="155"/>
        <v>469.15250000000003</v>
      </c>
      <c r="S504" s="20">
        <f t="shared" si="150"/>
        <v>470.30250000000001</v>
      </c>
      <c r="T504" s="20">
        <f t="shared" si="151"/>
        <v>469.72750000000002</v>
      </c>
      <c r="U504" s="20">
        <v>469.72750000000002</v>
      </c>
      <c r="V504" s="22">
        <v>5.8705999999999996</v>
      </c>
      <c r="W504" s="22">
        <v>2.1688000000000001</v>
      </c>
      <c r="X504" s="23">
        <v>1.1476266666666668</v>
      </c>
      <c r="Y504" s="23">
        <f t="shared" si="138"/>
        <v>4.722973333333333</v>
      </c>
      <c r="Z504" s="23">
        <f t="shared" si="139"/>
        <v>1.0211733333333333</v>
      </c>
      <c r="AA504" s="22">
        <f t="shared" si="140"/>
        <v>78.378592016893307</v>
      </c>
      <c r="AB504" s="22">
        <f t="shared" si="141"/>
        <v>21.621407983106693</v>
      </c>
      <c r="AC504" s="22">
        <f t="shared" si="142"/>
        <v>1.0108464597160611</v>
      </c>
      <c r="AD504" s="22">
        <f t="shared" si="143"/>
        <v>0.2185592371379998</v>
      </c>
      <c r="AE504" s="25">
        <v>4.8933</v>
      </c>
      <c r="AF504" s="25">
        <v>5.5720000000000001</v>
      </c>
      <c r="AG504" s="25">
        <v>5.0369999999999999</v>
      </c>
      <c r="AH504" s="25">
        <f>AG504-AE504</f>
        <v>0.14369999999999994</v>
      </c>
      <c r="AI504" s="25">
        <v>78.827169588920015</v>
      </c>
      <c r="AJ504" s="26">
        <v>3.9413584794460008</v>
      </c>
      <c r="AK504" s="25">
        <v>39.413584794460007</v>
      </c>
      <c r="AL504" s="26">
        <v>3.9423859100170411</v>
      </c>
      <c r="AM504" s="17">
        <f t="shared" si="144"/>
        <v>0.5780346820809249</v>
      </c>
      <c r="AN504" s="17"/>
      <c r="AO504" s="27"/>
      <c r="AP504" s="17"/>
      <c r="AQ504" s="17"/>
      <c r="AR504" s="17"/>
      <c r="AS504" s="17"/>
      <c r="AT504" s="17"/>
      <c r="AU504" s="17"/>
      <c r="AV504" s="17"/>
      <c r="AW504" s="17"/>
      <c r="AX504" s="17"/>
      <c r="BB504" s="17"/>
    </row>
    <row r="505" spans="1:54" x14ac:dyDescent="0.2">
      <c r="A505" s="17" t="s">
        <v>41</v>
      </c>
      <c r="B505" s="18" t="s">
        <v>42</v>
      </c>
      <c r="C505" s="18" t="str">
        <f t="shared" si="136"/>
        <v>BI10.13</v>
      </c>
      <c r="D505" s="18" t="str">
        <f t="shared" si="137"/>
        <v>BI10.13_504</v>
      </c>
      <c r="E505" s="17">
        <v>13</v>
      </c>
      <c r="F505" s="19">
        <v>504</v>
      </c>
      <c r="G505" s="20">
        <v>1.9</v>
      </c>
      <c r="H505" s="20">
        <v>2.8</v>
      </c>
      <c r="I505" s="20">
        <v>1.2</v>
      </c>
      <c r="J505" s="20">
        <f t="shared" si="135"/>
        <v>5.2021949999999988</v>
      </c>
      <c r="K505" s="53">
        <v>0.23916666666666644</v>
      </c>
      <c r="L505" s="20">
        <f t="shared" si="154"/>
        <v>13.541666666666686</v>
      </c>
      <c r="M505" s="20">
        <f t="shared" si="153"/>
        <v>14.741666666666674</v>
      </c>
      <c r="N505" s="20">
        <f t="shared" si="153"/>
        <v>14.141666666666652</v>
      </c>
      <c r="O505" s="20">
        <f>P504+$AO$500</f>
        <v>470.54166666666669</v>
      </c>
      <c r="P505" s="20">
        <f t="shared" si="152"/>
        <v>471.74166666666667</v>
      </c>
      <c r="Q505" s="20">
        <f t="shared" si="145"/>
        <v>471.14166666666665</v>
      </c>
      <c r="R505" s="20">
        <f t="shared" si="155"/>
        <v>470.54166666666669</v>
      </c>
      <c r="S505" s="20">
        <f t="shared" si="150"/>
        <v>471.74166666666667</v>
      </c>
      <c r="T505" s="20">
        <f t="shared" si="151"/>
        <v>471.14166666666665</v>
      </c>
      <c r="U505" s="20">
        <v>471.14166666666665</v>
      </c>
      <c r="V505" s="22">
        <v>7.3098999999999998</v>
      </c>
      <c r="W505" s="22">
        <v>2.6997</v>
      </c>
      <c r="X505" s="23">
        <v>1.1476266666666668</v>
      </c>
      <c r="Y505" s="23">
        <f t="shared" si="138"/>
        <v>6.1622733333333333</v>
      </c>
      <c r="Z505" s="23">
        <f t="shared" si="139"/>
        <v>1.5520733333333332</v>
      </c>
      <c r="AA505" s="22">
        <f t="shared" si="140"/>
        <v>74.813299420884718</v>
      </c>
      <c r="AB505" s="22">
        <f t="shared" si="141"/>
        <v>25.186700579115282</v>
      </c>
      <c r="AC505" s="22">
        <f t="shared" si="142"/>
        <v>1.1845525462489073</v>
      </c>
      <c r="AD505" s="22">
        <f t="shared" si="143"/>
        <v>0.29834970302599834</v>
      </c>
      <c r="AE505" s="25">
        <v>5.1360000000000001</v>
      </c>
      <c r="AF505" s="25">
        <v>5.9890999999999996</v>
      </c>
      <c r="AG505" s="25">
        <v>5.3300999999999998</v>
      </c>
      <c r="AH505" s="25">
        <f>AG505-AE505</f>
        <v>0.19409999999999972</v>
      </c>
      <c r="AI505" s="25">
        <v>77.247684913843656</v>
      </c>
      <c r="AJ505" s="26">
        <v>3.8623842456921831</v>
      </c>
      <c r="AK505" s="25">
        <v>38.623842456921828</v>
      </c>
      <c r="AL505" s="26">
        <v>3.8634326785089934</v>
      </c>
      <c r="AM505" s="17">
        <f t="shared" si="144"/>
        <v>0.5780346820809249</v>
      </c>
      <c r="AN505" s="17"/>
      <c r="AO505" s="27"/>
      <c r="AP505" s="17"/>
      <c r="AQ505" s="17"/>
      <c r="AR505" s="17"/>
      <c r="AS505" s="17"/>
      <c r="AT505" s="17"/>
      <c r="AU505" s="17"/>
      <c r="AV505" s="17"/>
      <c r="AW505" s="17"/>
      <c r="AX505" s="17"/>
      <c r="BB505" s="17"/>
    </row>
    <row r="506" spans="1:54" x14ac:dyDescent="0.2">
      <c r="A506" s="17" t="s">
        <v>41</v>
      </c>
      <c r="B506" s="18" t="s">
        <v>42</v>
      </c>
      <c r="C506" s="18" t="str">
        <f t="shared" si="136"/>
        <v>BI10.13</v>
      </c>
      <c r="D506" s="18" t="str">
        <f t="shared" si="137"/>
        <v>BI10.13_505</v>
      </c>
      <c r="E506" s="17">
        <v>13</v>
      </c>
      <c r="F506" s="19">
        <v>505</v>
      </c>
      <c r="G506" s="20">
        <v>2.1</v>
      </c>
      <c r="H506" s="20">
        <v>2.5499999999999998</v>
      </c>
      <c r="I506" s="20">
        <v>1.2</v>
      </c>
      <c r="J506" s="20">
        <f t="shared" si="135"/>
        <v>5.0920987500000008</v>
      </c>
      <c r="K506" s="53">
        <v>0.23916666666666644</v>
      </c>
      <c r="L506" s="20">
        <f t="shared" si="154"/>
        <v>14.980833333333351</v>
      </c>
      <c r="M506" s="20">
        <f t="shared" si="153"/>
        <v>16.180833333333339</v>
      </c>
      <c r="N506" s="20">
        <f t="shared" si="153"/>
        <v>15.580833333333317</v>
      </c>
      <c r="O506" s="20">
        <f>P505+$AO$500</f>
        <v>471.98083333333335</v>
      </c>
      <c r="P506" s="20">
        <f t="shared" si="152"/>
        <v>473.18083333333334</v>
      </c>
      <c r="Q506" s="20">
        <f t="shared" si="145"/>
        <v>472.58083333333332</v>
      </c>
      <c r="R506" s="20">
        <f t="shared" si="155"/>
        <v>471.98083333333335</v>
      </c>
      <c r="S506" s="20">
        <f t="shared" si="150"/>
        <v>473.18083333333334</v>
      </c>
      <c r="T506" s="20">
        <f t="shared" si="151"/>
        <v>472.58083333333332</v>
      </c>
      <c r="U506" s="20">
        <v>472.58083333333332</v>
      </c>
      <c r="V506" s="22">
        <v>7.2267000000000001</v>
      </c>
      <c r="W506" s="22">
        <v>2.5007999999999999</v>
      </c>
      <c r="X506" s="23">
        <v>1.1476266666666668</v>
      </c>
      <c r="Y506" s="23">
        <f t="shared" si="138"/>
        <v>6.0790733333333336</v>
      </c>
      <c r="Z506" s="23">
        <f t="shared" si="139"/>
        <v>1.3531733333333331</v>
      </c>
      <c r="AA506" s="22">
        <f t="shared" si="140"/>
        <v>77.740467022934411</v>
      </c>
      <c r="AB506" s="22">
        <f t="shared" si="141"/>
        <v>22.259532977065589</v>
      </c>
      <c r="AC506" s="22">
        <f t="shared" si="142"/>
        <v>1.193824713892937</v>
      </c>
      <c r="AD506" s="22">
        <f t="shared" si="143"/>
        <v>0.26573980587735713</v>
      </c>
      <c r="AE506" s="25">
        <v>4.5532000000000004</v>
      </c>
      <c r="AF506" s="25">
        <v>4.9208999999999996</v>
      </c>
      <c r="AG506" s="25">
        <v>4.6468999999999996</v>
      </c>
      <c r="AH506" s="25">
        <f>AG506-AE506</f>
        <v>9.3699999999999228E-2</v>
      </c>
      <c r="AI506" s="25">
        <v>74.517269513190257</v>
      </c>
      <c r="AJ506" s="26">
        <v>3.725863475659513</v>
      </c>
      <c r="AK506" s="25">
        <v>37.258634756595129</v>
      </c>
      <c r="AL506" s="26">
        <v>3.7269503134940751</v>
      </c>
      <c r="AM506" s="17">
        <f t="shared" si="144"/>
        <v>0.5780346820809249</v>
      </c>
      <c r="AN506" s="17"/>
      <c r="AO506" s="27"/>
      <c r="AP506" s="17"/>
      <c r="AQ506" s="17"/>
      <c r="AR506" s="17"/>
      <c r="AS506" s="17"/>
      <c r="AT506" s="17"/>
      <c r="AU506" s="17"/>
      <c r="AV506" s="17"/>
      <c r="AW506" s="17"/>
      <c r="AX506" s="17"/>
      <c r="BB506" s="17"/>
    </row>
    <row r="507" spans="1:54" x14ac:dyDescent="0.2">
      <c r="A507" s="17" t="s">
        <v>41</v>
      </c>
      <c r="B507" s="18" t="s">
        <v>42</v>
      </c>
      <c r="C507" s="18" t="str">
        <f t="shared" si="136"/>
        <v>BI10.13</v>
      </c>
      <c r="D507" s="18" t="str">
        <f t="shared" si="137"/>
        <v>BI10.13_506</v>
      </c>
      <c r="E507" s="17">
        <v>13</v>
      </c>
      <c r="F507" s="19">
        <v>506</v>
      </c>
      <c r="G507" s="20">
        <v>2.15</v>
      </c>
      <c r="H507" s="20">
        <v>2.65</v>
      </c>
      <c r="I507" s="20">
        <v>1.0900000000000001</v>
      </c>
      <c r="J507" s="20">
        <f t="shared" si="135"/>
        <v>4.9285439999999996</v>
      </c>
      <c r="K507" s="53">
        <v>0.23916666666666644</v>
      </c>
      <c r="L507" s="20">
        <f t="shared" si="154"/>
        <v>16.420000000000016</v>
      </c>
      <c r="M507" s="20">
        <f t="shared" si="153"/>
        <v>17.509999999999991</v>
      </c>
      <c r="N507" s="20">
        <f t="shared" si="153"/>
        <v>16.965000000000032</v>
      </c>
      <c r="O507" s="20">
        <f>P506+$AO$500</f>
        <v>473.42</v>
      </c>
      <c r="P507" s="20">
        <f t="shared" si="152"/>
        <v>474.51</v>
      </c>
      <c r="Q507" s="20">
        <f t="shared" si="145"/>
        <v>473.96500000000003</v>
      </c>
      <c r="R507" s="20">
        <f t="shared" si="155"/>
        <v>473.42</v>
      </c>
      <c r="S507" s="20">
        <f t="shared" si="150"/>
        <v>474.51</v>
      </c>
      <c r="T507" s="20">
        <f t="shared" si="151"/>
        <v>473.96500000000003</v>
      </c>
      <c r="U507" s="20">
        <v>473.96500000000003</v>
      </c>
      <c r="V507" s="22">
        <v>6.4939999999999998</v>
      </c>
      <c r="W507" s="22">
        <v>2.5047000000000001</v>
      </c>
      <c r="X507" s="23">
        <v>1.1476266666666668</v>
      </c>
      <c r="Y507" s="23">
        <f t="shared" si="138"/>
        <v>5.3463733333333332</v>
      </c>
      <c r="Z507" s="23">
        <f t="shared" si="139"/>
        <v>1.3570733333333334</v>
      </c>
      <c r="AA507" s="22">
        <f t="shared" si="140"/>
        <v>74.616936590037369</v>
      </c>
      <c r="AB507" s="22">
        <f t="shared" si="141"/>
        <v>25.383063409962631</v>
      </c>
      <c r="AC507" s="22">
        <f t="shared" si="142"/>
        <v>1.0847774379884472</v>
      </c>
      <c r="AD507" s="22">
        <f t="shared" si="143"/>
        <v>0.27534974494157571</v>
      </c>
      <c r="AE507" s="25">
        <v>4.9504999999999999</v>
      </c>
      <c r="AF507" s="25">
        <v>5.3764000000000003</v>
      </c>
      <c r="AG507" s="25">
        <v>5.0526</v>
      </c>
      <c r="AH507" s="25">
        <f>AG507-AE507</f>
        <v>0.10210000000000008</v>
      </c>
      <c r="AI507" s="25">
        <v>76.027236440478987</v>
      </c>
      <c r="AJ507" s="26">
        <v>3.8013618220239493</v>
      </c>
      <c r="AK507" s="25">
        <v>38.013618220239493</v>
      </c>
      <c r="AL507" s="26">
        <v>3.8024270804239286</v>
      </c>
      <c r="AM507" s="17">
        <f t="shared" si="144"/>
        <v>0.5780346820809249</v>
      </c>
      <c r="AN507" s="17"/>
      <c r="AO507" s="27"/>
      <c r="AP507" s="17"/>
      <c r="AQ507" s="17"/>
      <c r="AR507" s="17"/>
      <c r="AS507" s="17"/>
      <c r="AT507" s="17"/>
      <c r="AU507" s="17"/>
      <c r="AV507" s="17"/>
      <c r="AW507" s="17"/>
      <c r="AX507" s="17"/>
      <c r="BB507" s="17"/>
    </row>
    <row r="508" spans="1:54" x14ac:dyDescent="0.2">
      <c r="A508" s="17" t="s">
        <v>41</v>
      </c>
      <c r="B508" s="18" t="s">
        <v>42</v>
      </c>
      <c r="C508" s="18" t="str">
        <f t="shared" si="136"/>
        <v>BI10.13</v>
      </c>
      <c r="D508" s="18" t="str">
        <f t="shared" si="137"/>
        <v>BI10.13_507</v>
      </c>
      <c r="E508" s="17">
        <v>13</v>
      </c>
      <c r="F508" s="19">
        <v>507</v>
      </c>
      <c r="G508" s="20">
        <v>2.15</v>
      </c>
      <c r="H508" s="20">
        <v>2.65</v>
      </c>
      <c r="I508" s="20">
        <v>1</v>
      </c>
      <c r="J508" s="20">
        <f t="shared" si="135"/>
        <v>4.5215999999999994</v>
      </c>
      <c r="K508" s="53">
        <v>0.23916666666666644</v>
      </c>
      <c r="L508" s="20">
        <f t="shared" si="154"/>
        <v>17.749166666666667</v>
      </c>
      <c r="M508" s="20">
        <f t="shared" si="153"/>
        <v>18.749166666666667</v>
      </c>
      <c r="N508" s="20">
        <f t="shared" si="153"/>
        <v>18.249166666666667</v>
      </c>
      <c r="O508" s="20">
        <f>P507+$AO$500</f>
        <v>474.74916666666667</v>
      </c>
      <c r="P508" s="20">
        <f t="shared" si="152"/>
        <v>475.74916666666667</v>
      </c>
      <c r="Q508" s="20">
        <f t="shared" si="145"/>
        <v>475.24916666666667</v>
      </c>
      <c r="R508" s="20">
        <f t="shared" si="155"/>
        <v>474.74916666666667</v>
      </c>
      <c r="S508" s="20">
        <f t="shared" si="150"/>
        <v>475.74916666666667</v>
      </c>
      <c r="T508" s="20">
        <f t="shared" si="151"/>
        <v>475.24916666666667</v>
      </c>
      <c r="U508" s="20">
        <v>475.24916666666667</v>
      </c>
      <c r="V508" s="22">
        <v>5.7640000000000002</v>
      </c>
      <c r="W508" s="22">
        <v>2.2000999999999999</v>
      </c>
      <c r="X508" s="23">
        <v>1.1476266666666668</v>
      </c>
      <c r="Y508" s="23">
        <f t="shared" si="138"/>
        <v>4.6163733333333337</v>
      </c>
      <c r="Z508" s="23">
        <f t="shared" si="139"/>
        <v>1.0524733333333331</v>
      </c>
      <c r="AA508" s="22">
        <f t="shared" si="140"/>
        <v>77.201295100338513</v>
      </c>
      <c r="AB508" s="22">
        <f t="shared" si="141"/>
        <v>22.798704899661487</v>
      </c>
      <c r="AC508" s="22">
        <f t="shared" si="142"/>
        <v>1.0209601321066291</v>
      </c>
      <c r="AD508" s="22">
        <f t="shared" si="143"/>
        <v>0.23276568766218447</v>
      </c>
      <c r="AE508" s="25">
        <v>4.8992000000000004</v>
      </c>
      <c r="AF508" s="25">
        <v>5.6875999999999998</v>
      </c>
      <c r="AG508" s="25">
        <v>5.0926999999999998</v>
      </c>
      <c r="AH508" s="25">
        <f>AG508-AE508</f>
        <v>0.19349999999999934</v>
      </c>
      <c r="AI508" s="25">
        <v>75.456621004566273</v>
      </c>
      <c r="AJ508" s="26">
        <v>3.772831050228314</v>
      </c>
      <c r="AK508" s="25">
        <v>37.728310502283136</v>
      </c>
      <c r="AL508" s="26">
        <v>3.7739043620058634</v>
      </c>
      <c r="AM508" s="17">
        <f t="shared" si="144"/>
        <v>0.5780346820809249</v>
      </c>
      <c r="AN508" s="17"/>
      <c r="AO508" s="27"/>
      <c r="AP508" s="17"/>
      <c r="AQ508" s="17"/>
      <c r="AR508" s="17"/>
      <c r="AS508" s="17"/>
      <c r="AT508" s="17"/>
      <c r="AU508" s="17"/>
      <c r="AV508" s="17"/>
      <c r="AW508" s="17"/>
      <c r="AX508" s="17"/>
      <c r="BB508" s="17"/>
    </row>
    <row r="509" spans="1:54" x14ac:dyDescent="0.2">
      <c r="A509" s="17" t="s">
        <v>41</v>
      </c>
      <c r="B509" s="18" t="s">
        <v>42</v>
      </c>
      <c r="C509" s="18" t="str">
        <f t="shared" si="136"/>
        <v>BI10.13</v>
      </c>
      <c r="D509" s="18" t="str">
        <f t="shared" si="137"/>
        <v>BI10.13_508</v>
      </c>
      <c r="E509" s="17">
        <v>13</v>
      </c>
      <c r="F509" s="19">
        <v>508</v>
      </c>
      <c r="G509" s="20">
        <v>2.65</v>
      </c>
      <c r="H509" s="20">
        <v>2.1</v>
      </c>
      <c r="I509" s="20">
        <v>1.1499999999999999</v>
      </c>
      <c r="J509" s="20">
        <f t="shared" si="135"/>
        <v>5.0920742187499997</v>
      </c>
      <c r="K509" s="53">
        <v>0.23916666666666644</v>
      </c>
      <c r="L509" s="20">
        <f t="shared" si="154"/>
        <v>18.988333333333344</v>
      </c>
      <c r="M509" s="20">
        <f t="shared" si="153"/>
        <v>20.138333333333321</v>
      </c>
      <c r="N509" s="20">
        <f t="shared" si="153"/>
        <v>19.563333333333333</v>
      </c>
      <c r="O509" s="20">
        <f>P508+$AO$500</f>
        <v>475.98833333333334</v>
      </c>
      <c r="P509" s="20">
        <f t="shared" si="152"/>
        <v>477.13833333333332</v>
      </c>
      <c r="Q509" s="20">
        <f t="shared" si="145"/>
        <v>476.56333333333333</v>
      </c>
      <c r="R509" s="20">
        <f t="shared" si="155"/>
        <v>475.98833333333334</v>
      </c>
      <c r="S509" s="20">
        <f t="shared" si="150"/>
        <v>477.13833333333332</v>
      </c>
      <c r="T509" s="20">
        <f t="shared" si="151"/>
        <v>476.56333333333333</v>
      </c>
      <c r="U509" s="20">
        <v>476.56333333333333</v>
      </c>
      <c r="V509" s="22">
        <v>6.7502000000000004</v>
      </c>
      <c r="W509" s="22">
        <v>2.4834999999999998</v>
      </c>
      <c r="X509" s="23">
        <v>1.1476266666666668</v>
      </c>
      <c r="Y509" s="23">
        <f t="shared" si="138"/>
        <v>5.6025733333333338</v>
      </c>
      <c r="Z509" s="23">
        <f t="shared" si="139"/>
        <v>1.335873333333333</v>
      </c>
      <c r="AA509" s="22">
        <f t="shared" si="140"/>
        <v>76.156075898456194</v>
      </c>
      <c r="AB509" s="22">
        <f t="shared" si="141"/>
        <v>23.843924101543806</v>
      </c>
      <c r="AC509" s="22">
        <f t="shared" si="142"/>
        <v>1.1002536672980094</v>
      </c>
      <c r="AD509" s="22">
        <f t="shared" si="143"/>
        <v>0.26234364935498972</v>
      </c>
      <c r="AE509" s="25">
        <v>4.9036999999999997</v>
      </c>
      <c r="AF509" s="25">
        <v>5.3097000000000003</v>
      </c>
      <c r="AG509" s="25">
        <v>5.0065</v>
      </c>
      <c r="AH509" s="25">
        <f>AG509-AE509</f>
        <v>0.10280000000000022</v>
      </c>
      <c r="AI509" s="25">
        <v>74.679802955665011</v>
      </c>
      <c r="AJ509" s="26">
        <v>3.7339901477832509</v>
      </c>
      <c r="AK509" s="25">
        <v>37.339901477832505</v>
      </c>
      <c r="AL509" s="26">
        <v>3.7350746209068411</v>
      </c>
      <c r="AM509" s="17">
        <f t="shared" si="144"/>
        <v>0.5780346820809249</v>
      </c>
      <c r="AN509" s="17"/>
      <c r="AO509" s="27"/>
      <c r="AP509" s="17"/>
      <c r="AQ509" s="17"/>
      <c r="AR509" s="17"/>
      <c r="AS509" s="17"/>
      <c r="AT509" s="17"/>
      <c r="AU509" s="17"/>
      <c r="AV509" s="17"/>
      <c r="AW509" s="17"/>
      <c r="AX509" s="17"/>
      <c r="BB509" s="17"/>
    </row>
    <row r="510" spans="1:54" x14ac:dyDescent="0.2">
      <c r="A510" s="17" t="s">
        <v>41</v>
      </c>
      <c r="B510" s="18" t="s">
        <v>42</v>
      </c>
      <c r="C510" s="18" t="str">
        <f t="shared" si="136"/>
        <v>BI10.13</v>
      </c>
      <c r="D510" s="18" t="str">
        <f t="shared" si="137"/>
        <v>BI10.13_509</v>
      </c>
      <c r="E510" s="17">
        <v>13</v>
      </c>
      <c r="F510" s="19">
        <v>509</v>
      </c>
      <c r="G510" s="20">
        <v>2.1</v>
      </c>
      <c r="H510" s="20">
        <v>2.5499999999999998</v>
      </c>
      <c r="I510" s="20">
        <v>1.1000000000000001</v>
      </c>
      <c r="J510" s="20">
        <f t="shared" si="135"/>
        <v>4.6677571875000012</v>
      </c>
      <c r="K510" s="53">
        <v>0.23916666666666644</v>
      </c>
      <c r="L510" s="20">
        <f t="shared" si="154"/>
        <v>20.377499999999998</v>
      </c>
      <c r="M510" s="20">
        <f t="shared" si="153"/>
        <v>21.47750000000002</v>
      </c>
      <c r="N510" s="20">
        <f t="shared" si="153"/>
        <v>20.927500000000009</v>
      </c>
      <c r="O510" s="20">
        <f>P509+$AO$500</f>
        <v>477.3775</v>
      </c>
      <c r="P510" s="20">
        <f t="shared" si="152"/>
        <v>478.47750000000002</v>
      </c>
      <c r="Q510" s="20">
        <f t="shared" si="145"/>
        <v>477.92750000000001</v>
      </c>
      <c r="R510" s="20">
        <f t="shared" si="155"/>
        <v>477.3775</v>
      </c>
      <c r="S510" s="20">
        <f t="shared" si="150"/>
        <v>478.47750000000002</v>
      </c>
      <c r="T510" s="20">
        <f t="shared" si="151"/>
        <v>477.92750000000001</v>
      </c>
      <c r="U510" s="20">
        <v>477.92750000000001</v>
      </c>
      <c r="V510" s="22">
        <v>6.6585999999999999</v>
      </c>
      <c r="W510" s="22">
        <v>2.4714</v>
      </c>
      <c r="X510" s="23">
        <v>1.1476266666666668</v>
      </c>
      <c r="Y510" s="23">
        <f t="shared" si="138"/>
        <v>5.5109733333333333</v>
      </c>
      <c r="Z510" s="23">
        <f t="shared" si="139"/>
        <v>1.3237733333333332</v>
      </c>
      <c r="AA510" s="22">
        <f t="shared" si="140"/>
        <v>75.979318837809657</v>
      </c>
      <c r="AB510" s="22">
        <f t="shared" si="141"/>
        <v>24.020681162190343</v>
      </c>
      <c r="AC510" s="22">
        <f t="shared" si="142"/>
        <v>1.1806469599771425</v>
      </c>
      <c r="AD510" s="22">
        <f t="shared" si="143"/>
        <v>0.28359944190720243</v>
      </c>
      <c r="AE510" s="25">
        <v>4.8045</v>
      </c>
      <c r="AF510" s="25">
        <v>5.5007000000000001</v>
      </c>
      <c r="AG510" s="25">
        <v>5.0532000000000004</v>
      </c>
      <c r="AH510" s="25">
        <f>AG510-AE510</f>
        <v>0.24870000000000037</v>
      </c>
      <c r="AI510" s="25">
        <v>64.277506463659833</v>
      </c>
      <c r="AJ510" s="26">
        <v>3.2138753231829917</v>
      </c>
      <c r="AK510" s="25">
        <v>32.138753231829917</v>
      </c>
      <c r="AL510" s="26">
        <v>3.2151352371190516</v>
      </c>
      <c r="AM510" s="17">
        <f t="shared" si="144"/>
        <v>0.5780346820809249</v>
      </c>
      <c r="AN510" s="17"/>
      <c r="AO510" s="27"/>
      <c r="AP510" s="17"/>
      <c r="AQ510" s="17"/>
      <c r="AR510" s="17"/>
      <c r="AS510" s="17"/>
      <c r="AT510" s="17"/>
      <c r="AU510" s="17"/>
      <c r="AV510" s="17"/>
      <c r="AW510" s="17"/>
      <c r="AX510" s="17"/>
      <c r="BB510" s="17"/>
    </row>
    <row r="511" spans="1:54" x14ac:dyDescent="0.2">
      <c r="A511" s="17" t="s">
        <v>41</v>
      </c>
      <c r="B511" s="18" t="s">
        <v>42</v>
      </c>
      <c r="C511" s="18" t="str">
        <f t="shared" si="136"/>
        <v>BI10.13</v>
      </c>
      <c r="D511" s="18" t="str">
        <f t="shared" si="137"/>
        <v>BI10.13_510</v>
      </c>
      <c r="E511" s="17">
        <v>13</v>
      </c>
      <c r="F511" s="19">
        <v>510</v>
      </c>
      <c r="G511" s="20">
        <v>2.2000000000000002</v>
      </c>
      <c r="H511" s="20">
        <v>2.65</v>
      </c>
      <c r="I511" s="20">
        <v>1.1000000000000001</v>
      </c>
      <c r="J511" s="20">
        <f t="shared" si="135"/>
        <v>5.0779196874999997</v>
      </c>
      <c r="K511" s="53">
        <v>0.23916666666666644</v>
      </c>
      <c r="L511" s="20">
        <f t="shared" si="154"/>
        <v>21.716666666666697</v>
      </c>
      <c r="M511" s="20">
        <f t="shared" si="154"/>
        <v>22.81666666666672</v>
      </c>
      <c r="N511" s="20">
        <f t="shared" si="154"/>
        <v>22.266666666666708</v>
      </c>
      <c r="O511" s="20">
        <f>P510+$AO$500</f>
        <v>478.7166666666667</v>
      </c>
      <c r="P511" s="20">
        <f t="shared" si="152"/>
        <v>479.81666666666672</v>
      </c>
      <c r="Q511" s="20">
        <f t="shared" si="145"/>
        <v>479.26666666666671</v>
      </c>
      <c r="R511" s="20">
        <f t="shared" si="155"/>
        <v>478.7166666666667</v>
      </c>
      <c r="S511" s="20">
        <f t="shared" si="150"/>
        <v>479.81666666666672</v>
      </c>
      <c r="T511" s="20">
        <f t="shared" si="151"/>
        <v>479.26666666666671</v>
      </c>
      <c r="U511" s="20">
        <v>479.26666666666671</v>
      </c>
      <c r="V511" s="22">
        <v>6.7472000000000003</v>
      </c>
      <c r="W511" s="22">
        <v>2.5488</v>
      </c>
      <c r="X511" s="23">
        <v>1.1476266666666668</v>
      </c>
      <c r="Y511" s="23">
        <f t="shared" si="138"/>
        <v>5.5995733333333337</v>
      </c>
      <c r="Z511" s="23">
        <f t="shared" si="139"/>
        <v>1.4011733333333332</v>
      </c>
      <c r="AA511" s="22">
        <f t="shared" si="140"/>
        <v>74.977141115513575</v>
      </c>
      <c r="AB511" s="22">
        <f t="shared" si="141"/>
        <v>25.022858884486425</v>
      </c>
      <c r="AC511" s="22">
        <f t="shared" si="142"/>
        <v>1.1027297944702545</v>
      </c>
      <c r="AD511" s="22">
        <f t="shared" si="143"/>
        <v>0.27593452034747906</v>
      </c>
      <c r="AE511" s="25">
        <v>5.0589000000000004</v>
      </c>
      <c r="AF511" s="25">
        <v>5.6741999999999999</v>
      </c>
      <c r="AG511" s="25">
        <v>5.2355999999999998</v>
      </c>
      <c r="AH511" s="25">
        <f>AG511-AE511</f>
        <v>0.17669999999999941</v>
      </c>
      <c r="AI511" s="25">
        <v>71.282301316431088</v>
      </c>
      <c r="AJ511" s="26">
        <v>3.5641150658215546</v>
      </c>
      <c r="AK511" s="25">
        <v>35.641150658215544</v>
      </c>
      <c r="AL511" s="26">
        <v>3.5652512116842741</v>
      </c>
      <c r="AM511" s="17">
        <f t="shared" si="144"/>
        <v>0.5780346820809249</v>
      </c>
      <c r="AN511" s="17"/>
      <c r="AO511" s="27"/>
      <c r="AP511" s="17"/>
      <c r="AQ511" s="17"/>
      <c r="AR511" s="17"/>
      <c r="AS511" s="17"/>
      <c r="AT511" s="17"/>
      <c r="AU511" s="17"/>
      <c r="AV511" s="17"/>
      <c r="AW511" s="17"/>
      <c r="AX511" s="17"/>
      <c r="BB511" s="17"/>
    </row>
    <row r="512" spans="1:54" x14ac:dyDescent="0.2">
      <c r="A512" s="17" t="s">
        <v>41</v>
      </c>
      <c r="B512" s="18" t="s">
        <v>42</v>
      </c>
      <c r="C512" s="18" t="str">
        <f t="shared" si="136"/>
        <v>BI10.13</v>
      </c>
      <c r="D512" s="18" t="str">
        <f t="shared" si="137"/>
        <v>BI10.13_511</v>
      </c>
      <c r="E512" s="17">
        <v>13</v>
      </c>
      <c r="F512" s="19">
        <v>511</v>
      </c>
      <c r="G512" s="20">
        <v>1.95</v>
      </c>
      <c r="H512" s="20">
        <v>2.2999999999999998</v>
      </c>
      <c r="I512" s="20">
        <v>1</v>
      </c>
      <c r="J512" s="20">
        <f t="shared" si="135"/>
        <v>3.5447656250000001</v>
      </c>
      <c r="K512" s="53">
        <v>0.23916666666666644</v>
      </c>
      <c r="L512" s="20">
        <f t="shared" si="154"/>
        <v>23.055833333333396</v>
      </c>
      <c r="M512" s="20">
        <f t="shared" si="154"/>
        <v>24.055833333333396</v>
      </c>
      <c r="N512" s="20">
        <f t="shared" si="154"/>
        <v>23.555833333333396</v>
      </c>
      <c r="O512" s="20">
        <f>P511+$AO$500</f>
        <v>480.0558333333334</v>
      </c>
      <c r="P512" s="20">
        <f t="shared" si="152"/>
        <v>481.0558333333334</v>
      </c>
      <c r="Q512" s="20">
        <f t="shared" si="145"/>
        <v>480.5558333333334</v>
      </c>
      <c r="R512" s="20">
        <f t="shared" si="155"/>
        <v>480.0558333333334</v>
      </c>
      <c r="S512" s="20">
        <f t="shared" si="150"/>
        <v>481.0558333333334</v>
      </c>
      <c r="T512" s="20">
        <f t="shared" si="151"/>
        <v>480.5558333333334</v>
      </c>
      <c r="U512" s="20">
        <v>480.5558333333334</v>
      </c>
      <c r="V512" s="22">
        <v>4.6467000000000001</v>
      </c>
      <c r="W512" s="22">
        <v>2.0388999999999999</v>
      </c>
      <c r="X512" s="23">
        <v>1.1476266666666668</v>
      </c>
      <c r="Y512" s="23">
        <f t="shared" si="138"/>
        <v>3.4990733333333335</v>
      </c>
      <c r="Z512" s="23">
        <f t="shared" si="139"/>
        <v>0.89127333333333314</v>
      </c>
      <c r="AA512" s="22">
        <f t="shared" si="140"/>
        <v>74.52830368421354</v>
      </c>
      <c r="AB512" s="22">
        <f t="shared" si="141"/>
        <v>25.47169631578646</v>
      </c>
      <c r="AC512" s="22">
        <f t="shared" si="142"/>
        <v>0.98710992587368407</v>
      </c>
      <c r="AD512" s="22">
        <f t="shared" si="143"/>
        <v>0.25143364262152962</v>
      </c>
      <c r="AE512" s="25">
        <v>4.9410999999999996</v>
      </c>
      <c r="AF512" s="25">
        <v>5.3974000000000002</v>
      </c>
      <c r="AG512" s="25">
        <v>5.0576999999999996</v>
      </c>
      <c r="AH512" s="25">
        <f>AG512-AE512</f>
        <v>0.11660000000000004</v>
      </c>
      <c r="AI512" s="25">
        <v>74.446635985097558</v>
      </c>
      <c r="AJ512" s="26">
        <v>3.7223317992548779</v>
      </c>
      <c r="AK512" s="25">
        <v>37.223317992548779</v>
      </c>
      <c r="AL512" s="26">
        <v>3.7234196679590199</v>
      </c>
      <c r="AM512" s="17">
        <f t="shared" si="144"/>
        <v>0.5780346820809249</v>
      </c>
      <c r="AN512" s="17"/>
      <c r="AO512" s="27"/>
      <c r="AP512" s="17"/>
      <c r="AQ512" s="17"/>
      <c r="AR512" s="17"/>
      <c r="AS512" s="17"/>
      <c r="AT512" s="17"/>
      <c r="AU512" s="17"/>
      <c r="AV512" s="17"/>
      <c r="AW512" s="17"/>
      <c r="AX512" s="17"/>
      <c r="BB512" s="17"/>
    </row>
    <row r="513" spans="1:54" x14ac:dyDescent="0.2">
      <c r="A513" s="17" t="s">
        <v>41</v>
      </c>
      <c r="B513" s="18" t="s">
        <v>42</v>
      </c>
      <c r="C513" s="18" t="str">
        <f t="shared" si="136"/>
        <v>BI10.13</v>
      </c>
      <c r="D513" s="18" t="str">
        <f t="shared" si="137"/>
        <v>BI10.13_512</v>
      </c>
      <c r="E513" s="17">
        <v>13</v>
      </c>
      <c r="F513" s="19">
        <v>512</v>
      </c>
      <c r="G513" s="20">
        <v>1.95</v>
      </c>
      <c r="H513" s="20">
        <v>2.2999999999999998</v>
      </c>
      <c r="I513" s="20">
        <v>0.95</v>
      </c>
      <c r="J513" s="20">
        <f t="shared" si="135"/>
        <v>3.36752734375</v>
      </c>
      <c r="K513" s="53">
        <v>0.23916666666666644</v>
      </c>
      <c r="L513" s="20">
        <f t="shared" si="154"/>
        <v>24.295000000000073</v>
      </c>
      <c r="M513" s="20">
        <f t="shared" si="154"/>
        <v>25.245000000000061</v>
      </c>
      <c r="N513" s="20">
        <f t="shared" si="154"/>
        <v>24.770000000000095</v>
      </c>
      <c r="O513" s="20">
        <f>P512+$AO$500</f>
        <v>481.29500000000007</v>
      </c>
      <c r="P513" s="20">
        <f t="shared" si="152"/>
        <v>482.24500000000006</v>
      </c>
      <c r="Q513" s="20">
        <f t="shared" si="145"/>
        <v>481.7700000000001</v>
      </c>
      <c r="R513" s="20">
        <f t="shared" si="155"/>
        <v>481.29500000000007</v>
      </c>
      <c r="S513" s="20">
        <f t="shared" si="150"/>
        <v>482.24500000000006</v>
      </c>
      <c r="T513" s="20">
        <f t="shared" si="151"/>
        <v>481.7700000000001</v>
      </c>
      <c r="U513" s="20">
        <v>481.7700000000001</v>
      </c>
      <c r="V513" s="22">
        <v>5.2088999999999999</v>
      </c>
      <c r="W513" s="22">
        <v>2.1880999999999999</v>
      </c>
      <c r="X513" s="23">
        <v>1.1476266666666668</v>
      </c>
      <c r="Y513" s="23">
        <f t="shared" si="138"/>
        <v>4.0612733333333333</v>
      </c>
      <c r="Z513" s="23">
        <f t="shared" si="139"/>
        <v>1.0404733333333331</v>
      </c>
      <c r="AA513" s="22">
        <f t="shared" si="140"/>
        <v>74.38061297688246</v>
      </c>
      <c r="AB513" s="22">
        <f t="shared" si="141"/>
        <v>25.61938702311754</v>
      </c>
      <c r="AC513" s="22">
        <f t="shared" si="142"/>
        <v>1.2060104993270206</v>
      </c>
      <c r="AD513" s="22">
        <f t="shared" si="143"/>
        <v>0.30897249736202181</v>
      </c>
      <c r="AE513" s="25">
        <v>4.83</v>
      </c>
      <c r="AF513" s="25">
        <v>5.8249000000000004</v>
      </c>
      <c r="AG513" s="25">
        <v>5.2842000000000002</v>
      </c>
      <c r="AH513" s="25">
        <f>AG513-AE513</f>
        <v>0.45420000000000016</v>
      </c>
      <c r="AI513" s="25">
        <v>54.347170569906524</v>
      </c>
      <c r="AJ513" s="26">
        <v>2.7173585284953266</v>
      </c>
      <c r="AK513" s="25">
        <v>27.173585284953262</v>
      </c>
      <c r="AL513" s="26">
        <v>2.7188485379635043</v>
      </c>
      <c r="AM513" s="17">
        <f t="shared" si="144"/>
        <v>0.5780346820809249</v>
      </c>
      <c r="AN513" s="17"/>
      <c r="AO513" s="27"/>
      <c r="AP513" s="17"/>
      <c r="AQ513" s="17"/>
      <c r="AR513" s="17"/>
      <c r="AS513" s="17"/>
      <c r="AT513" s="17"/>
      <c r="AU513" s="17"/>
      <c r="AV513" s="17"/>
      <c r="AW513" s="17"/>
      <c r="AX513" s="17"/>
      <c r="BB513" s="17"/>
    </row>
    <row r="514" spans="1:54" x14ac:dyDescent="0.2">
      <c r="A514" s="17" t="s">
        <v>41</v>
      </c>
      <c r="B514" s="18" t="s">
        <v>42</v>
      </c>
      <c r="C514" s="18" t="str">
        <f t="shared" si="136"/>
        <v>BI10.13</v>
      </c>
      <c r="D514" s="18" t="str">
        <f t="shared" si="137"/>
        <v>BI10.13_513</v>
      </c>
      <c r="E514" s="17">
        <v>13</v>
      </c>
      <c r="F514" s="19">
        <v>513</v>
      </c>
      <c r="G514" s="20">
        <v>2</v>
      </c>
      <c r="H514" s="20">
        <v>2.65</v>
      </c>
      <c r="I514" s="20">
        <v>1.1499999999999999</v>
      </c>
      <c r="J514" s="20">
        <f t="shared" ref="J514:J531" si="156">(AVERAGE(G514:H514)*(AVERAGE(G514:H514)*3.14/4*I514))</f>
        <v>4.8799279687499997</v>
      </c>
      <c r="K514" s="53">
        <v>0.23916666666666644</v>
      </c>
      <c r="L514" s="20">
        <f t="shared" si="154"/>
        <v>25.484166666666738</v>
      </c>
      <c r="M514" s="20">
        <f t="shared" si="154"/>
        <v>26.634166666666715</v>
      </c>
      <c r="N514" s="20">
        <f t="shared" si="154"/>
        <v>26.059166666666727</v>
      </c>
      <c r="O514" s="20">
        <f>P513+$AO$500</f>
        <v>482.48416666666674</v>
      </c>
      <c r="P514" s="20">
        <f t="shared" si="152"/>
        <v>483.63416666666672</v>
      </c>
      <c r="Q514" s="20">
        <f t="shared" si="145"/>
        <v>483.05916666666673</v>
      </c>
      <c r="R514" s="20">
        <f t="shared" si="155"/>
        <v>482.48416666666674</v>
      </c>
      <c r="S514" s="20">
        <f t="shared" si="150"/>
        <v>483.63416666666672</v>
      </c>
      <c r="T514" s="20">
        <f t="shared" si="151"/>
        <v>483.05916666666673</v>
      </c>
      <c r="U514" s="20">
        <v>483.05916666666673</v>
      </c>
      <c r="V514" s="22">
        <v>6.7199</v>
      </c>
      <c r="W514" s="22">
        <v>2.2038000000000002</v>
      </c>
      <c r="X514" s="23">
        <v>1.1476266666666668</v>
      </c>
      <c r="Y514" s="23">
        <f t="shared" si="138"/>
        <v>5.5722733333333334</v>
      </c>
      <c r="Z514" s="23">
        <f t="shared" si="139"/>
        <v>1.0561733333333334</v>
      </c>
      <c r="AA514" s="22">
        <f t="shared" si="140"/>
        <v>81.045916627683965</v>
      </c>
      <c r="AB514" s="22">
        <f t="shared" si="141"/>
        <v>18.954083372316035</v>
      </c>
      <c r="AC514" s="22">
        <f t="shared" si="142"/>
        <v>1.1418761442826539</v>
      </c>
      <c r="AD514" s="22">
        <f t="shared" si="143"/>
        <v>0.21643215639592189</v>
      </c>
      <c r="AE514" s="25">
        <v>4.7324999999999999</v>
      </c>
      <c r="AF514" s="25">
        <v>5.3739999999999997</v>
      </c>
      <c r="AG514" s="25">
        <v>4.8335999999999997</v>
      </c>
      <c r="AH514" s="25">
        <f>AG514-AE514</f>
        <v>0.10109999999999975</v>
      </c>
      <c r="AI514" s="25">
        <v>84.240062353858178</v>
      </c>
      <c r="AJ514" s="26">
        <v>4.2120031176929089</v>
      </c>
      <c r="AK514" s="25">
        <v>42.120031176929089</v>
      </c>
      <c r="AL514" s="26">
        <v>4.2129645457153782</v>
      </c>
      <c r="AM514" s="17">
        <f t="shared" si="144"/>
        <v>0.5780346820809249</v>
      </c>
      <c r="AN514" s="17"/>
      <c r="AO514" s="27"/>
      <c r="AP514" s="17"/>
      <c r="AQ514" s="17"/>
      <c r="AR514" s="17"/>
      <c r="AS514" s="17"/>
      <c r="AT514" s="17"/>
      <c r="AU514" s="17"/>
      <c r="AV514" s="17"/>
      <c r="AW514" s="17"/>
      <c r="AX514" s="17"/>
      <c r="BB514" s="17"/>
    </row>
    <row r="515" spans="1:54" x14ac:dyDescent="0.2">
      <c r="A515" s="17" t="s">
        <v>41</v>
      </c>
      <c r="B515" s="18" t="s">
        <v>42</v>
      </c>
      <c r="C515" s="18" t="str">
        <f t="shared" ref="C515:C531" si="157">B515&amp;"."&amp;E515</f>
        <v>BI10.13</v>
      </c>
      <c r="D515" s="18" t="str">
        <f t="shared" ref="D515:D531" si="158">C515&amp;"_"&amp;F515</f>
        <v>BI10.13_514</v>
      </c>
      <c r="E515" s="17">
        <v>13</v>
      </c>
      <c r="F515" s="19">
        <v>514</v>
      </c>
      <c r="G515" s="20">
        <v>2.1</v>
      </c>
      <c r="H515" s="20">
        <v>2.5</v>
      </c>
      <c r="I515" s="20">
        <v>1.2</v>
      </c>
      <c r="J515" s="20">
        <f t="shared" si="156"/>
        <v>4.9831799999999991</v>
      </c>
      <c r="K515" s="53">
        <v>0.23916666666666644</v>
      </c>
      <c r="L515" s="20">
        <f t="shared" si="154"/>
        <v>26.873333333333392</v>
      </c>
      <c r="M515" s="20">
        <f t="shared" si="154"/>
        <v>28.07333333333338</v>
      </c>
      <c r="N515" s="20">
        <f t="shared" si="154"/>
        <v>27.473333333333358</v>
      </c>
      <c r="O515" s="20">
        <f>P514+$AO$500</f>
        <v>483.87333333333339</v>
      </c>
      <c r="P515" s="20">
        <f t="shared" si="152"/>
        <v>485.07333333333338</v>
      </c>
      <c r="Q515" s="20">
        <f t="shared" si="145"/>
        <v>484.47333333333336</v>
      </c>
      <c r="R515" s="20">
        <f t="shared" si="155"/>
        <v>483.87333333333339</v>
      </c>
      <c r="S515" s="20">
        <f t="shared" si="150"/>
        <v>485.07333333333338</v>
      </c>
      <c r="T515" s="20">
        <f t="shared" si="151"/>
        <v>484.47333333333336</v>
      </c>
      <c r="U515" s="20">
        <v>484.47333333333336</v>
      </c>
      <c r="V515" s="22">
        <v>6.6253000000000002</v>
      </c>
      <c r="W515" s="17">
        <v>2.1515</v>
      </c>
      <c r="X515" s="23">
        <v>1.1476266666666668</v>
      </c>
      <c r="Y515" s="23">
        <f t="shared" ref="Y515:Y531" si="159">V515-X515</f>
        <v>5.4776733333333336</v>
      </c>
      <c r="Z515" s="23">
        <f t="shared" ref="Z515:Z531" si="160">W515-X515</f>
        <v>1.0038733333333332</v>
      </c>
      <c r="AA515" s="22">
        <f t="shared" ref="AA515:AA531" si="161">((Y515-Z515)/Y515)*100</f>
        <v>81.673362534701482</v>
      </c>
      <c r="AB515" s="22">
        <f t="shared" ref="AB515:AB531" si="162">100-AA515</f>
        <v>18.326637465298518</v>
      </c>
      <c r="AC515" s="22">
        <f t="shared" ref="AC515:AC531" si="163">(V515-X515)/J515</f>
        <v>1.0992324847453503</v>
      </c>
      <c r="AD515" s="22">
        <f t="shared" ref="AD515:AD531" si="164">(W515-X515)/J515</f>
        <v>0.20145235238007325</v>
      </c>
      <c r="AE515" s="25">
        <v>4.9447000000000001</v>
      </c>
      <c r="AF515" s="25">
        <v>5.5271999999999997</v>
      </c>
      <c r="AG515" s="25">
        <v>5.0294999999999996</v>
      </c>
      <c r="AH515" s="25">
        <f>AG515-AE515</f>
        <v>8.4799999999999542E-2</v>
      </c>
      <c r="AI515" s="25">
        <v>85.442060085836985</v>
      </c>
      <c r="AJ515" s="26">
        <v>4.2721030042918491</v>
      </c>
      <c r="AK515" s="25">
        <v>42.721030042918493</v>
      </c>
      <c r="AL515" s="26">
        <v>4.2730509099798288</v>
      </c>
      <c r="AM515" s="17">
        <f t="shared" ref="AM515:AM531" si="165">1/1.73</f>
        <v>0.5780346820809249</v>
      </c>
      <c r="AN515" s="17"/>
      <c r="AO515" s="27"/>
      <c r="AP515" s="17"/>
      <c r="AQ515" s="17"/>
      <c r="AR515" s="17"/>
      <c r="AS515" s="17"/>
      <c r="AT515" s="17"/>
      <c r="AU515" s="17"/>
      <c r="AV515" s="17"/>
      <c r="AW515" s="17"/>
      <c r="AX515" s="17"/>
      <c r="BB515" s="17"/>
    </row>
    <row r="516" spans="1:54" x14ac:dyDescent="0.2">
      <c r="A516" s="17" t="s">
        <v>41</v>
      </c>
      <c r="B516" s="18" t="s">
        <v>42</v>
      </c>
      <c r="C516" s="18" t="str">
        <f t="shared" si="157"/>
        <v>BI10.13</v>
      </c>
      <c r="D516" s="18" t="str">
        <f t="shared" si="158"/>
        <v>BI10.13_515</v>
      </c>
      <c r="E516" s="17">
        <v>13</v>
      </c>
      <c r="F516" s="19">
        <v>515</v>
      </c>
      <c r="G516" s="20">
        <v>2.2000000000000002</v>
      </c>
      <c r="H516" s="20">
        <v>2.4</v>
      </c>
      <c r="I516" s="20">
        <v>1.3</v>
      </c>
      <c r="J516" s="20">
        <f t="shared" si="156"/>
        <v>5.3984449999999997</v>
      </c>
      <c r="K516" s="53">
        <v>0.23916666666666644</v>
      </c>
      <c r="L516" s="20">
        <f t="shared" si="154"/>
        <v>28.312500000000057</v>
      </c>
      <c r="M516" s="20">
        <f t="shared" si="154"/>
        <v>29.612500000000068</v>
      </c>
      <c r="N516" s="20">
        <f t="shared" si="154"/>
        <v>28.962500000000091</v>
      </c>
      <c r="O516" s="20">
        <f>P515+$AO$500</f>
        <v>485.31250000000006</v>
      </c>
      <c r="P516" s="20">
        <f t="shared" si="152"/>
        <v>486.61250000000007</v>
      </c>
      <c r="Q516" s="20">
        <f t="shared" ref="Q516:Q531" si="166">O516+((P516-O516)/2)</f>
        <v>485.96250000000009</v>
      </c>
      <c r="R516" s="20">
        <f t="shared" si="155"/>
        <v>485.31250000000006</v>
      </c>
      <c r="S516" s="20">
        <f t="shared" si="150"/>
        <v>486.61250000000007</v>
      </c>
      <c r="T516" s="20">
        <f t="shared" si="151"/>
        <v>485.96250000000009</v>
      </c>
      <c r="U516" s="20">
        <v>485.96250000000009</v>
      </c>
      <c r="V516" s="22">
        <v>7.1346999999999996</v>
      </c>
      <c r="W516" s="22">
        <v>2.2711999999999999</v>
      </c>
      <c r="X516" s="23">
        <v>1.1476266666666668</v>
      </c>
      <c r="Y516" s="23">
        <f t="shared" si="159"/>
        <v>5.987073333333333</v>
      </c>
      <c r="Z516" s="23">
        <f t="shared" si="160"/>
        <v>1.1235733333333331</v>
      </c>
      <c r="AA516" s="22">
        <f t="shared" si="161"/>
        <v>81.233346064465564</v>
      </c>
      <c r="AB516" s="22">
        <f t="shared" si="162"/>
        <v>18.766653935534436</v>
      </c>
      <c r="AC516" s="22">
        <f t="shared" si="163"/>
        <v>1.1090366454290694</v>
      </c>
      <c r="AD516" s="22">
        <f t="shared" si="164"/>
        <v>0.20812906926593364</v>
      </c>
      <c r="AE516" s="25">
        <v>4.4539</v>
      </c>
      <c r="AF516" s="25">
        <v>4.7027000000000001</v>
      </c>
      <c r="AG516" s="25">
        <v>4.4931999999999999</v>
      </c>
      <c r="AH516" s="25">
        <f>AG516-AE516</f>
        <v>3.9299999999999891E-2</v>
      </c>
      <c r="AI516" s="25">
        <v>84.20418006430873</v>
      </c>
      <c r="AJ516" s="26">
        <v>4.2102090032154367</v>
      </c>
      <c r="AK516" s="25">
        <v>42.102090032154365</v>
      </c>
      <c r="AL516" s="26">
        <v>4.2111708408418105</v>
      </c>
      <c r="AM516" s="17">
        <f t="shared" si="165"/>
        <v>0.5780346820809249</v>
      </c>
      <c r="AN516" s="17"/>
      <c r="AO516" s="27"/>
      <c r="AP516" s="17"/>
      <c r="AQ516" s="17"/>
      <c r="AR516" s="17"/>
      <c r="AS516" s="17"/>
      <c r="AT516" s="17"/>
      <c r="AU516" s="17"/>
      <c r="AV516" s="17"/>
      <c r="AW516" s="17"/>
      <c r="AX516" s="17"/>
      <c r="BB516" s="17"/>
    </row>
    <row r="517" spans="1:54" x14ac:dyDescent="0.2">
      <c r="A517" s="17" t="s">
        <v>41</v>
      </c>
      <c r="B517" s="18" t="s">
        <v>42</v>
      </c>
      <c r="C517" s="18" t="str">
        <f t="shared" si="157"/>
        <v>BI10.13</v>
      </c>
      <c r="D517" s="18" t="str">
        <f t="shared" si="158"/>
        <v>BI10.13_516</v>
      </c>
      <c r="E517" s="17">
        <v>13</v>
      </c>
      <c r="F517" s="19">
        <v>516</v>
      </c>
      <c r="G517" s="20">
        <v>1.9</v>
      </c>
      <c r="H517" s="20">
        <v>2.4</v>
      </c>
      <c r="I517" s="20">
        <v>1.2</v>
      </c>
      <c r="J517" s="20">
        <f t="shared" si="156"/>
        <v>4.3543950000000002</v>
      </c>
      <c r="K517" s="53">
        <v>0.23916666666666644</v>
      </c>
      <c r="L517" s="20">
        <f t="shared" si="154"/>
        <v>29.851666666666745</v>
      </c>
      <c r="M517" s="20">
        <f t="shared" si="154"/>
        <v>31.051666666666733</v>
      </c>
      <c r="N517" s="20">
        <f t="shared" si="154"/>
        <v>30.451666666666711</v>
      </c>
      <c r="O517" s="20">
        <f>P516+$AO$500</f>
        <v>486.85166666666674</v>
      </c>
      <c r="P517" s="20">
        <f t="shared" si="152"/>
        <v>488.05166666666673</v>
      </c>
      <c r="Q517" s="20">
        <f t="shared" si="166"/>
        <v>487.45166666666671</v>
      </c>
      <c r="R517" s="20">
        <f t="shared" si="155"/>
        <v>486.85166666666674</v>
      </c>
      <c r="S517" s="20">
        <f t="shared" si="150"/>
        <v>488.05166666666673</v>
      </c>
      <c r="T517" s="20">
        <f t="shared" si="151"/>
        <v>487.45166666666671</v>
      </c>
      <c r="U517" s="20">
        <v>487.45166666666671</v>
      </c>
      <c r="V517" s="22">
        <v>5.7274000000000003</v>
      </c>
      <c r="W517" s="22">
        <v>2.0255999999999998</v>
      </c>
      <c r="X517" s="23">
        <v>1.1476266666666668</v>
      </c>
      <c r="Y517" s="23">
        <f t="shared" si="159"/>
        <v>4.5797733333333337</v>
      </c>
      <c r="Z517" s="23">
        <f t="shared" si="160"/>
        <v>0.87797333333333305</v>
      </c>
      <c r="AA517" s="22">
        <f t="shared" si="161"/>
        <v>80.829327797882286</v>
      </c>
      <c r="AB517" s="22">
        <f t="shared" si="162"/>
        <v>19.170672202117714</v>
      </c>
      <c r="AC517" s="22">
        <f t="shared" si="163"/>
        <v>1.0517588168582164</v>
      </c>
      <c r="AD517" s="22">
        <f t="shared" si="164"/>
        <v>0.2016292351367602</v>
      </c>
      <c r="AE517" s="25">
        <v>4.8277000000000001</v>
      </c>
      <c r="AF517" s="25">
        <v>5.1224999999999996</v>
      </c>
      <c r="AG517" s="25">
        <v>4.8766999999999996</v>
      </c>
      <c r="AH517" s="25">
        <f>AG517-AE517</f>
        <v>4.8999999999999488E-2</v>
      </c>
      <c r="AI517" s="25">
        <v>83.378561736770834</v>
      </c>
      <c r="AJ517" s="26">
        <v>4.1689280868385419</v>
      </c>
      <c r="AK517" s="25">
        <v>41.689280868385417</v>
      </c>
      <c r="AL517" s="26">
        <v>4.1698994464172952</v>
      </c>
      <c r="AM517" s="17">
        <f t="shared" si="165"/>
        <v>0.5780346820809249</v>
      </c>
      <c r="AN517" s="17"/>
      <c r="AO517" s="27"/>
      <c r="AP517" s="17"/>
      <c r="AQ517" s="17"/>
      <c r="AR517" s="17"/>
      <c r="AS517" s="17"/>
      <c r="AT517" s="17"/>
      <c r="AU517" s="17"/>
      <c r="AV517" s="17"/>
      <c r="AW517" s="17"/>
      <c r="AX517" s="17"/>
      <c r="BB517" s="17"/>
    </row>
    <row r="518" spans="1:54" x14ac:dyDescent="0.2">
      <c r="A518" s="17" t="s">
        <v>41</v>
      </c>
      <c r="B518" s="18" t="s">
        <v>42</v>
      </c>
      <c r="C518" s="18" t="str">
        <f t="shared" si="157"/>
        <v>BI10.13</v>
      </c>
      <c r="D518" s="18" t="str">
        <f t="shared" si="158"/>
        <v>BI10.13_517</v>
      </c>
      <c r="E518" s="17">
        <v>13</v>
      </c>
      <c r="F518" s="19">
        <v>517</v>
      </c>
      <c r="G518" s="20">
        <v>2</v>
      </c>
      <c r="H518" s="20">
        <v>2.15</v>
      </c>
      <c r="I518" s="20">
        <v>1.2</v>
      </c>
      <c r="J518" s="20">
        <f t="shared" si="156"/>
        <v>4.0558987500000008</v>
      </c>
      <c r="K518" s="53">
        <v>0.23916666666666644</v>
      </c>
      <c r="L518" s="20">
        <f t="shared" si="154"/>
        <v>31.29083333333341</v>
      </c>
      <c r="M518" s="20">
        <f t="shared" si="154"/>
        <v>32.490833333333399</v>
      </c>
      <c r="N518" s="20">
        <f t="shared" si="154"/>
        <v>31.890833333333376</v>
      </c>
      <c r="O518" s="20">
        <f>P517+$AO$500</f>
        <v>488.29083333333341</v>
      </c>
      <c r="P518" s="20">
        <f t="shared" si="152"/>
        <v>489.4908333333334</v>
      </c>
      <c r="Q518" s="20">
        <f t="shared" si="166"/>
        <v>488.89083333333338</v>
      </c>
      <c r="R518" s="20">
        <f t="shared" si="155"/>
        <v>488.29083333333341</v>
      </c>
      <c r="S518" s="20">
        <f t="shared" si="150"/>
        <v>489.4908333333334</v>
      </c>
      <c r="T518" s="20">
        <f t="shared" si="151"/>
        <v>488.89083333333338</v>
      </c>
      <c r="U518" s="20">
        <v>488.89083333333338</v>
      </c>
      <c r="V518" s="22">
        <v>4.8691000000000004</v>
      </c>
      <c r="W518" s="22">
        <v>1.8592</v>
      </c>
      <c r="X518" s="23">
        <v>1.1476266666666668</v>
      </c>
      <c r="Y518" s="23">
        <f t="shared" si="159"/>
        <v>3.7214733333333339</v>
      </c>
      <c r="Z518" s="23">
        <f t="shared" si="160"/>
        <v>0.71157333333333317</v>
      </c>
      <c r="AA518" s="22">
        <f t="shared" si="161"/>
        <v>80.879257498374315</v>
      </c>
      <c r="AB518" s="22">
        <f t="shared" si="162"/>
        <v>19.120742501625685</v>
      </c>
      <c r="AC518" s="22">
        <f t="shared" si="163"/>
        <v>0.91754591589184353</v>
      </c>
      <c r="AD518" s="22">
        <f t="shared" si="164"/>
        <v>0.17544159191186245</v>
      </c>
      <c r="AE518" s="25">
        <v>4.7140000000000004</v>
      </c>
      <c r="AF518" s="25">
        <v>5.0415000000000001</v>
      </c>
      <c r="AG518" s="25">
        <v>4.7629999999999999</v>
      </c>
      <c r="AH518" s="25">
        <f>AG518-AE518</f>
        <v>4.8999999999999488E-2</v>
      </c>
      <c r="AI518" s="25">
        <v>85.038167938931437</v>
      </c>
      <c r="AJ518" s="26">
        <v>4.2519083969465719</v>
      </c>
      <c r="AK518" s="25">
        <v>42.519083969465719</v>
      </c>
      <c r="AL518" s="26">
        <v>4.2528608037443174</v>
      </c>
      <c r="AM518" s="17">
        <f t="shared" si="165"/>
        <v>0.5780346820809249</v>
      </c>
      <c r="AN518" s="17"/>
      <c r="AO518" s="27"/>
      <c r="AP518" s="17"/>
      <c r="AQ518" s="17"/>
      <c r="AR518" s="17"/>
      <c r="AS518" s="17"/>
      <c r="AT518" s="17"/>
      <c r="AU518" s="17"/>
      <c r="AV518" s="17"/>
      <c r="AW518" s="17"/>
      <c r="AX518" s="17"/>
      <c r="BB518" s="17"/>
    </row>
    <row r="519" spans="1:54" x14ac:dyDescent="0.2">
      <c r="A519" s="17" t="s">
        <v>41</v>
      </c>
      <c r="B519" s="18" t="s">
        <v>42</v>
      </c>
      <c r="C519" s="18" t="str">
        <f t="shared" si="157"/>
        <v>BI10.13</v>
      </c>
      <c r="D519" s="18" t="str">
        <f t="shared" si="158"/>
        <v>BI10.13_518</v>
      </c>
      <c r="E519" s="17">
        <v>13</v>
      </c>
      <c r="F519" s="19">
        <v>518</v>
      </c>
      <c r="G519" s="20">
        <v>1.7</v>
      </c>
      <c r="H519" s="20">
        <v>2.25</v>
      </c>
      <c r="I519" s="20">
        <v>1</v>
      </c>
      <c r="J519" s="20">
        <f t="shared" si="156"/>
        <v>3.0619906250000004</v>
      </c>
      <c r="K519" s="53">
        <v>0.23916666666666644</v>
      </c>
      <c r="L519" s="20">
        <f t="shared" si="154"/>
        <v>32.730000000000075</v>
      </c>
      <c r="M519" s="20">
        <f t="shared" si="154"/>
        <v>33.730000000000075</v>
      </c>
      <c r="N519" s="20">
        <f t="shared" si="154"/>
        <v>33.230000000000075</v>
      </c>
      <c r="O519" s="20">
        <f>P518+$AO$500</f>
        <v>489.73000000000008</v>
      </c>
      <c r="P519" s="20">
        <f t="shared" si="152"/>
        <v>490.73000000000008</v>
      </c>
      <c r="Q519" s="20">
        <f t="shared" si="166"/>
        <v>490.23000000000008</v>
      </c>
      <c r="R519" s="20">
        <f t="shared" si="155"/>
        <v>489.73000000000008</v>
      </c>
      <c r="S519" s="20">
        <f t="shared" si="150"/>
        <v>490.73000000000008</v>
      </c>
      <c r="T519" s="20">
        <f t="shared" si="151"/>
        <v>490.23000000000008</v>
      </c>
      <c r="U519" s="20">
        <v>490.23000000000008</v>
      </c>
      <c r="V519" s="22">
        <v>5.1074999999999999</v>
      </c>
      <c r="W519" s="22">
        <v>1.94</v>
      </c>
      <c r="X519" s="23">
        <v>1.1476266666666668</v>
      </c>
      <c r="Y519" s="23">
        <f t="shared" si="159"/>
        <v>3.9598733333333334</v>
      </c>
      <c r="Z519" s="23">
        <f t="shared" si="160"/>
        <v>0.79237333333333315</v>
      </c>
      <c r="AA519" s="22">
        <f t="shared" si="161"/>
        <v>79.98993233790307</v>
      </c>
      <c r="AB519" s="22">
        <f t="shared" si="162"/>
        <v>20.01006766209693</v>
      </c>
      <c r="AC519" s="22">
        <f t="shared" si="163"/>
        <v>1.2932349632302786</v>
      </c>
      <c r="AD519" s="22">
        <f t="shared" si="164"/>
        <v>0.2587771911722731</v>
      </c>
      <c r="AE519" s="25">
        <v>4.8753000000000002</v>
      </c>
      <c r="AF519" s="25">
        <v>5.1135000000000002</v>
      </c>
      <c r="AG519" s="25">
        <v>4.9126000000000003</v>
      </c>
      <c r="AH519" s="25">
        <f>AG519-AE519</f>
        <v>3.7300000000000111E-2</v>
      </c>
      <c r="AI519" s="25">
        <v>84.340890008396258</v>
      </c>
      <c r="AJ519" s="26">
        <v>4.2170445004198127</v>
      </c>
      <c r="AK519" s="25">
        <v>42.170445004198129</v>
      </c>
      <c r="AL519" s="26">
        <v>4.2180047793383295</v>
      </c>
      <c r="AM519" s="17">
        <f t="shared" si="165"/>
        <v>0.5780346820809249</v>
      </c>
      <c r="AN519" s="17"/>
      <c r="AO519" s="27"/>
      <c r="AP519" s="17"/>
      <c r="AQ519" s="17"/>
      <c r="AR519" s="17"/>
      <c r="AS519" s="17"/>
      <c r="AT519" s="17"/>
      <c r="AU519" s="17"/>
      <c r="AV519" s="17"/>
      <c r="AW519" s="17"/>
      <c r="AX519" s="17"/>
      <c r="BB519" s="17"/>
    </row>
    <row r="520" spans="1:54" x14ac:dyDescent="0.2">
      <c r="A520" s="17" t="s">
        <v>41</v>
      </c>
      <c r="B520" s="18" t="s">
        <v>42</v>
      </c>
      <c r="C520" s="18" t="str">
        <f t="shared" si="157"/>
        <v>BI10.13</v>
      </c>
      <c r="D520" s="18" t="str">
        <f t="shared" si="158"/>
        <v>BI10.13_519</v>
      </c>
      <c r="E520" s="17">
        <v>13</v>
      </c>
      <c r="F520" s="19">
        <v>519</v>
      </c>
      <c r="G520" s="20">
        <v>1.85</v>
      </c>
      <c r="H520" s="20">
        <v>2</v>
      </c>
      <c r="I520" s="20">
        <v>1</v>
      </c>
      <c r="J520" s="20">
        <f t="shared" si="156"/>
        <v>2.9089156250000001</v>
      </c>
      <c r="K520" s="53">
        <v>0.23916666666666644</v>
      </c>
      <c r="L520" s="20">
        <f t="shared" si="154"/>
        <v>33.969166666666752</v>
      </c>
      <c r="M520" s="20">
        <f t="shared" si="154"/>
        <v>34.969166666666752</v>
      </c>
      <c r="N520" s="20">
        <f t="shared" si="154"/>
        <v>34.469166666666752</v>
      </c>
      <c r="O520" s="20">
        <f>P519+$AO$500</f>
        <v>490.96916666666675</v>
      </c>
      <c r="P520" s="20">
        <f t="shared" si="152"/>
        <v>491.96916666666675</v>
      </c>
      <c r="Q520" s="20">
        <f t="shared" si="166"/>
        <v>491.46916666666675</v>
      </c>
      <c r="R520" s="20">
        <f t="shared" si="155"/>
        <v>490.96916666666675</v>
      </c>
      <c r="S520" s="20">
        <f t="shared" si="150"/>
        <v>491.96916666666675</v>
      </c>
      <c r="T520" s="20">
        <f t="shared" si="151"/>
        <v>491.46916666666675</v>
      </c>
      <c r="U520" s="20">
        <v>491.46916666666675</v>
      </c>
      <c r="V520" s="22">
        <v>4.3914</v>
      </c>
      <c r="W520" s="22">
        <v>1.8037000000000001</v>
      </c>
      <c r="X520" s="23">
        <v>1.1476266666666668</v>
      </c>
      <c r="Y520" s="23">
        <f t="shared" si="159"/>
        <v>3.2437733333333334</v>
      </c>
      <c r="Z520" s="23">
        <f t="shared" si="160"/>
        <v>0.65607333333333329</v>
      </c>
      <c r="AA520" s="22">
        <f t="shared" si="161"/>
        <v>79.774377987775551</v>
      </c>
      <c r="AB520" s="22">
        <f t="shared" si="162"/>
        <v>20.225622012224449</v>
      </c>
      <c r="AC520" s="22">
        <f t="shared" si="163"/>
        <v>1.1151142733242163</v>
      </c>
      <c r="AD520" s="22">
        <f t="shared" si="164"/>
        <v>0.22553879792691933</v>
      </c>
      <c r="AE520" s="25">
        <v>4.5621999999999998</v>
      </c>
      <c r="AF520" s="25">
        <v>4.8464999999999998</v>
      </c>
      <c r="AG520" s="25">
        <v>4.6294000000000004</v>
      </c>
      <c r="AH520" s="25">
        <f>AG520-AE520</f>
        <v>6.7200000000000593E-2</v>
      </c>
      <c r="AI520" s="25">
        <v>76.362996834329721</v>
      </c>
      <c r="AJ520" s="26">
        <v>3.8181498417164863</v>
      </c>
      <c r="AK520" s="25">
        <v>38.18149841716486</v>
      </c>
      <c r="AL520" s="26">
        <v>3.8192104175862882</v>
      </c>
      <c r="AM520" s="17">
        <f t="shared" si="165"/>
        <v>0.5780346820809249</v>
      </c>
      <c r="AN520" s="17"/>
      <c r="AO520" s="27"/>
      <c r="AP520" s="17"/>
      <c r="AQ520" s="17"/>
      <c r="AR520" s="17"/>
      <c r="AS520" s="17"/>
      <c r="AT520" s="17"/>
      <c r="AU520" s="17"/>
      <c r="AV520" s="17"/>
      <c r="AW520" s="17"/>
      <c r="AX520" s="17"/>
      <c r="BB520" s="17"/>
    </row>
    <row r="521" spans="1:54" x14ac:dyDescent="0.2">
      <c r="A521" s="17" t="s">
        <v>41</v>
      </c>
      <c r="B521" s="18" t="s">
        <v>42</v>
      </c>
      <c r="C521" s="18" t="str">
        <f t="shared" si="157"/>
        <v>BI10.13</v>
      </c>
      <c r="D521" s="18" t="str">
        <f t="shared" si="158"/>
        <v>BI10.13_520</v>
      </c>
      <c r="E521" s="17">
        <v>13</v>
      </c>
      <c r="F521" s="19">
        <v>520</v>
      </c>
      <c r="G521" s="20">
        <v>2.1</v>
      </c>
      <c r="H521" s="20">
        <v>2.4</v>
      </c>
      <c r="I521" s="20">
        <v>1</v>
      </c>
      <c r="J521" s="20">
        <f t="shared" si="156"/>
        <v>3.9740625000000001</v>
      </c>
      <c r="K521" s="53">
        <v>0.23916666666666644</v>
      </c>
      <c r="L521" s="20">
        <f t="shared" si="154"/>
        <v>35.208333333333428</v>
      </c>
      <c r="M521" s="20">
        <f t="shared" si="154"/>
        <v>36.208333333333428</v>
      </c>
      <c r="N521" s="20">
        <f t="shared" si="154"/>
        <v>35.708333333333428</v>
      </c>
      <c r="O521" s="20">
        <f>P520+$AO$500</f>
        <v>492.20833333333343</v>
      </c>
      <c r="P521" s="20">
        <f t="shared" si="152"/>
        <v>493.20833333333343</v>
      </c>
      <c r="Q521" s="20">
        <f t="shared" si="166"/>
        <v>492.70833333333343</v>
      </c>
      <c r="R521" s="20">
        <f t="shared" si="155"/>
        <v>492.20833333333343</v>
      </c>
      <c r="S521" s="20">
        <f t="shared" si="150"/>
        <v>493.20833333333343</v>
      </c>
      <c r="T521" s="20">
        <f t="shared" si="151"/>
        <v>492.70833333333343</v>
      </c>
      <c r="U521" s="20">
        <v>492.70833333333343</v>
      </c>
      <c r="V521" s="22">
        <v>6.5503</v>
      </c>
      <c r="W521" s="22">
        <v>2.3843000000000001</v>
      </c>
      <c r="X521" s="23">
        <v>1.1476266666666668</v>
      </c>
      <c r="Y521" s="23">
        <f t="shared" si="159"/>
        <v>5.4026733333333334</v>
      </c>
      <c r="Z521" s="23">
        <f t="shared" si="160"/>
        <v>1.2366733333333333</v>
      </c>
      <c r="AA521" s="22">
        <f t="shared" si="161"/>
        <v>77.10997395116739</v>
      </c>
      <c r="AB521" s="22">
        <f t="shared" si="162"/>
        <v>22.89002604883261</v>
      </c>
      <c r="AC521" s="22">
        <f t="shared" si="163"/>
        <v>1.3594837356818956</v>
      </c>
      <c r="AD521" s="22">
        <f t="shared" si="164"/>
        <v>0.31118618122722863</v>
      </c>
      <c r="AE521" s="25">
        <v>4.9204999999999997</v>
      </c>
      <c r="AF521" s="25">
        <v>5.3197999999999999</v>
      </c>
      <c r="AG521" s="25">
        <v>5.0457999999999998</v>
      </c>
      <c r="AH521" s="25">
        <f>AG521-AE521</f>
        <v>0.12530000000000019</v>
      </c>
      <c r="AI521" s="25">
        <v>68.620085149010734</v>
      </c>
      <c r="AJ521" s="26">
        <v>3.4310042574505371</v>
      </c>
      <c r="AK521" s="25">
        <v>34.310042574505367</v>
      </c>
      <c r="AL521" s="26">
        <v>3.4321844668729145</v>
      </c>
      <c r="AM521" s="17">
        <f t="shared" si="165"/>
        <v>0.5780346820809249</v>
      </c>
      <c r="AN521" s="17"/>
      <c r="AO521" s="27"/>
      <c r="AP521" s="17"/>
      <c r="AQ521" s="17"/>
      <c r="AR521" s="17"/>
      <c r="AS521" s="17"/>
      <c r="AT521" s="17"/>
      <c r="AU521" s="17"/>
      <c r="AV521" s="17"/>
      <c r="AW521" s="17"/>
      <c r="AX521" s="17"/>
      <c r="BB521" s="17"/>
    </row>
    <row r="522" spans="1:54" x14ac:dyDescent="0.2">
      <c r="A522" s="17" t="s">
        <v>41</v>
      </c>
      <c r="B522" s="18" t="s">
        <v>42</v>
      </c>
      <c r="C522" s="18" t="str">
        <f t="shared" si="157"/>
        <v>BI10.13</v>
      </c>
      <c r="D522" s="18" t="str">
        <f t="shared" si="158"/>
        <v>BI10.13_521</v>
      </c>
      <c r="E522" s="17">
        <v>13</v>
      </c>
      <c r="F522" s="19">
        <v>521</v>
      </c>
      <c r="G522" s="20">
        <v>2.2000000000000002</v>
      </c>
      <c r="H522" s="20">
        <v>2.35</v>
      </c>
      <c r="I522" s="20">
        <v>1.1000000000000001</v>
      </c>
      <c r="J522" s="20">
        <f t="shared" si="156"/>
        <v>4.4691521875000015</v>
      </c>
      <c r="K522" s="53">
        <v>0.23916666666666644</v>
      </c>
      <c r="L522" s="20">
        <f t="shared" si="154"/>
        <v>36.447500000000105</v>
      </c>
      <c r="M522" s="20">
        <f t="shared" si="154"/>
        <v>37.547500000000127</v>
      </c>
      <c r="N522" s="20">
        <f t="shared" si="154"/>
        <v>36.997500000000116</v>
      </c>
      <c r="O522" s="20">
        <f>P521+$AO$500</f>
        <v>493.4475000000001</v>
      </c>
      <c r="P522" s="20">
        <f t="shared" si="152"/>
        <v>494.54750000000013</v>
      </c>
      <c r="Q522" s="20">
        <f t="shared" si="166"/>
        <v>493.99750000000012</v>
      </c>
      <c r="R522" s="20">
        <f t="shared" si="155"/>
        <v>493.4475000000001</v>
      </c>
      <c r="S522" s="20">
        <f t="shared" si="150"/>
        <v>494.54750000000013</v>
      </c>
      <c r="T522" s="20">
        <f t="shared" si="151"/>
        <v>493.99750000000012</v>
      </c>
      <c r="U522" s="20">
        <v>493.99750000000012</v>
      </c>
      <c r="V522" s="22">
        <v>6.7568999999999999</v>
      </c>
      <c r="W522" s="22">
        <v>2.5274999999999999</v>
      </c>
      <c r="X522" s="23">
        <v>1.1476266666666668</v>
      </c>
      <c r="Y522" s="23">
        <f t="shared" si="159"/>
        <v>5.6092733333333333</v>
      </c>
      <c r="Z522" s="23">
        <f t="shared" si="160"/>
        <v>1.3798733333333331</v>
      </c>
      <c r="AA522" s="22">
        <f t="shared" si="161"/>
        <v>75.400140957058014</v>
      </c>
      <c r="AB522" s="22">
        <f t="shared" si="162"/>
        <v>24.599859042941986</v>
      </c>
      <c r="AC522" s="22">
        <f t="shared" si="163"/>
        <v>1.2551090448479678</v>
      </c>
      <c r="AD522" s="22">
        <f t="shared" si="164"/>
        <v>0.30875505586781554</v>
      </c>
      <c r="AE522" s="25">
        <v>4.9019000000000004</v>
      </c>
      <c r="AF522" s="25">
        <v>5.3563999999999998</v>
      </c>
      <c r="AG522" s="25">
        <v>5.0235000000000003</v>
      </c>
      <c r="AH522" s="25">
        <f>AG522-AE522</f>
        <v>0.12159999999999993</v>
      </c>
      <c r="AI522" s="25">
        <v>73.245324532453225</v>
      </c>
      <c r="AJ522" s="26">
        <v>3.6622662266226613</v>
      </c>
      <c r="AK522" s="25">
        <v>36.622662266226612</v>
      </c>
      <c r="AL522" s="26">
        <v>3.6633719323406115</v>
      </c>
      <c r="AM522" s="17">
        <f t="shared" si="165"/>
        <v>0.5780346820809249</v>
      </c>
      <c r="AN522" s="17"/>
      <c r="AO522" s="27"/>
      <c r="AP522" s="17"/>
      <c r="AQ522" s="17"/>
      <c r="AR522" s="17"/>
      <c r="AS522" s="17"/>
      <c r="AT522" s="17"/>
      <c r="AU522" s="17"/>
      <c r="AV522" s="17"/>
      <c r="AW522" s="17"/>
      <c r="AX522" s="17"/>
      <c r="BB522" s="17"/>
    </row>
    <row r="523" spans="1:54" x14ac:dyDescent="0.2">
      <c r="A523" s="17" t="s">
        <v>41</v>
      </c>
      <c r="B523" s="18" t="s">
        <v>42</v>
      </c>
      <c r="C523" s="18" t="str">
        <f t="shared" si="157"/>
        <v>BI10.13</v>
      </c>
      <c r="D523" s="18" t="str">
        <f t="shared" si="158"/>
        <v>BI10.13_522</v>
      </c>
      <c r="E523" s="17">
        <v>13</v>
      </c>
      <c r="F523" s="19">
        <v>522</v>
      </c>
      <c r="G523" s="20">
        <v>2.0499999999999998</v>
      </c>
      <c r="H523" s="20">
        <v>2.4500000000000002</v>
      </c>
      <c r="I523" s="20">
        <v>1</v>
      </c>
      <c r="J523" s="20">
        <f t="shared" si="156"/>
        <v>3.9740625000000001</v>
      </c>
      <c r="K523" s="53">
        <v>0.23916666666666644</v>
      </c>
      <c r="L523" s="20">
        <f t="shared" si="154"/>
        <v>37.786666666666804</v>
      </c>
      <c r="M523" s="20">
        <f t="shared" si="154"/>
        <v>38.786666666666804</v>
      </c>
      <c r="N523" s="20">
        <f t="shared" si="154"/>
        <v>38.286666666666804</v>
      </c>
      <c r="O523" s="20">
        <f>P522+$AO$500</f>
        <v>494.7866666666668</v>
      </c>
      <c r="P523" s="20">
        <f t="shared" si="152"/>
        <v>495.7866666666668</v>
      </c>
      <c r="Q523" s="20">
        <f t="shared" si="166"/>
        <v>495.2866666666668</v>
      </c>
      <c r="R523" s="20">
        <f t="shared" si="155"/>
        <v>494.7866666666668</v>
      </c>
      <c r="S523" s="20">
        <f t="shared" si="150"/>
        <v>495.7866666666668</v>
      </c>
      <c r="T523" s="20">
        <f t="shared" si="151"/>
        <v>495.2866666666668</v>
      </c>
      <c r="U523" s="20">
        <v>495.2866666666668</v>
      </c>
      <c r="V523" s="22">
        <v>5.3125999999999998</v>
      </c>
      <c r="W523" s="22">
        <v>2.1103000000000001</v>
      </c>
      <c r="X523" s="23">
        <v>1.1476266666666668</v>
      </c>
      <c r="Y523" s="23">
        <f t="shared" si="159"/>
        <v>4.1649733333333332</v>
      </c>
      <c r="Z523" s="23">
        <f t="shared" si="160"/>
        <v>0.96267333333333327</v>
      </c>
      <c r="AA523" s="22">
        <f t="shared" si="161"/>
        <v>76.886446651919343</v>
      </c>
      <c r="AB523" s="22">
        <f t="shared" si="162"/>
        <v>23.113553348080657</v>
      </c>
      <c r="AC523" s="22">
        <f t="shared" si="163"/>
        <v>1.0480392126025531</v>
      </c>
      <c r="AD523" s="22">
        <f t="shared" si="164"/>
        <v>0.24223910251369557</v>
      </c>
      <c r="AE523" s="25">
        <v>4.9194000000000004</v>
      </c>
      <c r="AF523" s="25">
        <v>5.5296000000000003</v>
      </c>
      <c r="AG523" s="25">
        <v>5.1066000000000003</v>
      </c>
      <c r="AH523" s="25">
        <f>AG523-AE523</f>
        <v>0.18719999999999981</v>
      </c>
      <c r="AI523" s="25">
        <v>69.321533923303861</v>
      </c>
      <c r="AJ523" s="26">
        <v>3.4660766961651932</v>
      </c>
      <c r="AK523" s="25">
        <v>34.66076696165193</v>
      </c>
      <c r="AL523" s="26">
        <v>3.4672449673623325</v>
      </c>
      <c r="AM523" s="17">
        <f t="shared" si="165"/>
        <v>0.5780346820809249</v>
      </c>
      <c r="AN523" s="17"/>
      <c r="AO523" s="27"/>
      <c r="AP523" s="17"/>
      <c r="AQ523" s="17"/>
      <c r="AR523" s="17"/>
      <c r="AS523" s="17"/>
      <c r="AT523" s="17"/>
      <c r="AU523" s="17"/>
      <c r="AV523" s="17"/>
      <c r="AW523" s="17"/>
      <c r="AX523" s="17"/>
      <c r="BB523" s="17"/>
    </row>
    <row r="524" spans="1:54" x14ac:dyDescent="0.2">
      <c r="A524" s="17" t="s">
        <v>41</v>
      </c>
      <c r="B524" s="18" t="s">
        <v>42</v>
      </c>
      <c r="C524" s="18" t="str">
        <f t="shared" si="157"/>
        <v>BI10.13</v>
      </c>
      <c r="D524" s="18" t="str">
        <f t="shared" si="158"/>
        <v>BI10.13_523</v>
      </c>
      <c r="E524" s="17">
        <v>13</v>
      </c>
      <c r="F524" s="19">
        <v>523</v>
      </c>
      <c r="G524" s="20">
        <v>2.0499999999999998</v>
      </c>
      <c r="H524" s="20">
        <v>2.4</v>
      </c>
      <c r="I524" s="20">
        <v>1.05</v>
      </c>
      <c r="J524" s="20">
        <f t="shared" si="156"/>
        <v>4.0805526562499992</v>
      </c>
      <c r="K524" s="53">
        <v>0.23916666666666644</v>
      </c>
      <c r="L524" s="20">
        <f t="shared" si="154"/>
        <v>39.02583333333348</v>
      </c>
      <c r="M524" s="20">
        <f t="shared" si="154"/>
        <v>40.075833333333492</v>
      </c>
      <c r="N524" s="20">
        <f t="shared" si="154"/>
        <v>39.550833333333458</v>
      </c>
      <c r="O524" s="20">
        <f>P523+$AO$500</f>
        <v>496.02583333333348</v>
      </c>
      <c r="P524" s="20">
        <f t="shared" si="152"/>
        <v>497.07583333333349</v>
      </c>
      <c r="Q524" s="20">
        <f t="shared" si="166"/>
        <v>496.55083333333346</v>
      </c>
      <c r="R524" s="20">
        <f t="shared" si="155"/>
        <v>496.02583333333348</v>
      </c>
      <c r="S524" s="20">
        <f t="shared" si="150"/>
        <v>497.07583333333349</v>
      </c>
      <c r="T524" s="20">
        <f t="shared" si="151"/>
        <v>496.55083333333346</v>
      </c>
      <c r="U524" s="20">
        <v>496.55083333333346</v>
      </c>
      <c r="V524" s="22">
        <v>5.7199</v>
      </c>
      <c r="W524" s="22">
        <v>2.1221000000000001</v>
      </c>
      <c r="X524" s="23">
        <v>1.1476266666666668</v>
      </c>
      <c r="Y524" s="23">
        <f t="shared" si="159"/>
        <v>4.5722733333333334</v>
      </c>
      <c r="Z524" s="23">
        <f t="shared" si="160"/>
        <v>0.9744733333333333</v>
      </c>
      <c r="AA524" s="22">
        <f t="shared" si="161"/>
        <v>78.687334236360911</v>
      </c>
      <c r="AB524" s="22">
        <f t="shared" si="162"/>
        <v>21.312665763639089</v>
      </c>
      <c r="AC524" s="22">
        <f t="shared" si="163"/>
        <v>1.1205034510044094</v>
      </c>
      <c r="AD524" s="22">
        <f t="shared" si="164"/>
        <v>0.2388091553826113</v>
      </c>
      <c r="AE524" s="25">
        <v>4.6736000000000004</v>
      </c>
      <c r="AF524" s="25">
        <v>5.0945999999999998</v>
      </c>
      <c r="AG524" s="25">
        <v>4.7637999999999998</v>
      </c>
      <c r="AH524" s="25">
        <f>AG524-AE524</f>
        <v>9.0199999999999392E-2</v>
      </c>
      <c r="AI524" s="25">
        <v>78.574821852731702</v>
      </c>
      <c r="AJ524" s="26">
        <v>3.9287410926365851</v>
      </c>
      <c r="AK524" s="25">
        <v>39.287410926365851</v>
      </c>
      <c r="AL524" s="26">
        <v>3.9297718219982327</v>
      </c>
      <c r="AM524" s="17">
        <f t="shared" si="165"/>
        <v>0.5780346820809249</v>
      </c>
      <c r="AN524" s="17"/>
      <c r="AO524" s="27"/>
      <c r="AP524" s="17"/>
      <c r="AQ524" s="17"/>
      <c r="AR524" s="17"/>
      <c r="AS524" s="17"/>
      <c r="AT524" s="17"/>
      <c r="AU524" s="17"/>
      <c r="AV524" s="17"/>
      <c r="AW524" s="17"/>
      <c r="AX524" s="17"/>
      <c r="BB524" s="17"/>
    </row>
    <row r="525" spans="1:54" x14ac:dyDescent="0.2">
      <c r="A525" s="17" t="s">
        <v>41</v>
      </c>
      <c r="B525" s="18" t="s">
        <v>42</v>
      </c>
      <c r="C525" s="18" t="str">
        <f t="shared" si="157"/>
        <v>BI10.13</v>
      </c>
      <c r="D525" s="18" t="str">
        <f t="shared" si="158"/>
        <v>BI10.13_524</v>
      </c>
      <c r="E525" s="17">
        <v>13</v>
      </c>
      <c r="F525" s="19">
        <v>524</v>
      </c>
      <c r="G525" s="20">
        <v>2.15</v>
      </c>
      <c r="H525" s="20">
        <v>2.5</v>
      </c>
      <c r="I525" s="20">
        <v>1.1000000000000001</v>
      </c>
      <c r="J525" s="20">
        <f t="shared" si="156"/>
        <v>4.6677571875000012</v>
      </c>
      <c r="K525" s="53">
        <v>0.23916666666666644</v>
      </c>
      <c r="L525" s="20">
        <f t="shared" si="154"/>
        <v>40.315000000000168</v>
      </c>
      <c r="M525" s="20">
        <f t="shared" si="154"/>
        <v>41.415000000000191</v>
      </c>
      <c r="N525" s="20">
        <f t="shared" si="154"/>
        <v>40.86500000000018</v>
      </c>
      <c r="O525" s="20">
        <f>P524+$AO$500</f>
        <v>497.31500000000017</v>
      </c>
      <c r="P525" s="20">
        <f t="shared" si="152"/>
        <v>498.41500000000019</v>
      </c>
      <c r="Q525" s="20">
        <f t="shared" si="166"/>
        <v>497.86500000000018</v>
      </c>
      <c r="R525" s="20">
        <f t="shared" si="155"/>
        <v>497.31500000000017</v>
      </c>
      <c r="S525" s="20">
        <f t="shared" si="150"/>
        <v>498.41500000000019</v>
      </c>
      <c r="T525" s="20">
        <f t="shared" si="151"/>
        <v>497.86500000000018</v>
      </c>
      <c r="U525" s="20">
        <v>497.86500000000018</v>
      </c>
      <c r="V525" s="22">
        <v>6.7790999999999997</v>
      </c>
      <c r="W525" s="22">
        <v>2.2831999999999999</v>
      </c>
      <c r="X525" s="23">
        <v>1.1476266666666668</v>
      </c>
      <c r="Y525" s="23">
        <f t="shared" si="159"/>
        <v>5.6314733333333331</v>
      </c>
      <c r="Z525" s="23">
        <f t="shared" si="160"/>
        <v>1.1355733333333331</v>
      </c>
      <c r="AA525" s="22">
        <f t="shared" si="161"/>
        <v>79.835235539308243</v>
      </c>
      <c r="AB525" s="22">
        <f t="shared" si="162"/>
        <v>20.164764460691757</v>
      </c>
      <c r="AC525" s="22">
        <f t="shared" si="163"/>
        <v>1.2064623559284771</v>
      </c>
      <c r="AD525" s="22">
        <f t="shared" si="164"/>
        <v>0.24328029237988996</v>
      </c>
      <c r="AE525" s="25">
        <v>4.9821999999999997</v>
      </c>
      <c r="AF525" s="25">
        <v>5.3990999999999998</v>
      </c>
      <c r="AG525" s="25">
        <v>5.0838000000000001</v>
      </c>
      <c r="AH525" s="25">
        <f>AG525-AE525</f>
        <v>0.10160000000000036</v>
      </c>
      <c r="AI525" s="25">
        <v>75.629647397457347</v>
      </c>
      <c r="AJ525" s="26">
        <v>3.7814823698728675</v>
      </c>
      <c r="AK525" s="25">
        <v>37.814823698728674</v>
      </c>
      <c r="AL525" s="26">
        <v>3.7825532268111335</v>
      </c>
      <c r="AM525" s="17">
        <f t="shared" si="165"/>
        <v>0.5780346820809249</v>
      </c>
      <c r="AN525" s="17"/>
      <c r="AO525" s="27"/>
      <c r="AP525" s="17"/>
      <c r="AQ525" s="17"/>
      <c r="AR525" s="17"/>
      <c r="AS525" s="17"/>
      <c r="AT525" s="17"/>
      <c r="AU525" s="17"/>
      <c r="AV525" s="17"/>
      <c r="AW525" s="17"/>
      <c r="AX525" s="17"/>
      <c r="BB525" s="17"/>
    </row>
    <row r="526" spans="1:54" x14ac:dyDescent="0.2">
      <c r="A526" s="17" t="s">
        <v>41</v>
      </c>
      <c r="B526" s="18" t="s">
        <v>42</v>
      </c>
      <c r="C526" s="18" t="str">
        <f t="shared" si="157"/>
        <v>BI10.13</v>
      </c>
      <c r="D526" s="18" t="str">
        <f t="shared" si="158"/>
        <v>BI10.13_525</v>
      </c>
      <c r="E526" s="17">
        <v>13</v>
      </c>
      <c r="F526" s="19">
        <v>525</v>
      </c>
      <c r="G526" s="20">
        <v>1.95</v>
      </c>
      <c r="H526" s="20">
        <v>2.1</v>
      </c>
      <c r="I526" s="20">
        <v>1</v>
      </c>
      <c r="J526" s="20">
        <f t="shared" si="156"/>
        <v>3.218990625</v>
      </c>
      <c r="K526" s="53">
        <v>0.23916666666666644</v>
      </c>
      <c r="L526" s="20">
        <f t="shared" si="154"/>
        <v>41.654166666666868</v>
      </c>
      <c r="M526" s="20">
        <f t="shared" si="154"/>
        <v>42.654166666666868</v>
      </c>
      <c r="N526" s="20">
        <f t="shared" si="154"/>
        <v>42.154166666666868</v>
      </c>
      <c r="O526" s="20">
        <f>P525+$AO$500</f>
        <v>498.65416666666687</v>
      </c>
      <c r="P526" s="20">
        <f t="shared" si="152"/>
        <v>499.65416666666687</v>
      </c>
      <c r="Q526" s="20">
        <f t="shared" si="166"/>
        <v>499.15416666666687</v>
      </c>
      <c r="R526" s="20">
        <f t="shared" si="155"/>
        <v>498.65416666666687</v>
      </c>
      <c r="S526" s="20">
        <f t="shared" si="150"/>
        <v>499.65416666666687</v>
      </c>
      <c r="T526" s="20">
        <f t="shared" si="151"/>
        <v>499.15416666666687</v>
      </c>
      <c r="U526" s="20">
        <v>499.15416666666687</v>
      </c>
      <c r="V526" s="22">
        <v>6.0125000000000002</v>
      </c>
      <c r="W526" s="22">
        <v>2.4638</v>
      </c>
      <c r="X526" s="23">
        <v>1.1476266666666668</v>
      </c>
      <c r="Y526" s="23">
        <f t="shared" si="159"/>
        <v>4.8648733333333336</v>
      </c>
      <c r="Z526" s="23">
        <f t="shared" si="160"/>
        <v>1.3161733333333332</v>
      </c>
      <c r="AA526" s="22">
        <f t="shared" si="161"/>
        <v>72.945373021017332</v>
      </c>
      <c r="AB526" s="22">
        <f t="shared" si="162"/>
        <v>27.054626978982668</v>
      </c>
      <c r="AC526" s="22">
        <f t="shared" si="163"/>
        <v>1.511303976951885</v>
      </c>
      <c r="AD526" s="22">
        <f t="shared" si="164"/>
        <v>0.40887765348286259</v>
      </c>
      <c r="AE526" s="25">
        <v>4.7801</v>
      </c>
      <c r="AF526" s="25">
        <v>5.3638000000000003</v>
      </c>
      <c r="AG526" s="25">
        <v>5.0209000000000001</v>
      </c>
      <c r="AH526" s="25">
        <f>AG526-AE526</f>
        <v>0.24080000000000013</v>
      </c>
      <c r="AI526" s="25">
        <v>58.745931129004624</v>
      </c>
      <c r="AJ526" s="26">
        <v>2.9372965564502316</v>
      </c>
      <c r="AK526" s="25">
        <v>29.372965564502312</v>
      </c>
      <c r="AL526" s="26">
        <v>2.9386750518787186</v>
      </c>
      <c r="AM526" s="17">
        <f t="shared" si="165"/>
        <v>0.5780346820809249</v>
      </c>
      <c r="AN526" s="17"/>
      <c r="AO526" s="27"/>
      <c r="AP526" s="17"/>
      <c r="AQ526" s="17"/>
      <c r="AR526" s="17"/>
      <c r="AS526" s="17"/>
      <c r="AT526" s="17"/>
      <c r="AU526" s="17"/>
      <c r="AV526" s="17"/>
      <c r="AW526" s="17"/>
      <c r="AX526" s="17"/>
      <c r="BB526" s="17"/>
    </row>
    <row r="527" spans="1:54" x14ac:dyDescent="0.2">
      <c r="A527" s="17" t="s">
        <v>41</v>
      </c>
      <c r="B527" s="18" t="s">
        <v>42</v>
      </c>
      <c r="C527" s="18" t="str">
        <f t="shared" si="157"/>
        <v>BI10.13</v>
      </c>
      <c r="D527" s="18" t="str">
        <f t="shared" si="158"/>
        <v>BI10.13_526</v>
      </c>
      <c r="E527" s="17">
        <v>13</v>
      </c>
      <c r="F527" s="19">
        <v>526</v>
      </c>
      <c r="G527" s="20">
        <v>2.5</v>
      </c>
      <c r="H527" s="20">
        <v>2.1</v>
      </c>
      <c r="I527" s="20">
        <v>1.1000000000000001</v>
      </c>
      <c r="J527" s="20">
        <f t="shared" si="156"/>
        <v>4.5679150000000002</v>
      </c>
      <c r="K527" s="53">
        <v>0.23916666666666644</v>
      </c>
      <c r="L527" s="20">
        <f t="shared" si="154"/>
        <v>42.893333333333544</v>
      </c>
      <c r="M527" s="20">
        <f t="shared" si="154"/>
        <v>43.993333333333567</v>
      </c>
      <c r="N527" s="20">
        <f t="shared" si="154"/>
        <v>43.443333333333555</v>
      </c>
      <c r="O527" s="20">
        <f>P526+$AO$500</f>
        <v>499.89333333333354</v>
      </c>
      <c r="P527" s="20">
        <f t="shared" si="152"/>
        <v>500.99333333333357</v>
      </c>
      <c r="Q527" s="20">
        <f t="shared" si="166"/>
        <v>500.44333333333356</v>
      </c>
      <c r="R527" s="20">
        <f t="shared" si="155"/>
        <v>499.89333333333354</v>
      </c>
      <c r="S527" s="20">
        <f t="shared" si="150"/>
        <v>500.99333333333357</v>
      </c>
      <c r="T527" s="20">
        <f t="shared" si="151"/>
        <v>500.44333333333356</v>
      </c>
      <c r="U527" s="20">
        <v>500.44333333333356</v>
      </c>
      <c r="V527" s="22">
        <v>6.7144000000000004</v>
      </c>
      <c r="W527" s="22">
        <v>2.5737999999999999</v>
      </c>
      <c r="X527" s="23">
        <v>1.1476266666666668</v>
      </c>
      <c r="Y527" s="23">
        <f t="shared" si="159"/>
        <v>5.5667733333333338</v>
      </c>
      <c r="Z527" s="23">
        <f t="shared" si="160"/>
        <v>1.4261733333333331</v>
      </c>
      <c r="AA527" s="22">
        <f t="shared" si="161"/>
        <v>74.380610670933265</v>
      </c>
      <c r="AB527" s="22">
        <f t="shared" si="162"/>
        <v>25.619389329066735</v>
      </c>
      <c r="AC527" s="22">
        <f t="shared" si="163"/>
        <v>1.2186683275265267</v>
      </c>
      <c r="AD527" s="22">
        <f t="shared" si="164"/>
        <v>0.31221538345904709</v>
      </c>
      <c r="AE527" s="25">
        <v>4.6933999999999996</v>
      </c>
      <c r="AF527" s="25">
        <v>5.2752999999999997</v>
      </c>
      <c r="AG527" s="25">
        <v>5.0399000000000003</v>
      </c>
      <c r="AH527" s="25">
        <f>AG527-AE527</f>
        <v>0.3465000000000007</v>
      </c>
      <c r="AI527" s="25">
        <v>40.453686200377959</v>
      </c>
      <c r="AJ527" s="26">
        <v>2.022684310018898</v>
      </c>
      <c r="AK527" s="25">
        <v>20.226843100188979</v>
      </c>
      <c r="AL527" s="26">
        <v>2.0246856096679862</v>
      </c>
      <c r="AM527" s="17">
        <f t="shared" si="165"/>
        <v>0.5780346820809249</v>
      </c>
      <c r="AN527" s="17"/>
      <c r="AO527" s="27"/>
      <c r="AP527" s="17"/>
      <c r="AQ527" s="17"/>
      <c r="AR527" s="17"/>
      <c r="AS527" s="17"/>
      <c r="AT527" s="17"/>
      <c r="AU527" s="17"/>
      <c r="AV527" s="17"/>
      <c r="AW527" s="17"/>
      <c r="AX527" s="17"/>
      <c r="BB527" s="17"/>
    </row>
    <row r="528" spans="1:54" x14ac:dyDescent="0.2">
      <c r="A528" s="17" t="s">
        <v>41</v>
      </c>
      <c r="B528" s="18" t="s">
        <v>42</v>
      </c>
      <c r="C528" s="18" t="str">
        <f t="shared" si="157"/>
        <v>BI10.13</v>
      </c>
      <c r="D528" s="18" t="str">
        <f t="shared" si="158"/>
        <v>BI10.13_527</v>
      </c>
      <c r="E528" s="17">
        <v>13</v>
      </c>
      <c r="F528" s="19">
        <v>527</v>
      </c>
      <c r="G528" s="20">
        <v>1.95</v>
      </c>
      <c r="H528" s="20">
        <v>2.4</v>
      </c>
      <c r="I528" s="20">
        <v>1.05</v>
      </c>
      <c r="J528" s="20">
        <f t="shared" si="156"/>
        <v>3.8992176562499994</v>
      </c>
      <c r="K528" s="53">
        <v>0.23916666666666644</v>
      </c>
      <c r="L528" s="20">
        <f t="shared" si="154"/>
        <v>44.232500000000243</v>
      </c>
      <c r="M528" s="20">
        <f t="shared" si="154"/>
        <v>45.282500000000255</v>
      </c>
      <c r="N528" s="20">
        <f t="shared" si="154"/>
        <v>44.757500000000277</v>
      </c>
      <c r="O528" s="20">
        <f>P527+$AO$500</f>
        <v>501.23250000000024</v>
      </c>
      <c r="P528" s="20">
        <f t="shared" si="152"/>
        <v>502.28250000000025</v>
      </c>
      <c r="Q528" s="20">
        <f t="shared" si="166"/>
        <v>501.75750000000028</v>
      </c>
      <c r="R528" s="20">
        <f t="shared" si="155"/>
        <v>501.23250000000024</v>
      </c>
      <c r="S528" s="20">
        <f t="shared" si="150"/>
        <v>502.28250000000025</v>
      </c>
      <c r="T528" s="20">
        <f t="shared" si="151"/>
        <v>501.75750000000028</v>
      </c>
      <c r="U528" s="20">
        <v>501.75750000000028</v>
      </c>
      <c r="V528" s="22">
        <v>5.5811999999999999</v>
      </c>
      <c r="W528" s="22">
        <v>2.1846999999999999</v>
      </c>
      <c r="X528" s="23">
        <v>1.1476266666666668</v>
      </c>
      <c r="Y528" s="23">
        <f t="shared" si="159"/>
        <v>4.4335733333333334</v>
      </c>
      <c r="Z528" s="23">
        <f t="shared" si="160"/>
        <v>1.0370733333333331</v>
      </c>
      <c r="AA528" s="22">
        <f t="shared" si="161"/>
        <v>76.60863472052641</v>
      </c>
      <c r="AB528" s="22">
        <f t="shared" si="162"/>
        <v>23.39136527947359</v>
      </c>
      <c r="AC528" s="22">
        <f t="shared" si="163"/>
        <v>1.137041766885422</v>
      </c>
      <c r="AD528" s="22">
        <f t="shared" si="164"/>
        <v>0.26596959307234957</v>
      </c>
      <c r="AE528" s="25">
        <v>4.7046999999999999</v>
      </c>
      <c r="AF528" s="25">
        <v>5.1856999999999998</v>
      </c>
      <c r="AG528" s="25">
        <v>4.8521000000000001</v>
      </c>
      <c r="AH528" s="25">
        <f>AG528-AE528</f>
        <v>0.1474000000000002</v>
      </c>
      <c r="AI528" s="25">
        <v>69.355509355509298</v>
      </c>
      <c r="AJ528" s="26">
        <v>3.4677754677754651</v>
      </c>
      <c r="AK528" s="25">
        <v>34.677754677754649</v>
      </c>
      <c r="AL528" s="26">
        <v>3.468943166860095</v>
      </c>
      <c r="AM528" s="17">
        <f t="shared" si="165"/>
        <v>0.5780346820809249</v>
      </c>
      <c r="AN528" s="17"/>
      <c r="AO528" s="27"/>
      <c r="AP528" s="17"/>
      <c r="AQ528" s="17"/>
      <c r="AR528" s="17"/>
      <c r="AS528" s="17"/>
      <c r="AT528" s="17"/>
      <c r="AU528" s="17"/>
      <c r="AV528" s="17"/>
      <c r="AW528" s="17"/>
      <c r="AX528" s="17"/>
      <c r="BB528" s="17"/>
    </row>
    <row r="529" spans="1:54" x14ac:dyDescent="0.2">
      <c r="A529" s="17" t="s">
        <v>41</v>
      </c>
      <c r="B529" s="18" t="s">
        <v>42</v>
      </c>
      <c r="C529" s="18" t="str">
        <f t="shared" si="157"/>
        <v>BI10.13</v>
      </c>
      <c r="D529" s="18" t="str">
        <f t="shared" si="158"/>
        <v>BI10.13_528</v>
      </c>
      <c r="E529" s="17">
        <v>13</v>
      </c>
      <c r="F529" s="19">
        <v>528</v>
      </c>
      <c r="G529" s="20">
        <v>2.15</v>
      </c>
      <c r="H529" s="20">
        <v>2.2000000000000002</v>
      </c>
      <c r="I529" s="20">
        <v>1.1000000000000001</v>
      </c>
      <c r="J529" s="20">
        <f t="shared" si="156"/>
        <v>4.0848946874999994</v>
      </c>
      <c r="K529" s="53">
        <v>0.23916666666666644</v>
      </c>
      <c r="L529" s="20">
        <f t="shared" si="154"/>
        <v>45.521666666666931</v>
      </c>
      <c r="M529" s="20">
        <f t="shared" si="154"/>
        <v>46.621666666666954</v>
      </c>
      <c r="N529" s="20">
        <f t="shared" si="154"/>
        <v>46.071666666666943</v>
      </c>
      <c r="O529" s="20">
        <f>P528+$AO$500</f>
        <v>502.52166666666693</v>
      </c>
      <c r="P529" s="20">
        <f t="shared" si="152"/>
        <v>503.62166666666695</v>
      </c>
      <c r="Q529" s="20">
        <f t="shared" si="166"/>
        <v>503.07166666666694</v>
      </c>
      <c r="R529" s="20">
        <f t="shared" si="155"/>
        <v>502.52166666666693</v>
      </c>
      <c r="S529" s="20">
        <f t="shared" si="150"/>
        <v>503.62166666666695</v>
      </c>
      <c r="T529" s="20">
        <f t="shared" si="151"/>
        <v>503.07166666666694</v>
      </c>
      <c r="U529" s="20">
        <v>503.07166666666694</v>
      </c>
      <c r="V529" s="22">
        <v>6.1501999999999999</v>
      </c>
      <c r="W529" s="22">
        <v>2.2280000000000002</v>
      </c>
      <c r="X529" s="23">
        <v>1.1476266666666668</v>
      </c>
      <c r="Y529" s="23">
        <f t="shared" si="159"/>
        <v>5.0025733333333333</v>
      </c>
      <c r="Z529" s="23">
        <f t="shared" si="160"/>
        <v>1.0803733333333334</v>
      </c>
      <c r="AA529" s="22">
        <f t="shared" si="161"/>
        <v>78.403648255697732</v>
      </c>
      <c r="AB529" s="22">
        <f t="shared" si="162"/>
        <v>21.596351744302268</v>
      </c>
      <c r="AC529" s="22">
        <f t="shared" si="163"/>
        <v>1.2246517269200308</v>
      </c>
      <c r="AD529" s="22">
        <f t="shared" si="164"/>
        <v>0.26448009458832189</v>
      </c>
      <c r="AE529" s="25">
        <v>4.6840999999999999</v>
      </c>
      <c r="AF529" s="25">
        <v>5.2171000000000003</v>
      </c>
      <c r="AG529" s="25">
        <v>4.8253000000000004</v>
      </c>
      <c r="AH529" s="25">
        <f>AG529-AE529</f>
        <v>0.14120000000000044</v>
      </c>
      <c r="AI529" s="25">
        <v>73.508442776735393</v>
      </c>
      <c r="AJ529" s="26">
        <v>3.6754221388367698</v>
      </c>
      <c r="AK529" s="25">
        <v>36.754221388367696</v>
      </c>
      <c r="AL529" s="26">
        <v>3.6765238879478881</v>
      </c>
      <c r="AM529" s="17">
        <f t="shared" si="165"/>
        <v>0.5780346820809249</v>
      </c>
      <c r="AN529" s="17"/>
      <c r="AO529" s="27"/>
      <c r="AP529" s="17"/>
      <c r="AQ529" s="17"/>
      <c r="AR529" s="17"/>
      <c r="AS529" s="17"/>
      <c r="AT529" s="17"/>
      <c r="AU529" s="17"/>
      <c r="AV529" s="17"/>
      <c r="AW529" s="17"/>
      <c r="AX529" s="17"/>
      <c r="BB529" s="17"/>
    </row>
    <row r="530" spans="1:54" x14ac:dyDescent="0.2">
      <c r="A530" s="17" t="s">
        <v>41</v>
      </c>
      <c r="B530" s="18" t="s">
        <v>42</v>
      </c>
      <c r="C530" s="18" t="str">
        <f t="shared" si="157"/>
        <v>BI10.13</v>
      </c>
      <c r="D530" s="18" t="str">
        <f t="shared" si="158"/>
        <v>BI10.13_529</v>
      </c>
      <c r="E530" s="17">
        <v>13</v>
      </c>
      <c r="F530" s="19">
        <v>529</v>
      </c>
      <c r="G530" s="20">
        <v>1.7</v>
      </c>
      <c r="H530" s="20">
        <v>1.7</v>
      </c>
      <c r="I530" s="20">
        <v>1.2</v>
      </c>
      <c r="J530" s="20">
        <f t="shared" si="156"/>
        <v>2.7223799999999998</v>
      </c>
      <c r="K530" s="53">
        <v>0.23916666666666644</v>
      </c>
      <c r="L530" s="20">
        <f t="shared" si="154"/>
        <v>46.86083333333363</v>
      </c>
      <c r="M530" s="20">
        <f t="shared" si="154"/>
        <v>48.060833333333619</v>
      </c>
      <c r="N530" s="20">
        <f t="shared" si="154"/>
        <v>47.460833333333653</v>
      </c>
      <c r="O530" s="20">
        <f>P529+$AO$500</f>
        <v>503.86083333333363</v>
      </c>
      <c r="P530" s="20">
        <f t="shared" si="152"/>
        <v>505.06083333333362</v>
      </c>
      <c r="Q530" s="20">
        <f t="shared" si="166"/>
        <v>504.46083333333365</v>
      </c>
      <c r="R530" s="20">
        <f t="shared" si="155"/>
        <v>503.86083333333363</v>
      </c>
      <c r="S530" s="20">
        <f t="shared" si="150"/>
        <v>505.06083333333362</v>
      </c>
      <c r="T530" s="20">
        <f t="shared" si="151"/>
        <v>504.46083333333365</v>
      </c>
      <c r="U530" s="20">
        <v>504.46083333333365</v>
      </c>
      <c r="V530" s="22">
        <v>3.5520999999999998</v>
      </c>
      <c r="W530" s="22">
        <v>1.5865</v>
      </c>
      <c r="X530" s="23">
        <v>1.1476266666666668</v>
      </c>
      <c r="Y530" s="23">
        <f t="shared" si="159"/>
        <v>2.4044733333333328</v>
      </c>
      <c r="Z530" s="23">
        <f t="shared" si="160"/>
        <v>0.43887333333333323</v>
      </c>
      <c r="AA530" s="22">
        <f t="shared" si="161"/>
        <v>81.747631497957968</v>
      </c>
      <c r="AB530" s="22">
        <f t="shared" si="162"/>
        <v>18.252368502042032</v>
      </c>
      <c r="AC530" s="22">
        <f t="shared" si="163"/>
        <v>0.8832247273831475</v>
      </c>
      <c r="AD530" s="22">
        <f t="shared" si="164"/>
        <v>0.16120943194312817</v>
      </c>
      <c r="AE530" s="25">
        <v>4.8958000000000004</v>
      </c>
      <c r="AF530" s="25">
        <v>5.2560000000000002</v>
      </c>
      <c r="AG530" s="25">
        <v>4.9924999999999997</v>
      </c>
      <c r="AH530" s="25">
        <f>AG530-AE530</f>
        <v>9.6699999999999342E-2</v>
      </c>
      <c r="AI530" s="25">
        <v>73.153803442532094</v>
      </c>
      <c r="AJ530" s="26">
        <v>3.6576901721266051</v>
      </c>
      <c r="AK530" s="25">
        <v>36.576901721266047</v>
      </c>
      <c r="AL530" s="26">
        <v>3.6587972607499797</v>
      </c>
      <c r="AM530" s="17">
        <f t="shared" si="165"/>
        <v>0.5780346820809249</v>
      </c>
      <c r="AN530" s="17"/>
      <c r="AO530" s="27"/>
      <c r="AP530" s="17"/>
      <c r="AQ530" s="17"/>
      <c r="AR530" s="17"/>
      <c r="AS530" s="17"/>
      <c r="AT530" s="17"/>
      <c r="AU530" s="17"/>
      <c r="AV530" s="17"/>
      <c r="AW530" s="17"/>
      <c r="AX530" s="17"/>
      <c r="BB530" s="17"/>
    </row>
    <row r="531" spans="1:54" x14ac:dyDescent="0.2">
      <c r="A531" s="17" t="s">
        <v>41</v>
      </c>
      <c r="B531" s="18" t="s">
        <v>42</v>
      </c>
      <c r="C531" s="18" t="str">
        <f t="shared" si="157"/>
        <v>BI10.13</v>
      </c>
      <c r="D531" s="18" t="str">
        <f t="shared" si="158"/>
        <v>BI10.13_530</v>
      </c>
      <c r="E531" s="17">
        <v>13</v>
      </c>
      <c r="F531" s="19">
        <v>530</v>
      </c>
      <c r="G531" s="20">
        <v>2.1</v>
      </c>
      <c r="H531" s="20">
        <v>1.75</v>
      </c>
      <c r="I531" s="20">
        <v>1.7</v>
      </c>
      <c r="J531" s="20">
        <f t="shared" si="156"/>
        <v>4.9451565625000002</v>
      </c>
      <c r="K531" s="53">
        <v>0.23916666666666644</v>
      </c>
      <c r="L531" s="20">
        <f t="shared" si="154"/>
        <v>48.300000000000296</v>
      </c>
      <c r="M531" s="20">
        <f t="shared" si="154"/>
        <v>50.000000000000284</v>
      </c>
      <c r="N531" s="20">
        <f t="shared" si="154"/>
        <v>49.150000000000318</v>
      </c>
      <c r="O531" s="20">
        <f>P530+$AO$500</f>
        <v>505.3000000000003</v>
      </c>
      <c r="P531" s="20">
        <f t="shared" si="152"/>
        <v>507.00000000000028</v>
      </c>
      <c r="Q531" s="20">
        <f t="shared" si="166"/>
        <v>506.15000000000032</v>
      </c>
      <c r="R531" s="20">
        <f t="shared" si="155"/>
        <v>505.3000000000003</v>
      </c>
      <c r="S531" s="20">
        <f t="shared" si="150"/>
        <v>507.00000000000028</v>
      </c>
      <c r="T531" s="20">
        <f t="shared" si="151"/>
        <v>506.15000000000032</v>
      </c>
      <c r="U531" s="20">
        <v>506.15000000000032</v>
      </c>
      <c r="V531" s="22">
        <v>7.0183</v>
      </c>
      <c r="W531" s="22">
        <v>2.2090000000000001</v>
      </c>
      <c r="X531" s="23">
        <v>1.1476266666666668</v>
      </c>
      <c r="Y531" s="23">
        <f t="shared" si="159"/>
        <v>5.8706733333333334</v>
      </c>
      <c r="Z531" s="23">
        <f t="shared" si="160"/>
        <v>1.0613733333333333</v>
      </c>
      <c r="AA531" s="22">
        <f t="shared" si="161"/>
        <v>81.920756392509205</v>
      </c>
      <c r="AB531" s="22">
        <f t="shared" si="162"/>
        <v>18.079243607490795</v>
      </c>
      <c r="AC531" s="22">
        <f t="shared" si="163"/>
        <v>1.1871562121716612</v>
      </c>
      <c r="AD531" s="22">
        <f t="shared" si="164"/>
        <v>0.21462886359997491</v>
      </c>
      <c r="AE531" s="25">
        <v>4.9706000000000001</v>
      </c>
      <c r="AF531" s="25">
        <v>5.4817999999999998</v>
      </c>
      <c r="AG531" s="25">
        <v>5.1115000000000004</v>
      </c>
      <c r="AH531" s="25">
        <f>AG531-AE531</f>
        <v>0.14090000000000025</v>
      </c>
      <c r="AI531" s="25">
        <v>72.437402190923251</v>
      </c>
      <c r="AJ531" s="26">
        <v>3.6218701095461627</v>
      </c>
      <c r="AK531" s="25">
        <v>36.218701095461626</v>
      </c>
      <c r="AL531" s="26">
        <v>3.6229881438425844</v>
      </c>
      <c r="AM531" s="17">
        <f t="shared" si="165"/>
        <v>0.5780346820809249</v>
      </c>
      <c r="AN531" s="17"/>
      <c r="AO531" s="27"/>
      <c r="AP531" s="17"/>
      <c r="AQ531" s="17"/>
      <c r="AR531" s="17"/>
      <c r="AS531" s="17"/>
      <c r="AT531" s="17"/>
      <c r="AU531" s="17"/>
      <c r="AV531" s="17"/>
      <c r="AW531" s="17"/>
      <c r="AX531" s="17"/>
      <c r="BB531" s="17"/>
    </row>
    <row r="532" spans="1:54" x14ac:dyDescent="0.2">
      <c r="A532" s="17" t="s">
        <v>77</v>
      </c>
      <c r="B532" s="17" t="s">
        <v>78</v>
      </c>
      <c r="C532" s="17" t="str">
        <f>"HER42PB1"&amp;E532</f>
        <v>HER42PB1A</v>
      </c>
      <c r="D532" s="17" t="str">
        <f>C532&amp;"_"&amp;F532</f>
        <v>HER42PB1A_1</v>
      </c>
      <c r="E532" s="27" t="s">
        <v>79</v>
      </c>
      <c r="F532" s="17">
        <v>1</v>
      </c>
      <c r="G532" s="20">
        <v>2.1</v>
      </c>
      <c r="H532" s="20">
        <v>1.5</v>
      </c>
      <c r="I532" s="20">
        <v>1</v>
      </c>
      <c r="J532" s="22">
        <f t="shared" ref="J532:J595" si="167">(AVERAGE(G532:H532)*(AVERAGE(G532:H532)*3.14/4*I532))</f>
        <v>2.5434000000000001</v>
      </c>
      <c r="K532" s="53">
        <v>0.20777777777777809</v>
      </c>
      <c r="L532" s="39">
        <v>0</v>
      </c>
      <c r="M532" s="45">
        <f>L532+I532</f>
        <v>1</v>
      </c>
      <c r="N532" s="46">
        <f>L532+((M532-L532)/2)</f>
        <v>0.5</v>
      </c>
      <c r="O532" s="39">
        <v>0</v>
      </c>
      <c r="P532" s="45">
        <f>O532+I532</f>
        <v>1</v>
      </c>
      <c r="Q532" s="46">
        <f>O532+((P532-O532)/2)</f>
        <v>0.5</v>
      </c>
      <c r="R532" s="20">
        <f>O532</f>
        <v>0</v>
      </c>
      <c r="S532" s="20">
        <f>Q532</f>
        <v>0.5</v>
      </c>
      <c r="T532" s="20">
        <f>Q532</f>
        <v>0.5</v>
      </c>
      <c r="U532" s="20">
        <f>T532</f>
        <v>0.5</v>
      </c>
      <c r="V532" s="22">
        <v>4.1760999999999999</v>
      </c>
      <c r="W532" s="22">
        <v>1.8574999999999999</v>
      </c>
      <c r="X532" s="23">
        <v>1.1476266666666668</v>
      </c>
      <c r="Y532" s="23">
        <f>V532-X532</f>
        <v>3.0284733333333334</v>
      </c>
      <c r="Z532" s="23">
        <f>W532-X532</f>
        <v>0.70987333333333313</v>
      </c>
      <c r="AA532" s="22">
        <f>((Y532-Z532)/Y532)*100</f>
        <v>76.560026944268941</v>
      </c>
      <c r="AB532" s="22">
        <f>100-AA532</f>
        <v>23.439973055731059</v>
      </c>
      <c r="AC532" s="22">
        <f>(V532-X532)/J532</f>
        <v>1.1907184608529264</v>
      </c>
      <c r="AD532" s="22">
        <f>(W532-X532)/J532</f>
        <v>0.27910408639354134</v>
      </c>
      <c r="AE532" s="27">
        <v>16.903400000000001</v>
      </c>
      <c r="AF532" s="27">
        <v>17.306699999999999</v>
      </c>
      <c r="AG532" s="27">
        <v>17.1523</v>
      </c>
      <c r="AH532" s="26">
        <v>0.24890000000000001</v>
      </c>
      <c r="AI532" s="26">
        <v>38.284155720000001</v>
      </c>
      <c r="AJ532" s="26">
        <f>AI532*0.05</f>
        <v>1.9142077860000002</v>
      </c>
      <c r="AK532" s="26">
        <f>AI532*AM532</f>
        <v>22.129569780346824</v>
      </c>
      <c r="AL532" s="26">
        <f>(AJ532^2+0.09^2)^0.5</f>
        <v>1.9163223757977212</v>
      </c>
      <c r="AM532" s="17">
        <f>1/1.73</f>
        <v>0.5780346820809249</v>
      </c>
      <c r="AN532" s="28" t="s">
        <v>43</v>
      </c>
      <c r="AO532" s="27">
        <v>50</v>
      </c>
      <c r="AS532" s="49"/>
      <c r="AT532" s="25"/>
      <c r="AU532" s="17"/>
      <c r="AV532" s="17"/>
      <c r="AW532" s="17"/>
      <c r="AX532" s="27"/>
      <c r="BB532" s="17"/>
    </row>
    <row r="533" spans="1:54" x14ac:dyDescent="0.2">
      <c r="A533" s="17" t="s">
        <v>77</v>
      </c>
      <c r="B533" s="17" t="s">
        <v>78</v>
      </c>
      <c r="C533" s="17" t="str">
        <f t="shared" ref="C533:C596" si="168">"HER42PB1"&amp;E533</f>
        <v>HER42PB1A</v>
      </c>
      <c r="D533" s="17" t="str">
        <f t="shared" ref="D533:D596" si="169">C533&amp;"_"&amp;F533</f>
        <v>HER42PB1A_2</v>
      </c>
      <c r="E533" s="27" t="s">
        <v>79</v>
      </c>
      <c r="F533" s="17">
        <v>2</v>
      </c>
      <c r="G533" s="20">
        <v>2.2000000000000002</v>
      </c>
      <c r="H533" s="20">
        <v>2.5</v>
      </c>
      <c r="I533" s="20">
        <v>1.1000000000000001</v>
      </c>
      <c r="J533" s="22">
        <f t="shared" si="167"/>
        <v>4.7686787500000012</v>
      </c>
      <c r="K533" s="53">
        <v>0.20777777777777809</v>
      </c>
      <c r="L533" s="45">
        <f>M532+K533</f>
        <v>1.2077777777777781</v>
      </c>
      <c r="M533" s="45">
        <f>L533+I533</f>
        <v>2.3077777777777779</v>
      </c>
      <c r="N533" s="46">
        <f>L533+((M533-L533)/2)</f>
        <v>1.7577777777777781</v>
      </c>
      <c r="O533" s="20">
        <f>P532+K533</f>
        <v>1.2077777777777781</v>
      </c>
      <c r="P533" s="20">
        <f>O533+I533</f>
        <v>2.3077777777777779</v>
      </c>
      <c r="Q533" s="20">
        <f>O533+((P533-O533)/2)</f>
        <v>1.7577777777777781</v>
      </c>
      <c r="R533" s="20">
        <f t="shared" ref="R533:R596" si="170">O533</f>
        <v>1.2077777777777781</v>
      </c>
      <c r="S533" s="20">
        <f t="shared" ref="S533:S596" si="171">Q533</f>
        <v>1.7577777777777781</v>
      </c>
      <c r="T533" s="20">
        <f t="shared" ref="T533:T596" si="172">Q533</f>
        <v>1.7577777777777781</v>
      </c>
      <c r="U533" s="20">
        <f t="shared" ref="U533:U596" si="173">T533</f>
        <v>1.7577777777777781</v>
      </c>
      <c r="V533" s="22">
        <v>6.6901999999999999</v>
      </c>
      <c r="W533" s="22">
        <v>2.3847</v>
      </c>
      <c r="X533" s="23">
        <v>1.1476266666666668</v>
      </c>
      <c r="Y533" s="23">
        <f>V533-X533</f>
        <v>5.5425733333333334</v>
      </c>
      <c r="Z533" s="23">
        <f>W533-X533</f>
        <v>1.2370733333333332</v>
      </c>
      <c r="AA533" s="22">
        <f>((Y533-Z533)/Y533)*100</f>
        <v>77.680523848128317</v>
      </c>
      <c r="AB533" s="22">
        <f>100-AA533</f>
        <v>22.319476151871683</v>
      </c>
      <c r="AC533" s="22">
        <f t="shared" ref="AC533:AC596" si="174">(V533-X533)/J533</f>
        <v>1.162287003152253</v>
      </c>
      <c r="AD533" s="22">
        <f t="shared" ref="AD533:AD596" si="175">(W533-X533)/J533</f>
        <v>0.25941637048487132</v>
      </c>
      <c r="AE533" s="27">
        <v>10.2385</v>
      </c>
      <c r="AF533" s="27">
        <v>10.848100000000001</v>
      </c>
      <c r="AG533" s="27">
        <v>10.632899999999999</v>
      </c>
      <c r="AH533" s="26">
        <v>0.39439999999999997</v>
      </c>
      <c r="AI533" s="26">
        <v>35.30183727</v>
      </c>
      <c r="AJ533" s="26">
        <f t="shared" ref="AJ533:AJ596" si="176">AI533*0.05</f>
        <v>1.7650918635000001</v>
      </c>
      <c r="AK533" s="26">
        <f t="shared" ref="AK533:AK596" si="177">AI533*AM533</f>
        <v>20.405686283236996</v>
      </c>
      <c r="AL533" s="26">
        <f t="shared" ref="AL533:AL596" si="178">(AJ533^2+0.09^2)^0.5</f>
        <v>1.7673848722318246</v>
      </c>
      <c r="AM533" s="17">
        <f>1/1.73</f>
        <v>0.5780346820809249</v>
      </c>
      <c r="AN533" s="28" t="s">
        <v>44</v>
      </c>
      <c r="AO533" s="27" t="s">
        <v>45</v>
      </c>
      <c r="AS533" s="49"/>
      <c r="AT533" s="25"/>
      <c r="AU533" s="17"/>
      <c r="AV533" s="17"/>
      <c r="AW533" s="17"/>
      <c r="AX533" s="27"/>
      <c r="BB533" s="17"/>
    </row>
    <row r="534" spans="1:54" x14ac:dyDescent="0.2">
      <c r="A534" s="17" t="s">
        <v>77</v>
      </c>
      <c r="B534" s="17" t="s">
        <v>78</v>
      </c>
      <c r="C534" s="17" t="str">
        <f t="shared" si="168"/>
        <v>HER42PB1A</v>
      </c>
      <c r="D534" s="17" t="str">
        <f t="shared" si="169"/>
        <v>HER42PB1A_3</v>
      </c>
      <c r="E534" s="27" t="s">
        <v>79</v>
      </c>
      <c r="F534" s="17">
        <v>3</v>
      </c>
      <c r="G534" s="20">
        <v>2.4</v>
      </c>
      <c r="H534" s="20">
        <v>2.25</v>
      </c>
      <c r="I534" s="20">
        <v>1.2</v>
      </c>
      <c r="J534" s="22">
        <f t="shared" si="167"/>
        <v>5.0920987500000008</v>
      </c>
      <c r="K534" s="53">
        <v>0.20777777777777809</v>
      </c>
      <c r="L534" s="45">
        <f t="shared" ref="L534:L568" si="179">M533+K534</f>
        <v>2.5155555555555562</v>
      </c>
      <c r="M534" s="45">
        <f t="shared" ref="M534:M568" si="180">L534+I534</f>
        <v>3.7155555555555564</v>
      </c>
      <c r="N534" s="46">
        <f t="shared" ref="N534:N568" si="181">L534+((M534-L534)/2)</f>
        <v>3.1155555555555563</v>
      </c>
      <c r="O534" s="20">
        <f t="shared" ref="O534:O597" si="182">P533+K534</f>
        <v>2.5155555555555562</v>
      </c>
      <c r="P534" s="20">
        <f t="shared" ref="P534:P597" si="183">O534+I534</f>
        <v>3.7155555555555564</v>
      </c>
      <c r="Q534" s="20">
        <f t="shared" ref="Q534:Q568" si="184">O534+((P534-O534)/2)</f>
        <v>3.1155555555555563</v>
      </c>
      <c r="R534" s="20">
        <f t="shared" si="170"/>
        <v>2.5155555555555562</v>
      </c>
      <c r="S534" s="20">
        <f t="shared" si="171"/>
        <v>3.1155555555555563</v>
      </c>
      <c r="T534" s="20">
        <f t="shared" si="172"/>
        <v>3.1155555555555563</v>
      </c>
      <c r="U534" s="20">
        <f t="shared" si="173"/>
        <v>3.1155555555555563</v>
      </c>
      <c r="V534" s="22">
        <v>7.2317</v>
      </c>
      <c r="W534" s="22">
        <v>2.3961999999999999</v>
      </c>
      <c r="X534" s="23">
        <v>1.1476266666666668</v>
      </c>
      <c r="Y534" s="23">
        <f t="shared" ref="Y534:Y597" si="185">V534-X534</f>
        <v>6.0840733333333334</v>
      </c>
      <c r="Z534" s="23">
        <f t="shared" ref="Z534:Z597" si="186">W534-X534</f>
        <v>1.2485733333333331</v>
      </c>
      <c r="AA534" s="22">
        <f t="shared" ref="AA534:AA597" si="187">((Y534-Z534)/Y534)*100</f>
        <v>79.478003223717451</v>
      </c>
      <c r="AB534" s="22">
        <f t="shared" ref="AB534:AB597" si="188">100-AA534</f>
        <v>20.521996776282549</v>
      </c>
      <c r="AC534" s="22">
        <f t="shared" si="174"/>
        <v>1.1948066272935756</v>
      </c>
      <c r="AD534" s="22">
        <f t="shared" si="175"/>
        <v>0.24519817753599787</v>
      </c>
      <c r="AE534" s="27">
        <v>10.3505</v>
      </c>
      <c r="AF534" s="27">
        <v>10.793200000000001</v>
      </c>
      <c r="AG534" s="27">
        <v>10.6076</v>
      </c>
      <c r="AH534" s="26">
        <v>0.2571</v>
      </c>
      <c r="AI534" s="26">
        <v>41.924553869999997</v>
      </c>
      <c r="AJ534" s="26">
        <f t="shared" si="176"/>
        <v>2.0962276934999999</v>
      </c>
      <c r="AK534" s="26">
        <f t="shared" si="177"/>
        <v>24.233846167630059</v>
      </c>
      <c r="AL534" s="26">
        <f t="shared" si="178"/>
        <v>2.0981588459876743</v>
      </c>
      <c r="AM534" s="17">
        <f t="shared" ref="AM534:AM597" si="189">1/1.73</f>
        <v>0.5780346820809249</v>
      </c>
      <c r="AN534" s="28" t="s">
        <v>46</v>
      </c>
      <c r="AO534" s="29">
        <f>SUM(I532:I568)</f>
        <v>42.519999999999989</v>
      </c>
      <c r="AS534" s="49"/>
      <c r="AT534" s="25"/>
      <c r="AU534" s="17"/>
      <c r="AV534" s="17"/>
      <c r="AW534" s="17"/>
      <c r="AX534" s="27"/>
      <c r="BB534" s="17"/>
    </row>
    <row r="535" spans="1:54" x14ac:dyDescent="0.2">
      <c r="A535" s="17" t="s">
        <v>77</v>
      </c>
      <c r="B535" s="17" t="s">
        <v>78</v>
      </c>
      <c r="C535" s="17" t="str">
        <f t="shared" si="168"/>
        <v>HER42PB1A</v>
      </c>
      <c r="D535" s="17" t="str">
        <f t="shared" si="169"/>
        <v>HER42PB1A_4</v>
      </c>
      <c r="E535" s="27" t="s">
        <v>79</v>
      </c>
      <c r="F535" s="17">
        <v>4</v>
      </c>
      <c r="G535" s="20">
        <v>2.4500000000000002</v>
      </c>
      <c r="H535" s="20">
        <v>2.5499999999999998</v>
      </c>
      <c r="I535" s="20">
        <v>1.2</v>
      </c>
      <c r="J535" s="22">
        <f t="shared" si="167"/>
        <v>5.8875000000000002</v>
      </c>
      <c r="K535" s="53">
        <v>0.20777777777777809</v>
      </c>
      <c r="L535" s="45">
        <f t="shared" si="179"/>
        <v>3.9233333333333347</v>
      </c>
      <c r="M535" s="45">
        <f t="shared" si="180"/>
        <v>5.1233333333333348</v>
      </c>
      <c r="N535" s="46">
        <f t="shared" si="181"/>
        <v>4.5233333333333352</v>
      </c>
      <c r="O535" s="20">
        <f t="shared" si="182"/>
        <v>3.9233333333333347</v>
      </c>
      <c r="P535" s="20">
        <f t="shared" si="183"/>
        <v>5.1233333333333348</v>
      </c>
      <c r="Q535" s="20">
        <f t="shared" si="184"/>
        <v>4.5233333333333352</v>
      </c>
      <c r="R535" s="20">
        <f t="shared" si="170"/>
        <v>3.9233333333333347</v>
      </c>
      <c r="S535" s="20">
        <f t="shared" si="171"/>
        <v>4.5233333333333352</v>
      </c>
      <c r="T535" s="20">
        <f t="shared" si="172"/>
        <v>4.5233333333333352</v>
      </c>
      <c r="U535" s="20">
        <f t="shared" si="173"/>
        <v>4.5233333333333352</v>
      </c>
      <c r="V535" s="22">
        <v>7.6345000000000001</v>
      </c>
      <c r="W535" s="22">
        <v>2.6223000000000001</v>
      </c>
      <c r="X535" s="23">
        <v>1.1476266666666668</v>
      </c>
      <c r="Y535" s="23">
        <f t="shared" si="185"/>
        <v>6.4868733333333335</v>
      </c>
      <c r="Z535" s="23">
        <f t="shared" si="186"/>
        <v>1.4746733333333333</v>
      </c>
      <c r="AA535" s="22">
        <f t="shared" si="187"/>
        <v>77.266808560056148</v>
      </c>
      <c r="AB535" s="22">
        <f t="shared" si="188"/>
        <v>22.733191439943852</v>
      </c>
      <c r="AC535" s="22">
        <f t="shared" si="174"/>
        <v>1.1018043878273178</v>
      </c>
      <c r="AD535" s="22">
        <f t="shared" si="175"/>
        <v>0.25047530077848545</v>
      </c>
      <c r="AE535" s="27">
        <v>16.802499999999998</v>
      </c>
      <c r="AF535" s="27">
        <v>17.468800000000002</v>
      </c>
      <c r="AG535" s="27">
        <v>17.2195</v>
      </c>
      <c r="AH535" s="26">
        <v>0.41699999999999998</v>
      </c>
      <c r="AI535" s="26">
        <v>37.415578570000001</v>
      </c>
      <c r="AJ535" s="26">
        <f t="shared" si="176"/>
        <v>1.8707789285</v>
      </c>
      <c r="AK535" s="26">
        <f t="shared" si="177"/>
        <v>21.627502063583819</v>
      </c>
      <c r="AL535" s="26">
        <f t="shared" si="178"/>
        <v>1.872942550992851</v>
      </c>
      <c r="AM535" s="17">
        <f t="shared" si="189"/>
        <v>0.5780346820809249</v>
      </c>
      <c r="AN535" s="28" t="s">
        <v>47</v>
      </c>
      <c r="AO535" s="29">
        <f>AO532-AO534</f>
        <v>7.4800000000000111</v>
      </c>
      <c r="AS535" s="49"/>
      <c r="AT535" s="25"/>
      <c r="AU535" s="17"/>
      <c r="AV535" s="17"/>
      <c r="AW535" s="17"/>
      <c r="AX535" s="27"/>
      <c r="BB535" s="17"/>
    </row>
    <row r="536" spans="1:54" x14ac:dyDescent="0.2">
      <c r="A536" s="17" t="s">
        <v>77</v>
      </c>
      <c r="B536" s="17" t="s">
        <v>78</v>
      </c>
      <c r="C536" s="17" t="str">
        <f t="shared" si="168"/>
        <v>HER42PB1A</v>
      </c>
      <c r="D536" s="17" t="str">
        <f t="shared" si="169"/>
        <v>HER42PB1A_5</v>
      </c>
      <c r="E536" s="27" t="s">
        <v>79</v>
      </c>
      <c r="F536" s="17">
        <v>5</v>
      </c>
      <c r="G536" s="20">
        <v>2.65</v>
      </c>
      <c r="H536" s="20">
        <v>2.2999999999999998</v>
      </c>
      <c r="I536" s="20">
        <v>1.2</v>
      </c>
      <c r="J536" s="22">
        <f t="shared" si="167"/>
        <v>5.7703387499999987</v>
      </c>
      <c r="K536" s="53">
        <v>0.20777777777777809</v>
      </c>
      <c r="L536" s="45">
        <f t="shared" si="179"/>
        <v>5.3311111111111131</v>
      </c>
      <c r="M536" s="45">
        <f t="shared" si="180"/>
        <v>6.5311111111111133</v>
      </c>
      <c r="N536" s="46">
        <f t="shared" si="181"/>
        <v>5.9311111111111128</v>
      </c>
      <c r="O536" s="20">
        <f t="shared" si="182"/>
        <v>5.3311111111111131</v>
      </c>
      <c r="P536" s="20">
        <f t="shared" si="183"/>
        <v>6.5311111111111133</v>
      </c>
      <c r="Q536" s="20">
        <f t="shared" si="184"/>
        <v>5.9311111111111128</v>
      </c>
      <c r="R536" s="20">
        <f t="shared" si="170"/>
        <v>5.3311111111111131</v>
      </c>
      <c r="S536" s="20">
        <f t="shared" si="171"/>
        <v>5.9311111111111128</v>
      </c>
      <c r="T536" s="20">
        <f t="shared" si="172"/>
        <v>5.9311111111111128</v>
      </c>
      <c r="U536" s="20">
        <f t="shared" si="173"/>
        <v>5.9311111111111128</v>
      </c>
      <c r="V536" s="22">
        <v>8.4731000000000005</v>
      </c>
      <c r="W536" s="22">
        <v>3.2294999999999998</v>
      </c>
      <c r="X536" s="23">
        <v>1.1476266666666668</v>
      </c>
      <c r="Y536" s="23">
        <f t="shared" si="185"/>
        <v>7.3254733333333339</v>
      </c>
      <c r="Z536" s="23">
        <f t="shared" si="186"/>
        <v>2.0818733333333332</v>
      </c>
      <c r="AA536" s="22">
        <f t="shared" si="187"/>
        <v>71.580357492257619</v>
      </c>
      <c r="AB536" s="22">
        <f t="shared" si="188"/>
        <v>28.419642507742381</v>
      </c>
      <c r="AC536" s="22">
        <f t="shared" si="174"/>
        <v>1.2695049026945491</v>
      </c>
      <c r="AD536" s="22">
        <f t="shared" si="175"/>
        <v>0.36078875496405366</v>
      </c>
      <c r="AE536" s="27">
        <v>10.085800000000001</v>
      </c>
      <c r="AF536" s="27">
        <v>11.0457</v>
      </c>
      <c r="AG536" s="27">
        <v>10.825799999999999</v>
      </c>
      <c r="AH536" s="26">
        <v>0.74</v>
      </c>
      <c r="AI536" s="26">
        <v>22.908636319999999</v>
      </c>
      <c r="AJ536" s="26">
        <f t="shared" si="176"/>
        <v>1.1454318160000001</v>
      </c>
      <c r="AK536" s="26">
        <f t="shared" si="177"/>
        <v>13.24198631213873</v>
      </c>
      <c r="AL536" s="26">
        <f t="shared" si="178"/>
        <v>1.1489621599970377</v>
      </c>
      <c r="AM536" s="17">
        <f t="shared" si="189"/>
        <v>0.5780346820809249</v>
      </c>
      <c r="AN536" s="28" t="s">
        <v>48</v>
      </c>
      <c r="AO536" s="27">
        <v>36</v>
      </c>
      <c r="AS536" s="49"/>
      <c r="AT536" s="25"/>
      <c r="AU536" s="17"/>
      <c r="AV536" s="17"/>
      <c r="AW536" s="17"/>
      <c r="AX536" s="27"/>
      <c r="BB536" s="17"/>
    </row>
    <row r="537" spans="1:54" x14ac:dyDescent="0.2">
      <c r="A537" s="17" t="s">
        <v>77</v>
      </c>
      <c r="B537" s="17" t="s">
        <v>78</v>
      </c>
      <c r="C537" s="17" t="str">
        <f t="shared" si="168"/>
        <v>HER42PB1A</v>
      </c>
      <c r="D537" s="17" t="str">
        <f t="shared" si="169"/>
        <v>HER42PB1A_6</v>
      </c>
      <c r="E537" s="27" t="s">
        <v>79</v>
      </c>
      <c r="F537" s="17">
        <v>6</v>
      </c>
      <c r="G537" s="20">
        <v>2.1</v>
      </c>
      <c r="H537" s="20">
        <v>2.7</v>
      </c>
      <c r="I537" s="20">
        <v>1.2</v>
      </c>
      <c r="J537" s="22">
        <f t="shared" si="167"/>
        <v>5.4259200000000014</v>
      </c>
      <c r="K537" s="53">
        <v>0.20777777777777809</v>
      </c>
      <c r="L537" s="45">
        <f t="shared" si="179"/>
        <v>6.7388888888888916</v>
      </c>
      <c r="M537" s="45">
        <f t="shared" si="180"/>
        <v>7.9388888888888918</v>
      </c>
      <c r="N537" s="46">
        <f t="shared" si="181"/>
        <v>7.3388888888888921</v>
      </c>
      <c r="O537" s="20">
        <f t="shared" si="182"/>
        <v>6.7388888888888916</v>
      </c>
      <c r="P537" s="20">
        <f t="shared" si="183"/>
        <v>7.9388888888888918</v>
      </c>
      <c r="Q537" s="20">
        <f t="shared" si="184"/>
        <v>7.3388888888888921</v>
      </c>
      <c r="R537" s="20">
        <f t="shared" si="170"/>
        <v>6.7388888888888916</v>
      </c>
      <c r="S537" s="20">
        <f t="shared" si="171"/>
        <v>7.3388888888888921</v>
      </c>
      <c r="T537" s="20">
        <f t="shared" si="172"/>
        <v>7.3388888888888921</v>
      </c>
      <c r="U537" s="20">
        <f t="shared" si="173"/>
        <v>7.3388888888888921</v>
      </c>
      <c r="V537" s="22">
        <v>7.9726999999999997</v>
      </c>
      <c r="W537" s="22">
        <v>3.2161</v>
      </c>
      <c r="X537" s="23">
        <v>1.1476266666666668</v>
      </c>
      <c r="Y537" s="23">
        <f t="shared" si="185"/>
        <v>6.8250733333333331</v>
      </c>
      <c r="Z537" s="23">
        <f t="shared" si="186"/>
        <v>2.0684733333333334</v>
      </c>
      <c r="AA537" s="22">
        <f t="shared" si="187"/>
        <v>69.693024055419187</v>
      </c>
      <c r="AB537" s="22">
        <f t="shared" si="188"/>
        <v>30.306975944580813</v>
      </c>
      <c r="AC537" s="22">
        <f t="shared" si="174"/>
        <v>1.2578647184870642</v>
      </c>
      <c r="AD537" s="22">
        <f t="shared" si="175"/>
        <v>0.38122075764724378</v>
      </c>
      <c r="AE537" s="27">
        <v>16.037600000000001</v>
      </c>
      <c r="AF537" s="27">
        <v>17.36</v>
      </c>
      <c r="AG537" s="27">
        <v>16.981300000000001</v>
      </c>
      <c r="AH537" s="26">
        <v>0.94369999999999998</v>
      </c>
      <c r="AI537" s="26">
        <v>28.63732607</v>
      </c>
      <c r="AJ537" s="26">
        <f t="shared" si="176"/>
        <v>1.4318663035000001</v>
      </c>
      <c r="AK537" s="26">
        <f t="shared" si="177"/>
        <v>16.553367670520231</v>
      </c>
      <c r="AL537" s="26">
        <f t="shared" si="178"/>
        <v>1.4346919917176491</v>
      </c>
      <c r="AM537" s="17">
        <f t="shared" si="189"/>
        <v>0.5780346820809249</v>
      </c>
      <c r="AN537" s="28" t="s">
        <v>49</v>
      </c>
      <c r="AO537" s="30">
        <f>AO535/AO536</f>
        <v>0.20777777777777809</v>
      </c>
      <c r="AS537" s="49"/>
      <c r="AT537" s="25"/>
      <c r="AU537" s="17"/>
      <c r="AV537" s="17"/>
      <c r="AW537" s="17"/>
      <c r="AX537" s="27"/>
      <c r="BB537" s="17"/>
    </row>
    <row r="538" spans="1:54" x14ac:dyDescent="0.2">
      <c r="A538" s="17" t="s">
        <v>77</v>
      </c>
      <c r="B538" s="17" t="s">
        <v>78</v>
      </c>
      <c r="C538" s="17" t="str">
        <f t="shared" si="168"/>
        <v>HER42PB1A</v>
      </c>
      <c r="D538" s="17" t="str">
        <f t="shared" si="169"/>
        <v>HER42PB1A_7</v>
      </c>
      <c r="E538" s="27" t="s">
        <v>79</v>
      </c>
      <c r="F538" s="17">
        <v>7</v>
      </c>
      <c r="G538" s="20">
        <v>2.2000000000000002</v>
      </c>
      <c r="H538" s="20">
        <v>2.6</v>
      </c>
      <c r="I538" s="20">
        <v>1.1499999999999999</v>
      </c>
      <c r="J538" s="22">
        <f t="shared" si="167"/>
        <v>5.1998400000000018</v>
      </c>
      <c r="K538" s="53">
        <v>0.20777777777777809</v>
      </c>
      <c r="L538" s="45">
        <f t="shared" si="179"/>
        <v>8.1466666666666701</v>
      </c>
      <c r="M538" s="45">
        <f t="shared" si="180"/>
        <v>9.2966666666666704</v>
      </c>
      <c r="N538" s="46">
        <f t="shared" si="181"/>
        <v>8.7216666666666711</v>
      </c>
      <c r="O538" s="20">
        <f t="shared" si="182"/>
        <v>8.1466666666666701</v>
      </c>
      <c r="P538" s="20">
        <f t="shared" si="183"/>
        <v>9.2966666666666704</v>
      </c>
      <c r="Q538" s="20">
        <f t="shared" si="184"/>
        <v>8.7216666666666711</v>
      </c>
      <c r="R538" s="20">
        <f t="shared" si="170"/>
        <v>8.1466666666666701</v>
      </c>
      <c r="S538" s="20">
        <f t="shared" si="171"/>
        <v>8.7216666666666711</v>
      </c>
      <c r="T538" s="20">
        <f t="shared" si="172"/>
        <v>8.7216666666666711</v>
      </c>
      <c r="U538" s="20">
        <f t="shared" si="173"/>
        <v>8.7216666666666711</v>
      </c>
      <c r="V538" s="22">
        <v>8.6255000000000006</v>
      </c>
      <c r="W538" s="22">
        <v>6.4112999999999998</v>
      </c>
      <c r="X538" s="23">
        <v>1.1476266666666668</v>
      </c>
      <c r="Y538" s="23">
        <f t="shared" si="185"/>
        <v>7.477873333333334</v>
      </c>
      <c r="Z538" s="23">
        <f t="shared" si="186"/>
        <v>5.2636733333333332</v>
      </c>
      <c r="AA538" s="22">
        <f t="shared" si="187"/>
        <v>29.610022813972964</v>
      </c>
      <c r="AB538" s="22">
        <f t="shared" si="188"/>
        <v>70.389977186027039</v>
      </c>
      <c r="AC538" s="22">
        <f t="shared" si="174"/>
        <v>1.4380968132352787</v>
      </c>
      <c r="AD538" s="22">
        <f t="shared" si="175"/>
        <v>1.0122760187492945</v>
      </c>
      <c r="AE538" s="27">
        <v>16.203600000000002</v>
      </c>
      <c r="AF538" s="27">
        <v>17.5077</v>
      </c>
      <c r="AG538" s="27">
        <v>17.207100000000001</v>
      </c>
      <c r="AH538" s="26">
        <v>1.0035000000000001</v>
      </c>
      <c r="AI538" s="26">
        <v>23.05037957</v>
      </c>
      <c r="AJ538" s="26">
        <f t="shared" si="176"/>
        <v>1.1525189785000001</v>
      </c>
      <c r="AK538" s="26">
        <f t="shared" si="177"/>
        <v>13.323918826589596</v>
      </c>
      <c r="AL538" s="26">
        <f t="shared" si="178"/>
        <v>1.1560276795140692</v>
      </c>
      <c r="AM538" s="17">
        <f t="shared" si="189"/>
        <v>0.5780346820809249</v>
      </c>
      <c r="AN538" s="17"/>
      <c r="AO538" s="27"/>
      <c r="AS538" s="49"/>
      <c r="AT538" s="25"/>
      <c r="AU538" s="17"/>
      <c r="AV538" s="17"/>
      <c r="AW538" s="17"/>
      <c r="AX538" s="27"/>
      <c r="BB538" s="17"/>
    </row>
    <row r="539" spans="1:54" x14ac:dyDescent="0.2">
      <c r="A539" s="17" t="s">
        <v>77</v>
      </c>
      <c r="B539" s="17" t="s">
        <v>78</v>
      </c>
      <c r="C539" s="17" t="str">
        <f t="shared" si="168"/>
        <v>HER42PB1A</v>
      </c>
      <c r="D539" s="17" t="str">
        <f t="shared" si="169"/>
        <v>HER42PB1A_8</v>
      </c>
      <c r="E539" s="27" t="s">
        <v>79</v>
      </c>
      <c r="F539" s="17">
        <v>8</v>
      </c>
      <c r="G539" s="20">
        <v>2.8</v>
      </c>
      <c r="H539" s="20">
        <v>2.1</v>
      </c>
      <c r="I539" s="20">
        <v>1.2</v>
      </c>
      <c r="J539" s="22">
        <f t="shared" si="167"/>
        <v>5.6543550000000007</v>
      </c>
      <c r="K539" s="53">
        <v>0.20777777777777809</v>
      </c>
      <c r="L539" s="45">
        <f t="shared" si="179"/>
        <v>9.5044444444444487</v>
      </c>
      <c r="M539" s="45">
        <f t="shared" si="180"/>
        <v>10.704444444444448</v>
      </c>
      <c r="N539" s="46">
        <f t="shared" si="181"/>
        <v>10.104444444444448</v>
      </c>
      <c r="O539" s="20">
        <f t="shared" si="182"/>
        <v>9.5044444444444487</v>
      </c>
      <c r="P539" s="20">
        <f t="shared" si="183"/>
        <v>10.704444444444448</v>
      </c>
      <c r="Q539" s="20">
        <f t="shared" si="184"/>
        <v>10.104444444444448</v>
      </c>
      <c r="R539" s="20">
        <f t="shared" si="170"/>
        <v>9.5044444444444487</v>
      </c>
      <c r="S539" s="20">
        <f t="shared" si="171"/>
        <v>10.104444444444448</v>
      </c>
      <c r="T539" s="20">
        <f t="shared" si="172"/>
        <v>10.104444444444448</v>
      </c>
      <c r="U539" s="20">
        <f t="shared" si="173"/>
        <v>10.104444444444448</v>
      </c>
      <c r="V539" s="22">
        <v>7.7588999999999997</v>
      </c>
      <c r="W539" s="22">
        <v>3.2227999999999999</v>
      </c>
      <c r="X539" s="23">
        <v>1.1476266666666668</v>
      </c>
      <c r="Y539" s="23">
        <f t="shared" si="185"/>
        <v>6.6112733333333331</v>
      </c>
      <c r="Z539" s="23">
        <f t="shared" si="186"/>
        <v>2.0751733333333329</v>
      </c>
      <c r="AA539" s="22">
        <f t="shared" si="187"/>
        <v>68.611593732321879</v>
      </c>
      <c r="AB539" s="22">
        <f t="shared" si="188"/>
        <v>31.388406267678121</v>
      </c>
      <c r="AC539" s="22">
        <f t="shared" si="174"/>
        <v>1.1692356304712619</v>
      </c>
      <c r="AD539" s="22">
        <f t="shared" si="175"/>
        <v>0.36700442991876753</v>
      </c>
      <c r="AE539" s="27">
        <v>16.619199999999999</v>
      </c>
      <c r="AF539" s="27">
        <v>17.820399999999999</v>
      </c>
      <c r="AG539" s="27">
        <v>17.447600000000001</v>
      </c>
      <c r="AH539" s="26">
        <v>0.82840000000000003</v>
      </c>
      <c r="AI539" s="26">
        <v>31.035631039999998</v>
      </c>
      <c r="AJ539" s="26">
        <f t="shared" si="176"/>
        <v>1.551781552</v>
      </c>
      <c r="AK539" s="26">
        <f t="shared" si="177"/>
        <v>17.939671121387285</v>
      </c>
      <c r="AL539" s="26">
        <f t="shared" si="178"/>
        <v>1.5543892643503201</v>
      </c>
      <c r="AM539" s="17">
        <f t="shared" si="189"/>
        <v>0.5780346820809249</v>
      </c>
      <c r="AN539" s="17"/>
      <c r="AO539" s="27"/>
      <c r="AS539" s="49"/>
      <c r="AT539" s="25"/>
      <c r="AU539" s="17"/>
      <c r="AV539" s="17"/>
      <c r="AW539" s="17"/>
      <c r="AX539" s="27"/>
      <c r="BB539" s="17"/>
    </row>
    <row r="540" spans="1:54" x14ac:dyDescent="0.2">
      <c r="A540" s="17" t="s">
        <v>77</v>
      </c>
      <c r="B540" s="17" t="s">
        <v>78</v>
      </c>
      <c r="C540" s="17" t="str">
        <f t="shared" si="168"/>
        <v>HER42PB1A</v>
      </c>
      <c r="D540" s="17" t="str">
        <f t="shared" si="169"/>
        <v>HER42PB1A_9</v>
      </c>
      <c r="E540" s="27" t="s">
        <v>79</v>
      </c>
      <c r="F540" s="17">
        <v>9</v>
      </c>
      <c r="G540" s="20">
        <v>2.75</v>
      </c>
      <c r="H540" s="20">
        <v>2.2000000000000002</v>
      </c>
      <c r="I540" s="20">
        <v>1.2</v>
      </c>
      <c r="J540" s="22">
        <f t="shared" si="167"/>
        <v>5.7703387500000005</v>
      </c>
      <c r="K540" s="53">
        <v>0.20777777777777809</v>
      </c>
      <c r="L540" s="45">
        <f t="shared" si="179"/>
        <v>10.912222222222226</v>
      </c>
      <c r="M540" s="45">
        <f t="shared" si="180"/>
        <v>12.112222222222226</v>
      </c>
      <c r="N540" s="46">
        <f t="shared" si="181"/>
        <v>11.512222222222226</v>
      </c>
      <c r="O540" s="20">
        <f t="shared" si="182"/>
        <v>10.912222222222226</v>
      </c>
      <c r="P540" s="20">
        <f t="shared" si="183"/>
        <v>12.112222222222226</v>
      </c>
      <c r="Q540" s="20">
        <f t="shared" si="184"/>
        <v>11.512222222222226</v>
      </c>
      <c r="R540" s="20">
        <f t="shared" si="170"/>
        <v>10.912222222222226</v>
      </c>
      <c r="S540" s="20">
        <f t="shared" si="171"/>
        <v>11.512222222222226</v>
      </c>
      <c r="T540" s="20">
        <f t="shared" si="172"/>
        <v>11.512222222222226</v>
      </c>
      <c r="U540" s="20">
        <f t="shared" si="173"/>
        <v>11.512222222222226</v>
      </c>
      <c r="V540" s="22">
        <v>8.0984999999999996</v>
      </c>
      <c r="W540" s="22">
        <v>2.8334000000000001</v>
      </c>
      <c r="X540" s="23">
        <v>1.1476266666666668</v>
      </c>
      <c r="Y540" s="23">
        <f t="shared" si="185"/>
        <v>6.950873333333333</v>
      </c>
      <c r="Z540" s="23">
        <f t="shared" si="186"/>
        <v>1.6857733333333333</v>
      </c>
      <c r="AA540" s="22">
        <f t="shared" si="187"/>
        <v>75.74731616458746</v>
      </c>
      <c r="AB540" s="22">
        <f t="shared" si="188"/>
        <v>24.25268383541254</v>
      </c>
      <c r="AC540" s="22">
        <f t="shared" si="174"/>
        <v>1.204586703568024</v>
      </c>
      <c r="AD540" s="22">
        <f t="shared" si="175"/>
        <v>0.29214460473977083</v>
      </c>
      <c r="AE540" s="27">
        <v>17.079699999999999</v>
      </c>
      <c r="AF540" s="27">
        <v>18.058399999999999</v>
      </c>
      <c r="AG540" s="27">
        <v>17.7407</v>
      </c>
      <c r="AH540" s="26">
        <v>0.66100000000000003</v>
      </c>
      <c r="AI540" s="26">
        <v>32.461428429999998</v>
      </c>
      <c r="AJ540" s="26">
        <f t="shared" si="176"/>
        <v>1.6230714214999999</v>
      </c>
      <c r="AK540" s="26">
        <f t="shared" si="177"/>
        <v>18.763831462427746</v>
      </c>
      <c r="AL540" s="26">
        <f t="shared" si="178"/>
        <v>1.6255647754826723</v>
      </c>
      <c r="AM540" s="17">
        <f t="shared" si="189"/>
        <v>0.5780346820809249</v>
      </c>
      <c r="AN540" s="27" t="s">
        <v>50</v>
      </c>
      <c r="AO540" s="27">
        <v>68.857600000000005</v>
      </c>
      <c r="AS540" s="49"/>
      <c r="AT540" s="25"/>
      <c r="AU540" s="17"/>
      <c r="AV540" s="17"/>
      <c r="AW540" s="17"/>
      <c r="AX540" s="27"/>
      <c r="BB540" s="17"/>
    </row>
    <row r="541" spans="1:54" x14ac:dyDescent="0.2">
      <c r="A541" s="17" t="s">
        <v>77</v>
      </c>
      <c r="B541" s="17" t="s">
        <v>78</v>
      </c>
      <c r="C541" s="17" t="str">
        <f t="shared" si="168"/>
        <v>HER42PB1A</v>
      </c>
      <c r="D541" s="17" t="str">
        <f t="shared" si="169"/>
        <v>HER42PB1A_10</v>
      </c>
      <c r="E541" s="27" t="s">
        <v>79</v>
      </c>
      <c r="F541" s="17">
        <v>10</v>
      </c>
      <c r="G541" s="20">
        <v>2.7</v>
      </c>
      <c r="H541" s="20">
        <v>2.2999999999999998</v>
      </c>
      <c r="I541" s="20">
        <v>1.1000000000000001</v>
      </c>
      <c r="J541" s="22">
        <f t="shared" si="167"/>
        <v>5.3968750000000014</v>
      </c>
      <c r="K541" s="53">
        <v>0.20777777777777809</v>
      </c>
      <c r="L541" s="45">
        <f t="shared" si="179"/>
        <v>12.320000000000004</v>
      </c>
      <c r="M541" s="45">
        <f t="shared" si="180"/>
        <v>13.420000000000003</v>
      </c>
      <c r="N541" s="46">
        <f t="shared" si="181"/>
        <v>12.870000000000005</v>
      </c>
      <c r="O541" s="20">
        <f t="shared" si="182"/>
        <v>12.320000000000004</v>
      </c>
      <c r="P541" s="20">
        <f t="shared" si="183"/>
        <v>13.420000000000003</v>
      </c>
      <c r="Q541" s="20">
        <f t="shared" si="184"/>
        <v>12.870000000000005</v>
      </c>
      <c r="R541" s="20">
        <f t="shared" si="170"/>
        <v>12.320000000000004</v>
      </c>
      <c r="S541" s="20">
        <f t="shared" si="171"/>
        <v>12.870000000000005</v>
      </c>
      <c r="T541" s="20">
        <f t="shared" si="172"/>
        <v>12.870000000000005</v>
      </c>
      <c r="U541" s="20">
        <f t="shared" si="173"/>
        <v>12.870000000000005</v>
      </c>
      <c r="V541" s="22">
        <v>8.2045999999999992</v>
      </c>
      <c r="W541" s="22">
        <v>3.1004</v>
      </c>
      <c r="X541" s="23">
        <v>1.1476266666666668</v>
      </c>
      <c r="Y541" s="23">
        <f t="shared" si="185"/>
        <v>7.0569733333333327</v>
      </c>
      <c r="Z541" s="23">
        <f t="shared" si="186"/>
        <v>1.9527733333333332</v>
      </c>
      <c r="AA541" s="22">
        <f t="shared" si="187"/>
        <v>72.328458092515575</v>
      </c>
      <c r="AB541" s="22">
        <f t="shared" si="188"/>
        <v>27.671541907484425</v>
      </c>
      <c r="AC541" s="22">
        <f t="shared" si="174"/>
        <v>1.3076036286431185</v>
      </c>
      <c r="AD541" s="22">
        <f t="shared" si="175"/>
        <v>0.36183408608376749</v>
      </c>
      <c r="AE541" s="27">
        <v>14.6198</v>
      </c>
      <c r="AF541" s="27">
        <v>15.1905</v>
      </c>
      <c r="AG541" s="27">
        <v>14.9734</v>
      </c>
      <c r="AH541" s="26">
        <v>0.35360000000000003</v>
      </c>
      <c r="AI541" s="26">
        <v>38.041002280000001</v>
      </c>
      <c r="AJ541" s="26">
        <f t="shared" si="176"/>
        <v>1.9020501140000001</v>
      </c>
      <c r="AK541" s="26">
        <f t="shared" si="177"/>
        <v>21.989018658959541</v>
      </c>
      <c r="AL541" s="26">
        <f t="shared" si="178"/>
        <v>1.9041782049397094</v>
      </c>
      <c r="AM541" s="17">
        <f t="shared" si="189"/>
        <v>0.5780346820809249</v>
      </c>
      <c r="AN541" s="27" t="s">
        <v>51</v>
      </c>
      <c r="AO541" s="27">
        <f>AO540/60</f>
        <v>1.1476266666666668</v>
      </c>
      <c r="AS541" s="49"/>
      <c r="AT541" s="25"/>
      <c r="AU541" s="17"/>
      <c r="AV541" s="17"/>
      <c r="AW541" s="17"/>
      <c r="AX541" s="27"/>
      <c r="BB541" s="17"/>
    </row>
    <row r="542" spans="1:54" x14ac:dyDescent="0.2">
      <c r="A542" s="17" t="s">
        <v>77</v>
      </c>
      <c r="B542" s="17" t="s">
        <v>78</v>
      </c>
      <c r="C542" s="17" t="str">
        <f t="shared" si="168"/>
        <v>HER42PB1A</v>
      </c>
      <c r="D542" s="17" t="str">
        <f t="shared" si="169"/>
        <v>HER42PB1A_11</v>
      </c>
      <c r="E542" s="27" t="s">
        <v>79</v>
      </c>
      <c r="F542" s="17">
        <v>11</v>
      </c>
      <c r="G542" s="20">
        <v>2.7</v>
      </c>
      <c r="H542" s="20">
        <v>2.2000000000000002</v>
      </c>
      <c r="I542" s="20">
        <v>1.1000000000000001</v>
      </c>
      <c r="J542" s="22">
        <f t="shared" si="167"/>
        <v>5.1831587500000005</v>
      </c>
      <c r="K542" s="53">
        <v>0.20777777777777809</v>
      </c>
      <c r="L542" s="45">
        <f t="shared" si="179"/>
        <v>13.627777777777782</v>
      </c>
      <c r="M542" s="45">
        <f t="shared" si="180"/>
        <v>14.727777777777781</v>
      </c>
      <c r="N542" s="46">
        <f t="shared" si="181"/>
        <v>14.177777777777781</v>
      </c>
      <c r="O542" s="20">
        <f t="shared" si="182"/>
        <v>13.627777777777782</v>
      </c>
      <c r="P542" s="20">
        <f t="shared" si="183"/>
        <v>14.727777777777781</v>
      </c>
      <c r="Q542" s="20">
        <f t="shared" si="184"/>
        <v>14.177777777777781</v>
      </c>
      <c r="R542" s="20">
        <f t="shared" si="170"/>
        <v>13.627777777777782</v>
      </c>
      <c r="S542" s="20">
        <f t="shared" si="171"/>
        <v>14.177777777777781</v>
      </c>
      <c r="T542" s="20">
        <f t="shared" si="172"/>
        <v>14.177777777777781</v>
      </c>
      <c r="U542" s="20">
        <f t="shared" si="173"/>
        <v>14.177777777777781</v>
      </c>
      <c r="V542" s="22">
        <v>7.7239000000000004</v>
      </c>
      <c r="W542" s="22">
        <v>3.2141000000000002</v>
      </c>
      <c r="X542" s="23">
        <v>1.1476266666666668</v>
      </c>
      <c r="Y542" s="23">
        <f t="shared" si="185"/>
        <v>6.5762733333333339</v>
      </c>
      <c r="Z542" s="23">
        <f t="shared" si="186"/>
        <v>2.0664733333333336</v>
      </c>
      <c r="AA542" s="22">
        <f t="shared" si="187"/>
        <v>68.576833282477097</v>
      </c>
      <c r="AB542" s="22">
        <f t="shared" si="188"/>
        <v>31.423166717522903</v>
      </c>
      <c r="AC542" s="22">
        <f t="shared" si="174"/>
        <v>1.268777139680187</v>
      </c>
      <c r="AD542" s="22">
        <f t="shared" si="175"/>
        <v>0.39868995587552347</v>
      </c>
      <c r="AE542" s="27">
        <v>15.2537</v>
      </c>
      <c r="AF542" s="27">
        <v>16.378299999999999</v>
      </c>
      <c r="AG542" s="27">
        <v>16.117699999999999</v>
      </c>
      <c r="AH542" s="26">
        <v>0.86399999999999999</v>
      </c>
      <c r="AI542" s="26">
        <v>23.172683620000001</v>
      </c>
      <c r="AJ542" s="26">
        <f t="shared" si="176"/>
        <v>1.158634181</v>
      </c>
      <c r="AK542" s="26">
        <f t="shared" si="177"/>
        <v>13.394614809248557</v>
      </c>
      <c r="AL542" s="26">
        <f t="shared" si="178"/>
        <v>1.1621244190625808</v>
      </c>
      <c r="AM542" s="17">
        <f t="shared" si="189"/>
        <v>0.5780346820809249</v>
      </c>
      <c r="AN542" s="17"/>
      <c r="AO542" s="27"/>
      <c r="AS542" s="49"/>
      <c r="AT542" s="25"/>
      <c r="AU542" s="17"/>
      <c r="AV542" s="17"/>
      <c r="AW542" s="17"/>
      <c r="AX542" s="27"/>
      <c r="BB542" s="17"/>
    </row>
    <row r="543" spans="1:54" x14ac:dyDescent="0.2">
      <c r="A543" s="17" t="s">
        <v>77</v>
      </c>
      <c r="B543" s="17" t="s">
        <v>78</v>
      </c>
      <c r="C543" s="17" t="str">
        <f t="shared" si="168"/>
        <v>HER42PB1A</v>
      </c>
      <c r="D543" s="17" t="str">
        <f t="shared" si="169"/>
        <v>HER42PB1A_12</v>
      </c>
      <c r="E543" s="27" t="s">
        <v>79</v>
      </c>
      <c r="F543" s="17">
        <v>12</v>
      </c>
      <c r="G543" s="20">
        <v>2.5</v>
      </c>
      <c r="H543" s="20">
        <v>2.1</v>
      </c>
      <c r="I543" s="20">
        <v>1.2</v>
      </c>
      <c r="J543" s="22">
        <f t="shared" si="167"/>
        <v>4.9831799999999991</v>
      </c>
      <c r="K543" s="53">
        <v>0.20777777777777809</v>
      </c>
      <c r="L543" s="45">
        <f t="shared" si="179"/>
        <v>14.93555555555556</v>
      </c>
      <c r="M543" s="45">
        <f t="shared" si="180"/>
        <v>16.135555555555559</v>
      </c>
      <c r="N543" s="46">
        <f t="shared" si="181"/>
        <v>15.535555555555559</v>
      </c>
      <c r="O543" s="20">
        <f t="shared" si="182"/>
        <v>14.93555555555556</v>
      </c>
      <c r="P543" s="20">
        <f t="shared" si="183"/>
        <v>16.135555555555559</v>
      </c>
      <c r="Q543" s="20">
        <f t="shared" si="184"/>
        <v>15.535555555555559</v>
      </c>
      <c r="R543" s="20">
        <f t="shared" si="170"/>
        <v>14.93555555555556</v>
      </c>
      <c r="S543" s="20">
        <f t="shared" si="171"/>
        <v>15.535555555555559</v>
      </c>
      <c r="T543" s="20">
        <f t="shared" si="172"/>
        <v>15.535555555555559</v>
      </c>
      <c r="U543" s="20">
        <f t="shared" si="173"/>
        <v>15.535555555555559</v>
      </c>
      <c r="V543" s="22">
        <v>8.1105</v>
      </c>
      <c r="W543" s="22">
        <v>3.1547000000000001</v>
      </c>
      <c r="X543" s="23">
        <v>1.1476266666666668</v>
      </c>
      <c r="Y543" s="23">
        <f t="shared" si="185"/>
        <v>6.9628733333333335</v>
      </c>
      <c r="Z543" s="23">
        <f t="shared" si="186"/>
        <v>2.0070733333333335</v>
      </c>
      <c r="AA543" s="22">
        <f t="shared" si="187"/>
        <v>71.174639588445771</v>
      </c>
      <c r="AB543" s="22">
        <f t="shared" si="188"/>
        <v>28.825360411554229</v>
      </c>
      <c r="AC543" s="22">
        <f t="shared" si="174"/>
        <v>1.3972751001034149</v>
      </c>
      <c r="AD543" s="22">
        <f t="shared" si="175"/>
        <v>0.40276958354571457</v>
      </c>
      <c r="AE543" s="27">
        <v>17.4236</v>
      </c>
      <c r="AF543" s="27">
        <v>18.210599999999999</v>
      </c>
      <c r="AG543" s="27">
        <v>17.983000000000001</v>
      </c>
      <c r="AH543" s="26">
        <v>0.55940000000000001</v>
      </c>
      <c r="AI543" s="26">
        <v>28.919949169999999</v>
      </c>
      <c r="AJ543" s="26">
        <f t="shared" si="176"/>
        <v>1.4459974584999999</v>
      </c>
      <c r="AK543" s="26">
        <f t="shared" si="177"/>
        <v>16.716733624277456</v>
      </c>
      <c r="AL543" s="26">
        <f t="shared" si="178"/>
        <v>1.448795585991502</v>
      </c>
      <c r="AM543" s="17">
        <f t="shared" si="189"/>
        <v>0.5780346820809249</v>
      </c>
      <c r="AN543" s="17" t="s">
        <v>52</v>
      </c>
      <c r="AO543" s="17">
        <f>1/2.05</f>
        <v>0.48780487804878053</v>
      </c>
      <c r="AS543" s="49"/>
      <c r="AT543" s="25"/>
      <c r="AU543" s="17"/>
      <c r="AV543" s="17"/>
      <c r="AW543" s="17"/>
      <c r="AX543" s="27"/>
      <c r="BB543" s="17"/>
    </row>
    <row r="544" spans="1:54" x14ac:dyDescent="0.2">
      <c r="A544" s="17" t="s">
        <v>77</v>
      </c>
      <c r="B544" s="17" t="s">
        <v>78</v>
      </c>
      <c r="C544" s="17" t="str">
        <f t="shared" si="168"/>
        <v>HER42PB1A</v>
      </c>
      <c r="D544" s="17" t="str">
        <f t="shared" si="169"/>
        <v>HER42PB1A_13</v>
      </c>
      <c r="E544" s="27" t="s">
        <v>79</v>
      </c>
      <c r="F544" s="17">
        <v>13</v>
      </c>
      <c r="G544" s="20">
        <v>2.5</v>
      </c>
      <c r="H544" s="20">
        <v>2.2000000000000002</v>
      </c>
      <c r="I544" s="20">
        <v>1.2</v>
      </c>
      <c r="J544" s="22">
        <f t="shared" si="167"/>
        <v>5.2021950000000006</v>
      </c>
      <c r="K544" s="53">
        <v>0.20777777777777809</v>
      </c>
      <c r="L544" s="45">
        <f t="shared" si="179"/>
        <v>16.343333333333337</v>
      </c>
      <c r="M544" s="45">
        <f t="shared" si="180"/>
        <v>17.543333333333337</v>
      </c>
      <c r="N544" s="46">
        <f t="shared" si="181"/>
        <v>16.943333333333335</v>
      </c>
      <c r="O544" s="20">
        <f t="shared" si="182"/>
        <v>16.343333333333337</v>
      </c>
      <c r="P544" s="20">
        <f t="shared" si="183"/>
        <v>17.543333333333337</v>
      </c>
      <c r="Q544" s="20">
        <f t="shared" si="184"/>
        <v>16.943333333333335</v>
      </c>
      <c r="R544" s="20">
        <f t="shared" si="170"/>
        <v>16.343333333333337</v>
      </c>
      <c r="S544" s="20">
        <f t="shared" si="171"/>
        <v>16.943333333333335</v>
      </c>
      <c r="T544" s="20">
        <f t="shared" si="172"/>
        <v>16.943333333333335</v>
      </c>
      <c r="U544" s="20">
        <f t="shared" si="173"/>
        <v>16.943333333333335</v>
      </c>
      <c r="V544" s="22">
        <v>7.5396000000000001</v>
      </c>
      <c r="W544" s="22">
        <v>2.9430999999999998</v>
      </c>
      <c r="X544" s="23">
        <v>1.1476266666666668</v>
      </c>
      <c r="Y544" s="23">
        <f t="shared" si="185"/>
        <v>6.3919733333333335</v>
      </c>
      <c r="Z544" s="23">
        <f t="shared" si="186"/>
        <v>1.795473333333333</v>
      </c>
      <c r="AA544" s="22">
        <f t="shared" si="187"/>
        <v>71.910500252399885</v>
      </c>
      <c r="AB544" s="22">
        <f t="shared" si="188"/>
        <v>28.089499747600115</v>
      </c>
      <c r="AC544" s="22">
        <f t="shared" si="174"/>
        <v>1.2287069849041286</v>
      </c>
      <c r="AD544" s="22">
        <f t="shared" si="175"/>
        <v>0.34513764542339009</v>
      </c>
      <c r="AE544" s="27">
        <v>16.774100000000001</v>
      </c>
      <c r="AF544" s="27">
        <v>17.653400000000001</v>
      </c>
      <c r="AG544" s="27">
        <v>17.392800000000001</v>
      </c>
      <c r="AH544" s="26">
        <v>0.61870000000000003</v>
      </c>
      <c r="AI544" s="26">
        <v>29.63721142</v>
      </c>
      <c r="AJ544" s="26">
        <f t="shared" si="176"/>
        <v>1.4818605710000001</v>
      </c>
      <c r="AK544" s="26">
        <f t="shared" si="177"/>
        <v>17.131336080924857</v>
      </c>
      <c r="AL544" s="26">
        <f t="shared" si="178"/>
        <v>1.4845911059562651</v>
      </c>
      <c r="AM544" s="17">
        <f t="shared" si="189"/>
        <v>0.5780346820809249</v>
      </c>
      <c r="AN544" s="17" t="s">
        <v>53</v>
      </c>
      <c r="AO544" s="17">
        <f>1/1.73</f>
        <v>0.5780346820809249</v>
      </c>
      <c r="AS544" s="49"/>
      <c r="AT544" s="25"/>
      <c r="AU544" s="17"/>
      <c r="AV544" s="17"/>
      <c r="AW544" s="17"/>
      <c r="AX544" s="27"/>
      <c r="BB544" s="17"/>
    </row>
    <row r="545" spans="1:54" x14ac:dyDescent="0.2">
      <c r="A545" s="17" t="s">
        <v>77</v>
      </c>
      <c r="B545" s="17" t="s">
        <v>78</v>
      </c>
      <c r="C545" s="17" t="str">
        <f t="shared" si="168"/>
        <v>HER42PB1A</v>
      </c>
      <c r="D545" s="17" t="str">
        <f t="shared" si="169"/>
        <v>HER42PB1A_14</v>
      </c>
      <c r="E545" s="27" t="s">
        <v>79</v>
      </c>
      <c r="F545" s="17">
        <v>14</v>
      </c>
      <c r="G545" s="20">
        <v>2.5499999999999998</v>
      </c>
      <c r="H545" s="20">
        <v>2.2000000000000002</v>
      </c>
      <c r="I545" s="20">
        <v>1.2</v>
      </c>
      <c r="J545" s="22">
        <f t="shared" si="167"/>
        <v>5.3134687500000002</v>
      </c>
      <c r="K545" s="53">
        <v>0.20777777777777809</v>
      </c>
      <c r="L545" s="45">
        <f t="shared" si="179"/>
        <v>17.751111111111115</v>
      </c>
      <c r="M545" s="45">
        <f t="shared" si="180"/>
        <v>18.951111111111114</v>
      </c>
      <c r="N545" s="46">
        <f t="shared" si="181"/>
        <v>18.351111111111116</v>
      </c>
      <c r="O545" s="20">
        <f t="shared" si="182"/>
        <v>17.751111111111115</v>
      </c>
      <c r="P545" s="20">
        <f t="shared" si="183"/>
        <v>18.951111111111114</v>
      </c>
      <c r="Q545" s="20">
        <f t="shared" si="184"/>
        <v>18.351111111111116</v>
      </c>
      <c r="R545" s="20">
        <f t="shared" si="170"/>
        <v>17.751111111111115</v>
      </c>
      <c r="S545" s="20">
        <f t="shared" si="171"/>
        <v>18.351111111111116</v>
      </c>
      <c r="T545" s="20">
        <f t="shared" si="172"/>
        <v>18.351111111111116</v>
      </c>
      <c r="U545" s="20">
        <f t="shared" si="173"/>
        <v>18.351111111111116</v>
      </c>
      <c r="V545" s="22">
        <v>7.9927000000000001</v>
      </c>
      <c r="W545" s="22">
        <v>2.8803000000000001</v>
      </c>
      <c r="X545" s="23">
        <v>1.1476266666666668</v>
      </c>
      <c r="Y545" s="23">
        <f t="shared" si="185"/>
        <v>6.8450733333333336</v>
      </c>
      <c r="Z545" s="23">
        <f t="shared" si="186"/>
        <v>1.7326733333333333</v>
      </c>
      <c r="AA545" s="22">
        <f t="shared" si="187"/>
        <v>74.68729334285193</v>
      </c>
      <c r="AB545" s="22">
        <f t="shared" si="188"/>
        <v>25.31270665714807</v>
      </c>
      <c r="AC545" s="22">
        <f t="shared" si="174"/>
        <v>1.2882494760759313</v>
      </c>
      <c r="AD545" s="22">
        <f t="shared" si="175"/>
        <v>0.32609081089134723</v>
      </c>
      <c r="AE545" s="27">
        <v>16.5076</v>
      </c>
      <c r="AF545" s="27">
        <v>17.177600000000002</v>
      </c>
      <c r="AG545" s="27">
        <v>16.963999999999999</v>
      </c>
      <c r="AH545" s="26">
        <v>0.45639999999999997</v>
      </c>
      <c r="AI545" s="26">
        <v>31.880597009999999</v>
      </c>
      <c r="AJ545" s="26">
        <f t="shared" si="176"/>
        <v>1.5940298505000001</v>
      </c>
      <c r="AK545" s="26">
        <f t="shared" si="177"/>
        <v>18.428090757225434</v>
      </c>
      <c r="AL545" s="26">
        <f t="shared" si="178"/>
        <v>1.596568559218505</v>
      </c>
      <c r="AM545" s="17">
        <f t="shared" si="189"/>
        <v>0.5780346820809249</v>
      </c>
      <c r="AN545" s="17"/>
      <c r="AO545" s="27"/>
      <c r="AS545" s="49"/>
      <c r="AT545" s="25"/>
      <c r="AU545" s="17"/>
      <c r="AV545" s="17"/>
      <c r="AW545" s="17"/>
      <c r="AX545" s="27"/>
      <c r="BB545" s="17"/>
    </row>
    <row r="546" spans="1:54" x14ac:dyDescent="0.2">
      <c r="A546" s="17" t="s">
        <v>77</v>
      </c>
      <c r="B546" s="17" t="s">
        <v>78</v>
      </c>
      <c r="C546" s="17" t="str">
        <f t="shared" si="168"/>
        <v>HER42PB1A</v>
      </c>
      <c r="D546" s="17" t="str">
        <f t="shared" si="169"/>
        <v>HER42PB1A_15</v>
      </c>
      <c r="E546" s="27" t="s">
        <v>79</v>
      </c>
      <c r="F546" s="17">
        <v>15</v>
      </c>
      <c r="G546" s="20">
        <v>2.5</v>
      </c>
      <c r="H546" s="20">
        <v>2.0499999999999998</v>
      </c>
      <c r="I546" s="20">
        <v>1.1499999999999999</v>
      </c>
      <c r="J546" s="22">
        <f t="shared" si="167"/>
        <v>4.6722954687499998</v>
      </c>
      <c r="K546" s="53">
        <v>0.20777777777777809</v>
      </c>
      <c r="L546" s="45">
        <f t="shared" si="179"/>
        <v>19.158888888888892</v>
      </c>
      <c r="M546" s="45">
        <f t="shared" si="180"/>
        <v>20.308888888888891</v>
      </c>
      <c r="N546" s="46">
        <f t="shared" si="181"/>
        <v>19.733888888888892</v>
      </c>
      <c r="O546" s="20">
        <f t="shared" si="182"/>
        <v>19.158888888888892</v>
      </c>
      <c r="P546" s="20">
        <f t="shared" si="183"/>
        <v>20.308888888888891</v>
      </c>
      <c r="Q546" s="20">
        <f t="shared" si="184"/>
        <v>19.733888888888892</v>
      </c>
      <c r="R546" s="20">
        <f t="shared" si="170"/>
        <v>19.158888888888892</v>
      </c>
      <c r="S546" s="20">
        <f t="shared" si="171"/>
        <v>19.733888888888892</v>
      </c>
      <c r="T546" s="20">
        <f t="shared" si="172"/>
        <v>19.733888888888892</v>
      </c>
      <c r="U546" s="20">
        <f t="shared" si="173"/>
        <v>19.733888888888892</v>
      </c>
      <c r="V546" s="22">
        <v>7.6837</v>
      </c>
      <c r="W546" s="22">
        <v>3.0596000000000001</v>
      </c>
      <c r="X546" s="23">
        <v>1.1476266666666668</v>
      </c>
      <c r="Y546" s="23">
        <f t="shared" si="185"/>
        <v>6.5360733333333334</v>
      </c>
      <c r="Z546" s="23">
        <f t="shared" si="186"/>
        <v>1.9119733333333333</v>
      </c>
      <c r="AA546" s="22">
        <f t="shared" si="187"/>
        <v>70.747370235544082</v>
      </c>
      <c r="AB546" s="22">
        <f t="shared" si="188"/>
        <v>29.252629764455918</v>
      </c>
      <c r="AC546" s="22">
        <f t="shared" si="174"/>
        <v>1.3988998292271868</v>
      </c>
      <c r="AD546" s="22">
        <f t="shared" si="175"/>
        <v>0.40921498781943516</v>
      </c>
      <c r="AE546" s="27">
        <v>15.977499999999999</v>
      </c>
      <c r="AF546" s="27">
        <v>16.9819</v>
      </c>
      <c r="AG546" s="27">
        <v>16.716899999999999</v>
      </c>
      <c r="AH546" s="26">
        <v>0.73939999999999995</v>
      </c>
      <c r="AI546" s="26">
        <v>26.383910790000002</v>
      </c>
      <c r="AJ546" s="26">
        <f t="shared" si="176"/>
        <v>1.3191955395000001</v>
      </c>
      <c r="AK546" s="26">
        <f t="shared" si="177"/>
        <v>15.250815485549134</v>
      </c>
      <c r="AL546" s="26">
        <f t="shared" si="178"/>
        <v>1.3222620282821012</v>
      </c>
      <c r="AM546" s="17">
        <f t="shared" si="189"/>
        <v>0.5780346820809249</v>
      </c>
      <c r="AN546" s="17"/>
      <c r="AO546" s="27"/>
      <c r="AS546" s="49"/>
      <c r="AT546" s="25"/>
      <c r="AU546" s="17"/>
      <c r="AV546" s="17"/>
      <c r="AW546" s="17"/>
      <c r="AX546" s="27"/>
      <c r="BB546" s="17"/>
    </row>
    <row r="547" spans="1:54" x14ac:dyDescent="0.2">
      <c r="A547" s="17" t="s">
        <v>77</v>
      </c>
      <c r="B547" s="17" t="s">
        <v>78</v>
      </c>
      <c r="C547" s="17" t="str">
        <f t="shared" si="168"/>
        <v>HER42PB1A</v>
      </c>
      <c r="D547" s="17" t="str">
        <f t="shared" si="169"/>
        <v>HER42PB1A_16</v>
      </c>
      <c r="E547" s="27" t="s">
        <v>79</v>
      </c>
      <c r="F547" s="17">
        <v>16</v>
      </c>
      <c r="G547" s="20">
        <v>2.1</v>
      </c>
      <c r="H547" s="20">
        <v>2.15</v>
      </c>
      <c r="I547" s="20">
        <v>1.1200000000000001</v>
      </c>
      <c r="J547" s="22">
        <f t="shared" si="167"/>
        <v>3.9701375000000008</v>
      </c>
      <c r="K547" s="53">
        <v>0.20777777777777809</v>
      </c>
      <c r="L547" s="45">
        <f t="shared" si="179"/>
        <v>20.516666666666669</v>
      </c>
      <c r="M547" s="45">
        <f t="shared" si="180"/>
        <v>21.63666666666667</v>
      </c>
      <c r="N547" s="46">
        <f t="shared" si="181"/>
        <v>21.076666666666668</v>
      </c>
      <c r="O547" s="20">
        <f t="shared" si="182"/>
        <v>20.516666666666669</v>
      </c>
      <c r="P547" s="20">
        <f t="shared" si="183"/>
        <v>21.63666666666667</v>
      </c>
      <c r="Q547" s="20">
        <f t="shared" si="184"/>
        <v>21.076666666666668</v>
      </c>
      <c r="R547" s="20">
        <f t="shared" si="170"/>
        <v>20.516666666666669</v>
      </c>
      <c r="S547" s="20">
        <f t="shared" si="171"/>
        <v>21.076666666666668</v>
      </c>
      <c r="T547" s="20">
        <f t="shared" si="172"/>
        <v>21.076666666666668</v>
      </c>
      <c r="U547" s="20">
        <f t="shared" si="173"/>
        <v>21.076666666666668</v>
      </c>
      <c r="V547" s="22">
        <v>8.4329000000000001</v>
      </c>
      <c r="W547" s="22">
        <v>3.5419</v>
      </c>
      <c r="X547" s="23">
        <v>1.1476266666666668</v>
      </c>
      <c r="Y547" s="23">
        <f t="shared" si="185"/>
        <v>7.2852733333333335</v>
      </c>
      <c r="Z547" s="23">
        <f t="shared" si="186"/>
        <v>2.3942733333333335</v>
      </c>
      <c r="AA547" s="22">
        <f t="shared" si="187"/>
        <v>67.135435778662156</v>
      </c>
      <c r="AB547" s="22">
        <f t="shared" si="188"/>
        <v>32.864564221337844</v>
      </c>
      <c r="AC547" s="22">
        <f t="shared" si="174"/>
        <v>1.8350178887591002</v>
      </c>
      <c r="AD547" s="22">
        <f t="shared" si="175"/>
        <v>0.60307063252427229</v>
      </c>
      <c r="AE547" s="27">
        <v>16.289400000000001</v>
      </c>
      <c r="AF547" s="27">
        <v>17.249300000000002</v>
      </c>
      <c r="AG547" s="27">
        <v>17.0106</v>
      </c>
      <c r="AH547" s="26">
        <v>0.72119999999999995</v>
      </c>
      <c r="AI547" s="26">
        <v>24.867173659999999</v>
      </c>
      <c r="AJ547" s="26">
        <f t="shared" si="176"/>
        <v>1.2433586830000001</v>
      </c>
      <c r="AK547" s="26">
        <f t="shared" si="177"/>
        <v>14.374088820809249</v>
      </c>
      <c r="AL547" s="26">
        <f t="shared" si="178"/>
        <v>1.2466117336971823</v>
      </c>
      <c r="AM547" s="17">
        <f t="shared" si="189"/>
        <v>0.5780346820809249</v>
      </c>
      <c r="AN547" s="17"/>
      <c r="AO547" s="17"/>
      <c r="AS547" s="49"/>
      <c r="AT547" s="25"/>
      <c r="AU547" s="17"/>
      <c r="AV547" s="17"/>
      <c r="AW547" s="17"/>
      <c r="AX547" s="27"/>
      <c r="BB547" s="17"/>
    </row>
    <row r="548" spans="1:54" x14ac:dyDescent="0.2">
      <c r="A548" s="17" t="s">
        <v>77</v>
      </c>
      <c r="B548" s="17" t="s">
        <v>78</v>
      </c>
      <c r="C548" s="17" t="str">
        <f t="shared" si="168"/>
        <v>HER42PB1A</v>
      </c>
      <c r="D548" s="17" t="str">
        <f t="shared" si="169"/>
        <v>HER42PB1A_17</v>
      </c>
      <c r="E548" s="27" t="s">
        <v>79</v>
      </c>
      <c r="F548" s="17">
        <v>17</v>
      </c>
      <c r="G548" s="20">
        <v>2.5</v>
      </c>
      <c r="H548" s="20">
        <v>2.1</v>
      </c>
      <c r="I548" s="20">
        <v>1.2</v>
      </c>
      <c r="J548" s="22">
        <f t="shared" si="167"/>
        <v>4.9831799999999991</v>
      </c>
      <c r="K548" s="53">
        <v>0.20777777777777809</v>
      </c>
      <c r="L548" s="45">
        <f t="shared" si="179"/>
        <v>21.844444444444449</v>
      </c>
      <c r="M548" s="45">
        <f t="shared" si="180"/>
        <v>23.044444444444448</v>
      </c>
      <c r="N548" s="46">
        <f t="shared" si="181"/>
        <v>22.44444444444445</v>
      </c>
      <c r="O548" s="20">
        <f t="shared" si="182"/>
        <v>21.844444444444449</v>
      </c>
      <c r="P548" s="20">
        <f t="shared" si="183"/>
        <v>23.044444444444448</v>
      </c>
      <c r="Q548" s="20">
        <f t="shared" si="184"/>
        <v>22.44444444444445</v>
      </c>
      <c r="R548" s="20">
        <f t="shared" si="170"/>
        <v>21.844444444444449</v>
      </c>
      <c r="S548" s="20">
        <f t="shared" si="171"/>
        <v>22.44444444444445</v>
      </c>
      <c r="T548" s="20">
        <f t="shared" si="172"/>
        <v>22.44444444444445</v>
      </c>
      <c r="U548" s="20">
        <f t="shared" si="173"/>
        <v>22.44444444444445</v>
      </c>
      <c r="V548" s="22">
        <v>8.4495000000000005</v>
      </c>
      <c r="W548" s="22">
        <v>3.5274999999999999</v>
      </c>
      <c r="X548" s="23">
        <v>1.1476266666666668</v>
      </c>
      <c r="Y548" s="23">
        <f t="shared" si="185"/>
        <v>7.3018733333333339</v>
      </c>
      <c r="Z548" s="23">
        <f t="shared" si="186"/>
        <v>2.3798733333333333</v>
      </c>
      <c r="AA548" s="22">
        <f t="shared" si="187"/>
        <v>67.407359389964768</v>
      </c>
      <c r="AB548" s="22">
        <f t="shared" si="188"/>
        <v>32.592640610035232</v>
      </c>
      <c r="AC548" s="22">
        <f t="shared" si="174"/>
        <v>1.4653039491516131</v>
      </c>
      <c r="AD548" s="22">
        <f t="shared" si="175"/>
        <v>0.47758124999163865</v>
      </c>
      <c r="AE548" s="27">
        <v>13.194699999999999</v>
      </c>
      <c r="AF548" s="27">
        <v>13.931100000000001</v>
      </c>
      <c r="AG548" s="27">
        <v>13.7212</v>
      </c>
      <c r="AH548" s="26">
        <v>0.52649999999999997</v>
      </c>
      <c r="AI548" s="26">
        <v>28.503530690000002</v>
      </c>
      <c r="AJ548" s="26">
        <f t="shared" si="176"/>
        <v>1.4251765345000003</v>
      </c>
      <c r="AK548" s="26">
        <f t="shared" si="177"/>
        <v>16.476029300578038</v>
      </c>
      <c r="AL548" s="26">
        <f t="shared" si="178"/>
        <v>1.4280154601717134</v>
      </c>
      <c r="AM548" s="17">
        <f t="shared" si="189"/>
        <v>0.5780346820809249</v>
      </c>
      <c r="AN548" s="17"/>
      <c r="AO548" s="17"/>
      <c r="AS548" s="49"/>
      <c r="AT548" s="25"/>
      <c r="AU548" s="17"/>
      <c r="AV548" s="17"/>
      <c r="AW548" s="17"/>
      <c r="AX548" s="27"/>
      <c r="BB548" s="17"/>
    </row>
    <row r="549" spans="1:54" x14ac:dyDescent="0.2">
      <c r="A549" s="17" t="s">
        <v>77</v>
      </c>
      <c r="B549" s="17" t="s">
        <v>78</v>
      </c>
      <c r="C549" s="17" t="str">
        <f t="shared" si="168"/>
        <v>HER42PB1A</v>
      </c>
      <c r="D549" s="17" t="str">
        <f t="shared" si="169"/>
        <v>HER42PB1A_18</v>
      </c>
      <c r="E549" s="27" t="s">
        <v>79</v>
      </c>
      <c r="F549" s="17">
        <v>18</v>
      </c>
      <c r="G549" s="20">
        <v>2.4</v>
      </c>
      <c r="H549" s="20">
        <v>2.15</v>
      </c>
      <c r="I549" s="20">
        <v>1.2</v>
      </c>
      <c r="J549" s="22">
        <f t="shared" si="167"/>
        <v>4.8754387499999998</v>
      </c>
      <c r="K549" s="53">
        <v>0.20777777777777809</v>
      </c>
      <c r="L549" s="45">
        <f t="shared" si="179"/>
        <v>23.252222222222226</v>
      </c>
      <c r="M549" s="45">
        <f t="shared" si="180"/>
        <v>24.452222222222225</v>
      </c>
      <c r="N549" s="46">
        <f t="shared" si="181"/>
        <v>23.852222222222224</v>
      </c>
      <c r="O549" s="20">
        <f t="shared" si="182"/>
        <v>23.252222222222226</v>
      </c>
      <c r="P549" s="20">
        <f t="shared" si="183"/>
        <v>24.452222222222225</v>
      </c>
      <c r="Q549" s="20">
        <f t="shared" si="184"/>
        <v>23.852222222222224</v>
      </c>
      <c r="R549" s="20">
        <f t="shared" si="170"/>
        <v>23.252222222222226</v>
      </c>
      <c r="S549" s="20">
        <f t="shared" si="171"/>
        <v>23.852222222222224</v>
      </c>
      <c r="T549" s="20">
        <f t="shared" si="172"/>
        <v>23.852222222222224</v>
      </c>
      <c r="U549" s="20">
        <f t="shared" si="173"/>
        <v>23.852222222222224</v>
      </c>
      <c r="V549" s="22">
        <v>8.3394999999999992</v>
      </c>
      <c r="W549" s="22">
        <v>3.5202</v>
      </c>
      <c r="X549" s="23">
        <v>1.1476266666666668</v>
      </c>
      <c r="Y549" s="23">
        <f t="shared" si="185"/>
        <v>7.1918733333333327</v>
      </c>
      <c r="Z549" s="23">
        <f t="shared" si="186"/>
        <v>2.3725733333333334</v>
      </c>
      <c r="AA549" s="22">
        <f t="shared" si="187"/>
        <v>67.01035706042282</v>
      </c>
      <c r="AB549" s="22">
        <f t="shared" si="188"/>
        <v>32.98964293957718</v>
      </c>
      <c r="AC549" s="22">
        <f t="shared" si="174"/>
        <v>1.4751233072784133</v>
      </c>
      <c r="AD549" s="22">
        <f t="shared" si="175"/>
        <v>0.48663791198963036</v>
      </c>
      <c r="AE549" s="27">
        <v>15.6806</v>
      </c>
      <c r="AF549" s="27">
        <v>16.453700000000001</v>
      </c>
      <c r="AG549" s="27">
        <v>16.239599999999999</v>
      </c>
      <c r="AH549" s="26">
        <v>0.55900000000000005</v>
      </c>
      <c r="AI549" s="26">
        <v>27.69370069</v>
      </c>
      <c r="AJ549" s="26">
        <f t="shared" si="176"/>
        <v>1.3846850345000001</v>
      </c>
      <c r="AK549" s="26">
        <f t="shared" si="177"/>
        <v>16.007919473988441</v>
      </c>
      <c r="AL549" s="26">
        <f t="shared" si="178"/>
        <v>1.3876068048147741</v>
      </c>
      <c r="AM549" s="17">
        <f t="shared" si="189"/>
        <v>0.5780346820809249</v>
      </c>
      <c r="AN549" s="17"/>
      <c r="AO549" s="17"/>
      <c r="AS549" s="49"/>
      <c r="AT549" s="25"/>
      <c r="AU549" s="17"/>
      <c r="AV549" s="17"/>
      <c r="AW549" s="17"/>
      <c r="AX549" s="27"/>
      <c r="BB549" s="17"/>
    </row>
    <row r="550" spans="1:54" x14ac:dyDescent="0.2">
      <c r="A550" s="17" t="s">
        <v>77</v>
      </c>
      <c r="B550" s="17" t="s">
        <v>78</v>
      </c>
      <c r="C550" s="17" t="str">
        <f t="shared" si="168"/>
        <v>HER42PB1A</v>
      </c>
      <c r="D550" s="17" t="str">
        <f t="shared" si="169"/>
        <v>HER42PB1A_19</v>
      </c>
      <c r="E550" s="27" t="s">
        <v>79</v>
      </c>
      <c r="F550" s="17">
        <v>19</v>
      </c>
      <c r="G550" s="20">
        <v>2.4500000000000002</v>
      </c>
      <c r="H550" s="20">
        <v>2.0499999999999998</v>
      </c>
      <c r="I550" s="20">
        <v>1.2</v>
      </c>
      <c r="J550" s="22">
        <f t="shared" si="167"/>
        <v>4.7688749999999995</v>
      </c>
      <c r="K550" s="53">
        <v>0.20777777777777809</v>
      </c>
      <c r="L550" s="45">
        <f t="shared" si="179"/>
        <v>24.660000000000004</v>
      </c>
      <c r="M550" s="45">
        <f t="shared" si="180"/>
        <v>25.860000000000003</v>
      </c>
      <c r="N550" s="46">
        <f t="shared" si="181"/>
        <v>25.260000000000005</v>
      </c>
      <c r="O550" s="20">
        <f t="shared" si="182"/>
        <v>24.660000000000004</v>
      </c>
      <c r="P550" s="20">
        <f t="shared" si="183"/>
        <v>25.860000000000003</v>
      </c>
      <c r="Q550" s="20">
        <f t="shared" si="184"/>
        <v>25.260000000000005</v>
      </c>
      <c r="R550" s="20">
        <f t="shared" si="170"/>
        <v>24.660000000000004</v>
      </c>
      <c r="S550" s="20">
        <f t="shared" si="171"/>
        <v>25.260000000000005</v>
      </c>
      <c r="T550" s="20">
        <f t="shared" si="172"/>
        <v>25.260000000000005</v>
      </c>
      <c r="U550" s="20">
        <f t="shared" si="173"/>
        <v>25.260000000000005</v>
      </c>
      <c r="V550" s="22">
        <v>8.0765999999999991</v>
      </c>
      <c r="W550" s="22">
        <v>3.242</v>
      </c>
      <c r="X550" s="23">
        <v>1.1476266666666668</v>
      </c>
      <c r="Y550" s="23">
        <f t="shared" si="185"/>
        <v>6.9289733333333325</v>
      </c>
      <c r="Z550" s="23">
        <f t="shared" si="186"/>
        <v>2.0943733333333334</v>
      </c>
      <c r="AA550" s="22">
        <f t="shared" si="187"/>
        <v>69.773684605511548</v>
      </c>
      <c r="AB550" s="22">
        <f t="shared" si="188"/>
        <v>30.226315394488452</v>
      </c>
      <c r="AC550" s="22">
        <f t="shared" si="174"/>
        <v>1.4529576332643093</v>
      </c>
      <c r="AD550" s="22">
        <f t="shared" si="175"/>
        <v>0.43917555677876513</v>
      </c>
      <c r="AE550" s="27">
        <v>16.6906</v>
      </c>
      <c r="AF550" s="27">
        <v>17.422899999999998</v>
      </c>
      <c r="AG550" s="27">
        <v>17.219899999999999</v>
      </c>
      <c r="AH550" s="26">
        <v>0.52929999999999999</v>
      </c>
      <c r="AI550" s="26">
        <v>27.720879419999999</v>
      </c>
      <c r="AJ550" s="26">
        <f t="shared" si="176"/>
        <v>1.3860439710000001</v>
      </c>
      <c r="AK550" s="26">
        <f t="shared" si="177"/>
        <v>16.023629722543355</v>
      </c>
      <c r="AL550" s="26">
        <f t="shared" si="178"/>
        <v>1.3889628827097753</v>
      </c>
      <c r="AM550" s="17">
        <f t="shared" si="189"/>
        <v>0.5780346820809249</v>
      </c>
      <c r="AN550" s="17"/>
      <c r="AO550" s="17"/>
      <c r="AS550" s="49"/>
      <c r="AT550" s="25"/>
      <c r="AU550" s="17"/>
      <c r="AV550" s="17"/>
      <c r="AW550" s="17"/>
      <c r="AX550" s="27"/>
      <c r="BB550" s="17"/>
    </row>
    <row r="551" spans="1:54" x14ac:dyDescent="0.2">
      <c r="A551" s="17" t="s">
        <v>77</v>
      </c>
      <c r="B551" s="17" t="s">
        <v>78</v>
      </c>
      <c r="C551" s="17" t="str">
        <f t="shared" si="168"/>
        <v>HER42PB1A</v>
      </c>
      <c r="D551" s="17" t="str">
        <f t="shared" si="169"/>
        <v>HER42PB1A_20</v>
      </c>
      <c r="E551" s="27" t="s">
        <v>79</v>
      </c>
      <c r="F551" s="17">
        <v>20</v>
      </c>
      <c r="G551" s="20">
        <v>2.2999999999999998</v>
      </c>
      <c r="H551" s="20">
        <v>2.1</v>
      </c>
      <c r="I551" s="20">
        <v>1.25</v>
      </c>
      <c r="J551" s="22">
        <f t="shared" si="167"/>
        <v>4.7492500000000009</v>
      </c>
      <c r="K551" s="53">
        <v>0.20777777777777809</v>
      </c>
      <c r="L551" s="45">
        <f t="shared" si="179"/>
        <v>26.067777777777781</v>
      </c>
      <c r="M551" s="45">
        <f t="shared" si="180"/>
        <v>27.317777777777781</v>
      </c>
      <c r="N551" s="46">
        <f t="shared" si="181"/>
        <v>26.692777777777781</v>
      </c>
      <c r="O551" s="20">
        <f t="shared" si="182"/>
        <v>26.067777777777781</v>
      </c>
      <c r="P551" s="20">
        <f t="shared" si="183"/>
        <v>27.317777777777781</v>
      </c>
      <c r="Q551" s="20">
        <f t="shared" si="184"/>
        <v>26.692777777777781</v>
      </c>
      <c r="R551" s="20">
        <f t="shared" si="170"/>
        <v>26.067777777777781</v>
      </c>
      <c r="S551" s="20">
        <f t="shared" si="171"/>
        <v>26.692777777777781</v>
      </c>
      <c r="T551" s="20">
        <f t="shared" si="172"/>
        <v>26.692777777777781</v>
      </c>
      <c r="U551" s="20">
        <f t="shared" si="173"/>
        <v>26.692777777777781</v>
      </c>
      <c r="V551" s="22">
        <v>7.7009999999999996</v>
      </c>
      <c r="W551" s="22">
        <v>3.2105999999999999</v>
      </c>
      <c r="X551" s="23">
        <v>1.1476266666666668</v>
      </c>
      <c r="Y551" s="23">
        <f t="shared" si="185"/>
        <v>6.5533733333333331</v>
      </c>
      <c r="Z551" s="23">
        <f t="shared" si="186"/>
        <v>2.0629733333333329</v>
      </c>
      <c r="AA551" s="22">
        <f t="shared" si="187"/>
        <v>68.520436294386812</v>
      </c>
      <c r="AB551" s="22">
        <f t="shared" si="188"/>
        <v>31.479563705613188</v>
      </c>
      <c r="AC551" s="22">
        <f t="shared" si="174"/>
        <v>1.3798754189257949</v>
      </c>
      <c r="AD551" s="22">
        <f t="shared" si="175"/>
        <v>0.43437876155884247</v>
      </c>
      <c r="AE551" s="27">
        <v>17.467700000000001</v>
      </c>
      <c r="AF551" s="27">
        <v>18.126799999999999</v>
      </c>
      <c r="AG551" s="27">
        <v>17.944099999999999</v>
      </c>
      <c r="AH551" s="26">
        <v>0.47639999999999999</v>
      </c>
      <c r="AI551" s="26">
        <v>27.719617660000001</v>
      </c>
      <c r="AJ551" s="26">
        <f t="shared" si="176"/>
        <v>1.3859808830000002</v>
      </c>
      <c r="AK551" s="26">
        <f t="shared" si="177"/>
        <v>16.022900381502893</v>
      </c>
      <c r="AL551" s="26">
        <f t="shared" si="178"/>
        <v>1.3888999272955054</v>
      </c>
      <c r="AM551" s="17">
        <f t="shared" si="189"/>
        <v>0.5780346820809249</v>
      </c>
      <c r="AN551" s="17"/>
      <c r="AO551" s="17"/>
      <c r="AS551" s="49"/>
      <c r="AT551" s="25"/>
      <c r="AU551" s="17"/>
      <c r="AV551" s="17"/>
      <c r="AW551" s="17"/>
      <c r="AX551" s="27"/>
      <c r="BB551" s="17"/>
    </row>
    <row r="552" spans="1:54" x14ac:dyDescent="0.2">
      <c r="A552" s="17" t="s">
        <v>77</v>
      </c>
      <c r="B552" s="17" t="s">
        <v>78</v>
      </c>
      <c r="C552" s="17" t="str">
        <f t="shared" si="168"/>
        <v>HER42PB1A</v>
      </c>
      <c r="D552" s="17" t="str">
        <f t="shared" si="169"/>
        <v>HER42PB1A_21</v>
      </c>
      <c r="E552" s="27" t="s">
        <v>79</v>
      </c>
      <c r="F552" s="17">
        <v>21</v>
      </c>
      <c r="G552" s="20">
        <v>2.2999999999999998</v>
      </c>
      <c r="H552" s="20">
        <v>2.0499999999999998</v>
      </c>
      <c r="I552" s="20">
        <v>1.2</v>
      </c>
      <c r="J552" s="22">
        <f t="shared" si="167"/>
        <v>4.4562487499999994</v>
      </c>
      <c r="K552" s="53">
        <v>0.20777777777777809</v>
      </c>
      <c r="L552" s="45">
        <f t="shared" si="179"/>
        <v>27.52555555555556</v>
      </c>
      <c r="M552" s="45">
        <f t="shared" si="180"/>
        <v>28.725555555555559</v>
      </c>
      <c r="N552" s="46">
        <f t="shared" si="181"/>
        <v>28.125555555555557</v>
      </c>
      <c r="O552" s="20">
        <f t="shared" si="182"/>
        <v>27.52555555555556</v>
      </c>
      <c r="P552" s="20">
        <f t="shared" si="183"/>
        <v>28.725555555555559</v>
      </c>
      <c r="Q552" s="20">
        <f t="shared" si="184"/>
        <v>28.125555555555557</v>
      </c>
      <c r="R552" s="20">
        <f t="shared" si="170"/>
        <v>27.52555555555556</v>
      </c>
      <c r="S552" s="20">
        <f t="shared" si="171"/>
        <v>28.125555555555557</v>
      </c>
      <c r="T552" s="20">
        <f t="shared" si="172"/>
        <v>28.125555555555557</v>
      </c>
      <c r="U552" s="20">
        <f t="shared" si="173"/>
        <v>28.125555555555557</v>
      </c>
      <c r="V552" s="22">
        <v>7.5655999999999999</v>
      </c>
      <c r="W552" s="22">
        <v>3.2391000000000001</v>
      </c>
      <c r="X552" s="23">
        <v>1.1476266666666668</v>
      </c>
      <c r="Y552" s="23">
        <f t="shared" si="185"/>
        <v>6.4179733333333333</v>
      </c>
      <c r="Z552" s="23">
        <f t="shared" si="186"/>
        <v>2.0914733333333331</v>
      </c>
      <c r="AA552" s="22">
        <f t="shared" si="187"/>
        <v>67.412246441244179</v>
      </c>
      <c r="AB552" s="22">
        <f t="shared" si="188"/>
        <v>32.587753558755821</v>
      </c>
      <c r="AC552" s="22">
        <f t="shared" si="174"/>
        <v>1.4402188238107969</v>
      </c>
      <c r="AD552" s="22">
        <f t="shared" si="175"/>
        <v>0.46933496101027422</v>
      </c>
      <c r="AE552" s="27">
        <v>17.234100000000002</v>
      </c>
      <c r="AF552" s="27">
        <v>18.241299999999999</v>
      </c>
      <c r="AG552" s="27">
        <v>17.9788</v>
      </c>
      <c r="AH552" s="26">
        <v>0.74470000000000003</v>
      </c>
      <c r="AI552" s="26">
        <v>26.062351069999998</v>
      </c>
      <c r="AJ552" s="26">
        <f t="shared" si="176"/>
        <v>1.3031175534999999</v>
      </c>
      <c r="AK552" s="26">
        <f t="shared" si="177"/>
        <v>15.064942815028902</v>
      </c>
      <c r="AL552" s="26">
        <f t="shared" si="178"/>
        <v>1.3062217875383282</v>
      </c>
      <c r="AM552" s="17">
        <f t="shared" si="189"/>
        <v>0.5780346820809249</v>
      </c>
      <c r="AN552" s="17"/>
      <c r="AO552" s="17"/>
      <c r="AS552" s="49"/>
      <c r="AT552" s="25"/>
      <c r="AU552" s="17"/>
      <c r="AV552" s="17"/>
      <c r="AW552" s="17"/>
      <c r="AX552" s="27"/>
      <c r="BB552" s="17"/>
    </row>
    <row r="553" spans="1:54" x14ac:dyDescent="0.2">
      <c r="A553" s="17" t="s">
        <v>77</v>
      </c>
      <c r="B553" s="17" t="s">
        <v>78</v>
      </c>
      <c r="C553" s="17" t="str">
        <f t="shared" si="168"/>
        <v>HER42PB1A</v>
      </c>
      <c r="D553" s="17" t="str">
        <f t="shared" si="169"/>
        <v>HER42PB1A_22</v>
      </c>
      <c r="E553" s="27" t="s">
        <v>79</v>
      </c>
      <c r="F553" s="17">
        <v>22</v>
      </c>
      <c r="G553" s="20">
        <v>2.35</v>
      </c>
      <c r="H553" s="20">
        <v>2.1</v>
      </c>
      <c r="I553" s="20">
        <v>1.1000000000000001</v>
      </c>
      <c r="J553" s="22">
        <f t="shared" si="167"/>
        <v>4.2748646875000009</v>
      </c>
      <c r="K553" s="53">
        <v>0.20777777777777809</v>
      </c>
      <c r="L553" s="45">
        <f t="shared" si="179"/>
        <v>28.933333333333337</v>
      </c>
      <c r="M553" s="45">
        <f t="shared" si="180"/>
        <v>30.033333333333339</v>
      </c>
      <c r="N553" s="46">
        <f t="shared" si="181"/>
        <v>29.483333333333338</v>
      </c>
      <c r="O553" s="20">
        <f t="shared" si="182"/>
        <v>28.933333333333337</v>
      </c>
      <c r="P553" s="20">
        <f t="shared" si="183"/>
        <v>30.033333333333339</v>
      </c>
      <c r="Q553" s="20">
        <f t="shared" si="184"/>
        <v>29.483333333333338</v>
      </c>
      <c r="R553" s="20">
        <f t="shared" si="170"/>
        <v>28.933333333333337</v>
      </c>
      <c r="S553" s="20">
        <f t="shared" si="171"/>
        <v>29.483333333333338</v>
      </c>
      <c r="T553" s="20">
        <f t="shared" si="172"/>
        <v>29.483333333333338</v>
      </c>
      <c r="U553" s="20">
        <f t="shared" si="173"/>
        <v>29.483333333333338</v>
      </c>
      <c r="V553" s="22">
        <v>7.7953000000000001</v>
      </c>
      <c r="W553" s="22">
        <v>3.5581</v>
      </c>
      <c r="X553" s="23">
        <v>1.1476266666666668</v>
      </c>
      <c r="Y553" s="23">
        <f t="shared" si="185"/>
        <v>6.6476733333333335</v>
      </c>
      <c r="Z553" s="23">
        <f t="shared" si="186"/>
        <v>2.410473333333333</v>
      </c>
      <c r="AA553" s="22">
        <f t="shared" si="187"/>
        <v>63.739594103601164</v>
      </c>
      <c r="AB553" s="22">
        <f t="shared" si="188"/>
        <v>36.260405896398836</v>
      </c>
      <c r="AC553" s="22">
        <f t="shared" si="174"/>
        <v>1.5550605268914333</v>
      </c>
      <c r="AD553" s="22">
        <f t="shared" si="175"/>
        <v>0.56387125898551205</v>
      </c>
      <c r="AE553" s="27">
        <v>13.0741</v>
      </c>
      <c r="AF553" s="27">
        <v>14.0443</v>
      </c>
      <c r="AG553" s="27">
        <v>13.826599999999999</v>
      </c>
      <c r="AH553" s="26">
        <v>0.75249999999999995</v>
      </c>
      <c r="AI553" s="26">
        <v>22.438672440000001</v>
      </c>
      <c r="AJ553" s="26">
        <f t="shared" si="176"/>
        <v>1.121933622</v>
      </c>
      <c r="AK553" s="26">
        <f t="shared" si="177"/>
        <v>12.970330890173413</v>
      </c>
      <c r="AL553" s="26">
        <f t="shared" si="178"/>
        <v>1.1255376724810409</v>
      </c>
      <c r="AM553" s="17">
        <f t="shared" si="189"/>
        <v>0.5780346820809249</v>
      </c>
      <c r="AN553" s="17"/>
      <c r="AO553" s="17"/>
      <c r="AS553" s="49"/>
      <c r="AT553" s="25"/>
      <c r="AU553" s="17"/>
      <c r="AV553" s="17"/>
      <c r="AW553" s="17"/>
      <c r="AX553" s="27"/>
      <c r="BB553" s="17"/>
    </row>
    <row r="554" spans="1:54" x14ac:dyDescent="0.2">
      <c r="A554" s="17" t="s">
        <v>77</v>
      </c>
      <c r="B554" s="17" t="s">
        <v>78</v>
      </c>
      <c r="C554" s="17" t="str">
        <f t="shared" si="168"/>
        <v>HER42PB1A</v>
      </c>
      <c r="D554" s="17" t="str">
        <f t="shared" si="169"/>
        <v>HER42PB1A_23</v>
      </c>
      <c r="E554" s="27" t="s">
        <v>79</v>
      </c>
      <c r="F554" s="17">
        <v>23</v>
      </c>
      <c r="G554" s="20">
        <v>2.35</v>
      </c>
      <c r="H554" s="20">
        <v>2.1</v>
      </c>
      <c r="I554" s="20">
        <v>1.2</v>
      </c>
      <c r="J554" s="22">
        <f t="shared" si="167"/>
        <v>4.6634887500000008</v>
      </c>
      <c r="K554" s="53">
        <v>0.20777777777777809</v>
      </c>
      <c r="L554" s="45">
        <f t="shared" si="179"/>
        <v>30.241111111111117</v>
      </c>
      <c r="M554" s="45">
        <f t="shared" si="180"/>
        <v>31.441111111111116</v>
      </c>
      <c r="N554" s="46">
        <f t="shared" si="181"/>
        <v>30.841111111111118</v>
      </c>
      <c r="O554" s="20">
        <f t="shared" si="182"/>
        <v>30.241111111111117</v>
      </c>
      <c r="P554" s="20">
        <f t="shared" si="183"/>
        <v>31.441111111111116</v>
      </c>
      <c r="Q554" s="20">
        <f t="shared" si="184"/>
        <v>30.841111111111118</v>
      </c>
      <c r="R554" s="20">
        <f t="shared" si="170"/>
        <v>30.241111111111117</v>
      </c>
      <c r="S554" s="20">
        <f t="shared" si="171"/>
        <v>30.841111111111118</v>
      </c>
      <c r="T554" s="20">
        <f t="shared" si="172"/>
        <v>30.841111111111118</v>
      </c>
      <c r="U554" s="20">
        <f t="shared" si="173"/>
        <v>30.841111111111118</v>
      </c>
      <c r="V554" s="22">
        <v>8.1832999999999991</v>
      </c>
      <c r="W554" s="22">
        <v>3.7684000000000002</v>
      </c>
      <c r="X554" s="23">
        <v>1.1476266666666668</v>
      </c>
      <c r="Y554" s="23">
        <f t="shared" si="185"/>
        <v>7.0356733333333326</v>
      </c>
      <c r="Z554" s="23">
        <f t="shared" si="186"/>
        <v>2.6207733333333332</v>
      </c>
      <c r="AA554" s="22">
        <f t="shared" si="187"/>
        <v>62.750212962322479</v>
      </c>
      <c r="AB554" s="22">
        <f t="shared" si="188"/>
        <v>37.249787037677521</v>
      </c>
      <c r="AC554" s="22">
        <f t="shared" si="174"/>
        <v>1.5086716641770244</v>
      </c>
      <c r="AD554" s="22">
        <f t="shared" si="175"/>
        <v>0.56197698200372692</v>
      </c>
      <c r="AE554" s="27">
        <v>13.901</v>
      </c>
      <c r="AF554" s="27">
        <v>14.864800000000001</v>
      </c>
      <c r="AG554" s="27">
        <v>14.65</v>
      </c>
      <c r="AH554" s="26">
        <v>0.749</v>
      </c>
      <c r="AI554" s="26">
        <v>22.286781489999999</v>
      </c>
      <c r="AJ554" s="26">
        <f t="shared" si="176"/>
        <v>1.1143390744999999</v>
      </c>
      <c r="AK554" s="26">
        <f t="shared" si="177"/>
        <v>12.882532653179192</v>
      </c>
      <c r="AL554" s="26">
        <f t="shared" si="178"/>
        <v>1.1179676081879637</v>
      </c>
      <c r="AM554" s="17">
        <f t="shared" si="189"/>
        <v>0.5780346820809249</v>
      </c>
      <c r="AN554" s="17"/>
      <c r="AO554" s="17"/>
      <c r="AS554" s="49"/>
      <c r="AT554" s="25"/>
      <c r="AU554" s="17"/>
      <c r="AV554" s="17"/>
      <c r="AW554" s="17"/>
      <c r="AX554" s="27"/>
      <c r="BB554" s="17"/>
    </row>
    <row r="555" spans="1:54" x14ac:dyDescent="0.2">
      <c r="A555" s="17" t="s">
        <v>77</v>
      </c>
      <c r="B555" s="17" t="s">
        <v>78</v>
      </c>
      <c r="C555" s="17" t="str">
        <f t="shared" si="168"/>
        <v>HER42PB1A</v>
      </c>
      <c r="D555" s="17" t="str">
        <f t="shared" si="169"/>
        <v>HER42PB1A_24</v>
      </c>
      <c r="E555" s="27" t="s">
        <v>79</v>
      </c>
      <c r="F555" s="17">
        <v>24</v>
      </c>
      <c r="G555" s="20">
        <v>2.2999999999999998</v>
      </c>
      <c r="H555" s="20">
        <v>2.2000000000000002</v>
      </c>
      <c r="I555" s="20">
        <v>1.2</v>
      </c>
      <c r="J555" s="22">
        <f t="shared" si="167"/>
        <v>4.7688749999999995</v>
      </c>
      <c r="K555" s="53">
        <v>0.20777777777777809</v>
      </c>
      <c r="L555" s="45">
        <f t="shared" si="179"/>
        <v>31.648888888888894</v>
      </c>
      <c r="M555" s="45">
        <f t="shared" si="180"/>
        <v>32.848888888888894</v>
      </c>
      <c r="N555" s="46">
        <f t="shared" si="181"/>
        <v>32.248888888888892</v>
      </c>
      <c r="O555" s="20">
        <f t="shared" si="182"/>
        <v>31.648888888888894</v>
      </c>
      <c r="P555" s="20">
        <f t="shared" si="183"/>
        <v>32.848888888888894</v>
      </c>
      <c r="Q555" s="20">
        <f t="shared" si="184"/>
        <v>32.248888888888892</v>
      </c>
      <c r="R555" s="20">
        <f t="shared" si="170"/>
        <v>31.648888888888894</v>
      </c>
      <c r="S555" s="20">
        <f t="shared" si="171"/>
        <v>32.248888888888892</v>
      </c>
      <c r="T555" s="20">
        <f t="shared" si="172"/>
        <v>32.248888888888892</v>
      </c>
      <c r="U555" s="20">
        <f t="shared" si="173"/>
        <v>32.248888888888892</v>
      </c>
      <c r="V555" s="22">
        <v>8.2321000000000009</v>
      </c>
      <c r="W555" s="22">
        <v>3.9807999999999999</v>
      </c>
      <c r="X555" s="23">
        <v>1.1476266666666668</v>
      </c>
      <c r="Y555" s="23">
        <f t="shared" si="185"/>
        <v>7.0844733333333343</v>
      </c>
      <c r="Z555" s="23">
        <f t="shared" si="186"/>
        <v>2.8331733333333329</v>
      </c>
      <c r="AA555" s="22">
        <f t="shared" si="187"/>
        <v>60.008695071193266</v>
      </c>
      <c r="AB555" s="22">
        <f t="shared" si="188"/>
        <v>39.991304928806734</v>
      </c>
      <c r="AC555" s="22">
        <f t="shared" si="174"/>
        <v>1.4855649043712269</v>
      </c>
      <c r="AD555" s="22">
        <f t="shared" si="175"/>
        <v>0.59409679082243361</v>
      </c>
      <c r="AE555" s="27">
        <v>14.7742</v>
      </c>
      <c r="AF555" s="27">
        <v>16.085899999999999</v>
      </c>
      <c r="AG555" s="27">
        <v>15.8286</v>
      </c>
      <c r="AH555" s="26">
        <v>1.0544</v>
      </c>
      <c r="AI555" s="26">
        <v>19.615765799999998</v>
      </c>
      <c r="AJ555" s="26">
        <f t="shared" si="176"/>
        <v>0.98078829000000001</v>
      </c>
      <c r="AK555" s="26">
        <f t="shared" si="177"/>
        <v>11.338592947976878</v>
      </c>
      <c r="AL555" s="26">
        <f t="shared" si="178"/>
        <v>0.98490896523542926</v>
      </c>
      <c r="AM555" s="17">
        <f t="shared" si="189"/>
        <v>0.5780346820809249</v>
      </c>
      <c r="AN555" s="17"/>
      <c r="AO555" s="17"/>
      <c r="AS555" s="49"/>
      <c r="AT555" s="25"/>
      <c r="AU555" s="17"/>
      <c r="AV555" s="17"/>
      <c r="AW555" s="17"/>
      <c r="AX555" s="27"/>
      <c r="BB555" s="17"/>
    </row>
    <row r="556" spans="1:54" x14ac:dyDescent="0.2">
      <c r="A556" s="17" t="s">
        <v>77</v>
      </c>
      <c r="B556" s="17" t="s">
        <v>78</v>
      </c>
      <c r="C556" s="17" t="str">
        <f t="shared" si="168"/>
        <v>HER42PB1A</v>
      </c>
      <c r="D556" s="17" t="str">
        <f t="shared" si="169"/>
        <v>HER42PB1A_25</v>
      </c>
      <c r="E556" s="27" t="s">
        <v>79</v>
      </c>
      <c r="F556" s="17">
        <v>25</v>
      </c>
      <c r="G556" s="20">
        <v>2.2999999999999998</v>
      </c>
      <c r="H556" s="20">
        <v>2.1</v>
      </c>
      <c r="I556" s="20">
        <v>1.05</v>
      </c>
      <c r="J556" s="22">
        <f t="shared" si="167"/>
        <v>3.9893700000000014</v>
      </c>
      <c r="K556" s="53">
        <v>0.20777777777777809</v>
      </c>
      <c r="L556" s="45">
        <f t="shared" si="179"/>
        <v>33.056666666666672</v>
      </c>
      <c r="M556" s="45">
        <f t="shared" si="180"/>
        <v>34.106666666666669</v>
      </c>
      <c r="N556" s="46">
        <f t="shared" si="181"/>
        <v>33.581666666666671</v>
      </c>
      <c r="O556" s="20">
        <f t="shared" si="182"/>
        <v>33.056666666666672</v>
      </c>
      <c r="P556" s="20">
        <f t="shared" si="183"/>
        <v>34.106666666666669</v>
      </c>
      <c r="Q556" s="20">
        <f t="shared" si="184"/>
        <v>33.581666666666671</v>
      </c>
      <c r="R556" s="20">
        <f t="shared" si="170"/>
        <v>33.056666666666672</v>
      </c>
      <c r="S556" s="20">
        <f t="shared" si="171"/>
        <v>33.581666666666671</v>
      </c>
      <c r="T556" s="20">
        <f t="shared" si="172"/>
        <v>33.581666666666671</v>
      </c>
      <c r="U556" s="20">
        <f t="shared" si="173"/>
        <v>33.581666666666671</v>
      </c>
      <c r="V556" s="22">
        <v>8.7530000000000001</v>
      </c>
      <c r="W556" s="22">
        <v>4.2257999999999996</v>
      </c>
      <c r="X556" s="23">
        <v>1.1476266666666668</v>
      </c>
      <c r="Y556" s="23">
        <f t="shared" si="185"/>
        <v>7.6053733333333335</v>
      </c>
      <c r="Z556" s="23">
        <f t="shared" si="186"/>
        <v>3.078173333333333</v>
      </c>
      <c r="AA556" s="22">
        <f t="shared" si="187"/>
        <v>59.526334889543008</v>
      </c>
      <c r="AB556" s="22">
        <f t="shared" si="188"/>
        <v>40.473665110456992</v>
      </c>
      <c r="AC556" s="22">
        <f t="shared" si="174"/>
        <v>1.9064096168902185</v>
      </c>
      <c r="AD556" s="22">
        <f t="shared" si="175"/>
        <v>0.77159384397369302</v>
      </c>
      <c r="AE556" s="27">
        <v>17.127199999999998</v>
      </c>
      <c r="AF556" s="27">
        <v>18.408799999999999</v>
      </c>
      <c r="AG556" s="27">
        <v>18.159300000000002</v>
      </c>
      <c r="AH556" s="26">
        <v>1.0321</v>
      </c>
      <c r="AI556" s="26">
        <v>19.46785268</v>
      </c>
      <c r="AJ556" s="26">
        <f t="shared" si="176"/>
        <v>0.97339263400000009</v>
      </c>
      <c r="AK556" s="26">
        <f t="shared" si="177"/>
        <v>11.253094034682082</v>
      </c>
      <c r="AL556" s="26">
        <f t="shared" si="178"/>
        <v>0.97754448488314749</v>
      </c>
      <c r="AM556" s="17">
        <f t="shared" si="189"/>
        <v>0.5780346820809249</v>
      </c>
      <c r="AN556" s="17"/>
      <c r="AO556" s="17"/>
      <c r="AS556" s="49"/>
      <c r="AT556" s="25"/>
      <c r="AU556" s="17"/>
      <c r="AV556" s="17"/>
      <c r="AW556" s="17"/>
      <c r="AX556" s="27"/>
      <c r="BB556" s="17"/>
    </row>
    <row r="557" spans="1:54" x14ac:dyDescent="0.2">
      <c r="A557" s="17" t="s">
        <v>77</v>
      </c>
      <c r="B557" s="17" t="s">
        <v>78</v>
      </c>
      <c r="C557" s="17" t="str">
        <f t="shared" si="168"/>
        <v>HER42PB1A</v>
      </c>
      <c r="D557" s="17" t="str">
        <f t="shared" si="169"/>
        <v>HER42PB1A_26</v>
      </c>
      <c r="E557" s="27" t="s">
        <v>79</v>
      </c>
      <c r="F557" s="17">
        <v>26</v>
      </c>
      <c r="G557" s="20">
        <v>2.2000000000000002</v>
      </c>
      <c r="H557" s="20">
        <v>2.2000000000000002</v>
      </c>
      <c r="I557" s="20">
        <v>1.2</v>
      </c>
      <c r="J557" s="22">
        <f t="shared" si="167"/>
        <v>4.5592800000000011</v>
      </c>
      <c r="K557" s="53">
        <v>0.20777777777777809</v>
      </c>
      <c r="L557" s="45">
        <f t="shared" si="179"/>
        <v>34.314444444444447</v>
      </c>
      <c r="M557" s="45">
        <f t="shared" si="180"/>
        <v>35.51444444444445</v>
      </c>
      <c r="N557" s="46">
        <f t="shared" si="181"/>
        <v>34.914444444444449</v>
      </c>
      <c r="O557" s="20">
        <f t="shared" si="182"/>
        <v>34.314444444444447</v>
      </c>
      <c r="P557" s="20">
        <f t="shared" si="183"/>
        <v>35.51444444444445</v>
      </c>
      <c r="Q557" s="20">
        <f t="shared" si="184"/>
        <v>34.914444444444449</v>
      </c>
      <c r="R557" s="20">
        <f t="shared" si="170"/>
        <v>34.314444444444447</v>
      </c>
      <c r="S557" s="20">
        <f t="shared" si="171"/>
        <v>34.914444444444449</v>
      </c>
      <c r="T557" s="20">
        <f t="shared" si="172"/>
        <v>34.914444444444449</v>
      </c>
      <c r="U557" s="20">
        <f t="shared" si="173"/>
        <v>34.914444444444449</v>
      </c>
      <c r="V557" s="22">
        <v>8.7448999999999995</v>
      </c>
      <c r="W557" s="22">
        <v>4.2649999999999997</v>
      </c>
      <c r="X557" s="23">
        <v>1.1476266666666668</v>
      </c>
      <c r="Y557" s="23">
        <f t="shared" si="185"/>
        <v>7.5972733333333329</v>
      </c>
      <c r="Z557" s="23">
        <f t="shared" si="186"/>
        <v>3.1173733333333331</v>
      </c>
      <c r="AA557" s="22">
        <f t="shared" si="187"/>
        <v>58.967208410736838</v>
      </c>
      <c r="AB557" s="22">
        <f t="shared" si="188"/>
        <v>41.032791589263162</v>
      </c>
      <c r="AC557" s="22">
        <f t="shared" si="174"/>
        <v>1.6663318184742615</v>
      </c>
      <c r="AD557" s="22">
        <f t="shared" si="175"/>
        <v>0.6837424622601227</v>
      </c>
      <c r="AE557" s="27">
        <v>18.232700000000001</v>
      </c>
      <c r="AF557" s="27">
        <v>19.886099999999999</v>
      </c>
      <c r="AG557" s="27">
        <v>19.0854</v>
      </c>
      <c r="AH557" s="26">
        <v>0.85270000000000001</v>
      </c>
      <c r="AI557" s="26">
        <v>48.427482759999997</v>
      </c>
      <c r="AJ557" s="26">
        <f t="shared" si="176"/>
        <v>2.421374138</v>
      </c>
      <c r="AK557" s="26">
        <f t="shared" si="177"/>
        <v>27.992764601156068</v>
      </c>
      <c r="AL557" s="26">
        <f t="shared" si="178"/>
        <v>2.4230461646809873</v>
      </c>
      <c r="AM557" s="17">
        <f t="shared" si="189"/>
        <v>0.5780346820809249</v>
      </c>
      <c r="AN557" s="17"/>
      <c r="AO557" s="17"/>
      <c r="AS557" s="49"/>
      <c r="AT557" s="25"/>
      <c r="AU557" s="17"/>
      <c r="AV557" s="17"/>
      <c r="AW557" s="17"/>
      <c r="AX557" s="27"/>
      <c r="BB557" s="17"/>
    </row>
    <row r="558" spans="1:54" x14ac:dyDescent="0.2">
      <c r="A558" s="17" t="s">
        <v>77</v>
      </c>
      <c r="B558" s="17" t="s">
        <v>78</v>
      </c>
      <c r="C558" s="17" t="str">
        <f t="shared" si="168"/>
        <v>HER42PB1A</v>
      </c>
      <c r="D558" s="17" t="str">
        <f t="shared" si="169"/>
        <v>HER42PB1A_27</v>
      </c>
      <c r="E558" s="27" t="s">
        <v>79</v>
      </c>
      <c r="F558" s="17">
        <v>27</v>
      </c>
      <c r="G558" s="20">
        <v>2.25</v>
      </c>
      <c r="H558" s="20">
        <v>2.1</v>
      </c>
      <c r="I558" s="20">
        <v>1.2</v>
      </c>
      <c r="J558" s="22">
        <f t="shared" si="167"/>
        <v>4.4562487499999994</v>
      </c>
      <c r="K558" s="53">
        <v>0.20777777777777809</v>
      </c>
      <c r="L558" s="45">
        <f t="shared" si="179"/>
        <v>35.722222222222229</v>
      </c>
      <c r="M558" s="45">
        <f t="shared" si="180"/>
        <v>36.922222222222231</v>
      </c>
      <c r="N558" s="46">
        <f t="shared" si="181"/>
        <v>36.32222222222223</v>
      </c>
      <c r="O558" s="20">
        <f t="shared" si="182"/>
        <v>35.722222222222229</v>
      </c>
      <c r="P558" s="20">
        <f t="shared" si="183"/>
        <v>36.922222222222231</v>
      </c>
      <c r="Q558" s="20">
        <f t="shared" si="184"/>
        <v>36.32222222222223</v>
      </c>
      <c r="R558" s="20">
        <f t="shared" si="170"/>
        <v>35.722222222222229</v>
      </c>
      <c r="S558" s="20">
        <f t="shared" si="171"/>
        <v>36.32222222222223</v>
      </c>
      <c r="T558" s="20">
        <f t="shared" si="172"/>
        <v>36.32222222222223</v>
      </c>
      <c r="U558" s="20">
        <f t="shared" si="173"/>
        <v>36.32222222222223</v>
      </c>
      <c r="V558" s="22">
        <v>8.3164999999999996</v>
      </c>
      <c r="W558" s="22">
        <v>4.0225999999999997</v>
      </c>
      <c r="X558" s="23">
        <v>1.1476266666666668</v>
      </c>
      <c r="Y558" s="23">
        <f t="shared" si="185"/>
        <v>7.168873333333333</v>
      </c>
      <c r="Z558" s="23">
        <f t="shared" si="186"/>
        <v>2.8749733333333332</v>
      </c>
      <c r="AA558" s="22">
        <f t="shared" si="187"/>
        <v>59.896441188806051</v>
      </c>
      <c r="AB558" s="22">
        <f t="shared" si="188"/>
        <v>40.103558811193949</v>
      </c>
      <c r="AC558" s="22">
        <f t="shared" si="174"/>
        <v>1.6087237799131688</v>
      </c>
      <c r="AD558" s="22">
        <f t="shared" si="175"/>
        <v>0.64515548718714</v>
      </c>
      <c r="AE558" s="27">
        <v>16.630099999999999</v>
      </c>
      <c r="AF558" s="27">
        <v>17.730599999999999</v>
      </c>
      <c r="AG558" s="27">
        <v>17.522500000000001</v>
      </c>
      <c r="AH558" s="26">
        <v>0.89239999999999997</v>
      </c>
      <c r="AI558" s="26">
        <v>18.90958655</v>
      </c>
      <c r="AJ558" s="26">
        <f t="shared" si="176"/>
        <v>0.94547932750000008</v>
      </c>
      <c r="AK558" s="26">
        <f t="shared" si="177"/>
        <v>10.930396849710984</v>
      </c>
      <c r="AL558" s="26">
        <f t="shared" si="178"/>
        <v>0.94975320938118046</v>
      </c>
      <c r="AM558" s="17">
        <f t="shared" si="189"/>
        <v>0.5780346820809249</v>
      </c>
      <c r="AN558" s="17"/>
      <c r="AO558" s="27"/>
      <c r="AS558" s="49"/>
      <c r="AT558" s="25"/>
      <c r="AU558" s="17"/>
      <c r="AV558" s="17"/>
      <c r="AW558" s="17"/>
      <c r="AX558" s="27"/>
      <c r="BB558" s="17"/>
    </row>
    <row r="559" spans="1:54" x14ac:dyDescent="0.2">
      <c r="A559" s="17" t="s">
        <v>77</v>
      </c>
      <c r="B559" s="17" t="s">
        <v>78</v>
      </c>
      <c r="C559" s="17" t="str">
        <f t="shared" si="168"/>
        <v>HER42PB1A</v>
      </c>
      <c r="D559" s="17" t="str">
        <f t="shared" si="169"/>
        <v>HER42PB1A_28</v>
      </c>
      <c r="E559" s="27" t="s">
        <v>79</v>
      </c>
      <c r="F559" s="17">
        <v>28</v>
      </c>
      <c r="G559" s="20">
        <v>2.2000000000000002</v>
      </c>
      <c r="H559" s="20">
        <v>2.0499999999999998</v>
      </c>
      <c r="I559" s="20">
        <v>1.1000000000000001</v>
      </c>
      <c r="J559" s="22">
        <f t="shared" si="167"/>
        <v>3.8992421875000005</v>
      </c>
      <c r="K559" s="53">
        <v>0.20777777777777809</v>
      </c>
      <c r="L559" s="45">
        <f t="shared" si="179"/>
        <v>37.13000000000001</v>
      </c>
      <c r="M559" s="45">
        <f t="shared" si="180"/>
        <v>38.230000000000011</v>
      </c>
      <c r="N559" s="46">
        <f t="shared" si="181"/>
        <v>37.680000000000007</v>
      </c>
      <c r="O559" s="20">
        <f t="shared" si="182"/>
        <v>37.13000000000001</v>
      </c>
      <c r="P559" s="20">
        <f t="shared" si="183"/>
        <v>38.230000000000011</v>
      </c>
      <c r="Q559" s="20">
        <f t="shared" si="184"/>
        <v>37.680000000000007</v>
      </c>
      <c r="R559" s="20">
        <f t="shared" si="170"/>
        <v>37.13000000000001</v>
      </c>
      <c r="S559" s="20">
        <f t="shared" si="171"/>
        <v>37.680000000000007</v>
      </c>
      <c r="T559" s="20">
        <f t="shared" si="172"/>
        <v>37.680000000000007</v>
      </c>
      <c r="U559" s="20">
        <f t="shared" si="173"/>
        <v>37.680000000000007</v>
      </c>
      <c r="V559" s="22">
        <v>7.3726000000000003</v>
      </c>
      <c r="W559" s="22">
        <v>3.4396</v>
      </c>
      <c r="X559" s="23">
        <v>1.1476266666666668</v>
      </c>
      <c r="Y559" s="23">
        <f t="shared" si="185"/>
        <v>6.2249733333333337</v>
      </c>
      <c r="Z559" s="23">
        <f t="shared" si="186"/>
        <v>2.291973333333333</v>
      </c>
      <c r="AA559" s="22">
        <f t="shared" si="187"/>
        <v>63.180993546424837</v>
      </c>
      <c r="AB559" s="22">
        <f t="shared" si="188"/>
        <v>36.819006453575163</v>
      </c>
      <c r="AC559" s="22">
        <f t="shared" si="174"/>
        <v>1.5964572175816747</v>
      </c>
      <c r="AD559" s="22">
        <f t="shared" si="175"/>
        <v>0.58779968596996324</v>
      </c>
      <c r="AE559" s="27">
        <v>13.504300000000001</v>
      </c>
      <c r="AF559" s="27">
        <v>14.488200000000001</v>
      </c>
      <c r="AG559" s="27">
        <v>14.2904</v>
      </c>
      <c r="AH559" s="26">
        <v>0.78610000000000002</v>
      </c>
      <c r="AI559" s="26">
        <v>20.103669069999999</v>
      </c>
      <c r="AJ559" s="26">
        <f t="shared" si="176"/>
        <v>1.0051834534999999</v>
      </c>
      <c r="AK559" s="26">
        <f t="shared" si="177"/>
        <v>11.620617959537572</v>
      </c>
      <c r="AL559" s="26">
        <f t="shared" si="178"/>
        <v>1.0092045259461466</v>
      </c>
      <c r="AM559" s="17">
        <f t="shared" si="189"/>
        <v>0.5780346820809249</v>
      </c>
      <c r="AN559" s="17"/>
      <c r="AO559" s="27"/>
      <c r="AS559" s="49"/>
      <c r="AT559" s="25"/>
      <c r="AU559" s="17"/>
      <c r="AV559" s="17"/>
      <c r="AW559" s="17"/>
      <c r="AX559" s="27"/>
      <c r="BB559" s="17"/>
    </row>
    <row r="560" spans="1:54" x14ac:dyDescent="0.2">
      <c r="A560" s="17" t="s">
        <v>77</v>
      </c>
      <c r="B560" s="17" t="s">
        <v>78</v>
      </c>
      <c r="C560" s="17" t="str">
        <f t="shared" si="168"/>
        <v>HER42PB1A</v>
      </c>
      <c r="D560" s="17" t="str">
        <f t="shared" si="169"/>
        <v>HER42PB1A_29</v>
      </c>
      <c r="E560" s="27" t="s">
        <v>79</v>
      </c>
      <c r="F560" s="17">
        <v>29</v>
      </c>
      <c r="G560" s="20">
        <v>2.25</v>
      </c>
      <c r="H560" s="20">
        <v>2.1</v>
      </c>
      <c r="I560" s="20">
        <v>1.1499999999999999</v>
      </c>
      <c r="J560" s="22">
        <f t="shared" si="167"/>
        <v>4.2705717187499985</v>
      </c>
      <c r="K560" s="53">
        <v>0.20777777777777809</v>
      </c>
      <c r="L560" s="45">
        <f t="shared" si="179"/>
        <v>38.437777777777789</v>
      </c>
      <c r="M560" s="45">
        <f t="shared" si="180"/>
        <v>39.587777777777788</v>
      </c>
      <c r="N560" s="46">
        <f t="shared" si="181"/>
        <v>39.012777777777785</v>
      </c>
      <c r="O560" s="20">
        <f t="shared" si="182"/>
        <v>38.437777777777789</v>
      </c>
      <c r="P560" s="20">
        <f t="shared" si="183"/>
        <v>39.587777777777788</v>
      </c>
      <c r="Q560" s="20">
        <f t="shared" si="184"/>
        <v>39.012777777777785</v>
      </c>
      <c r="R560" s="20">
        <f t="shared" si="170"/>
        <v>38.437777777777789</v>
      </c>
      <c r="S560" s="20">
        <f t="shared" si="171"/>
        <v>39.012777777777785</v>
      </c>
      <c r="T560" s="20">
        <f t="shared" si="172"/>
        <v>39.012777777777785</v>
      </c>
      <c r="U560" s="20">
        <f t="shared" si="173"/>
        <v>39.012777777777785</v>
      </c>
      <c r="V560" s="22">
        <v>7.7603999999999997</v>
      </c>
      <c r="W560" s="22">
        <v>3.9721000000000002</v>
      </c>
      <c r="X560" s="23">
        <v>1.1476266666666668</v>
      </c>
      <c r="Y560" s="23">
        <f t="shared" si="185"/>
        <v>6.6127733333333332</v>
      </c>
      <c r="Z560" s="23">
        <f t="shared" si="186"/>
        <v>2.8244733333333336</v>
      </c>
      <c r="AA560" s="22">
        <f t="shared" si="187"/>
        <v>57.287613064009449</v>
      </c>
      <c r="AB560" s="22">
        <f t="shared" si="188"/>
        <v>42.712386935990551</v>
      </c>
      <c r="AC560" s="22">
        <f t="shared" si="174"/>
        <v>1.5484515350251278</v>
      </c>
      <c r="AD560" s="22">
        <f t="shared" si="175"/>
        <v>0.66138061115621782</v>
      </c>
      <c r="AE560" s="27">
        <v>13.152200000000001</v>
      </c>
      <c r="AF560" s="27">
        <v>14.546900000000001</v>
      </c>
      <c r="AG560" s="27">
        <v>14.352600000000001</v>
      </c>
      <c r="AH560" s="26">
        <v>1.2003999999999999</v>
      </c>
      <c r="AI560" s="26">
        <v>13.931311389999999</v>
      </c>
      <c r="AJ560" s="26">
        <f t="shared" si="176"/>
        <v>0.69656556950000004</v>
      </c>
      <c r="AK560" s="26">
        <f t="shared" si="177"/>
        <v>8.0527811502890181</v>
      </c>
      <c r="AL560" s="26">
        <f t="shared" si="178"/>
        <v>0.70235574505577969</v>
      </c>
      <c r="AM560" s="17">
        <f t="shared" si="189"/>
        <v>0.5780346820809249</v>
      </c>
      <c r="AN560" s="17"/>
      <c r="AO560" s="27"/>
      <c r="AS560" s="49"/>
      <c r="AT560" s="25"/>
      <c r="AU560" s="17"/>
      <c r="AV560" s="17"/>
      <c r="AW560" s="17"/>
      <c r="AX560" s="27"/>
      <c r="BB560" s="17"/>
    </row>
    <row r="561" spans="1:54" x14ac:dyDescent="0.2">
      <c r="A561" s="17" t="s">
        <v>77</v>
      </c>
      <c r="B561" s="17" t="s">
        <v>78</v>
      </c>
      <c r="C561" s="17" t="str">
        <f t="shared" si="168"/>
        <v>HER42PB1A</v>
      </c>
      <c r="D561" s="17" t="str">
        <f t="shared" si="169"/>
        <v>HER42PB1A_30</v>
      </c>
      <c r="E561" s="27" t="s">
        <v>79</v>
      </c>
      <c r="F561" s="17">
        <v>30</v>
      </c>
      <c r="G561" s="20">
        <v>2.0499999999999998</v>
      </c>
      <c r="H561" s="20">
        <v>2.1</v>
      </c>
      <c r="I561" s="20">
        <v>1.1499999999999999</v>
      </c>
      <c r="J561" s="22">
        <f t="shared" si="167"/>
        <v>3.8869029687500007</v>
      </c>
      <c r="K561" s="53">
        <v>0.20777777777777809</v>
      </c>
      <c r="L561" s="45">
        <f t="shared" si="179"/>
        <v>39.795555555555566</v>
      </c>
      <c r="M561" s="45">
        <f t="shared" si="180"/>
        <v>40.945555555555565</v>
      </c>
      <c r="N561" s="46">
        <f t="shared" si="181"/>
        <v>40.370555555555569</v>
      </c>
      <c r="O561" s="20">
        <f t="shared" si="182"/>
        <v>39.795555555555566</v>
      </c>
      <c r="P561" s="20">
        <f t="shared" si="183"/>
        <v>40.945555555555565</v>
      </c>
      <c r="Q561" s="20">
        <f t="shared" si="184"/>
        <v>40.370555555555569</v>
      </c>
      <c r="R561" s="20">
        <f t="shared" si="170"/>
        <v>39.795555555555566</v>
      </c>
      <c r="S561" s="20">
        <f t="shared" si="171"/>
        <v>40.370555555555569</v>
      </c>
      <c r="T561" s="20">
        <f t="shared" si="172"/>
        <v>40.370555555555569</v>
      </c>
      <c r="U561" s="20">
        <f t="shared" si="173"/>
        <v>40.370555555555569</v>
      </c>
      <c r="V561" s="22">
        <v>7.3094000000000001</v>
      </c>
      <c r="W561" s="22">
        <v>3.5678999999999998</v>
      </c>
      <c r="X561" s="23">
        <v>1.1476266666666668</v>
      </c>
      <c r="Y561" s="23">
        <f t="shared" si="185"/>
        <v>6.1617733333333335</v>
      </c>
      <c r="Z561" s="23">
        <f t="shared" si="186"/>
        <v>2.4202733333333333</v>
      </c>
      <c r="AA561" s="22">
        <f t="shared" si="187"/>
        <v>60.721156030839609</v>
      </c>
      <c r="AB561" s="22">
        <f t="shared" si="188"/>
        <v>39.278843969160391</v>
      </c>
      <c r="AC561" s="22">
        <f t="shared" si="174"/>
        <v>1.5852655399100211</v>
      </c>
      <c r="AD561" s="22">
        <f t="shared" si="175"/>
        <v>0.62267397791812518</v>
      </c>
      <c r="AE561" s="27">
        <v>13.819000000000001</v>
      </c>
      <c r="AF561" s="27">
        <v>15.0078</v>
      </c>
      <c r="AG561" s="27">
        <v>14.819100000000001</v>
      </c>
      <c r="AH561" s="26">
        <v>1.0001</v>
      </c>
      <c r="AI561" s="26">
        <v>15.87314939</v>
      </c>
      <c r="AJ561" s="26">
        <f t="shared" si="176"/>
        <v>0.79365746950000005</v>
      </c>
      <c r="AK561" s="26">
        <f t="shared" si="177"/>
        <v>9.1752308612716771</v>
      </c>
      <c r="AL561" s="26">
        <f t="shared" si="178"/>
        <v>0.79874412604609712</v>
      </c>
      <c r="AM561" s="17">
        <f t="shared" si="189"/>
        <v>0.5780346820809249</v>
      </c>
      <c r="AN561" s="17"/>
      <c r="AO561" s="27"/>
      <c r="AS561" s="49"/>
      <c r="AT561" s="25"/>
      <c r="AU561" s="17"/>
      <c r="AV561" s="17"/>
      <c r="AW561" s="17"/>
      <c r="AX561" s="27"/>
      <c r="BB561" s="17"/>
    </row>
    <row r="562" spans="1:54" x14ac:dyDescent="0.2">
      <c r="A562" s="17" t="s">
        <v>77</v>
      </c>
      <c r="B562" s="17" t="s">
        <v>78</v>
      </c>
      <c r="C562" s="17" t="str">
        <f t="shared" si="168"/>
        <v>HER42PB1A</v>
      </c>
      <c r="D562" s="17" t="str">
        <f t="shared" si="169"/>
        <v>HER42PB1A_31</v>
      </c>
      <c r="E562" s="27" t="s">
        <v>79</v>
      </c>
      <c r="F562" s="17">
        <v>31</v>
      </c>
      <c r="G562" s="20">
        <v>2.0499999999999998</v>
      </c>
      <c r="H562" s="20">
        <v>2.0499999999999998</v>
      </c>
      <c r="I562" s="20">
        <v>1.1000000000000001</v>
      </c>
      <c r="J562" s="22">
        <f t="shared" si="167"/>
        <v>3.6288587499999996</v>
      </c>
      <c r="K562" s="53">
        <v>0.20777777777777809</v>
      </c>
      <c r="L562" s="45">
        <f t="shared" si="179"/>
        <v>41.153333333333343</v>
      </c>
      <c r="M562" s="45">
        <f t="shared" si="180"/>
        <v>42.253333333333345</v>
      </c>
      <c r="N562" s="46">
        <f t="shared" si="181"/>
        <v>41.703333333333347</v>
      </c>
      <c r="O562" s="20">
        <f t="shared" si="182"/>
        <v>41.153333333333343</v>
      </c>
      <c r="P562" s="20">
        <f t="shared" si="183"/>
        <v>42.253333333333345</v>
      </c>
      <c r="Q562" s="20">
        <f t="shared" si="184"/>
        <v>41.703333333333347</v>
      </c>
      <c r="R562" s="20">
        <f t="shared" si="170"/>
        <v>41.153333333333343</v>
      </c>
      <c r="S562" s="20">
        <f t="shared" si="171"/>
        <v>41.703333333333347</v>
      </c>
      <c r="T562" s="20">
        <f t="shared" si="172"/>
        <v>41.703333333333347</v>
      </c>
      <c r="U562" s="20">
        <f t="shared" si="173"/>
        <v>41.703333333333347</v>
      </c>
      <c r="V562" s="22">
        <v>7.6669</v>
      </c>
      <c r="W562" s="22">
        <v>3.8449</v>
      </c>
      <c r="X562" s="23">
        <v>1.1476266666666668</v>
      </c>
      <c r="Y562" s="23">
        <f t="shared" si="185"/>
        <v>6.5192733333333335</v>
      </c>
      <c r="Z562" s="23">
        <f t="shared" si="186"/>
        <v>2.6972733333333334</v>
      </c>
      <c r="AA562" s="22">
        <f t="shared" si="187"/>
        <v>58.626165901925674</v>
      </c>
      <c r="AB562" s="22">
        <f t="shared" si="188"/>
        <v>41.373834098074326</v>
      </c>
      <c r="AC562" s="22">
        <f t="shared" si="174"/>
        <v>1.7965078782229631</v>
      </c>
      <c r="AD562" s="22">
        <f t="shared" si="175"/>
        <v>0.74328418909480387</v>
      </c>
      <c r="AE562" s="27">
        <v>16.903700000000001</v>
      </c>
      <c r="AF562" s="27">
        <v>17.250599999999999</v>
      </c>
      <c r="AG562" s="27">
        <v>17.1876</v>
      </c>
      <c r="AH562" s="26">
        <v>0.28389999999999999</v>
      </c>
      <c r="AI562" s="26">
        <v>18.16085327</v>
      </c>
      <c r="AJ562" s="26">
        <f t="shared" si="176"/>
        <v>0.90804266350000007</v>
      </c>
      <c r="AK562" s="26">
        <f t="shared" si="177"/>
        <v>10.497603046242777</v>
      </c>
      <c r="AL562" s="26">
        <f t="shared" si="178"/>
        <v>0.91249190612091147</v>
      </c>
      <c r="AM562" s="17">
        <f t="shared" si="189"/>
        <v>0.5780346820809249</v>
      </c>
      <c r="AN562" s="17"/>
      <c r="AO562" s="27"/>
      <c r="AS562" s="49"/>
      <c r="AT562" s="25"/>
      <c r="AU562" s="17"/>
      <c r="AV562" s="17"/>
      <c r="AW562" s="17"/>
      <c r="AX562" s="27"/>
      <c r="BB562" s="17"/>
    </row>
    <row r="563" spans="1:54" x14ac:dyDescent="0.2">
      <c r="A563" s="17" t="s">
        <v>77</v>
      </c>
      <c r="B563" s="17" t="s">
        <v>78</v>
      </c>
      <c r="C563" s="17" t="str">
        <f t="shared" si="168"/>
        <v>HER42PB1A</v>
      </c>
      <c r="D563" s="17" t="str">
        <f t="shared" si="169"/>
        <v>HER42PB1A_32</v>
      </c>
      <c r="E563" s="27" t="s">
        <v>79</v>
      </c>
      <c r="F563" s="17">
        <v>32</v>
      </c>
      <c r="G563" s="20">
        <v>2.0499999999999998</v>
      </c>
      <c r="H563" s="20">
        <v>2.15</v>
      </c>
      <c r="I563" s="20">
        <v>1.2</v>
      </c>
      <c r="J563" s="22">
        <f t="shared" si="167"/>
        <v>4.1542199999999987</v>
      </c>
      <c r="K563" s="53">
        <v>0.20777777777777809</v>
      </c>
      <c r="L563" s="45">
        <f t="shared" si="179"/>
        <v>42.461111111111123</v>
      </c>
      <c r="M563" s="45">
        <f t="shared" si="180"/>
        <v>43.661111111111126</v>
      </c>
      <c r="N563" s="46">
        <f t="shared" si="181"/>
        <v>43.061111111111124</v>
      </c>
      <c r="O563" s="20">
        <f t="shared" si="182"/>
        <v>42.461111111111123</v>
      </c>
      <c r="P563" s="20">
        <f t="shared" si="183"/>
        <v>43.661111111111126</v>
      </c>
      <c r="Q563" s="20">
        <f t="shared" si="184"/>
        <v>43.061111111111124</v>
      </c>
      <c r="R563" s="20">
        <f t="shared" si="170"/>
        <v>42.461111111111123</v>
      </c>
      <c r="S563" s="20">
        <f t="shared" si="171"/>
        <v>43.061111111111124</v>
      </c>
      <c r="T563" s="20">
        <f t="shared" si="172"/>
        <v>43.061111111111124</v>
      </c>
      <c r="U563" s="20">
        <f t="shared" si="173"/>
        <v>43.061111111111124</v>
      </c>
      <c r="V563" s="22">
        <v>7.3429000000000002</v>
      </c>
      <c r="W563" s="22">
        <v>2.8961999999999999</v>
      </c>
      <c r="X563" s="23">
        <v>1.1476266666666668</v>
      </c>
      <c r="Y563" s="23">
        <f t="shared" si="185"/>
        <v>6.1952733333333336</v>
      </c>
      <c r="Z563" s="23">
        <f t="shared" si="186"/>
        <v>1.7485733333333331</v>
      </c>
      <c r="AA563" s="22">
        <f t="shared" si="187"/>
        <v>71.775687056045967</v>
      </c>
      <c r="AB563" s="22">
        <f t="shared" si="188"/>
        <v>28.224312943954033</v>
      </c>
      <c r="AC563" s="22">
        <f t="shared" si="174"/>
        <v>1.4913204725154989</v>
      </c>
      <c r="AD563" s="22">
        <f t="shared" si="175"/>
        <v>0.42091495716002852</v>
      </c>
      <c r="AE563" s="27">
        <v>9.2171000000000003</v>
      </c>
      <c r="AF563" s="27">
        <v>9.4845000000000006</v>
      </c>
      <c r="AG563" s="27">
        <v>9.3963999999999999</v>
      </c>
      <c r="AH563" s="26">
        <v>0.17929999999999999</v>
      </c>
      <c r="AI563" s="26">
        <v>32.946896039999999</v>
      </c>
      <c r="AJ563" s="26">
        <f t="shared" si="176"/>
        <v>1.6473448020000001</v>
      </c>
      <c r="AK563" s="26">
        <f t="shared" si="177"/>
        <v>19.044448578034682</v>
      </c>
      <c r="AL563" s="26">
        <f t="shared" si="178"/>
        <v>1.6498014718978826</v>
      </c>
      <c r="AM563" s="17">
        <f t="shared" si="189"/>
        <v>0.5780346820809249</v>
      </c>
      <c r="AN563" s="17"/>
      <c r="AO563" s="27"/>
      <c r="AS563" s="49"/>
      <c r="AT563" s="25"/>
      <c r="AU563" s="17"/>
      <c r="AV563" s="17"/>
      <c r="AW563" s="17"/>
      <c r="AX563" s="27"/>
      <c r="BB563" s="17"/>
    </row>
    <row r="564" spans="1:54" x14ac:dyDescent="0.2">
      <c r="A564" s="17" t="s">
        <v>77</v>
      </c>
      <c r="B564" s="17" t="s">
        <v>78</v>
      </c>
      <c r="C564" s="17" t="str">
        <f t="shared" si="168"/>
        <v>HER42PB1A</v>
      </c>
      <c r="D564" s="17" t="str">
        <f t="shared" si="169"/>
        <v>HER42PB1A_33</v>
      </c>
      <c r="E564" s="27" t="s">
        <v>79</v>
      </c>
      <c r="F564" s="17">
        <v>33</v>
      </c>
      <c r="G564" s="20">
        <v>2.0499999999999998</v>
      </c>
      <c r="H564" s="20">
        <v>2.25</v>
      </c>
      <c r="I564" s="20">
        <v>1.1499999999999999</v>
      </c>
      <c r="J564" s="22">
        <f t="shared" si="167"/>
        <v>4.1729618749999995</v>
      </c>
      <c r="K564" s="53">
        <v>0.20777777777777809</v>
      </c>
      <c r="L564" s="45">
        <f t="shared" si="179"/>
        <v>43.868888888888904</v>
      </c>
      <c r="M564" s="45">
        <f t="shared" si="180"/>
        <v>45.018888888888902</v>
      </c>
      <c r="N564" s="46">
        <f t="shared" si="181"/>
        <v>44.443888888888907</v>
      </c>
      <c r="O564" s="20">
        <f t="shared" si="182"/>
        <v>43.868888888888904</v>
      </c>
      <c r="P564" s="20">
        <f t="shared" si="183"/>
        <v>45.018888888888902</v>
      </c>
      <c r="Q564" s="20">
        <f t="shared" si="184"/>
        <v>44.443888888888907</v>
      </c>
      <c r="R564" s="20">
        <f t="shared" si="170"/>
        <v>43.868888888888904</v>
      </c>
      <c r="S564" s="20">
        <f t="shared" si="171"/>
        <v>44.443888888888907</v>
      </c>
      <c r="T564" s="20">
        <f t="shared" si="172"/>
        <v>44.443888888888907</v>
      </c>
      <c r="U564" s="20">
        <f t="shared" si="173"/>
        <v>44.443888888888907</v>
      </c>
      <c r="V564" s="22">
        <v>7.2576999999999998</v>
      </c>
      <c r="W564" s="22">
        <v>2.778</v>
      </c>
      <c r="X564" s="23">
        <v>1.1476266666666668</v>
      </c>
      <c r="Y564" s="23">
        <f t="shared" si="185"/>
        <v>6.1100733333333332</v>
      </c>
      <c r="Z564" s="23">
        <f t="shared" si="186"/>
        <v>1.6303733333333332</v>
      </c>
      <c r="AA564" s="22">
        <f t="shared" si="187"/>
        <v>73.316632315378655</v>
      </c>
      <c r="AB564" s="22">
        <f t="shared" si="188"/>
        <v>26.683367684621345</v>
      </c>
      <c r="AC564" s="22">
        <f t="shared" si="174"/>
        <v>1.4642054052634579</v>
      </c>
      <c r="AD564" s="22">
        <f t="shared" si="175"/>
        <v>0.3906993119445486</v>
      </c>
      <c r="AE564" s="27">
        <v>10.0854</v>
      </c>
      <c r="AF564" s="27">
        <v>10.2544</v>
      </c>
      <c r="AG564" s="27">
        <v>10.1905</v>
      </c>
      <c r="AH564" s="26">
        <v>0.1051</v>
      </c>
      <c r="AI564" s="26">
        <v>37.810650889999998</v>
      </c>
      <c r="AJ564" s="26">
        <f t="shared" si="176"/>
        <v>1.8905325445000001</v>
      </c>
      <c r="AK564" s="26">
        <f t="shared" si="177"/>
        <v>21.855867566473989</v>
      </c>
      <c r="AL564" s="26">
        <f t="shared" si="178"/>
        <v>1.8926735856490535</v>
      </c>
      <c r="AM564" s="17">
        <f t="shared" si="189"/>
        <v>0.5780346820809249</v>
      </c>
      <c r="AN564" s="17"/>
      <c r="AO564" s="27"/>
      <c r="AS564" s="49"/>
      <c r="AT564" s="25"/>
      <c r="AU564" s="17"/>
      <c r="AV564" s="17"/>
      <c r="AW564" s="17"/>
      <c r="AX564" s="27"/>
      <c r="BB564" s="17"/>
    </row>
    <row r="565" spans="1:54" x14ac:dyDescent="0.2">
      <c r="A565" s="17" t="s">
        <v>77</v>
      </c>
      <c r="B565" s="17" t="s">
        <v>78</v>
      </c>
      <c r="C565" s="17" t="str">
        <f t="shared" si="168"/>
        <v>HER42PB1A</v>
      </c>
      <c r="D565" s="17" t="str">
        <f t="shared" si="169"/>
        <v>HER42PB1A_34</v>
      </c>
      <c r="E565" s="27" t="s">
        <v>79</v>
      </c>
      <c r="F565" s="17">
        <v>34</v>
      </c>
      <c r="G565" s="20">
        <v>1.95</v>
      </c>
      <c r="H565" s="20">
        <v>2.1</v>
      </c>
      <c r="I565" s="20">
        <v>1.1499999999999999</v>
      </c>
      <c r="J565" s="22">
        <f t="shared" si="167"/>
        <v>3.7018392187499995</v>
      </c>
      <c r="K565" s="53">
        <v>0.20777777777777809</v>
      </c>
      <c r="L565" s="45">
        <f t="shared" si="179"/>
        <v>45.226666666666681</v>
      </c>
      <c r="M565" s="45">
        <f t="shared" si="180"/>
        <v>46.376666666666679</v>
      </c>
      <c r="N565" s="46">
        <f t="shared" si="181"/>
        <v>45.801666666666677</v>
      </c>
      <c r="O565" s="20">
        <f t="shared" si="182"/>
        <v>45.226666666666681</v>
      </c>
      <c r="P565" s="20">
        <f t="shared" si="183"/>
        <v>46.376666666666679</v>
      </c>
      <c r="Q565" s="20">
        <f t="shared" si="184"/>
        <v>45.801666666666677</v>
      </c>
      <c r="R565" s="20">
        <f t="shared" si="170"/>
        <v>45.226666666666681</v>
      </c>
      <c r="S565" s="20">
        <f t="shared" si="171"/>
        <v>45.801666666666677</v>
      </c>
      <c r="T565" s="20">
        <f t="shared" si="172"/>
        <v>45.801666666666677</v>
      </c>
      <c r="U565" s="20">
        <f t="shared" si="173"/>
        <v>45.801666666666677</v>
      </c>
      <c r="V565" s="22">
        <v>6.6820000000000004</v>
      </c>
      <c r="W565" s="22">
        <v>2.4897999999999998</v>
      </c>
      <c r="X565" s="23">
        <v>1.1476266666666668</v>
      </c>
      <c r="Y565" s="23">
        <f t="shared" si="185"/>
        <v>5.5343733333333338</v>
      </c>
      <c r="Z565" s="23">
        <f t="shared" si="186"/>
        <v>1.342173333333333</v>
      </c>
      <c r="AA565" s="22">
        <f t="shared" si="187"/>
        <v>75.74841355118798</v>
      </c>
      <c r="AB565" s="22">
        <f t="shared" si="188"/>
        <v>24.25158644881202</v>
      </c>
      <c r="AC565" s="22">
        <f t="shared" si="174"/>
        <v>1.4950334161736301</v>
      </c>
      <c r="AD565" s="22">
        <f t="shared" si="175"/>
        <v>0.36256932136197551</v>
      </c>
      <c r="AE565" s="27">
        <v>17.832899999999999</v>
      </c>
      <c r="AF565" s="27">
        <v>18.037199999999999</v>
      </c>
      <c r="AG565" s="27">
        <v>17.953900000000001</v>
      </c>
      <c r="AH565" s="26">
        <v>0.121</v>
      </c>
      <c r="AI565" s="26">
        <v>40.77337249</v>
      </c>
      <c r="AJ565" s="26">
        <f t="shared" si="176"/>
        <v>2.0386686245000001</v>
      </c>
      <c r="AK565" s="26">
        <f t="shared" si="177"/>
        <v>23.56842340462428</v>
      </c>
      <c r="AL565" s="26">
        <f t="shared" si="178"/>
        <v>2.0406542481568803</v>
      </c>
      <c r="AM565" s="17">
        <f t="shared" si="189"/>
        <v>0.5780346820809249</v>
      </c>
      <c r="AN565" s="17"/>
      <c r="AO565" s="27"/>
      <c r="AS565" s="49"/>
      <c r="AT565" s="25"/>
      <c r="AU565" s="17"/>
      <c r="AV565" s="17"/>
      <c r="AW565" s="17"/>
      <c r="AX565" s="27"/>
      <c r="BB565" s="17"/>
    </row>
    <row r="566" spans="1:54" x14ac:dyDescent="0.2">
      <c r="A566" s="17" t="s">
        <v>77</v>
      </c>
      <c r="B566" s="17" t="s">
        <v>78</v>
      </c>
      <c r="C566" s="17" t="str">
        <f t="shared" si="168"/>
        <v>HER42PB1A</v>
      </c>
      <c r="D566" s="17" t="str">
        <f t="shared" si="169"/>
        <v>HER42PB1A_35</v>
      </c>
      <c r="E566" s="27" t="s">
        <v>79</v>
      </c>
      <c r="F566" s="17">
        <v>35</v>
      </c>
      <c r="G566" s="20">
        <v>2.0499999999999998</v>
      </c>
      <c r="H566" s="20">
        <v>2.0499999999999998</v>
      </c>
      <c r="I566" s="20">
        <v>1.1000000000000001</v>
      </c>
      <c r="J566" s="22">
        <f t="shared" si="167"/>
        <v>3.6288587499999996</v>
      </c>
      <c r="K566" s="53">
        <v>0.20777777777777809</v>
      </c>
      <c r="L566" s="45">
        <f t="shared" si="179"/>
        <v>46.584444444444458</v>
      </c>
      <c r="M566" s="45">
        <f t="shared" si="180"/>
        <v>47.684444444444459</v>
      </c>
      <c r="N566" s="46">
        <f t="shared" si="181"/>
        <v>47.134444444444455</v>
      </c>
      <c r="O566" s="20">
        <f t="shared" si="182"/>
        <v>46.584444444444458</v>
      </c>
      <c r="P566" s="20">
        <f t="shared" si="183"/>
        <v>47.684444444444459</v>
      </c>
      <c r="Q566" s="20">
        <f t="shared" si="184"/>
        <v>47.134444444444455</v>
      </c>
      <c r="R566" s="20">
        <f t="shared" si="170"/>
        <v>46.584444444444458</v>
      </c>
      <c r="S566" s="20">
        <f t="shared" si="171"/>
        <v>47.134444444444455</v>
      </c>
      <c r="T566" s="20">
        <f t="shared" si="172"/>
        <v>47.134444444444455</v>
      </c>
      <c r="U566" s="20">
        <f t="shared" si="173"/>
        <v>47.134444444444455</v>
      </c>
      <c r="V566" s="22">
        <v>6.7618</v>
      </c>
      <c r="W566" s="22">
        <v>2.7191999999999998</v>
      </c>
      <c r="X566" s="23">
        <v>1.1476266666666668</v>
      </c>
      <c r="Y566" s="23">
        <f t="shared" si="185"/>
        <v>5.6141733333333335</v>
      </c>
      <c r="Z566" s="23">
        <f t="shared" si="186"/>
        <v>1.571573333333333</v>
      </c>
      <c r="AA566" s="22">
        <f t="shared" si="187"/>
        <v>72.007039326656582</v>
      </c>
      <c r="AB566" s="22">
        <f t="shared" si="188"/>
        <v>27.992960673343418</v>
      </c>
      <c r="AC566" s="22">
        <f t="shared" si="174"/>
        <v>1.5470906199733825</v>
      </c>
      <c r="AD566" s="22">
        <f t="shared" si="175"/>
        <v>0.43307646883013379</v>
      </c>
      <c r="AE566" s="27">
        <v>16.037600000000001</v>
      </c>
      <c r="AF566" s="27">
        <v>16.206099999999999</v>
      </c>
      <c r="AG566" s="27">
        <v>16.145700000000001</v>
      </c>
      <c r="AH566" s="26">
        <v>0.1081</v>
      </c>
      <c r="AI566" s="26">
        <v>35.84569733</v>
      </c>
      <c r="AJ566" s="26">
        <f t="shared" si="176"/>
        <v>1.7922848665000002</v>
      </c>
      <c r="AK566" s="26">
        <f t="shared" si="177"/>
        <v>20.720056260115609</v>
      </c>
      <c r="AL566" s="26">
        <f t="shared" si="178"/>
        <v>1.7945431292351053</v>
      </c>
      <c r="AM566" s="17">
        <f t="shared" si="189"/>
        <v>0.5780346820809249</v>
      </c>
      <c r="AN566" s="17"/>
      <c r="AO566" s="27"/>
      <c r="AS566" s="49"/>
      <c r="AT566" s="25"/>
      <c r="AU566" s="17"/>
      <c r="AV566" s="17"/>
      <c r="AW566" s="17"/>
      <c r="AX566" s="27"/>
      <c r="BB566" s="17"/>
    </row>
    <row r="567" spans="1:54" x14ac:dyDescent="0.2">
      <c r="A567" s="17" t="s">
        <v>77</v>
      </c>
      <c r="B567" s="17" t="s">
        <v>78</v>
      </c>
      <c r="C567" s="17" t="str">
        <f t="shared" si="168"/>
        <v>HER42PB1A</v>
      </c>
      <c r="D567" s="17" t="str">
        <f t="shared" si="169"/>
        <v>HER42PB1A_36</v>
      </c>
      <c r="E567" s="27" t="s">
        <v>79</v>
      </c>
      <c r="F567" s="17">
        <v>36</v>
      </c>
      <c r="G567" s="20">
        <v>1.85</v>
      </c>
      <c r="H567" s="20">
        <v>2</v>
      </c>
      <c r="I567" s="20">
        <v>1</v>
      </c>
      <c r="J567" s="22">
        <f t="shared" si="167"/>
        <v>2.9089156250000001</v>
      </c>
      <c r="K567" s="53">
        <v>0.20777777777777809</v>
      </c>
      <c r="L567" s="45">
        <f t="shared" si="179"/>
        <v>47.892222222222237</v>
      </c>
      <c r="M567" s="45">
        <f t="shared" si="180"/>
        <v>48.892222222222237</v>
      </c>
      <c r="N567" s="46">
        <f t="shared" si="181"/>
        <v>48.392222222222237</v>
      </c>
      <c r="O567" s="20">
        <f t="shared" si="182"/>
        <v>47.892222222222237</v>
      </c>
      <c r="P567" s="20">
        <f t="shared" si="183"/>
        <v>48.892222222222237</v>
      </c>
      <c r="Q567" s="20">
        <f t="shared" si="184"/>
        <v>48.392222222222237</v>
      </c>
      <c r="R567" s="20">
        <f t="shared" si="170"/>
        <v>47.892222222222237</v>
      </c>
      <c r="S567" s="20">
        <f t="shared" si="171"/>
        <v>48.392222222222237</v>
      </c>
      <c r="T567" s="20">
        <f t="shared" si="172"/>
        <v>48.392222222222237</v>
      </c>
      <c r="U567" s="20">
        <f t="shared" si="173"/>
        <v>48.392222222222237</v>
      </c>
      <c r="V567" s="22">
        <v>6.4701000000000004</v>
      </c>
      <c r="W567" s="22">
        <v>2.6206</v>
      </c>
      <c r="X567" s="23">
        <v>1.1476266666666668</v>
      </c>
      <c r="Y567" s="23">
        <f t="shared" si="185"/>
        <v>5.3224733333333338</v>
      </c>
      <c r="Z567" s="23">
        <f t="shared" si="186"/>
        <v>1.4729733333333332</v>
      </c>
      <c r="AA567" s="22">
        <f t="shared" si="187"/>
        <v>72.325397590844361</v>
      </c>
      <c r="AB567" s="22">
        <f t="shared" si="188"/>
        <v>27.674602409155639</v>
      </c>
      <c r="AC567" s="22">
        <f t="shared" si="174"/>
        <v>1.8297104555355859</v>
      </c>
      <c r="AD567" s="22">
        <f t="shared" si="175"/>
        <v>0.50636509380822392</v>
      </c>
      <c r="AE567" s="27">
        <v>16.618400000000001</v>
      </c>
      <c r="AF567" s="27">
        <v>16.8383</v>
      </c>
      <c r="AG567" s="27">
        <v>16.770900000000001</v>
      </c>
      <c r="AH567" s="26">
        <v>0.1525</v>
      </c>
      <c r="AI567" s="26">
        <v>30.650295589999999</v>
      </c>
      <c r="AJ567" s="26">
        <f t="shared" si="176"/>
        <v>1.5325147795</v>
      </c>
      <c r="AK567" s="26">
        <f t="shared" si="177"/>
        <v>17.716933867052024</v>
      </c>
      <c r="AL567" s="26">
        <f t="shared" si="178"/>
        <v>1.5351552199650476</v>
      </c>
      <c r="AM567" s="17">
        <f t="shared" si="189"/>
        <v>0.5780346820809249</v>
      </c>
      <c r="AN567" s="17"/>
      <c r="AO567" s="27"/>
      <c r="AS567" s="49"/>
      <c r="AT567" s="25"/>
      <c r="AU567" s="17"/>
      <c r="AV567" s="17"/>
      <c r="AW567" s="17"/>
      <c r="AX567" s="27"/>
      <c r="BB567" s="17"/>
    </row>
    <row r="568" spans="1:54" x14ac:dyDescent="0.2">
      <c r="A568" s="17" t="s">
        <v>77</v>
      </c>
      <c r="B568" s="17" t="s">
        <v>78</v>
      </c>
      <c r="C568" s="17" t="str">
        <f t="shared" si="168"/>
        <v>HER42PB1A</v>
      </c>
      <c r="D568" s="17" t="str">
        <f t="shared" si="169"/>
        <v>HER42PB1A_37</v>
      </c>
      <c r="E568" s="27" t="s">
        <v>79</v>
      </c>
      <c r="F568" s="17">
        <v>37</v>
      </c>
      <c r="G568" s="20">
        <v>2</v>
      </c>
      <c r="H568" s="20">
        <v>2</v>
      </c>
      <c r="I568" s="20">
        <v>0.9</v>
      </c>
      <c r="J568" s="22">
        <f t="shared" si="167"/>
        <v>2.8260000000000001</v>
      </c>
      <c r="K568" s="53">
        <v>0.20777777777777809</v>
      </c>
      <c r="L568" s="45">
        <f t="shared" si="179"/>
        <v>49.100000000000016</v>
      </c>
      <c r="M568" s="45">
        <f t="shared" si="180"/>
        <v>50.000000000000014</v>
      </c>
      <c r="N568" s="46">
        <f t="shared" si="181"/>
        <v>49.550000000000011</v>
      </c>
      <c r="O568" s="20">
        <f t="shared" si="182"/>
        <v>49.100000000000016</v>
      </c>
      <c r="P568" s="20">
        <f t="shared" si="183"/>
        <v>50.000000000000014</v>
      </c>
      <c r="Q568" s="20">
        <f t="shared" si="184"/>
        <v>49.550000000000011</v>
      </c>
      <c r="R568" s="20">
        <f t="shared" si="170"/>
        <v>49.100000000000016</v>
      </c>
      <c r="S568" s="20">
        <f t="shared" si="171"/>
        <v>49.550000000000011</v>
      </c>
      <c r="T568" s="20">
        <f t="shared" si="172"/>
        <v>49.550000000000011</v>
      </c>
      <c r="U568" s="20">
        <f t="shared" si="173"/>
        <v>49.550000000000011</v>
      </c>
      <c r="V568" s="22">
        <v>5.1421000000000001</v>
      </c>
      <c r="W568" s="22">
        <v>2.1850999999999998</v>
      </c>
      <c r="X568" s="23">
        <v>1.1476266666666668</v>
      </c>
      <c r="Y568" s="23">
        <f t="shared" si="185"/>
        <v>3.9944733333333335</v>
      </c>
      <c r="Z568" s="23">
        <f t="shared" si="186"/>
        <v>1.037473333333333</v>
      </c>
      <c r="AA568" s="22">
        <f t="shared" si="187"/>
        <v>74.027281026618468</v>
      </c>
      <c r="AB568" s="22">
        <f t="shared" si="188"/>
        <v>25.972718973381532</v>
      </c>
      <c r="AC568" s="22">
        <f t="shared" si="174"/>
        <v>1.4134725171030904</v>
      </c>
      <c r="AD568" s="22">
        <f t="shared" si="175"/>
        <v>0.36711724463316808</v>
      </c>
      <c r="AE568" s="27">
        <v>12.6149</v>
      </c>
      <c r="AF568" s="27">
        <v>12.847200000000001</v>
      </c>
      <c r="AG568" s="27">
        <v>12.7676</v>
      </c>
      <c r="AH568" s="26">
        <v>0.1527</v>
      </c>
      <c r="AI568" s="26">
        <v>34.266035299999999</v>
      </c>
      <c r="AJ568" s="26">
        <f t="shared" si="176"/>
        <v>1.713301765</v>
      </c>
      <c r="AK568" s="26">
        <f t="shared" si="177"/>
        <v>19.806956820809248</v>
      </c>
      <c r="AL568" s="26">
        <f t="shared" si="178"/>
        <v>1.7156639933134097</v>
      </c>
      <c r="AM568" s="17">
        <f t="shared" si="189"/>
        <v>0.5780346820809249</v>
      </c>
      <c r="AN568" s="17"/>
      <c r="AO568" s="27"/>
      <c r="AS568" s="49"/>
      <c r="AT568" s="25"/>
      <c r="AU568" s="17"/>
      <c r="AV568" s="17"/>
      <c r="AW568" s="17"/>
      <c r="AX568" s="27"/>
      <c r="BB568" s="17"/>
    </row>
    <row r="569" spans="1:54" x14ac:dyDescent="0.2">
      <c r="A569" s="17" t="s">
        <v>77</v>
      </c>
      <c r="B569" s="17" t="s">
        <v>78</v>
      </c>
      <c r="C569" s="17" t="str">
        <f t="shared" si="168"/>
        <v>HER42PB1B</v>
      </c>
      <c r="D569" s="17" t="str">
        <f t="shared" si="169"/>
        <v>HER42PB1B_38</v>
      </c>
      <c r="E569" s="27" t="s">
        <v>80</v>
      </c>
      <c r="F569" s="17">
        <v>38</v>
      </c>
      <c r="G569" s="20">
        <v>1.55</v>
      </c>
      <c r="H569" s="20">
        <v>2.15</v>
      </c>
      <c r="I569" s="20">
        <v>1.6</v>
      </c>
      <c r="J569" s="22">
        <f t="shared" si="167"/>
        <v>4.2986600000000008</v>
      </c>
      <c r="K569" s="53">
        <v>0.20555555555555532</v>
      </c>
      <c r="L569" s="39">
        <v>0</v>
      </c>
      <c r="M569" s="45">
        <f>L569+I569</f>
        <v>1.6</v>
      </c>
      <c r="N569" s="46">
        <f>L569+((M569-L569)/2)</f>
        <v>0.8</v>
      </c>
      <c r="O569" s="20">
        <v>40</v>
      </c>
      <c r="P569" s="20">
        <f t="shared" si="183"/>
        <v>41.6</v>
      </c>
      <c r="Q569" s="20">
        <f>O569+((P569-O569)/2)</f>
        <v>40.799999999999997</v>
      </c>
      <c r="R569" s="20">
        <f t="shared" si="170"/>
        <v>40</v>
      </c>
      <c r="S569" s="20">
        <f t="shared" si="171"/>
        <v>40.799999999999997</v>
      </c>
      <c r="T569" s="20">
        <f t="shared" si="172"/>
        <v>40.799999999999997</v>
      </c>
      <c r="U569" s="20">
        <f t="shared" si="173"/>
        <v>40.799999999999997</v>
      </c>
      <c r="V569" s="22">
        <v>4.7107999999999999</v>
      </c>
      <c r="W569" s="22">
        <v>2.2652000000000001</v>
      </c>
      <c r="X569" s="23">
        <v>1.1476266666666668</v>
      </c>
      <c r="Y569" s="23">
        <f t="shared" si="185"/>
        <v>3.5631733333333333</v>
      </c>
      <c r="Z569" s="23">
        <f t="shared" si="186"/>
        <v>1.1175733333333333</v>
      </c>
      <c r="AA569" s="22">
        <f t="shared" si="187"/>
        <v>68.635448551478447</v>
      </c>
      <c r="AB569" s="22">
        <f t="shared" si="188"/>
        <v>31.364551448521553</v>
      </c>
      <c r="AC569" s="22">
        <f t="shared" si="174"/>
        <v>0.82890327063162306</v>
      </c>
      <c r="AD569" s="22">
        <f t="shared" si="175"/>
        <v>0.25998179277573313</v>
      </c>
      <c r="AE569" s="27">
        <v>9.2675000000000001</v>
      </c>
      <c r="AF569" s="27">
        <v>9.4519000000000002</v>
      </c>
      <c r="AG569" s="27">
        <v>9.3954000000000004</v>
      </c>
      <c r="AH569" s="26">
        <v>0.12790000000000001</v>
      </c>
      <c r="AI569" s="26">
        <v>30.639913230000001</v>
      </c>
      <c r="AJ569" s="26">
        <f t="shared" si="176"/>
        <v>1.5319956615000001</v>
      </c>
      <c r="AK569" s="26">
        <f t="shared" si="177"/>
        <v>17.710932502890177</v>
      </c>
      <c r="AL569" s="26">
        <f t="shared" si="178"/>
        <v>1.5346369951408128</v>
      </c>
      <c r="AM569" s="17">
        <f t="shared" si="189"/>
        <v>0.5780346820809249</v>
      </c>
      <c r="AN569" s="28" t="s">
        <v>43</v>
      </c>
      <c r="AO569" s="27">
        <v>50</v>
      </c>
      <c r="AS569" s="49"/>
      <c r="AT569" s="25"/>
      <c r="AU569" s="17"/>
      <c r="AV569" s="17"/>
      <c r="AW569" s="17"/>
      <c r="AX569" s="27"/>
      <c r="BB569" s="17"/>
    </row>
    <row r="570" spans="1:54" x14ac:dyDescent="0.2">
      <c r="A570" s="17" t="s">
        <v>77</v>
      </c>
      <c r="B570" s="17" t="s">
        <v>78</v>
      </c>
      <c r="C570" s="17" t="str">
        <f t="shared" si="168"/>
        <v>HER42PB1B</v>
      </c>
      <c r="D570" s="17" t="str">
        <f t="shared" si="169"/>
        <v>HER42PB1B_39</v>
      </c>
      <c r="E570" s="27" t="s">
        <v>80</v>
      </c>
      <c r="F570" s="17">
        <v>39</v>
      </c>
      <c r="G570" s="20">
        <v>1.9</v>
      </c>
      <c r="H570" s="20">
        <v>2</v>
      </c>
      <c r="I570" s="20">
        <v>1.1000000000000001</v>
      </c>
      <c r="J570" s="22">
        <f t="shared" si="167"/>
        <v>3.2834587500000003</v>
      </c>
      <c r="K570" s="53">
        <v>0.20555555555555532</v>
      </c>
      <c r="L570" s="45">
        <f>M569+K570</f>
        <v>1.8055555555555554</v>
      </c>
      <c r="M570" s="45">
        <f>L570+I570</f>
        <v>2.9055555555555554</v>
      </c>
      <c r="N570" s="46">
        <f>L570+((M570-L570)/2)</f>
        <v>2.3555555555555552</v>
      </c>
      <c r="O570" s="20">
        <f t="shared" si="182"/>
        <v>41.805555555555557</v>
      </c>
      <c r="P570" s="20">
        <f t="shared" si="183"/>
        <v>42.905555555555559</v>
      </c>
      <c r="Q570" s="20">
        <f>O570+((P570-O570)/2)</f>
        <v>42.355555555555554</v>
      </c>
      <c r="R570" s="20">
        <f t="shared" si="170"/>
        <v>41.805555555555557</v>
      </c>
      <c r="S570" s="20">
        <f t="shared" si="171"/>
        <v>42.355555555555554</v>
      </c>
      <c r="T570" s="20">
        <f t="shared" si="172"/>
        <v>42.355555555555554</v>
      </c>
      <c r="U570" s="20">
        <f t="shared" si="173"/>
        <v>42.355555555555554</v>
      </c>
      <c r="V570" s="22">
        <v>6.0309999999999997</v>
      </c>
      <c r="W570" s="22">
        <v>2.3666</v>
      </c>
      <c r="X570" s="23">
        <v>1.1476266666666668</v>
      </c>
      <c r="Y570" s="23">
        <f t="shared" si="185"/>
        <v>4.8833733333333331</v>
      </c>
      <c r="Z570" s="23">
        <f t="shared" si="186"/>
        <v>1.2189733333333332</v>
      </c>
      <c r="AA570" s="22">
        <f t="shared" si="187"/>
        <v>75.038293201693904</v>
      </c>
      <c r="AB570" s="22">
        <f t="shared" si="188"/>
        <v>24.961706798306096</v>
      </c>
      <c r="AC570" s="22">
        <f t="shared" si="174"/>
        <v>1.4872650169073489</v>
      </c>
      <c r="AD570" s="22">
        <f t="shared" si="175"/>
        <v>0.37124673283418991</v>
      </c>
      <c r="AE570" s="27">
        <v>14.0662</v>
      </c>
      <c r="AF570" s="27">
        <v>14.293799999999999</v>
      </c>
      <c r="AG570" s="27">
        <v>14.224500000000001</v>
      </c>
      <c r="AH570" s="26">
        <v>0.1583</v>
      </c>
      <c r="AI570" s="26">
        <v>30.44815466</v>
      </c>
      <c r="AJ570" s="26">
        <f t="shared" si="176"/>
        <v>1.5224077330000001</v>
      </c>
      <c r="AK570" s="26">
        <f t="shared" si="177"/>
        <v>17.600089398843931</v>
      </c>
      <c r="AL570" s="26">
        <f t="shared" si="178"/>
        <v>1.5250656725197771</v>
      </c>
      <c r="AM570" s="17">
        <f t="shared" si="189"/>
        <v>0.5780346820809249</v>
      </c>
      <c r="AN570" s="28" t="s">
        <v>44</v>
      </c>
      <c r="AO570" s="27" t="s">
        <v>54</v>
      </c>
      <c r="AS570" s="49"/>
      <c r="AT570" s="25"/>
      <c r="AU570" s="17"/>
      <c r="AV570" s="17"/>
      <c r="AW570" s="17"/>
      <c r="AX570" s="27"/>
      <c r="BB570" s="17"/>
    </row>
    <row r="571" spans="1:54" x14ac:dyDescent="0.2">
      <c r="A571" s="17" t="s">
        <v>77</v>
      </c>
      <c r="B571" s="17" t="s">
        <v>78</v>
      </c>
      <c r="C571" s="17" t="str">
        <f t="shared" si="168"/>
        <v>HER42PB1B</v>
      </c>
      <c r="D571" s="17" t="str">
        <f t="shared" si="169"/>
        <v>HER42PB1B_40</v>
      </c>
      <c r="E571" s="27" t="s">
        <v>80</v>
      </c>
      <c r="F571" s="17">
        <v>40</v>
      </c>
      <c r="G571" s="20">
        <v>1.7</v>
      </c>
      <c r="H571" s="20">
        <v>2.2999999999999998</v>
      </c>
      <c r="I571" s="20">
        <v>1.1000000000000001</v>
      </c>
      <c r="J571" s="22">
        <f t="shared" si="167"/>
        <v>3.4540000000000006</v>
      </c>
      <c r="K571" s="53">
        <v>0.20555555555555532</v>
      </c>
      <c r="L571" s="45">
        <f t="shared" ref="L571:L605" si="190">M570+K571</f>
        <v>3.1111111111111107</v>
      </c>
      <c r="M571" s="45">
        <f t="shared" ref="M571:M605" si="191">L571+I571</f>
        <v>4.2111111111111104</v>
      </c>
      <c r="N571" s="46">
        <f t="shared" ref="N571:N605" si="192">L571+((M571-L571)/2)</f>
        <v>3.6611111111111105</v>
      </c>
      <c r="O571" s="20">
        <f t="shared" si="182"/>
        <v>43.111111111111114</v>
      </c>
      <c r="P571" s="20">
        <f t="shared" si="183"/>
        <v>44.211111111111116</v>
      </c>
      <c r="Q571" s="20">
        <f t="shared" ref="Q571:Q605" si="193">O571+((P571-O571)/2)</f>
        <v>43.661111111111111</v>
      </c>
      <c r="R571" s="20">
        <f t="shared" si="170"/>
        <v>43.111111111111114</v>
      </c>
      <c r="S571" s="20">
        <f t="shared" si="171"/>
        <v>43.661111111111111</v>
      </c>
      <c r="T571" s="20">
        <f t="shared" si="172"/>
        <v>43.661111111111111</v>
      </c>
      <c r="U571" s="20">
        <f t="shared" si="173"/>
        <v>43.661111111111111</v>
      </c>
      <c r="V571" s="22">
        <v>6.0227000000000004</v>
      </c>
      <c r="W571" s="22">
        <v>2.4510999999999998</v>
      </c>
      <c r="X571" s="23">
        <v>1.1476266666666668</v>
      </c>
      <c r="Y571" s="23">
        <f t="shared" si="185"/>
        <v>4.8750733333333338</v>
      </c>
      <c r="Z571" s="23">
        <f t="shared" si="186"/>
        <v>1.303473333333333</v>
      </c>
      <c r="AA571" s="22">
        <f t="shared" si="187"/>
        <v>73.262487675399086</v>
      </c>
      <c r="AB571" s="22">
        <f t="shared" si="188"/>
        <v>26.737512324600914</v>
      </c>
      <c r="AC571" s="22">
        <f t="shared" si="174"/>
        <v>1.4114282956958115</v>
      </c>
      <c r="AD571" s="22">
        <f t="shared" si="175"/>
        <v>0.37738081451457234</v>
      </c>
      <c r="AE571" s="27">
        <v>11.860799999999999</v>
      </c>
      <c r="AF571" s="27">
        <v>12.0801</v>
      </c>
      <c r="AG571" s="27">
        <v>11.998100000000001</v>
      </c>
      <c r="AH571" s="26">
        <v>0.13730000000000001</v>
      </c>
      <c r="AI571" s="26">
        <v>37.391700870000001</v>
      </c>
      <c r="AJ571" s="26">
        <f t="shared" si="176"/>
        <v>1.8695850435000001</v>
      </c>
      <c r="AK571" s="26">
        <f t="shared" si="177"/>
        <v>21.613699924855492</v>
      </c>
      <c r="AL571" s="26">
        <f t="shared" si="178"/>
        <v>1.8717500460475212</v>
      </c>
      <c r="AM571" s="17">
        <f t="shared" si="189"/>
        <v>0.5780346820809249</v>
      </c>
      <c r="AN571" s="28" t="s">
        <v>46</v>
      </c>
      <c r="AO571" s="29">
        <f>SUM(I569:I605)</f>
        <v>42.600000000000009</v>
      </c>
      <c r="AS571" s="49"/>
      <c r="AT571" s="25"/>
      <c r="AU571" s="17"/>
      <c r="AV571" s="17"/>
      <c r="AW571" s="17"/>
      <c r="AX571" s="27"/>
      <c r="BB571" s="17"/>
    </row>
    <row r="572" spans="1:54" x14ac:dyDescent="0.2">
      <c r="A572" s="17" t="s">
        <v>77</v>
      </c>
      <c r="B572" s="17" t="s">
        <v>78</v>
      </c>
      <c r="C572" s="17" t="str">
        <f t="shared" si="168"/>
        <v>HER42PB1B</v>
      </c>
      <c r="D572" s="17" t="str">
        <f t="shared" si="169"/>
        <v>HER42PB1B_41</v>
      </c>
      <c r="E572" s="27" t="s">
        <v>80</v>
      </c>
      <c r="F572" s="17">
        <v>41</v>
      </c>
      <c r="G572" s="20">
        <v>2.1</v>
      </c>
      <c r="H572" s="20">
        <v>2.0499999999999998</v>
      </c>
      <c r="I572" s="20">
        <v>1.1000000000000001</v>
      </c>
      <c r="J572" s="22">
        <f t="shared" si="167"/>
        <v>3.7179071875000012</v>
      </c>
      <c r="K572" s="53">
        <v>0.20555555555555532</v>
      </c>
      <c r="L572" s="45">
        <f t="shared" si="190"/>
        <v>4.4166666666666661</v>
      </c>
      <c r="M572" s="45">
        <f t="shared" si="191"/>
        <v>5.5166666666666657</v>
      </c>
      <c r="N572" s="46">
        <f t="shared" si="192"/>
        <v>4.9666666666666659</v>
      </c>
      <c r="O572" s="20">
        <f t="shared" si="182"/>
        <v>44.416666666666671</v>
      </c>
      <c r="P572" s="20">
        <f t="shared" si="183"/>
        <v>45.516666666666673</v>
      </c>
      <c r="Q572" s="20">
        <f t="shared" si="193"/>
        <v>44.966666666666669</v>
      </c>
      <c r="R572" s="20">
        <f t="shared" si="170"/>
        <v>44.416666666666671</v>
      </c>
      <c r="S572" s="20">
        <f t="shared" si="171"/>
        <v>44.966666666666669</v>
      </c>
      <c r="T572" s="20">
        <f t="shared" si="172"/>
        <v>44.966666666666669</v>
      </c>
      <c r="U572" s="20">
        <f t="shared" si="173"/>
        <v>44.966666666666669</v>
      </c>
      <c r="V572" s="22">
        <v>6.5585000000000004</v>
      </c>
      <c r="W572" s="22">
        <v>2.7039</v>
      </c>
      <c r="X572" s="23">
        <v>1.1476266666666668</v>
      </c>
      <c r="Y572" s="23">
        <f t="shared" si="185"/>
        <v>5.4108733333333339</v>
      </c>
      <c r="Z572" s="23">
        <f t="shared" si="186"/>
        <v>1.5562733333333332</v>
      </c>
      <c r="AA572" s="22">
        <f t="shared" si="187"/>
        <v>71.238037975385367</v>
      </c>
      <c r="AB572" s="22">
        <f t="shared" si="188"/>
        <v>28.761962024614633</v>
      </c>
      <c r="AC572" s="22">
        <f t="shared" si="174"/>
        <v>1.4553546015148697</v>
      </c>
      <c r="AD572" s="22">
        <f t="shared" si="175"/>
        <v>0.41858853781118838</v>
      </c>
      <c r="AE572" s="27">
        <v>14.619899999999999</v>
      </c>
      <c r="AF572" s="27">
        <v>14.9628</v>
      </c>
      <c r="AG572" s="27">
        <v>14.8567</v>
      </c>
      <c r="AH572" s="26">
        <v>0.23680000000000001</v>
      </c>
      <c r="AI572" s="26">
        <v>30.941965589999999</v>
      </c>
      <c r="AJ572" s="26">
        <f t="shared" si="176"/>
        <v>1.5470982795000001</v>
      </c>
      <c r="AK572" s="26">
        <f t="shared" si="177"/>
        <v>17.885529242774567</v>
      </c>
      <c r="AL572" s="26">
        <f t="shared" si="178"/>
        <v>1.5497138724396387</v>
      </c>
      <c r="AM572" s="17">
        <f t="shared" si="189"/>
        <v>0.5780346820809249</v>
      </c>
      <c r="AN572" s="28" t="s">
        <v>47</v>
      </c>
      <c r="AO572" s="29">
        <f>AO569-AO571</f>
        <v>7.3999999999999915</v>
      </c>
      <c r="AS572" s="49"/>
      <c r="AT572" s="25"/>
      <c r="AU572" s="17"/>
      <c r="AV572" s="17"/>
      <c r="AW572" s="17"/>
      <c r="AX572" s="27"/>
      <c r="BB572" s="17"/>
    </row>
    <row r="573" spans="1:54" x14ac:dyDescent="0.2">
      <c r="A573" s="17" t="s">
        <v>77</v>
      </c>
      <c r="B573" s="17" t="s">
        <v>78</v>
      </c>
      <c r="C573" s="17" t="str">
        <f t="shared" si="168"/>
        <v>HER42PB1B</v>
      </c>
      <c r="D573" s="17" t="str">
        <f t="shared" si="169"/>
        <v>HER42PB1B_42</v>
      </c>
      <c r="E573" s="27" t="s">
        <v>80</v>
      </c>
      <c r="F573" s="17">
        <v>42</v>
      </c>
      <c r="G573" s="20">
        <v>2.0499999999999998</v>
      </c>
      <c r="H573" s="20">
        <v>2</v>
      </c>
      <c r="I573" s="20">
        <v>1.1499999999999999</v>
      </c>
      <c r="J573" s="22">
        <f t="shared" si="167"/>
        <v>3.7018392187499995</v>
      </c>
      <c r="K573" s="53">
        <v>0.20555555555555532</v>
      </c>
      <c r="L573" s="45">
        <f t="shared" si="190"/>
        <v>5.7222222222222214</v>
      </c>
      <c r="M573" s="45">
        <f t="shared" si="191"/>
        <v>6.8722222222222218</v>
      </c>
      <c r="N573" s="46">
        <f t="shared" si="192"/>
        <v>6.2972222222222216</v>
      </c>
      <c r="O573" s="20">
        <f t="shared" si="182"/>
        <v>45.722222222222229</v>
      </c>
      <c r="P573" s="20">
        <f t="shared" si="183"/>
        <v>46.872222222222227</v>
      </c>
      <c r="Q573" s="20">
        <f t="shared" si="193"/>
        <v>46.297222222222231</v>
      </c>
      <c r="R573" s="20">
        <f t="shared" si="170"/>
        <v>45.722222222222229</v>
      </c>
      <c r="S573" s="20">
        <f t="shared" si="171"/>
        <v>46.297222222222231</v>
      </c>
      <c r="T573" s="20">
        <f t="shared" si="172"/>
        <v>46.297222222222231</v>
      </c>
      <c r="U573" s="20">
        <f t="shared" si="173"/>
        <v>46.297222222222231</v>
      </c>
      <c r="V573" s="22">
        <v>7.1204000000000001</v>
      </c>
      <c r="W573" s="22">
        <v>2.9192</v>
      </c>
      <c r="X573" s="23">
        <v>1.1476266666666668</v>
      </c>
      <c r="Y573" s="23">
        <f t="shared" si="185"/>
        <v>5.9727733333333335</v>
      </c>
      <c r="Z573" s="23">
        <f t="shared" si="186"/>
        <v>1.7715733333333332</v>
      </c>
      <c r="AA573" s="22">
        <f t="shared" si="187"/>
        <v>70.339183584175302</v>
      </c>
      <c r="AB573" s="22">
        <f t="shared" si="188"/>
        <v>29.660816415824698</v>
      </c>
      <c r="AC573" s="22">
        <f t="shared" si="174"/>
        <v>1.6134610339317115</v>
      </c>
      <c r="AD573" s="22">
        <f t="shared" si="175"/>
        <v>0.47856571521535196</v>
      </c>
      <c r="AE573" s="27">
        <v>16.897500000000001</v>
      </c>
      <c r="AF573" s="27">
        <v>17.223700000000001</v>
      </c>
      <c r="AG573" s="27">
        <v>17.123000000000001</v>
      </c>
      <c r="AH573" s="26">
        <v>0.22550000000000001</v>
      </c>
      <c r="AI573" s="26">
        <v>30.870631509999999</v>
      </c>
      <c r="AJ573" s="26">
        <f t="shared" si="176"/>
        <v>1.5435315755000001</v>
      </c>
      <c r="AK573" s="26">
        <f t="shared" si="177"/>
        <v>17.844295670520232</v>
      </c>
      <c r="AL573" s="26">
        <f t="shared" si="178"/>
        <v>1.546153202165139</v>
      </c>
      <c r="AM573" s="17">
        <f t="shared" si="189"/>
        <v>0.5780346820809249</v>
      </c>
      <c r="AN573" s="28" t="s">
        <v>48</v>
      </c>
      <c r="AO573" s="27">
        <v>36</v>
      </c>
      <c r="AS573" s="49"/>
      <c r="AT573" s="25"/>
      <c r="AU573" s="17"/>
      <c r="AV573" s="17"/>
      <c r="AW573" s="17"/>
      <c r="AX573" s="27"/>
      <c r="BB573" s="17"/>
    </row>
    <row r="574" spans="1:54" x14ac:dyDescent="0.2">
      <c r="A574" s="17" t="s">
        <v>77</v>
      </c>
      <c r="B574" s="17" t="s">
        <v>78</v>
      </c>
      <c r="C574" s="17" t="str">
        <f t="shared" si="168"/>
        <v>HER42PB1B</v>
      </c>
      <c r="D574" s="17" t="str">
        <f t="shared" si="169"/>
        <v>HER42PB1B_43</v>
      </c>
      <c r="E574" s="27" t="s">
        <v>80</v>
      </c>
      <c r="F574" s="17">
        <v>43</v>
      </c>
      <c r="G574" s="20">
        <v>2.1</v>
      </c>
      <c r="H574" s="20">
        <v>2.2000000000000002</v>
      </c>
      <c r="I574" s="20">
        <v>1.1000000000000001</v>
      </c>
      <c r="J574" s="22">
        <f t="shared" si="167"/>
        <v>3.9915287500000014</v>
      </c>
      <c r="K574" s="53">
        <v>0.20555555555555532</v>
      </c>
      <c r="L574" s="45">
        <f t="shared" si="190"/>
        <v>7.0777777777777775</v>
      </c>
      <c r="M574" s="45">
        <f t="shared" si="191"/>
        <v>8.1777777777777771</v>
      </c>
      <c r="N574" s="46">
        <f t="shared" si="192"/>
        <v>7.6277777777777773</v>
      </c>
      <c r="O574" s="20">
        <f t="shared" si="182"/>
        <v>47.077777777777783</v>
      </c>
      <c r="P574" s="20">
        <f t="shared" si="183"/>
        <v>48.177777777777784</v>
      </c>
      <c r="Q574" s="20">
        <f t="shared" si="193"/>
        <v>47.62777777777778</v>
      </c>
      <c r="R574" s="20">
        <f t="shared" si="170"/>
        <v>47.077777777777783</v>
      </c>
      <c r="S574" s="20">
        <f t="shared" si="171"/>
        <v>47.62777777777778</v>
      </c>
      <c r="T574" s="20">
        <f t="shared" si="172"/>
        <v>47.62777777777778</v>
      </c>
      <c r="U574" s="20">
        <f t="shared" si="173"/>
        <v>47.62777777777778</v>
      </c>
      <c r="V574" s="22">
        <v>7.0744999999999996</v>
      </c>
      <c r="W574" s="22">
        <v>2.8174000000000001</v>
      </c>
      <c r="X574" s="23">
        <v>1.1476266666666668</v>
      </c>
      <c r="Y574" s="23">
        <f t="shared" si="185"/>
        <v>5.926873333333333</v>
      </c>
      <c r="Z574" s="23">
        <f t="shared" si="186"/>
        <v>1.6697733333333333</v>
      </c>
      <c r="AA574" s="22">
        <f t="shared" si="187"/>
        <v>71.827079145721569</v>
      </c>
      <c r="AB574" s="22">
        <f t="shared" si="188"/>
        <v>28.172920854278431</v>
      </c>
      <c r="AC574" s="22">
        <f t="shared" si="174"/>
        <v>1.4848629947443899</v>
      </c>
      <c r="AD574" s="22">
        <f t="shared" si="175"/>
        <v>0.41832927630380534</v>
      </c>
      <c r="AE574" s="27">
        <v>15.2539</v>
      </c>
      <c r="AF574" s="27">
        <v>15.494300000000001</v>
      </c>
      <c r="AG574" s="27">
        <v>15.410600000000001</v>
      </c>
      <c r="AH574" s="26">
        <v>0.15670000000000001</v>
      </c>
      <c r="AI574" s="26">
        <v>34.816971709999997</v>
      </c>
      <c r="AJ574" s="26">
        <f t="shared" si="176"/>
        <v>1.7408485855</v>
      </c>
      <c r="AK574" s="26">
        <f t="shared" si="177"/>
        <v>20.125417173410405</v>
      </c>
      <c r="AL574" s="26">
        <f t="shared" si="178"/>
        <v>1.7431734846644928</v>
      </c>
      <c r="AM574" s="17">
        <f t="shared" si="189"/>
        <v>0.5780346820809249</v>
      </c>
      <c r="AN574" s="28" t="s">
        <v>49</v>
      </c>
      <c r="AO574" s="30">
        <f>AO572/AO573</f>
        <v>0.20555555555555532</v>
      </c>
      <c r="AS574" s="49"/>
      <c r="AT574" s="25"/>
      <c r="AU574" s="17"/>
      <c r="AV574" s="17"/>
      <c r="AW574" s="17"/>
      <c r="AX574" s="27"/>
      <c r="BB574" s="17"/>
    </row>
    <row r="575" spans="1:54" x14ac:dyDescent="0.2">
      <c r="A575" s="17" t="s">
        <v>77</v>
      </c>
      <c r="B575" s="17" t="s">
        <v>78</v>
      </c>
      <c r="C575" s="17" t="str">
        <f t="shared" si="168"/>
        <v>HER42PB1B</v>
      </c>
      <c r="D575" s="17" t="str">
        <f t="shared" si="169"/>
        <v>HER42PB1B_44</v>
      </c>
      <c r="E575" s="27" t="s">
        <v>80</v>
      </c>
      <c r="F575" s="17">
        <v>44</v>
      </c>
      <c r="G575" s="20">
        <v>2.2000000000000002</v>
      </c>
      <c r="H575" s="20">
        <v>2.25</v>
      </c>
      <c r="I575" s="20">
        <v>1.2</v>
      </c>
      <c r="J575" s="22">
        <f t="shared" si="167"/>
        <v>4.6634887500000008</v>
      </c>
      <c r="K575" s="53">
        <v>0.20555555555555532</v>
      </c>
      <c r="L575" s="45">
        <f t="shared" si="190"/>
        <v>8.3833333333333329</v>
      </c>
      <c r="M575" s="45">
        <f t="shared" si="191"/>
        <v>9.5833333333333321</v>
      </c>
      <c r="N575" s="46">
        <f t="shared" si="192"/>
        <v>8.9833333333333325</v>
      </c>
      <c r="O575" s="20">
        <f t="shared" si="182"/>
        <v>48.38333333333334</v>
      </c>
      <c r="P575" s="20">
        <f t="shared" si="183"/>
        <v>49.583333333333343</v>
      </c>
      <c r="Q575" s="20">
        <f t="shared" si="193"/>
        <v>48.983333333333341</v>
      </c>
      <c r="R575" s="20">
        <f t="shared" si="170"/>
        <v>48.38333333333334</v>
      </c>
      <c r="S575" s="20">
        <f t="shared" si="171"/>
        <v>48.983333333333341</v>
      </c>
      <c r="T575" s="20">
        <f t="shared" si="172"/>
        <v>48.983333333333341</v>
      </c>
      <c r="U575" s="20">
        <f t="shared" si="173"/>
        <v>48.983333333333341</v>
      </c>
      <c r="V575" s="22">
        <v>7.6651999999999996</v>
      </c>
      <c r="W575" s="22">
        <v>2.8266</v>
      </c>
      <c r="X575" s="23">
        <v>1.1476266666666668</v>
      </c>
      <c r="Y575" s="23">
        <f t="shared" si="185"/>
        <v>6.517573333333333</v>
      </c>
      <c r="Z575" s="23">
        <f t="shared" si="186"/>
        <v>1.6789733333333332</v>
      </c>
      <c r="AA575" s="22">
        <f t="shared" si="187"/>
        <v>74.239287423949193</v>
      </c>
      <c r="AB575" s="22">
        <f t="shared" si="188"/>
        <v>25.760712576050807</v>
      </c>
      <c r="AC575" s="22">
        <f t="shared" si="174"/>
        <v>1.3975745804754718</v>
      </c>
      <c r="AD575" s="22">
        <f t="shared" si="175"/>
        <v>0.36002517071223405</v>
      </c>
      <c r="AE575" s="27">
        <v>17.4252</v>
      </c>
      <c r="AF575" s="27">
        <v>17.696400000000001</v>
      </c>
      <c r="AG575" s="27">
        <v>17.589500000000001</v>
      </c>
      <c r="AH575" s="26">
        <v>0.1643</v>
      </c>
      <c r="AI575" s="26">
        <v>39.417404130000001</v>
      </c>
      <c r="AJ575" s="26">
        <f t="shared" si="176"/>
        <v>1.9708702065000001</v>
      </c>
      <c r="AK575" s="26">
        <f t="shared" si="177"/>
        <v>22.784626664739886</v>
      </c>
      <c r="AL575" s="26">
        <f t="shared" si="178"/>
        <v>1.972924066169135</v>
      </c>
      <c r="AM575" s="17">
        <f t="shared" si="189"/>
        <v>0.5780346820809249</v>
      </c>
      <c r="AN575" s="17"/>
      <c r="AO575" s="27"/>
      <c r="AS575" s="49"/>
      <c r="AT575" s="25"/>
      <c r="AU575" s="17"/>
      <c r="AV575" s="17"/>
      <c r="AW575" s="17"/>
      <c r="AX575" s="27"/>
      <c r="BB575" s="17"/>
    </row>
    <row r="576" spans="1:54" x14ac:dyDescent="0.2">
      <c r="A576" s="17" t="s">
        <v>77</v>
      </c>
      <c r="B576" s="17" t="s">
        <v>78</v>
      </c>
      <c r="C576" s="17" t="str">
        <f t="shared" si="168"/>
        <v>HER42PB1B</v>
      </c>
      <c r="D576" s="17" t="str">
        <f t="shared" si="169"/>
        <v>HER42PB1B_45</v>
      </c>
      <c r="E576" s="27" t="s">
        <v>80</v>
      </c>
      <c r="F576" s="17">
        <v>45</v>
      </c>
      <c r="G576" s="20">
        <v>2.0499999999999998</v>
      </c>
      <c r="H576" s="20">
        <v>2.0499999999999998</v>
      </c>
      <c r="I576" s="20">
        <v>1.2</v>
      </c>
      <c r="J576" s="22">
        <f t="shared" si="167"/>
        <v>3.9587549999999991</v>
      </c>
      <c r="K576" s="53">
        <v>0.20555555555555532</v>
      </c>
      <c r="L576" s="45">
        <f t="shared" si="190"/>
        <v>9.7888888888888879</v>
      </c>
      <c r="M576" s="45">
        <f t="shared" si="191"/>
        <v>10.988888888888887</v>
      </c>
      <c r="N576" s="46">
        <f t="shared" si="192"/>
        <v>10.388888888888888</v>
      </c>
      <c r="O576" s="20">
        <f t="shared" si="182"/>
        <v>49.788888888888899</v>
      </c>
      <c r="P576" s="20">
        <f t="shared" si="183"/>
        <v>50.988888888888901</v>
      </c>
      <c r="Q576" s="20">
        <f t="shared" si="193"/>
        <v>50.3888888888889</v>
      </c>
      <c r="R576" s="20">
        <f t="shared" si="170"/>
        <v>49.788888888888899</v>
      </c>
      <c r="S576" s="20">
        <f t="shared" si="171"/>
        <v>50.3888888888889</v>
      </c>
      <c r="T576" s="20">
        <f t="shared" si="172"/>
        <v>50.3888888888889</v>
      </c>
      <c r="U576" s="20">
        <f t="shared" si="173"/>
        <v>50.3888888888889</v>
      </c>
      <c r="V576" s="22">
        <v>7.3350999999999997</v>
      </c>
      <c r="W576" s="22">
        <v>2.5991</v>
      </c>
      <c r="X576" s="23">
        <v>1.1476266666666668</v>
      </c>
      <c r="Y576" s="23">
        <f t="shared" si="185"/>
        <v>6.1874733333333332</v>
      </c>
      <c r="Z576" s="23">
        <f t="shared" si="186"/>
        <v>1.4514733333333332</v>
      </c>
      <c r="AA576" s="22">
        <f t="shared" si="187"/>
        <v>76.541744018290714</v>
      </c>
      <c r="AB576" s="22">
        <f t="shared" si="188"/>
        <v>23.458255981709286</v>
      </c>
      <c r="AC576" s="22">
        <f t="shared" si="174"/>
        <v>1.5629846588973892</v>
      </c>
      <c r="AD576" s="22">
        <f t="shared" si="175"/>
        <v>0.36664894223899519</v>
      </c>
      <c r="AE576" s="27">
        <v>16.8218</v>
      </c>
      <c r="AF576" s="27">
        <v>17.132000000000001</v>
      </c>
      <c r="AG576" s="27">
        <v>17.011199999999999</v>
      </c>
      <c r="AH576" s="26">
        <v>0.18940000000000001</v>
      </c>
      <c r="AI576" s="26">
        <v>38.942617669999997</v>
      </c>
      <c r="AJ576" s="26">
        <f t="shared" si="176"/>
        <v>1.9471308834999999</v>
      </c>
      <c r="AK576" s="26">
        <f t="shared" si="177"/>
        <v>22.510183624277456</v>
      </c>
      <c r="AL576" s="26">
        <f t="shared" si="178"/>
        <v>1.9492097571784033</v>
      </c>
      <c r="AM576" s="17">
        <f t="shared" si="189"/>
        <v>0.5780346820809249</v>
      </c>
      <c r="AN576" s="17"/>
      <c r="AO576" s="27"/>
      <c r="AS576" s="49"/>
      <c r="AT576" s="25"/>
      <c r="AU576" s="17"/>
      <c r="AV576" s="17"/>
      <c r="AW576" s="17"/>
      <c r="AX576" s="27"/>
      <c r="BB576" s="17"/>
    </row>
    <row r="577" spans="1:54" x14ac:dyDescent="0.2">
      <c r="A577" s="17" t="s">
        <v>77</v>
      </c>
      <c r="B577" s="17" t="s">
        <v>78</v>
      </c>
      <c r="C577" s="17" t="str">
        <f t="shared" si="168"/>
        <v>HER42PB1B</v>
      </c>
      <c r="D577" s="17" t="str">
        <f t="shared" si="169"/>
        <v>HER42PB1B_46</v>
      </c>
      <c r="E577" s="27" t="s">
        <v>80</v>
      </c>
      <c r="F577" s="17">
        <v>46</v>
      </c>
      <c r="G577" s="20">
        <v>2.2999999999999998</v>
      </c>
      <c r="H577" s="20">
        <v>2.1</v>
      </c>
      <c r="I577" s="20">
        <v>1.2</v>
      </c>
      <c r="J577" s="22">
        <f t="shared" si="167"/>
        <v>4.5592800000000011</v>
      </c>
      <c r="K577" s="53">
        <v>0.20555555555555532</v>
      </c>
      <c r="L577" s="45">
        <f t="shared" si="190"/>
        <v>11.194444444444443</v>
      </c>
      <c r="M577" s="45">
        <f t="shared" si="191"/>
        <v>12.394444444444442</v>
      </c>
      <c r="N577" s="46">
        <f t="shared" si="192"/>
        <v>11.794444444444443</v>
      </c>
      <c r="O577" s="20">
        <f t="shared" si="182"/>
        <v>51.194444444444457</v>
      </c>
      <c r="P577" s="20">
        <f t="shared" si="183"/>
        <v>52.39444444444446</v>
      </c>
      <c r="Q577" s="20">
        <f t="shared" si="193"/>
        <v>51.794444444444458</v>
      </c>
      <c r="R577" s="20">
        <f t="shared" si="170"/>
        <v>51.194444444444457</v>
      </c>
      <c r="S577" s="20">
        <f t="shared" si="171"/>
        <v>51.794444444444458</v>
      </c>
      <c r="T577" s="20">
        <f t="shared" si="172"/>
        <v>51.794444444444458</v>
      </c>
      <c r="U577" s="20">
        <f t="shared" si="173"/>
        <v>51.794444444444458</v>
      </c>
      <c r="V577" s="22">
        <v>7.7510000000000003</v>
      </c>
      <c r="W577" s="22">
        <v>2.8612000000000002</v>
      </c>
      <c r="X577" s="23">
        <v>1.1476266666666668</v>
      </c>
      <c r="Y577" s="23">
        <f t="shared" si="185"/>
        <v>6.6033733333333338</v>
      </c>
      <c r="Z577" s="23">
        <f t="shared" si="186"/>
        <v>1.7135733333333334</v>
      </c>
      <c r="AA577" s="22">
        <f t="shared" si="187"/>
        <v>74.050030994259501</v>
      </c>
      <c r="AB577" s="22">
        <f t="shared" si="188"/>
        <v>25.949969005740499</v>
      </c>
      <c r="AC577" s="22">
        <f t="shared" si="174"/>
        <v>1.4483368719037506</v>
      </c>
      <c r="AD577" s="22">
        <f t="shared" si="175"/>
        <v>0.37584296935773476</v>
      </c>
      <c r="AE577" s="27">
        <v>16.508900000000001</v>
      </c>
      <c r="AF577" s="27">
        <v>16.771799999999999</v>
      </c>
      <c r="AG577" s="27">
        <v>16.6755</v>
      </c>
      <c r="AH577" s="26">
        <v>0.1666</v>
      </c>
      <c r="AI577" s="26">
        <v>36.629897300000003</v>
      </c>
      <c r="AJ577" s="26">
        <f t="shared" si="176"/>
        <v>1.8314948650000002</v>
      </c>
      <c r="AK577" s="26">
        <f t="shared" si="177"/>
        <v>21.173351040462432</v>
      </c>
      <c r="AL577" s="26">
        <f t="shared" si="178"/>
        <v>1.8337048400768781</v>
      </c>
      <c r="AM577" s="17">
        <f t="shared" si="189"/>
        <v>0.5780346820809249</v>
      </c>
      <c r="AN577" s="17"/>
      <c r="AO577" s="27"/>
      <c r="AS577" s="49"/>
      <c r="AT577" s="25"/>
      <c r="AU577" s="17"/>
      <c r="AV577" s="17"/>
      <c r="AW577" s="17"/>
      <c r="AX577" s="27"/>
      <c r="BB577" s="17"/>
    </row>
    <row r="578" spans="1:54" x14ac:dyDescent="0.2">
      <c r="A578" s="17" t="s">
        <v>77</v>
      </c>
      <c r="B578" s="17" t="s">
        <v>78</v>
      </c>
      <c r="C578" s="17" t="str">
        <f t="shared" si="168"/>
        <v>HER42PB1B</v>
      </c>
      <c r="D578" s="17" t="str">
        <f t="shared" si="169"/>
        <v>HER42PB1B_47</v>
      </c>
      <c r="E578" s="27" t="s">
        <v>80</v>
      </c>
      <c r="F578" s="17">
        <v>47</v>
      </c>
      <c r="G578" s="20">
        <v>2.15</v>
      </c>
      <c r="H578" s="20">
        <v>2.2000000000000002</v>
      </c>
      <c r="I578" s="20">
        <v>1.1499999999999999</v>
      </c>
      <c r="J578" s="22">
        <f t="shared" si="167"/>
        <v>4.2705717187499985</v>
      </c>
      <c r="K578" s="53">
        <v>0.20555555555555532</v>
      </c>
      <c r="L578" s="45">
        <f t="shared" si="190"/>
        <v>12.599999999999998</v>
      </c>
      <c r="M578" s="45">
        <f t="shared" si="191"/>
        <v>13.749999999999998</v>
      </c>
      <c r="N578" s="46">
        <f t="shared" si="192"/>
        <v>13.174999999999997</v>
      </c>
      <c r="O578" s="20">
        <f t="shared" si="182"/>
        <v>52.600000000000016</v>
      </c>
      <c r="P578" s="20">
        <f t="shared" si="183"/>
        <v>53.750000000000014</v>
      </c>
      <c r="Q578" s="20">
        <f t="shared" si="193"/>
        <v>53.175000000000011</v>
      </c>
      <c r="R578" s="20">
        <f t="shared" si="170"/>
        <v>52.600000000000016</v>
      </c>
      <c r="S578" s="20">
        <f t="shared" si="171"/>
        <v>53.175000000000011</v>
      </c>
      <c r="T578" s="20">
        <f t="shared" si="172"/>
        <v>53.175000000000011</v>
      </c>
      <c r="U578" s="20">
        <f t="shared" si="173"/>
        <v>53.175000000000011</v>
      </c>
      <c r="V578" s="22">
        <v>7.5293999999999999</v>
      </c>
      <c r="W578" s="22">
        <v>2.766</v>
      </c>
      <c r="X578" s="23">
        <v>1.1476266666666668</v>
      </c>
      <c r="Y578" s="23">
        <f t="shared" si="185"/>
        <v>6.3817733333333333</v>
      </c>
      <c r="Z578" s="23">
        <f t="shared" si="186"/>
        <v>1.6183733333333332</v>
      </c>
      <c r="AA578" s="22">
        <f t="shared" si="187"/>
        <v>74.640695480670999</v>
      </c>
      <c r="AB578" s="22">
        <f t="shared" si="188"/>
        <v>25.359304519329001</v>
      </c>
      <c r="AC578" s="22">
        <f t="shared" si="174"/>
        <v>1.4943604167362599</v>
      </c>
      <c r="AD578" s="22">
        <f t="shared" si="175"/>
        <v>0.37895940869646211</v>
      </c>
      <c r="AE578" s="27">
        <v>16.918299999999999</v>
      </c>
      <c r="AF578" s="27">
        <v>17.2165</v>
      </c>
      <c r="AG578" s="27">
        <v>17.124600000000001</v>
      </c>
      <c r="AH578" s="26">
        <v>0.20630000000000001</v>
      </c>
      <c r="AI578" s="26">
        <v>30.818242789999999</v>
      </c>
      <c r="AJ578" s="26">
        <f t="shared" si="176"/>
        <v>1.5409121395000001</v>
      </c>
      <c r="AK578" s="26">
        <f t="shared" si="177"/>
        <v>17.814013173410405</v>
      </c>
      <c r="AL578" s="26">
        <f t="shared" si="178"/>
        <v>1.5435382151597246</v>
      </c>
      <c r="AM578" s="17">
        <f t="shared" si="189"/>
        <v>0.5780346820809249</v>
      </c>
      <c r="AN578" s="17"/>
      <c r="AO578" s="27"/>
      <c r="AS578" s="49"/>
      <c r="AT578" s="25"/>
      <c r="AU578" s="17"/>
      <c r="AV578" s="17"/>
      <c r="AW578" s="17"/>
      <c r="AX578" s="27"/>
      <c r="BB578" s="17"/>
    </row>
    <row r="579" spans="1:54" x14ac:dyDescent="0.2">
      <c r="A579" s="17" t="s">
        <v>77</v>
      </c>
      <c r="B579" s="17" t="s">
        <v>78</v>
      </c>
      <c r="C579" s="17" t="str">
        <f t="shared" si="168"/>
        <v>HER42PB1B</v>
      </c>
      <c r="D579" s="17" t="str">
        <f t="shared" si="169"/>
        <v>HER42PB1B_48</v>
      </c>
      <c r="E579" s="27" t="s">
        <v>80</v>
      </c>
      <c r="F579" s="17">
        <v>48</v>
      </c>
      <c r="G579" s="20">
        <v>2.1</v>
      </c>
      <c r="H579" s="20">
        <v>2.1</v>
      </c>
      <c r="I579" s="20">
        <v>1.1499999999999999</v>
      </c>
      <c r="J579" s="22">
        <f t="shared" si="167"/>
        <v>3.9811274999999999</v>
      </c>
      <c r="K579" s="53">
        <v>0.20555555555555532</v>
      </c>
      <c r="L579" s="45">
        <f t="shared" si="190"/>
        <v>13.955555555555554</v>
      </c>
      <c r="M579" s="45">
        <f t="shared" si="191"/>
        <v>15.105555555555554</v>
      </c>
      <c r="N579" s="46">
        <f t="shared" si="192"/>
        <v>14.530555555555555</v>
      </c>
      <c r="O579" s="20">
        <f t="shared" si="182"/>
        <v>53.95555555555557</v>
      </c>
      <c r="P579" s="20">
        <f t="shared" si="183"/>
        <v>55.105555555555569</v>
      </c>
      <c r="Q579" s="20">
        <f t="shared" si="193"/>
        <v>54.530555555555566</v>
      </c>
      <c r="R579" s="20">
        <f t="shared" si="170"/>
        <v>53.95555555555557</v>
      </c>
      <c r="S579" s="20">
        <f t="shared" si="171"/>
        <v>54.530555555555566</v>
      </c>
      <c r="T579" s="20">
        <f t="shared" si="172"/>
        <v>54.530555555555566</v>
      </c>
      <c r="U579" s="20">
        <f t="shared" si="173"/>
        <v>54.530555555555566</v>
      </c>
      <c r="V579" s="22">
        <v>7.2275999999999998</v>
      </c>
      <c r="W579" s="22">
        <v>2.6248999999999998</v>
      </c>
      <c r="X579" s="23">
        <v>1.1476266666666668</v>
      </c>
      <c r="Y579" s="23">
        <f t="shared" si="185"/>
        <v>6.0799733333333332</v>
      </c>
      <c r="Z579" s="23">
        <f t="shared" si="186"/>
        <v>1.477273333333333</v>
      </c>
      <c r="AA579" s="22">
        <f t="shared" si="187"/>
        <v>75.702634660678342</v>
      </c>
      <c r="AB579" s="22">
        <f t="shared" si="188"/>
        <v>24.297365339321658</v>
      </c>
      <c r="AC579" s="22">
        <f t="shared" si="174"/>
        <v>1.5271988483999404</v>
      </c>
      <c r="AD579" s="22">
        <f t="shared" si="175"/>
        <v>0.3710690836536466</v>
      </c>
      <c r="AE579" s="27">
        <v>16.2895</v>
      </c>
      <c r="AF579" s="27">
        <v>16.5304</v>
      </c>
      <c r="AG579" s="27">
        <v>16.431999999999999</v>
      </c>
      <c r="AH579" s="26">
        <v>0.14249999999999999</v>
      </c>
      <c r="AI579" s="26">
        <v>40.846824410000004</v>
      </c>
      <c r="AJ579" s="26">
        <f t="shared" si="176"/>
        <v>2.0423412205000004</v>
      </c>
      <c r="AK579" s="26">
        <f t="shared" si="177"/>
        <v>23.610881161849715</v>
      </c>
      <c r="AL579" s="26">
        <f t="shared" si="178"/>
        <v>2.0443232770169768</v>
      </c>
      <c r="AM579" s="17">
        <f t="shared" si="189"/>
        <v>0.5780346820809249</v>
      </c>
      <c r="AN579" s="17"/>
      <c r="AO579" s="27"/>
      <c r="AS579" s="49"/>
      <c r="AT579" s="25"/>
      <c r="AU579" s="17"/>
      <c r="AV579" s="17"/>
      <c r="AW579" s="17"/>
      <c r="AX579" s="27"/>
      <c r="BB579" s="17"/>
    </row>
    <row r="580" spans="1:54" x14ac:dyDescent="0.2">
      <c r="A580" s="17" t="s">
        <v>77</v>
      </c>
      <c r="B580" s="17" t="s">
        <v>78</v>
      </c>
      <c r="C580" s="17" t="str">
        <f t="shared" si="168"/>
        <v>HER42PB1B</v>
      </c>
      <c r="D580" s="17" t="str">
        <f t="shared" si="169"/>
        <v>HER42PB1B_49</v>
      </c>
      <c r="E580" s="27" t="s">
        <v>80</v>
      </c>
      <c r="F580" s="17">
        <v>49</v>
      </c>
      <c r="G580" s="20">
        <v>2.15</v>
      </c>
      <c r="H580" s="20">
        <v>2.1</v>
      </c>
      <c r="I580" s="20">
        <v>1.1499999999999999</v>
      </c>
      <c r="J580" s="22">
        <f t="shared" si="167"/>
        <v>4.0764804687499998</v>
      </c>
      <c r="K580" s="53">
        <v>0.20555555555555532</v>
      </c>
      <c r="L580" s="45">
        <f t="shared" si="190"/>
        <v>15.31111111111111</v>
      </c>
      <c r="M580" s="45">
        <f t="shared" si="191"/>
        <v>16.461111111111109</v>
      </c>
      <c r="N580" s="46">
        <f t="shared" si="192"/>
        <v>15.886111111111109</v>
      </c>
      <c r="O580" s="20">
        <f t="shared" si="182"/>
        <v>55.311111111111124</v>
      </c>
      <c r="P580" s="20">
        <f t="shared" si="183"/>
        <v>56.461111111111123</v>
      </c>
      <c r="Q580" s="20">
        <f t="shared" si="193"/>
        <v>55.88611111111112</v>
      </c>
      <c r="R580" s="20">
        <f t="shared" si="170"/>
        <v>55.311111111111124</v>
      </c>
      <c r="S580" s="20">
        <f t="shared" si="171"/>
        <v>55.88611111111112</v>
      </c>
      <c r="T580" s="20">
        <f t="shared" si="172"/>
        <v>55.88611111111112</v>
      </c>
      <c r="U580" s="20">
        <f t="shared" si="173"/>
        <v>55.88611111111112</v>
      </c>
      <c r="V580" s="22">
        <v>7.8670999999999998</v>
      </c>
      <c r="W580" s="22">
        <v>2.9531999999999998</v>
      </c>
      <c r="X580" s="23">
        <v>1.1476266666666668</v>
      </c>
      <c r="Y580" s="23">
        <f t="shared" si="185"/>
        <v>6.7194733333333332</v>
      </c>
      <c r="Z580" s="23">
        <f t="shared" si="186"/>
        <v>1.805573333333333</v>
      </c>
      <c r="AA580" s="22">
        <f t="shared" si="187"/>
        <v>73.129243264105028</v>
      </c>
      <c r="AB580" s="22">
        <f t="shared" si="188"/>
        <v>26.870756735894972</v>
      </c>
      <c r="AC580" s="22">
        <f t="shared" si="174"/>
        <v>1.6483516564949403</v>
      </c>
      <c r="AD580" s="22">
        <f t="shared" si="175"/>
        <v>0.44292456376885053</v>
      </c>
      <c r="AE580" s="27">
        <v>16.2027</v>
      </c>
      <c r="AF580" s="27">
        <v>16.452999999999999</v>
      </c>
      <c r="AG580" s="27">
        <v>16.336200000000002</v>
      </c>
      <c r="AH580" s="26">
        <v>0.13350000000000001</v>
      </c>
      <c r="AI580" s="26">
        <v>46.664003200000003</v>
      </c>
      <c r="AJ580" s="26">
        <f t="shared" si="176"/>
        <v>2.3332001600000001</v>
      </c>
      <c r="AK580" s="26">
        <f t="shared" si="177"/>
        <v>26.973412254335265</v>
      </c>
      <c r="AL580" s="26">
        <f t="shared" si="178"/>
        <v>2.334935328145948</v>
      </c>
      <c r="AM580" s="17">
        <f t="shared" si="189"/>
        <v>0.5780346820809249</v>
      </c>
      <c r="AN580" s="17"/>
      <c r="AO580" s="27"/>
      <c r="AS580" s="49"/>
      <c r="AT580" s="25"/>
      <c r="AU580" s="17"/>
      <c r="AV580" s="17"/>
      <c r="AW580" s="17"/>
      <c r="AX580" s="27"/>
      <c r="BB580" s="17"/>
    </row>
    <row r="581" spans="1:54" x14ac:dyDescent="0.2">
      <c r="A581" s="17" t="s">
        <v>77</v>
      </c>
      <c r="B581" s="17" t="s">
        <v>78</v>
      </c>
      <c r="C581" s="17" t="str">
        <f t="shared" si="168"/>
        <v>HER42PB1B</v>
      </c>
      <c r="D581" s="17" t="str">
        <f t="shared" si="169"/>
        <v>HER42PB1B_50</v>
      </c>
      <c r="E581" s="27" t="s">
        <v>80</v>
      </c>
      <c r="F581" s="17">
        <v>50</v>
      </c>
      <c r="G581" s="20">
        <v>2.15</v>
      </c>
      <c r="H581" s="20">
        <v>2.0499999999999998</v>
      </c>
      <c r="I581" s="20">
        <v>1.1499999999999999</v>
      </c>
      <c r="J581" s="22">
        <f t="shared" si="167"/>
        <v>3.981127499999999</v>
      </c>
      <c r="K581" s="53">
        <v>0.20555555555555532</v>
      </c>
      <c r="L581" s="45">
        <f t="shared" si="190"/>
        <v>16.666666666666664</v>
      </c>
      <c r="M581" s="45">
        <f t="shared" si="191"/>
        <v>17.816666666666663</v>
      </c>
      <c r="N581" s="46">
        <f t="shared" si="192"/>
        <v>17.241666666666664</v>
      </c>
      <c r="O581" s="20">
        <f t="shared" si="182"/>
        <v>56.666666666666679</v>
      </c>
      <c r="P581" s="20">
        <f t="shared" si="183"/>
        <v>57.816666666666677</v>
      </c>
      <c r="Q581" s="20">
        <f t="shared" si="193"/>
        <v>57.241666666666674</v>
      </c>
      <c r="R581" s="20">
        <f t="shared" si="170"/>
        <v>56.666666666666679</v>
      </c>
      <c r="S581" s="20">
        <f t="shared" si="171"/>
        <v>57.241666666666674</v>
      </c>
      <c r="T581" s="20">
        <f t="shared" si="172"/>
        <v>57.241666666666674</v>
      </c>
      <c r="U581" s="20">
        <f t="shared" si="173"/>
        <v>57.241666666666674</v>
      </c>
      <c r="V581" s="22">
        <v>7.9596</v>
      </c>
      <c r="W581" s="22">
        <v>3.2601</v>
      </c>
      <c r="X581" s="23">
        <v>1.1476266666666668</v>
      </c>
      <c r="Y581" s="23">
        <f t="shared" si="185"/>
        <v>6.8119733333333334</v>
      </c>
      <c r="Z581" s="23">
        <f t="shared" si="186"/>
        <v>2.112473333333333</v>
      </c>
      <c r="AA581" s="22">
        <f t="shared" si="187"/>
        <v>68.988819686121303</v>
      </c>
      <c r="AB581" s="22">
        <f t="shared" si="188"/>
        <v>31.011180313878697</v>
      </c>
      <c r="AC581" s="22">
        <f t="shared" si="174"/>
        <v>1.7110663582950647</v>
      </c>
      <c r="AD581" s="22">
        <f t="shared" si="175"/>
        <v>0.53062187366100022</v>
      </c>
      <c r="AE581" s="27">
        <v>15.6812</v>
      </c>
      <c r="AF581" s="27">
        <v>15.9139</v>
      </c>
      <c r="AG581" s="27">
        <v>15.8477</v>
      </c>
      <c r="AH581" s="26">
        <v>0.16650000000000001</v>
      </c>
      <c r="AI581" s="26">
        <v>28.448646329999999</v>
      </c>
      <c r="AJ581" s="26">
        <f t="shared" si="176"/>
        <v>1.4224323165000001</v>
      </c>
      <c r="AK581" s="26">
        <f t="shared" si="177"/>
        <v>16.444304236994221</v>
      </c>
      <c r="AL581" s="26">
        <f t="shared" si="178"/>
        <v>1.4252767082302147</v>
      </c>
      <c r="AM581" s="17">
        <f t="shared" si="189"/>
        <v>0.5780346820809249</v>
      </c>
      <c r="AN581" s="17"/>
      <c r="AO581" s="27"/>
      <c r="AS581" s="49"/>
      <c r="AT581" s="25"/>
      <c r="AU581" s="17"/>
      <c r="AV581" s="17"/>
      <c r="AW581" s="17"/>
      <c r="AX581" s="27"/>
      <c r="BB581" s="17"/>
    </row>
    <row r="582" spans="1:54" x14ac:dyDescent="0.2">
      <c r="A582" s="17" t="s">
        <v>77</v>
      </c>
      <c r="B582" s="17" t="s">
        <v>78</v>
      </c>
      <c r="C582" s="17" t="str">
        <f t="shared" si="168"/>
        <v>HER42PB1B</v>
      </c>
      <c r="D582" s="17" t="str">
        <f t="shared" si="169"/>
        <v>HER42PB1B_51</v>
      </c>
      <c r="E582" s="27" t="s">
        <v>80</v>
      </c>
      <c r="F582" s="17">
        <v>51</v>
      </c>
      <c r="G582" s="20">
        <v>2.2000000000000002</v>
      </c>
      <c r="H582" s="20">
        <v>2.0499999999999998</v>
      </c>
      <c r="I582" s="20">
        <v>1.1000000000000001</v>
      </c>
      <c r="J582" s="22">
        <f t="shared" si="167"/>
        <v>3.8992421875000005</v>
      </c>
      <c r="K582" s="53">
        <v>0.20555555555555532</v>
      </c>
      <c r="L582" s="45">
        <f t="shared" si="190"/>
        <v>18.022222222222219</v>
      </c>
      <c r="M582" s="45">
        <f t="shared" si="191"/>
        <v>19.12222222222222</v>
      </c>
      <c r="N582" s="46">
        <f t="shared" si="192"/>
        <v>18.572222222222219</v>
      </c>
      <c r="O582" s="20">
        <f t="shared" si="182"/>
        <v>58.022222222222233</v>
      </c>
      <c r="P582" s="20">
        <f t="shared" si="183"/>
        <v>59.122222222222234</v>
      </c>
      <c r="Q582" s="20">
        <f t="shared" si="193"/>
        <v>58.572222222222237</v>
      </c>
      <c r="R582" s="20">
        <f t="shared" si="170"/>
        <v>58.022222222222233</v>
      </c>
      <c r="S582" s="20">
        <f t="shared" si="171"/>
        <v>58.572222222222237</v>
      </c>
      <c r="T582" s="20">
        <f t="shared" si="172"/>
        <v>58.572222222222237</v>
      </c>
      <c r="U582" s="20">
        <f t="shared" si="173"/>
        <v>58.572222222222237</v>
      </c>
      <c r="V582" s="22">
        <v>7.7332000000000001</v>
      </c>
      <c r="W582" s="22">
        <v>2.9451999999999998</v>
      </c>
      <c r="X582" s="23">
        <v>1.1476266666666668</v>
      </c>
      <c r="Y582" s="23">
        <f t="shared" si="185"/>
        <v>6.5855733333333335</v>
      </c>
      <c r="Z582" s="23">
        <f t="shared" si="186"/>
        <v>1.797573333333333</v>
      </c>
      <c r="AA582" s="22">
        <f t="shared" si="187"/>
        <v>72.70437603002928</v>
      </c>
      <c r="AB582" s="22">
        <f t="shared" si="188"/>
        <v>27.29562396997072</v>
      </c>
      <c r="AC582" s="22">
        <f t="shared" si="174"/>
        <v>1.6889367258194532</v>
      </c>
      <c r="AD582" s="22">
        <f t="shared" si="175"/>
        <v>0.46100581777041333</v>
      </c>
      <c r="AE582" s="27">
        <v>16.690899999999999</v>
      </c>
      <c r="AF582" s="27">
        <v>17.003499999999999</v>
      </c>
      <c r="AG582" s="27">
        <v>16.9129</v>
      </c>
      <c r="AH582" s="26">
        <v>0.222</v>
      </c>
      <c r="AI582" s="26">
        <v>28.98272553</v>
      </c>
      <c r="AJ582" s="26">
        <f t="shared" si="176"/>
        <v>1.4491362765</v>
      </c>
      <c r="AK582" s="26">
        <f t="shared" si="177"/>
        <v>16.753020537572255</v>
      </c>
      <c r="AL582" s="26">
        <f t="shared" si="178"/>
        <v>1.4519283549363877</v>
      </c>
      <c r="AM582" s="17">
        <f t="shared" si="189"/>
        <v>0.5780346820809249</v>
      </c>
      <c r="AN582" s="17"/>
      <c r="AO582" s="27"/>
      <c r="AS582" s="49"/>
      <c r="AT582" s="25"/>
      <c r="AU582" s="17"/>
      <c r="AV582" s="17"/>
      <c r="AW582" s="17"/>
      <c r="AX582" s="27"/>
      <c r="BB582" s="17"/>
    </row>
    <row r="583" spans="1:54" x14ac:dyDescent="0.2">
      <c r="A583" s="17" t="s">
        <v>77</v>
      </c>
      <c r="B583" s="17" t="s">
        <v>78</v>
      </c>
      <c r="C583" s="17" t="str">
        <f t="shared" si="168"/>
        <v>HER42PB1B</v>
      </c>
      <c r="D583" s="17" t="str">
        <f t="shared" si="169"/>
        <v>HER42PB1B_52</v>
      </c>
      <c r="E583" s="27" t="s">
        <v>80</v>
      </c>
      <c r="F583" s="17">
        <v>52</v>
      </c>
      <c r="G583" s="20">
        <v>2.15</v>
      </c>
      <c r="H583" s="20">
        <v>2.1</v>
      </c>
      <c r="I583" s="20">
        <v>1.1000000000000001</v>
      </c>
      <c r="J583" s="22">
        <f t="shared" si="167"/>
        <v>3.8992421875000005</v>
      </c>
      <c r="K583" s="53">
        <v>0.20555555555555532</v>
      </c>
      <c r="L583" s="45">
        <f t="shared" si="190"/>
        <v>19.327777777777776</v>
      </c>
      <c r="M583" s="45">
        <f t="shared" si="191"/>
        <v>20.427777777777777</v>
      </c>
      <c r="N583" s="46">
        <f t="shared" si="192"/>
        <v>19.877777777777776</v>
      </c>
      <c r="O583" s="20">
        <f t="shared" si="182"/>
        <v>59.32777777777779</v>
      </c>
      <c r="P583" s="20">
        <f t="shared" si="183"/>
        <v>60.427777777777791</v>
      </c>
      <c r="Q583" s="20">
        <f t="shared" si="193"/>
        <v>59.877777777777794</v>
      </c>
      <c r="R583" s="20">
        <f t="shared" si="170"/>
        <v>59.32777777777779</v>
      </c>
      <c r="S583" s="20">
        <f t="shared" si="171"/>
        <v>59.877777777777794</v>
      </c>
      <c r="T583" s="20">
        <f t="shared" si="172"/>
        <v>59.877777777777794</v>
      </c>
      <c r="U583" s="20">
        <f t="shared" si="173"/>
        <v>59.877777777777794</v>
      </c>
      <c r="V583" s="22">
        <v>7.8707000000000003</v>
      </c>
      <c r="W583" s="22">
        <v>2.8452000000000002</v>
      </c>
      <c r="X583" s="23">
        <v>1.1476266666666668</v>
      </c>
      <c r="Y583" s="23">
        <f t="shared" si="185"/>
        <v>6.7230733333333337</v>
      </c>
      <c r="Z583" s="23">
        <f t="shared" si="186"/>
        <v>1.6975733333333334</v>
      </c>
      <c r="AA583" s="22">
        <f t="shared" si="187"/>
        <v>74.750039912302014</v>
      </c>
      <c r="AB583" s="22">
        <f t="shared" si="188"/>
        <v>25.249960087697986</v>
      </c>
      <c r="AC583" s="22">
        <f t="shared" si="174"/>
        <v>1.724199988112006</v>
      </c>
      <c r="AD583" s="22">
        <f t="shared" si="175"/>
        <v>0.43535980883037501</v>
      </c>
      <c r="AE583" s="27">
        <v>17.4682</v>
      </c>
      <c r="AF583" s="27">
        <v>17.747900000000001</v>
      </c>
      <c r="AG583" s="27">
        <v>17.6464</v>
      </c>
      <c r="AH583" s="26">
        <v>0.1782</v>
      </c>
      <c r="AI583" s="26">
        <v>36.288880939999999</v>
      </c>
      <c r="AJ583" s="26">
        <f t="shared" si="176"/>
        <v>1.8144440470000001</v>
      </c>
      <c r="AK583" s="26">
        <f t="shared" si="177"/>
        <v>20.976231757225435</v>
      </c>
      <c r="AL583" s="26">
        <f t="shared" si="178"/>
        <v>1.8166747644236538</v>
      </c>
      <c r="AM583" s="17">
        <f t="shared" si="189"/>
        <v>0.5780346820809249</v>
      </c>
      <c r="AN583" s="17"/>
      <c r="AO583" s="27"/>
      <c r="AS583" s="49"/>
      <c r="AT583" s="25"/>
      <c r="AU583" s="17"/>
      <c r="AV583" s="17"/>
      <c r="AW583" s="17"/>
      <c r="AX583" s="27"/>
      <c r="BB583" s="17"/>
    </row>
    <row r="584" spans="1:54" x14ac:dyDescent="0.2">
      <c r="A584" s="17" t="s">
        <v>77</v>
      </c>
      <c r="B584" s="17" t="s">
        <v>78</v>
      </c>
      <c r="C584" s="17" t="str">
        <f t="shared" si="168"/>
        <v>HER42PB1B</v>
      </c>
      <c r="D584" s="17" t="str">
        <f t="shared" si="169"/>
        <v>HER42PB1B_53</v>
      </c>
      <c r="E584" s="27" t="s">
        <v>80</v>
      </c>
      <c r="F584" s="17">
        <v>53</v>
      </c>
      <c r="G584" s="20">
        <v>2.0499999999999998</v>
      </c>
      <c r="H584" s="20">
        <v>2.1</v>
      </c>
      <c r="I584" s="20">
        <v>1.1000000000000001</v>
      </c>
      <c r="J584" s="22">
        <f t="shared" si="167"/>
        <v>3.7179071875000012</v>
      </c>
      <c r="K584" s="53">
        <v>0.20555555555555532</v>
      </c>
      <c r="L584" s="45">
        <f t="shared" si="190"/>
        <v>20.633333333333333</v>
      </c>
      <c r="M584" s="45">
        <f t="shared" si="191"/>
        <v>21.733333333333334</v>
      </c>
      <c r="N584" s="46">
        <f t="shared" si="192"/>
        <v>21.183333333333334</v>
      </c>
      <c r="O584" s="20">
        <f t="shared" si="182"/>
        <v>60.633333333333347</v>
      </c>
      <c r="P584" s="20">
        <f t="shared" si="183"/>
        <v>61.733333333333348</v>
      </c>
      <c r="Q584" s="20">
        <f t="shared" si="193"/>
        <v>61.183333333333351</v>
      </c>
      <c r="R584" s="20">
        <f t="shared" si="170"/>
        <v>60.633333333333347</v>
      </c>
      <c r="S584" s="20">
        <f t="shared" si="171"/>
        <v>61.183333333333351</v>
      </c>
      <c r="T584" s="20">
        <f t="shared" si="172"/>
        <v>61.183333333333351</v>
      </c>
      <c r="U584" s="20">
        <f t="shared" si="173"/>
        <v>61.183333333333351</v>
      </c>
      <c r="V584" s="22">
        <v>7.6071999999999997</v>
      </c>
      <c r="W584" s="22">
        <v>2.7906</v>
      </c>
      <c r="X584" s="23">
        <v>1.1476266666666668</v>
      </c>
      <c r="Y584" s="23">
        <f t="shared" si="185"/>
        <v>6.4595733333333332</v>
      </c>
      <c r="Z584" s="23">
        <f t="shared" si="186"/>
        <v>1.6429733333333332</v>
      </c>
      <c r="AA584" s="22">
        <f t="shared" si="187"/>
        <v>74.56529636632348</v>
      </c>
      <c r="AB584" s="22">
        <f t="shared" si="188"/>
        <v>25.43470363367652</v>
      </c>
      <c r="AC584" s="22">
        <f t="shared" si="174"/>
        <v>1.737421890210467</v>
      </c>
      <c r="AD584" s="22">
        <f t="shared" si="175"/>
        <v>0.44190810864165303</v>
      </c>
      <c r="AE584" s="27">
        <v>17.234100000000002</v>
      </c>
      <c r="AF584" s="27">
        <v>17.5061</v>
      </c>
      <c r="AG584" s="27">
        <v>17.4085</v>
      </c>
      <c r="AH584" s="26">
        <v>0.1744</v>
      </c>
      <c r="AI584" s="26">
        <v>35.882352939999997</v>
      </c>
      <c r="AJ584" s="26">
        <f t="shared" si="176"/>
        <v>1.794117647</v>
      </c>
      <c r="AK584" s="26">
        <f t="shared" si="177"/>
        <v>20.741244473988438</v>
      </c>
      <c r="AL584" s="26">
        <f t="shared" si="178"/>
        <v>1.7963736057059001</v>
      </c>
      <c r="AM584" s="17">
        <f t="shared" si="189"/>
        <v>0.5780346820809249</v>
      </c>
      <c r="AN584" s="17"/>
      <c r="AO584" s="27"/>
      <c r="AS584" s="49"/>
      <c r="AT584" s="25"/>
      <c r="AU584" s="17"/>
      <c r="AV584" s="17"/>
      <c r="AW584" s="17"/>
      <c r="AX584" s="27"/>
      <c r="BB584" s="17"/>
    </row>
    <row r="585" spans="1:54" x14ac:dyDescent="0.2">
      <c r="A585" s="17" t="s">
        <v>77</v>
      </c>
      <c r="B585" s="17" t="s">
        <v>78</v>
      </c>
      <c r="C585" s="17" t="str">
        <f t="shared" si="168"/>
        <v>HER42PB1B</v>
      </c>
      <c r="D585" s="17" t="str">
        <f t="shared" si="169"/>
        <v>HER42PB1B_54</v>
      </c>
      <c r="E585" s="27" t="s">
        <v>80</v>
      </c>
      <c r="F585" s="17">
        <v>54</v>
      </c>
      <c r="G585" s="20">
        <v>2.15</v>
      </c>
      <c r="H585" s="20">
        <v>2.2000000000000002</v>
      </c>
      <c r="I585" s="20">
        <v>1.2</v>
      </c>
      <c r="J585" s="22">
        <f t="shared" si="167"/>
        <v>4.4562487499999994</v>
      </c>
      <c r="K585" s="53">
        <v>0.20555555555555532</v>
      </c>
      <c r="L585" s="45">
        <f t="shared" si="190"/>
        <v>21.93888888888889</v>
      </c>
      <c r="M585" s="45">
        <f t="shared" si="191"/>
        <v>23.138888888888889</v>
      </c>
      <c r="N585" s="46">
        <f t="shared" si="192"/>
        <v>22.538888888888891</v>
      </c>
      <c r="O585" s="20">
        <f t="shared" si="182"/>
        <v>61.938888888888904</v>
      </c>
      <c r="P585" s="20">
        <f t="shared" si="183"/>
        <v>63.138888888888907</v>
      </c>
      <c r="Q585" s="20">
        <f t="shared" si="193"/>
        <v>62.538888888888906</v>
      </c>
      <c r="R585" s="20">
        <f t="shared" si="170"/>
        <v>61.938888888888904</v>
      </c>
      <c r="S585" s="20">
        <f t="shared" si="171"/>
        <v>62.538888888888906</v>
      </c>
      <c r="T585" s="20">
        <f t="shared" si="172"/>
        <v>62.538888888888906</v>
      </c>
      <c r="U585" s="20">
        <f t="shared" si="173"/>
        <v>62.538888888888906</v>
      </c>
      <c r="V585" s="22">
        <v>8.2725000000000009</v>
      </c>
      <c r="W585" s="22">
        <v>3.0912999999999999</v>
      </c>
      <c r="X585" s="23">
        <v>1.1476266666666668</v>
      </c>
      <c r="Y585" s="23">
        <f t="shared" si="185"/>
        <v>7.1248733333333343</v>
      </c>
      <c r="Z585" s="23">
        <f t="shared" si="186"/>
        <v>1.9436733333333331</v>
      </c>
      <c r="AA585" s="22">
        <f t="shared" si="187"/>
        <v>72.719889289259882</v>
      </c>
      <c r="AB585" s="22">
        <f t="shared" si="188"/>
        <v>27.280110710740118</v>
      </c>
      <c r="AC585" s="22">
        <f t="shared" si="174"/>
        <v>1.5988500043525029</v>
      </c>
      <c r="AD585" s="22">
        <f t="shared" si="175"/>
        <v>0.43616805128603592</v>
      </c>
      <c r="AE585" s="27">
        <v>16.632200000000001</v>
      </c>
      <c r="AF585" s="27">
        <v>16.843800000000002</v>
      </c>
      <c r="AG585" s="27">
        <v>16.774000000000001</v>
      </c>
      <c r="AH585" s="26">
        <v>0.14180000000000001</v>
      </c>
      <c r="AI585" s="26">
        <v>32.986767489999998</v>
      </c>
      <c r="AJ585" s="26">
        <f t="shared" si="176"/>
        <v>1.6493383745000001</v>
      </c>
      <c r="AK585" s="26">
        <f t="shared" si="177"/>
        <v>19.067495658959537</v>
      </c>
      <c r="AL585" s="26">
        <f t="shared" si="178"/>
        <v>1.6517920794089984</v>
      </c>
      <c r="AM585" s="17">
        <f t="shared" si="189"/>
        <v>0.5780346820809249</v>
      </c>
      <c r="AN585" s="17"/>
      <c r="AO585" s="27"/>
      <c r="AS585" s="49"/>
      <c r="AT585" s="25"/>
      <c r="AU585" s="17"/>
      <c r="AV585" s="17"/>
      <c r="AW585" s="17"/>
      <c r="AX585" s="27"/>
      <c r="BB585" s="17"/>
    </row>
    <row r="586" spans="1:54" x14ac:dyDescent="0.2">
      <c r="A586" s="17" t="s">
        <v>77</v>
      </c>
      <c r="B586" s="17" t="s">
        <v>78</v>
      </c>
      <c r="C586" s="17" t="str">
        <f t="shared" si="168"/>
        <v>HER42PB1B</v>
      </c>
      <c r="D586" s="17" t="str">
        <f t="shared" si="169"/>
        <v>HER42PB1B_55</v>
      </c>
      <c r="E586" s="27" t="s">
        <v>80</v>
      </c>
      <c r="F586" s="17">
        <v>55</v>
      </c>
      <c r="G586" s="20">
        <v>2.2000000000000002</v>
      </c>
      <c r="H586" s="20">
        <v>2</v>
      </c>
      <c r="I586" s="20">
        <v>1.1000000000000001</v>
      </c>
      <c r="J586" s="22">
        <f t="shared" si="167"/>
        <v>3.8080350000000007</v>
      </c>
      <c r="K586" s="53">
        <v>0.20555555555555532</v>
      </c>
      <c r="L586" s="45">
        <f t="shared" si="190"/>
        <v>23.344444444444445</v>
      </c>
      <c r="M586" s="45">
        <f t="shared" si="191"/>
        <v>24.444444444444446</v>
      </c>
      <c r="N586" s="46">
        <f t="shared" si="192"/>
        <v>23.894444444444446</v>
      </c>
      <c r="O586" s="20">
        <f t="shared" si="182"/>
        <v>63.344444444444463</v>
      </c>
      <c r="P586" s="20">
        <f t="shared" si="183"/>
        <v>64.444444444444457</v>
      </c>
      <c r="Q586" s="20">
        <f t="shared" si="193"/>
        <v>63.89444444444446</v>
      </c>
      <c r="R586" s="20">
        <f t="shared" si="170"/>
        <v>63.344444444444463</v>
      </c>
      <c r="S586" s="20">
        <f t="shared" si="171"/>
        <v>63.89444444444446</v>
      </c>
      <c r="T586" s="20">
        <f t="shared" si="172"/>
        <v>63.89444444444446</v>
      </c>
      <c r="U586" s="20">
        <f t="shared" si="173"/>
        <v>63.89444444444446</v>
      </c>
      <c r="V586" s="22">
        <v>6.9412000000000003</v>
      </c>
      <c r="W586" s="22">
        <v>2.4824000000000002</v>
      </c>
      <c r="X586" s="23">
        <v>1.1476266666666668</v>
      </c>
      <c r="Y586" s="23">
        <f t="shared" si="185"/>
        <v>5.7935733333333337</v>
      </c>
      <c r="Z586" s="23">
        <f t="shared" si="186"/>
        <v>1.3347733333333334</v>
      </c>
      <c r="AA586" s="22">
        <f t="shared" si="187"/>
        <v>76.961138548920871</v>
      </c>
      <c r="AB586" s="22">
        <f t="shared" si="188"/>
        <v>23.038861451079129</v>
      </c>
      <c r="AC586" s="22">
        <f t="shared" si="174"/>
        <v>1.5214075851018525</v>
      </c>
      <c r="AD586" s="22">
        <f t="shared" si="175"/>
        <v>0.35051498563782452</v>
      </c>
      <c r="AE586" s="27">
        <v>18.2974</v>
      </c>
      <c r="AF586" s="27">
        <v>18.438700000000001</v>
      </c>
      <c r="AG586" s="27">
        <v>18.3931</v>
      </c>
      <c r="AH586" s="26">
        <v>9.5699999999999993E-2</v>
      </c>
      <c r="AI586" s="26">
        <v>32.271762209999999</v>
      </c>
      <c r="AJ586" s="26">
        <f t="shared" si="176"/>
        <v>1.6135881105000001</v>
      </c>
      <c r="AK586" s="26">
        <f t="shared" si="177"/>
        <v>18.654197809248554</v>
      </c>
      <c r="AL586" s="26">
        <f t="shared" si="178"/>
        <v>1.6160960956412711</v>
      </c>
      <c r="AM586" s="17">
        <f t="shared" si="189"/>
        <v>0.5780346820809249</v>
      </c>
      <c r="AN586" s="17"/>
      <c r="AO586" s="27"/>
      <c r="AS586" s="49"/>
      <c r="AT586" s="25"/>
      <c r="AU586" s="17"/>
      <c r="AV586" s="17"/>
      <c r="AW586" s="17"/>
      <c r="AX586" s="27"/>
      <c r="BB586" s="17"/>
    </row>
    <row r="587" spans="1:54" x14ac:dyDescent="0.2">
      <c r="A587" s="17" t="s">
        <v>77</v>
      </c>
      <c r="B587" s="17" t="s">
        <v>78</v>
      </c>
      <c r="C587" s="17" t="str">
        <f t="shared" si="168"/>
        <v>HER42PB1B</v>
      </c>
      <c r="D587" s="17" t="str">
        <f t="shared" si="169"/>
        <v>HER42PB1B_56</v>
      </c>
      <c r="E587" s="27" t="s">
        <v>80</v>
      </c>
      <c r="F587" s="17">
        <v>56</v>
      </c>
      <c r="G587" s="20">
        <v>1.95</v>
      </c>
      <c r="H587" s="20">
        <v>2.25</v>
      </c>
      <c r="I587" s="20">
        <v>1.1000000000000001</v>
      </c>
      <c r="J587" s="22">
        <f t="shared" si="167"/>
        <v>3.8080350000000007</v>
      </c>
      <c r="K587" s="53">
        <v>0.20555555555555532</v>
      </c>
      <c r="L587" s="45">
        <f t="shared" si="190"/>
        <v>24.650000000000002</v>
      </c>
      <c r="M587" s="45">
        <f t="shared" si="191"/>
        <v>25.750000000000004</v>
      </c>
      <c r="N587" s="46">
        <f t="shared" si="192"/>
        <v>25.200000000000003</v>
      </c>
      <c r="O587" s="20">
        <f t="shared" si="182"/>
        <v>64.650000000000006</v>
      </c>
      <c r="P587" s="20">
        <f t="shared" si="183"/>
        <v>65.75</v>
      </c>
      <c r="Q587" s="20">
        <f t="shared" si="193"/>
        <v>65.2</v>
      </c>
      <c r="R587" s="20">
        <f t="shared" si="170"/>
        <v>64.650000000000006</v>
      </c>
      <c r="S587" s="20">
        <f t="shared" si="171"/>
        <v>65.2</v>
      </c>
      <c r="T587" s="20">
        <f t="shared" si="172"/>
        <v>65.2</v>
      </c>
      <c r="U587" s="20">
        <f t="shared" si="173"/>
        <v>65.2</v>
      </c>
      <c r="V587" s="22">
        <v>7.1786000000000003</v>
      </c>
      <c r="W587" s="22">
        <v>2.3473999999999999</v>
      </c>
      <c r="X587" s="23">
        <v>1.1476266666666668</v>
      </c>
      <c r="Y587" s="23">
        <f t="shared" si="185"/>
        <v>6.0309733333333337</v>
      </c>
      <c r="Z587" s="23">
        <f t="shared" si="186"/>
        <v>1.1997733333333331</v>
      </c>
      <c r="AA587" s="22">
        <f t="shared" si="187"/>
        <v>80.106472587067216</v>
      </c>
      <c r="AB587" s="22">
        <f t="shared" si="188"/>
        <v>19.893527412932784</v>
      </c>
      <c r="AC587" s="22">
        <f t="shared" si="174"/>
        <v>1.5837494490815689</v>
      </c>
      <c r="AD587" s="22">
        <f t="shared" si="175"/>
        <v>0.31506363080521393</v>
      </c>
      <c r="AE587" s="27">
        <v>17.552800000000001</v>
      </c>
      <c r="AF587" s="27">
        <v>17.731400000000001</v>
      </c>
      <c r="AG587" s="27">
        <v>17.654599999999999</v>
      </c>
      <c r="AH587" s="26">
        <v>0.1018</v>
      </c>
      <c r="AI587" s="26">
        <v>43.00111982</v>
      </c>
      <c r="AJ587" s="26">
        <f t="shared" si="176"/>
        <v>2.1500559909999999</v>
      </c>
      <c r="AK587" s="26">
        <f t="shared" si="177"/>
        <v>24.85613862427746</v>
      </c>
      <c r="AL587" s="26">
        <f t="shared" si="178"/>
        <v>2.1519388384512679</v>
      </c>
      <c r="AM587" s="17">
        <f t="shared" si="189"/>
        <v>0.5780346820809249</v>
      </c>
      <c r="AN587" s="17"/>
      <c r="AO587" s="27"/>
      <c r="AS587" s="49"/>
      <c r="AT587" s="25"/>
      <c r="AU587" s="17"/>
      <c r="AV587" s="17"/>
      <c r="AW587" s="17"/>
      <c r="AX587" s="27"/>
      <c r="BB587" s="17"/>
    </row>
    <row r="588" spans="1:54" x14ac:dyDescent="0.2">
      <c r="A588" s="17" t="s">
        <v>77</v>
      </c>
      <c r="B588" s="17" t="s">
        <v>78</v>
      </c>
      <c r="C588" s="17" t="str">
        <f t="shared" si="168"/>
        <v>HER42PB1B</v>
      </c>
      <c r="D588" s="17" t="str">
        <f t="shared" si="169"/>
        <v>HER42PB1B_57</v>
      </c>
      <c r="E588" s="27" t="s">
        <v>80</v>
      </c>
      <c r="F588" s="17">
        <v>57</v>
      </c>
      <c r="G588" s="20">
        <v>2.0499999999999998</v>
      </c>
      <c r="H588" s="20">
        <v>2.0499999999999998</v>
      </c>
      <c r="I588" s="20">
        <v>1.1000000000000001</v>
      </c>
      <c r="J588" s="22">
        <f t="shared" si="167"/>
        <v>3.6288587499999996</v>
      </c>
      <c r="K588" s="53">
        <v>0.20555555555555532</v>
      </c>
      <c r="L588" s="45">
        <f t="shared" si="190"/>
        <v>25.955555555555559</v>
      </c>
      <c r="M588" s="45">
        <f t="shared" si="191"/>
        <v>27.055555555555561</v>
      </c>
      <c r="N588" s="46">
        <f t="shared" si="192"/>
        <v>26.50555555555556</v>
      </c>
      <c r="O588" s="20">
        <f t="shared" si="182"/>
        <v>65.955555555555549</v>
      </c>
      <c r="P588" s="20">
        <f t="shared" si="183"/>
        <v>67.055555555555543</v>
      </c>
      <c r="Q588" s="20">
        <f t="shared" si="193"/>
        <v>66.505555555555546</v>
      </c>
      <c r="R588" s="20">
        <f t="shared" si="170"/>
        <v>65.955555555555549</v>
      </c>
      <c r="S588" s="20">
        <f t="shared" si="171"/>
        <v>66.505555555555546</v>
      </c>
      <c r="T588" s="20">
        <f t="shared" si="172"/>
        <v>66.505555555555546</v>
      </c>
      <c r="U588" s="20">
        <f t="shared" si="173"/>
        <v>66.505555555555546</v>
      </c>
      <c r="V588" s="22">
        <v>7.5427</v>
      </c>
      <c r="W588" s="22">
        <v>2.7458</v>
      </c>
      <c r="X588" s="23">
        <v>1.1476266666666668</v>
      </c>
      <c r="Y588" s="23">
        <f t="shared" si="185"/>
        <v>6.3950733333333334</v>
      </c>
      <c r="Z588" s="23">
        <f t="shared" si="186"/>
        <v>1.5981733333333332</v>
      </c>
      <c r="AA588" s="22">
        <f t="shared" si="187"/>
        <v>75.009304037170281</v>
      </c>
      <c r="AB588" s="22">
        <f t="shared" si="188"/>
        <v>24.990695962829719</v>
      </c>
      <c r="AC588" s="22">
        <f t="shared" si="174"/>
        <v>1.7622822418572599</v>
      </c>
      <c r="AD588" s="22">
        <f t="shared" si="175"/>
        <v>0.44040659706948732</v>
      </c>
      <c r="AE588" s="27">
        <v>16.918500000000002</v>
      </c>
      <c r="AF588" s="27">
        <v>17.1144</v>
      </c>
      <c r="AG588" s="27">
        <v>17.042400000000001</v>
      </c>
      <c r="AH588" s="26">
        <v>0.1239</v>
      </c>
      <c r="AI588" s="26">
        <v>36.753445640000002</v>
      </c>
      <c r="AJ588" s="26">
        <f t="shared" si="176"/>
        <v>1.8376722820000002</v>
      </c>
      <c r="AK588" s="26">
        <f t="shared" si="177"/>
        <v>21.244766265895958</v>
      </c>
      <c r="AL588" s="26">
        <f t="shared" si="178"/>
        <v>1.8398748370557951</v>
      </c>
      <c r="AM588" s="17">
        <f t="shared" si="189"/>
        <v>0.5780346820809249</v>
      </c>
      <c r="AN588" s="17"/>
      <c r="AO588" s="27"/>
      <c r="AS588" s="49"/>
      <c r="AT588" s="25"/>
      <c r="AU588" s="17"/>
      <c r="AV588" s="17"/>
      <c r="AW588" s="17"/>
      <c r="AX588" s="27"/>
      <c r="BB588" s="17"/>
    </row>
    <row r="589" spans="1:54" x14ac:dyDescent="0.2">
      <c r="A589" s="17" t="s">
        <v>77</v>
      </c>
      <c r="B589" s="17" t="s">
        <v>78</v>
      </c>
      <c r="C589" s="17" t="str">
        <f t="shared" si="168"/>
        <v>HER42PB1B</v>
      </c>
      <c r="D589" s="17" t="str">
        <f t="shared" si="169"/>
        <v>HER42PB1B_58</v>
      </c>
      <c r="E589" s="27" t="s">
        <v>80</v>
      </c>
      <c r="F589" s="17">
        <v>58</v>
      </c>
      <c r="G589" s="20">
        <v>2.1</v>
      </c>
      <c r="H589" s="20">
        <v>2.2000000000000002</v>
      </c>
      <c r="I589" s="20">
        <v>1.05</v>
      </c>
      <c r="J589" s="22">
        <f t="shared" si="167"/>
        <v>3.8100956250000015</v>
      </c>
      <c r="K589" s="53">
        <v>0.20555555555555532</v>
      </c>
      <c r="L589" s="45">
        <f t="shared" si="190"/>
        <v>27.261111111111116</v>
      </c>
      <c r="M589" s="45">
        <f t="shared" si="191"/>
        <v>28.311111111111117</v>
      </c>
      <c r="N589" s="46">
        <f t="shared" si="192"/>
        <v>27.786111111111119</v>
      </c>
      <c r="O589" s="20">
        <f t="shared" si="182"/>
        <v>67.261111111111092</v>
      </c>
      <c r="P589" s="20">
        <f t="shared" si="183"/>
        <v>68.311111111111089</v>
      </c>
      <c r="Q589" s="20">
        <f t="shared" si="193"/>
        <v>67.786111111111097</v>
      </c>
      <c r="R589" s="20">
        <f t="shared" si="170"/>
        <v>67.261111111111092</v>
      </c>
      <c r="S589" s="20">
        <f t="shared" si="171"/>
        <v>67.786111111111097</v>
      </c>
      <c r="T589" s="20">
        <f t="shared" si="172"/>
        <v>67.786111111111097</v>
      </c>
      <c r="U589" s="20">
        <f t="shared" si="173"/>
        <v>67.786111111111097</v>
      </c>
      <c r="V589" s="22">
        <v>7.1544999999999996</v>
      </c>
      <c r="W589" s="22">
        <v>2.7040000000000002</v>
      </c>
      <c r="X589" s="23">
        <v>1.1476266666666668</v>
      </c>
      <c r="Y589" s="23">
        <f t="shared" si="185"/>
        <v>6.0068733333333331</v>
      </c>
      <c r="Z589" s="23">
        <f t="shared" si="186"/>
        <v>1.5563733333333334</v>
      </c>
      <c r="AA589" s="22">
        <f t="shared" si="187"/>
        <v>74.09012564495562</v>
      </c>
      <c r="AB589" s="22">
        <f t="shared" si="188"/>
        <v>25.90987435504438</v>
      </c>
      <c r="AC589" s="22">
        <f t="shared" si="174"/>
        <v>1.576567604739141</v>
      </c>
      <c r="AD589" s="22">
        <f t="shared" si="175"/>
        <v>0.40848668551024431</v>
      </c>
      <c r="AE589" s="27">
        <v>16.7652</v>
      </c>
      <c r="AF589" s="27">
        <v>16.966100000000001</v>
      </c>
      <c r="AG589" s="27">
        <v>16.892900000000001</v>
      </c>
      <c r="AH589" s="26">
        <v>0.12770000000000001</v>
      </c>
      <c r="AI589" s="26">
        <v>36.436037829999997</v>
      </c>
      <c r="AJ589" s="26">
        <f t="shared" si="176"/>
        <v>1.8218018914999998</v>
      </c>
      <c r="AK589" s="26">
        <f t="shared" si="177"/>
        <v>21.061293543352601</v>
      </c>
      <c r="AL589" s="26">
        <f t="shared" si="178"/>
        <v>1.8240236105579821</v>
      </c>
      <c r="AM589" s="17">
        <f t="shared" si="189"/>
        <v>0.5780346820809249</v>
      </c>
      <c r="AN589" s="17"/>
      <c r="AO589" s="27"/>
      <c r="AS589" s="49"/>
      <c r="AT589" s="25"/>
      <c r="AU589" s="17"/>
      <c r="AV589" s="17"/>
      <c r="AW589" s="17"/>
      <c r="AX589" s="27"/>
      <c r="BB589" s="17"/>
    </row>
    <row r="590" spans="1:54" x14ac:dyDescent="0.2">
      <c r="A590" s="17" t="s">
        <v>77</v>
      </c>
      <c r="B590" s="17" t="s">
        <v>78</v>
      </c>
      <c r="C590" s="17" t="str">
        <f t="shared" si="168"/>
        <v>HER42PB1B</v>
      </c>
      <c r="D590" s="17" t="str">
        <f t="shared" si="169"/>
        <v>HER42PB1B_59</v>
      </c>
      <c r="E590" s="27" t="s">
        <v>80</v>
      </c>
      <c r="F590" s="17">
        <v>59</v>
      </c>
      <c r="G590" s="20">
        <v>2.15</v>
      </c>
      <c r="H590" s="20">
        <v>2.2000000000000002</v>
      </c>
      <c r="I590" s="20">
        <v>1.1499999999999999</v>
      </c>
      <c r="J590" s="22">
        <f t="shared" si="167"/>
        <v>4.2705717187499985</v>
      </c>
      <c r="K590" s="53">
        <v>0.20555555555555532</v>
      </c>
      <c r="L590" s="45">
        <f t="shared" si="190"/>
        <v>28.516666666666673</v>
      </c>
      <c r="M590" s="45">
        <f t="shared" si="191"/>
        <v>29.666666666666671</v>
      </c>
      <c r="N590" s="46">
        <f t="shared" si="192"/>
        <v>29.091666666666672</v>
      </c>
      <c r="O590" s="20">
        <f t="shared" si="182"/>
        <v>68.516666666666637</v>
      </c>
      <c r="P590" s="20">
        <f t="shared" si="183"/>
        <v>69.666666666666643</v>
      </c>
      <c r="Q590" s="20">
        <f t="shared" si="193"/>
        <v>69.09166666666664</v>
      </c>
      <c r="R590" s="20">
        <f t="shared" si="170"/>
        <v>68.516666666666637</v>
      </c>
      <c r="S590" s="20">
        <f t="shared" si="171"/>
        <v>69.09166666666664</v>
      </c>
      <c r="T590" s="20">
        <f t="shared" si="172"/>
        <v>69.09166666666664</v>
      </c>
      <c r="U590" s="20">
        <f t="shared" si="173"/>
        <v>69.09166666666664</v>
      </c>
      <c r="V590" s="22">
        <v>8.0564999999999998</v>
      </c>
      <c r="W590" s="22">
        <v>2.9897</v>
      </c>
      <c r="X590" s="23">
        <v>1.1476266666666668</v>
      </c>
      <c r="Y590" s="23">
        <f t="shared" si="185"/>
        <v>6.9088733333333332</v>
      </c>
      <c r="Z590" s="23">
        <f t="shared" si="186"/>
        <v>1.8420733333333332</v>
      </c>
      <c r="AA590" s="22">
        <f t="shared" si="187"/>
        <v>73.33757264812111</v>
      </c>
      <c r="AB590" s="22">
        <f t="shared" si="188"/>
        <v>26.66242735187889</v>
      </c>
      <c r="AC590" s="22">
        <f t="shared" si="174"/>
        <v>1.6177865139226766</v>
      </c>
      <c r="AD590" s="22">
        <f t="shared" si="175"/>
        <v>0.43134115398312767</v>
      </c>
      <c r="AE590" s="27">
        <v>16.768599999999999</v>
      </c>
      <c r="AF590" s="27">
        <v>17.0261</v>
      </c>
      <c r="AG590" s="27">
        <v>16.9495</v>
      </c>
      <c r="AH590" s="26">
        <v>0.18090000000000001</v>
      </c>
      <c r="AI590" s="26">
        <v>29.747572819999998</v>
      </c>
      <c r="AJ590" s="26">
        <f t="shared" si="176"/>
        <v>1.4873786410000001</v>
      </c>
      <c r="AK590" s="26">
        <f t="shared" si="177"/>
        <v>17.195128797687861</v>
      </c>
      <c r="AL590" s="26">
        <f t="shared" si="178"/>
        <v>1.4900990643923671</v>
      </c>
      <c r="AM590" s="17">
        <f t="shared" si="189"/>
        <v>0.5780346820809249</v>
      </c>
      <c r="AN590" s="17"/>
      <c r="AO590" s="27"/>
      <c r="AS590" s="49"/>
      <c r="AT590" s="25"/>
      <c r="AU590" s="17"/>
      <c r="AV590" s="17"/>
      <c r="AW590" s="17"/>
      <c r="AX590" s="27"/>
      <c r="BB590" s="17"/>
    </row>
    <row r="591" spans="1:54" x14ac:dyDescent="0.2">
      <c r="A591" s="17" t="s">
        <v>77</v>
      </c>
      <c r="B591" s="17" t="s">
        <v>78</v>
      </c>
      <c r="C591" s="17" t="str">
        <f t="shared" si="168"/>
        <v>HER42PB1B</v>
      </c>
      <c r="D591" s="17" t="str">
        <f t="shared" si="169"/>
        <v>HER42PB1B_60</v>
      </c>
      <c r="E591" s="27" t="s">
        <v>80</v>
      </c>
      <c r="F591" s="17">
        <v>60</v>
      </c>
      <c r="G591" s="20">
        <v>2.15</v>
      </c>
      <c r="H591" s="20">
        <v>2.1</v>
      </c>
      <c r="I591" s="20">
        <v>1.05</v>
      </c>
      <c r="J591" s="22">
        <f t="shared" si="167"/>
        <v>3.7220039062500003</v>
      </c>
      <c r="K591" s="53">
        <v>0.20555555555555532</v>
      </c>
      <c r="L591" s="45">
        <f t="shared" si="190"/>
        <v>29.872222222222227</v>
      </c>
      <c r="M591" s="45">
        <f t="shared" si="191"/>
        <v>30.922222222222228</v>
      </c>
      <c r="N591" s="46">
        <f t="shared" si="192"/>
        <v>30.397222222222226</v>
      </c>
      <c r="O591" s="20">
        <f t="shared" si="182"/>
        <v>69.872222222222192</v>
      </c>
      <c r="P591" s="20">
        <f t="shared" si="183"/>
        <v>70.922222222222189</v>
      </c>
      <c r="Q591" s="20">
        <f t="shared" si="193"/>
        <v>70.397222222222183</v>
      </c>
      <c r="R591" s="20">
        <f t="shared" si="170"/>
        <v>69.872222222222192</v>
      </c>
      <c r="S591" s="20">
        <f t="shared" si="171"/>
        <v>70.397222222222183</v>
      </c>
      <c r="T591" s="20">
        <f t="shared" si="172"/>
        <v>70.397222222222183</v>
      </c>
      <c r="U591" s="20">
        <f t="shared" si="173"/>
        <v>70.397222222222183</v>
      </c>
      <c r="V591" s="22">
        <v>7.7539999999999996</v>
      </c>
      <c r="W591" s="22">
        <v>3.1857000000000002</v>
      </c>
      <c r="X591" s="23">
        <v>1.1476266666666668</v>
      </c>
      <c r="Y591" s="23">
        <f t="shared" si="185"/>
        <v>6.606373333333333</v>
      </c>
      <c r="Z591" s="23">
        <f t="shared" si="186"/>
        <v>2.0380733333333332</v>
      </c>
      <c r="AA591" s="22">
        <f t="shared" si="187"/>
        <v>69.149891619809551</v>
      </c>
      <c r="AB591" s="22">
        <f t="shared" si="188"/>
        <v>30.850108380190449</v>
      </c>
      <c r="AC591" s="22">
        <f t="shared" si="174"/>
        <v>1.7749506716636945</v>
      </c>
      <c r="AD591" s="22">
        <f t="shared" si="175"/>
        <v>0.54757420590316797</v>
      </c>
      <c r="AE591" s="27">
        <v>15.5632</v>
      </c>
      <c r="AF591" s="27">
        <v>15.917400000000001</v>
      </c>
      <c r="AG591" s="27">
        <v>15.8262</v>
      </c>
      <c r="AH591" s="26">
        <v>0.26300000000000001</v>
      </c>
      <c r="AI591" s="26">
        <v>25.748164880000001</v>
      </c>
      <c r="AJ591" s="26">
        <f t="shared" si="176"/>
        <v>1.2874082440000001</v>
      </c>
      <c r="AK591" s="26">
        <f t="shared" si="177"/>
        <v>14.883332300578036</v>
      </c>
      <c r="AL591" s="26">
        <f t="shared" si="178"/>
        <v>1.2905502650881768</v>
      </c>
      <c r="AM591" s="17">
        <f t="shared" si="189"/>
        <v>0.5780346820809249</v>
      </c>
      <c r="AN591" s="17"/>
      <c r="AO591" s="27"/>
      <c r="AS591" s="49"/>
      <c r="AT591" s="25"/>
      <c r="AU591" s="17"/>
      <c r="AV591" s="17"/>
      <c r="AW591" s="17"/>
      <c r="AX591" s="27"/>
      <c r="BB591" s="17"/>
    </row>
    <row r="592" spans="1:54" x14ac:dyDescent="0.2">
      <c r="A592" s="17" t="s">
        <v>77</v>
      </c>
      <c r="B592" s="17" t="s">
        <v>78</v>
      </c>
      <c r="C592" s="17" t="str">
        <f t="shared" si="168"/>
        <v>HER42PB1B</v>
      </c>
      <c r="D592" s="17" t="str">
        <f t="shared" si="169"/>
        <v>HER42PB1B_61</v>
      </c>
      <c r="E592" s="27" t="s">
        <v>80</v>
      </c>
      <c r="F592" s="17">
        <v>61</v>
      </c>
      <c r="G592" s="20">
        <v>2.2000000000000002</v>
      </c>
      <c r="H592" s="20">
        <v>2.15</v>
      </c>
      <c r="I592" s="20">
        <v>1.1000000000000001</v>
      </c>
      <c r="J592" s="22">
        <f t="shared" si="167"/>
        <v>4.0848946874999994</v>
      </c>
      <c r="K592" s="53">
        <v>0.20555555555555532</v>
      </c>
      <c r="L592" s="45">
        <f t="shared" si="190"/>
        <v>31.127777777777784</v>
      </c>
      <c r="M592" s="45">
        <f t="shared" si="191"/>
        <v>32.227777777777781</v>
      </c>
      <c r="N592" s="46">
        <f t="shared" si="192"/>
        <v>31.677777777777784</v>
      </c>
      <c r="O592" s="20">
        <f t="shared" si="182"/>
        <v>71.127777777777737</v>
      </c>
      <c r="P592" s="20">
        <f t="shared" si="183"/>
        <v>72.227777777777732</v>
      </c>
      <c r="Q592" s="20">
        <f t="shared" si="193"/>
        <v>71.677777777777735</v>
      </c>
      <c r="R592" s="20">
        <f t="shared" si="170"/>
        <v>71.127777777777737</v>
      </c>
      <c r="S592" s="20">
        <f t="shared" si="171"/>
        <v>71.677777777777735</v>
      </c>
      <c r="T592" s="20">
        <f t="shared" si="172"/>
        <v>71.677777777777735</v>
      </c>
      <c r="U592" s="20">
        <f t="shared" si="173"/>
        <v>71.677777777777735</v>
      </c>
      <c r="V592" s="22">
        <v>7.8202999999999996</v>
      </c>
      <c r="W592" s="22">
        <v>3.1071</v>
      </c>
      <c r="X592" s="23">
        <v>1.1476266666666668</v>
      </c>
      <c r="Y592" s="23">
        <f t="shared" si="185"/>
        <v>6.672673333333333</v>
      </c>
      <c r="Z592" s="23">
        <f t="shared" si="186"/>
        <v>1.9594733333333332</v>
      </c>
      <c r="AA592" s="22">
        <f t="shared" si="187"/>
        <v>70.634358443042814</v>
      </c>
      <c r="AB592" s="22">
        <f t="shared" si="188"/>
        <v>29.365641556957186</v>
      </c>
      <c r="AC592" s="22">
        <f t="shared" si="174"/>
        <v>1.6334994764374409</v>
      </c>
      <c r="AD592" s="22">
        <f t="shared" si="175"/>
        <v>0.47968760108539116</v>
      </c>
      <c r="AE592" s="27">
        <v>15.8497</v>
      </c>
      <c r="AF592" s="27">
        <v>16.112100000000002</v>
      </c>
      <c r="AG592" s="27">
        <v>16.0367</v>
      </c>
      <c r="AH592" s="26">
        <v>0.187</v>
      </c>
      <c r="AI592" s="26">
        <v>28.734756099999998</v>
      </c>
      <c r="AJ592" s="26">
        <f t="shared" si="176"/>
        <v>1.4367378049999999</v>
      </c>
      <c r="AK592" s="26">
        <f t="shared" si="177"/>
        <v>16.609685606936416</v>
      </c>
      <c r="AL592" s="26">
        <f t="shared" si="178"/>
        <v>1.4395539310203762</v>
      </c>
      <c r="AM592" s="17">
        <f t="shared" si="189"/>
        <v>0.5780346820809249</v>
      </c>
      <c r="AN592" s="17"/>
      <c r="AO592" s="27"/>
      <c r="AS592" s="49"/>
      <c r="AT592" s="25"/>
      <c r="AU592" s="17"/>
      <c r="AV592" s="17"/>
      <c r="AW592" s="17"/>
      <c r="AX592" s="27"/>
      <c r="BB592" s="17"/>
    </row>
    <row r="593" spans="1:54" x14ac:dyDescent="0.2">
      <c r="A593" s="17" t="s">
        <v>77</v>
      </c>
      <c r="B593" s="17" t="s">
        <v>78</v>
      </c>
      <c r="C593" s="17" t="str">
        <f t="shared" si="168"/>
        <v>HER42PB1B</v>
      </c>
      <c r="D593" s="17" t="str">
        <f t="shared" si="169"/>
        <v>HER42PB1B_62</v>
      </c>
      <c r="E593" s="27" t="s">
        <v>80</v>
      </c>
      <c r="F593" s="17">
        <v>62</v>
      </c>
      <c r="G593" s="20">
        <v>2.1</v>
      </c>
      <c r="H593" s="20">
        <v>2.1</v>
      </c>
      <c r="I593" s="20">
        <v>1.05</v>
      </c>
      <c r="J593" s="22">
        <f t="shared" si="167"/>
        <v>3.6349425000000002</v>
      </c>
      <c r="K593" s="53">
        <v>0.20555555555555532</v>
      </c>
      <c r="L593" s="45">
        <f t="shared" si="190"/>
        <v>32.433333333333337</v>
      </c>
      <c r="M593" s="45">
        <f t="shared" si="191"/>
        <v>33.483333333333334</v>
      </c>
      <c r="N593" s="46">
        <f t="shared" si="192"/>
        <v>32.958333333333336</v>
      </c>
      <c r="O593" s="20">
        <f t="shared" si="182"/>
        <v>72.43333333333328</v>
      </c>
      <c r="P593" s="20">
        <f t="shared" si="183"/>
        <v>73.483333333333277</v>
      </c>
      <c r="Q593" s="20">
        <f t="shared" si="193"/>
        <v>72.958333333333286</v>
      </c>
      <c r="R593" s="20">
        <f t="shared" si="170"/>
        <v>72.43333333333328</v>
      </c>
      <c r="S593" s="20">
        <f t="shared" si="171"/>
        <v>72.958333333333286</v>
      </c>
      <c r="T593" s="20">
        <f t="shared" si="172"/>
        <v>72.958333333333286</v>
      </c>
      <c r="U593" s="20">
        <f t="shared" si="173"/>
        <v>72.958333333333286</v>
      </c>
      <c r="V593" s="22">
        <v>7.4977</v>
      </c>
      <c r="W593" s="22">
        <v>2.9864999999999999</v>
      </c>
      <c r="X593" s="23">
        <v>1.1476266666666668</v>
      </c>
      <c r="Y593" s="23">
        <f t="shared" si="185"/>
        <v>6.3500733333333335</v>
      </c>
      <c r="Z593" s="23">
        <f t="shared" si="186"/>
        <v>1.8388733333333331</v>
      </c>
      <c r="AA593" s="22">
        <f t="shared" si="187"/>
        <v>71.041699255966606</v>
      </c>
      <c r="AB593" s="22">
        <f t="shared" si="188"/>
        <v>28.958300744033394</v>
      </c>
      <c r="AC593" s="22">
        <f t="shared" si="174"/>
        <v>1.7469528976959974</v>
      </c>
      <c r="AD593" s="22">
        <f t="shared" si="175"/>
        <v>0.50588787397141299</v>
      </c>
      <c r="AE593" s="27">
        <v>16.0871</v>
      </c>
      <c r="AF593" s="27">
        <v>16.332899999999999</v>
      </c>
      <c r="AG593" s="27">
        <v>16.258500000000002</v>
      </c>
      <c r="AH593" s="26">
        <v>0.1714</v>
      </c>
      <c r="AI593" s="26">
        <v>30.268510979999999</v>
      </c>
      <c r="AJ593" s="26">
        <f t="shared" si="176"/>
        <v>1.5134255489999999</v>
      </c>
      <c r="AK593" s="26">
        <f t="shared" si="177"/>
        <v>17.496249121387283</v>
      </c>
      <c r="AL593" s="26">
        <f t="shared" si="178"/>
        <v>1.5160992356590486</v>
      </c>
      <c r="AM593" s="17">
        <f t="shared" si="189"/>
        <v>0.5780346820809249</v>
      </c>
      <c r="AN593" s="17"/>
      <c r="AO593" s="27"/>
      <c r="AS593" s="49"/>
      <c r="AT593" s="25"/>
      <c r="AU593" s="17"/>
      <c r="AV593" s="17"/>
      <c r="AW593" s="17"/>
      <c r="AX593" s="27"/>
      <c r="BB593" s="17"/>
    </row>
    <row r="594" spans="1:54" x14ac:dyDescent="0.2">
      <c r="A594" s="17" t="s">
        <v>77</v>
      </c>
      <c r="B594" s="17" t="s">
        <v>78</v>
      </c>
      <c r="C594" s="17" t="str">
        <f t="shared" si="168"/>
        <v>HER42PB1B</v>
      </c>
      <c r="D594" s="17" t="str">
        <f t="shared" si="169"/>
        <v>HER42PB1B_63</v>
      </c>
      <c r="E594" s="27" t="s">
        <v>80</v>
      </c>
      <c r="F594" s="17">
        <v>63</v>
      </c>
      <c r="G594" s="20">
        <v>2.2000000000000002</v>
      </c>
      <c r="H594" s="20">
        <v>2.0499999999999998</v>
      </c>
      <c r="I594" s="20">
        <v>1.1499999999999999</v>
      </c>
      <c r="J594" s="22">
        <f t="shared" si="167"/>
        <v>4.0764804687499998</v>
      </c>
      <c r="K594" s="53">
        <v>0.20555555555555532</v>
      </c>
      <c r="L594" s="45">
        <f t="shared" si="190"/>
        <v>33.68888888888889</v>
      </c>
      <c r="M594" s="45">
        <f t="shared" si="191"/>
        <v>34.838888888888889</v>
      </c>
      <c r="N594" s="46">
        <f t="shared" si="192"/>
        <v>34.263888888888886</v>
      </c>
      <c r="O594" s="20">
        <f t="shared" si="182"/>
        <v>73.688888888888826</v>
      </c>
      <c r="P594" s="20">
        <f t="shared" si="183"/>
        <v>74.838888888888832</v>
      </c>
      <c r="Q594" s="20">
        <f t="shared" si="193"/>
        <v>74.263888888888829</v>
      </c>
      <c r="R594" s="20">
        <f t="shared" si="170"/>
        <v>73.688888888888826</v>
      </c>
      <c r="S594" s="20">
        <f t="shared" si="171"/>
        <v>74.263888888888829</v>
      </c>
      <c r="T594" s="20">
        <f t="shared" si="172"/>
        <v>74.263888888888829</v>
      </c>
      <c r="U594" s="20">
        <f t="shared" si="173"/>
        <v>74.263888888888829</v>
      </c>
      <c r="V594" s="22">
        <v>7.2074999999999996</v>
      </c>
      <c r="W594" s="22">
        <v>2.7871000000000001</v>
      </c>
      <c r="X594" s="23">
        <v>1.1476266666666668</v>
      </c>
      <c r="Y594" s="23">
        <f t="shared" si="185"/>
        <v>6.059873333333333</v>
      </c>
      <c r="Z594" s="23">
        <f t="shared" si="186"/>
        <v>1.6394733333333333</v>
      </c>
      <c r="AA594" s="22">
        <f t="shared" si="187"/>
        <v>72.945419101169335</v>
      </c>
      <c r="AB594" s="22">
        <f t="shared" si="188"/>
        <v>27.054580898830665</v>
      </c>
      <c r="AC594" s="22">
        <f t="shared" si="174"/>
        <v>1.486545410872903</v>
      </c>
      <c r="AD594" s="22">
        <f t="shared" si="175"/>
        <v>0.40217863078246435</v>
      </c>
      <c r="AE594" s="27">
        <v>16.280100000000001</v>
      </c>
      <c r="AF594" s="27">
        <v>16.5167</v>
      </c>
      <c r="AG594" s="27">
        <v>16.437899999999999</v>
      </c>
      <c r="AH594" s="26">
        <v>0.1578</v>
      </c>
      <c r="AI594" s="26">
        <v>33.30515638</v>
      </c>
      <c r="AJ594" s="26">
        <f t="shared" si="176"/>
        <v>1.665257819</v>
      </c>
      <c r="AK594" s="26">
        <f t="shared" si="177"/>
        <v>19.251535479768787</v>
      </c>
      <c r="AL594" s="26">
        <f t="shared" si="178"/>
        <v>1.6676881014568152</v>
      </c>
      <c r="AM594" s="17">
        <f t="shared" si="189"/>
        <v>0.5780346820809249</v>
      </c>
      <c r="AN594" s="17"/>
      <c r="AO594" s="27"/>
      <c r="AS594" s="49"/>
      <c r="AT594" s="25"/>
      <c r="AU594" s="17"/>
      <c r="AV594" s="17"/>
      <c r="AW594" s="17"/>
      <c r="AX594" s="27"/>
      <c r="BB594" s="17"/>
    </row>
    <row r="595" spans="1:54" x14ac:dyDescent="0.2">
      <c r="A595" s="17" t="s">
        <v>77</v>
      </c>
      <c r="B595" s="17" t="s">
        <v>78</v>
      </c>
      <c r="C595" s="17" t="str">
        <f t="shared" si="168"/>
        <v>HER42PB1B</v>
      </c>
      <c r="D595" s="17" t="str">
        <f t="shared" si="169"/>
        <v>HER42PB1B_64</v>
      </c>
      <c r="E595" s="27" t="s">
        <v>80</v>
      </c>
      <c r="F595" s="17">
        <v>64</v>
      </c>
      <c r="G595" s="20">
        <v>2.2000000000000002</v>
      </c>
      <c r="H595" s="20">
        <v>2</v>
      </c>
      <c r="I595" s="20">
        <v>1</v>
      </c>
      <c r="J595" s="22">
        <f t="shared" si="167"/>
        <v>3.4618500000000001</v>
      </c>
      <c r="K595" s="53">
        <v>0.20555555555555532</v>
      </c>
      <c r="L595" s="45">
        <f t="shared" si="190"/>
        <v>35.044444444444444</v>
      </c>
      <c r="M595" s="45">
        <f t="shared" si="191"/>
        <v>36.044444444444444</v>
      </c>
      <c r="N595" s="46">
        <f t="shared" si="192"/>
        <v>35.544444444444444</v>
      </c>
      <c r="O595" s="20">
        <f t="shared" si="182"/>
        <v>75.04444444444438</v>
      </c>
      <c r="P595" s="20">
        <f t="shared" si="183"/>
        <v>76.04444444444438</v>
      </c>
      <c r="Q595" s="20">
        <f t="shared" si="193"/>
        <v>75.54444444444438</v>
      </c>
      <c r="R595" s="20">
        <f t="shared" si="170"/>
        <v>75.04444444444438</v>
      </c>
      <c r="S595" s="20">
        <f t="shared" si="171"/>
        <v>75.54444444444438</v>
      </c>
      <c r="T595" s="20">
        <f t="shared" si="172"/>
        <v>75.54444444444438</v>
      </c>
      <c r="U595" s="20">
        <f t="shared" si="173"/>
        <v>75.54444444444438</v>
      </c>
      <c r="V595" s="22">
        <v>7.2622999999999998</v>
      </c>
      <c r="W595" s="22">
        <v>2.9706999999999999</v>
      </c>
      <c r="X595" s="23">
        <v>1.1476266666666668</v>
      </c>
      <c r="Y595" s="23">
        <f t="shared" si="185"/>
        <v>6.1146733333333332</v>
      </c>
      <c r="Z595" s="23">
        <f t="shared" si="186"/>
        <v>1.8230733333333331</v>
      </c>
      <c r="AA595" s="22">
        <f t="shared" si="187"/>
        <v>70.185270186142404</v>
      </c>
      <c r="AB595" s="22">
        <f t="shared" si="188"/>
        <v>29.814729813857596</v>
      </c>
      <c r="AC595" s="22">
        <f t="shared" si="174"/>
        <v>1.7663022179855663</v>
      </c>
      <c r="AD595" s="22">
        <f t="shared" si="175"/>
        <v>0.52661823398857055</v>
      </c>
      <c r="AE595" s="27">
        <v>14.0379</v>
      </c>
      <c r="AF595" s="27">
        <v>14.311299999999999</v>
      </c>
      <c r="AG595" s="27">
        <v>14.262</v>
      </c>
      <c r="AH595" s="26">
        <v>0.22409999999999999</v>
      </c>
      <c r="AI595" s="26">
        <v>18.032187270000001</v>
      </c>
      <c r="AJ595" s="26">
        <f t="shared" si="176"/>
        <v>0.90160936350000009</v>
      </c>
      <c r="AK595" s="26">
        <f t="shared" si="177"/>
        <v>10.423229635838151</v>
      </c>
      <c r="AL595" s="26">
        <f t="shared" si="178"/>
        <v>0.90609019658689349</v>
      </c>
      <c r="AM595" s="17">
        <f t="shared" si="189"/>
        <v>0.5780346820809249</v>
      </c>
      <c r="AN595" s="17"/>
      <c r="AO595" s="27"/>
      <c r="AS595" s="49"/>
      <c r="AT595" s="25"/>
      <c r="AU595" s="17"/>
      <c r="AV595" s="17"/>
      <c r="AW595" s="17"/>
      <c r="AX595" s="27"/>
      <c r="BB595" s="17"/>
    </row>
    <row r="596" spans="1:54" x14ac:dyDescent="0.2">
      <c r="A596" s="17" t="s">
        <v>77</v>
      </c>
      <c r="B596" s="17" t="s">
        <v>78</v>
      </c>
      <c r="C596" s="17" t="str">
        <f t="shared" si="168"/>
        <v>HER42PB1B</v>
      </c>
      <c r="D596" s="17" t="str">
        <f t="shared" si="169"/>
        <v>HER42PB1B_65</v>
      </c>
      <c r="E596" s="27" t="s">
        <v>80</v>
      </c>
      <c r="F596" s="17">
        <v>65</v>
      </c>
      <c r="G596" s="20">
        <v>2.15</v>
      </c>
      <c r="H596" s="20">
        <v>2.0499999999999998</v>
      </c>
      <c r="I596" s="20">
        <v>1.1000000000000001</v>
      </c>
      <c r="J596" s="22">
        <f t="shared" ref="J596:J659" si="194">(AVERAGE(G596:H596)*(AVERAGE(G596:H596)*3.14/4*I596))</f>
        <v>3.8080349999999994</v>
      </c>
      <c r="K596" s="53">
        <v>0.20555555555555532</v>
      </c>
      <c r="L596" s="45">
        <f t="shared" si="190"/>
        <v>36.25</v>
      </c>
      <c r="M596" s="45">
        <f t="shared" si="191"/>
        <v>37.35</v>
      </c>
      <c r="N596" s="46">
        <f t="shared" si="192"/>
        <v>36.799999999999997</v>
      </c>
      <c r="O596" s="20">
        <f t="shared" si="182"/>
        <v>76.249999999999929</v>
      </c>
      <c r="P596" s="20">
        <f t="shared" si="183"/>
        <v>77.349999999999923</v>
      </c>
      <c r="Q596" s="20">
        <f t="shared" si="193"/>
        <v>76.799999999999926</v>
      </c>
      <c r="R596" s="20">
        <f t="shared" si="170"/>
        <v>76.249999999999929</v>
      </c>
      <c r="S596" s="20">
        <f t="shared" si="171"/>
        <v>76.799999999999926</v>
      </c>
      <c r="T596" s="20">
        <f t="shared" si="172"/>
        <v>76.799999999999926</v>
      </c>
      <c r="U596" s="20">
        <f t="shared" si="173"/>
        <v>76.799999999999926</v>
      </c>
      <c r="V596" s="22">
        <v>7.1291000000000002</v>
      </c>
      <c r="W596" s="22">
        <v>3.0756999999999999</v>
      </c>
      <c r="X596" s="23">
        <v>1.1476266666666668</v>
      </c>
      <c r="Y596" s="23">
        <f t="shared" si="185"/>
        <v>5.9814733333333336</v>
      </c>
      <c r="Z596" s="23">
        <f t="shared" si="186"/>
        <v>1.9280733333333331</v>
      </c>
      <c r="AA596" s="22">
        <f t="shared" si="187"/>
        <v>67.765912746135015</v>
      </c>
      <c r="AB596" s="22">
        <f t="shared" si="188"/>
        <v>32.234087253864985</v>
      </c>
      <c r="AC596" s="22">
        <f t="shared" si="174"/>
        <v>1.570750618976279</v>
      </c>
      <c r="AD596" s="22">
        <f t="shared" si="175"/>
        <v>0.50631712506143811</v>
      </c>
      <c r="AE596" s="27">
        <v>13.0745</v>
      </c>
      <c r="AF596" s="27">
        <v>13.4344</v>
      </c>
      <c r="AG596" s="27">
        <v>13.364599999999999</v>
      </c>
      <c r="AH596" s="26">
        <v>0.29010000000000002</v>
      </c>
      <c r="AI596" s="26">
        <v>19.394276189999999</v>
      </c>
      <c r="AJ596" s="26">
        <f t="shared" si="176"/>
        <v>0.96971380949999997</v>
      </c>
      <c r="AK596" s="26">
        <f t="shared" si="177"/>
        <v>11.210564271676301</v>
      </c>
      <c r="AL596" s="26">
        <f t="shared" si="178"/>
        <v>0.97388134407380567</v>
      </c>
      <c r="AM596" s="17">
        <f t="shared" si="189"/>
        <v>0.5780346820809249</v>
      </c>
      <c r="AN596" s="17"/>
      <c r="AO596" s="27"/>
      <c r="AS596" s="49"/>
      <c r="AT596" s="25"/>
      <c r="AU596" s="17"/>
      <c r="AV596" s="17"/>
      <c r="AW596" s="17"/>
      <c r="AX596" s="27"/>
      <c r="BB596" s="17"/>
    </row>
    <row r="597" spans="1:54" x14ac:dyDescent="0.2">
      <c r="A597" s="17" t="s">
        <v>77</v>
      </c>
      <c r="B597" s="17" t="s">
        <v>78</v>
      </c>
      <c r="C597" s="17" t="str">
        <f t="shared" ref="C597:C660" si="195">"HER42PB1"&amp;E597</f>
        <v>HER42PB1B</v>
      </c>
      <c r="D597" s="17" t="str">
        <f t="shared" ref="D597:D660" si="196">C597&amp;"_"&amp;F597</f>
        <v>HER42PB1B_66</v>
      </c>
      <c r="E597" s="27" t="s">
        <v>80</v>
      </c>
      <c r="F597" s="17">
        <v>66</v>
      </c>
      <c r="G597" s="20">
        <v>2.1</v>
      </c>
      <c r="H597" s="20">
        <v>2</v>
      </c>
      <c r="I597" s="20">
        <v>1.05</v>
      </c>
      <c r="J597" s="22">
        <f t="shared" si="194"/>
        <v>3.4639106249999996</v>
      </c>
      <c r="K597" s="53">
        <v>0.20555555555555532</v>
      </c>
      <c r="L597" s="45">
        <f t="shared" si="190"/>
        <v>37.555555555555557</v>
      </c>
      <c r="M597" s="45">
        <f t="shared" si="191"/>
        <v>38.605555555555554</v>
      </c>
      <c r="N597" s="46">
        <f t="shared" si="192"/>
        <v>38.080555555555556</v>
      </c>
      <c r="O597" s="20">
        <f t="shared" si="182"/>
        <v>77.555555555555472</v>
      </c>
      <c r="P597" s="20">
        <f t="shared" si="183"/>
        <v>78.605555555555469</v>
      </c>
      <c r="Q597" s="20">
        <f t="shared" si="193"/>
        <v>78.080555555555463</v>
      </c>
      <c r="R597" s="20">
        <f t="shared" ref="R597:R660" si="197">O597</f>
        <v>77.555555555555472</v>
      </c>
      <c r="S597" s="20">
        <f t="shared" ref="S597:S660" si="198">Q597</f>
        <v>78.080555555555463</v>
      </c>
      <c r="T597" s="20">
        <f t="shared" ref="T597:T660" si="199">Q597</f>
        <v>78.080555555555463</v>
      </c>
      <c r="U597" s="20">
        <f t="shared" ref="U597:U660" si="200">T597</f>
        <v>78.080555555555463</v>
      </c>
      <c r="V597" s="22">
        <v>7.4965000000000002</v>
      </c>
      <c r="W597" s="22">
        <v>3.3536999999999999</v>
      </c>
      <c r="X597" s="23">
        <v>1.1476266666666668</v>
      </c>
      <c r="Y597" s="23">
        <f t="shared" si="185"/>
        <v>6.3488733333333336</v>
      </c>
      <c r="Z597" s="23">
        <f t="shared" si="186"/>
        <v>2.2060733333333333</v>
      </c>
      <c r="AA597" s="22">
        <f t="shared" si="187"/>
        <v>65.25252249480485</v>
      </c>
      <c r="AB597" s="22">
        <f t="shared" si="188"/>
        <v>34.74747750519515</v>
      </c>
      <c r="AC597" s="22">
        <f t="shared" ref="AC597:AC660" si="201">(V597-X597)/J597</f>
        <v>1.8328629172796091</v>
      </c>
      <c r="AD597" s="22">
        <f t="shared" ref="AD597:AD660" si="202">(W597-X597)/J597</f>
        <v>0.63687362988279572</v>
      </c>
      <c r="AE597" s="27">
        <v>13.901199999999999</v>
      </c>
      <c r="AF597" s="27">
        <v>14.221399999999999</v>
      </c>
      <c r="AG597" s="27">
        <v>14.1366</v>
      </c>
      <c r="AH597" s="26">
        <v>0.2354</v>
      </c>
      <c r="AI597" s="26">
        <v>26.483447850000001</v>
      </c>
      <c r="AJ597" s="26">
        <f t="shared" ref="AJ597:AJ660" si="203">AI597*0.05</f>
        <v>1.3241723925000002</v>
      </c>
      <c r="AK597" s="26">
        <f t="shared" ref="AK597:AK660" si="204">AI597*AM597</f>
        <v>15.308351358381504</v>
      </c>
      <c r="AL597" s="26">
        <f t="shared" ref="AL597:AL660" si="205">(AJ597^2+0.09^2)^0.5</f>
        <v>1.3272273825758623</v>
      </c>
      <c r="AM597" s="17">
        <f t="shared" si="189"/>
        <v>0.5780346820809249</v>
      </c>
      <c r="AN597" s="17"/>
      <c r="AO597" s="27"/>
      <c r="AS597" s="49"/>
      <c r="AT597" s="25"/>
      <c r="AU597" s="17"/>
      <c r="AV597" s="17"/>
      <c r="AW597" s="17"/>
      <c r="AX597" s="27"/>
      <c r="BB597" s="17"/>
    </row>
    <row r="598" spans="1:54" x14ac:dyDescent="0.2">
      <c r="A598" s="17" t="s">
        <v>77</v>
      </c>
      <c r="B598" s="17" t="s">
        <v>78</v>
      </c>
      <c r="C598" s="17" t="str">
        <f t="shared" si="195"/>
        <v>HER42PB1B</v>
      </c>
      <c r="D598" s="17" t="str">
        <f t="shared" si="196"/>
        <v>HER42PB1B_67</v>
      </c>
      <c r="E598" s="27" t="s">
        <v>80</v>
      </c>
      <c r="F598" s="17">
        <v>67</v>
      </c>
      <c r="G598" s="20">
        <v>2.1</v>
      </c>
      <c r="H598" s="20">
        <v>1.9</v>
      </c>
      <c r="I598" s="20">
        <v>1.1000000000000001</v>
      </c>
      <c r="J598" s="22">
        <f t="shared" si="194"/>
        <v>3.4540000000000006</v>
      </c>
      <c r="K598" s="53">
        <v>0.20555555555555532</v>
      </c>
      <c r="L598" s="45">
        <f t="shared" si="190"/>
        <v>38.81111111111111</v>
      </c>
      <c r="M598" s="45">
        <f t="shared" si="191"/>
        <v>39.911111111111111</v>
      </c>
      <c r="N598" s="46">
        <f t="shared" si="192"/>
        <v>39.361111111111114</v>
      </c>
      <c r="O598" s="20">
        <f t="shared" ref="O598:O605" si="206">P597+K598</f>
        <v>78.811111111111018</v>
      </c>
      <c r="P598" s="20">
        <f t="shared" ref="P598:P661" si="207">O598+I598</f>
        <v>79.911111111111012</v>
      </c>
      <c r="Q598" s="20">
        <f t="shared" si="193"/>
        <v>79.361111111111015</v>
      </c>
      <c r="R598" s="20">
        <f t="shared" si="197"/>
        <v>78.811111111111018</v>
      </c>
      <c r="S598" s="20">
        <f t="shared" si="198"/>
        <v>79.361111111111015</v>
      </c>
      <c r="T598" s="20">
        <f t="shared" si="199"/>
        <v>79.361111111111015</v>
      </c>
      <c r="U598" s="20">
        <f t="shared" si="200"/>
        <v>79.361111111111015</v>
      </c>
      <c r="V598" s="22">
        <v>6.7794999999999996</v>
      </c>
      <c r="W598" s="22">
        <v>3.0251000000000001</v>
      </c>
      <c r="X598" s="23">
        <v>1.1476266666666668</v>
      </c>
      <c r="Y598" s="23">
        <f t="shared" ref="Y598:Y661" si="208">V598-X598</f>
        <v>5.6318733333333331</v>
      </c>
      <c r="Z598" s="23">
        <f t="shared" ref="Z598:Z661" si="209">W598-X598</f>
        <v>1.8774733333333333</v>
      </c>
      <c r="AA598" s="22">
        <f t="shared" ref="AA598:AA661" si="210">((Y598-Z598)/Y598)*100</f>
        <v>66.663431114099396</v>
      </c>
      <c r="AB598" s="22">
        <f t="shared" ref="AB598:AB661" si="211">100-AA598</f>
        <v>33.336568885900604</v>
      </c>
      <c r="AC598" s="22">
        <f t="shared" si="201"/>
        <v>1.6305365759505883</v>
      </c>
      <c r="AD598" s="22">
        <f t="shared" si="202"/>
        <v>0.54356494885157292</v>
      </c>
      <c r="AE598" s="27">
        <v>13.646599999999999</v>
      </c>
      <c r="AF598" s="27">
        <v>13.897</v>
      </c>
      <c r="AG598" s="27">
        <v>13.8286</v>
      </c>
      <c r="AH598" s="26">
        <v>0.182</v>
      </c>
      <c r="AI598" s="26">
        <v>27.316293930000001</v>
      </c>
      <c r="AJ598" s="26">
        <f t="shared" si="203"/>
        <v>1.3658146965000002</v>
      </c>
      <c r="AK598" s="26">
        <f t="shared" si="204"/>
        <v>15.789765277456649</v>
      </c>
      <c r="AL598" s="26">
        <f t="shared" si="205"/>
        <v>1.3687767477479253</v>
      </c>
      <c r="AM598" s="17">
        <f t="shared" ref="AM598:AM661" si="212">1/1.73</f>
        <v>0.5780346820809249</v>
      </c>
      <c r="AN598" s="17"/>
      <c r="AO598" s="27"/>
      <c r="AS598" s="49"/>
      <c r="AT598" s="25"/>
      <c r="AU598" s="17"/>
      <c r="AV598" s="17"/>
      <c r="AW598" s="17"/>
      <c r="AX598" s="27"/>
      <c r="BB598" s="17"/>
    </row>
    <row r="599" spans="1:54" x14ac:dyDescent="0.2">
      <c r="A599" s="17" t="s">
        <v>77</v>
      </c>
      <c r="B599" s="17" t="s">
        <v>78</v>
      </c>
      <c r="C599" s="17" t="str">
        <f t="shared" si="195"/>
        <v>HER42PB1B</v>
      </c>
      <c r="D599" s="17" t="str">
        <f t="shared" si="196"/>
        <v>HER42PB1B_68</v>
      </c>
      <c r="E599" s="27" t="s">
        <v>80</v>
      </c>
      <c r="F599" s="17">
        <v>68</v>
      </c>
      <c r="G599" s="20">
        <v>2.15</v>
      </c>
      <c r="H599" s="20">
        <v>2</v>
      </c>
      <c r="I599" s="20">
        <v>1.1499999999999999</v>
      </c>
      <c r="J599" s="22">
        <f t="shared" si="194"/>
        <v>3.8869029687500007</v>
      </c>
      <c r="K599" s="53">
        <v>0.20555555555555532</v>
      </c>
      <c r="L599" s="45">
        <f t="shared" si="190"/>
        <v>40.116666666666667</v>
      </c>
      <c r="M599" s="45">
        <f t="shared" si="191"/>
        <v>41.266666666666666</v>
      </c>
      <c r="N599" s="46">
        <f t="shared" si="192"/>
        <v>40.691666666666663</v>
      </c>
      <c r="O599" s="20">
        <f t="shared" si="206"/>
        <v>80.116666666666561</v>
      </c>
      <c r="P599" s="20">
        <f t="shared" si="207"/>
        <v>81.266666666666566</v>
      </c>
      <c r="Q599" s="20">
        <f t="shared" si="193"/>
        <v>80.691666666666563</v>
      </c>
      <c r="R599" s="20">
        <f t="shared" si="197"/>
        <v>80.116666666666561</v>
      </c>
      <c r="S599" s="20">
        <f t="shared" si="198"/>
        <v>80.691666666666563</v>
      </c>
      <c r="T599" s="20">
        <f t="shared" si="199"/>
        <v>80.691666666666563</v>
      </c>
      <c r="U599" s="20">
        <f t="shared" si="200"/>
        <v>80.691666666666563</v>
      </c>
      <c r="V599" s="22">
        <v>7.9915000000000003</v>
      </c>
      <c r="W599" s="22">
        <v>3.8702999999999999</v>
      </c>
      <c r="X599" s="23">
        <v>1.1476266666666668</v>
      </c>
      <c r="Y599" s="23">
        <f t="shared" si="208"/>
        <v>6.8438733333333337</v>
      </c>
      <c r="Z599" s="23">
        <f t="shared" si="209"/>
        <v>2.7226733333333328</v>
      </c>
      <c r="AA599" s="22">
        <f t="shared" si="210"/>
        <v>60.217362292892631</v>
      </c>
      <c r="AB599" s="22">
        <f t="shared" si="211"/>
        <v>39.782637707107369</v>
      </c>
      <c r="AC599" s="22">
        <f t="shared" si="201"/>
        <v>1.76075229774369</v>
      </c>
      <c r="AD599" s="22">
        <f t="shared" si="202"/>
        <v>0.70047370753094063</v>
      </c>
      <c r="AE599" s="27">
        <v>17.3903</v>
      </c>
      <c r="AF599" s="27">
        <v>17.718599999999999</v>
      </c>
      <c r="AG599" s="27">
        <v>17.6557</v>
      </c>
      <c r="AH599" s="26">
        <v>0.26540000000000002</v>
      </c>
      <c r="AI599" s="26">
        <v>19.159305509999999</v>
      </c>
      <c r="AJ599" s="26">
        <f t="shared" si="203"/>
        <v>0.95796527549999999</v>
      </c>
      <c r="AK599" s="26">
        <f t="shared" si="204"/>
        <v>11.074743069364162</v>
      </c>
      <c r="AL599" s="26">
        <f t="shared" si="205"/>
        <v>0.96218369819062666</v>
      </c>
      <c r="AM599" s="17">
        <f t="shared" si="212"/>
        <v>0.5780346820809249</v>
      </c>
      <c r="AN599" s="17"/>
      <c r="AO599" s="27"/>
      <c r="AS599" s="49"/>
      <c r="AT599" s="25"/>
      <c r="AU599" s="17"/>
      <c r="AV599" s="17"/>
      <c r="AW599" s="17"/>
      <c r="AX599" s="27"/>
      <c r="BB599" s="17"/>
    </row>
    <row r="600" spans="1:54" x14ac:dyDescent="0.2">
      <c r="A600" s="17" t="s">
        <v>77</v>
      </c>
      <c r="B600" s="17" t="s">
        <v>78</v>
      </c>
      <c r="C600" s="17" t="str">
        <f t="shared" si="195"/>
        <v>HER42PB1B</v>
      </c>
      <c r="D600" s="17" t="str">
        <f t="shared" si="196"/>
        <v>HER42PB1B_69</v>
      </c>
      <c r="E600" s="27" t="s">
        <v>80</v>
      </c>
      <c r="F600" s="17">
        <v>69</v>
      </c>
      <c r="G600" s="20">
        <v>2.1</v>
      </c>
      <c r="H600" s="20">
        <v>2.1</v>
      </c>
      <c r="I600" s="20">
        <v>1.05</v>
      </c>
      <c r="J600" s="22">
        <f t="shared" si="194"/>
        <v>3.6349425000000002</v>
      </c>
      <c r="K600" s="53">
        <v>0.20555555555555532</v>
      </c>
      <c r="L600" s="45">
        <f t="shared" si="190"/>
        <v>41.472222222222221</v>
      </c>
      <c r="M600" s="45">
        <f t="shared" si="191"/>
        <v>42.522222222222219</v>
      </c>
      <c r="N600" s="46">
        <f t="shared" si="192"/>
        <v>41.99722222222222</v>
      </c>
      <c r="O600" s="20">
        <f t="shared" si="206"/>
        <v>81.472222222222115</v>
      </c>
      <c r="P600" s="20">
        <f t="shared" si="207"/>
        <v>82.522222222222112</v>
      </c>
      <c r="Q600" s="20">
        <f t="shared" si="193"/>
        <v>81.997222222222121</v>
      </c>
      <c r="R600" s="20">
        <f t="shared" si="197"/>
        <v>81.472222222222115</v>
      </c>
      <c r="S600" s="20">
        <f t="shared" si="198"/>
        <v>81.997222222222121</v>
      </c>
      <c r="T600" s="20">
        <f t="shared" si="199"/>
        <v>81.997222222222121</v>
      </c>
      <c r="U600" s="20">
        <f t="shared" si="200"/>
        <v>81.997222222222121</v>
      </c>
      <c r="V600" s="22">
        <v>7.7294</v>
      </c>
      <c r="W600" s="22">
        <v>4.0376000000000003</v>
      </c>
      <c r="X600" s="23">
        <v>1.1476266666666668</v>
      </c>
      <c r="Y600" s="23">
        <f t="shared" si="208"/>
        <v>6.5817733333333335</v>
      </c>
      <c r="Z600" s="23">
        <f t="shared" si="209"/>
        <v>2.8899733333333337</v>
      </c>
      <c r="AA600" s="22">
        <f t="shared" si="210"/>
        <v>56.091266183581723</v>
      </c>
      <c r="AB600" s="22">
        <f t="shared" si="211"/>
        <v>43.908733816418277</v>
      </c>
      <c r="AC600" s="22">
        <f t="shared" si="201"/>
        <v>1.8106953090271258</v>
      </c>
      <c r="AD600" s="22">
        <f t="shared" si="202"/>
        <v>0.79505338346709298</v>
      </c>
      <c r="AE600" s="27">
        <v>17.127600000000001</v>
      </c>
      <c r="AF600" s="27">
        <v>17.409700000000001</v>
      </c>
      <c r="AG600" s="27">
        <v>17.357399999999998</v>
      </c>
      <c r="AH600" s="26">
        <v>0.2298</v>
      </c>
      <c r="AI600" s="26">
        <v>18.53952499</v>
      </c>
      <c r="AJ600" s="26">
        <f t="shared" si="203"/>
        <v>0.92697624950000002</v>
      </c>
      <c r="AK600" s="26">
        <f t="shared" si="204"/>
        <v>10.716488433526013</v>
      </c>
      <c r="AL600" s="26">
        <f t="shared" si="205"/>
        <v>0.93133504558621982</v>
      </c>
      <c r="AM600" s="17">
        <f t="shared" si="212"/>
        <v>0.5780346820809249</v>
      </c>
      <c r="AN600" s="17"/>
      <c r="AO600" s="27"/>
      <c r="AS600" s="49"/>
      <c r="AT600" s="25"/>
      <c r="AU600" s="17"/>
      <c r="AV600" s="17"/>
      <c r="AW600" s="17"/>
      <c r="AX600" s="27"/>
      <c r="BB600" s="17"/>
    </row>
    <row r="601" spans="1:54" x14ac:dyDescent="0.2">
      <c r="A601" s="17" t="s">
        <v>77</v>
      </c>
      <c r="B601" s="17" t="s">
        <v>78</v>
      </c>
      <c r="C601" s="17" t="str">
        <f t="shared" si="195"/>
        <v>HER42PB1B</v>
      </c>
      <c r="D601" s="17" t="str">
        <f t="shared" si="196"/>
        <v>HER42PB1B_70</v>
      </c>
      <c r="E601" s="27" t="s">
        <v>80</v>
      </c>
      <c r="F601" s="17">
        <v>70</v>
      </c>
      <c r="G601" s="20">
        <v>2.15</v>
      </c>
      <c r="H601" s="20">
        <v>2.0499999999999998</v>
      </c>
      <c r="I601" s="20">
        <v>1.1000000000000001</v>
      </c>
      <c r="J601" s="22">
        <f t="shared" si="194"/>
        <v>3.8080349999999994</v>
      </c>
      <c r="K601" s="53">
        <v>0.20555555555555532</v>
      </c>
      <c r="L601" s="45">
        <f t="shared" si="190"/>
        <v>42.727777777777774</v>
      </c>
      <c r="M601" s="45">
        <f t="shared" si="191"/>
        <v>43.827777777777776</v>
      </c>
      <c r="N601" s="46">
        <f t="shared" si="192"/>
        <v>43.277777777777771</v>
      </c>
      <c r="O601" s="20">
        <f t="shared" si="206"/>
        <v>82.727777777777661</v>
      </c>
      <c r="P601" s="20">
        <f t="shared" si="207"/>
        <v>83.827777777777655</v>
      </c>
      <c r="Q601" s="20">
        <f t="shared" si="193"/>
        <v>83.277777777777658</v>
      </c>
      <c r="R601" s="20">
        <f t="shared" si="197"/>
        <v>82.727777777777661</v>
      </c>
      <c r="S601" s="20">
        <f t="shared" si="198"/>
        <v>83.277777777777658</v>
      </c>
      <c r="T601" s="20">
        <f t="shared" si="199"/>
        <v>83.277777777777658</v>
      </c>
      <c r="U601" s="20">
        <f t="shared" si="200"/>
        <v>83.277777777777658</v>
      </c>
      <c r="V601" s="22">
        <v>8.0512999999999995</v>
      </c>
      <c r="W601" s="22">
        <v>4.4398999999999997</v>
      </c>
      <c r="X601" s="23">
        <v>1.1476266666666668</v>
      </c>
      <c r="Y601" s="23">
        <f t="shared" si="208"/>
        <v>6.9036733333333329</v>
      </c>
      <c r="Z601" s="23">
        <f t="shared" si="209"/>
        <v>3.2922733333333332</v>
      </c>
      <c r="AA601" s="22">
        <f t="shared" si="210"/>
        <v>52.311281626882689</v>
      </c>
      <c r="AB601" s="22">
        <f t="shared" si="211"/>
        <v>47.688718373117311</v>
      </c>
      <c r="AC601" s="22">
        <f t="shared" si="201"/>
        <v>1.8129227628772671</v>
      </c>
      <c r="AD601" s="22">
        <f t="shared" si="202"/>
        <v>0.86455963071067721</v>
      </c>
      <c r="AE601" s="27">
        <v>18.232700000000001</v>
      </c>
      <c r="AF601" s="27">
        <v>18.5549</v>
      </c>
      <c r="AG601" s="27">
        <v>18.497699999999998</v>
      </c>
      <c r="AH601" s="26">
        <v>0.26500000000000001</v>
      </c>
      <c r="AI601" s="26">
        <v>17.752948480000001</v>
      </c>
      <c r="AJ601" s="26">
        <f t="shared" si="203"/>
        <v>0.88764742400000007</v>
      </c>
      <c r="AK601" s="26">
        <f t="shared" si="204"/>
        <v>10.26181993063584</v>
      </c>
      <c r="AL601" s="26">
        <f t="shared" si="205"/>
        <v>0.89219838003318286</v>
      </c>
      <c r="AM601" s="17">
        <f t="shared" si="212"/>
        <v>0.5780346820809249</v>
      </c>
      <c r="AN601" s="17"/>
      <c r="AO601" s="27"/>
      <c r="AS601" s="49"/>
      <c r="AT601" s="25"/>
      <c r="AU601" s="17"/>
      <c r="AV601" s="17"/>
      <c r="AW601" s="17"/>
      <c r="AX601" s="27"/>
      <c r="BB601" s="17"/>
    </row>
    <row r="602" spans="1:54" x14ac:dyDescent="0.2">
      <c r="A602" s="17" t="s">
        <v>77</v>
      </c>
      <c r="B602" s="17" t="s">
        <v>78</v>
      </c>
      <c r="C602" s="17" t="str">
        <f t="shared" si="195"/>
        <v>HER42PB1B</v>
      </c>
      <c r="D602" s="17" t="str">
        <f t="shared" si="196"/>
        <v>HER42PB1B_71</v>
      </c>
      <c r="E602" s="27" t="s">
        <v>80</v>
      </c>
      <c r="F602" s="17">
        <v>71</v>
      </c>
      <c r="G602" s="20">
        <v>2.2000000000000002</v>
      </c>
      <c r="H602" s="20">
        <v>2.15</v>
      </c>
      <c r="I602" s="20">
        <v>1.1000000000000001</v>
      </c>
      <c r="J602" s="22">
        <f t="shared" si="194"/>
        <v>4.0848946874999994</v>
      </c>
      <c r="K602" s="53">
        <v>0.20555555555555532</v>
      </c>
      <c r="L602" s="45">
        <f t="shared" si="190"/>
        <v>44.033333333333331</v>
      </c>
      <c r="M602" s="45">
        <f t="shared" si="191"/>
        <v>45.133333333333333</v>
      </c>
      <c r="N602" s="46">
        <f t="shared" si="192"/>
        <v>44.583333333333329</v>
      </c>
      <c r="O602" s="20">
        <f t="shared" si="206"/>
        <v>84.033333333333204</v>
      </c>
      <c r="P602" s="20">
        <f t="shared" si="207"/>
        <v>85.133333333333198</v>
      </c>
      <c r="Q602" s="20">
        <f t="shared" si="193"/>
        <v>84.583333333333201</v>
      </c>
      <c r="R602" s="20">
        <f t="shared" si="197"/>
        <v>84.033333333333204</v>
      </c>
      <c r="S602" s="20">
        <f t="shared" si="198"/>
        <v>84.583333333333201</v>
      </c>
      <c r="T602" s="20">
        <f t="shared" si="199"/>
        <v>84.583333333333201</v>
      </c>
      <c r="U602" s="20">
        <f t="shared" si="200"/>
        <v>84.583333333333201</v>
      </c>
      <c r="V602" s="22">
        <v>7.7962999999999996</v>
      </c>
      <c r="W602" s="22">
        <v>4.0457000000000001</v>
      </c>
      <c r="X602" s="23">
        <v>1.1476266666666668</v>
      </c>
      <c r="Y602" s="23">
        <f t="shared" si="208"/>
        <v>6.648673333333333</v>
      </c>
      <c r="Z602" s="23">
        <f t="shared" si="209"/>
        <v>2.8980733333333335</v>
      </c>
      <c r="AA602" s="22">
        <f t="shared" si="210"/>
        <v>56.411253974477106</v>
      </c>
      <c r="AB602" s="22">
        <f t="shared" si="211"/>
        <v>43.588746025522894</v>
      </c>
      <c r="AC602" s="22">
        <f t="shared" si="201"/>
        <v>1.6276241719715898</v>
      </c>
      <c r="AD602" s="22">
        <f t="shared" si="202"/>
        <v>0.70946096657071622</v>
      </c>
      <c r="AE602" s="27">
        <v>16.629899999999999</v>
      </c>
      <c r="AF602" s="27">
        <v>17.177499999999998</v>
      </c>
      <c r="AG602" s="27">
        <v>17.095700000000001</v>
      </c>
      <c r="AH602" s="26">
        <v>0.46579999999999999</v>
      </c>
      <c r="AI602" s="26">
        <v>14.93791088</v>
      </c>
      <c r="AJ602" s="26">
        <f t="shared" si="203"/>
        <v>0.74689554400000002</v>
      </c>
      <c r="AK602" s="26">
        <f t="shared" si="204"/>
        <v>8.6346305664739891</v>
      </c>
      <c r="AL602" s="26">
        <f t="shared" si="205"/>
        <v>0.75229844719170857</v>
      </c>
      <c r="AM602" s="17">
        <f t="shared" si="212"/>
        <v>0.5780346820809249</v>
      </c>
      <c r="AN602" s="17"/>
      <c r="AO602" s="27"/>
      <c r="AS602" s="49"/>
      <c r="AT602" s="25"/>
      <c r="AU602" s="17"/>
      <c r="AV602" s="17"/>
      <c r="AW602" s="17"/>
      <c r="AX602" s="27"/>
      <c r="BB602" s="17"/>
    </row>
    <row r="603" spans="1:54" x14ac:dyDescent="0.2">
      <c r="A603" s="17" t="s">
        <v>77</v>
      </c>
      <c r="B603" s="17" t="s">
        <v>78</v>
      </c>
      <c r="C603" s="17" t="str">
        <f t="shared" si="195"/>
        <v>HER42PB1B</v>
      </c>
      <c r="D603" s="17" t="str">
        <f t="shared" si="196"/>
        <v>HER42PB1B_72</v>
      </c>
      <c r="E603" s="27" t="s">
        <v>80</v>
      </c>
      <c r="F603" s="17">
        <v>72</v>
      </c>
      <c r="G603" s="20">
        <v>2.2000000000000002</v>
      </c>
      <c r="H603" s="20">
        <v>2.0499999999999998</v>
      </c>
      <c r="I603" s="20">
        <v>1.1000000000000001</v>
      </c>
      <c r="J603" s="22">
        <f t="shared" si="194"/>
        <v>3.8992421875000005</v>
      </c>
      <c r="K603" s="53">
        <v>0.20555555555555532</v>
      </c>
      <c r="L603" s="45">
        <f t="shared" si="190"/>
        <v>45.338888888888889</v>
      </c>
      <c r="M603" s="45">
        <f t="shared" si="191"/>
        <v>46.43888888888889</v>
      </c>
      <c r="N603" s="46">
        <f t="shared" si="192"/>
        <v>45.888888888888886</v>
      </c>
      <c r="O603" s="20">
        <f t="shared" si="206"/>
        <v>85.338888888888746</v>
      </c>
      <c r="P603" s="20">
        <f t="shared" si="207"/>
        <v>86.438888888888741</v>
      </c>
      <c r="Q603" s="20">
        <f t="shared" si="193"/>
        <v>85.888888888888744</v>
      </c>
      <c r="R603" s="20">
        <f t="shared" si="197"/>
        <v>85.338888888888746</v>
      </c>
      <c r="S603" s="20">
        <f t="shared" si="198"/>
        <v>85.888888888888744</v>
      </c>
      <c r="T603" s="20">
        <f t="shared" si="199"/>
        <v>85.888888888888744</v>
      </c>
      <c r="U603" s="20">
        <f t="shared" si="200"/>
        <v>85.888888888888744</v>
      </c>
      <c r="V603" s="22">
        <v>8.0436999999999994</v>
      </c>
      <c r="W603" s="22">
        <v>4.1009000000000002</v>
      </c>
      <c r="X603" s="23">
        <v>1.1476266666666668</v>
      </c>
      <c r="Y603" s="23">
        <f t="shared" si="208"/>
        <v>6.8960733333333328</v>
      </c>
      <c r="Z603" s="23">
        <f t="shared" si="209"/>
        <v>2.9532733333333336</v>
      </c>
      <c r="AA603" s="22">
        <f t="shared" si="210"/>
        <v>57.174566009062154</v>
      </c>
      <c r="AB603" s="22">
        <f t="shared" si="211"/>
        <v>42.825433990937846</v>
      </c>
      <c r="AC603" s="22">
        <f t="shared" si="201"/>
        <v>1.7685675835782724</v>
      </c>
      <c r="AD603" s="22">
        <f t="shared" si="202"/>
        <v>0.75739674309043759</v>
      </c>
      <c r="AE603" s="27">
        <v>17.169899999999998</v>
      </c>
      <c r="AF603" s="27">
        <v>17.459</v>
      </c>
      <c r="AG603" s="27">
        <v>17.401299999999999</v>
      </c>
      <c r="AH603" s="26">
        <v>0.23139999999999999</v>
      </c>
      <c r="AI603" s="26">
        <v>19.95849187</v>
      </c>
      <c r="AJ603" s="26">
        <f t="shared" si="203"/>
        <v>0.99792459350000007</v>
      </c>
      <c r="AK603" s="26">
        <f t="shared" si="204"/>
        <v>11.536700502890174</v>
      </c>
      <c r="AL603" s="26">
        <f t="shared" si="205"/>
        <v>1.0019747972439927</v>
      </c>
      <c r="AM603" s="17">
        <f t="shared" si="212"/>
        <v>0.5780346820809249</v>
      </c>
      <c r="AN603" s="17"/>
      <c r="AO603" s="27"/>
      <c r="AS603" s="49"/>
      <c r="AT603" s="25"/>
      <c r="AU603" s="17"/>
      <c r="AV603" s="17"/>
      <c r="AW603" s="17"/>
      <c r="AX603" s="27"/>
      <c r="BB603" s="17"/>
    </row>
    <row r="604" spans="1:54" x14ac:dyDescent="0.2">
      <c r="A604" s="17" t="s">
        <v>77</v>
      </c>
      <c r="B604" s="17" t="s">
        <v>78</v>
      </c>
      <c r="C604" s="17" t="str">
        <f t="shared" si="195"/>
        <v>HER42PB1B</v>
      </c>
      <c r="D604" s="17" t="str">
        <f t="shared" si="196"/>
        <v>HER42PB1B_73</v>
      </c>
      <c r="E604" s="27" t="s">
        <v>80</v>
      </c>
      <c r="F604" s="17">
        <v>73</v>
      </c>
      <c r="G604" s="20">
        <v>2.2000000000000002</v>
      </c>
      <c r="H604" s="20">
        <v>2</v>
      </c>
      <c r="I604" s="20">
        <v>1.1499999999999999</v>
      </c>
      <c r="J604" s="22">
        <f t="shared" si="194"/>
        <v>3.9811274999999999</v>
      </c>
      <c r="K604" s="53">
        <v>0.20555555555555532</v>
      </c>
      <c r="L604" s="45">
        <f t="shared" si="190"/>
        <v>46.644444444444446</v>
      </c>
      <c r="M604" s="45">
        <f t="shared" si="191"/>
        <v>47.794444444444444</v>
      </c>
      <c r="N604" s="46">
        <f t="shared" si="192"/>
        <v>47.219444444444449</v>
      </c>
      <c r="O604" s="20">
        <f t="shared" si="206"/>
        <v>86.644444444444289</v>
      </c>
      <c r="P604" s="20">
        <f t="shared" si="207"/>
        <v>87.794444444444295</v>
      </c>
      <c r="Q604" s="20">
        <f t="shared" si="193"/>
        <v>87.219444444444292</v>
      </c>
      <c r="R604" s="20">
        <f t="shared" si="197"/>
        <v>86.644444444444289</v>
      </c>
      <c r="S604" s="20">
        <f t="shared" si="198"/>
        <v>87.219444444444292</v>
      </c>
      <c r="T604" s="20">
        <f t="shared" si="199"/>
        <v>87.219444444444292</v>
      </c>
      <c r="U604" s="20">
        <f t="shared" si="200"/>
        <v>87.219444444444292</v>
      </c>
      <c r="V604" s="22">
        <v>7.2826000000000004</v>
      </c>
      <c r="W604" s="22">
        <v>3.2147999999999999</v>
      </c>
      <c r="X604" s="23">
        <v>1.1476266666666668</v>
      </c>
      <c r="Y604" s="23">
        <f t="shared" si="208"/>
        <v>6.1349733333333338</v>
      </c>
      <c r="Z604" s="23">
        <f t="shared" si="209"/>
        <v>2.0671733333333329</v>
      </c>
      <c r="AA604" s="22">
        <f t="shared" si="210"/>
        <v>66.305096680670189</v>
      </c>
      <c r="AB604" s="22">
        <f t="shared" si="211"/>
        <v>33.694903319329811</v>
      </c>
      <c r="AC604" s="22">
        <f t="shared" si="201"/>
        <v>1.5410140301543556</v>
      </c>
      <c r="AD604" s="22">
        <f t="shared" si="202"/>
        <v>0.51924318759781818</v>
      </c>
      <c r="AE604" s="27">
        <v>14.077500000000001</v>
      </c>
      <c r="AF604" s="27">
        <v>14.4358</v>
      </c>
      <c r="AG604" s="27">
        <v>14.347099999999999</v>
      </c>
      <c r="AH604" s="26">
        <v>0.26960000000000001</v>
      </c>
      <c r="AI604" s="26">
        <v>24.755791240000001</v>
      </c>
      <c r="AJ604" s="26">
        <f t="shared" si="203"/>
        <v>1.2377895620000001</v>
      </c>
      <c r="AK604" s="26">
        <f t="shared" si="204"/>
        <v>14.309705919075146</v>
      </c>
      <c r="AL604" s="26">
        <f t="shared" si="205"/>
        <v>1.2410572105250233</v>
      </c>
      <c r="AM604" s="17">
        <f t="shared" si="212"/>
        <v>0.5780346820809249</v>
      </c>
      <c r="AN604" s="17"/>
      <c r="AO604" s="27"/>
      <c r="AS604" s="49"/>
      <c r="AT604" s="25"/>
      <c r="AU604" s="17"/>
      <c r="AV604" s="17"/>
      <c r="AW604" s="17"/>
      <c r="AX604" s="27"/>
      <c r="BB604" s="17"/>
    </row>
    <row r="605" spans="1:54" x14ac:dyDescent="0.2">
      <c r="A605" s="17" t="s">
        <v>77</v>
      </c>
      <c r="B605" s="17" t="s">
        <v>78</v>
      </c>
      <c r="C605" s="17" t="str">
        <f t="shared" si="195"/>
        <v>HER42PB1B</v>
      </c>
      <c r="D605" s="17" t="str">
        <f t="shared" si="196"/>
        <v>HER42PB1B_74</v>
      </c>
      <c r="E605" s="27" t="s">
        <v>80</v>
      </c>
      <c r="F605" s="17">
        <v>74</v>
      </c>
      <c r="G605" s="20">
        <v>2.2999999999999998</v>
      </c>
      <c r="H605" s="20">
        <v>2.15</v>
      </c>
      <c r="I605" s="20">
        <v>2</v>
      </c>
      <c r="J605" s="22">
        <f t="shared" si="194"/>
        <v>7.7724812499999985</v>
      </c>
      <c r="K605" s="53">
        <v>0.20555555555555532</v>
      </c>
      <c r="L605" s="45">
        <f t="shared" si="190"/>
        <v>48</v>
      </c>
      <c r="M605" s="45">
        <f t="shared" si="191"/>
        <v>50</v>
      </c>
      <c r="N605" s="46">
        <f t="shared" si="192"/>
        <v>49</v>
      </c>
      <c r="O605" s="20">
        <f t="shared" si="206"/>
        <v>87.999999999999844</v>
      </c>
      <c r="P605" s="20">
        <f t="shared" si="207"/>
        <v>89.999999999999844</v>
      </c>
      <c r="Q605" s="20">
        <f t="shared" si="193"/>
        <v>88.999999999999844</v>
      </c>
      <c r="R605" s="20">
        <f t="shared" si="197"/>
        <v>87.999999999999844</v>
      </c>
      <c r="S605" s="20">
        <f t="shared" si="198"/>
        <v>88.999999999999844</v>
      </c>
      <c r="T605" s="20">
        <f t="shared" si="199"/>
        <v>88.999999999999844</v>
      </c>
      <c r="U605" s="20">
        <f t="shared" si="200"/>
        <v>88.999999999999844</v>
      </c>
      <c r="V605" s="22">
        <v>12.615</v>
      </c>
      <c r="W605" s="22">
        <v>4.8120000000000003</v>
      </c>
      <c r="X605" s="23">
        <v>1.1476266666666668</v>
      </c>
      <c r="Y605" s="23">
        <f t="shared" si="208"/>
        <v>11.467373333333333</v>
      </c>
      <c r="Z605" s="23">
        <f t="shared" si="209"/>
        <v>3.6643733333333337</v>
      </c>
      <c r="AA605" s="22">
        <f t="shared" si="210"/>
        <v>68.04522511984726</v>
      </c>
      <c r="AB605" s="22">
        <f t="shared" si="211"/>
        <v>31.95477488015274</v>
      </c>
      <c r="AC605" s="22">
        <f t="shared" si="201"/>
        <v>1.4753812797339763</v>
      </c>
      <c r="AD605" s="22">
        <f t="shared" si="202"/>
        <v>0.47145476656290863</v>
      </c>
      <c r="AE605" s="27">
        <v>16.505099999999999</v>
      </c>
      <c r="AF605" s="27">
        <v>16.926400000000001</v>
      </c>
      <c r="AG605" s="27">
        <v>16.793199999999999</v>
      </c>
      <c r="AH605" s="26">
        <v>0.28810000000000002</v>
      </c>
      <c r="AI605" s="26">
        <v>31.61642535</v>
      </c>
      <c r="AJ605" s="26">
        <f t="shared" si="203"/>
        <v>1.5808212675000002</v>
      </c>
      <c r="AK605" s="26">
        <f t="shared" si="204"/>
        <v>18.275390375722544</v>
      </c>
      <c r="AL605" s="26">
        <f t="shared" si="205"/>
        <v>1.5833811542961813</v>
      </c>
      <c r="AM605" s="17">
        <f t="shared" si="212"/>
        <v>0.5780346820809249</v>
      </c>
      <c r="AN605" s="17"/>
      <c r="AO605" s="27"/>
      <c r="AS605" s="49"/>
      <c r="AT605" s="25"/>
      <c r="AU605" s="17"/>
      <c r="AV605" s="17"/>
      <c r="AW605" s="17"/>
      <c r="AX605" s="27"/>
      <c r="BB605" s="17"/>
    </row>
    <row r="606" spans="1:54" x14ac:dyDescent="0.2">
      <c r="A606" s="17" t="s">
        <v>77</v>
      </c>
      <c r="B606" s="17" t="s">
        <v>78</v>
      </c>
      <c r="C606" s="17" t="str">
        <f t="shared" si="195"/>
        <v>HER42PB1C</v>
      </c>
      <c r="D606" s="17" t="str">
        <f t="shared" si="196"/>
        <v>HER42PB1C_75</v>
      </c>
      <c r="E606" s="27" t="s">
        <v>81</v>
      </c>
      <c r="F606" s="17">
        <v>75</v>
      </c>
      <c r="G606" s="20">
        <v>1.95</v>
      </c>
      <c r="H606" s="20">
        <v>2.15</v>
      </c>
      <c r="I606" s="20">
        <v>1.1000000000000001</v>
      </c>
      <c r="J606" s="22">
        <f t="shared" si="194"/>
        <v>3.6288587499999996</v>
      </c>
      <c r="K606" s="53">
        <v>0.15833333333333321</v>
      </c>
      <c r="L606" s="39">
        <v>0</v>
      </c>
      <c r="M606" s="45">
        <f>L606+I606</f>
        <v>1.1000000000000001</v>
      </c>
      <c r="N606" s="46">
        <f>L606+((M606-L606)/2)</f>
        <v>0.55000000000000004</v>
      </c>
      <c r="O606" s="20">
        <v>80</v>
      </c>
      <c r="P606" s="20">
        <f t="shared" si="207"/>
        <v>81.099999999999994</v>
      </c>
      <c r="Q606" s="20">
        <f>O606+((P606-O606)/2)</f>
        <v>80.55</v>
      </c>
      <c r="R606" s="20">
        <f t="shared" si="197"/>
        <v>80</v>
      </c>
      <c r="S606" s="20">
        <f t="shared" si="198"/>
        <v>80.55</v>
      </c>
      <c r="T606" s="20">
        <f t="shared" si="199"/>
        <v>80.55</v>
      </c>
      <c r="U606" s="20">
        <f t="shared" si="200"/>
        <v>80.55</v>
      </c>
      <c r="V606" s="22">
        <v>5.4436</v>
      </c>
      <c r="W606" s="22">
        <v>2.4018000000000002</v>
      </c>
      <c r="X606" s="23">
        <v>1.1476266666666668</v>
      </c>
      <c r="Y606" s="23">
        <f t="shared" si="208"/>
        <v>4.2959733333333334</v>
      </c>
      <c r="Z606" s="23">
        <f t="shared" si="209"/>
        <v>1.2541733333333334</v>
      </c>
      <c r="AA606" s="22">
        <f t="shared" si="210"/>
        <v>70.805839887274288</v>
      </c>
      <c r="AB606" s="22">
        <f t="shared" si="211"/>
        <v>29.194160112725712</v>
      </c>
      <c r="AC606" s="22">
        <f t="shared" si="201"/>
        <v>1.1838359190291807</v>
      </c>
      <c r="AD606" s="22">
        <f t="shared" si="202"/>
        <v>0.345610953673337</v>
      </c>
      <c r="AE606" s="27">
        <v>9.2169000000000008</v>
      </c>
      <c r="AF606" s="27">
        <v>9.3568999999999996</v>
      </c>
      <c r="AG606" s="27">
        <v>9.3183000000000007</v>
      </c>
      <c r="AH606" s="26">
        <v>0.1014</v>
      </c>
      <c r="AI606" s="26">
        <v>27.571428569999998</v>
      </c>
      <c r="AJ606" s="26">
        <f t="shared" si="203"/>
        <v>1.3785714284999999</v>
      </c>
      <c r="AK606" s="26">
        <f t="shared" si="204"/>
        <v>15.937241947976879</v>
      </c>
      <c r="AL606" s="26">
        <f t="shared" si="205"/>
        <v>1.3815061286424068</v>
      </c>
      <c r="AM606" s="17">
        <f t="shared" si="212"/>
        <v>0.5780346820809249</v>
      </c>
      <c r="AN606" s="28" t="s">
        <v>43</v>
      </c>
      <c r="AO606" s="27">
        <v>49</v>
      </c>
      <c r="AS606" s="49"/>
      <c r="AT606" s="25"/>
      <c r="AU606" s="17"/>
      <c r="AV606" s="17"/>
      <c r="AW606" s="17"/>
      <c r="AX606" s="27"/>
      <c r="BB606" s="17"/>
    </row>
    <row r="607" spans="1:54" x14ac:dyDescent="0.2">
      <c r="A607" s="17" t="s">
        <v>77</v>
      </c>
      <c r="B607" s="17" t="s">
        <v>78</v>
      </c>
      <c r="C607" s="17" t="str">
        <f t="shared" si="195"/>
        <v>HER42PB1C</v>
      </c>
      <c r="D607" s="17" t="str">
        <f t="shared" si="196"/>
        <v>HER42PB1C_76</v>
      </c>
      <c r="E607" s="27" t="s">
        <v>81</v>
      </c>
      <c r="F607" s="17">
        <v>76</v>
      </c>
      <c r="G607" s="20">
        <v>2.0499999999999998</v>
      </c>
      <c r="H607" s="20">
        <v>2.25</v>
      </c>
      <c r="I607" s="20">
        <v>1.1000000000000001</v>
      </c>
      <c r="J607" s="22">
        <f t="shared" si="194"/>
        <v>3.9915287500000001</v>
      </c>
      <c r="K607" s="53">
        <v>0.15833333333333321</v>
      </c>
      <c r="L607" s="45">
        <f>M606+K607</f>
        <v>1.2583333333333333</v>
      </c>
      <c r="M607" s="45">
        <f>L607+I607</f>
        <v>2.3583333333333334</v>
      </c>
      <c r="N607" s="46">
        <f>L607+((M607-L607)/2)</f>
        <v>1.8083333333333333</v>
      </c>
      <c r="O607" s="20">
        <f t="shared" ref="O607:O642" si="213">P606+K607</f>
        <v>81.258333333333326</v>
      </c>
      <c r="P607" s="20">
        <f t="shared" si="207"/>
        <v>82.35833333333332</v>
      </c>
      <c r="Q607" s="20">
        <f>O607+((P607-O607)/2)</f>
        <v>81.808333333333323</v>
      </c>
      <c r="R607" s="20">
        <f t="shared" si="197"/>
        <v>81.258333333333326</v>
      </c>
      <c r="S607" s="20">
        <f t="shared" si="198"/>
        <v>81.808333333333323</v>
      </c>
      <c r="T607" s="20">
        <f t="shared" si="199"/>
        <v>81.808333333333323</v>
      </c>
      <c r="U607" s="20">
        <f t="shared" si="200"/>
        <v>81.808333333333323</v>
      </c>
      <c r="V607" s="22">
        <v>6.7858000000000001</v>
      </c>
      <c r="W607" s="22">
        <v>2.9462999999999999</v>
      </c>
      <c r="X607" s="23">
        <v>1.1476266666666668</v>
      </c>
      <c r="Y607" s="23">
        <f t="shared" si="208"/>
        <v>5.6381733333333335</v>
      </c>
      <c r="Z607" s="23">
        <f t="shared" si="209"/>
        <v>1.7986733333333331</v>
      </c>
      <c r="AA607" s="22">
        <f t="shared" si="210"/>
        <v>68.098296611432076</v>
      </c>
      <c r="AB607" s="22">
        <f t="shared" si="211"/>
        <v>31.901703388567924</v>
      </c>
      <c r="AC607" s="22">
        <f t="shared" si="201"/>
        <v>1.4125348172259398</v>
      </c>
      <c r="AD607" s="22">
        <f t="shared" si="202"/>
        <v>0.45062266765166931</v>
      </c>
      <c r="AE607" s="27">
        <v>10.216900000000001</v>
      </c>
      <c r="AF607" s="27">
        <v>10.433999999999999</v>
      </c>
      <c r="AG607" s="27">
        <v>10.3315</v>
      </c>
      <c r="AH607" s="26">
        <v>0.11459999999999999</v>
      </c>
      <c r="AI607" s="26">
        <v>47.21326578</v>
      </c>
      <c r="AJ607" s="26">
        <f t="shared" si="203"/>
        <v>2.3606632890000001</v>
      </c>
      <c r="AK607" s="26">
        <f t="shared" si="204"/>
        <v>27.290905075144511</v>
      </c>
      <c r="AL607" s="26">
        <f t="shared" si="205"/>
        <v>2.3623782855487598</v>
      </c>
      <c r="AM607" s="17">
        <f t="shared" si="212"/>
        <v>0.5780346820809249</v>
      </c>
      <c r="AN607" s="28" t="s">
        <v>44</v>
      </c>
      <c r="AO607" s="27" t="s">
        <v>55</v>
      </c>
      <c r="AS607" s="49"/>
      <c r="AT607" s="25"/>
      <c r="AU607" s="17"/>
      <c r="AV607" s="17"/>
      <c r="AW607" s="17"/>
      <c r="AX607" s="27"/>
      <c r="BB607" s="17"/>
    </row>
    <row r="608" spans="1:54" x14ac:dyDescent="0.2">
      <c r="A608" s="17" t="s">
        <v>77</v>
      </c>
      <c r="B608" s="17" t="s">
        <v>78</v>
      </c>
      <c r="C608" s="17" t="str">
        <f t="shared" si="195"/>
        <v>HER42PB1C</v>
      </c>
      <c r="D608" s="17" t="str">
        <f t="shared" si="196"/>
        <v>HER42PB1C_77</v>
      </c>
      <c r="E608" s="27" t="s">
        <v>81</v>
      </c>
      <c r="F608" s="17">
        <v>77</v>
      </c>
      <c r="G608" s="20">
        <v>2.25</v>
      </c>
      <c r="H608" s="20">
        <v>2.1</v>
      </c>
      <c r="I608" s="20">
        <v>1.2</v>
      </c>
      <c r="J608" s="22">
        <f t="shared" si="194"/>
        <v>4.4562487499999994</v>
      </c>
      <c r="K608" s="53">
        <v>0.15833333333333321</v>
      </c>
      <c r="L608" s="45">
        <f t="shared" ref="L608:L642" si="214">M607+K608</f>
        <v>2.5166666666666666</v>
      </c>
      <c r="M608" s="45">
        <f t="shared" ref="M608:M642" si="215">L608+I608</f>
        <v>3.7166666666666668</v>
      </c>
      <c r="N608" s="46">
        <f t="shared" ref="N608:N642" si="216">L608+((M608-L608)/2)</f>
        <v>3.1166666666666667</v>
      </c>
      <c r="O608" s="20">
        <f t="shared" si="213"/>
        <v>82.516666666666652</v>
      </c>
      <c r="P608" s="20">
        <f t="shared" si="207"/>
        <v>83.716666666666654</v>
      </c>
      <c r="Q608" s="20">
        <f t="shared" ref="Q608:Q642" si="217">O608+((P608-O608)/2)</f>
        <v>83.116666666666646</v>
      </c>
      <c r="R608" s="20">
        <f t="shared" si="197"/>
        <v>82.516666666666652</v>
      </c>
      <c r="S608" s="20">
        <f t="shared" si="198"/>
        <v>83.116666666666646</v>
      </c>
      <c r="T608" s="20">
        <f t="shared" si="199"/>
        <v>83.116666666666646</v>
      </c>
      <c r="U608" s="20">
        <f t="shared" si="200"/>
        <v>83.116666666666646</v>
      </c>
      <c r="V608" s="22">
        <v>7.3738999999999999</v>
      </c>
      <c r="W608" s="22">
        <v>3.5878000000000001</v>
      </c>
      <c r="X608" s="23">
        <v>1.1476266666666668</v>
      </c>
      <c r="Y608" s="23">
        <f t="shared" si="208"/>
        <v>6.2262733333333333</v>
      </c>
      <c r="Z608" s="23">
        <f t="shared" si="209"/>
        <v>2.4401733333333331</v>
      </c>
      <c r="AA608" s="22">
        <f t="shared" si="210"/>
        <v>60.808445073082787</v>
      </c>
      <c r="AB608" s="22">
        <f t="shared" si="211"/>
        <v>39.191554926917213</v>
      </c>
      <c r="AC608" s="22">
        <f t="shared" si="201"/>
        <v>1.3972005789248938</v>
      </c>
      <c r="AD608" s="22">
        <f t="shared" si="202"/>
        <v>0.54758463232855514</v>
      </c>
      <c r="AE608" s="27">
        <v>13.141299999999999</v>
      </c>
      <c r="AF608" s="27">
        <v>13.379200000000001</v>
      </c>
      <c r="AG608" s="27">
        <v>13.344200000000001</v>
      </c>
      <c r="AH608" s="26">
        <v>0.2029</v>
      </c>
      <c r="AI608" s="26">
        <v>14.71206389</v>
      </c>
      <c r="AJ608" s="26">
        <f t="shared" si="203"/>
        <v>0.7356031945</v>
      </c>
      <c r="AK608" s="26">
        <f t="shared" si="204"/>
        <v>8.5040831734104056</v>
      </c>
      <c r="AL608" s="26">
        <f t="shared" si="205"/>
        <v>0.74108842910856787</v>
      </c>
      <c r="AM608" s="17">
        <f t="shared" si="212"/>
        <v>0.5780346820809249</v>
      </c>
      <c r="AN608" s="28" t="s">
        <v>46</v>
      </c>
      <c r="AO608" s="29">
        <f>SUM(I606:I642)</f>
        <v>43.300000000000004</v>
      </c>
      <c r="AS608" s="49"/>
      <c r="AT608" s="25"/>
      <c r="AU608" s="17"/>
      <c r="AV608" s="17"/>
      <c r="AW608" s="17"/>
      <c r="AX608" s="27"/>
      <c r="BB608" s="17"/>
    </row>
    <row r="609" spans="1:54" x14ac:dyDescent="0.2">
      <c r="A609" s="17" t="s">
        <v>77</v>
      </c>
      <c r="B609" s="17" t="s">
        <v>78</v>
      </c>
      <c r="C609" s="17" t="str">
        <f t="shared" si="195"/>
        <v>HER42PB1C</v>
      </c>
      <c r="D609" s="17" t="str">
        <f t="shared" si="196"/>
        <v>HER42PB1C_78</v>
      </c>
      <c r="E609" s="27" t="s">
        <v>81</v>
      </c>
      <c r="F609" s="17">
        <v>78</v>
      </c>
      <c r="G609" s="20">
        <v>2.2999999999999998</v>
      </c>
      <c r="H609" s="20">
        <v>2.25</v>
      </c>
      <c r="I609" s="20">
        <v>1.1499999999999999</v>
      </c>
      <c r="J609" s="22">
        <f t="shared" si="194"/>
        <v>4.6722954687499998</v>
      </c>
      <c r="K609" s="53">
        <v>0.15833333333333321</v>
      </c>
      <c r="L609" s="45">
        <f t="shared" si="214"/>
        <v>3.875</v>
      </c>
      <c r="M609" s="45">
        <f t="shared" si="215"/>
        <v>5.0250000000000004</v>
      </c>
      <c r="N609" s="46">
        <f t="shared" si="216"/>
        <v>4.45</v>
      </c>
      <c r="O609" s="20">
        <f t="shared" si="213"/>
        <v>83.874999999999986</v>
      </c>
      <c r="P609" s="20">
        <f t="shared" si="207"/>
        <v>85.024999999999991</v>
      </c>
      <c r="Q609" s="20">
        <f t="shared" si="217"/>
        <v>84.449999999999989</v>
      </c>
      <c r="R609" s="20">
        <f t="shared" si="197"/>
        <v>83.874999999999986</v>
      </c>
      <c r="S609" s="20">
        <f t="shared" si="198"/>
        <v>84.449999999999989</v>
      </c>
      <c r="T609" s="20">
        <f t="shared" si="199"/>
        <v>84.449999999999989</v>
      </c>
      <c r="U609" s="20">
        <f t="shared" si="200"/>
        <v>84.449999999999989</v>
      </c>
      <c r="V609" s="22">
        <v>7.8094999999999999</v>
      </c>
      <c r="W609" s="22">
        <v>3.9561999999999999</v>
      </c>
      <c r="X609" s="23">
        <v>1.1476266666666668</v>
      </c>
      <c r="Y609" s="23">
        <f t="shared" si="208"/>
        <v>6.6618733333333333</v>
      </c>
      <c r="Z609" s="23">
        <f t="shared" si="209"/>
        <v>2.8085733333333334</v>
      </c>
      <c r="AA609" s="22">
        <f t="shared" si="210"/>
        <v>57.841087742086557</v>
      </c>
      <c r="AB609" s="22">
        <f t="shared" si="211"/>
        <v>42.158912257913443</v>
      </c>
      <c r="AC609" s="22">
        <f t="shared" si="201"/>
        <v>1.4258244963081528</v>
      </c>
      <c r="AD609" s="22">
        <f t="shared" si="202"/>
        <v>0.60111209835039037</v>
      </c>
      <c r="AE609" s="27">
        <v>10.349600000000001</v>
      </c>
      <c r="AF609" s="27">
        <v>10.8294</v>
      </c>
      <c r="AG609" s="27">
        <v>10.7516</v>
      </c>
      <c r="AH609" s="26">
        <v>0.40200000000000002</v>
      </c>
      <c r="AI609" s="26">
        <v>16.215089620000001</v>
      </c>
      <c r="AJ609" s="26">
        <f t="shared" si="203"/>
        <v>0.81075448100000003</v>
      </c>
      <c r="AK609" s="26">
        <f t="shared" si="204"/>
        <v>9.3728841734104051</v>
      </c>
      <c r="AL609" s="26">
        <f t="shared" si="205"/>
        <v>0.81573453308143051</v>
      </c>
      <c r="AM609" s="17">
        <f t="shared" si="212"/>
        <v>0.5780346820809249</v>
      </c>
      <c r="AN609" s="28" t="s">
        <v>47</v>
      </c>
      <c r="AO609" s="29">
        <f>AO606-AO608</f>
        <v>5.6999999999999957</v>
      </c>
      <c r="AS609" s="49"/>
      <c r="AT609" s="25"/>
      <c r="AU609" s="17"/>
      <c r="AV609" s="17"/>
      <c r="AW609" s="17"/>
      <c r="AX609" s="27"/>
      <c r="BB609" s="17"/>
    </row>
    <row r="610" spans="1:54" x14ac:dyDescent="0.2">
      <c r="A610" s="17" t="s">
        <v>77</v>
      </c>
      <c r="B610" s="17" t="s">
        <v>78</v>
      </c>
      <c r="C610" s="17" t="str">
        <f t="shared" si="195"/>
        <v>HER42PB1C</v>
      </c>
      <c r="D610" s="17" t="str">
        <f t="shared" si="196"/>
        <v>HER42PB1C_79</v>
      </c>
      <c r="E610" s="27" t="s">
        <v>81</v>
      </c>
      <c r="F610" s="17">
        <v>79</v>
      </c>
      <c r="G610" s="20">
        <v>2.4500000000000002</v>
      </c>
      <c r="H610" s="20">
        <v>2.35</v>
      </c>
      <c r="I610" s="20">
        <v>1.2</v>
      </c>
      <c r="J610" s="22">
        <f t="shared" si="194"/>
        <v>5.4259200000000014</v>
      </c>
      <c r="K610" s="53">
        <v>0.15833333333333321</v>
      </c>
      <c r="L610" s="45">
        <f t="shared" si="214"/>
        <v>5.1833333333333336</v>
      </c>
      <c r="M610" s="45">
        <f t="shared" si="215"/>
        <v>6.3833333333333337</v>
      </c>
      <c r="N610" s="46">
        <f t="shared" si="216"/>
        <v>5.7833333333333332</v>
      </c>
      <c r="O610" s="20">
        <f t="shared" si="213"/>
        <v>85.183333333333323</v>
      </c>
      <c r="P610" s="20">
        <f t="shared" si="207"/>
        <v>86.383333333333326</v>
      </c>
      <c r="Q610" s="20">
        <f t="shared" si="217"/>
        <v>85.783333333333331</v>
      </c>
      <c r="R610" s="20">
        <f t="shared" si="197"/>
        <v>85.183333333333323</v>
      </c>
      <c r="S610" s="20">
        <f t="shared" si="198"/>
        <v>85.783333333333331</v>
      </c>
      <c r="T610" s="20">
        <f t="shared" si="199"/>
        <v>85.783333333333331</v>
      </c>
      <c r="U610" s="20">
        <f t="shared" si="200"/>
        <v>85.783333333333331</v>
      </c>
      <c r="V610" s="22">
        <v>8.7439</v>
      </c>
      <c r="W610" s="22">
        <v>4.6197999999999997</v>
      </c>
      <c r="X610" s="23">
        <v>1.1476266666666668</v>
      </c>
      <c r="Y610" s="23">
        <f t="shared" si="208"/>
        <v>7.5962733333333334</v>
      </c>
      <c r="Z610" s="23">
        <f t="shared" si="209"/>
        <v>3.4721733333333331</v>
      </c>
      <c r="AA610" s="22">
        <f t="shared" si="210"/>
        <v>54.291095370449192</v>
      </c>
      <c r="AB610" s="22">
        <f t="shared" si="211"/>
        <v>45.708904629550808</v>
      </c>
      <c r="AC610" s="22">
        <f t="shared" si="201"/>
        <v>1.3999972969253751</v>
      </c>
      <c r="AD610" s="22">
        <f t="shared" si="202"/>
        <v>0.63992342926790891</v>
      </c>
      <c r="AE610" s="27">
        <v>9.5379000000000005</v>
      </c>
      <c r="AF610" s="27">
        <v>9.7748000000000008</v>
      </c>
      <c r="AG610" s="27">
        <v>9.7420000000000009</v>
      </c>
      <c r="AH610" s="26">
        <v>0.2041</v>
      </c>
      <c r="AI610" s="26">
        <v>13.84550443</v>
      </c>
      <c r="AJ610" s="26">
        <f t="shared" si="203"/>
        <v>0.69227522150000009</v>
      </c>
      <c r="AK610" s="26">
        <f t="shared" si="204"/>
        <v>8.0031817514450871</v>
      </c>
      <c r="AL610" s="26">
        <f t="shared" si="205"/>
        <v>0.69810098288347522</v>
      </c>
      <c r="AM610" s="17">
        <f t="shared" si="212"/>
        <v>0.5780346820809249</v>
      </c>
      <c r="AN610" s="28" t="s">
        <v>48</v>
      </c>
      <c r="AO610" s="27">
        <v>36</v>
      </c>
      <c r="AS610" s="49"/>
      <c r="AT610" s="25"/>
      <c r="AU610" s="17"/>
      <c r="AV610" s="17"/>
      <c r="AW610" s="17"/>
      <c r="AX610" s="27"/>
      <c r="BB610" s="17"/>
    </row>
    <row r="611" spans="1:54" x14ac:dyDescent="0.2">
      <c r="A611" s="17" t="s">
        <v>77</v>
      </c>
      <c r="B611" s="17" t="s">
        <v>78</v>
      </c>
      <c r="C611" s="17" t="str">
        <f t="shared" si="195"/>
        <v>HER42PB1C</v>
      </c>
      <c r="D611" s="17" t="str">
        <f t="shared" si="196"/>
        <v>HER42PB1C_80</v>
      </c>
      <c r="E611" s="27" t="s">
        <v>81</v>
      </c>
      <c r="F611" s="17">
        <v>80</v>
      </c>
      <c r="G611" s="20">
        <v>2.4</v>
      </c>
      <c r="H611" s="20">
        <v>2.1</v>
      </c>
      <c r="I611" s="20">
        <v>1.25</v>
      </c>
      <c r="J611" s="22">
        <f t="shared" si="194"/>
        <v>4.9675781250000002</v>
      </c>
      <c r="K611" s="53">
        <v>0.15833333333333321</v>
      </c>
      <c r="L611" s="45">
        <f t="shared" si="214"/>
        <v>6.541666666666667</v>
      </c>
      <c r="M611" s="45">
        <f t="shared" si="215"/>
        <v>7.791666666666667</v>
      </c>
      <c r="N611" s="46">
        <f t="shared" si="216"/>
        <v>7.166666666666667</v>
      </c>
      <c r="O611" s="20">
        <f t="shared" si="213"/>
        <v>86.541666666666657</v>
      </c>
      <c r="P611" s="20">
        <f t="shared" si="207"/>
        <v>87.791666666666657</v>
      </c>
      <c r="Q611" s="20">
        <f t="shared" si="217"/>
        <v>87.166666666666657</v>
      </c>
      <c r="R611" s="20">
        <f t="shared" si="197"/>
        <v>86.541666666666657</v>
      </c>
      <c r="S611" s="20">
        <f t="shared" si="198"/>
        <v>87.166666666666657</v>
      </c>
      <c r="T611" s="20">
        <f t="shared" si="199"/>
        <v>87.166666666666657</v>
      </c>
      <c r="U611" s="20">
        <f t="shared" si="200"/>
        <v>87.166666666666657</v>
      </c>
      <c r="V611" s="22">
        <v>7.8845999999999998</v>
      </c>
      <c r="W611" s="22">
        <v>4.6197999999999997</v>
      </c>
      <c r="X611" s="23">
        <v>1.1476266666666668</v>
      </c>
      <c r="Y611" s="23">
        <f t="shared" si="208"/>
        <v>6.7369733333333333</v>
      </c>
      <c r="Z611" s="23">
        <f t="shared" si="209"/>
        <v>3.4721733333333331</v>
      </c>
      <c r="AA611" s="22">
        <f t="shared" si="210"/>
        <v>48.460931021447813</v>
      </c>
      <c r="AB611" s="22">
        <f t="shared" si="211"/>
        <v>51.539068978552187</v>
      </c>
      <c r="AC611" s="22">
        <f t="shared" si="201"/>
        <v>1.3561887027862964</v>
      </c>
      <c r="AD611" s="22">
        <f t="shared" si="202"/>
        <v>0.69896703100836144</v>
      </c>
      <c r="AE611" s="27">
        <v>17.832899999999999</v>
      </c>
      <c r="AF611" s="27">
        <v>18.213100000000001</v>
      </c>
      <c r="AG611" s="27">
        <v>18.177499999999998</v>
      </c>
      <c r="AH611" s="26">
        <v>0.34460000000000002</v>
      </c>
      <c r="AI611" s="26">
        <v>9.3634928980000005</v>
      </c>
      <c r="AJ611" s="26">
        <f t="shared" si="203"/>
        <v>0.46817464490000005</v>
      </c>
      <c r="AK611" s="26">
        <f t="shared" si="204"/>
        <v>5.4124236404624284</v>
      </c>
      <c r="AL611" s="26">
        <f t="shared" si="205"/>
        <v>0.47674678617400362</v>
      </c>
      <c r="AM611" s="17">
        <f t="shared" si="212"/>
        <v>0.5780346820809249</v>
      </c>
      <c r="AN611" s="28" t="s">
        <v>49</v>
      </c>
      <c r="AO611" s="51">
        <f>AO609/AO610</f>
        <v>0.15833333333333321</v>
      </c>
      <c r="AS611" s="49"/>
      <c r="AT611" s="25"/>
      <c r="AU611" s="17"/>
      <c r="AV611" s="17"/>
      <c r="AW611" s="17"/>
      <c r="AX611" s="27"/>
      <c r="BB611" s="17"/>
    </row>
    <row r="612" spans="1:54" x14ac:dyDescent="0.2">
      <c r="A612" s="17" t="s">
        <v>77</v>
      </c>
      <c r="B612" s="17" t="s">
        <v>78</v>
      </c>
      <c r="C612" s="17" t="str">
        <f t="shared" si="195"/>
        <v>HER42PB1C</v>
      </c>
      <c r="D612" s="17" t="str">
        <f t="shared" si="196"/>
        <v>HER42PB1C_81</v>
      </c>
      <c r="E612" s="27" t="s">
        <v>81</v>
      </c>
      <c r="F612" s="17">
        <v>81</v>
      </c>
      <c r="G612" s="20">
        <v>2.4500000000000002</v>
      </c>
      <c r="H612" s="20">
        <v>2.4</v>
      </c>
      <c r="I612" s="20">
        <v>1.3</v>
      </c>
      <c r="J612" s="22">
        <f t="shared" si="194"/>
        <v>6.001177812499999</v>
      </c>
      <c r="K612" s="53">
        <v>0.15833333333333321</v>
      </c>
      <c r="L612" s="45">
        <f t="shared" si="214"/>
        <v>7.95</v>
      </c>
      <c r="M612" s="45">
        <f t="shared" si="215"/>
        <v>9.25</v>
      </c>
      <c r="N612" s="46">
        <f t="shared" si="216"/>
        <v>8.6</v>
      </c>
      <c r="O612" s="20">
        <f t="shared" si="213"/>
        <v>87.949999999999989</v>
      </c>
      <c r="P612" s="20">
        <f t="shared" si="207"/>
        <v>89.249999999999986</v>
      </c>
      <c r="Q612" s="20">
        <f t="shared" si="217"/>
        <v>88.6</v>
      </c>
      <c r="R612" s="20">
        <f t="shared" si="197"/>
        <v>87.949999999999989</v>
      </c>
      <c r="S612" s="20">
        <f t="shared" si="198"/>
        <v>88.6</v>
      </c>
      <c r="T612" s="20">
        <f t="shared" si="199"/>
        <v>88.6</v>
      </c>
      <c r="U612" s="20">
        <f t="shared" si="200"/>
        <v>88.6</v>
      </c>
      <c r="V612" s="22">
        <v>8.0081000000000007</v>
      </c>
      <c r="W612" s="22">
        <v>3.4167000000000001</v>
      </c>
      <c r="X612" s="23">
        <v>1.1476266666666668</v>
      </c>
      <c r="Y612" s="23">
        <f t="shared" si="208"/>
        <v>6.8604733333333341</v>
      </c>
      <c r="Z612" s="23">
        <f t="shared" si="209"/>
        <v>2.2690733333333331</v>
      </c>
      <c r="AA612" s="22">
        <f t="shared" si="210"/>
        <v>66.925411366173961</v>
      </c>
      <c r="AB612" s="22">
        <f t="shared" si="211"/>
        <v>33.074588633826039</v>
      </c>
      <c r="AC612" s="22">
        <f t="shared" si="201"/>
        <v>1.1431878120730714</v>
      </c>
      <c r="AD612" s="22">
        <f t="shared" si="202"/>
        <v>0.37810466615520461</v>
      </c>
      <c r="AE612" s="27">
        <v>9.3888999999999996</v>
      </c>
      <c r="AF612" s="27">
        <v>9.6632999999999996</v>
      </c>
      <c r="AG612" s="27">
        <v>9.5983000000000001</v>
      </c>
      <c r="AH612" s="26">
        <v>0.2094</v>
      </c>
      <c r="AI612" s="26">
        <v>23.68804665</v>
      </c>
      <c r="AJ612" s="26">
        <f t="shared" si="203"/>
        <v>1.1844023325000002</v>
      </c>
      <c r="AK612" s="26">
        <f t="shared" si="204"/>
        <v>13.692512514450868</v>
      </c>
      <c r="AL612" s="26">
        <f t="shared" si="205"/>
        <v>1.187816856771885</v>
      </c>
      <c r="AM612" s="17">
        <f t="shared" si="212"/>
        <v>0.5780346820809249</v>
      </c>
      <c r="AN612" s="17"/>
      <c r="AO612" s="27"/>
      <c r="AS612" s="49"/>
      <c r="AT612" s="25"/>
      <c r="AU612" s="17"/>
      <c r="AV612" s="17"/>
      <c r="AW612" s="17"/>
      <c r="AX612" s="27"/>
      <c r="BB612" s="17"/>
    </row>
    <row r="613" spans="1:54" x14ac:dyDescent="0.2">
      <c r="A613" s="17" t="s">
        <v>77</v>
      </c>
      <c r="B613" s="17" t="s">
        <v>78</v>
      </c>
      <c r="C613" s="17" t="str">
        <f t="shared" si="195"/>
        <v>HER42PB1C</v>
      </c>
      <c r="D613" s="17" t="str">
        <f t="shared" si="196"/>
        <v>HER42PB1C_82</v>
      </c>
      <c r="E613" s="27" t="s">
        <v>81</v>
      </c>
      <c r="F613" s="17">
        <v>82</v>
      </c>
      <c r="G613" s="20">
        <v>2.4</v>
      </c>
      <c r="H613" s="20">
        <v>2.25</v>
      </c>
      <c r="I613" s="20">
        <v>1.2</v>
      </c>
      <c r="J613" s="22">
        <f t="shared" si="194"/>
        <v>5.0920987500000008</v>
      </c>
      <c r="K613" s="53">
        <v>0.15833333333333321</v>
      </c>
      <c r="L613" s="45">
        <f t="shared" si="214"/>
        <v>9.4083333333333332</v>
      </c>
      <c r="M613" s="45">
        <f t="shared" si="215"/>
        <v>10.608333333333333</v>
      </c>
      <c r="N613" s="46">
        <f t="shared" si="216"/>
        <v>10.008333333333333</v>
      </c>
      <c r="O613" s="20">
        <f t="shared" si="213"/>
        <v>89.408333333333317</v>
      </c>
      <c r="P613" s="20">
        <f t="shared" si="207"/>
        <v>90.60833333333332</v>
      </c>
      <c r="Q613" s="20">
        <f t="shared" si="217"/>
        <v>90.008333333333326</v>
      </c>
      <c r="R613" s="20">
        <f t="shared" si="197"/>
        <v>89.408333333333317</v>
      </c>
      <c r="S613" s="20">
        <f t="shared" si="198"/>
        <v>90.008333333333326</v>
      </c>
      <c r="T613" s="20">
        <f t="shared" si="199"/>
        <v>90.008333333333326</v>
      </c>
      <c r="U613" s="20">
        <f t="shared" si="200"/>
        <v>90.008333333333326</v>
      </c>
      <c r="V613" s="22">
        <v>7.3806000000000003</v>
      </c>
      <c r="W613" s="22">
        <v>2.8391999999999999</v>
      </c>
      <c r="X613" s="23">
        <v>1.1476266666666668</v>
      </c>
      <c r="Y613" s="23">
        <f t="shared" si="208"/>
        <v>6.2329733333333337</v>
      </c>
      <c r="Z613" s="23">
        <f t="shared" si="209"/>
        <v>1.6915733333333332</v>
      </c>
      <c r="AA613" s="22">
        <f t="shared" si="210"/>
        <v>72.860892500743361</v>
      </c>
      <c r="AB613" s="22">
        <f t="shared" si="211"/>
        <v>27.139107499256639</v>
      </c>
      <c r="AC613" s="22">
        <f t="shared" si="201"/>
        <v>1.2240480083645928</v>
      </c>
      <c r="AD613" s="22">
        <f t="shared" si="202"/>
        <v>0.33219570483257671</v>
      </c>
      <c r="AE613" s="27">
        <v>12.614800000000001</v>
      </c>
      <c r="AF613" s="27">
        <v>12.7845</v>
      </c>
      <c r="AG613" s="27">
        <v>12.733599999999999</v>
      </c>
      <c r="AH613" s="26">
        <v>0.1188</v>
      </c>
      <c r="AI613" s="26">
        <v>29.994107249999999</v>
      </c>
      <c r="AJ613" s="26">
        <f t="shared" si="203"/>
        <v>1.4997053625000001</v>
      </c>
      <c r="AK613" s="26">
        <f t="shared" si="204"/>
        <v>17.337634248554913</v>
      </c>
      <c r="AL613" s="26">
        <f t="shared" si="205"/>
        <v>1.5024034658876613</v>
      </c>
      <c r="AM613" s="17">
        <f t="shared" si="212"/>
        <v>0.5780346820809249</v>
      </c>
      <c r="AN613" s="17"/>
      <c r="AO613" s="27"/>
      <c r="AS613" s="49"/>
      <c r="AT613" s="25"/>
      <c r="AU613" s="17"/>
      <c r="AV613" s="17"/>
      <c r="AW613" s="17"/>
      <c r="AX613" s="27"/>
      <c r="BB613" s="17"/>
    </row>
    <row r="614" spans="1:54" x14ac:dyDescent="0.2">
      <c r="A614" s="17" t="s">
        <v>77</v>
      </c>
      <c r="B614" s="17" t="s">
        <v>78</v>
      </c>
      <c r="C614" s="17" t="str">
        <f t="shared" si="195"/>
        <v>HER42PB1C</v>
      </c>
      <c r="D614" s="17" t="str">
        <f t="shared" si="196"/>
        <v>HER42PB1C_83</v>
      </c>
      <c r="E614" s="27" t="s">
        <v>81</v>
      </c>
      <c r="F614" s="17">
        <v>83</v>
      </c>
      <c r="G614" s="20">
        <v>2.4</v>
      </c>
      <c r="H614" s="20">
        <v>2.2000000000000002</v>
      </c>
      <c r="I614" s="20">
        <v>1.2</v>
      </c>
      <c r="J614" s="22">
        <f t="shared" si="194"/>
        <v>4.9831799999999991</v>
      </c>
      <c r="K614" s="53">
        <v>0.15833333333333321</v>
      </c>
      <c r="L614" s="45">
        <f t="shared" si="214"/>
        <v>10.766666666666666</v>
      </c>
      <c r="M614" s="45">
        <f t="shared" si="215"/>
        <v>11.966666666666665</v>
      </c>
      <c r="N614" s="46">
        <f t="shared" si="216"/>
        <v>11.366666666666665</v>
      </c>
      <c r="O614" s="20">
        <f t="shared" si="213"/>
        <v>90.766666666666652</v>
      </c>
      <c r="P614" s="20">
        <f t="shared" si="207"/>
        <v>91.966666666666654</v>
      </c>
      <c r="Q614" s="20">
        <f t="shared" si="217"/>
        <v>91.366666666666646</v>
      </c>
      <c r="R614" s="20">
        <f t="shared" si="197"/>
        <v>90.766666666666652</v>
      </c>
      <c r="S614" s="20">
        <f t="shared" si="198"/>
        <v>91.366666666666646</v>
      </c>
      <c r="T614" s="20">
        <f t="shared" si="199"/>
        <v>91.366666666666646</v>
      </c>
      <c r="U614" s="20">
        <f t="shared" si="200"/>
        <v>91.366666666666646</v>
      </c>
      <c r="V614" s="22">
        <v>7.3727</v>
      </c>
      <c r="W614" s="22">
        <v>2.6993999999999998</v>
      </c>
      <c r="X614" s="23">
        <v>1.1476266666666668</v>
      </c>
      <c r="Y614" s="23">
        <f t="shared" si="208"/>
        <v>6.2250733333333335</v>
      </c>
      <c r="Z614" s="23">
        <f t="shared" si="209"/>
        <v>1.551773333333333</v>
      </c>
      <c r="AA614" s="22">
        <f t="shared" si="210"/>
        <v>75.072207984698451</v>
      </c>
      <c r="AB614" s="22">
        <f t="shared" si="211"/>
        <v>24.927792015301549</v>
      </c>
      <c r="AC614" s="22">
        <f t="shared" si="201"/>
        <v>1.2492170327648879</v>
      </c>
      <c r="AD614" s="22">
        <f t="shared" si="202"/>
        <v>0.31140222374735277</v>
      </c>
      <c r="AE614" s="27">
        <v>9.2380999999999993</v>
      </c>
      <c r="AF614" s="27">
        <v>9.3485999999999994</v>
      </c>
      <c r="AG614" s="27">
        <v>9.3140000000000001</v>
      </c>
      <c r="AH614" s="26">
        <v>7.5899999999999995E-2</v>
      </c>
      <c r="AI614" s="26">
        <v>31.312217189999998</v>
      </c>
      <c r="AJ614" s="26">
        <f t="shared" si="203"/>
        <v>1.5656108595</v>
      </c>
      <c r="AK614" s="26">
        <f t="shared" si="204"/>
        <v>18.099547508670522</v>
      </c>
      <c r="AL614" s="26">
        <f t="shared" si="205"/>
        <v>1.5681955756168708</v>
      </c>
      <c r="AM614" s="17">
        <f t="shared" si="212"/>
        <v>0.5780346820809249</v>
      </c>
      <c r="AN614" s="17"/>
      <c r="AO614" s="27"/>
      <c r="AS614" s="49"/>
      <c r="AT614" s="25"/>
      <c r="AU614" s="17"/>
      <c r="AV614" s="17"/>
      <c r="AW614" s="17"/>
      <c r="AX614" s="27"/>
      <c r="BB614" s="17"/>
    </row>
    <row r="615" spans="1:54" x14ac:dyDescent="0.2">
      <c r="A615" s="17" t="s">
        <v>77</v>
      </c>
      <c r="B615" s="17" t="s">
        <v>78</v>
      </c>
      <c r="C615" s="17" t="str">
        <f t="shared" si="195"/>
        <v>HER42PB1C</v>
      </c>
      <c r="D615" s="17" t="str">
        <f t="shared" si="196"/>
        <v>HER42PB1C_84</v>
      </c>
      <c r="E615" s="27" t="s">
        <v>81</v>
      </c>
      <c r="F615" s="17">
        <v>84</v>
      </c>
      <c r="G615" s="20">
        <v>2.4</v>
      </c>
      <c r="H615" s="20">
        <v>2.25</v>
      </c>
      <c r="I615" s="20">
        <v>1.2</v>
      </c>
      <c r="J615" s="22">
        <f t="shared" si="194"/>
        <v>5.0920987500000008</v>
      </c>
      <c r="K615" s="53">
        <v>0.15833333333333321</v>
      </c>
      <c r="L615" s="45">
        <f t="shared" si="214"/>
        <v>12.124999999999998</v>
      </c>
      <c r="M615" s="45">
        <f t="shared" si="215"/>
        <v>13.324999999999998</v>
      </c>
      <c r="N615" s="46">
        <f t="shared" si="216"/>
        <v>12.724999999999998</v>
      </c>
      <c r="O615" s="20">
        <f t="shared" si="213"/>
        <v>92.124999999999986</v>
      </c>
      <c r="P615" s="20">
        <f t="shared" si="207"/>
        <v>93.324999999999989</v>
      </c>
      <c r="Q615" s="20">
        <f t="shared" si="217"/>
        <v>92.724999999999994</v>
      </c>
      <c r="R615" s="20">
        <f t="shared" si="197"/>
        <v>92.124999999999986</v>
      </c>
      <c r="S615" s="20">
        <f t="shared" si="198"/>
        <v>92.724999999999994</v>
      </c>
      <c r="T615" s="20">
        <f t="shared" si="199"/>
        <v>92.724999999999994</v>
      </c>
      <c r="U615" s="20">
        <f t="shared" si="200"/>
        <v>92.724999999999994</v>
      </c>
      <c r="V615" s="22">
        <v>7.4287999999999998</v>
      </c>
      <c r="W615" s="22">
        <v>2.7770000000000001</v>
      </c>
      <c r="X615" s="23">
        <v>1.1476266666666668</v>
      </c>
      <c r="Y615" s="23">
        <f t="shared" si="208"/>
        <v>6.2811733333333333</v>
      </c>
      <c r="Z615" s="23">
        <f t="shared" si="209"/>
        <v>1.6293733333333333</v>
      </c>
      <c r="AA615" s="22">
        <f t="shared" si="210"/>
        <v>74.059411405087801</v>
      </c>
      <c r="AB615" s="22">
        <f t="shared" si="211"/>
        <v>25.940588594912199</v>
      </c>
      <c r="AC615" s="22">
        <f t="shared" si="201"/>
        <v>1.2335136535467488</v>
      </c>
      <c r="AD615" s="22">
        <f t="shared" si="202"/>
        <v>0.31998070212863272</v>
      </c>
      <c r="AE615" s="27">
        <v>16.217199999999998</v>
      </c>
      <c r="AF615" s="27">
        <v>16.447700000000001</v>
      </c>
      <c r="AG615" s="27">
        <v>16.375299999999999</v>
      </c>
      <c r="AH615" s="26">
        <v>0.15809999999999999</v>
      </c>
      <c r="AI615" s="26">
        <v>31.40997831</v>
      </c>
      <c r="AJ615" s="26">
        <f t="shared" si="203"/>
        <v>1.5704989155</v>
      </c>
      <c r="AK615" s="26">
        <f t="shared" si="204"/>
        <v>18.156056826589598</v>
      </c>
      <c r="AL615" s="26">
        <f t="shared" si="205"/>
        <v>1.5730756000862376</v>
      </c>
      <c r="AM615" s="17">
        <f t="shared" si="212"/>
        <v>0.5780346820809249</v>
      </c>
      <c r="AN615" s="17"/>
      <c r="AO615" s="27"/>
      <c r="AS615" s="49"/>
      <c r="AT615" s="25"/>
      <c r="AU615" s="17"/>
      <c r="AV615" s="17"/>
      <c r="AW615" s="17"/>
      <c r="AX615" s="27"/>
      <c r="BB615" s="17"/>
    </row>
    <row r="616" spans="1:54" x14ac:dyDescent="0.2">
      <c r="A616" s="17" t="s">
        <v>77</v>
      </c>
      <c r="B616" s="17" t="s">
        <v>78</v>
      </c>
      <c r="C616" s="17" t="str">
        <f t="shared" si="195"/>
        <v>HER42PB1C</v>
      </c>
      <c r="D616" s="17" t="str">
        <f t="shared" si="196"/>
        <v>HER42PB1C_85</v>
      </c>
      <c r="E616" s="27" t="s">
        <v>81</v>
      </c>
      <c r="F616" s="17">
        <v>85</v>
      </c>
      <c r="G616" s="20">
        <v>2.2999999999999998</v>
      </c>
      <c r="H616" s="20">
        <v>2.2000000000000002</v>
      </c>
      <c r="I616" s="20">
        <v>1.1499999999999999</v>
      </c>
      <c r="J616" s="22">
        <f t="shared" si="194"/>
        <v>4.5701718750000007</v>
      </c>
      <c r="K616" s="53">
        <v>0.15833333333333321</v>
      </c>
      <c r="L616" s="45">
        <f t="shared" si="214"/>
        <v>13.483333333333331</v>
      </c>
      <c r="M616" s="45">
        <f t="shared" si="215"/>
        <v>14.633333333333331</v>
      </c>
      <c r="N616" s="46">
        <f t="shared" si="216"/>
        <v>14.05833333333333</v>
      </c>
      <c r="O616" s="20">
        <f t="shared" si="213"/>
        <v>93.48333333333332</v>
      </c>
      <c r="P616" s="20">
        <f t="shared" si="207"/>
        <v>94.633333333333326</v>
      </c>
      <c r="Q616" s="20">
        <f t="shared" si="217"/>
        <v>94.058333333333323</v>
      </c>
      <c r="R616" s="20">
        <f t="shared" si="197"/>
        <v>93.48333333333332</v>
      </c>
      <c r="S616" s="20">
        <f t="shared" si="198"/>
        <v>94.058333333333323</v>
      </c>
      <c r="T616" s="20">
        <f t="shared" si="199"/>
        <v>94.058333333333323</v>
      </c>
      <c r="U616" s="20">
        <f t="shared" si="200"/>
        <v>94.058333333333323</v>
      </c>
      <c r="V616" s="22">
        <v>6.8536999999999999</v>
      </c>
      <c r="W616" s="22">
        <v>2.4742000000000002</v>
      </c>
      <c r="X616" s="23">
        <v>1.1476266666666668</v>
      </c>
      <c r="Y616" s="23">
        <f t="shared" si="208"/>
        <v>5.7060733333333333</v>
      </c>
      <c r="Z616" s="23">
        <f t="shared" si="209"/>
        <v>1.3265733333333334</v>
      </c>
      <c r="AA616" s="22">
        <f t="shared" si="210"/>
        <v>76.751554776139102</v>
      </c>
      <c r="AB616" s="22">
        <f t="shared" si="211"/>
        <v>23.248445223860898</v>
      </c>
      <c r="AC616" s="22">
        <f t="shared" si="201"/>
        <v>1.2485467701000486</v>
      </c>
      <c r="AD616" s="22">
        <f t="shared" si="202"/>
        <v>0.29026771194099416</v>
      </c>
      <c r="AE616" s="27">
        <v>17.055499999999999</v>
      </c>
      <c r="AF616" s="27">
        <v>17.179500000000001</v>
      </c>
      <c r="AG616" s="27">
        <v>17.131799999999998</v>
      </c>
      <c r="AH616" s="26">
        <v>7.6300000000000007E-2</v>
      </c>
      <c r="AI616" s="26">
        <v>38.467741940000003</v>
      </c>
      <c r="AJ616" s="26">
        <f t="shared" si="203"/>
        <v>1.9233870970000002</v>
      </c>
      <c r="AK616" s="26">
        <f t="shared" si="204"/>
        <v>22.235688982658964</v>
      </c>
      <c r="AL616" s="26">
        <f t="shared" si="205"/>
        <v>1.9254916060336613</v>
      </c>
      <c r="AM616" s="17">
        <f t="shared" si="212"/>
        <v>0.5780346820809249</v>
      </c>
      <c r="AN616" s="17"/>
      <c r="AO616" s="27"/>
      <c r="AS616" s="49"/>
      <c r="AT616" s="25"/>
      <c r="AU616" s="17"/>
      <c r="AV616" s="17"/>
      <c r="AW616" s="17"/>
      <c r="AX616" s="27"/>
      <c r="BB616" s="17"/>
    </row>
    <row r="617" spans="1:54" x14ac:dyDescent="0.2">
      <c r="A617" s="17" t="s">
        <v>77</v>
      </c>
      <c r="B617" s="17" t="s">
        <v>78</v>
      </c>
      <c r="C617" s="17" t="str">
        <f t="shared" si="195"/>
        <v>HER42PB1C</v>
      </c>
      <c r="D617" s="17" t="str">
        <f t="shared" si="196"/>
        <v>HER42PB1C_86</v>
      </c>
      <c r="E617" s="27" t="s">
        <v>81</v>
      </c>
      <c r="F617" s="17">
        <v>86</v>
      </c>
      <c r="G617" s="20">
        <v>2.35</v>
      </c>
      <c r="H617" s="20">
        <v>2.15</v>
      </c>
      <c r="I617" s="20">
        <v>1.25</v>
      </c>
      <c r="J617" s="22">
        <f t="shared" si="194"/>
        <v>4.9675781250000002</v>
      </c>
      <c r="K617" s="53">
        <v>0.15833333333333321</v>
      </c>
      <c r="L617" s="45">
        <f t="shared" si="214"/>
        <v>14.791666666666664</v>
      </c>
      <c r="M617" s="45">
        <f t="shared" si="215"/>
        <v>16.041666666666664</v>
      </c>
      <c r="N617" s="46">
        <f t="shared" si="216"/>
        <v>15.416666666666664</v>
      </c>
      <c r="O617" s="20">
        <f t="shared" si="213"/>
        <v>94.791666666666657</v>
      </c>
      <c r="P617" s="20">
        <f t="shared" si="207"/>
        <v>96.041666666666657</v>
      </c>
      <c r="Q617" s="20">
        <f t="shared" si="217"/>
        <v>95.416666666666657</v>
      </c>
      <c r="R617" s="20">
        <f t="shared" si="197"/>
        <v>94.791666666666657</v>
      </c>
      <c r="S617" s="20">
        <f t="shared" si="198"/>
        <v>95.416666666666657</v>
      </c>
      <c r="T617" s="20">
        <f t="shared" si="199"/>
        <v>95.416666666666657</v>
      </c>
      <c r="U617" s="20">
        <f t="shared" si="200"/>
        <v>95.416666666666657</v>
      </c>
      <c r="V617" s="22">
        <v>7.0294999999999996</v>
      </c>
      <c r="W617" s="22">
        <v>2.4859</v>
      </c>
      <c r="X617" s="23">
        <v>1.1476266666666668</v>
      </c>
      <c r="Y617" s="23">
        <f t="shared" si="208"/>
        <v>5.8818733333333331</v>
      </c>
      <c r="Z617" s="23">
        <f t="shared" si="209"/>
        <v>1.3382733333333332</v>
      </c>
      <c r="AA617" s="22">
        <f t="shared" si="210"/>
        <v>77.247498246023667</v>
      </c>
      <c r="AB617" s="22">
        <f t="shared" si="211"/>
        <v>22.752501753976333</v>
      </c>
      <c r="AC617" s="22">
        <f t="shared" si="201"/>
        <v>1.1840525071426697</v>
      </c>
      <c r="AD617" s="22">
        <f t="shared" si="202"/>
        <v>0.26940156745563676</v>
      </c>
      <c r="AE617" s="27">
        <v>17.078700000000001</v>
      </c>
      <c r="AF617" s="27">
        <v>17.1999</v>
      </c>
      <c r="AG617" s="27">
        <v>17.149899999999999</v>
      </c>
      <c r="AH617" s="26">
        <v>7.1199999999999999E-2</v>
      </c>
      <c r="AI617" s="26">
        <v>41.25412541</v>
      </c>
      <c r="AJ617" s="26">
        <f t="shared" si="203"/>
        <v>2.0627062705000001</v>
      </c>
      <c r="AK617" s="26">
        <f t="shared" si="204"/>
        <v>23.846315265895957</v>
      </c>
      <c r="AL617" s="26">
        <f t="shared" si="205"/>
        <v>2.0646687769131442</v>
      </c>
      <c r="AM617" s="17">
        <f t="shared" si="212"/>
        <v>0.5780346820809249</v>
      </c>
      <c r="AN617" s="17"/>
      <c r="AO617" s="27"/>
      <c r="AS617" s="49"/>
      <c r="AT617" s="25"/>
      <c r="AU617" s="17"/>
      <c r="AV617" s="17"/>
      <c r="AW617" s="17"/>
      <c r="AX617" s="27"/>
      <c r="BB617" s="17"/>
    </row>
    <row r="618" spans="1:54" x14ac:dyDescent="0.2">
      <c r="A618" s="17" t="s">
        <v>77</v>
      </c>
      <c r="B618" s="17" t="s">
        <v>78</v>
      </c>
      <c r="C618" s="17" t="str">
        <f t="shared" si="195"/>
        <v>HER42PB1C</v>
      </c>
      <c r="D618" s="17" t="str">
        <f t="shared" si="196"/>
        <v>HER42PB1C_87</v>
      </c>
      <c r="E618" s="27" t="s">
        <v>81</v>
      </c>
      <c r="F618" s="17">
        <v>87</v>
      </c>
      <c r="G618" s="20">
        <v>2.2999999999999998</v>
      </c>
      <c r="H618" s="20">
        <v>2.15</v>
      </c>
      <c r="I618" s="20">
        <v>1.2</v>
      </c>
      <c r="J618" s="22">
        <f t="shared" si="194"/>
        <v>4.6634887499999991</v>
      </c>
      <c r="K618" s="53">
        <v>0.15833333333333321</v>
      </c>
      <c r="L618" s="45">
        <f t="shared" si="214"/>
        <v>16.199999999999996</v>
      </c>
      <c r="M618" s="45">
        <f t="shared" si="215"/>
        <v>17.399999999999995</v>
      </c>
      <c r="N618" s="46">
        <f t="shared" si="216"/>
        <v>16.799999999999997</v>
      </c>
      <c r="O618" s="20">
        <f t="shared" si="213"/>
        <v>96.199999999999989</v>
      </c>
      <c r="P618" s="20">
        <f t="shared" si="207"/>
        <v>97.399999999999991</v>
      </c>
      <c r="Q618" s="20">
        <f t="shared" si="217"/>
        <v>96.799999999999983</v>
      </c>
      <c r="R618" s="20">
        <f t="shared" si="197"/>
        <v>96.199999999999989</v>
      </c>
      <c r="S618" s="20">
        <f t="shared" si="198"/>
        <v>96.799999999999983</v>
      </c>
      <c r="T618" s="20">
        <f t="shared" si="199"/>
        <v>96.799999999999983</v>
      </c>
      <c r="U618" s="20">
        <f t="shared" si="200"/>
        <v>96.799999999999983</v>
      </c>
      <c r="V618" s="22">
        <v>6.9387999999999996</v>
      </c>
      <c r="W618" s="22">
        <v>2.6349999999999998</v>
      </c>
      <c r="X618" s="23">
        <v>1.1476266666666668</v>
      </c>
      <c r="Y618" s="23">
        <f t="shared" si="208"/>
        <v>5.7911733333333331</v>
      </c>
      <c r="Z618" s="23">
        <f t="shared" si="209"/>
        <v>1.487373333333333</v>
      </c>
      <c r="AA618" s="22">
        <f t="shared" si="210"/>
        <v>74.316546100041904</v>
      </c>
      <c r="AB618" s="22">
        <f t="shared" si="211"/>
        <v>25.683453899958096</v>
      </c>
      <c r="AC618" s="22">
        <f t="shared" si="201"/>
        <v>1.2418113656505194</v>
      </c>
      <c r="AD618" s="22">
        <f t="shared" si="202"/>
        <v>0.31894004962129119</v>
      </c>
      <c r="AE618" s="27">
        <v>14.6196</v>
      </c>
      <c r="AF618" s="27">
        <v>14.752800000000001</v>
      </c>
      <c r="AG618" s="27">
        <v>14.706</v>
      </c>
      <c r="AH618" s="26">
        <v>8.6400000000000005E-2</v>
      </c>
      <c r="AI618" s="26">
        <v>35.135135140000003</v>
      </c>
      <c r="AJ618" s="26">
        <f t="shared" si="203"/>
        <v>1.7567567570000002</v>
      </c>
      <c r="AK618" s="26">
        <f t="shared" si="204"/>
        <v>20.309326670520235</v>
      </c>
      <c r="AL618" s="26">
        <f t="shared" si="205"/>
        <v>1.7590606309235501</v>
      </c>
      <c r="AM618" s="17">
        <f t="shared" si="212"/>
        <v>0.5780346820809249</v>
      </c>
      <c r="AN618" s="17"/>
      <c r="AO618" s="27"/>
      <c r="AS618" s="49"/>
      <c r="AT618" s="25"/>
      <c r="AU618" s="17"/>
      <c r="AV618" s="17"/>
      <c r="AW618" s="17"/>
      <c r="AX618" s="27"/>
      <c r="BB618" s="17"/>
    </row>
    <row r="619" spans="1:54" x14ac:dyDescent="0.2">
      <c r="A619" s="17" t="s">
        <v>77</v>
      </c>
      <c r="B619" s="17" t="s">
        <v>78</v>
      </c>
      <c r="C619" s="17" t="str">
        <f t="shared" si="195"/>
        <v>HER42PB1C</v>
      </c>
      <c r="D619" s="17" t="str">
        <f t="shared" si="196"/>
        <v>HER42PB1C_88</v>
      </c>
      <c r="E619" s="27" t="s">
        <v>81</v>
      </c>
      <c r="F619" s="17">
        <v>88</v>
      </c>
      <c r="G619" s="20">
        <v>2.2000000000000002</v>
      </c>
      <c r="H619" s="20">
        <v>2.2999999999999998</v>
      </c>
      <c r="I619" s="20">
        <v>1.1000000000000001</v>
      </c>
      <c r="J619" s="22">
        <f t="shared" si="194"/>
        <v>4.3714687500000009</v>
      </c>
      <c r="K619" s="53">
        <v>0.15833333333333321</v>
      </c>
      <c r="L619" s="45">
        <f t="shared" si="214"/>
        <v>17.55833333333333</v>
      </c>
      <c r="M619" s="45">
        <f t="shared" si="215"/>
        <v>18.658333333333331</v>
      </c>
      <c r="N619" s="46">
        <f t="shared" si="216"/>
        <v>18.108333333333331</v>
      </c>
      <c r="O619" s="20">
        <f t="shared" si="213"/>
        <v>97.558333333333323</v>
      </c>
      <c r="P619" s="20">
        <f t="shared" si="207"/>
        <v>98.658333333333317</v>
      </c>
      <c r="Q619" s="20">
        <f t="shared" si="217"/>
        <v>98.10833333333332</v>
      </c>
      <c r="R619" s="20">
        <f t="shared" si="197"/>
        <v>97.558333333333323</v>
      </c>
      <c r="S619" s="20">
        <f t="shared" si="198"/>
        <v>98.10833333333332</v>
      </c>
      <c r="T619" s="20">
        <f t="shared" si="199"/>
        <v>98.10833333333332</v>
      </c>
      <c r="U619" s="20">
        <f t="shared" si="200"/>
        <v>98.10833333333332</v>
      </c>
      <c r="V619" s="22">
        <v>7.1140999999999996</v>
      </c>
      <c r="W619" s="22">
        <v>2.8216999999999999</v>
      </c>
      <c r="X619" s="23">
        <v>1.1476266666666668</v>
      </c>
      <c r="Y619" s="23">
        <f t="shared" si="208"/>
        <v>5.9664733333333331</v>
      </c>
      <c r="Z619" s="23">
        <f t="shared" si="209"/>
        <v>1.6740733333333331</v>
      </c>
      <c r="AA619" s="22">
        <f t="shared" si="210"/>
        <v>71.941995885900212</v>
      </c>
      <c r="AB619" s="22">
        <f t="shared" si="211"/>
        <v>28.058004114099788</v>
      </c>
      <c r="AC619" s="22">
        <f t="shared" si="201"/>
        <v>1.3648669759639325</v>
      </c>
      <c r="AD619" s="22">
        <f t="shared" si="202"/>
        <v>0.38295443226794945</v>
      </c>
      <c r="AE619" s="27">
        <v>16.773399999999999</v>
      </c>
      <c r="AF619" s="27">
        <v>16.9663</v>
      </c>
      <c r="AG619" s="27">
        <v>16.905999999999999</v>
      </c>
      <c r="AH619" s="26">
        <v>0.1326</v>
      </c>
      <c r="AI619" s="26">
        <v>31.259720059999999</v>
      </c>
      <c r="AJ619" s="26">
        <f t="shared" si="203"/>
        <v>1.562986003</v>
      </c>
      <c r="AK619" s="26">
        <f t="shared" si="204"/>
        <v>18.069202346820809</v>
      </c>
      <c r="AL619" s="26">
        <f t="shared" si="205"/>
        <v>1.5655750526799781</v>
      </c>
      <c r="AM619" s="17">
        <f t="shared" si="212"/>
        <v>0.5780346820809249</v>
      </c>
      <c r="AN619" s="17"/>
      <c r="AO619" s="27"/>
      <c r="AS619" s="49"/>
      <c r="AT619" s="25"/>
      <c r="AU619" s="17"/>
      <c r="AV619" s="17"/>
      <c r="AW619" s="17"/>
      <c r="AX619" s="27"/>
      <c r="BB619" s="17"/>
    </row>
    <row r="620" spans="1:54" x14ac:dyDescent="0.2">
      <c r="A620" s="17" t="s">
        <v>77</v>
      </c>
      <c r="B620" s="17" t="s">
        <v>78</v>
      </c>
      <c r="C620" s="17" t="str">
        <f t="shared" si="195"/>
        <v>HER42PB1C</v>
      </c>
      <c r="D620" s="17" t="str">
        <f t="shared" si="196"/>
        <v>HER42PB1C_89</v>
      </c>
      <c r="E620" s="27" t="s">
        <v>81</v>
      </c>
      <c r="F620" s="17">
        <v>89</v>
      </c>
      <c r="G620" s="20">
        <v>2.2999999999999998</v>
      </c>
      <c r="H620" s="20">
        <v>2.2999999999999998</v>
      </c>
      <c r="I620" s="20">
        <v>1.2</v>
      </c>
      <c r="J620" s="22">
        <f t="shared" si="194"/>
        <v>4.9831799999999991</v>
      </c>
      <c r="K620" s="53">
        <v>0.15833333333333321</v>
      </c>
      <c r="L620" s="45">
        <f t="shared" si="214"/>
        <v>18.816666666666663</v>
      </c>
      <c r="M620" s="45">
        <f t="shared" si="215"/>
        <v>20.016666666666662</v>
      </c>
      <c r="N620" s="46">
        <f t="shared" si="216"/>
        <v>19.416666666666664</v>
      </c>
      <c r="O620" s="20">
        <f t="shared" si="213"/>
        <v>98.816666666666649</v>
      </c>
      <c r="P620" s="20">
        <f t="shared" si="207"/>
        <v>100.01666666666665</v>
      </c>
      <c r="Q620" s="20">
        <f t="shared" si="217"/>
        <v>99.416666666666657</v>
      </c>
      <c r="R620" s="20">
        <f t="shared" si="197"/>
        <v>98.816666666666649</v>
      </c>
      <c r="S620" s="20">
        <f t="shared" si="198"/>
        <v>99.416666666666657</v>
      </c>
      <c r="T620" s="20">
        <f t="shared" si="199"/>
        <v>99.416666666666657</v>
      </c>
      <c r="U620" s="20">
        <f t="shared" si="200"/>
        <v>99.416666666666657</v>
      </c>
      <c r="V620" s="22">
        <v>7.1264000000000003</v>
      </c>
      <c r="W620" s="22">
        <v>2.7218</v>
      </c>
      <c r="X620" s="23">
        <v>1.1476266666666668</v>
      </c>
      <c r="Y620" s="23">
        <f t="shared" si="208"/>
        <v>5.9787733333333337</v>
      </c>
      <c r="Z620" s="23">
        <f t="shared" si="209"/>
        <v>1.5741733333333332</v>
      </c>
      <c r="AA620" s="22">
        <f t="shared" si="210"/>
        <v>73.670630318816791</v>
      </c>
      <c r="AB620" s="22">
        <f t="shared" si="211"/>
        <v>26.329369681183209</v>
      </c>
      <c r="AC620" s="22">
        <f t="shared" si="201"/>
        <v>1.1997907627927016</v>
      </c>
      <c r="AD620" s="22">
        <f t="shared" si="202"/>
        <v>0.31589734533637825</v>
      </c>
      <c r="AE620" s="27">
        <v>16.819800000000001</v>
      </c>
      <c r="AF620" s="27">
        <v>17.0288</v>
      </c>
      <c r="AG620" s="27">
        <v>16.954999999999998</v>
      </c>
      <c r="AH620" s="26">
        <v>0.13519999999999999</v>
      </c>
      <c r="AI620" s="26">
        <v>35.311004779999998</v>
      </c>
      <c r="AJ620" s="26">
        <f t="shared" si="203"/>
        <v>1.765550239</v>
      </c>
      <c r="AK620" s="26">
        <f t="shared" si="204"/>
        <v>20.410985421965318</v>
      </c>
      <c r="AL620" s="26">
        <f t="shared" si="205"/>
        <v>1.7678426531886138</v>
      </c>
      <c r="AM620" s="17">
        <f t="shared" si="212"/>
        <v>0.5780346820809249</v>
      </c>
      <c r="AN620" s="17"/>
      <c r="AO620" s="27"/>
      <c r="AS620" s="49"/>
      <c r="AT620" s="25"/>
      <c r="AU620" s="17"/>
      <c r="AV620" s="17"/>
      <c r="AW620" s="17"/>
      <c r="AX620" s="27"/>
      <c r="BB620" s="17"/>
    </row>
    <row r="621" spans="1:54" x14ac:dyDescent="0.2">
      <c r="A621" s="17" t="s">
        <v>77</v>
      </c>
      <c r="B621" s="17" t="s">
        <v>78</v>
      </c>
      <c r="C621" s="17" t="str">
        <f t="shared" si="195"/>
        <v>HER42PB1C</v>
      </c>
      <c r="D621" s="17" t="str">
        <f t="shared" si="196"/>
        <v>HER42PB1C_90</v>
      </c>
      <c r="E621" s="27" t="s">
        <v>81</v>
      </c>
      <c r="F621" s="17">
        <v>90</v>
      </c>
      <c r="G621" s="20">
        <v>2.0499999999999998</v>
      </c>
      <c r="H621" s="20">
        <v>2.2999999999999998</v>
      </c>
      <c r="I621" s="20">
        <v>1.25</v>
      </c>
      <c r="J621" s="22">
        <f t="shared" si="194"/>
        <v>4.6419257812499986</v>
      </c>
      <c r="K621" s="53">
        <v>0.15833333333333321</v>
      </c>
      <c r="L621" s="45">
        <f t="shared" si="214"/>
        <v>20.174999999999997</v>
      </c>
      <c r="M621" s="45">
        <f t="shared" si="215"/>
        <v>21.424999999999997</v>
      </c>
      <c r="N621" s="46">
        <f t="shared" si="216"/>
        <v>20.799999999999997</v>
      </c>
      <c r="O621" s="20">
        <f t="shared" si="213"/>
        <v>100.17499999999998</v>
      </c>
      <c r="P621" s="20">
        <f t="shared" si="207"/>
        <v>101.42499999999998</v>
      </c>
      <c r="Q621" s="20">
        <f t="shared" si="217"/>
        <v>100.79999999999998</v>
      </c>
      <c r="R621" s="20">
        <f t="shared" si="197"/>
        <v>100.17499999999998</v>
      </c>
      <c r="S621" s="20">
        <f t="shared" si="198"/>
        <v>100.79999999999998</v>
      </c>
      <c r="T621" s="20">
        <f t="shared" si="199"/>
        <v>100.79999999999998</v>
      </c>
      <c r="U621" s="20">
        <f t="shared" si="200"/>
        <v>100.79999999999998</v>
      </c>
      <c r="V621" s="22">
        <v>7.3872999999999998</v>
      </c>
      <c r="W621" s="22">
        <v>2.9594999999999998</v>
      </c>
      <c r="X621" s="23">
        <v>1.1476266666666668</v>
      </c>
      <c r="Y621" s="23">
        <f t="shared" si="208"/>
        <v>6.2396733333333332</v>
      </c>
      <c r="Z621" s="23">
        <f t="shared" si="209"/>
        <v>1.811873333333333</v>
      </c>
      <c r="AA621" s="22">
        <f t="shared" si="210"/>
        <v>70.962048226883681</v>
      </c>
      <c r="AB621" s="22">
        <f t="shared" si="211"/>
        <v>29.037951773116319</v>
      </c>
      <c r="AC621" s="22">
        <f t="shared" si="201"/>
        <v>1.344199288695453</v>
      </c>
      <c r="AD621" s="22">
        <f t="shared" si="202"/>
        <v>0.39032794118595832</v>
      </c>
      <c r="AE621" s="27">
        <v>16.5077</v>
      </c>
      <c r="AF621" s="27">
        <v>16.7089</v>
      </c>
      <c r="AG621" s="27">
        <v>16.643999999999998</v>
      </c>
      <c r="AH621" s="26">
        <v>0.1363</v>
      </c>
      <c r="AI621" s="26">
        <v>32.256461229999999</v>
      </c>
      <c r="AJ621" s="26">
        <f t="shared" si="203"/>
        <v>1.6128230615000001</v>
      </c>
      <c r="AK621" s="26">
        <f t="shared" si="204"/>
        <v>18.645353312138731</v>
      </c>
      <c r="AL621" s="26">
        <f t="shared" si="205"/>
        <v>1.6153322344664065</v>
      </c>
      <c r="AM621" s="17">
        <f t="shared" si="212"/>
        <v>0.5780346820809249</v>
      </c>
      <c r="AN621" s="17"/>
      <c r="AO621" s="27"/>
      <c r="AS621" s="49"/>
      <c r="AT621" s="25"/>
      <c r="AU621" s="17"/>
      <c r="AV621" s="17"/>
      <c r="AW621" s="17"/>
      <c r="AX621" s="27"/>
      <c r="BB621" s="17"/>
    </row>
    <row r="622" spans="1:54" x14ac:dyDescent="0.2">
      <c r="A622" s="17" t="s">
        <v>77</v>
      </c>
      <c r="B622" s="17" t="s">
        <v>78</v>
      </c>
      <c r="C622" s="17" t="str">
        <f t="shared" si="195"/>
        <v>HER42PB1C</v>
      </c>
      <c r="D622" s="17" t="str">
        <f t="shared" si="196"/>
        <v>HER42PB1C_91</v>
      </c>
      <c r="E622" s="27" t="s">
        <v>81</v>
      </c>
      <c r="F622" s="17">
        <v>91</v>
      </c>
      <c r="G622" s="20">
        <v>2.2999999999999998</v>
      </c>
      <c r="H622" s="20">
        <v>2.1</v>
      </c>
      <c r="I622" s="20">
        <v>1.5</v>
      </c>
      <c r="J622" s="22">
        <f t="shared" si="194"/>
        <v>5.6991000000000014</v>
      </c>
      <c r="K622" s="53">
        <v>0.15833333333333321</v>
      </c>
      <c r="L622" s="45">
        <f t="shared" si="214"/>
        <v>21.583333333333329</v>
      </c>
      <c r="M622" s="45">
        <f t="shared" si="215"/>
        <v>23.083333333333329</v>
      </c>
      <c r="N622" s="46">
        <f t="shared" si="216"/>
        <v>22.333333333333329</v>
      </c>
      <c r="O622" s="20">
        <f t="shared" si="213"/>
        <v>101.58333333333331</v>
      </c>
      <c r="P622" s="20">
        <f t="shared" si="207"/>
        <v>103.08333333333331</v>
      </c>
      <c r="Q622" s="20">
        <f t="shared" si="217"/>
        <v>102.33333333333331</v>
      </c>
      <c r="R622" s="20">
        <f t="shared" si="197"/>
        <v>101.58333333333331</v>
      </c>
      <c r="S622" s="20">
        <f t="shared" si="198"/>
        <v>102.33333333333331</v>
      </c>
      <c r="T622" s="20">
        <f t="shared" si="199"/>
        <v>102.33333333333331</v>
      </c>
      <c r="U622" s="20">
        <f t="shared" si="200"/>
        <v>102.33333333333331</v>
      </c>
      <c r="V622" s="22">
        <v>6.6609999999999996</v>
      </c>
      <c r="W622" s="22">
        <v>2.4255</v>
      </c>
      <c r="X622" s="23">
        <v>1.1476266666666668</v>
      </c>
      <c r="Y622" s="23">
        <f t="shared" si="208"/>
        <v>5.513373333333333</v>
      </c>
      <c r="Z622" s="23">
        <f t="shared" si="209"/>
        <v>1.2778733333333332</v>
      </c>
      <c r="AA622" s="22">
        <f t="shared" si="210"/>
        <v>76.822296331586472</v>
      </c>
      <c r="AB622" s="22">
        <f t="shared" si="211"/>
        <v>23.177703668413528</v>
      </c>
      <c r="AC622" s="22">
        <f t="shared" si="201"/>
        <v>0.96741122867353291</v>
      </c>
      <c r="AD622" s="22">
        <f t="shared" si="202"/>
        <v>0.22422370783690984</v>
      </c>
      <c r="AE622" s="27">
        <v>16.290199999999999</v>
      </c>
      <c r="AF622" s="27">
        <v>16.512599999999999</v>
      </c>
      <c r="AG622" s="27">
        <v>16.4315</v>
      </c>
      <c r="AH622" s="26">
        <v>0.14130000000000001</v>
      </c>
      <c r="AI622" s="26">
        <v>36.465827339999997</v>
      </c>
      <c r="AJ622" s="26">
        <f t="shared" si="203"/>
        <v>1.8232913669999999</v>
      </c>
      <c r="AK622" s="26">
        <f t="shared" si="204"/>
        <v>21.078512913294798</v>
      </c>
      <c r="AL622" s="26">
        <f t="shared" si="205"/>
        <v>1.8255112733085843</v>
      </c>
      <c r="AM622" s="17">
        <f t="shared" si="212"/>
        <v>0.5780346820809249</v>
      </c>
      <c r="AN622" s="17"/>
      <c r="AO622" s="27"/>
      <c r="AS622" s="49"/>
      <c r="AT622" s="25"/>
      <c r="AU622" s="17"/>
      <c r="AV622" s="17"/>
      <c r="AW622" s="17"/>
      <c r="AX622" s="27"/>
      <c r="BB622" s="17"/>
    </row>
    <row r="623" spans="1:54" x14ac:dyDescent="0.2">
      <c r="A623" s="17" t="s">
        <v>77</v>
      </c>
      <c r="B623" s="17" t="s">
        <v>78</v>
      </c>
      <c r="C623" s="17" t="str">
        <f t="shared" si="195"/>
        <v>HER42PB1C</v>
      </c>
      <c r="D623" s="17" t="str">
        <f t="shared" si="196"/>
        <v>HER42PB1C_92</v>
      </c>
      <c r="E623" s="27" t="s">
        <v>81</v>
      </c>
      <c r="F623" s="17">
        <v>92</v>
      </c>
      <c r="G623" s="20">
        <v>2.1</v>
      </c>
      <c r="H623" s="20">
        <v>2.4</v>
      </c>
      <c r="I623" s="20">
        <v>1.1000000000000001</v>
      </c>
      <c r="J623" s="22">
        <f t="shared" si="194"/>
        <v>4.3714687500000009</v>
      </c>
      <c r="K623" s="53">
        <v>0.15833333333333321</v>
      </c>
      <c r="L623" s="45">
        <f t="shared" si="214"/>
        <v>23.24166666666666</v>
      </c>
      <c r="M623" s="45">
        <f t="shared" si="215"/>
        <v>24.341666666666661</v>
      </c>
      <c r="N623" s="46">
        <f t="shared" si="216"/>
        <v>23.791666666666661</v>
      </c>
      <c r="O623" s="20">
        <f t="shared" si="213"/>
        <v>103.24166666666665</v>
      </c>
      <c r="P623" s="20">
        <f t="shared" si="207"/>
        <v>104.34166666666664</v>
      </c>
      <c r="Q623" s="20">
        <f t="shared" si="217"/>
        <v>103.79166666666664</v>
      </c>
      <c r="R623" s="20">
        <f t="shared" si="197"/>
        <v>103.24166666666665</v>
      </c>
      <c r="S623" s="20">
        <f t="shared" si="198"/>
        <v>103.79166666666664</v>
      </c>
      <c r="T623" s="20">
        <f t="shared" si="199"/>
        <v>103.79166666666664</v>
      </c>
      <c r="U623" s="20">
        <f t="shared" si="200"/>
        <v>103.79166666666664</v>
      </c>
      <c r="V623" s="22">
        <v>7.3064999999999998</v>
      </c>
      <c r="W623" s="22">
        <v>2.4868000000000001</v>
      </c>
      <c r="X623" s="23">
        <v>1.1476266666666668</v>
      </c>
      <c r="Y623" s="23">
        <f t="shared" si="208"/>
        <v>6.1588733333333332</v>
      </c>
      <c r="Z623" s="23">
        <f t="shared" si="209"/>
        <v>1.3391733333333333</v>
      </c>
      <c r="AA623" s="22">
        <f t="shared" si="210"/>
        <v>78.256196209046891</v>
      </c>
      <c r="AB623" s="22">
        <f t="shared" si="211"/>
        <v>21.743803790953109</v>
      </c>
      <c r="AC623" s="22">
        <f t="shared" si="201"/>
        <v>1.4088796433311646</v>
      </c>
      <c r="AD623" s="22">
        <f t="shared" si="202"/>
        <v>0.30634402529660837</v>
      </c>
      <c r="AE623" s="27">
        <v>17.456800000000001</v>
      </c>
      <c r="AF623" s="27">
        <v>17.601099999999999</v>
      </c>
      <c r="AG623" s="27">
        <v>17.539300000000001</v>
      </c>
      <c r="AH623" s="26">
        <v>8.2500000000000004E-2</v>
      </c>
      <c r="AI623" s="26">
        <v>42.827442830000003</v>
      </c>
      <c r="AJ623" s="26">
        <f t="shared" si="203"/>
        <v>2.1413721415000002</v>
      </c>
      <c r="AK623" s="26">
        <f t="shared" si="204"/>
        <v>24.755747300578037</v>
      </c>
      <c r="AL623" s="26">
        <f t="shared" si="205"/>
        <v>2.1432626176911445</v>
      </c>
      <c r="AM623" s="17">
        <f t="shared" si="212"/>
        <v>0.5780346820809249</v>
      </c>
      <c r="AN623" s="17"/>
      <c r="AO623" s="27"/>
      <c r="AS623" s="49"/>
      <c r="AT623" s="25"/>
      <c r="AU623" s="17"/>
      <c r="AV623" s="17"/>
      <c r="AW623" s="17"/>
      <c r="AX623" s="27"/>
      <c r="BB623" s="17"/>
    </row>
    <row r="624" spans="1:54" x14ac:dyDescent="0.2">
      <c r="A624" s="17" t="s">
        <v>77</v>
      </c>
      <c r="B624" s="17" t="s">
        <v>78</v>
      </c>
      <c r="C624" s="17" t="str">
        <f t="shared" si="195"/>
        <v>HER42PB1C</v>
      </c>
      <c r="D624" s="17" t="str">
        <f t="shared" si="196"/>
        <v>HER42PB1C_93</v>
      </c>
      <c r="E624" s="27" t="s">
        <v>81</v>
      </c>
      <c r="F624" s="17">
        <v>93</v>
      </c>
      <c r="G624" s="20">
        <v>2.2000000000000002</v>
      </c>
      <c r="H624" s="20">
        <v>2.4</v>
      </c>
      <c r="I624" s="20">
        <v>1.1499999999999999</v>
      </c>
      <c r="J624" s="22">
        <f t="shared" si="194"/>
        <v>4.7755474999999992</v>
      </c>
      <c r="K624" s="53">
        <v>0.15833333333333321</v>
      </c>
      <c r="L624" s="45">
        <f t="shared" si="214"/>
        <v>24.499999999999993</v>
      </c>
      <c r="M624" s="45">
        <f t="shared" si="215"/>
        <v>25.649999999999991</v>
      </c>
      <c r="N624" s="46">
        <f t="shared" si="216"/>
        <v>25.074999999999992</v>
      </c>
      <c r="O624" s="20">
        <f t="shared" si="213"/>
        <v>104.49999999999997</v>
      </c>
      <c r="P624" s="20">
        <f t="shared" si="207"/>
        <v>105.64999999999998</v>
      </c>
      <c r="Q624" s="20">
        <f t="shared" si="217"/>
        <v>105.07499999999997</v>
      </c>
      <c r="R624" s="20">
        <f t="shared" si="197"/>
        <v>104.49999999999997</v>
      </c>
      <c r="S624" s="20">
        <f t="shared" si="198"/>
        <v>105.07499999999997</v>
      </c>
      <c r="T624" s="20">
        <f t="shared" si="199"/>
        <v>105.07499999999997</v>
      </c>
      <c r="U624" s="20">
        <f t="shared" si="200"/>
        <v>105.07499999999997</v>
      </c>
      <c r="V624" s="22">
        <v>7.4753999999999996</v>
      </c>
      <c r="W624" s="22">
        <v>2.5409000000000002</v>
      </c>
      <c r="X624" s="23">
        <v>1.1476266666666668</v>
      </c>
      <c r="Y624" s="23">
        <f t="shared" si="208"/>
        <v>6.327773333333333</v>
      </c>
      <c r="Z624" s="23">
        <f t="shared" si="209"/>
        <v>1.3932733333333334</v>
      </c>
      <c r="AA624" s="22">
        <f t="shared" si="210"/>
        <v>77.981617546351217</v>
      </c>
      <c r="AB624" s="22">
        <f t="shared" si="211"/>
        <v>22.018382453648783</v>
      </c>
      <c r="AC624" s="22">
        <f t="shared" si="201"/>
        <v>1.3250362044002983</v>
      </c>
      <c r="AD624" s="22">
        <f t="shared" si="202"/>
        <v>0.29175153913416912</v>
      </c>
      <c r="AE624" s="27">
        <v>15.6808</v>
      </c>
      <c r="AF624" s="27">
        <v>15.8522</v>
      </c>
      <c r="AG624" s="27">
        <v>15.787800000000001</v>
      </c>
      <c r="AH624" s="26">
        <v>0.107</v>
      </c>
      <c r="AI624" s="26">
        <v>37.572928820000001</v>
      </c>
      <c r="AJ624" s="26">
        <f t="shared" si="203"/>
        <v>1.8786464410000001</v>
      </c>
      <c r="AK624" s="26">
        <f t="shared" si="204"/>
        <v>21.718455965317922</v>
      </c>
      <c r="AL624" s="26">
        <f t="shared" si="205"/>
        <v>1.8808010129415518</v>
      </c>
      <c r="AM624" s="17">
        <f t="shared" si="212"/>
        <v>0.5780346820809249</v>
      </c>
      <c r="AN624" s="17"/>
      <c r="AO624" s="27"/>
      <c r="AS624" s="49"/>
      <c r="AT624" s="25"/>
      <c r="AU624" s="17"/>
      <c r="AV624" s="17"/>
      <c r="AW624" s="17"/>
      <c r="AX624" s="27"/>
      <c r="BB624" s="17"/>
    </row>
    <row r="625" spans="1:54" x14ac:dyDescent="0.2">
      <c r="A625" s="17" t="s">
        <v>77</v>
      </c>
      <c r="B625" s="17" t="s">
        <v>78</v>
      </c>
      <c r="C625" s="17" t="str">
        <f t="shared" si="195"/>
        <v>HER42PB1C</v>
      </c>
      <c r="D625" s="17" t="str">
        <f t="shared" si="196"/>
        <v>HER42PB1C_94</v>
      </c>
      <c r="E625" s="27" t="s">
        <v>81</v>
      </c>
      <c r="F625" s="17">
        <v>94</v>
      </c>
      <c r="G625" s="20">
        <v>2.1</v>
      </c>
      <c r="H625" s="20">
        <v>2.35</v>
      </c>
      <c r="I625" s="20">
        <v>1.2</v>
      </c>
      <c r="J625" s="22">
        <f t="shared" si="194"/>
        <v>4.6634887500000008</v>
      </c>
      <c r="K625" s="53">
        <v>0.15833333333333321</v>
      </c>
      <c r="L625" s="45">
        <f t="shared" si="214"/>
        <v>25.808333333333323</v>
      </c>
      <c r="M625" s="45">
        <f t="shared" si="215"/>
        <v>27.008333333333322</v>
      </c>
      <c r="N625" s="46">
        <f t="shared" si="216"/>
        <v>26.408333333333324</v>
      </c>
      <c r="O625" s="20">
        <f t="shared" si="213"/>
        <v>105.80833333333331</v>
      </c>
      <c r="P625" s="20">
        <f t="shared" si="207"/>
        <v>107.00833333333331</v>
      </c>
      <c r="Q625" s="20">
        <f t="shared" si="217"/>
        <v>106.4083333333333</v>
      </c>
      <c r="R625" s="20">
        <f t="shared" si="197"/>
        <v>105.80833333333331</v>
      </c>
      <c r="S625" s="20">
        <f t="shared" si="198"/>
        <v>106.4083333333333</v>
      </c>
      <c r="T625" s="20">
        <f t="shared" si="199"/>
        <v>106.4083333333333</v>
      </c>
      <c r="U625" s="20">
        <f t="shared" si="200"/>
        <v>106.4083333333333</v>
      </c>
      <c r="V625" s="22">
        <v>7.5871000000000004</v>
      </c>
      <c r="W625" s="22">
        <v>2.5179</v>
      </c>
      <c r="X625" s="23">
        <v>1.1476266666666668</v>
      </c>
      <c r="Y625" s="23">
        <f t="shared" si="208"/>
        <v>6.4394733333333338</v>
      </c>
      <c r="Z625" s="23">
        <f t="shared" si="209"/>
        <v>1.3702733333333332</v>
      </c>
      <c r="AA625" s="22">
        <f t="shared" si="210"/>
        <v>78.72072353743215</v>
      </c>
      <c r="AB625" s="22">
        <f t="shared" si="211"/>
        <v>21.27927646256785</v>
      </c>
      <c r="AC625" s="22">
        <f t="shared" si="201"/>
        <v>1.3808274617009277</v>
      </c>
      <c r="AD625" s="22">
        <f t="shared" si="202"/>
        <v>0.29383009304639857</v>
      </c>
      <c r="AE625" s="27">
        <v>16.691099999999999</v>
      </c>
      <c r="AF625" s="27">
        <v>16.8246</v>
      </c>
      <c r="AG625" s="27">
        <v>16.767399999999999</v>
      </c>
      <c r="AH625" s="26">
        <v>7.6300000000000007E-2</v>
      </c>
      <c r="AI625" s="26">
        <v>42.846441949999999</v>
      </c>
      <c r="AJ625" s="26">
        <f t="shared" si="203"/>
        <v>2.1423220975000001</v>
      </c>
      <c r="AK625" s="26">
        <f t="shared" si="204"/>
        <v>24.766729450867054</v>
      </c>
      <c r="AL625" s="26">
        <f t="shared" si="205"/>
        <v>2.1442117361484616</v>
      </c>
      <c r="AM625" s="17">
        <f t="shared" si="212"/>
        <v>0.5780346820809249</v>
      </c>
      <c r="AN625" s="17"/>
      <c r="AO625" s="27"/>
      <c r="AS625" s="49"/>
      <c r="AT625" s="25"/>
      <c r="AU625" s="17"/>
      <c r="AV625" s="17"/>
      <c r="AW625" s="17"/>
      <c r="AX625" s="27"/>
      <c r="BB625" s="17"/>
    </row>
    <row r="626" spans="1:54" x14ac:dyDescent="0.2">
      <c r="A626" s="17" t="s">
        <v>77</v>
      </c>
      <c r="B626" s="17" t="s">
        <v>78</v>
      </c>
      <c r="C626" s="17" t="str">
        <f t="shared" si="195"/>
        <v>HER42PB1C</v>
      </c>
      <c r="D626" s="17" t="str">
        <f t="shared" si="196"/>
        <v>HER42PB1C_95</v>
      </c>
      <c r="E626" s="27" t="s">
        <v>81</v>
      </c>
      <c r="F626" s="17">
        <v>95</v>
      </c>
      <c r="G626" s="20">
        <v>2.1</v>
      </c>
      <c r="H626" s="20">
        <v>2.4</v>
      </c>
      <c r="I626" s="20">
        <v>1.2</v>
      </c>
      <c r="J626" s="22">
        <f t="shared" si="194"/>
        <v>4.7688749999999995</v>
      </c>
      <c r="K626" s="53">
        <v>0.15833333333333321</v>
      </c>
      <c r="L626" s="45">
        <f t="shared" si="214"/>
        <v>27.166666666666657</v>
      </c>
      <c r="M626" s="45">
        <f t="shared" si="215"/>
        <v>28.366666666666656</v>
      </c>
      <c r="N626" s="46">
        <f t="shared" si="216"/>
        <v>27.766666666666659</v>
      </c>
      <c r="O626" s="20">
        <f t="shared" si="213"/>
        <v>107.16666666666664</v>
      </c>
      <c r="P626" s="20">
        <f t="shared" si="207"/>
        <v>108.36666666666665</v>
      </c>
      <c r="Q626" s="20">
        <f t="shared" si="217"/>
        <v>107.76666666666665</v>
      </c>
      <c r="R626" s="20">
        <f t="shared" si="197"/>
        <v>107.16666666666664</v>
      </c>
      <c r="S626" s="20">
        <f t="shared" si="198"/>
        <v>107.76666666666665</v>
      </c>
      <c r="T626" s="20">
        <f t="shared" si="199"/>
        <v>107.76666666666665</v>
      </c>
      <c r="U626" s="20">
        <f t="shared" si="200"/>
        <v>107.76666666666665</v>
      </c>
      <c r="V626" s="22">
        <v>7.2234999999999996</v>
      </c>
      <c r="W626" s="22">
        <v>2.6516000000000002</v>
      </c>
      <c r="X626" s="23">
        <v>1.1476266666666668</v>
      </c>
      <c r="Y626" s="23">
        <f t="shared" si="208"/>
        <v>6.075873333333333</v>
      </c>
      <c r="Z626" s="23">
        <f t="shared" si="209"/>
        <v>1.5039733333333334</v>
      </c>
      <c r="AA626" s="22">
        <f t="shared" si="210"/>
        <v>75.246795796708511</v>
      </c>
      <c r="AB626" s="22">
        <f t="shared" si="211"/>
        <v>24.753204203291489</v>
      </c>
      <c r="AC626" s="22">
        <f t="shared" si="201"/>
        <v>1.2740684822590933</v>
      </c>
      <c r="AD626" s="22">
        <f t="shared" si="202"/>
        <v>0.31537277310336997</v>
      </c>
      <c r="AE626" s="27">
        <v>17.234500000000001</v>
      </c>
      <c r="AF626" s="27">
        <v>17.398299999999999</v>
      </c>
      <c r="AG626" s="27">
        <v>17.327300000000001</v>
      </c>
      <c r="AH626" s="26">
        <v>9.2799999999999994E-2</v>
      </c>
      <c r="AI626" s="26">
        <v>43.34554335</v>
      </c>
      <c r="AJ626" s="26">
        <f t="shared" si="203"/>
        <v>2.1672771675</v>
      </c>
      <c r="AK626" s="26">
        <f t="shared" si="204"/>
        <v>25.055227369942198</v>
      </c>
      <c r="AL626" s="26">
        <f t="shared" si="205"/>
        <v>2.1691450667871024</v>
      </c>
      <c r="AM626" s="17">
        <f t="shared" si="212"/>
        <v>0.5780346820809249</v>
      </c>
      <c r="AN626" s="17"/>
      <c r="AO626" s="27"/>
      <c r="AS626" s="49"/>
      <c r="AT626" s="25"/>
      <c r="AU626" s="17"/>
      <c r="AV626" s="17"/>
      <c r="AW626" s="17"/>
      <c r="AX626" s="27"/>
      <c r="BB626" s="17"/>
    </row>
    <row r="627" spans="1:54" x14ac:dyDescent="0.2">
      <c r="A627" s="17" t="s">
        <v>77</v>
      </c>
      <c r="B627" s="17" t="s">
        <v>78</v>
      </c>
      <c r="C627" s="17" t="str">
        <f t="shared" si="195"/>
        <v>HER42PB1C</v>
      </c>
      <c r="D627" s="17" t="str">
        <f t="shared" si="196"/>
        <v>HER42PB1C_96</v>
      </c>
      <c r="E627" s="27" t="s">
        <v>81</v>
      </c>
      <c r="F627" s="17">
        <v>96</v>
      </c>
      <c r="G627" s="20">
        <v>2.35</v>
      </c>
      <c r="H627" s="20">
        <v>2.1</v>
      </c>
      <c r="I627" s="20">
        <v>1.1499999999999999</v>
      </c>
      <c r="J627" s="22">
        <f t="shared" si="194"/>
        <v>4.4691767187500009</v>
      </c>
      <c r="K627" s="53">
        <v>0.15833333333333321</v>
      </c>
      <c r="L627" s="45">
        <f t="shared" si="214"/>
        <v>28.524999999999991</v>
      </c>
      <c r="M627" s="45">
        <f t="shared" si="215"/>
        <v>29.67499999999999</v>
      </c>
      <c r="N627" s="46">
        <f t="shared" si="216"/>
        <v>29.099999999999991</v>
      </c>
      <c r="O627" s="20">
        <f t="shared" si="213"/>
        <v>108.52499999999998</v>
      </c>
      <c r="P627" s="20">
        <f t="shared" si="207"/>
        <v>109.67499999999998</v>
      </c>
      <c r="Q627" s="20">
        <f t="shared" si="217"/>
        <v>109.09999999999998</v>
      </c>
      <c r="R627" s="20">
        <f t="shared" si="197"/>
        <v>108.52499999999998</v>
      </c>
      <c r="S627" s="20">
        <f t="shared" si="198"/>
        <v>109.09999999999998</v>
      </c>
      <c r="T627" s="20">
        <f t="shared" si="199"/>
        <v>109.09999999999998</v>
      </c>
      <c r="U627" s="20">
        <f t="shared" si="200"/>
        <v>109.09999999999998</v>
      </c>
      <c r="V627" s="22">
        <v>7.7634999999999996</v>
      </c>
      <c r="W627" s="22">
        <v>3.3344</v>
      </c>
      <c r="X627" s="23">
        <v>1.1476266666666668</v>
      </c>
      <c r="Y627" s="23">
        <f t="shared" si="208"/>
        <v>6.6158733333333331</v>
      </c>
      <c r="Z627" s="23">
        <f t="shared" si="209"/>
        <v>2.186773333333333</v>
      </c>
      <c r="AA627" s="22">
        <f t="shared" si="210"/>
        <v>66.94656588548149</v>
      </c>
      <c r="AB627" s="22">
        <f t="shared" si="211"/>
        <v>33.05343411451851</v>
      </c>
      <c r="AC627" s="22">
        <f t="shared" si="201"/>
        <v>1.4803337951656896</v>
      </c>
      <c r="AD627" s="22">
        <f t="shared" si="202"/>
        <v>0.48930115566004267</v>
      </c>
      <c r="AE627" s="27">
        <v>16.631699999999999</v>
      </c>
      <c r="AF627" s="27">
        <v>16.9161</v>
      </c>
      <c r="AG627" s="27">
        <v>16.8431</v>
      </c>
      <c r="AH627" s="26">
        <v>0.2114</v>
      </c>
      <c r="AI627" s="26">
        <v>25.668073140000001</v>
      </c>
      <c r="AJ627" s="26">
        <f t="shared" si="203"/>
        <v>1.283403657</v>
      </c>
      <c r="AK627" s="26">
        <f t="shared" si="204"/>
        <v>14.837036497109828</v>
      </c>
      <c r="AL627" s="26">
        <f t="shared" si="205"/>
        <v>1.2865554581132419</v>
      </c>
      <c r="AM627" s="17">
        <f t="shared" si="212"/>
        <v>0.5780346820809249</v>
      </c>
      <c r="AN627" s="17"/>
      <c r="AO627" s="27"/>
      <c r="AS627" s="49"/>
      <c r="AT627" s="25"/>
      <c r="AU627" s="17"/>
      <c r="AV627" s="17"/>
      <c r="AW627" s="17"/>
      <c r="AX627" s="27"/>
      <c r="BB627" s="17"/>
    </row>
    <row r="628" spans="1:54" x14ac:dyDescent="0.2">
      <c r="A628" s="17" t="s">
        <v>77</v>
      </c>
      <c r="B628" s="17" t="s">
        <v>78</v>
      </c>
      <c r="C628" s="17" t="str">
        <f t="shared" si="195"/>
        <v>HER42PB1C</v>
      </c>
      <c r="D628" s="17" t="str">
        <f t="shared" si="196"/>
        <v>HER42PB1C_97</v>
      </c>
      <c r="E628" s="27" t="s">
        <v>81</v>
      </c>
      <c r="F628" s="17">
        <v>97</v>
      </c>
      <c r="G628" s="20">
        <v>1.8</v>
      </c>
      <c r="H628" s="20">
        <v>2.2000000000000002</v>
      </c>
      <c r="I628" s="20">
        <v>1.1499999999999999</v>
      </c>
      <c r="J628" s="22">
        <f t="shared" si="194"/>
        <v>3.6109999999999998</v>
      </c>
      <c r="K628" s="53">
        <v>0.15833333333333321</v>
      </c>
      <c r="L628" s="45">
        <f t="shared" si="214"/>
        <v>29.833333333333321</v>
      </c>
      <c r="M628" s="45">
        <f t="shared" si="215"/>
        <v>30.98333333333332</v>
      </c>
      <c r="N628" s="46">
        <f t="shared" si="216"/>
        <v>30.408333333333321</v>
      </c>
      <c r="O628" s="20">
        <f t="shared" si="213"/>
        <v>109.83333333333331</v>
      </c>
      <c r="P628" s="20">
        <f t="shared" si="207"/>
        <v>110.98333333333332</v>
      </c>
      <c r="Q628" s="20">
        <f t="shared" si="217"/>
        <v>110.40833333333332</v>
      </c>
      <c r="R628" s="20">
        <f t="shared" si="197"/>
        <v>109.83333333333331</v>
      </c>
      <c r="S628" s="20">
        <f t="shared" si="198"/>
        <v>110.40833333333332</v>
      </c>
      <c r="T628" s="20">
        <f t="shared" si="199"/>
        <v>110.40833333333332</v>
      </c>
      <c r="U628" s="20">
        <f t="shared" si="200"/>
        <v>110.40833333333332</v>
      </c>
      <c r="V628" s="22">
        <v>7.1325000000000003</v>
      </c>
      <c r="W628" s="22">
        <v>3.3128000000000002</v>
      </c>
      <c r="X628" s="23">
        <v>1.1476266666666668</v>
      </c>
      <c r="Y628" s="23">
        <f t="shared" si="208"/>
        <v>5.9848733333333337</v>
      </c>
      <c r="Z628" s="23">
        <f t="shared" si="209"/>
        <v>2.1651733333333336</v>
      </c>
      <c r="AA628" s="22">
        <f t="shared" si="210"/>
        <v>63.82257045818848</v>
      </c>
      <c r="AB628" s="22">
        <f t="shared" si="211"/>
        <v>36.17742954181152</v>
      </c>
      <c r="AC628" s="22">
        <f t="shared" si="201"/>
        <v>1.6574005354010894</v>
      </c>
      <c r="AD628" s="22">
        <f t="shared" si="202"/>
        <v>0.59960491092033608</v>
      </c>
      <c r="AE628" s="27">
        <v>16.917400000000001</v>
      </c>
      <c r="AF628" s="27">
        <v>17.312200000000001</v>
      </c>
      <c r="AG628" s="27">
        <v>17.217199999999998</v>
      </c>
      <c r="AH628" s="26">
        <v>0.29980000000000001</v>
      </c>
      <c r="AI628" s="26">
        <v>24.06281662</v>
      </c>
      <c r="AJ628" s="26">
        <f t="shared" si="203"/>
        <v>1.203140831</v>
      </c>
      <c r="AK628" s="26">
        <f t="shared" si="204"/>
        <v>13.909142554913295</v>
      </c>
      <c r="AL628" s="26">
        <f t="shared" si="205"/>
        <v>1.2065023245810058</v>
      </c>
      <c r="AM628" s="17">
        <f t="shared" si="212"/>
        <v>0.5780346820809249</v>
      </c>
      <c r="AN628" s="17"/>
      <c r="AO628" s="27"/>
      <c r="AS628" s="49"/>
      <c r="AT628" s="25"/>
      <c r="AU628" s="17"/>
      <c r="AV628" s="17"/>
      <c r="AW628" s="17"/>
      <c r="AX628" s="27"/>
      <c r="BB628" s="17"/>
    </row>
    <row r="629" spans="1:54" x14ac:dyDescent="0.2">
      <c r="A629" s="17" t="s">
        <v>77</v>
      </c>
      <c r="B629" s="17" t="s">
        <v>78</v>
      </c>
      <c r="C629" s="17" t="str">
        <f t="shared" si="195"/>
        <v>HER42PB1C</v>
      </c>
      <c r="D629" s="17" t="str">
        <f t="shared" si="196"/>
        <v>HER42PB1C_98</v>
      </c>
      <c r="E629" s="27" t="s">
        <v>81</v>
      </c>
      <c r="F629" s="17">
        <v>98</v>
      </c>
      <c r="G629" s="20">
        <v>1.9</v>
      </c>
      <c r="H629" s="20">
        <v>2.5</v>
      </c>
      <c r="I629" s="20">
        <v>1.2</v>
      </c>
      <c r="J629" s="22">
        <f t="shared" si="194"/>
        <v>4.5592800000000011</v>
      </c>
      <c r="K629" s="53">
        <v>0.15833333333333321</v>
      </c>
      <c r="L629" s="45">
        <f t="shared" si="214"/>
        <v>31.141666666666652</v>
      </c>
      <c r="M629" s="45">
        <f t="shared" si="215"/>
        <v>32.341666666666654</v>
      </c>
      <c r="N629" s="46">
        <f t="shared" si="216"/>
        <v>31.741666666666653</v>
      </c>
      <c r="O629" s="20">
        <f t="shared" si="213"/>
        <v>111.14166666666665</v>
      </c>
      <c r="P629" s="20">
        <f t="shared" si="207"/>
        <v>112.34166666666665</v>
      </c>
      <c r="Q629" s="20">
        <f t="shared" si="217"/>
        <v>111.74166666666665</v>
      </c>
      <c r="R629" s="20">
        <f t="shared" si="197"/>
        <v>111.14166666666665</v>
      </c>
      <c r="S629" s="20">
        <f t="shared" si="198"/>
        <v>111.74166666666665</v>
      </c>
      <c r="T629" s="20">
        <f t="shared" si="199"/>
        <v>111.74166666666665</v>
      </c>
      <c r="U629" s="20">
        <f t="shared" si="200"/>
        <v>111.74166666666665</v>
      </c>
      <c r="V629" s="22">
        <v>7.3087999999999997</v>
      </c>
      <c r="W629" s="22">
        <v>3.7816999999999998</v>
      </c>
      <c r="X629" s="23">
        <v>1.1476266666666668</v>
      </c>
      <c r="Y629" s="23">
        <f t="shared" si="208"/>
        <v>6.1611733333333332</v>
      </c>
      <c r="Z629" s="23">
        <f t="shared" si="209"/>
        <v>2.6340733333333333</v>
      </c>
      <c r="AA629" s="22">
        <f t="shared" si="210"/>
        <v>57.247212652135524</v>
      </c>
      <c r="AB629" s="22">
        <f t="shared" si="211"/>
        <v>42.752787347864476</v>
      </c>
      <c r="AC629" s="22">
        <f t="shared" si="201"/>
        <v>1.3513478736408668</v>
      </c>
      <c r="AD629" s="22">
        <f t="shared" si="202"/>
        <v>0.57773888274756813</v>
      </c>
      <c r="AE629" s="27">
        <v>16.767600000000002</v>
      </c>
      <c r="AF629" s="27">
        <v>17.147099999999998</v>
      </c>
      <c r="AG629" s="27">
        <v>17.051400000000001</v>
      </c>
      <c r="AH629" s="26">
        <v>0.2838</v>
      </c>
      <c r="AI629" s="26">
        <v>25.217391299999999</v>
      </c>
      <c r="AJ629" s="26">
        <f t="shared" si="203"/>
        <v>1.2608695650000001</v>
      </c>
      <c r="AK629" s="26">
        <f t="shared" si="204"/>
        <v>14.576526763005781</v>
      </c>
      <c r="AL629" s="26">
        <f t="shared" si="205"/>
        <v>1.2640775529781745</v>
      </c>
      <c r="AM629" s="17">
        <f t="shared" si="212"/>
        <v>0.5780346820809249</v>
      </c>
      <c r="AN629" s="17"/>
      <c r="AO629" s="27"/>
      <c r="AS629" s="49"/>
      <c r="AT629" s="25"/>
      <c r="AU629" s="17"/>
      <c r="AV629" s="17"/>
      <c r="AW629" s="17"/>
      <c r="AX629" s="27"/>
      <c r="BB629" s="17"/>
    </row>
    <row r="630" spans="1:54" x14ac:dyDescent="0.2">
      <c r="A630" s="17" t="s">
        <v>77</v>
      </c>
      <c r="B630" s="17" t="s">
        <v>78</v>
      </c>
      <c r="C630" s="17" t="str">
        <f t="shared" si="195"/>
        <v>HER42PB1C</v>
      </c>
      <c r="D630" s="17" t="str">
        <f t="shared" si="196"/>
        <v>HER42PB1C_99</v>
      </c>
      <c r="E630" s="27" t="s">
        <v>81</v>
      </c>
      <c r="F630" s="17">
        <v>99</v>
      </c>
      <c r="G630" s="20">
        <v>2.1</v>
      </c>
      <c r="H630" s="20">
        <v>2.2999999999999998</v>
      </c>
      <c r="I630" s="20">
        <v>1.2</v>
      </c>
      <c r="J630" s="22">
        <f t="shared" si="194"/>
        <v>4.5592800000000011</v>
      </c>
      <c r="K630" s="53">
        <v>0.15833333333333321</v>
      </c>
      <c r="L630" s="45">
        <f t="shared" si="214"/>
        <v>32.499999999999986</v>
      </c>
      <c r="M630" s="45">
        <f t="shared" si="215"/>
        <v>33.699999999999989</v>
      </c>
      <c r="N630" s="46">
        <f t="shared" si="216"/>
        <v>33.099999999999987</v>
      </c>
      <c r="O630" s="20">
        <f t="shared" si="213"/>
        <v>112.49999999999999</v>
      </c>
      <c r="P630" s="20">
        <f t="shared" si="207"/>
        <v>113.69999999999999</v>
      </c>
      <c r="Q630" s="20">
        <f t="shared" si="217"/>
        <v>113.1</v>
      </c>
      <c r="R630" s="20">
        <f t="shared" si="197"/>
        <v>112.49999999999999</v>
      </c>
      <c r="S630" s="20">
        <f t="shared" si="198"/>
        <v>113.1</v>
      </c>
      <c r="T630" s="20">
        <f t="shared" si="199"/>
        <v>113.1</v>
      </c>
      <c r="U630" s="20">
        <f t="shared" si="200"/>
        <v>113.1</v>
      </c>
      <c r="V630" s="22">
        <v>7.0773999999999999</v>
      </c>
      <c r="W630" s="22">
        <v>2.8174999999999999</v>
      </c>
      <c r="X630" s="23">
        <v>1.1476266666666668</v>
      </c>
      <c r="Y630" s="23">
        <f t="shared" si="208"/>
        <v>5.9297733333333333</v>
      </c>
      <c r="Z630" s="23">
        <f t="shared" si="209"/>
        <v>1.6698733333333331</v>
      </c>
      <c r="AA630" s="22">
        <f t="shared" si="210"/>
        <v>71.839170918281297</v>
      </c>
      <c r="AB630" s="22">
        <f t="shared" si="211"/>
        <v>28.160829081718703</v>
      </c>
      <c r="AC630" s="22">
        <f t="shared" si="201"/>
        <v>1.3005942458750794</v>
      </c>
      <c r="AD630" s="22">
        <f t="shared" si="202"/>
        <v>0.36625812262754925</v>
      </c>
      <c r="AE630" s="27">
        <v>15.848800000000001</v>
      </c>
      <c r="AF630" s="27">
        <v>16.103400000000001</v>
      </c>
      <c r="AG630" s="27">
        <v>16.003299999999999</v>
      </c>
      <c r="AH630" s="26">
        <v>0.1545</v>
      </c>
      <c r="AI630" s="26">
        <v>39.316575020000002</v>
      </c>
      <c r="AJ630" s="26">
        <f t="shared" si="203"/>
        <v>1.9658287510000001</v>
      </c>
      <c r="AK630" s="26">
        <f t="shared" si="204"/>
        <v>22.726343942196536</v>
      </c>
      <c r="AL630" s="26">
        <f t="shared" si="205"/>
        <v>1.9678878723794759</v>
      </c>
      <c r="AM630" s="17">
        <f t="shared" si="212"/>
        <v>0.5780346820809249</v>
      </c>
      <c r="AN630" s="17"/>
      <c r="AO630" s="27"/>
      <c r="AS630" s="49"/>
      <c r="AT630" s="25"/>
      <c r="AU630" s="17"/>
      <c r="AV630" s="17"/>
      <c r="AW630" s="17"/>
      <c r="AX630" s="27"/>
      <c r="BB630" s="17"/>
    </row>
    <row r="631" spans="1:54" x14ac:dyDescent="0.2">
      <c r="A631" s="17" t="s">
        <v>77</v>
      </c>
      <c r="B631" s="17" t="s">
        <v>78</v>
      </c>
      <c r="C631" s="17" t="str">
        <f t="shared" si="195"/>
        <v>HER42PB1C</v>
      </c>
      <c r="D631" s="17" t="str">
        <f t="shared" si="196"/>
        <v>HER42PB1C_100</v>
      </c>
      <c r="E631" s="27" t="s">
        <v>81</v>
      </c>
      <c r="F631" s="17">
        <v>100</v>
      </c>
      <c r="G631" s="20">
        <v>2</v>
      </c>
      <c r="H631" s="20">
        <v>2.2999999999999998</v>
      </c>
      <c r="I631" s="20">
        <v>1.1499999999999999</v>
      </c>
      <c r="J631" s="22">
        <f t="shared" si="194"/>
        <v>4.1729618749999995</v>
      </c>
      <c r="K631" s="53">
        <v>0.15833333333333321</v>
      </c>
      <c r="L631" s="45">
        <f t="shared" si="214"/>
        <v>33.85833333333332</v>
      </c>
      <c r="M631" s="45">
        <f t="shared" si="215"/>
        <v>35.008333333333319</v>
      </c>
      <c r="N631" s="46">
        <f t="shared" si="216"/>
        <v>34.433333333333323</v>
      </c>
      <c r="O631" s="20">
        <f t="shared" si="213"/>
        <v>113.85833333333332</v>
      </c>
      <c r="P631" s="20">
        <f t="shared" si="207"/>
        <v>115.00833333333333</v>
      </c>
      <c r="Q631" s="20">
        <f t="shared" si="217"/>
        <v>114.43333333333332</v>
      </c>
      <c r="R631" s="20">
        <f t="shared" si="197"/>
        <v>113.85833333333332</v>
      </c>
      <c r="S631" s="20">
        <f t="shared" si="198"/>
        <v>114.43333333333332</v>
      </c>
      <c r="T631" s="20">
        <f t="shared" si="199"/>
        <v>114.43333333333332</v>
      </c>
      <c r="U631" s="20">
        <f t="shared" si="200"/>
        <v>114.43333333333332</v>
      </c>
      <c r="V631" s="22">
        <v>6.8663999999999996</v>
      </c>
      <c r="W631" s="22">
        <v>2.8378999999999999</v>
      </c>
      <c r="X631" s="23">
        <v>1.1476266666666668</v>
      </c>
      <c r="Y631" s="23">
        <f t="shared" si="208"/>
        <v>5.718773333333333</v>
      </c>
      <c r="Z631" s="23">
        <f t="shared" si="209"/>
        <v>1.6902733333333331</v>
      </c>
      <c r="AA631" s="22">
        <f t="shared" si="210"/>
        <v>70.443428427541576</v>
      </c>
      <c r="AB631" s="22">
        <f t="shared" si="211"/>
        <v>29.556571572458424</v>
      </c>
      <c r="AC631" s="22">
        <f t="shared" si="201"/>
        <v>1.3704350781621588</v>
      </c>
      <c r="AD631" s="22">
        <f t="shared" si="202"/>
        <v>0.40505362473107503</v>
      </c>
      <c r="AE631" s="27">
        <v>16.279699999999998</v>
      </c>
      <c r="AF631" s="27">
        <v>16.4938</v>
      </c>
      <c r="AG631" s="27">
        <v>16.409400000000002</v>
      </c>
      <c r="AH631" s="26">
        <v>0.12970000000000001</v>
      </c>
      <c r="AI631" s="26">
        <v>39.420831389999996</v>
      </c>
      <c r="AJ631" s="26">
        <f t="shared" si="203"/>
        <v>1.9710415694999999</v>
      </c>
      <c r="AK631" s="26">
        <f t="shared" si="204"/>
        <v>22.786607739884392</v>
      </c>
      <c r="AL631" s="26">
        <f t="shared" si="205"/>
        <v>1.9730952507917663</v>
      </c>
      <c r="AM631" s="17">
        <f t="shared" si="212"/>
        <v>0.5780346820809249</v>
      </c>
      <c r="AN631" s="17"/>
      <c r="AO631" s="27"/>
      <c r="AS631" s="49"/>
      <c r="AT631" s="25"/>
      <c r="AU631" s="17"/>
      <c r="AV631" s="17"/>
      <c r="AW631" s="17"/>
      <c r="AX631" s="27"/>
      <c r="BB631" s="17"/>
    </row>
    <row r="632" spans="1:54" x14ac:dyDescent="0.2">
      <c r="A632" s="17" t="s">
        <v>77</v>
      </c>
      <c r="B632" s="17" t="s">
        <v>78</v>
      </c>
      <c r="C632" s="17" t="str">
        <f t="shared" si="195"/>
        <v>HER42PB1C</v>
      </c>
      <c r="D632" s="17" t="str">
        <f t="shared" si="196"/>
        <v>HER42PB1C_101</v>
      </c>
      <c r="E632" s="27" t="s">
        <v>81</v>
      </c>
      <c r="F632" s="17">
        <v>101</v>
      </c>
      <c r="G632" s="20">
        <v>2.1</v>
      </c>
      <c r="H632" s="20">
        <v>2.2000000000000002</v>
      </c>
      <c r="I632" s="20">
        <v>1.2</v>
      </c>
      <c r="J632" s="22">
        <f t="shared" si="194"/>
        <v>4.3543950000000011</v>
      </c>
      <c r="K632" s="53">
        <v>0.15833333333333321</v>
      </c>
      <c r="L632" s="45">
        <f t="shared" si="214"/>
        <v>35.16666666666665</v>
      </c>
      <c r="M632" s="45">
        <f t="shared" si="215"/>
        <v>36.366666666666653</v>
      </c>
      <c r="N632" s="46">
        <f t="shared" si="216"/>
        <v>35.766666666666652</v>
      </c>
      <c r="O632" s="20">
        <f t="shared" si="213"/>
        <v>115.16666666666666</v>
      </c>
      <c r="P632" s="20">
        <f t="shared" si="207"/>
        <v>116.36666666666666</v>
      </c>
      <c r="Q632" s="20">
        <f t="shared" si="217"/>
        <v>115.76666666666665</v>
      </c>
      <c r="R632" s="20">
        <f t="shared" si="197"/>
        <v>115.16666666666666</v>
      </c>
      <c r="S632" s="20">
        <f t="shared" si="198"/>
        <v>115.76666666666665</v>
      </c>
      <c r="T632" s="20">
        <f t="shared" si="199"/>
        <v>115.76666666666665</v>
      </c>
      <c r="U632" s="20">
        <f t="shared" si="200"/>
        <v>115.76666666666665</v>
      </c>
      <c r="V632" s="22">
        <v>7.2331000000000003</v>
      </c>
      <c r="W632" s="22">
        <v>2.9011999999999998</v>
      </c>
      <c r="X632" s="23">
        <v>1.1476266666666668</v>
      </c>
      <c r="Y632" s="23">
        <f t="shared" si="208"/>
        <v>6.0854733333333337</v>
      </c>
      <c r="Z632" s="23">
        <f t="shared" si="209"/>
        <v>1.753573333333333</v>
      </c>
      <c r="AA632" s="22">
        <f t="shared" si="210"/>
        <v>71.18427380614601</v>
      </c>
      <c r="AB632" s="22">
        <f t="shared" si="211"/>
        <v>28.81572619385399</v>
      </c>
      <c r="AC632" s="22">
        <f t="shared" si="201"/>
        <v>1.397547382204263</v>
      </c>
      <c r="AD632" s="22">
        <f t="shared" si="202"/>
        <v>0.40271342708535457</v>
      </c>
      <c r="AE632" s="27">
        <v>14.0366</v>
      </c>
      <c r="AF632" s="27">
        <v>14.216100000000001</v>
      </c>
      <c r="AG632" s="27">
        <v>14.153600000000001</v>
      </c>
      <c r="AH632" s="26">
        <v>0.11700000000000001</v>
      </c>
      <c r="AI632" s="26">
        <v>34.818941500000001</v>
      </c>
      <c r="AJ632" s="26">
        <f t="shared" si="203"/>
        <v>1.7409470750000002</v>
      </c>
      <c r="AK632" s="26">
        <f t="shared" si="204"/>
        <v>20.126555780346823</v>
      </c>
      <c r="AL632" s="26">
        <f t="shared" si="205"/>
        <v>1.7432718428148424</v>
      </c>
      <c r="AM632" s="17">
        <f t="shared" si="212"/>
        <v>0.5780346820809249</v>
      </c>
      <c r="AN632" s="17"/>
      <c r="AO632" s="27"/>
      <c r="AS632" s="49"/>
      <c r="AT632" s="25"/>
      <c r="AU632" s="17"/>
      <c r="AV632" s="17"/>
      <c r="AW632" s="17"/>
      <c r="AX632" s="27"/>
      <c r="BB632" s="17"/>
    </row>
    <row r="633" spans="1:54" x14ac:dyDescent="0.2">
      <c r="A633" s="17" t="s">
        <v>77</v>
      </c>
      <c r="B633" s="17" t="s">
        <v>78</v>
      </c>
      <c r="C633" s="17" t="str">
        <f t="shared" si="195"/>
        <v>HER42PB1C</v>
      </c>
      <c r="D633" s="17" t="str">
        <f t="shared" si="196"/>
        <v>HER42PB1C_102</v>
      </c>
      <c r="E633" s="27" t="s">
        <v>81</v>
      </c>
      <c r="F633" s="17">
        <v>102</v>
      </c>
      <c r="G633" s="20">
        <v>2.4</v>
      </c>
      <c r="H633" s="20">
        <v>2.2000000000000002</v>
      </c>
      <c r="I633" s="20">
        <v>1.2</v>
      </c>
      <c r="J633" s="22">
        <f t="shared" si="194"/>
        <v>4.9831799999999991</v>
      </c>
      <c r="K633" s="53">
        <v>0.15833333333333321</v>
      </c>
      <c r="L633" s="45">
        <f t="shared" si="214"/>
        <v>36.524999999999984</v>
      </c>
      <c r="M633" s="45">
        <f t="shared" si="215"/>
        <v>37.724999999999987</v>
      </c>
      <c r="N633" s="46">
        <f t="shared" si="216"/>
        <v>37.124999999999986</v>
      </c>
      <c r="O633" s="20">
        <f t="shared" si="213"/>
        <v>116.52499999999999</v>
      </c>
      <c r="P633" s="20">
        <f t="shared" si="207"/>
        <v>117.72499999999999</v>
      </c>
      <c r="Q633" s="20">
        <f t="shared" si="217"/>
        <v>117.125</v>
      </c>
      <c r="R633" s="20">
        <f t="shared" si="197"/>
        <v>116.52499999999999</v>
      </c>
      <c r="S633" s="20">
        <f t="shared" si="198"/>
        <v>117.125</v>
      </c>
      <c r="T633" s="20">
        <f t="shared" si="199"/>
        <v>117.125</v>
      </c>
      <c r="U633" s="20">
        <f t="shared" si="200"/>
        <v>117.125</v>
      </c>
      <c r="V633" s="22">
        <v>7.6485000000000003</v>
      </c>
      <c r="W633" s="22">
        <v>3.165</v>
      </c>
      <c r="X633" s="23">
        <v>1.1476266666666668</v>
      </c>
      <c r="Y633" s="23">
        <f t="shared" si="208"/>
        <v>6.5008733333333337</v>
      </c>
      <c r="Z633" s="23">
        <f t="shared" si="209"/>
        <v>2.0173733333333335</v>
      </c>
      <c r="AA633" s="22">
        <f t="shared" si="210"/>
        <v>68.967656653311195</v>
      </c>
      <c r="AB633" s="22">
        <f t="shared" si="211"/>
        <v>31.032343346688805</v>
      </c>
      <c r="AC633" s="22">
        <f t="shared" si="201"/>
        <v>1.3045632173297643</v>
      </c>
      <c r="AD633" s="22">
        <f t="shared" si="202"/>
        <v>0.40483653677638254</v>
      </c>
      <c r="AE633" s="27">
        <v>13.074400000000001</v>
      </c>
      <c r="AF633" s="27">
        <v>13.232799999999999</v>
      </c>
      <c r="AG633" s="27">
        <v>13.1783</v>
      </c>
      <c r="AH633" s="26">
        <v>0.10390000000000001</v>
      </c>
      <c r="AI633" s="26">
        <v>34.406565659999998</v>
      </c>
      <c r="AJ633" s="26">
        <f t="shared" si="203"/>
        <v>1.720328283</v>
      </c>
      <c r="AK633" s="26">
        <f t="shared" si="204"/>
        <v>19.888188242774568</v>
      </c>
      <c r="AL633" s="26">
        <f t="shared" si="205"/>
        <v>1.7226808762187291</v>
      </c>
      <c r="AM633" s="17">
        <f t="shared" si="212"/>
        <v>0.5780346820809249</v>
      </c>
      <c r="AN633" s="17"/>
      <c r="AO633" s="27"/>
      <c r="AS633" s="49"/>
      <c r="AT633" s="25"/>
      <c r="AU633" s="17"/>
      <c r="AV633" s="17"/>
      <c r="AW633" s="17"/>
      <c r="AX633" s="27"/>
      <c r="BB633" s="17"/>
    </row>
    <row r="634" spans="1:54" x14ac:dyDescent="0.2">
      <c r="A634" s="17" t="s">
        <v>77</v>
      </c>
      <c r="B634" s="17" t="s">
        <v>78</v>
      </c>
      <c r="C634" s="17" t="str">
        <f t="shared" si="195"/>
        <v>HER42PB1C</v>
      </c>
      <c r="D634" s="17" t="str">
        <f t="shared" si="196"/>
        <v>HER42PB1C_103</v>
      </c>
      <c r="E634" s="27" t="s">
        <v>81</v>
      </c>
      <c r="F634" s="17">
        <v>103</v>
      </c>
      <c r="G634" s="20">
        <v>2.1</v>
      </c>
      <c r="H634" s="20">
        <v>2.2000000000000002</v>
      </c>
      <c r="I634" s="20">
        <v>1.2</v>
      </c>
      <c r="J634" s="22">
        <f t="shared" si="194"/>
        <v>4.3543950000000011</v>
      </c>
      <c r="K634" s="53">
        <v>0.15833333333333321</v>
      </c>
      <c r="L634" s="45">
        <f t="shared" si="214"/>
        <v>37.883333333333319</v>
      </c>
      <c r="M634" s="45">
        <f t="shared" si="215"/>
        <v>39.083333333333321</v>
      </c>
      <c r="N634" s="46">
        <f t="shared" si="216"/>
        <v>38.48333333333332</v>
      </c>
      <c r="O634" s="20">
        <f t="shared" si="213"/>
        <v>117.88333333333333</v>
      </c>
      <c r="P634" s="20">
        <f t="shared" si="207"/>
        <v>119.08333333333333</v>
      </c>
      <c r="Q634" s="20">
        <f t="shared" si="217"/>
        <v>118.48333333333332</v>
      </c>
      <c r="R634" s="20">
        <f t="shared" si="197"/>
        <v>117.88333333333333</v>
      </c>
      <c r="S634" s="20">
        <f t="shared" si="198"/>
        <v>118.48333333333332</v>
      </c>
      <c r="T634" s="20">
        <f t="shared" si="199"/>
        <v>118.48333333333332</v>
      </c>
      <c r="U634" s="20">
        <f t="shared" si="200"/>
        <v>118.48333333333332</v>
      </c>
      <c r="V634" s="22">
        <v>6.8315000000000001</v>
      </c>
      <c r="W634" s="22">
        <v>2.5009000000000001</v>
      </c>
      <c r="X634" s="23">
        <v>1.1476266666666668</v>
      </c>
      <c r="Y634" s="23">
        <f t="shared" si="208"/>
        <v>5.6838733333333336</v>
      </c>
      <c r="Z634" s="23">
        <f t="shared" si="209"/>
        <v>1.3532733333333333</v>
      </c>
      <c r="AA634" s="22">
        <f t="shared" si="210"/>
        <v>76.191001206923445</v>
      </c>
      <c r="AB634" s="22">
        <f t="shared" si="211"/>
        <v>23.808998793076555</v>
      </c>
      <c r="AC634" s="22">
        <f t="shared" si="201"/>
        <v>1.3053187258696861</v>
      </c>
      <c r="AD634" s="22">
        <f t="shared" si="202"/>
        <v>0.31078331968811579</v>
      </c>
      <c r="AE634" s="27">
        <v>13.900700000000001</v>
      </c>
      <c r="AF634" s="27">
        <v>14.1233</v>
      </c>
      <c r="AG634" s="27">
        <v>14.038600000000001</v>
      </c>
      <c r="AH634" s="26">
        <v>0.13789999999999999</v>
      </c>
      <c r="AI634" s="26">
        <v>38.050314470000004</v>
      </c>
      <c r="AJ634" s="26">
        <f t="shared" si="203"/>
        <v>1.9025157235000003</v>
      </c>
      <c r="AK634" s="26">
        <f t="shared" si="204"/>
        <v>21.994401427745668</v>
      </c>
      <c r="AL634" s="26">
        <f t="shared" si="205"/>
        <v>1.9046432942062221</v>
      </c>
      <c r="AM634" s="17">
        <f t="shared" si="212"/>
        <v>0.5780346820809249</v>
      </c>
      <c r="AN634" s="17"/>
      <c r="AO634" s="27"/>
      <c r="AS634" s="49"/>
      <c r="AT634" s="25"/>
      <c r="AU634" s="17"/>
      <c r="AV634" s="17"/>
      <c r="AW634" s="17"/>
      <c r="AX634" s="27"/>
      <c r="BB634" s="17"/>
    </row>
    <row r="635" spans="1:54" x14ac:dyDescent="0.2">
      <c r="A635" s="17" t="s">
        <v>77</v>
      </c>
      <c r="B635" s="17" t="s">
        <v>78</v>
      </c>
      <c r="C635" s="17" t="str">
        <f t="shared" si="195"/>
        <v>HER42PB1C</v>
      </c>
      <c r="D635" s="17" t="str">
        <f t="shared" si="196"/>
        <v>HER42PB1C_104</v>
      </c>
      <c r="E635" s="27" t="s">
        <v>81</v>
      </c>
      <c r="F635" s="17">
        <v>104</v>
      </c>
      <c r="G635" s="20">
        <v>1.9</v>
      </c>
      <c r="H635" s="20">
        <v>2.5</v>
      </c>
      <c r="I635" s="20">
        <v>1.1000000000000001</v>
      </c>
      <c r="J635" s="22">
        <f t="shared" si="194"/>
        <v>4.1793400000000016</v>
      </c>
      <c r="K635" s="53">
        <v>0.15833333333333321</v>
      </c>
      <c r="L635" s="45">
        <f t="shared" si="214"/>
        <v>39.241666666666653</v>
      </c>
      <c r="M635" s="45">
        <f t="shared" si="215"/>
        <v>40.341666666666654</v>
      </c>
      <c r="N635" s="46">
        <f t="shared" si="216"/>
        <v>39.791666666666657</v>
      </c>
      <c r="O635" s="20">
        <f t="shared" si="213"/>
        <v>119.24166666666666</v>
      </c>
      <c r="P635" s="20">
        <f t="shared" si="207"/>
        <v>120.34166666666665</v>
      </c>
      <c r="Q635" s="20">
        <f t="shared" si="217"/>
        <v>119.79166666666666</v>
      </c>
      <c r="R635" s="20">
        <f t="shared" si="197"/>
        <v>119.24166666666666</v>
      </c>
      <c r="S635" s="20">
        <f t="shared" si="198"/>
        <v>119.79166666666666</v>
      </c>
      <c r="T635" s="20">
        <f t="shared" si="199"/>
        <v>119.79166666666666</v>
      </c>
      <c r="U635" s="20">
        <f t="shared" si="200"/>
        <v>119.79166666666666</v>
      </c>
      <c r="V635" s="22">
        <v>6.5251000000000001</v>
      </c>
      <c r="W635" s="22">
        <v>2.3934000000000002</v>
      </c>
      <c r="X635" s="23">
        <v>1.1476266666666668</v>
      </c>
      <c r="Y635" s="23">
        <f t="shared" si="208"/>
        <v>5.3774733333333335</v>
      </c>
      <c r="Z635" s="23">
        <f t="shared" si="209"/>
        <v>1.2457733333333334</v>
      </c>
      <c r="AA635" s="22">
        <f t="shared" si="210"/>
        <v>76.833481895462683</v>
      </c>
      <c r="AB635" s="22">
        <f t="shared" si="211"/>
        <v>23.166518104537317</v>
      </c>
      <c r="AC635" s="22">
        <f t="shared" si="201"/>
        <v>1.2866800340085591</v>
      </c>
      <c r="AD635" s="22">
        <f t="shared" si="202"/>
        <v>0.29807896302605985</v>
      </c>
      <c r="AE635" s="27">
        <v>17.389399999999998</v>
      </c>
      <c r="AF635" s="27">
        <v>17.620799999999999</v>
      </c>
      <c r="AG635" s="27">
        <v>17.528700000000001</v>
      </c>
      <c r="AH635" s="26">
        <v>0.13930000000000001</v>
      </c>
      <c r="AI635" s="26">
        <v>39.80121003</v>
      </c>
      <c r="AJ635" s="26">
        <f t="shared" si="203"/>
        <v>1.9900605015000001</v>
      </c>
      <c r="AK635" s="26">
        <f t="shared" si="204"/>
        <v>23.006479786127169</v>
      </c>
      <c r="AL635" s="26">
        <f t="shared" si="205"/>
        <v>1.9920945759753557</v>
      </c>
      <c r="AM635" s="17">
        <f t="shared" si="212"/>
        <v>0.5780346820809249</v>
      </c>
      <c r="AN635" s="17"/>
      <c r="AO635" s="27"/>
      <c r="AS635" s="49"/>
      <c r="AT635" s="25"/>
      <c r="AU635" s="17"/>
      <c r="AV635" s="17"/>
      <c r="AW635" s="17"/>
      <c r="AX635" s="27"/>
      <c r="BB635" s="17"/>
    </row>
    <row r="636" spans="1:54" x14ac:dyDescent="0.2">
      <c r="A636" s="17" t="s">
        <v>77</v>
      </c>
      <c r="B636" s="17" t="s">
        <v>78</v>
      </c>
      <c r="C636" s="17" t="str">
        <f t="shared" si="195"/>
        <v>HER42PB1C</v>
      </c>
      <c r="D636" s="17" t="str">
        <f t="shared" si="196"/>
        <v>HER42PB1C_105</v>
      </c>
      <c r="E636" s="27" t="s">
        <v>81</v>
      </c>
      <c r="F636" s="17">
        <v>105</v>
      </c>
      <c r="G636" s="20">
        <v>2</v>
      </c>
      <c r="H636" s="20">
        <v>2.1</v>
      </c>
      <c r="I636" s="20">
        <v>1.1000000000000001</v>
      </c>
      <c r="J636" s="22">
        <f t="shared" si="194"/>
        <v>3.6288587499999996</v>
      </c>
      <c r="K636" s="53">
        <v>0.15833333333333321</v>
      </c>
      <c r="L636" s="45">
        <f t="shared" si="214"/>
        <v>40.499999999999986</v>
      </c>
      <c r="M636" s="45">
        <f t="shared" si="215"/>
        <v>41.599999999999987</v>
      </c>
      <c r="N636" s="46">
        <f t="shared" si="216"/>
        <v>41.049999999999983</v>
      </c>
      <c r="O636" s="20">
        <f t="shared" si="213"/>
        <v>120.49999999999999</v>
      </c>
      <c r="P636" s="20">
        <f t="shared" si="207"/>
        <v>121.59999999999998</v>
      </c>
      <c r="Q636" s="20">
        <f t="shared" si="217"/>
        <v>121.04999999999998</v>
      </c>
      <c r="R636" s="20">
        <f t="shared" si="197"/>
        <v>120.49999999999999</v>
      </c>
      <c r="S636" s="20">
        <f t="shared" si="198"/>
        <v>121.04999999999998</v>
      </c>
      <c r="T636" s="20">
        <f t="shared" si="199"/>
        <v>121.04999999999998</v>
      </c>
      <c r="U636" s="20">
        <f t="shared" si="200"/>
        <v>121.04999999999998</v>
      </c>
      <c r="V636" s="22">
        <v>6.4771000000000001</v>
      </c>
      <c r="W636" s="22">
        <v>2.21</v>
      </c>
      <c r="X636" s="23">
        <v>1.1476266666666668</v>
      </c>
      <c r="Y636" s="23">
        <f t="shared" si="208"/>
        <v>5.3294733333333335</v>
      </c>
      <c r="Z636" s="23">
        <f t="shared" si="209"/>
        <v>1.0623733333333332</v>
      </c>
      <c r="AA636" s="22">
        <f t="shared" si="210"/>
        <v>80.06607282020363</v>
      </c>
      <c r="AB636" s="22">
        <f t="shared" si="211"/>
        <v>19.93392717979637</v>
      </c>
      <c r="AC636" s="22">
        <f t="shared" si="201"/>
        <v>1.468636202313836</v>
      </c>
      <c r="AD636" s="22">
        <f t="shared" si="202"/>
        <v>0.29275687110536702</v>
      </c>
      <c r="AE636" s="27">
        <v>14.7744</v>
      </c>
      <c r="AF636" s="27">
        <v>14.9971</v>
      </c>
      <c r="AG636" s="27">
        <v>14.8962</v>
      </c>
      <c r="AH636" s="26">
        <v>0.12180000000000001</v>
      </c>
      <c r="AI636" s="26">
        <v>45.307588680000002</v>
      </c>
      <c r="AJ636" s="26">
        <f t="shared" si="203"/>
        <v>2.2653794340000002</v>
      </c>
      <c r="AK636" s="26">
        <f t="shared" si="204"/>
        <v>26.189357618497112</v>
      </c>
      <c r="AL636" s="26">
        <f t="shared" si="205"/>
        <v>2.2671665091012088</v>
      </c>
      <c r="AM636" s="17">
        <f t="shared" si="212"/>
        <v>0.5780346820809249</v>
      </c>
      <c r="AN636" s="17"/>
      <c r="AO636" s="27"/>
      <c r="AS636" s="49"/>
      <c r="AT636" s="25"/>
      <c r="AU636" s="17"/>
      <c r="AV636" s="17"/>
      <c r="AW636" s="17"/>
      <c r="AX636" s="27"/>
      <c r="BB636" s="17"/>
    </row>
    <row r="637" spans="1:54" x14ac:dyDescent="0.2">
      <c r="A637" s="17" t="s">
        <v>77</v>
      </c>
      <c r="B637" s="17" t="s">
        <v>78</v>
      </c>
      <c r="C637" s="17" t="str">
        <f t="shared" si="195"/>
        <v>HER42PB1C</v>
      </c>
      <c r="D637" s="17" t="str">
        <f t="shared" si="196"/>
        <v>HER42PB1C_106</v>
      </c>
      <c r="E637" s="27" t="s">
        <v>81</v>
      </c>
      <c r="F637" s="17">
        <v>106</v>
      </c>
      <c r="G637" s="20">
        <v>2.1</v>
      </c>
      <c r="H637" s="20">
        <v>2.1</v>
      </c>
      <c r="I637" s="20">
        <v>1.2</v>
      </c>
      <c r="J637" s="22">
        <f t="shared" si="194"/>
        <v>4.1542200000000005</v>
      </c>
      <c r="K637" s="53">
        <v>0.15833333333333321</v>
      </c>
      <c r="L637" s="45">
        <f t="shared" si="214"/>
        <v>41.758333333333319</v>
      </c>
      <c r="M637" s="45">
        <f t="shared" si="215"/>
        <v>42.958333333333321</v>
      </c>
      <c r="N637" s="46">
        <f t="shared" si="216"/>
        <v>42.35833333333332</v>
      </c>
      <c r="O637" s="20">
        <f t="shared" si="213"/>
        <v>121.75833333333331</v>
      </c>
      <c r="P637" s="20">
        <f t="shared" si="207"/>
        <v>122.95833333333331</v>
      </c>
      <c r="Q637" s="20">
        <f t="shared" si="217"/>
        <v>122.35833333333332</v>
      </c>
      <c r="R637" s="20">
        <f t="shared" si="197"/>
        <v>121.75833333333331</v>
      </c>
      <c r="S637" s="20">
        <f t="shared" si="198"/>
        <v>122.35833333333332</v>
      </c>
      <c r="T637" s="20">
        <f t="shared" si="199"/>
        <v>122.35833333333332</v>
      </c>
      <c r="U637" s="20">
        <f t="shared" si="200"/>
        <v>122.35833333333332</v>
      </c>
      <c r="V637" s="22">
        <v>6.8174999999999999</v>
      </c>
      <c r="W637" s="22">
        <v>2.3096000000000001</v>
      </c>
      <c r="X637" s="23">
        <v>1.1476266666666668</v>
      </c>
      <c r="Y637" s="23">
        <f t="shared" si="208"/>
        <v>5.6698733333333333</v>
      </c>
      <c r="Z637" s="23">
        <f t="shared" si="209"/>
        <v>1.1619733333333333</v>
      </c>
      <c r="AA637" s="22">
        <f t="shared" si="210"/>
        <v>79.506185323364079</v>
      </c>
      <c r="AB637" s="22">
        <f t="shared" si="211"/>
        <v>20.493814676635921</v>
      </c>
      <c r="AC637" s="22">
        <f t="shared" si="201"/>
        <v>1.3648466699725419</v>
      </c>
      <c r="AD637" s="22">
        <f t="shared" si="202"/>
        <v>0.27970914716440948</v>
      </c>
      <c r="AE637" s="27">
        <v>16.629200000000001</v>
      </c>
      <c r="AF637" s="27">
        <v>16.7774</v>
      </c>
      <c r="AG637" s="27">
        <v>16.703800000000001</v>
      </c>
      <c r="AH637" s="26">
        <v>7.46E-2</v>
      </c>
      <c r="AI637" s="26">
        <v>49.662618080000001</v>
      </c>
      <c r="AJ637" s="26">
        <f t="shared" si="203"/>
        <v>2.4831309040000002</v>
      </c>
      <c r="AK637" s="26">
        <f t="shared" si="204"/>
        <v>28.706715653179195</v>
      </c>
      <c r="AL637" s="26">
        <f t="shared" si="205"/>
        <v>2.4847613741363292</v>
      </c>
      <c r="AM637" s="17">
        <f t="shared" si="212"/>
        <v>0.5780346820809249</v>
      </c>
      <c r="AN637" s="17"/>
      <c r="AO637" s="27"/>
      <c r="AS637" s="49"/>
      <c r="AT637" s="25"/>
      <c r="AU637" s="17"/>
      <c r="AV637" s="17"/>
      <c r="AW637" s="17"/>
      <c r="AX637" s="27"/>
      <c r="BB637" s="17"/>
    </row>
    <row r="638" spans="1:54" x14ac:dyDescent="0.2">
      <c r="A638" s="17" t="s">
        <v>77</v>
      </c>
      <c r="B638" s="17" t="s">
        <v>78</v>
      </c>
      <c r="C638" s="17" t="str">
        <f t="shared" si="195"/>
        <v>HER42PB1C</v>
      </c>
      <c r="D638" s="17" t="str">
        <f t="shared" si="196"/>
        <v>HER42PB1C_107</v>
      </c>
      <c r="E638" s="27" t="s">
        <v>81</v>
      </c>
      <c r="F638" s="17">
        <v>107</v>
      </c>
      <c r="G638" s="20">
        <v>2.2000000000000002</v>
      </c>
      <c r="H638" s="20">
        <v>2</v>
      </c>
      <c r="I638" s="20">
        <v>1.1000000000000001</v>
      </c>
      <c r="J638" s="22">
        <f t="shared" si="194"/>
        <v>3.8080350000000007</v>
      </c>
      <c r="K638" s="53">
        <v>0.15833333333333321</v>
      </c>
      <c r="L638" s="45">
        <f t="shared" si="214"/>
        <v>43.116666666666653</v>
      </c>
      <c r="M638" s="45">
        <f t="shared" si="215"/>
        <v>44.216666666666654</v>
      </c>
      <c r="N638" s="46">
        <f t="shared" si="216"/>
        <v>43.666666666666657</v>
      </c>
      <c r="O638" s="20">
        <f t="shared" si="213"/>
        <v>123.11666666666665</v>
      </c>
      <c r="P638" s="20">
        <f t="shared" si="207"/>
        <v>124.21666666666664</v>
      </c>
      <c r="Q638" s="20">
        <f t="shared" si="217"/>
        <v>123.66666666666664</v>
      </c>
      <c r="R638" s="20">
        <f t="shared" si="197"/>
        <v>123.11666666666665</v>
      </c>
      <c r="S638" s="20">
        <f t="shared" si="198"/>
        <v>123.66666666666664</v>
      </c>
      <c r="T638" s="20">
        <f t="shared" si="199"/>
        <v>123.66666666666664</v>
      </c>
      <c r="U638" s="20">
        <f t="shared" si="200"/>
        <v>123.66666666666664</v>
      </c>
      <c r="V638" s="22">
        <v>7.2380000000000004</v>
      </c>
      <c r="W638" s="22">
        <v>2.5992999999999999</v>
      </c>
      <c r="X638" s="23">
        <v>1.1476266666666668</v>
      </c>
      <c r="Y638" s="23">
        <f t="shared" si="208"/>
        <v>6.0903733333333339</v>
      </c>
      <c r="Z638" s="23">
        <f t="shared" si="209"/>
        <v>1.4516733333333331</v>
      </c>
      <c r="AA638" s="22">
        <f t="shared" si="210"/>
        <v>76.164460635144437</v>
      </c>
      <c r="AB638" s="22">
        <f t="shared" si="211"/>
        <v>23.835539364855563</v>
      </c>
      <c r="AC638" s="22">
        <f t="shared" si="201"/>
        <v>1.5993480452079176</v>
      </c>
      <c r="AD638" s="22">
        <f t="shared" si="202"/>
        <v>0.38121323289658127</v>
      </c>
      <c r="AE638" s="27">
        <v>13.504300000000001</v>
      </c>
      <c r="AF638" s="27">
        <v>13.7202</v>
      </c>
      <c r="AG638" s="27">
        <v>13.654500000000001</v>
      </c>
      <c r="AH638" s="26">
        <v>0.1502</v>
      </c>
      <c r="AI638" s="26">
        <v>30.43075498</v>
      </c>
      <c r="AJ638" s="26">
        <f t="shared" si="203"/>
        <v>1.5215377490000002</v>
      </c>
      <c r="AK638" s="26">
        <f t="shared" si="204"/>
        <v>17.590031780346823</v>
      </c>
      <c r="AL638" s="26">
        <f t="shared" si="205"/>
        <v>1.5241972056239927</v>
      </c>
      <c r="AM638" s="17">
        <f t="shared" si="212"/>
        <v>0.5780346820809249</v>
      </c>
      <c r="AN638" s="17"/>
      <c r="AO638" s="27"/>
      <c r="AS638" s="49"/>
      <c r="AT638" s="25"/>
      <c r="AU638" s="17"/>
      <c r="AV638" s="17"/>
      <c r="AW638" s="17"/>
      <c r="AX638" s="27"/>
      <c r="BB638" s="17"/>
    </row>
    <row r="639" spans="1:54" x14ac:dyDescent="0.2">
      <c r="A639" s="17" t="s">
        <v>77</v>
      </c>
      <c r="B639" s="17" t="s">
        <v>78</v>
      </c>
      <c r="C639" s="17" t="str">
        <f t="shared" si="195"/>
        <v>HER42PB1C</v>
      </c>
      <c r="D639" s="17" t="str">
        <f t="shared" si="196"/>
        <v>HER42PB1C_108</v>
      </c>
      <c r="E639" s="27" t="s">
        <v>81</v>
      </c>
      <c r="F639" s="17">
        <v>108</v>
      </c>
      <c r="G639" s="20">
        <v>1.9</v>
      </c>
      <c r="H639" s="20">
        <v>2.15</v>
      </c>
      <c r="I639" s="20">
        <v>1.05</v>
      </c>
      <c r="J639" s="22">
        <f t="shared" si="194"/>
        <v>3.3799401562500004</v>
      </c>
      <c r="K639" s="53">
        <v>0.15833333333333321</v>
      </c>
      <c r="L639" s="45">
        <f t="shared" si="214"/>
        <v>44.374999999999986</v>
      </c>
      <c r="M639" s="45">
        <f t="shared" si="215"/>
        <v>45.424999999999983</v>
      </c>
      <c r="N639" s="46">
        <f t="shared" si="216"/>
        <v>44.899999999999984</v>
      </c>
      <c r="O639" s="20">
        <f t="shared" si="213"/>
        <v>124.37499999999997</v>
      </c>
      <c r="P639" s="20">
        <f t="shared" si="207"/>
        <v>125.42499999999997</v>
      </c>
      <c r="Q639" s="20">
        <f t="shared" si="217"/>
        <v>124.89999999999998</v>
      </c>
      <c r="R639" s="20">
        <f t="shared" si="197"/>
        <v>124.37499999999997</v>
      </c>
      <c r="S639" s="20">
        <f t="shared" si="198"/>
        <v>124.89999999999998</v>
      </c>
      <c r="T639" s="20">
        <f t="shared" si="199"/>
        <v>124.89999999999998</v>
      </c>
      <c r="U639" s="20">
        <f t="shared" si="200"/>
        <v>124.89999999999998</v>
      </c>
      <c r="V639" s="22">
        <v>6.1371000000000002</v>
      </c>
      <c r="W639" s="22">
        <v>2.2654999999999998</v>
      </c>
      <c r="X639" s="23">
        <v>1.1476266666666668</v>
      </c>
      <c r="Y639" s="23">
        <f t="shared" si="208"/>
        <v>4.9894733333333336</v>
      </c>
      <c r="Z639" s="23">
        <f t="shared" si="209"/>
        <v>1.1178733333333331</v>
      </c>
      <c r="AA639" s="22">
        <f t="shared" si="210"/>
        <v>77.595364106565697</v>
      </c>
      <c r="AB639" s="22">
        <f t="shared" si="211"/>
        <v>22.404635893434303</v>
      </c>
      <c r="AC639" s="22">
        <f t="shared" si="201"/>
        <v>1.476201678928271</v>
      </c>
      <c r="AD639" s="22">
        <f t="shared" si="202"/>
        <v>0.33073761121664325</v>
      </c>
      <c r="AE639" s="27">
        <v>12.7666</v>
      </c>
      <c r="AF639" s="27">
        <v>12.9771</v>
      </c>
      <c r="AG639" s="27">
        <v>12.889699999999999</v>
      </c>
      <c r="AH639" s="26">
        <v>0.1231</v>
      </c>
      <c r="AI639" s="26">
        <v>41.520190020000001</v>
      </c>
      <c r="AJ639" s="26">
        <f t="shared" si="203"/>
        <v>2.0760095010000001</v>
      </c>
      <c r="AK639" s="26">
        <f t="shared" si="204"/>
        <v>24.000109838150291</v>
      </c>
      <c r="AL639" s="26">
        <f t="shared" si="205"/>
        <v>2.0779594433583801</v>
      </c>
      <c r="AM639" s="17">
        <f t="shared" si="212"/>
        <v>0.5780346820809249</v>
      </c>
      <c r="AN639" s="17"/>
      <c r="AO639" s="27"/>
      <c r="AS639" s="49"/>
      <c r="AT639" s="25"/>
      <c r="AU639" s="17"/>
      <c r="AV639" s="17"/>
      <c r="AW639" s="17"/>
      <c r="AX639" s="27"/>
      <c r="BB639" s="17"/>
    </row>
    <row r="640" spans="1:54" x14ac:dyDescent="0.2">
      <c r="A640" s="17" t="s">
        <v>77</v>
      </c>
      <c r="B640" s="17" t="s">
        <v>78</v>
      </c>
      <c r="C640" s="17" t="str">
        <f t="shared" si="195"/>
        <v>HER42PB1C</v>
      </c>
      <c r="D640" s="17" t="str">
        <f t="shared" si="196"/>
        <v>HER42PB1C_109</v>
      </c>
      <c r="E640" s="27" t="s">
        <v>81</v>
      </c>
      <c r="F640" s="17">
        <v>109</v>
      </c>
      <c r="G640" s="20">
        <v>2.1</v>
      </c>
      <c r="H640" s="20">
        <v>2.1</v>
      </c>
      <c r="I640" s="20">
        <v>1.1000000000000001</v>
      </c>
      <c r="J640" s="22">
        <f t="shared" si="194"/>
        <v>3.8080350000000007</v>
      </c>
      <c r="K640" s="53">
        <v>0.15833333333333321</v>
      </c>
      <c r="L640" s="45">
        <f t="shared" si="214"/>
        <v>45.583333333333314</v>
      </c>
      <c r="M640" s="45">
        <f t="shared" si="215"/>
        <v>46.683333333333316</v>
      </c>
      <c r="N640" s="46">
        <f t="shared" si="216"/>
        <v>46.133333333333312</v>
      </c>
      <c r="O640" s="20">
        <f t="shared" si="213"/>
        <v>125.5833333333333</v>
      </c>
      <c r="P640" s="20">
        <f t="shared" si="207"/>
        <v>126.68333333333329</v>
      </c>
      <c r="Q640" s="20">
        <f t="shared" si="217"/>
        <v>126.1333333333333</v>
      </c>
      <c r="R640" s="20">
        <f t="shared" si="197"/>
        <v>125.5833333333333</v>
      </c>
      <c r="S640" s="20">
        <f t="shared" si="198"/>
        <v>126.1333333333333</v>
      </c>
      <c r="T640" s="20">
        <f t="shared" si="199"/>
        <v>126.1333333333333</v>
      </c>
      <c r="U640" s="20">
        <f t="shared" si="200"/>
        <v>126.1333333333333</v>
      </c>
      <c r="V640" s="22">
        <v>7.1981999999999999</v>
      </c>
      <c r="W640" s="22">
        <v>2.6859999999999999</v>
      </c>
      <c r="X640" s="23">
        <v>1.1476266666666668</v>
      </c>
      <c r="Y640" s="23">
        <f t="shared" si="208"/>
        <v>6.0505733333333334</v>
      </c>
      <c r="Z640" s="23">
        <f t="shared" si="209"/>
        <v>1.5383733333333331</v>
      </c>
      <c r="AA640" s="22">
        <f t="shared" si="210"/>
        <v>74.574751042876372</v>
      </c>
      <c r="AB640" s="22">
        <f t="shared" si="211"/>
        <v>25.425248957123628</v>
      </c>
      <c r="AC640" s="22">
        <f t="shared" si="201"/>
        <v>1.5888964605980072</v>
      </c>
      <c r="AD640" s="22">
        <f t="shared" si="202"/>
        <v>0.4039808807779689</v>
      </c>
      <c r="AE640" s="27">
        <v>17.168900000000001</v>
      </c>
      <c r="AF640" s="27">
        <v>17.339700000000001</v>
      </c>
      <c r="AG640" s="27">
        <v>17.287700000000001</v>
      </c>
      <c r="AH640" s="26">
        <v>0.1188</v>
      </c>
      <c r="AI640" s="26">
        <v>30.44496487</v>
      </c>
      <c r="AJ640" s="26">
        <f t="shared" si="203"/>
        <v>1.5222482435</v>
      </c>
      <c r="AK640" s="26">
        <f t="shared" si="204"/>
        <v>17.598245589595376</v>
      </c>
      <c r="AL640" s="26">
        <f t="shared" si="205"/>
        <v>1.5249064610128831</v>
      </c>
      <c r="AM640" s="17">
        <f t="shared" si="212"/>
        <v>0.5780346820809249</v>
      </c>
      <c r="AN640" s="17"/>
      <c r="AO640" s="27"/>
      <c r="AS640" s="49"/>
      <c r="AT640" s="25"/>
      <c r="AU640" s="17"/>
      <c r="AV640" s="17"/>
      <c r="AW640" s="17"/>
      <c r="AX640" s="27"/>
      <c r="BB640" s="17"/>
    </row>
    <row r="641" spans="1:54" x14ac:dyDescent="0.2">
      <c r="A641" s="17" t="s">
        <v>77</v>
      </c>
      <c r="B641" s="17" t="s">
        <v>78</v>
      </c>
      <c r="C641" s="17" t="str">
        <f t="shared" si="195"/>
        <v>HER42PB1C</v>
      </c>
      <c r="D641" s="17" t="str">
        <f t="shared" si="196"/>
        <v>HER42PB1C_110</v>
      </c>
      <c r="E641" s="27" t="s">
        <v>81</v>
      </c>
      <c r="F641" s="17">
        <v>110</v>
      </c>
      <c r="G641" s="20">
        <v>1.95</v>
      </c>
      <c r="H641" s="20">
        <v>2.2000000000000002</v>
      </c>
      <c r="I641" s="20">
        <v>1.2</v>
      </c>
      <c r="J641" s="22">
        <f t="shared" si="194"/>
        <v>4.0558987500000008</v>
      </c>
      <c r="K641" s="53">
        <v>0.15833333333333321</v>
      </c>
      <c r="L641" s="45">
        <f t="shared" si="214"/>
        <v>46.841666666666647</v>
      </c>
      <c r="M641" s="45">
        <f t="shared" si="215"/>
        <v>48.04166666666665</v>
      </c>
      <c r="N641" s="46">
        <f t="shared" si="216"/>
        <v>47.441666666666649</v>
      </c>
      <c r="O641" s="20">
        <f t="shared" si="213"/>
        <v>126.84166666666663</v>
      </c>
      <c r="P641" s="20">
        <f t="shared" si="207"/>
        <v>128.04166666666663</v>
      </c>
      <c r="Q641" s="20">
        <f t="shared" si="217"/>
        <v>127.44166666666663</v>
      </c>
      <c r="R641" s="20">
        <f t="shared" si="197"/>
        <v>126.84166666666663</v>
      </c>
      <c r="S641" s="20">
        <f t="shared" si="198"/>
        <v>127.44166666666663</v>
      </c>
      <c r="T641" s="20">
        <f t="shared" si="199"/>
        <v>127.44166666666663</v>
      </c>
      <c r="U641" s="20">
        <f t="shared" si="200"/>
        <v>127.44166666666663</v>
      </c>
      <c r="V641" s="22">
        <v>6.6044</v>
      </c>
      <c r="W641" s="22">
        <v>2.3267000000000002</v>
      </c>
      <c r="X641" s="23">
        <v>1.1476266666666668</v>
      </c>
      <c r="Y641" s="23">
        <f t="shared" si="208"/>
        <v>5.4567733333333335</v>
      </c>
      <c r="Z641" s="23">
        <f t="shared" si="209"/>
        <v>1.1790733333333334</v>
      </c>
      <c r="AA641" s="22">
        <f t="shared" si="210"/>
        <v>78.392481026638464</v>
      </c>
      <c r="AB641" s="22">
        <f t="shared" si="211"/>
        <v>21.607518973361536</v>
      </c>
      <c r="AC641" s="22">
        <f t="shared" si="201"/>
        <v>1.3453919019387091</v>
      </c>
      <c r="AD641" s="22">
        <f t="shared" si="202"/>
        <v>0.29070581047747635</v>
      </c>
      <c r="AE641" s="27">
        <v>16.5045</v>
      </c>
      <c r="AF641" s="27">
        <v>16.6037</v>
      </c>
      <c r="AG641" s="27">
        <v>16.5474</v>
      </c>
      <c r="AH641" s="26">
        <v>4.2900000000000001E-2</v>
      </c>
      <c r="AI641" s="26">
        <v>56.754032260000002</v>
      </c>
      <c r="AJ641" s="26">
        <f t="shared" si="203"/>
        <v>2.8377016130000001</v>
      </c>
      <c r="AK641" s="26">
        <f t="shared" si="204"/>
        <v>32.805798994219657</v>
      </c>
      <c r="AL641" s="26">
        <f t="shared" si="205"/>
        <v>2.8391284656427231</v>
      </c>
      <c r="AM641" s="17">
        <f t="shared" si="212"/>
        <v>0.5780346820809249</v>
      </c>
      <c r="AN641" s="17"/>
      <c r="AO641" s="27"/>
      <c r="AS641" s="49"/>
      <c r="AT641" s="25"/>
      <c r="AU641" s="17"/>
      <c r="AV641" s="17"/>
      <c r="AW641" s="17"/>
      <c r="AX641" s="27"/>
      <c r="BB641" s="17"/>
    </row>
    <row r="642" spans="1:54" x14ac:dyDescent="0.2">
      <c r="A642" s="17" t="s">
        <v>77</v>
      </c>
      <c r="B642" s="17" t="s">
        <v>78</v>
      </c>
      <c r="C642" s="17" t="str">
        <f t="shared" si="195"/>
        <v>HER42PB1C</v>
      </c>
      <c r="D642" s="17" t="str">
        <f t="shared" si="196"/>
        <v>HER42PB1C_111</v>
      </c>
      <c r="E642" s="27" t="s">
        <v>81</v>
      </c>
      <c r="F642" s="17">
        <v>111</v>
      </c>
      <c r="G642" s="20">
        <v>2</v>
      </c>
      <c r="H642" s="20">
        <v>2.1</v>
      </c>
      <c r="I642" s="20">
        <v>0.8</v>
      </c>
      <c r="J642" s="22">
        <f t="shared" si="194"/>
        <v>2.6391699999999996</v>
      </c>
      <c r="K642" s="53">
        <v>0.15833333333333321</v>
      </c>
      <c r="L642" s="45">
        <f t="shared" si="214"/>
        <v>48.199999999999982</v>
      </c>
      <c r="M642" s="45">
        <f t="shared" si="215"/>
        <v>48.999999999999979</v>
      </c>
      <c r="N642" s="46">
        <f t="shared" si="216"/>
        <v>48.59999999999998</v>
      </c>
      <c r="O642" s="20">
        <f t="shared" si="213"/>
        <v>128.19999999999996</v>
      </c>
      <c r="P642" s="20">
        <f t="shared" si="207"/>
        <v>128.99999999999997</v>
      </c>
      <c r="Q642" s="20">
        <f t="shared" si="217"/>
        <v>128.59999999999997</v>
      </c>
      <c r="R642" s="20">
        <f t="shared" si="197"/>
        <v>128.19999999999996</v>
      </c>
      <c r="S642" s="20">
        <f t="shared" si="198"/>
        <v>128.59999999999997</v>
      </c>
      <c r="T642" s="20">
        <f t="shared" si="199"/>
        <v>128.59999999999997</v>
      </c>
      <c r="U642" s="20">
        <f t="shared" si="200"/>
        <v>128.59999999999997</v>
      </c>
      <c r="V642" s="22">
        <v>4.8872</v>
      </c>
      <c r="W642" s="22">
        <v>1.8438000000000001</v>
      </c>
      <c r="X642" s="23">
        <v>1.1476266666666668</v>
      </c>
      <c r="Y642" s="23">
        <f t="shared" si="208"/>
        <v>3.7395733333333334</v>
      </c>
      <c r="Z642" s="23">
        <f t="shared" si="209"/>
        <v>0.69617333333333331</v>
      </c>
      <c r="AA642" s="22">
        <f t="shared" si="210"/>
        <v>81.383615956187512</v>
      </c>
      <c r="AB642" s="22">
        <f t="shared" si="211"/>
        <v>18.616384043812488</v>
      </c>
      <c r="AC642" s="22">
        <f t="shared" si="201"/>
        <v>1.4169505311644699</v>
      </c>
      <c r="AD642" s="22">
        <f t="shared" si="202"/>
        <v>0.26378495259241863</v>
      </c>
      <c r="AE642" s="27">
        <v>15.994999999999999</v>
      </c>
      <c r="AF642" s="27">
        <v>16.103000000000002</v>
      </c>
      <c r="AG642" s="27">
        <v>16.0504</v>
      </c>
      <c r="AH642" s="26">
        <v>5.5399999999999998E-2</v>
      </c>
      <c r="AI642" s="26">
        <v>48.703703699999998</v>
      </c>
      <c r="AJ642" s="26">
        <f t="shared" si="203"/>
        <v>2.4351851849999999</v>
      </c>
      <c r="AK642" s="26">
        <f t="shared" si="204"/>
        <v>28.152429884393065</v>
      </c>
      <c r="AL642" s="26">
        <f t="shared" si="205"/>
        <v>2.4368477353424205</v>
      </c>
      <c r="AM642" s="17">
        <f t="shared" si="212"/>
        <v>0.5780346820809249</v>
      </c>
      <c r="AN642" s="17"/>
      <c r="AO642" s="27"/>
      <c r="AS642" s="49"/>
      <c r="AT642" s="25"/>
      <c r="AU642" s="17"/>
      <c r="AV642" s="17"/>
      <c r="AW642" s="17"/>
      <c r="AX642" s="27"/>
      <c r="BB642" s="17"/>
    </row>
    <row r="643" spans="1:54" x14ac:dyDescent="0.2">
      <c r="A643" s="17" t="s">
        <v>77</v>
      </c>
      <c r="B643" s="17" t="s">
        <v>78</v>
      </c>
      <c r="C643" s="17" t="str">
        <f t="shared" si="195"/>
        <v>HER42PB1D</v>
      </c>
      <c r="D643" s="17" t="str">
        <f t="shared" si="196"/>
        <v>HER42PB1D_112</v>
      </c>
      <c r="E643" s="27" t="s">
        <v>82</v>
      </c>
      <c r="F643" s="17">
        <v>112</v>
      </c>
      <c r="G643" s="20">
        <v>2.2000000000000002</v>
      </c>
      <c r="H643" s="20">
        <v>2.1</v>
      </c>
      <c r="I643" s="20">
        <v>1</v>
      </c>
      <c r="J643" s="22">
        <f t="shared" si="194"/>
        <v>3.6286625000000012</v>
      </c>
      <c r="K643" s="53">
        <v>6.2820512820512528E-2</v>
      </c>
      <c r="L643" s="39">
        <v>0</v>
      </c>
      <c r="M643" s="45">
        <f>L643+I643</f>
        <v>1</v>
      </c>
      <c r="N643" s="46">
        <f>L643+((M643-L643)/2)</f>
        <v>0.5</v>
      </c>
      <c r="O643" s="20">
        <v>120</v>
      </c>
      <c r="P643" s="20">
        <f t="shared" si="207"/>
        <v>121</v>
      </c>
      <c r="Q643" s="20">
        <f>O643+((P643-O643)/2)</f>
        <v>120.5</v>
      </c>
      <c r="R643" s="20">
        <f t="shared" si="197"/>
        <v>120</v>
      </c>
      <c r="S643" s="20">
        <f t="shared" si="198"/>
        <v>120.5</v>
      </c>
      <c r="T643" s="20">
        <f t="shared" si="199"/>
        <v>120.5</v>
      </c>
      <c r="U643" s="20">
        <f t="shared" si="200"/>
        <v>120.5</v>
      </c>
      <c r="V643" s="22">
        <v>6.0964</v>
      </c>
      <c r="W643" s="22">
        <v>2.1713</v>
      </c>
      <c r="X643" s="23">
        <v>1.1476266666666668</v>
      </c>
      <c r="Y643" s="23">
        <f t="shared" si="208"/>
        <v>4.9487733333333335</v>
      </c>
      <c r="Z643" s="23">
        <f t="shared" si="209"/>
        <v>1.0236733333333332</v>
      </c>
      <c r="AA643" s="22">
        <f t="shared" si="210"/>
        <v>79.31460456193858</v>
      </c>
      <c r="AB643" s="22">
        <f t="shared" si="211"/>
        <v>20.68539543806142</v>
      </c>
      <c r="AC643" s="22">
        <f t="shared" si="201"/>
        <v>1.3638009413477643</v>
      </c>
      <c r="AD643" s="22">
        <f t="shared" si="202"/>
        <v>0.28210761770578907</v>
      </c>
      <c r="AE643" s="27">
        <v>9.2169000000000008</v>
      </c>
      <c r="AF643" s="27">
        <v>9.3436000000000003</v>
      </c>
      <c r="AG643" s="27">
        <v>9.2883999999999993</v>
      </c>
      <c r="AH643" s="26">
        <v>7.1499999999999994E-2</v>
      </c>
      <c r="AI643" s="26">
        <v>43.567482239999997</v>
      </c>
      <c r="AJ643" s="26">
        <f t="shared" si="203"/>
        <v>2.1783741119999998</v>
      </c>
      <c r="AK643" s="26">
        <f t="shared" si="204"/>
        <v>25.183515745664739</v>
      </c>
      <c r="AL643" s="26">
        <f t="shared" si="205"/>
        <v>2.1802325040765234</v>
      </c>
      <c r="AM643" s="17">
        <f t="shared" si="212"/>
        <v>0.5780346820809249</v>
      </c>
      <c r="AN643" s="28" t="s">
        <v>43</v>
      </c>
      <c r="AO643" s="27">
        <v>49</v>
      </c>
      <c r="AS643" s="49"/>
      <c r="AT643" s="25"/>
      <c r="AU643" s="17"/>
      <c r="AV643" s="17"/>
      <c r="AW643" s="17"/>
      <c r="AX643" s="27"/>
      <c r="BB643" s="17"/>
    </row>
    <row r="644" spans="1:54" x14ac:dyDescent="0.2">
      <c r="A644" s="17" t="s">
        <v>77</v>
      </c>
      <c r="B644" s="17" t="s">
        <v>78</v>
      </c>
      <c r="C644" s="17" t="str">
        <f t="shared" si="195"/>
        <v>HER42PB1D</v>
      </c>
      <c r="D644" s="17" t="str">
        <f t="shared" si="196"/>
        <v>HER42PB1D_113</v>
      </c>
      <c r="E644" s="27" t="s">
        <v>82</v>
      </c>
      <c r="F644" s="17">
        <v>113</v>
      </c>
      <c r="G644" s="20">
        <v>2.1</v>
      </c>
      <c r="H644" s="20">
        <v>2.2000000000000002</v>
      </c>
      <c r="I644" s="20">
        <v>1.2</v>
      </c>
      <c r="J644" s="22">
        <f t="shared" si="194"/>
        <v>4.3543950000000011</v>
      </c>
      <c r="K644" s="53">
        <v>6.2820512820512528E-2</v>
      </c>
      <c r="L644" s="45">
        <f>M643+K644</f>
        <v>1.0628205128205126</v>
      </c>
      <c r="M644" s="45">
        <f>L644+I644</f>
        <v>2.2628205128205128</v>
      </c>
      <c r="N644" s="46">
        <f>L644+((M644-L644)/2)</f>
        <v>1.6628205128205127</v>
      </c>
      <c r="O644" s="20">
        <f t="shared" ref="O644:O682" si="218">P643+K644</f>
        <v>121.06282051282051</v>
      </c>
      <c r="P644" s="20">
        <f t="shared" si="207"/>
        <v>122.26282051282051</v>
      </c>
      <c r="Q644" s="20">
        <f>O644+((P644-O644)/2)</f>
        <v>121.6628205128205</v>
      </c>
      <c r="R644" s="20">
        <f t="shared" si="197"/>
        <v>121.06282051282051</v>
      </c>
      <c r="S644" s="20">
        <f t="shared" si="198"/>
        <v>121.6628205128205</v>
      </c>
      <c r="T644" s="20">
        <f t="shared" si="199"/>
        <v>121.6628205128205</v>
      </c>
      <c r="U644" s="20">
        <f t="shared" si="200"/>
        <v>121.6628205128205</v>
      </c>
      <c r="V644" s="22">
        <v>7.6996000000000002</v>
      </c>
      <c r="W644" s="22">
        <v>2.4546000000000001</v>
      </c>
      <c r="X644" s="23">
        <v>1.1476266666666668</v>
      </c>
      <c r="Y644" s="23">
        <f t="shared" si="208"/>
        <v>6.5519733333333336</v>
      </c>
      <c r="Z644" s="23">
        <f t="shared" si="209"/>
        <v>1.3069733333333333</v>
      </c>
      <c r="AA644" s="22">
        <f t="shared" si="210"/>
        <v>80.052218364747105</v>
      </c>
      <c r="AB644" s="22">
        <f t="shared" si="211"/>
        <v>19.947781635252895</v>
      </c>
      <c r="AC644" s="22">
        <f t="shared" si="201"/>
        <v>1.504680520102869</v>
      </c>
      <c r="AD644" s="22">
        <f t="shared" si="202"/>
        <v>0.30015038445830777</v>
      </c>
      <c r="AE644" s="27">
        <v>10.239100000000001</v>
      </c>
      <c r="AF644" s="27">
        <v>10.3613</v>
      </c>
      <c r="AG644" s="27">
        <v>10.2965</v>
      </c>
      <c r="AH644" s="26">
        <v>5.74E-2</v>
      </c>
      <c r="AI644" s="26">
        <v>53.027823239999996</v>
      </c>
      <c r="AJ644" s="26">
        <f t="shared" si="203"/>
        <v>2.6513911619999999</v>
      </c>
      <c r="AK644" s="26">
        <f t="shared" si="204"/>
        <v>30.65192094797688</v>
      </c>
      <c r="AL644" s="26">
        <f t="shared" si="205"/>
        <v>2.6529182222472878</v>
      </c>
      <c r="AM644" s="17">
        <f t="shared" si="212"/>
        <v>0.5780346820809249</v>
      </c>
      <c r="AN644" s="28" t="s">
        <v>44</v>
      </c>
      <c r="AO644" s="27" t="s">
        <v>56</v>
      </c>
      <c r="AS644" s="49"/>
      <c r="AT644" s="25"/>
      <c r="AU644" s="17"/>
      <c r="AV644" s="17"/>
      <c r="AW644" s="17"/>
      <c r="AX644" s="27"/>
      <c r="BB644" s="17"/>
    </row>
    <row r="645" spans="1:54" x14ac:dyDescent="0.2">
      <c r="A645" s="17" t="s">
        <v>77</v>
      </c>
      <c r="B645" s="17" t="s">
        <v>78</v>
      </c>
      <c r="C645" s="17" t="str">
        <f t="shared" si="195"/>
        <v>HER42PB1D</v>
      </c>
      <c r="D645" s="17" t="str">
        <f t="shared" si="196"/>
        <v>HER42PB1D_114</v>
      </c>
      <c r="E645" s="27" t="s">
        <v>82</v>
      </c>
      <c r="F645" s="17">
        <v>114</v>
      </c>
      <c r="G645" s="20">
        <v>2.2000000000000002</v>
      </c>
      <c r="H645" s="20">
        <v>2.1</v>
      </c>
      <c r="I645" s="20">
        <v>1.2</v>
      </c>
      <c r="J645" s="22">
        <f t="shared" si="194"/>
        <v>4.3543950000000011</v>
      </c>
      <c r="K645" s="53">
        <v>6.2820512820512528E-2</v>
      </c>
      <c r="L645" s="45">
        <f t="shared" ref="L645:L682" si="219">M644+K645</f>
        <v>2.3256410256410254</v>
      </c>
      <c r="M645" s="45">
        <f t="shared" ref="M645:M682" si="220">L645+I645</f>
        <v>3.5256410256410255</v>
      </c>
      <c r="N645" s="46">
        <f t="shared" ref="N645:N682" si="221">L645+((M645-L645)/2)</f>
        <v>2.9256410256410255</v>
      </c>
      <c r="O645" s="20">
        <f t="shared" si="218"/>
        <v>122.32564102564102</v>
      </c>
      <c r="P645" s="20">
        <f t="shared" si="207"/>
        <v>123.52564102564102</v>
      </c>
      <c r="Q645" s="20">
        <f t="shared" ref="Q645:Q682" si="222">O645+((P645-O645)/2)</f>
        <v>122.92564102564103</v>
      </c>
      <c r="R645" s="20">
        <f t="shared" si="197"/>
        <v>122.32564102564102</v>
      </c>
      <c r="S645" s="20">
        <f t="shared" si="198"/>
        <v>122.92564102564103</v>
      </c>
      <c r="T645" s="20">
        <f t="shared" si="199"/>
        <v>122.92564102564103</v>
      </c>
      <c r="U645" s="20">
        <f t="shared" si="200"/>
        <v>122.92564102564103</v>
      </c>
      <c r="V645" s="22">
        <v>7.0956000000000001</v>
      </c>
      <c r="W645" s="22">
        <v>2.3239999999999998</v>
      </c>
      <c r="X645" s="23">
        <v>1.1476266666666668</v>
      </c>
      <c r="Y645" s="23">
        <f t="shared" si="208"/>
        <v>5.9479733333333336</v>
      </c>
      <c r="Z645" s="23">
        <f t="shared" si="209"/>
        <v>1.176373333333333</v>
      </c>
      <c r="AA645" s="22">
        <f t="shared" si="210"/>
        <v>80.222282996112966</v>
      </c>
      <c r="AB645" s="22">
        <f t="shared" si="211"/>
        <v>19.777717003887034</v>
      </c>
      <c r="AC645" s="22">
        <f t="shared" si="201"/>
        <v>1.3659700907550492</v>
      </c>
      <c r="AD645" s="22">
        <f t="shared" si="202"/>
        <v>0.27015769890727248</v>
      </c>
      <c r="AE645" s="27">
        <v>13.141500000000001</v>
      </c>
      <c r="AF645" s="27">
        <v>13.335800000000001</v>
      </c>
      <c r="AG645" s="27">
        <v>13.242699999999999</v>
      </c>
      <c r="AH645" s="26">
        <v>0.1012</v>
      </c>
      <c r="AI645" s="26">
        <v>47.91559444</v>
      </c>
      <c r="AJ645" s="26">
        <f t="shared" si="203"/>
        <v>2.3957797219999999</v>
      </c>
      <c r="AK645" s="26">
        <f t="shared" si="204"/>
        <v>27.696875398843932</v>
      </c>
      <c r="AL645" s="26">
        <f t="shared" si="205"/>
        <v>2.3974695986281862</v>
      </c>
      <c r="AM645" s="17">
        <f t="shared" si="212"/>
        <v>0.5780346820809249</v>
      </c>
      <c r="AN645" s="28" t="s">
        <v>46</v>
      </c>
      <c r="AO645" s="29">
        <f>SUM(I643:I682)</f>
        <v>46.550000000000011</v>
      </c>
      <c r="AS645" s="49"/>
      <c r="AT645" s="25"/>
      <c r="AU645" s="17"/>
      <c r="AV645" s="17"/>
      <c r="AW645" s="17"/>
      <c r="AX645" s="27"/>
      <c r="BB645" s="17"/>
    </row>
    <row r="646" spans="1:54" x14ac:dyDescent="0.2">
      <c r="A646" s="17" t="s">
        <v>77</v>
      </c>
      <c r="B646" s="17" t="s">
        <v>78</v>
      </c>
      <c r="C646" s="17" t="str">
        <f t="shared" si="195"/>
        <v>HER42PB1D</v>
      </c>
      <c r="D646" s="17" t="str">
        <f t="shared" si="196"/>
        <v>HER42PB1D_115</v>
      </c>
      <c r="E646" s="27" t="s">
        <v>82</v>
      </c>
      <c r="F646" s="17">
        <v>115</v>
      </c>
      <c r="G646" s="20">
        <v>2.2999999999999998</v>
      </c>
      <c r="H646" s="20">
        <v>2.1</v>
      </c>
      <c r="I646" s="20">
        <v>1.1000000000000001</v>
      </c>
      <c r="J646" s="22">
        <f t="shared" si="194"/>
        <v>4.1793400000000016</v>
      </c>
      <c r="K646" s="53">
        <v>6.2820512820512528E-2</v>
      </c>
      <c r="L646" s="45">
        <f t="shared" si="219"/>
        <v>3.5884615384615381</v>
      </c>
      <c r="M646" s="45">
        <f t="shared" si="220"/>
        <v>4.6884615384615387</v>
      </c>
      <c r="N646" s="46">
        <f t="shared" si="221"/>
        <v>4.138461538461538</v>
      </c>
      <c r="O646" s="20">
        <f t="shared" si="218"/>
        <v>123.58846153846153</v>
      </c>
      <c r="P646" s="20">
        <f t="shared" si="207"/>
        <v>124.68846153846152</v>
      </c>
      <c r="Q646" s="20">
        <f t="shared" si="222"/>
        <v>124.13846153846153</v>
      </c>
      <c r="R646" s="20">
        <f t="shared" si="197"/>
        <v>123.58846153846153</v>
      </c>
      <c r="S646" s="20">
        <f t="shared" si="198"/>
        <v>124.13846153846153</v>
      </c>
      <c r="T646" s="20">
        <f t="shared" si="199"/>
        <v>124.13846153846153</v>
      </c>
      <c r="U646" s="20">
        <f t="shared" si="200"/>
        <v>124.13846153846153</v>
      </c>
      <c r="V646" s="22">
        <v>7.6641000000000004</v>
      </c>
      <c r="W646" s="22">
        <v>2.3946999999999998</v>
      </c>
      <c r="X646" s="23">
        <v>1.1476266666666668</v>
      </c>
      <c r="Y646" s="23">
        <f t="shared" si="208"/>
        <v>6.5164733333333338</v>
      </c>
      <c r="Z646" s="23">
        <f t="shared" si="209"/>
        <v>1.247073333333333</v>
      </c>
      <c r="AA646" s="22">
        <f t="shared" si="210"/>
        <v>80.862757053661966</v>
      </c>
      <c r="AB646" s="22">
        <f t="shared" si="211"/>
        <v>19.137242946338034</v>
      </c>
      <c r="AC646" s="22">
        <f t="shared" si="201"/>
        <v>1.5592111035075709</v>
      </c>
      <c r="AD646" s="22">
        <f t="shared" si="202"/>
        <v>0.29839001692452216</v>
      </c>
      <c r="AE646" s="27">
        <v>10.3498</v>
      </c>
      <c r="AF646" s="27">
        <v>10.527100000000001</v>
      </c>
      <c r="AG646" s="27">
        <v>10.4504</v>
      </c>
      <c r="AH646" s="26">
        <v>0.10059999999999999</v>
      </c>
      <c r="AI646" s="26">
        <v>43.260011280000001</v>
      </c>
      <c r="AJ646" s="26">
        <f t="shared" si="203"/>
        <v>2.1630005640000003</v>
      </c>
      <c r="AK646" s="26">
        <f t="shared" si="204"/>
        <v>25.005786867052024</v>
      </c>
      <c r="AL646" s="26">
        <f t="shared" si="205"/>
        <v>2.1648721532377655</v>
      </c>
      <c r="AM646" s="17">
        <f t="shared" si="212"/>
        <v>0.5780346820809249</v>
      </c>
      <c r="AN646" s="28" t="s">
        <v>47</v>
      </c>
      <c r="AO646" s="29">
        <f>AO643-AO645</f>
        <v>2.4499999999999886</v>
      </c>
      <c r="AS646" s="49"/>
      <c r="AT646" s="25"/>
      <c r="AU646" s="17"/>
      <c r="AV646" s="17"/>
      <c r="AW646" s="17"/>
      <c r="AX646" s="27"/>
      <c r="BB646" s="17"/>
    </row>
    <row r="647" spans="1:54" x14ac:dyDescent="0.2">
      <c r="A647" s="17" t="s">
        <v>77</v>
      </c>
      <c r="B647" s="17" t="s">
        <v>78</v>
      </c>
      <c r="C647" s="17" t="str">
        <f t="shared" si="195"/>
        <v>HER42PB1D</v>
      </c>
      <c r="D647" s="17" t="str">
        <f t="shared" si="196"/>
        <v>HER42PB1D_116</v>
      </c>
      <c r="E647" s="27" t="s">
        <v>82</v>
      </c>
      <c r="F647" s="17">
        <v>116</v>
      </c>
      <c r="G647" s="20">
        <v>2</v>
      </c>
      <c r="H647" s="20">
        <v>2.2000000000000002</v>
      </c>
      <c r="I647" s="20">
        <v>1.2</v>
      </c>
      <c r="J647" s="22">
        <f t="shared" si="194"/>
        <v>4.1542200000000005</v>
      </c>
      <c r="K647" s="53">
        <v>6.2820512820512528E-2</v>
      </c>
      <c r="L647" s="45">
        <f t="shared" si="219"/>
        <v>4.7512820512820513</v>
      </c>
      <c r="M647" s="45">
        <f t="shared" si="220"/>
        <v>5.9512820512820515</v>
      </c>
      <c r="N647" s="46">
        <f t="shared" si="221"/>
        <v>5.3512820512820518</v>
      </c>
      <c r="O647" s="20">
        <f t="shared" si="218"/>
        <v>124.75128205128203</v>
      </c>
      <c r="P647" s="20">
        <f t="shared" si="207"/>
        <v>125.95128205128204</v>
      </c>
      <c r="Q647" s="20">
        <f t="shared" si="222"/>
        <v>125.35128205128203</v>
      </c>
      <c r="R647" s="20">
        <f t="shared" si="197"/>
        <v>124.75128205128203</v>
      </c>
      <c r="S647" s="20">
        <f t="shared" si="198"/>
        <v>125.35128205128203</v>
      </c>
      <c r="T647" s="20">
        <f t="shared" si="199"/>
        <v>125.35128205128203</v>
      </c>
      <c r="U647" s="20">
        <f t="shared" si="200"/>
        <v>125.35128205128203</v>
      </c>
      <c r="V647" s="22">
        <v>6.9789000000000003</v>
      </c>
      <c r="W647" s="22">
        <v>2.1328</v>
      </c>
      <c r="X647" s="23">
        <v>1.1476266666666668</v>
      </c>
      <c r="Y647" s="23">
        <f t="shared" si="208"/>
        <v>5.8312733333333338</v>
      </c>
      <c r="Z647" s="23">
        <f t="shared" si="209"/>
        <v>0.98517333333333323</v>
      </c>
      <c r="AA647" s="22">
        <f t="shared" si="210"/>
        <v>83.105348060057779</v>
      </c>
      <c r="AB647" s="22">
        <f t="shared" si="211"/>
        <v>16.894651939942221</v>
      </c>
      <c r="AC647" s="22">
        <f t="shared" si="201"/>
        <v>1.4036987288427991</v>
      </c>
      <c r="AD647" s="22">
        <f t="shared" si="202"/>
        <v>0.23715001452338419</v>
      </c>
      <c r="AE647" s="27">
        <v>9.5380000000000003</v>
      </c>
      <c r="AF647" s="27">
        <v>9.7111000000000001</v>
      </c>
      <c r="AG647" s="27">
        <v>9.6227999999999998</v>
      </c>
      <c r="AH647" s="26">
        <v>8.48E-2</v>
      </c>
      <c r="AI647" s="26">
        <v>51.010976309999997</v>
      </c>
      <c r="AJ647" s="26">
        <f t="shared" si="203"/>
        <v>2.5505488155</v>
      </c>
      <c r="AK647" s="26">
        <f t="shared" si="204"/>
        <v>29.486113473988439</v>
      </c>
      <c r="AL647" s="26">
        <f t="shared" si="205"/>
        <v>2.552136215065421</v>
      </c>
      <c r="AM647" s="17">
        <f t="shared" si="212"/>
        <v>0.5780346820809249</v>
      </c>
      <c r="AN647" s="28" t="s">
        <v>48</v>
      </c>
      <c r="AO647" s="27">
        <v>39</v>
      </c>
      <c r="AS647" s="49"/>
      <c r="AT647" s="25"/>
      <c r="AU647" s="17"/>
      <c r="AV647" s="17"/>
      <c r="AW647" s="17"/>
      <c r="AX647" s="27"/>
      <c r="BB647" s="17"/>
    </row>
    <row r="648" spans="1:54" x14ac:dyDescent="0.2">
      <c r="A648" s="17" t="s">
        <v>77</v>
      </c>
      <c r="B648" s="17" t="s">
        <v>78</v>
      </c>
      <c r="C648" s="17" t="str">
        <f t="shared" si="195"/>
        <v>HER42PB1D</v>
      </c>
      <c r="D648" s="17" t="str">
        <f t="shared" si="196"/>
        <v>HER42PB1D_117</v>
      </c>
      <c r="E648" s="27" t="s">
        <v>82</v>
      </c>
      <c r="F648" s="17">
        <v>117</v>
      </c>
      <c r="G648" s="20">
        <v>2.0499999999999998</v>
      </c>
      <c r="H648" s="20">
        <v>2.4</v>
      </c>
      <c r="I648" s="20">
        <v>1.2</v>
      </c>
      <c r="J648" s="22">
        <f t="shared" si="194"/>
        <v>4.6634887499999991</v>
      </c>
      <c r="K648" s="53">
        <v>6.2820512820512528E-2</v>
      </c>
      <c r="L648" s="45">
        <f t="shared" si="219"/>
        <v>6.0141025641025641</v>
      </c>
      <c r="M648" s="45">
        <f t="shared" si="220"/>
        <v>7.2141025641025642</v>
      </c>
      <c r="N648" s="46">
        <f t="shared" si="221"/>
        <v>6.6141025641025646</v>
      </c>
      <c r="O648" s="20">
        <f t="shared" si="218"/>
        <v>126.01410256410254</v>
      </c>
      <c r="P648" s="20">
        <f t="shared" si="207"/>
        <v>127.21410256410255</v>
      </c>
      <c r="Q648" s="20">
        <f t="shared" si="222"/>
        <v>126.61410256410255</v>
      </c>
      <c r="R648" s="20">
        <f t="shared" si="197"/>
        <v>126.01410256410254</v>
      </c>
      <c r="S648" s="20">
        <f t="shared" si="198"/>
        <v>126.61410256410255</v>
      </c>
      <c r="T648" s="20">
        <f t="shared" si="199"/>
        <v>126.61410256410255</v>
      </c>
      <c r="U648" s="20">
        <f t="shared" si="200"/>
        <v>126.61410256410255</v>
      </c>
      <c r="V648" s="22">
        <v>7.2244999999999999</v>
      </c>
      <c r="W648" s="22">
        <v>2.3769</v>
      </c>
      <c r="X648" s="23">
        <v>1.1476266666666668</v>
      </c>
      <c r="Y648" s="23">
        <f t="shared" si="208"/>
        <v>6.0768733333333333</v>
      </c>
      <c r="Z648" s="23">
        <f t="shared" si="209"/>
        <v>1.2292733333333332</v>
      </c>
      <c r="AA648" s="22">
        <f t="shared" si="210"/>
        <v>79.771285891538525</v>
      </c>
      <c r="AB648" s="22">
        <f t="shared" si="211"/>
        <v>20.228714108461475</v>
      </c>
      <c r="AC648" s="22">
        <f t="shared" si="201"/>
        <v>1.3030745133315342</v>
      </c>
      <c r="AD648" s="22">
        <f t="shared" si="202"/>
        <v>0.26359521792206175</v>
      </c>
      <c r="AE648" s="27">
        <v>17.832999999999998</v>
      </c>
      <c r="AF648" s="27">
        <v>18.022400000000001</v>
      </c>
      <c r="AG648" s="27">
        <v>17.9482</v>
      </c>
      <c r="AH648" s="26">
        <v>0.1152</v>
      </c>
      <c r="AI648" s="26">
        <v>39.176346359999997</v>
      </c>
      <c r="AJ648" s="26">
        <f t="shared" si="203"/>
        <v>1.9588173179999999</v>
      </c>
      <c r="AK648" s="26">
        <f t="shared" si="204"/>
        <v>22.645286913294797</v>
      </c>
      <c r="AL648" s="26">
        <f t="shared" si="205"/>
        <v>1.9608838020894335</v>
      </c>
      <c r="AM648" s="17">
        <f t="shared" si="212"/>
        <v>0.5780346820809249</v>
      </c>
      <c r="AN648" s="28" t="s">
        <v>49</v>
      </c>
      <c r="AO648" s="30">
        <f>AO646/AO647</f>
        <v>6.2820512820512528E-2</v>
      </c>
      <c r="AS648" s="49"/>
      <c r="AT648" s="25"/>
      <c r="AU648" s="17"/>
      <c r="AV648" s="17"/>
      <c r="AW648" s="17"/>
      <c r="AX648" s="27"/>
      <c r="BB648" s="17"/>
    </row>
    <row r="649" spans="1:54" x14ac:dyDescent="0.2">
      <c r="A649" s="17" t="s">
        <v>77</v>
      </c>
      <c r="B649" s="17" t="s">
        <v>78</v>
      </c>
      <c r="C649" s="17" t="str">
        <f t="shared" si="195"/>
        <v>HER42PB1D</v>
      </c>
      <c r="D649" s="17" t="str">
        <f t="shared" si="196"/>
        <v>HER42PB1D_118</v>
      </c>
      <c r="E649" s="27" t="s">
        <v>82</v>
      </c>
      <c r="F649" s="17">
        <v>118</v>
      </c>
      <c r="G649" s="20">
        <v>2.1</v>
      </c>
      <c r="H649" s="20">
        <v>2.2000000000000002</v>
      </c>
      <c r="I649" s="20">
        <v>1.1000000000000001</v>
      </c>
      <c r="J649" s="22">
        <f t="shared" si="194"/>
        <v>3.9915287500000014</v>
      </c>
      <c r="K649" s="53">
        <v>6.2820512820512528E-2</v>
      </c>
      <c r="L649" s="45">
        <f t="shared" si="219"/>
        <v>7.2769230769230768</v>
      </c>
      <c r="M649" s="45">
        <f t="shared" si="220"/>
        <v>8.3769230769230774</v>
      </c>
      <c r="N649" s="46">
        <f t="shared" si="221"/>
        <v>7.8269230769230766</v>
      </c>
      <c r="O649" s="20">
        <f t="shared" si="218"/>
        <v>127.27692307692305</v>
      </c>
      <c r="P649" s="20">
        <f t="shared" si="207"/>
        <v>128.37692307692305</v>
      </c>
      <c r="Q649" s="20">
        <f t="shared" si="222"/>
        <v>127.82692307692305</v>
      </c>
      <c r="R649" s="20">
        <f t="shared" si="197"/>
        <v>127.27692307692305</v>
      </c>
      <c r="S649" s="20">
        <f t="shared" si="198"/>
        <v>127.82692307692305</v>
      </c>
      <c r="T649" s="20">
        <f t="shared" si="199"/>
        <v>127.82692307692305</v>
      </c>
      <c r="U649" s="20">
        <f t="shared" si="200"/>
        <v>127.82692307692305</v>
      </c>
      <c r="V649" s="22">
        <v>7.8432000000000004</v>
      </c>
      <c r="W649" s="22">
        <v>2.7561</v>
      </c>
      <c r="X649" s="23">
        <v>1.1476266666666668</v>
      </c>
      <c r="Y649" s="23">
        <f t="shared" si="208"/>
        <v>6.6955733333333338</v>
      </c>
      <c r="Z649" s="23">
        <f t="shared" si="209"/>
        <v>1.6084733333333332</v>
      </c>
      <c r="AA649" s="22">
        <f t="shared" si="210"/>
        <v>75.977063452868364</v>
      </c>
      <c r="AB649" s="22">
        <f t="shared" si="211"/>
        <v>24.022936547131636</v>
      </c>
      <c r="AC649" s="22">
        <f t="shared" si="201"/>
        <v>1.6774458491206738</v>
      </c>
      <c r="AD649" s="22">
        <f t="shared" si="202"/>
        <v>0.40297175194675289</v>
      </c>
      <c r="AE649" s="27">
        <v>9.3887</v>
      </c>
      <c r="AF649" s="27">
        <v>9.7032000000000007</v>
      </c>
      <c r="AG649" s="27">
        <v>9.6029999999999998</v>
      </c>
      <c r="AH649" s="26">
        <v>0.21429999999999999</v>
      </c>
      <c r="AI649" s="26">
        <v>31.860095390000001</v>
      </c>
      <c r="AJ649" s="26">
        <f t="shared" si="203"/>
        <v>1.5930047695000003</v>
      </c>
      <c r="AK649" s="26">
        <f t="shared" si="204"/>
        <v>18.416240109826592</v>
      </c>
      <c r="AL649" s="26">
        <f t="shared" si="205"/>
        <v>1.5955451092494217</v>
      </c>
      <c r="AM649" s="17">
        <f t="shared" si="212"/>
        <v>0.5780346820809249</v>
      </c>
      <c r="AN649" s="17"/>
      <c r="AO649" s="27"/>
      <c r="AS649" s="49"/>
      <c r="AT649" s="25"/>
      <c r="AU649" s="17"/>
      <c r="AV649" s="17"/>
      <c r="AW649" s="17"/>
      <c r="AX649" s="27"/>
      <c r="BB649" s="17"/>
    </row>
    <row r="650" spans="1:54" x14ac:dyDescent="0.2">
      <c r="A650" s="17" t="s">
        <v>77</v>
      </c>
      <c r="B650" s="17" t="s">
        <v>78</v>
      </c>
      <c r="C650" s="17" t="str">
        <f t="shared" si="195"/>
        <v>HER42PB1D</v>
      </c>
      <c r="D650" s="17" t="str">
        <f t="shared" si="196"/>
        <v>HER42PB1D_119</v>
      </c>
      <c r="E650" s="27" t="s">
        <v>82</v>
      </c>
      <c r="F650" s="17">
        <v>119</v>
      </c>
      <c r="G650" s="20">
        <v>2.2000000000000002</v>
      </c>
      <c r="H650" s="20">
        <v>2.25</v>
      </c>
      <c r="I650" s="20">
        <v>1.2</v>
      </c>
      <c r="J650" s="22">
        <f t="shared" si="194"/>
        <v>4.6634887500000008</v>
      </c>
      <c r="K650" s="53">
        <v>6.2820512820512528E-2</v>
      </c>
      <c r="L650" s="45">
        <f t="shared" si="219"/>
        <v>8.4397435897435891</v>
      </c>
      <c r="M650" s="45">
        <f t="shared" si="220"/>
        <v>9.6397435897435884</v>
      </c>
      <c r="N650" s="46">
        <f t="shared" si="221"/>
        <v>9.0397435897435887</v>
      </c>
      <c r="O650" s="20">
        <f t="shared" si="218"/>
        <v>128.43974358974356</v>
      </c>
      <c r="P650" s="20">
        <f t="shared" si="207"/>
        <v>129.63974358974355</v>
      </c>
      <c r="Q650" s="20">
        <f t="shared" si="222"/>
        <v>129.03974358974355</v>
      </c>
      <c r="R650" s="20">
        <f t="shared" si="197"/>
        <v>128.43974358974356</v>
      </c>
      <c r="S650" s="20">
        <f t="shared" si="198"/>
        <v>129.03974358974355</v>
      </c>
      <c r="T650" s="20">
        <f t="shared" si="199"/>
        <v>129.03974358974355</v>
      </c>
      <c r="U650" s="20">
        <f t="shared" si="200"/>
        <v>129.03974358974355</v>
      </c>
      <c r="V650" s="22">
        <v>7.6074999999999999</v>
      </c>
      <c r="W650" s="22">
        <v>2.3254000000000001</v>
      </c>
      <c r="X650" s="23">
        <v>1.1476266666666668</v>
      </c>
      <c r="Y650" s="23">
        <f t="shared" si="208"/>
        <v>6.4598733333333334</v>
      </c>
      <c r="Z650" s="23">
        <f t="shared" si="209"/>
        <v>1.1777733333333333</v>
      </c>
      <c r="AA650" s="22">
        <f t="shared" si="210"/>
        <v>81.767857161285932</v>
      </c>
      <c r="AB650" s="22">
        <f t="shared" si="211"/>
        <v>18.232142838714068</v>
      </c>
      <c r="AC650" s="22">
        <f t="shared" si="201"/>
        <v>1.3852018691657253</v>
      </c>
      <c r="AD650" s="22">
        <f t="shared" si="202"/>
        <v>0.25255198339083229</v>
      </c>
      <c r="AE650" s="27">
        <v>12.614800000000001</v>
      </c>
      <c r="AF650" s="27">
        <v>12.7011</v>
      </c>
      <c r="AG650" s="27">
        <v>12.651899999999999</v>
      </c>
      <c r="AH650" s="26">
        <v>3.7100000000000001E-2</v>
      </c>
      <c r="AI650" s="26">
        <v>57.010428740000002</v>
      </c>
      <c r="AJ650" s="26">
        <f t="shared" si="203"/>
        <v>2.8505214370000003</v>
      </c>
      <c r="AK650" s="26">
        <f t="shared" si="204"/>
        <v>32.954005052023128</v>
      </c>
      <c r="AL650" s="26">
        <f t="shared" si="205"/>
        <v>2.8519418757745654</v>
      </c>
      <c r="AM650" s="17">
        <f t="shared" si="212"/>
        <v>0.5780346820809249</v>
      </c>
      <c r="AN650" s="17"/>
      <c r="AO650" s="27"/>
      <c r="AS650" s="49"/>
      <c r="AT650" s="25"/>
      <c r="AU650" s="17"/>
      <c r="AV650" s="17"/>
      <c r="AW650" s="17"/>
      <c r="AX650" s="27"/>
      <c r="BB650" s="17"/>
    </row>
    <row r="651" spans="1:54" x14ac:dyDescent="0.2">
      <c r="A651" s="17" t="s">
        <v>77</v>
      </c>
      <c r="B651" s="17" t="s">
        <v>78</v>
      </c>
      <c r="C651" s="17" t="str">
        <f t="shared" si="195"/>
        <v>HER42PB1D</v>
      </c>
      <c r="D651" s="17" t="str">
        <f t="shared" si="196"/>
        <v>HER42PB1D_120</v>
      </c>
      <c r="E651" s="27" t="s">
        <v>82</v>
      </c>
      <c r="F651" s="17">
        <v>120</v>
      </c>
      <c r="G651" s="20">
        <v>2.25</v>
      </c>
      <c r="H651" s="20">
        <v>1.9</v>
      </c>
      <c r="I651" s="20">
        <v>1.1499999999999999</v>
      </c>
      <c r="J651" s="22">
        <f t="shared" si="194"/>
        <v>3.8869029687500007</v>
      </c>
      <c r="K651" s="53">
        <v>6.2820512820512528E-2</v>
      </c>
      <c r="L651" s="45">
        <f t="shared" si="219"/>
        <v>9.7025641025641001</v>
      </c>
      <c r="M651" s="45">
        <f t="shared" si="220"/>
        <v>10.8525641025641</v>
      </c>
      <c r="N651" s="46">
        <f t="shared" si="221"/>
        <v>10.277564102564099</v>
      </c>
      <c r="O651" s="20">
        <f t="shared" si="218"/>
        <v>129.70256410256405</v>
      </c>
      <c r="P651" s="20">
        <f t="shared" si="207"/>
        <v>130.85256410256406</v>
      </c>
      <c r="Q651" s="20">
        <f t="shared" si="222"/>
        <v>130.27756410256404</v>
      </c>
      <c r="R651" s="20">
        <f t="shared" si="197"/>
        <v>129.70256410256405</v>
      </c>
      <c r="S651" s="20">
        <f t="shared" si="198"/>
        <v>130.27756410256404</v>
      </c>
      <c r="T651" s="20">
        <f t="shared" si="199"/>
        <v>130.27756410256404</v>
      </c>
      <c r="U651" s="20">
        <f t="shared" si="200"/>
        <v>130.27756410256404</v>
      </c>
      <c r="V651" s="22">
        <v>6.8475000000000001</v>
      </c>
      <c r="W651" s="22">
        <v>1.9463999999999999</v>
      </c>
      <c r="X651" s="23">
        <v>1.1476266666666668</v>
      </c>
      <c r="Y651" s="23">
        <f t="shared" si="208"/>
        <v>5.6998733333333336</v>
      </c>
      <c r="Z651" s="23">
        <f t="shared" si="209"/>
        <v>0.79877333333333311</v>
      </c>
      <c r="AA651" s="22">
        <f t="shared" si="210"/>
        <v>85.986121329011993</v>
      </c>
      <c r="AB651" s="22">
        <f t="shared" si="211"/>
        <v>14.013878670988007</v>
      </c>
      <c r="AC651" s="22">
        <f t="shared" si="201"/>
        <v>1.4664305693142556</v>
      </c>
      <c r="AD651" s="22">
        <f t="shared" si="202"/>
        <v>0.20550380077797845</v>
      </c>
      <c r="AE651" s="27">
        <v>16.217099999999999</v>
      </c>
      <c r="AF651" s="27">
        <v>16.376799999999999</v>
      </c>
      <c r="AG651" s="27">
        <v>16.283799999999999</v>
      </c>
      <c r="AH651" s="26">
        <v>6.6699999999999995E-2</v>
      </c>
      <c r="AI651" s="26">
        <v>58.234189100000002</v>
      </c>
      <c r="AJ651" s="26">
        <f t="shared" si="203"/>
        <v>2.9117094550000004</v>
      </c>
      <c r="AK651" s="26">
        <f t="shared" si="204"/>
        <v>33.661380982658962</v>
      </c>
      <c r="AL651" s="26">
        <f t="shared" si="205"/>
        <v>2.9131000584148152</v>
      </c>
      <c r="AM651" s="17">
        <f t="shared" si="212"/>
        <v>0.5780346820809249</v>
      </c>
      <c r="AN651" s="17"/>
      <c r="AO651" s="27"/>
      <c r="AS651" s="49"/>
      <c r="AT651" s="25"/>
      <c r="AU651" s="17"/>
      <c r="AV651" s="17"/>
      <c r="AW651" s="17"/>
      <c r="AX651" s="27"/>
      <c r="BB651" s="17"/>
    </row>
    <row r="652" spans="1:54" x14ac:dyDescent="0.2">
      <c r="A652" s="17" t="s">
        <v>77</v>
      </c>
      <c r="B652" s="17" t="s">
        <v>78</v>
      </c>
      <c r="C652" s="17" t="str">
        <f t="shared" si="195"/>
        <v>HER42PB1D</v>
      </c>
      <c r="D652" s="17" t="str">
        <f t="shared" si="196"/>
        <v>HER42PB1D_121</v>
      </c>
      <c r="E652" s="27" t="s">
        <v>82</v>
      </c>
      <c r="F652" s="17">
        <v>121</v>
      </c>
      <c r="G652" s="20">
        <v>2.4</v>
      </c>
      <c r="H652" s="20">
        <v>2</v>
      </c>
      <c r="I652" s="20">
        <v>1.3</v>
      </c>
      <c r="J652" s="22">
        <f t="shared" si="194"/>
        <v>4.9392200000000015</v>
      </c>
      <c r="K652" s="53">
        <v>6.2820512820512528E-2</v>
      </c>
      <c r="L652" s="45">
        <f t="shared" si="219"/>
        <v>10.915384615384612</v>
      </c>
      <c r="M652" s="45">
        <f t="shared" si="220"/>
        <v>12.215384615384613</v>
      </c>
      <c r="N652" s="46">
        <f t="shared" si="221"/>
        <v>11.565384615384612</v>
      </c>
      <c r="O652" s="20">
        <f t="shared" si="218"/>
        <v>130.91538461538457</v>
      </c>
      <c r="P652" s="20">
        <f t="shared" si="207"/>
        <v>132.21538461538458</v>
      </c>
      <c r="Q652" s="20">
        <f t="shared" si="222"/>
        <v>131.56538461538457</v>
      </c>
      <c r="R652" s="20">
        <f t="shared" si="197"/>
        <v>130.91538461538457</v>
      </c>
      <c r="S652" s="20">
        <f t="shared" si="198"/>
        <v>131.56538461538457</v>
      </c>
      <c r="T652" s="20">
        <f t="shared" si="199"/>
        <v>131.56538461538457</v>
      </c>
      <c r="U652" s="20">
        <f t="shared" si="200"/>
        <v>131.56538461538457</v>
      </c>
      <c r="V652" s="22">
        <v>7.1475999999999997</v>
      </c>
      <c r="W652" s="22">
        <v>2.0746000000000002</v>
      </c>
      <c r="X652" s="23">
        <v>1.1476266666666668</v>
      </c>
      <c r="Y652" s="23">
        <f t="shared" si="208"/>
        <v>5.9999733333333332</v>
      </c>
      <c r="Z652" s="23">
        <f t="shared" si="209"/>
        <v>0.92697333333333343</v>
      </c>
      <c r="AA652" s="22">
        <f t="shared" si="210"/>
        <v>84.550375779447904</v>
      </c>
      <c r="AB652" s="22">
        <f t="shared" si="211"/>
        <v>15.449624220552096</v>
      </c>
      <c r="AC652" s="22">
        <f t="shared" si="201"/>
        <v>1.2147613050913568</v>
      </c>
      <c r="AD652" s="22">
        <f t="shared" si="202"/>
        <v>0.18767605681328897</v>
      </c>
      <c r="AE652" s="27">
        <v>17.055399999999999</v>
      </c>
      <c r="AF652" s="27">
        <v>17.222000000000001</v>
      </c>
      <c r="AG652" s="27">
        <v>17.130800000000001</v>
      </c>
      <c r="AH652" s="26">
        <v>7.5399999999999995E-2</v>
      </c>
      <c r="AI652" s="26">
        <v>54.741896760000003</v>
      </c>
      <c r="AJ652" s="26">
        <f t="shared" si="203"/>
        <v>2.7370948380000004</v>
      </c>
      <c r="AK652" s="26">
        <f t="shared" si="204"/>
        <v>31.642714890173416</v>
      </c>
      <c r="AL652" s="26">
        <f t="shared" si="205"/>
        <v>2.7385741093142335</v>
      </c>
      <c r="AM652" s="17">
        <f t="shared" si="212"/>
        <v>0.5780346820809249</v>
      </c>
      <c r="AN652" s="17"/>
      <c r="AO652" s="27"/>
      <c r="AS652" s="49"/>
      <c r="AT652" s="25"/>
      <c r="AU652" s="17"/>
      <c r="AV652" s="17"/>
      <c r="AW652" s="17"/>
      <c r="AX652" s="27"/>
      <c r="BB652" s="17"/>
    </row>
    <row r="653" spans="1:54" x14ac:dyDescent="0.2">
      <c r="A653" s="17" t="s">
        <v>77</v>
      </c>
      <c r="B653" s="17" t="s">
        <v>78</v>
      </c>
      <c r="C653" s="17" t="str">
        <f t="shared" si="195"/>
        <v>HER42PB1D</v>
      </c>
      <c r="D653" s="17" t="str">
        <f t="shared" si="196"/>
        <v>HER42PB1D_122</v>
      </c>
      <c r="E653" s="27" t="s">
        <v>82</v>
      </c>
      <c r="F653" s="17">
        <v>122</v>
      </c>
      <c r="G653" s="20">
        <v>2.35</v>
      </c>
      <c r="H653" s="20">
        <v>1.9</v>
      </c>
      <c r="I653" s="20">
        <v>1.1499999999999999</v>
      </c>
      <c r="J653" s="22">
        <f t="shared" si="194"/>
        <v>4.0764804687499998</v>
      </c>
      <c r="K653" s="53">
        <v>6.2820512820512528E-2</v>
      </c>
      <c r="L653" s="45">
        <f t="shared" si="219"/>
        <v>12.278205128205125</v>
      </c>
      <c r="M653" s="45">
        <f t="shared" si="220"/>
        <v>13.428205128205125</v>
      </c>
      <c r="N653" s="46">
        <f t="shared" si="221"/>
        <v>12.853205128205126</v>
      </c>
      <c r="O653" s="20">
        <f t="shared" si="218"/>
        <v>132.27820512820509</v>
      </c>
      <c r="P653" s="20">
        <f t="shared" si="207"/>
        <v>133.42820512820509</v>
      </c>
      <c r="Q653" s="20">
        <f t="shared" si="222"/>
        <v>132.8532051282051</v>
      </c>
      <c r="R653" s="20">
        <f t="shared" si="197"/>
        <v>132.27820512820509</v>
      </c>
      <c r="S653" s="20">
        <f t="shared" si="198"/>
        <v>132.8532051282051</v>
      </c>
      <c r="T653" s="20">
        <f t="shared" si="199"/>
        <v>132.8532051282051</v>
      </c>
      <c r="U653" s="20">
        <f t="shared" si="200"/>
        <v>132.8532051282051</v>
      </c>
      <c r="V653" s="22">
        <v>7.3304999999999998</v>
      </c>
      <c r="W653" s="22">
        <v>2.2288000000000001</v>
      </c>
      <c r="X653" s="23">
        <v>1.1476266666666668</v>
      </c>
      <c r="Y653" s="23">
        <f t="shared" si="208"/>
        <v>6.1828733333333332</v>
      </c>
      <c r="Z653" s="23">
        <f t="shared" si="209"/>
        <v>1.0811733333333333</v>
      </c>
      <c r="AA653" s="22">
        <f t="shared" si="210"/>
        <v>82.513416092410111</v>
      </c>
      <c r="AB653" s="22">
        <f t="shared" si="211"/>
        <v>17.486583907589889</v>
      </c>
      <c r="AC653" s="22">
        <f t="shared" si="201"/>
        <v>1.5167184979127919</v>
      </c>
      <c r="AD653" s="22">
        <f t="shared" si="202"/>
        <v>0.26522225277945738</v>
      </c>
      <c r="AE653" s="27">
        <v>17.0791</v>
      </c>
      <c r="AF653" s="27">
        <v>17.205200000000001</v>
      </c>
      <c r="AG653" s="27">
        <v>17.1327</v>
      </c>
      <c r="AH653" s="26">
        <v>5.3600000000000002E-2</v>
      </c>
      <c r="AI653" s="26">
        <v>57.494052340000003</v>
      </c>
      <c r="AJ653" s="26">
        <f t="shared" si="203"/>
        <v>2.8747026170000005</v>
      </c>
      <c r="AK653" s="26">
        <f t="shared" si="204"/>
        <v>33.233556265895956</v>
      </c>
      <c r="AL653" s="26">
        <f t="shared" si="205"/>
        <v>2.876111113324145</v>
      </c>
      <c r="AM653" s="17">
        <f t="shared" si="212"/>
        <v>0.5780346820809249</v>
      </c>
      <c r="AN653" s="17"/>
      <c r="AO653" s="27"/>
      <c r="AS653" s="49"/>
      <c r="AT653" s="25"/>
      <c r="AU653" s="17"/>
      <c r="AV653" s="17"/>
      <c r="AW653" s="17"/>
      <c r="AX653" s="27"/>
      <c r="BB653" s="17"/>
    </row>
    <row r="654" spans="1:54" x14ac:dyDescent="0.2">
      <c r="A654" s="17" t="s">
        <v>77</v>
      </c>
      <c r="B654" s="17" t="s">
        <v>78</v>
      </c>
      <c r="C654" s="17" t="str">
        <f t="shared" si="195"/>
        <v>HER42PB1D</v>
      </c>
      <c r="D654" s="17" t="str">
        <f t="shared" si="196"/>
        <v>HER42PB1D_123</v>
      </c>
      <c r="E654" s="27" t="s">
        <v>82</v>
      </c>
      <c r="F654" s="17">
        <v>123</v>
      </c>
      <c r="G654" s="20">
        <v>2.25</v>
      </c>
      <c r="H654" s="20">
        <v>1.9</v>
      </c>
      <c r="I654" s="20">
        <v>1.1000000000000001</v>
      </c>
      <c r="J654" s="22">
        <f t="shared" si="194"/>
        <v>3.7179071875000012</v>
      </c>
      <c r="K654" s="53">
        <v>6.2820512820512528E-2</v>
      </c>
      <c r="L654" s="45">
        <f t="shared" si="219"/>
        <v>13.491025641025637</v>
      </c>
      <c r="M654" s="45">
        <f t="shared" si="220"/>
        <v>14.591025641025636</v>
      </c>
      <c r="N654" s="46">
        <f t="shared" si="221"/>
        <v>14.041025641025637</v>
      </c>
      <c r="O654" s="20">
        <f t="shared" si="218"/>
        <v>133.4910256410256</v>
      </c>
      <c r="P654" s="20">
        <f t="shared" si="207"/>
        <v>134.5910256410256</v>
      </c>
      <c r="Q654" s="20">
        <f t="shared" si="222"/>
        <v>134.04102564102561</v>
      </c>
      <c r="R654" s="20">
        <f t="shared" si="197"/>
        <v>133.4910256410256</v>
      </c>
      <c r="S654" s="20">
        <f t="shared" si="198"/>
        <v>134.04102564102561</v>
      </c>
      <c r="T654" s="20">
        <f t="shared" si="199"/>
        <v>134.04102564102561</v>
      </c>
      <c r="U654" s="20">
        <f t="shared" si="200"/>
        <v>134.04102564102561</v>
      </c>
      <c r="V654" s="22">
        <v>6.4367000000000001</v>
      </c>
      <c r="W654" s="22">
        <v>1.8723000000000001</v>
      </c>
      <c r="X654" s="23">
        <v>1.1476266666666668</v>
      </c>
      <c r="Y654" s="23">
        <f t="shared" si="208"/>
        <v>5.2890733333333335</v>
      </c>
      <c r="Z654" s="23">
        <f t="shared" si="209"/>
        <v>0.72467333333333328</v>
      </c>
      <c r="AA654" s="22">
        <f t="shared" si="210"/>
        <v>86.298671096764267</v>
      </c>
      <c r="AB654" s="22">
        <f t="shared" si="211"/>
        <v>13.701328903235733</v>
      </c>
      <c r="AC654" s="22">
        <f t="shared" si="201"/>
        <v>1.4225942355731094</v>
      </c>
      <c r="AD654" s="22">
        <f t="shared" si="202"/>
        <v>0.19491431517434377</v>
      </c>
      <c r="AE654" s="27">
        <v>11.860300000000001</v>
      </c>
      <c r="AF654" s="27">
        <v>11.957800000000001</v>
      </c>
      <c r="AG654" s="27">
        <v>11.9001</v>
      </c>
      <c r="AH654" s="26">
        <v>3.9800000000000002E-2</v>
      </c>
      <c r="AI654" s="26">
        <v>59.179487180000002</v>
      </c>
      <c r="AJ654" s="26">
        <f t="shared" si="203"/>
        <v>2.9589743590000004</v>
      </c>
      <c r="AK654" s="26">
        <f t="shared" si="204"/>
        <v>34.207796057803471</v>
      </c>
      <c r="AL654" s="26">
        <f t="shared" si="205"/>
        <v>2.9603427600903687</v>
      </c>
      <c r="AM654" s="17">
        <f t="shared" si="212"/>
        <v>0.5780346820809249</v>
      </c>
      <c r="AN654" s="17"/>
      <c r="AO654" s="27"/>
      <c r="AS654" s="49"/>
      <c r="AT654" s="25"/>
      <c r="AU654" s="17"/>
      <c r="AV654" s="17"/>
      <c r="AW654" s="17"/>
      <c r="AX654" s="27"/>
      <c r="BB654" s="17"/>
    </row>
    <row r="655" spans="1:54" x14ac:dyDescent="0.2">
      <c r="A655" s="17" t="s">
        <v>77</v>
      </c>
      <c r="B655" s="17" t="s">
        <v>78</v>
      </c>
      <c r="C655" s="17" t="str">
        <f t="shared" si="195"/>
        <v>HER42PB1D</v>
      </c>
      <c r="D655" s="17" t="str">
        <f t="shared" si="196"/>
        <v>HER42PB1D_124</v>
      </c>
      <c r="E655" s="27" t="s">
        <v>82</v>
      </c>
      <c r="F655" s="17">
        <v>124</v>
      </c>
      <c r="G655" s="20">
        <v>2.1</v>
      </c>
      <c r="H655" s="20">
        <v>2.0499999999999998</v>
      </c>
      <c r="I655" s="20">
        <v>1.05</v>
      </c>
      <c r="J655" s="22">
        <f t="shared" si="194"/>
        <v>3.5489114062500011</v>
      </c>
      <c r="K655" s="53">
        <v>6.2820512820512528E-2</v>
      </c>
      <c r="L655" s="45">
        <f t="shared" si="219"/>
        <v>14.653846153846148</v>
      </c>
      <c r="M655" s="45">
        <f t="shared" si="220"/>
        <v>15.703846153846149</v>
      </c>
      <c r="N655" s="46">
        <f t="shared" si="221"/>
        <v>15.178846153846148</v>
      </c>
      <c r="O655" s="20">
        <f t="shared" si="218"/>
        <v>134.6538461538461</v>
      </c>
      <c r="P655" s="20">
        <f t="shared" si="207"/>
        <v>135.70384615384611</v>
      </c>
      <c r="Q655" s="20">
        <f t="shared" si="222"/>
        <v>135.17884615384611</v>
      </c>
      <c r="R655" s="20">
        <f t="shared" si="197"/>
        <v>134.6538461538461</v>
      </c>
      <c r="S655" s="20">
        <f t="shared" si="198"/>
        <v>135.17884615384611</v>
      </c>
      <c r="T655" s="20">
        <f t="shared" si="199"/>
        <v>135.17884615384611</v>
      </c>
      <c r="U655" s="20">
        <f t="shared" si="200"/>
        <v>135.17884615384611</v>
      </c>
      <c r="V655" s="22">
        <v>4.9928999999999997</v>
      </c>
      <c r="W655" s="22">
        <v>2.0202</v>
      </c>
      <c r="X655" s="23">
        <v>1.1476266666666668</v>
      </c>
      <c r="Y655" s="23">
        <f t="shared" si="208"/>
        <v>3.8452733333333331</v>
      </c>
      <c r="Z655" s="23">
        <f t="shared" si="209"/>
        <v>0.8725733333333332</v>
      </c>
      <c r="AA655" s="22">
        <f t="shared" si="210"/>
        <v>77.307898354863369</v>
      </c>
      <c r="AB655" s="22">
        <f t="shared" si="211"/>
        <v>22.692101645136631</v>
      </c>
      <c r="AC655" s="22">
        <f t="shared" si="201"/>
        <v>1.0835078403370138</v>
      </c>
      <c r="AD655" s="22">
        <f t="shared" si="202"/>
        <v>0.24587070046229981</v>
      </c>
      <c r="AE655" s="27">
        <v>14.6196</v>
      </c>
      <c r="AF655" s="27">
        <v>14.7479</v>
      </c>
      <c r="AG655" s="27">
        <v>14.6762</v>
      </c>
      <c r="AH655" s="26">
        <v>5.6599999999999998E-2</v>
      </c>
      <c r="AI655" s="26">
        <v>55.88464536</v>
      </c>
      <c r="AJ655" s="26">
        <f t="shared" si="203"/>
        <v>2.794232268</v>
      </c>
      <c r="AK655" s="26">
        <f t="shared" si="204"/>
        <v>32.303263213872832</v>
      </c>
      <c r="AL655" s="26">
        <f t="shared" si="205"/>
        <v>2.7956813065033761</v>
      </c>
      <c r="AM655" s="17">
        <f t="shared" si="212"/>
        <v>0.5780346820809249</v>
      </c>
      <c r="AN655" s="17"/>
      <c r="AO655" s="27"/>
      <c r="AS655" s="49"/>
      <c r="AT655" s="25"/>
      <c r="AU655" s="17"/>
      <c r="AV655" s="17"/>
      <c r="AW655" s="17"/>
      <c r="AX655" s="27"/>
      <c r="BB655" s="17"/>
    </row>
    <row r="656" spans="1:54" x14ac:dyDescent="0.2">
      <c r="A656" s="17" t="s">
        <v>77</v>
      </c>
      <c r="B656" s="17" t="s">
        <v>78</v>
      </c>
      <c r="C656" s="17" t="str">
        <f t="shared" si="195"/>
        <v>HER42PB1D</v>
      </c>
      <c r="D656" s="17" t="str">
        <f t="shared" si="196"/>
        <v>HER42PB1D_125</v>
      </c>
      <c r="E656" s="27" t="s">
        <v>82</v>
      </c>
      <c r="F656" s="17">
        <v>125</v>
      </c>
      <c r="G656" s="20">
        <v>2.2000000000000002</v>
      </c>
      <c r="H656" s="20">
        <v>2.25</v>
      </c>
      <c r="I656" s="20">
        <v>1.25</v>
      </c>
      <c r="J656" s="22">
        <f t="shared" si="194"/>
        <v>4.8578007812500008</v>
      </c>
      <c r="K656" s="53">
        <v>6.2820512820512528E-2</v>
      </c>
      <c r="L656" s="45">
        <f t="shared" si="219"/>
        <v>15.76666666666666</v>
      </c>
      <c r="M656" s="45">
        <f t="shared" si="220"/>
        <v>17.016666666666659</v>
      </c>
      <c r="N656" s="46">
        <f t="shared" si="221"/>
        <v>16.391666666666659</v>
      </c>
      <c r="O656" s="20">
        <f t="shared" si="218"/>
        <v>135.76666666666662</v>
      </c>
      <c r="P656" s="20">
        <f t="shared" si="207"/>
        <v>137.01666666666662</v>
      </c>
      <c r="Q656" s="20">
        <f t="shared" si="222"/>
        <v>136.39166666666662</v>
      </c>
      <c r="R656" s="20">
        <f t="shared" si="197"/>
        <v>135.76666666666662</v>
      </c>
      <c r="S656" s="20">
        <f t="shared" si="198"/>
        <v>136.39166666666662</v>
      </c>
      <c r="T656" s="20">
        <f t="shared" si="199"/>
        <v>136.39166666666662</v>
      </c>
      <c r="U656" s="20">
        <f t="shared" si="200"/>
        <v>136.39166666666662</v>
      </c>
      <c r="V656" s="22">
        <v>6.7412999999999998</v>
      </c>
      <c r="W656" s="22">
        <v>2.0331000000000001</v>
      </c>
      <c r="X656" s="23">
        <v>1.1476266666666668</v>
      </c>
      <c r="Y656" s="23">
        <f t="shared" si="208"/>
        <v>5.5936733333333333</v>
      </c>
      <c r="Z656" s="23">
        <f t="shared" si="209"/>
        <v>0.88547333333333333</v>
      </c>
      <c r="AA656" s="22">
        <f t="shared" si="210"/>
        <v>84.170092163646785</v>
      </c>
      <c r="AB656" s="22">
        <f t="shared" si="211"/>
        <v>15.829907836353215</v>
      </c>
      <c r="AC656" s="22">
        <f t="shared" si="201"/>
        <v>1.1514826534104965</v>
      </c>
      <c r="AD656" s="22">
        <f t="shared" si="202"/>
        <v>0.18227864278647607</v>
      </c>
      <c r="AE656" s="27">
        <v>16.773499999999999</v>
      </c>
      <c r="AF656" s="27">
        <v>16.9404</v>
      </c>
      <c r="AG656" s="27">
        <v>16.8537</v>
      </c>
      <c r="AH656" s="26">
        <v>8.0199999999999994E-2</v>
      </c>
      <c r="AI656" s="26">
        <v>51.947273819999999</v>
      </c>
      <c r="AJ656" s="26">
        <f t="shared" si="203"/>
        <v>2.597363691</v>
      </c>
      <c r="AK656" s="26">
        <f t="shared" si="204"/>
        <v>30.027325907514452</v>
      </c>
      <c r="AL656" s="26">
        <f t="shared" si="205"/>
        <v>2.5989224965983775</v>
      </c>
      <c r="AM656" s="17">
        <f t="shared" si="212"/>
        <v>0.5780346820809249</v>
      </c>
      <c r="AN656" s="17"/>
      <c r="AO656" s="27"/>
      <c r="AS656" s="49"/>
      <c r="AT656" s="25"/>
      <c r="AU656" s="17"/>
      <c r="AV656" s="17"/>
      <c r="AW656" s="17"/>
      <c r="AX656" s="27"/>
      <c r="BB656" s="17"/>
    </row>
    <row r="657" spans="1:54" x14ac:dyDescent="0.2">
      <c r="A657" s="17" t="s">
        <v>77</v>
      </c>
      <c r="B657" s="17" t="s">
        <v>78</v>
      </c>
      <c r="C657" s="17" t="str">
        <f t="shared" si="195"/>
        <v>HER42PB1D</v>
      </c>
      <c r="D657" s="17" t="str">
        <f t="shared" si="196"/>
        <v>HER42PB1D_126</v>
      </c>
      <c r="E657" s="27" t="s">
        <v>82</v>
      </c>
      <c r="F657" s="17">
        <v>126</v>
      </c>
      <c r="G657" s="20">
        <v>2.25</v>
      </c>
      <c r="H657" s="20">
        <v>2</v>
      </c>
      <c r="I657" s="20">
        <v>1.2</v>
      </c>
      <c r="J657" s="22">
        <f t="shared" si="194"/>
        <v>4.25371875</v>
      </c>
      <c r="K657" s="53">
        <v>6.2820512820512528E-2</v>
      </c>
      <c r="L657" s="45">
        <f t="shared" si="219"/>
        <v>17.07948717948717</v>
      </c>
      <c r="M657" s="45">
        <f t="shared" si="220"/>
        <v>18.27948717948717</v>
      </c>
      <c r="N657" s="46">
        <f t="shared" si="221"/>
        <v>17.679487179487168</v>
      </c>
      <c r="O657" s="20">
        <f t="shared" si="218"/>
        <v>137.07948717948713</v>
      </c>
      <c r="P657" s="20">
        <f t="shared" si="207"/>
        <v>138.27948717948712</v>
      </c>
      <c r="Q657" s="20">
        <f t="shared" si="222"/>
        <v>137.67948717948713</v>
      </c>
      <c r="R657" s="20">
        <f t="shared" si="197"/>
        <v>137.07948717948713</v>
      </c>
      <c r="S657" s="20">
        <f t="shared" si="198"/>
        <v>137.67948717948713</v>
      </c>
      <c r="T657" s="20">
        <f t="shared" si="199"/>
        <v>137.67948717948713</v>
      </c>
      <c r="U657" s="20">
        <f t="shared" si="200"/>
        <v>137.67948717948713</v>
      </c>
      <c r="V657" s="22">
        <v>6.1109</v>
      </c>
      <c r="W657" s="22">
        <v>1.9785999999999999</v>
      </c>
      <c r="X657" s="23">
        <v>1.1476266666666668</v>
      </c>
      <c r="Y657" s="23">
        <f t="shared" si="208"/>
        <v>4.9632733333333334</v>
      </c>
      <c r="Z657" s="23">
        <f t="shared" si="209"/>
        <v>0.83097333333333312</v>
      </c>
      <c r="AA657" s="22">
        <f t="shared" si="210"/>
        <v>83.257554490249049</v>
      </c>
      <c r="AB657" s="22">
        <f t="shared" si="211"/>
        <v>16.742445509750951</v>
      </c>
      <c r="AC657" s="22">
        <f t="shared" si="201"/>
        <v>1.1668080625531092</v>
      </c>
      <c r="AD657" s="22">
        <f t="shared" si="202"/>
        <v>0.19535220407633511</v>
      </c>
      <c r="AE657" s="27">
        <v>16.819700000000001</v>
      </c>
      <c r="AF657" s="27">
        <v>16.955100000000002</v>
      </c>
      <c r="AG657" s="27">
        <v>16.897099999999998</v>
      </c>
      <c r="AH657" s="26">
        <v>7.7399999999999997E-2</v>
      </c>
      <c r="AI657" s="26">
        <v>42.836041360000003</v>
      </c>
      <c r="AJ657" s="26">
        <f t="shared" si="203"/>
        <v>2.1418020680000001</v>
      </c>
      <c r="AK657" s="26">
        <f t="shared" si="204"/>
        <v>24.760717549132952</v>
      </c>
      <c r="AL657" s="26">
        <f t="shared" si="205"/>
        <v>2.1436921650482086</v>
      </c>
      <c r="AM657" s="17">
        <f t="shared" si="212"/>
        <v>0.5780346820809249</v>
      </c>
      <c r="AN657" s="17"/>
      <c r="AO657" s="27"/>
      <c r="AS657" s="49"/>
      <c r="AT657" s="25"/>
      <c r="AU657" s="17"/>
      <c r="AV657" s="17"/>
      <c r="AW657" s="17"/>
      <c r="AX657" s="27"/>
      <c r="BB657" s="17"/>
    </row>
    <row r="658" spans="1:54" x14ac:dyDescent="0.2">
      <c r="A658" s="17" t="s">
        <v>77</v>
      </c>
      <c r="B658" s="17" t="s">
        <v>78</v>
      </c>
      <c r="C658" s="17" t="str">
        <f t="shared" si="195"/>
        <v>HER42PB1D</v>
      </c>
      <c r="D658" s="17" t="str">
        <f t="shared" si="196"/>
        <v>HER42PB1D_127</v>
      </c>
      <c r="E658" s="27" t="s">
        <v>82</v>
      </c>
      <c r="F658" s="17">
        <v>127</v>
      </c>
      <c r="G658" s="20">
        <v>2.25</v>
      </c>
      <c r="H658" s="20">
        <v>2.25</v>
      </c>
      <c r="I658" s="20">
        <v>1.2</v>
      </c>
      <c r="J658" s="22">
        <f t="shared" si="194"/>
        <v>4.7688749999999995</v>
      </c>
      <c r="K658" s="53">
        <v>6.2820512820512528E-2</v>
      </c>
      <c r="L658" s="45">
        <f t="shared" si="219"/>
        <v>18.342307692307681</v>
      </c>
      <c r="M658" s="45">
        <f t="shared" si="220"/>
        <v>19.542307692307681</v>
      </c>
      <c r="N658" s="46">
        <f t="shared" si="221"/>
        <v>18.942307692307679</v>
      </c>
      <c r="O658" s="20">
        <f t="shared" si="218"/>
        <v>138.34230769230763</v>
      </c>
      <c r="P658" s="20">
        <f t="shared" si="207"/>
        <v>139.54230769230762</v>
      </c>
      <c r="Q658" s="20">
        <f t="shared" si="222"/>
        <v>138.94230769230762</v>
      </c>
      <c r="R658" s="20">
        <f t="shared" si="197"/>
        <v>138.34230769230763</v>
      </c>
      <c r="S658" s="20">
        <f t="shared" si="198"/>
        <v>138.94230769230762</v>
      </c>
      <c r="T658" s="20">
        <f t="shared" si="199"/>
        <v>138.94230769230762</v>
      </c>
      <c r="U658" s="20">
        <f t="shared" si="200"/>
        <v>138.94230769230762</v>
      </c>
      <c r="V658" s="22">
        <v>7.1060999999999996</v>
      </c>
      <c r="W658" s="22">
        <v>2.2618</v>
      </c>
      <c r="X658" s="23">
        <v>1.1476266666666668</v>
      </c>
      <c r="Y658" s="23">
        <f t="shared" si="208"/>
        <v>5.9584733333333331</v>
      </c>
      <c r="Z658" s="23">
        <f t="shared" si="209"/>
        <v>1.1141733333333332</v>
      </c>
      <c r="AA658" s="22">
        <f t="shared" si="210"/>
        <v>81.301026773077211</v>
      </c>
      <c r="AB658" s="22">
        <f t="shared" si="211"/>
        <v>18.698973226922789</v>
      </c>
      <c r="AC658" s="22">
        <f t="shared" si="201"/>
        <v>1.2494505168060253</v>
      </c>
      <c r="AD658" s="22">
        <f t="shared" si="202"/>
        <v>0.23363441762120696</v>
      </c>
      <c r="AE658" s="27">
        <v>16.289400000000001</v>
      </c>
      <c r="AF658" s="27">
        <v>16.4499</v>
      </c>
      <c r="AG658" s="27">
        <v>16.367699999999999</v>
      </c>
      <c r="AH658" s="26">
        <v>7.8299999999999995E-2</v>
      </c>
      <c r="AI658" s="26">
        <v>51.214953270000002</v>
      </c>
      <c r="AJ658" s="26">
        <f t="shared" si="203"/>
        <v>2.5607476635000004</v>
      </c>
      <c r="AK658" s="26">
        <f t="shared" si="204"/>
        <v>29.604019231213876</v>
      </c>
      <c r="AL658" s="26">
        <f t="shared" si="205"/>
        <v>2.5623287447399701</v>
      </c>
      <c r="AM658" s="17">
        <f t="shared" si="212"/>
        <v>0.5780346820809249</v>
      </c>
      <c r="AN658" s="17"/>
      <c r="AO658" s="27"/>
      <c r="AS658" s="49"/>
      <c r="AT658" s="25"/>
      <c r="AU658" s="17"/>
      <c r="AV658" s="17"/>
      <c r="AW658" s="17"/>
      <c r="AX658" s="27"/>
      <c r="BB658" s="17"/>
    </row>
    <row r="659" spans="1:54" x14ac:dyDescent="0.2">
      <c r="A659" s="17" t="s">
        <v>77</v>
      </c>
      <c r="B659" s="17" t="s">
        <v>78</v>
      </c>
      <c r="C659" s="17" t="str">
        <f t="shared" si="195"/>
        <v>HER42PB1D</v>
      </c>
      <c r="D659" s="17" t="str">
        <f t="shared" si="196"/>
        <v>HER42PB1D_128</v>
      </c>
      <c r="E659" s="27" t="s">
        <v>82</v>
      </c>
      <c r="F659" s="17">
        <v>128</v>
      </c>
      <c r="G659" s="20">
        <v>2.1</v>
      </c>
      <c r="H659" s="20">
        <v>2.1</v>
      </c>
      <c r="I659" s="20">
        <v>1.1499999999999999</v>
      </c>
      <c r="J659" s="22">
        <f t="shared" si="194"/>
        <v>3.9811274999999999</v>
      </c>
      <c r="K659" s="53">
        <v>6.2820512820512528E-2</v>
      </c>
      <c r="L659" s="45">
        <f t="shared" si="219"/>
        <v>19.605128205128192</v>
      </c>
      <c r="M659" s="45">
        <f t="shared" si="220"/>
        <v>20.755128205128191</v>
      </c>
      <c r="N659" s="46">
        <f t="shared" si="221"/>
        <v>20.180128205128192</v>
      </c>
      <c r="O659" s="20">
        <f t="shared" si="218"/>
        <v>139.60512820512812</v>
      </c>
      <c r="P659" s="20">
        <f t="shared" si="207"/>
        <v>140.75512820512813</v>
      </c>
      <c r="Q659" s="20">
        <f t="shared" si="222"/>
        <v>140.18012820512814</v>
      </c>
      <c r="R659" s="20">
        <f t="shared" si="197"/>
        <v>139.60512820512812</v>
      </c>
      <c r="S659" s="20">
        <f t="shared" si="198"/>
        <v>140.18012820512814</v>
      </c>
      <c r="T659" s="20">
        <f t="shared" si="199"/>
        <v>140.18012820512814</v>
      </c>
      <c r="U659" s="20">
        <f t="shared" si="200"/>
        <v>140.18012820512814</v>
      </c>
      <c r="V659" s="22">
        <v>7.0105000000000004</v>
      </c>
      <c r="W659" s="22">
        <v>2.3664999999999998</v>
      </c>
      <c r="X659" s="23">
        <v>1.1476266666666668</v>
      </c>
      <c r="Y659" s="23">
        <f t="shared" si="208"/>
        <v>5.8628733333333338</v>
      </c>
      <c r="Z659" s="23">
        <f t="shared" si="209"/>
        <v>1.218873333333333</v>
      </c>
      <c r="AA659" s="22">
        <f t="shared" si="210"/>
        <v>79.210307573874488</v>
      </c>
      <c r="AB659" s="22">
        <f t="shared" si="211"/>
        <v>20.789692426125512</v>
      </c>
      <c r="AC659" s="22">
        <f t="shared" si="201"/>
        <v>1.4726665582384222</v>
      </c>
      <c r="AD659" s="22">
        <f t="shared" si="202"/>
        <v>0.30616284792017667</v>
      </c>
      <c r="AE659" s="27">
        <v>17.456600000000002</v>
      </c>
      <c r="AF659" s="27">
        <v>17.727</v>
      </c>
      <c r="AG659" s="27">
        <v>17.621200000000002</v>
      </c>
      <c r="AH659" s="26">
        <v>0.1646</v>
      </c>
      <c r="AI659" s="26">
        <v>39.127218929999998</v>
      </c>
      <c r="AJ659" s="26">
        <f t="shared" si="203"/>
        <v>1.9563609465</v>
      </c>
      <c r="AK659" s="26">
        <f t="shared" si="204"/>
        <v>22.616889554913296</v>
      </c>
      <c r="AL659" s="26">
        <f t="shared" si="205"/>
        <v>1.9584300224900497</v>
      </c>
      <c r="AM659" s="17">
        <f t="shared" si="212"/>
        <v>0.5780346820809249</v>
      </c>
      <c r="AN659" s="17"/>
      <c r="AO659" s="27"/>
      <c r="AS659" s="49"/>
      <c r="AT659" s="25"/>
      <c r="AU659" s="17"/>
      <c r="AV659" s="17"/>
      <c r="AW659" s="17"/>
      <c r="AX659" s="27"/>
      <c r="BB659" s="17"/>
    </row>
    <row r="660" spans="1:54" x14ac:dyDescent="0.2">
      <c r="A660" s="17" t="s">
        <v>77</v>
      </c>
      <c r="B660" s="17" t="s">
        <v>78</v>
      </c>
      <c r="C660" s="17" t="str">
        <f t="shared" si="195"/>
        <v>HER42PB1D</v>
      </c>
      <c r="D660" s="17" t="str">
        <f t="shared" si="196"/>
        <v>HER42PB1D_129</v>
      </c>
      <c r="E660" s="27" t="s">
        <v>82</v>
      </c>
      <c r="F660" s="17">
        <v>129</v>
      </c>
      <c r="G660" s="20">
        <v>2.15</v>
      </c>
      <c r="H660" s="20">
        <v>2</v>
      </c>
      <c r="I660" s="20">
        <v>1.1499999999999999</v>
      </c>
      <c r="J660" s="22">
        <f t="shared" ref="J660:J723" si="223">(AVERAGE(G660:H660)*(AVERAGE(G660:H660)*3.14/4*I660))</f>
        <v>3.8869029687500007</v>
      </c>
      <c r="K660" s="53">
        <v>6.2820512820512528E-2</v>
      </c>
      <c r="L660" s="45">
        <f t="shared" si="219"/>
        <v>20.817948717948703</v>
      </c>
      <c r="M660" s="45">
        <f t="shared" si="220"/>
        <v>21.967948717948701</v>
      </c>
      <c r="N660" s="46">
        <f t="shared" si="221"/>
        <v>21.392948717948702</v>
      </c>
      <c r="O660" s="20">
        <f t="shared" si="218"/>
        <v>140.81794871794864</v>
      </c>
      <c r="P660" s="20">
        <f t="shared" si="207"/>
        <v>141.96794871794864</v>
      </c>
      <c r="Q660" s="20">
        <f t="shared" si="222"/>
        <v>141.39294871794863</v>
      </c>
      <c r="R660" s="20">
        <f t="shared" si="197"/>
        <v>140.81794871794864</v>
      </c>
      <c r="S660" s="20">
        <f t="shared" si="198"/>
        <v>141.39294871794863</v>
      </c>
      <c r="T660" s="20">
        <f t="shared" si="199"/>
        <v>141.39294871794863</v>
      </c>
      <c r="U660" s="20">
        <f t="shared" si="200"/>
        <v>141.39294871794863</v>
      </c>
      <c r="V660" s="22">
        <v>7.2133000000000003</v>
      </c>
      <c r="W660" s="22">
        <v>2.3315000000000001</v>
      </c>
      <c r="X660" s="23">
        <v>1.1476266666666668</v>
      </c>
      <c r="Y660" s="23">
        <f t="shared" si="208"/>
        <v>6.0656733333333337</v>
      </c>
      <c r="Z660" s="23">
        <f t="shared" si="209"/>
        <v>1.1838733333333333</v>
      </c>
      <c r="AA660" s="22">
        <f t="shared" si="210"/>
        <v>80.482408658120946</v>
      </c>
      <c r="AB660" s="22">
        <f t="shared" si="211"/>
        <v>19.517591341879054</v>
      </c>
      <c r="AC660" s="22">
        <f t="shared" si="201"/>
        <v>1.5605414856249959</v>
      </c>
      <c r="AD660" s="22">
        <f t="shared" si="202"/>
        <v>0.30458010988477496</v>
      </c>
      <c r="AE660" s="27">
        <v>15.680899999999999</v>
      </c>
      <c r="AF660" s="27">
        <v>15.838900000000001</v>
      </c>
      <c r="AG660" s="27">
        <v>15.767899999999999</v>
      </c>
      <c r="AH660" s="26">
        <v>8.6999999999999994E-2</v>
      </c>
      <c r="AI660" s="26">
        <v>44.936708860000003</v>
      </c>
      <c r="AJ660" s="26">
        <f t="shared" si="203"/>
        <v>2.2468354430000002</v>
      </c>
      <c r="AK660" s="26">
        <f t="shared" si="204"/>
        <v>25.974976219653183</v>
      </c>
      <c r="AL660" s="26">
        <f t="shared" si="205"/>
        <v>2.2486372557442444</v>
      </c>
      <c r="AM660" s="17">
        <f t="shared" si="212"/>
        <v>0.5780346820809249</v>
      </c>
      <c r="AN660" s="17"/>
      <c r="AO660" s="27"/>
      <c r="AS660" s="49"/>
      <c r="AT660" s="25"/>
      <c r="AU660" s="17"/>
      <c r="AV660" s="17"/>
      <c r="AW660" s="17"/>
      <c r="AX660" s="27"/>
      <c r="BB660" s="17"/>
    </row>
    <row r="661" spans="1:54" x14ac:dyDescent="0.2">
      <c r="A661" s="17" t="s">
        <v>77</v>
      </c>
      <c r="B661" s="17" t="s">
        <v>78</v>
      </c>
      <c r="C661" s="17" t="str">
        <f t="shared" ref="C661:C724" si="224">"HER42PB1"&amp;E661</f>
        <v>HER42PB1D</v>
      </c>
      <c r="D661" s="17" t="str">
        <f t="shared" ref="D661:D724" si="225">C661&amp;"_"&amp;F661</f>
        <v>HER42PB1D_130</v>
      </c>
      <c r="E661" s="27" t="s">
        <v>82</v>
      </c>
      <c r="F661" s="17">
        <v>130</v>
      </c>
      <c r="G661" s="20">
        <v>2.2000000000000002</v>
      </c>
      <c r="H661" s="20">
        <v>1.95</v>
      </c>
      <c r="I661" s="20">
        <v>1.1499999999999999</v>
      </c>
      <c r="J661" s="22">
        <f t="shared" si="223"/>
        <v>3.8869029687500007</v>
      </c>
      <c r="K661" s="53">
        <v>6.2820512820512528E-2</v>
      </c>
      <c r="L661" s="45">
        <f t="shared" si="219"/>
        <v>22.030769230769213</v>
      </c>
      <c r="M661" s="45">
        <f t="shared" si="220"/>
        <v>23.180769230769211</v>
      </c>
      <c r="N661" s="46">
        <f t="shared" si="221"/>
        <v>22.605769230769212</v>
      </c>
      <c r="O661" s="20">
        <f t="shared" si="218"/>
        <v>142.03076923076915</v>
      </c>
      <c r="P661" s="20">
        <f t="shared" si="207"/>
        <v>143.18076923076916</v>
      </c>
      <c r="Q661" s="20">
        <f t="shared" si="222"/>
        <v>142.60576923076917</v>
      </c>
      <c r="R661" s="20">
        <f t="shared" ref="R661:R724" si="226">O661</f>
        <v>142.03076923076915</v>
      </c>
      <c r="S661" s="20">
        <f t="shared" ref="S661:S724" si="227">Q661</f>
        <v>142.60576923076917</v>
      </c>
      <c r="T661" s="20">
        <f t="shared" ref="T661:T724" si="228">Q661</f>
        <v>142.60576923076917</v>
      </c>
      <c r="U661" s="20">
        <f t="shared" ref="U661:U724" si="229">T661</f>
        <v>142.60576923076917</v>
      </c>
      <c r="V661" s="22">
        <v>6.9112</v>
      </c>
      <c r="W661" s="22">
        <v>2.3267000000000002</v>
      </c>
      <c r="X661" s="23">
        <v>1.1476266666666668</v>
      </c>
      <c r="Y661" s="23">
        <f t="shared" si="208"/>
        <v>5.7635733333333334</v>
      </c>
      <c r="Z661" s="23">
        <f t="shared" si="209"/>
        <v>1.1790733333333334</v>
      </c>
      <c r="AA661" s="22">
        <f t="shared" si="210"/>
        <v>79.542667974497306</v>
      </c>
      <c r="AB661" s="22">
        <f t="shared" si="211"/>
        <v>20.457332025502694</v>
      </c>
      <c r="AC661" s="22">
        <f t="shared" ref="AC661:AC724" si="230">(V661-X661)/J661</f>
        <v>1.4828189382836217</v>
      </c>
      <c r="AD661" s="22">
        <f t="shared" ref="AD661:AD724" si="231">(W661-X661)/J661</f>
        <v>0.30334519354171446</v>
      </c>
      <c r="AE661" s="27">
        <v>16.6906</v>
      </c>
      <c r="AF661" s="27">
        <v>16.975000000000001</v>
      </c>
      <c r="AG661" s="27">
        <v>16.902200000000001</v>
      </c>
      <c r="AH661" s="26">
        <v>0.21160000000000001</v>
      </c>
      <c r="AI661" s="26">
        <v>25.597749650000001</v>
      </c>
      <c r="AJ661" s="26">
        <f t="shared" ref="AJ661:AJ724" si="232">AI661*0.05</f>
        <v>1.2798874825000002</v>
      </c>
      <c r="AK661" s="26">
        <f t="shared" ref="AK661:AK724" si="233">AI661*AM661</f>
        <v>14.796387080924857</v>
      </c>
      <c r="AL661" s="26">
        <f t="shared" ref="AL661:AL724" si="234">(AJ661^2+0.09^2)^0.5</f>
        <v>1.2830479211082446</v>
      </c>
      <c r="AM661" s="17">
        <f t="shared" si="212"/>
        <v>0.5780346820809249</v>
      </c>
      <c r="AN661" s="17"/>
      <c r="AO661" s="27"/>
      <c r="AS661" s="49"/>
      <c r="AT661" s="25"/>
      <c r="AU661" s="17"/>
      <c r="AV661" s="17"/>
      <c r="AW661" s="17"/>
      <c r="AX661" s="27"/>
      <c r="BB661" s="17"/>
    </row>
    <row r="662" spans="1:54" x14ac:dyDescent="0.2">
      <c r="A662" s="17" t="s">
        <v>77</v>
      </c>
      <c r="B662" s="17" t="s">
        <v>78</v>
      </c>
      <c r="C662" s="17" t="str">
        <f t="shared" si="224"/>
        <v>HER42PB1D</v>
      </c>
      <c r="D662" s="17" t="str">
        <f t="shared" si="225"/>
        <v>HER42PB1D_131</v>
      </c>
      <c r="E662" s="27" t="s">
        <v>82</v>
      </c>
      <c r="F662" s="17">
        <v>131</v>
      </c>
      <c r="G662" s="20">
        <v>2.2000000000000002</v>
      </c>
      <c r="H662" s="20">
        <v>2.1</v>
      </c>
      <c r="I662" s="20">
        <v>1.1499999999999999</v>
      </c>
      <c r="J662" s="22">
        <f t="shared" si="223"/>
        <v>4.1729618750000013</v>
      </c>
      <c r="K662" s="53">
        <v>6.2820512820512528E-2</v>
      </c>
      <c r="L662" s="45">
        <f t="shared" si="219"/>
        <v>23.243589743589723</v>
      </c>
      <c r="M662" s="45">
        <f t="shared" si="220"/>
        <v>24.393589743589722</v>
      </c>
      <c r="N662" s="46">
        <f t="shared" si="221"/>
        <v>23.818589743589722</v>
      </c>
      <c r="O662" s="20">
        <f t="shared" si="218"/>
        <v>143.24358974358967</v>
      </c>
      <c r="P662" s="20">
        <f t="shared" ref="P662:P725" si="235">O662+I662</f>
        <v>144.39358974358967</v>
      </c>
      <c r="Q662" s="20">
        <f t="shared" si="222"/>
        <v>143.81858974358965</v>
      </c>
      <c r="R662" s="20">
        <f t="shared" si="226"/>
        <v>143.24358974358967</v>
      </c>
      <c r="S662" s="20">
        <f t="shared" si="227"/>
        <v>143.81858974358965</v>
      </c>
      <c r="T662" s="20">
        <f t="shared" si="228"/>
        <v>143.81858974358965</v>
      </c>
      <c r="U662" s="20">
        <f t="shared" si="229"/>
        <v>143.81858974358965</v>
      </c>
      <c r="V662" s="22">
        <v>7.8152999999999997</v>
      </c>
      <c r="W662" s="22">
        <v>2.4725999999999999</v>
      </c>
      <c r="X662" s="23">
        <v>1.1476266666666668</v>
      </c>
      <c r="Y662" s="23">
        <f t="shared" ref="Y662:Y725" si="236">V662-X662</f>
        <v>6.6676733333333331</v>
      </c>
      <c r="Z662" s="23">
        <f t="shared" ref="Z662:Z725" si="237">W662-X662</f>
        <v>1.3249733333333331</v>
      </c>
      <c r="AA662" s="22">
        <f t="shared" ref="AA662:AA725" si="238">((Y662-Z662)/Y662)*100</f>
        <v>80.128400611507672</v>
      </c>
      <c r="AB662" s="22">
        <f t="shared" ref="AB662:AB725" si="239">100-AA662</f>
        <v>19.871599388492328</v>
      </c>
      <c r="AC662" s="22">
        <f t="shared" si="230"/>
        <v>1.5978275222879508</v>
      </c>
      <c r="AD662" s="22">
        <f t="shared" si="231"/>
        <v>0.31751388414813464</v>
      </c>
      <c r="AE662" s="27">
        <v>17.233899999999998</v>
      </c>
      <c r="AF662" s="27">
        <v>17.364000000000001</v>
      </c>
      <c r="AG662" s="27">
        <v>17.302099999999999</v>
      </c>
      <c r="AH662" s="26">
        <v>6.8199999999999997E-2</v>
      </c>
      <c r="AI662" s="26">
        <v>47.578785549999999</v>
      </c>
      <c r="AJ662" s="26">
        <f t="shared" si="232"/>
        <v>2.3789392775000002</v>
      </c>
      <c r="AK662" s="26">
        <f t="shared" si="233"/>
        <v>27.502188179190753</v>
      </c>
      <c r="AL662" s="26">
        <f t="shared" si="234"/>
        <v>2.3806411081959045</v>
      </c>
      <c r="AM662" s="17">
        <f t="shared" ref="AM662:AM725" si="240">1/1.73</f>
        <v>0.5780346820809249</v>
      </c>
      <c r="AN662" s="17"/>
      <c r="AO662" s="27"/>
      <c r="AS662" s="49"/>
      <c r="AT662" s="25"/>
      <c r="AU662" s="17"/>
      <c r="AV662" s="17"/>
      <c r="AW662" s="17"/>
      <c r="AX662" s="27"/>
      <c r="BB662" s="17"/>
    </row>
    <row r="663" spans="1:54" x14ac:dyDescent="0.2">
      <c r="A663" s="17" t="s">
        <v>77</v>
      </c>
      <c r="B663" s="17" t="s">
        <v>78</v>
      </c>
      <c r="C663" s="17" t="str">
        <f t="shared" si="224"/>
        <v>HER42PB1D</v>
      </c>
      <c r="D663" s="17" t="str">
        <f t="shared" si="225"/>
        <v>HER42PB1D_132</v>
      </c>
      <c r="E663" s="27" t="s">
        <v>82</v>
      </c>
      <c r="F663" s="17">
        <v>132</v>
      </c>
      <c r="G663" s="20">
        <v>2.2000000000000002</v>
      </c>
      <c r="H663" s="20">
        <v>2</v>
      </c>
      <c r="I663" s="20">
        <v>1.2</v>
      </c>
      <c r="J663" s="22">
        <f t="shared" si="223"/>
        <v>4.1542200000000005</v>
      </c>
      <c r="K663" s="53">
        <v>6.2820512820512528E-2</v>
      </c>
      <c r="L663" s="45">
        <f t="shared" si="219"/>
        <v>24.456410256410233</v>
      </c>
      <c r="M663" s="45">
        <f t="shared" si="220"/>
        <v>25.656410256410233</v>
      </c>
      <c r="N663" s="46">
        <f t="shared" si="221"/>
        <v>25.056410256410231</v>
      </c>
      <c r="O663" s="20">
        <f t="shared" si="218"/>
        <v>144.45641025641018</v>
      </c>
      <c r="P663" s="20">
        <f t="shared" si="235"/>
        <v>145.65641025641017</v>
      </c>
      <c r="Q663" s="20">
        <f t="shared" si="222"/>
        <v>145.05641025641017</v>
      </c>
      <c r="R663" s="20">
        <f t="shared" si="226"/>
        <v>144.45641025641018</v>
      </c>
      <c r="S663" s="20">
        <f t="shared" si="227"/>
        <v>145.05641025641017</v>
      </c>
      <c r="T663" s="20">
        <f t="shared" si="228"/>
        <v>145.05641025641017</v>
      </c>
      <c r="U663" s="20">
        <f t="shared" si="229"/>
        <v>145.05641025641017</v>
      </c>
      <c r="V663" s="22">
        <v>7.2122000000000002</v>
      </c>
      <c r="W663" s="22">
        <v>2.1343000000000001</v>
      </c>
      <c r="X663" s="23">
        <v>1.1476266666666668</v>
      </c>
      <c r="Y663" s="23">
        <f t="shared" si="236"/>
        <v>6.0645733333333336</v>
      </c>
      <c r="Z663" s="23">
        <f t="shared" si="237"/>
        <v>0.98667333333333329</v>
      </c>
      <c r="AA663" s="22">
        <f t="shared" si="238"/>
        <v>83.730539988523518</v>
      </c>
      <c r="AB663" s="22">
        <f t="shared" si="239"/>
        <v>16.269460011476482</v>
      </c>
      <c r="AC663" s="22">
        <f t="shared" si="230"/>
        <v>1.4598584892791746</v>
      </c>
      <c r="AD663" s="22">
        <f t="shared" si="231"/>
        <v>0.23751109313742005</v>
      </c>
      <c r="AE663" s="27">
        <v>16.631699999999999</v>
      </c>
      <c r="AF663" s="27">
        <v>16.786999999999999</v>
      </c>
      <c r="AG663" s="27">
        <v>16.7011</v>
      </c>
      <c r="AH663" s="26">
        <v>6.9400000000000003E-2</v>
      </c>
      <c r="AI663" s="26">
        <v>55.312298779999999</v>
      </c>
      <c r="AJ663" s="26">
        <f t="shared" si="232"/>
        <v>2.7656149390000002</v>
      </c>
      <c r="AK663" s="26">
        <f t="shared" si="233"/>
        <v>31.972427040462431</v>
      </c>
      <c r="AL663" s="26">
        <f t="shared" si="234"/>
        <v>2.767078963604034</v>
      </c>
      <c r="AM663" s="17">
        <f t="shared" si="240"/>
        <v>0.5780346820809249</v>
      </c>
      <c r="AN663" s="17"/>
      <c r="AO663" s="27"/>
      <c r="AS663" s="49"/>
      <c r="AT663" s="25"/>
      <c r="AU663" s="17"/>
      <c r="AV663" s="17"/>
      <c r="AW663" s="17"/>
      <c r="AX663" s="27"/>
      <c r="BB663" s="17"/>
    </row>
    <row r="664" spans="1:54" x14ac:dyDescent="0.2">
      <c r="A664" s="17" t="s">
        <v>77</v>
      </c>
      <c r="B664" s="17" t="s">
        <v>78</v>
      </c>
      <c r="C664" s="17" t="str">
        <f t="shared" si="224"/>
        <v>HER42PB1D</v>
      </c>
      <c r="D664" s="17" t="str">
        <f t="shared" si="225"/>
        <v>HER42PB1D_133</v>
      </c>
      <c r="E664" s="27" t="s">
        <v>82</v>
      </c>
      <c r="F664" s="17">
        <v>133</v>
      </c>
      <c r="G664" s="20">
        <v>2.2000000000000002</v>
      </c>
      <c r="H664" s="20">
        <v>2</v>
      </c>
      <c r="I664" s="20">
        <v>1.2</v>
      </c>
      <c r="J664" s="22">
        <f t="shared" si="223"/>
        <v>4.1542200000000005</v>
      </c>
      <c r="K664" s="53">
        <v>6.2820512820512528E-2</v>
      </c>
      <c r="L664" s="45">
        <f t="shared" si="219"/>
        <v>25.719230769230744</v>
      </c>
      <c r="M664" s="45">
        <f t="shared" si="220"/>
        <v>26.919230769230744</v>
      </c>
      <c r="N664" s="46">
        <f t="shared" si="221"/>
        <v>26.319230769230742</v>
      </c>
      <c r="O664" s="20">
        <f t="shared" si="218"/>
        <v>145.71923076923068</v>
      </c>
      <c r="P664" s="20">
        <f t="shared" si="235"/>
        <v>146.91923076923067</v>
      </c>
      <c r="Q664" s="20">
        <f t="shared" si="222"/>
        <v>146.31923076923067</v>
      </c>
      <c r="R664" s="20">
        <f t="shared" si="226"/>
        <v>145.71923076923068</v>
      </c>
      <c r="S664" s="20">
        <f t="shared" si="227"/>
        <v>146.31923076923067</v>
      </c>
      <c r="T664" s="20">
        <f t="shared" si="228"/>
        <v>146.31923076923067</v>
      </c>
      <c r="U664" s="20">
        <f t="shared" si="229"/>
        <v>146.31923076923067</v>
      </c>
      <c r="V664" s="22">
        <v>7.1391</v>
      </c>
      <c r="W664" s="22">
        <v>2.0636000000000001</v>
      </c>
      <c r="X664" s="23">
        <v>1.1476266666666668</v>
      </c>
      <c r="Y664" s="23">
        <f t="shared" si="236"/>
        <v>5.9914733333333334</v>
      </c>
      <c r="Z664" s="23">
        <f t="shared" si="237"/>
        <v>0.91597333333333331</v>
      </c>
      <c r="AA664" s="22">
        <f t="shared" si="238"/>
        <v>84.712051904873704</v>
      </c>
      <c r="AB664" s="22">
        <f t="shared" si="239"/>
        <v>15.287948095126296</v>
      </c>
      <c r="AC664" s="22">
        <f t="shared" si="230"/>
        <v>1.4422619248218276</v>
      </c>
      <c r="AD664" s="22">
        <f t="shared" si="231"/>
        <v>0.22049225446253043</v>
      </c>
      <c r="AE664" s="27">
        <v>16.918099999999999</v>
      </c>
      <c r="AF664" s="27">
        <v>17.1145</v>
      </c>
      <c r="AG664" s="27">
        <v>16.999099999999999</v>
      </c>
      <c r="AH664" s="26">
        <v>8.1000000000000003E-2</v>
      </c>
      <c r="AI664" s="26">
        <v>58.757637469999999</v>
      </c>
      <c r="AJ664" s="26">
        <f t="shared" si="232"/>
        <v>2.9378818735000003</v>
      </c>
      <c r="AK664" s="26">
        <f t="shared" si="233"/>
        <v>33.963952294797693</v>
      </c>
      <c r="AL664" s="26">
        <f t="shared" si="234"/>
        <v>2.9392600944182998</v>
      </c>
      <c r="AM664" s="17">
        <f t="shared" si="240"/>
        <v>0.5780346820809249</v>
      </c>
      <c r="AN664" s="17"/>
      <c r="AO664" s="27"/>
      <c r="AS664" s="49"/>
      <c r="AT664" s="25"/>
      <c r="AU664" s="17"/>
      <c r="AV664" s="17"/>
      <c r="AW664" s="17"/>
      <c r="AX664" s="27"/>
      <c r="BB664" s="17"/>
    </row>
    <row r="665" spans="1:54" x14ac:dyDescent="0.2">
      <c r="A665" s="17" t="s">
        <v>77</v>
      </c>
      <c r="B665" s="17" t="s">
        <v>78</v>
      </c>
      <c r="C665" s="17" t="str">
        <f t="shared" si="224"/>
        <v>HER42PB1D</v>
      </c>
      <c r="D665" s="17" t="str">
        <f t="shared" si="225"/>
        <v>HER42PB1D_134</v>
      </c>
      <c r="E665" s="27" t="s">
        <v>82</v>
      </c>
      <c r="F665" s="17">
        <v>134</v>
      </c>
      <c r="G665" s="20">
        <v>2.2999999999999998</v>
      </c>
      <c r="H665" s="20">
        <v>1.8</v>
      </c>
      <c r="I665" s="20">
        <v>1.2</v>
      </c>
      <c r="J665" s="22">
        <f t="shared" si="223"/>
        <v>3.9587549999999991</v>
      </c>
      <c r="K665" s="53">
        <v>6.2820512820512528E-2</v>
      </c>
      <c r="L665" s="45">
        <f t="shared" si="219"/>
        <v>26.982051282051255</v>
      </c>
      <c r="M665" s="45">
        <f t="shared" si="220"/>
        <v>28.182051282051255</v>
      </c>
      <c r="N665" s="46">
        <f t="shared" si="221"/>
        <v>27.582051282051253</v>
      </c>
      <c r="O665" s="20">
        <f t="shared" si="218"/>
        <v>146.98205128205117</v>
      </c>
      <c r="P665" s="20">
        <f t="shared" si="235"/>
        <v>148.18205128205116</v>
      </c>
      <c r="Q665" s="20">
        <f t="shared" si="222"/>
        <v>147.58205128205117</v>
      </c>
      <c r="R665" s="20">
        <f t="shared" si="226"/>
        <v>146.98205128205117</v>
      </c>
      <c r="S665" s="20">
        <f t="shared" si="227"/>
        <v>147.58205128205117</v>
      </c>
      <c r="T665" s="20">
        <f t="shared" si="228"/>
        <v>147.58205128205117</v>
      </c>
      <c r="U665" s="20">
        <f t="shared" si="229"/>
        <v>147.58205128205117</v>
      </c>
      <c r="V665" s="22">
        <v>6.4263000000000003</v>
      </c>
      <c r="W665" s="22">
        <v>2.0754999999999999</v>
      </c>
      <c r="X665" s="23">
        <v>1.1476266666666668</v>
      </c>
      <c r="Y665" s="23">
        <f t="shared" si="236"/>
        <v>5.2786733333333338</v>
      </c>
      <c r="Z665" s="23">
        <f t="shared" si="237"/>
        <v>0.92787333333333311</v>
      </c>
      <c r="AA665" s="22">
        <f t="shared" si="238"/>
        <v>82.422224776174829</v>
      </c>
      <c r="AB665" s="22">
        <f t="shared" si="239"/>
        <v>17.577775223825171</v>
      </c>
      <c r="AC665" s="22">
        <f t="shared" si="230"/>
        <v>1.3334175348899679</v>
      </c>
      <c r="AD665" s="22">
        <f t="shared" si="231"/>
        <v>0.23438513707802916</v>
      </c>
      <c r="AE665" s="27">
        <v>16.767700000000001</v>
      </c>
      <c r="AF665" s="27">
        <v>16.917300000000001</v>
      </c>
      <c r="AG665" s="27">
        <v>16.830100000000002</v>
      </c>
      <c r="AH665" s="26">
        <v>6.2399999999999997E-2</v>
      </c>
      <c r="AI665" s="26">
        <v>58.288770049999997</v>
      </c>
      <c r="AJ665" s="26">
        <f t="shared" si="232"/>
        <v>2.9144385024999999</v>
      </c>
      <c r="AK665" s="26">
        <f t="shared" si="233"/>
        <v>33.692930664739883</v>
      </c>
      <c r="AL665" s="26">
        <f t="shared" si="234"/>
        <v>2.9158278043901089</v>
      </c>
      <c r="AM665" s="17">
        <f t="shared" si="240"/>
        <v>0.5780346820809249</v>
      </c>
      <c r="AN665" s="17"/>
      <c r="AO665" s="27"/>
      <c r="AS665" s="49"/>
      <c r="AT665" s="25"/>
      <c r="AU665" s="17"/>
      <c r="AV665" s="17"/>
      <c r="AW665" s="17"/>
      <c r="AX665" s="27"/>
      <c r="BB665" s="17"/>
    </row>
    <row r="666" spans="1:54" x14ac:dyDescent="0.2">
      <c r="A666" s="17" t="s">
        <v>77</v>
      </c>
      <c r="B666" s="17" t="s">
        <v>78</v>
      </c>
      <c r="C666" s="17" t="str">
        <f t="shared" si="224"/>
        <v>HER42PB1D</v>
      </c>
      <c r="D666" s="17" t="str">
        <f t="shared" si="225"/>
        <v>HER42PB1D_135</v>
      </c>
      <c r="E666" s="27" t="s">
        <v>82</v>
      </c>
      <c r="F666" s="17">
        <v>135</v>
      </c>
      <c r="G666" s="20">
        <v>2.2000000000000002</v>
      </c>
      <c r="H666" s="20">
        <v>1.9</v>
      </c>
      <c r="I666" s="20">
        <v>1.1499999999999999</v>
      </c>
      <c r="J666" s="22">
        <f t="shared" si="223"/>
        <v>3.7938068749999991</v>
      </c>
      <c r="K666" s="53">
        <v>6.2820512820512528E-2</v>
      </c>
      <c r="L666" s="45">
        <f t="shared" si="219"/>
        <v>28.244871794871766</v>
      </c>
      <c r="M666" s="45">
        <f t="shared" si="220"/>
        <v>29.394871794871765</v>
      </c>
      <c r="N666" s="46">
        <f t="shared" si="221"/>
        <v>28.819871794871766</v>
      </c>
      <c r="O666" s="20">
        <f t="shared" si="218"/>
        <v>148.24487179487167</v>
      </c>
      <c r="P666" s="20">
        <f t="shared" si="235"/>
        <v>149.39487179487168</v>
      </c>
      <c r="Q666" s="20">
        <f t="shared" si="222"/>
        <v>148.81987179487169</v>
      </c>
      <c r="R666" s="20">
        <f t="shared" si="226"/>
        <v>148.24487179487167</v>
      </c>
      <c r="S666" s="20">
        <f t="shared" si="227"/>
        <v>148.81987179487169</v>
      </c>
      <c r="T666" s="20">
        <f t="shared" si="228"/>
        <v>148.81987179487169</v>
      </c>
      <c r="U666" s="20">
        <f t="shared" si="229"/>
        <v>148.81987179487169</v>
      </c>
      <c r="V666" s="22">
        <v>6.7601000000000004</v>
      </c>
      <c r="W666" s="22">
        <v>2.0644</v>
      </c>
      <c r="X666" s="23">
        <v>1.1476266666666668</v>
      </c>
      <c r="Y666" s="23">
        <f t="shared" si="236"/>
        <v>5.6124733333333339</v>
      </c>
      <c r="Z666" s="23">
        <f t="shared" si="237"/>
        <v>0.91677333333333322</v>
      </c>
      <c r="AA666" s="22">
        <f t="shared" si="238"/>
        <v>83.665430927066026</v>
      </c>
      <c r="AB666" s="22">
        <f t="shared" si="239"/>
        <v>16.334569072933974</v>
      </c>
      <c r="AC666" s="22">
        <f t="shared" si="230"/>
        <v>1.4793777116905391</v>
      </c>
      <c r="AD666" s="22">
        <f t="shared" si="231"/>
        <v>0.24164997416568113</v>
      </c>
      <c r="AE666" s="27">
        <v>15.849</v>
      </c>
      <c r="AF666" s="27">
        <v>15.965299999999999</v>
      </c>
      <c r="AG666" s="27">
        <v>15.8965</v>
      </c>
      <c r="AH666" s="26">
        <v>4.7500000000000001E-2</v>
      </c>
      <c r="AI666" s="26">
        <v>59.157351679999998</v>
      </c>
      <c r="AJ666" s="26">
        <f t="shared" si="232"/>
        <v>2.9578675840000002</v>
      </c>
      <c r="AK666" s="26">
        <f t="shared" si="233"/>
        <v>34.195000971098267</v>
      </c>
      <c r="AL666" s="26">
        <f t="shared" si="234"/>
        <v>2.9592364968819234</v>
      </c>
      <c r="AM666" s="17">
        <f t="shared" si="240"/>
        <v>0.5780346820809249</v>
      </c>
      <c r="AN666" s="17"/>
      <c r="AO666" s="27"/>
      <c r="AS666" s="49"/>
      <c r="AT666" s="25"/>
      <c r="AU666" s="17"/>
      <c r="AV666" s="17"/>
      <c r="AW666" s="17"/>
      <c r="AX666" s="27"/>
      <c r="BB666" s="17"/>
    </row>
    <row r="667" spans="1:54" x14ac:dyDescent="0.2">
      <c r="A667" s="17" t="s">
        <v>77</v>
      </c>
      <c r="B667" s="17" t="s">
        <v>78</v>
      </c>
      <c r="C667" s="17" t="str">
        <f t="shared" si="224"/>
        <v>HER42PB1D</v>
      </c>
      <c r="D667" s="17" t="str">
        <f t="shared" si="225"/>
        <v>HER42PB1D_136</v>
      </c>
      <c r="E667" s="27" t="s">
        <v>82</v>
      </c>
      <c r="F667" s="17">
        <v>136</v>
      </c>
      <c r="G667" s="20">
        <v>2.15</v>
      </c>
      <c r="H667" s="20">
        <v>2.1</v>
      </c>
      <c r="I667" s="20">
        <v>1.1499999999999999</v>
      </c>
      <c r="J667" s="22">
        <f t="shared" si="223"/>
        <v>4.0764804687499998</v>
      </c>
      <c r="K667" s="53">
        <v>6.2820512820512528E-2</v>
      </c>
      <c r="L667" s="45">
        <f t="shared" si="219"/>
        <v>29.457692307692277</v>
      </c>
      <c r="M667" s="45">
        <f t="shared" si="220"/>
        <v>30.607692307692275</v>
      </c>
      <c r="N667" s="46">
        <f t="shared" si="221"/>
        <v>30.032692307692276</v>
      </c>
      <c r="O667" s="20">
        <f t="shared" si="218"/>
        <v>149.45769230769218</v>
      </c>
      <c r="P667" s="20">
        <f t="shared" si="235"/>
        <v>150.60769230769219</v>
      </c>
      <c r="Q667" s="20">
        <f t="shared" si="222"/>
        <v>150.03269230769217</v>
      </c>
      <c r="R667" s="20">
        <f t="shared" si="226"/>
        <v>149.45769230769218</v>
      </c>
      <c r="S667" s="20">
        <f t="shared" si="227"/>
        <v>150.03269230769217</v>
      </c>
      <c r="T667" s="20">
        <f t="shared" si="228"/>
        <v>150.03269230769217</v>
      </c>
      <c r="U667" s="20">
        <f t="shared" si="229"/>
        <v>150.03269230769217</v>
      </c>
      <c r="V667" s="22">
        <v>6.6932</v>
      </c>
      <c r="W667" s="22">
        <v>2.0097</v>
      </c>
      <c r="X667" s="23">
        <v>1.1476266666666668</v>
      </c>
      <c r="Y667" s="23">
        <f t="shared" si="236"/>
        <v>5.5455733333333335</v>
      </c>
      <c r="Z667" s="23">
        <f t="shared" si="237"/>
        <v>0.86207333333333325</v>
      </c>
      <c r="AA667" s="22">
        <f t="shared" si="238"/>
        <v>84.454748291730581</v>
      </c>
      <c r="AB667" s="22">
        <f t="shared" si="239"/>
        <v>15.545251708269419</v>
      </c>
      <c r="AC667" s="22">
        <f t="shared" si="230"/>
        <v>1.3603826575020515</v>
      </c>
      <c r="AD667" s="22">
        <f t="shared" si="231"/>
        <v>0.21147490830433854</v>
      </c>
      <c r="AE667" s="27">
        <v>16.279900000000001</v>
      </c>
      <c r="AF667" s="27">
        <v>16.4512</v>
      </c>
      <c r="AG667" s="27">
        <v>16.375599999999999</v>
      </c>
      <c r="AH667" s="26">
        <v>9.5699999999999993E-2</v>
      </c>
      <c r="AI667" s="26">
        <v>44.133099819999998</v>
      </c>
      <c r="AJ667" s="26">
        <f t="shared" si="232"/>
        <v>2.2066549910000002</v>
      </c>
      <c r="AK667" s="26">
        <f t="shared" si="233"/>
        <v>25.510462323699421</v>
      </c>
      <c r="AL667" s="26">
        <f t="shared" si="234"/>
        <v>2.2084895855097915</v>
      </c>
      <c r="AM667" s="17">
        <f t="shared" si="240"/>
        <v>0.5780346820809249</v>
      </c>
      <c r="AN667" s="17"/>
      <c r="AO667" s="27"/>
      <c r="AS667" s="49"/>
      <c r="AT667" s="25"/>
      <c r="AU667" s="17"/>
      <c r="AV667" s="17"/>
      <c r="AW667" s="17"/>
      <c r="AX667" s="27"/>
      <c r="BB667" s="17"/>
    </row>
    <row r="668" spans="1:54" x14ac:dyDescent="0.2">
      <c r="A668" s="17" t="s">
        <v>77</v>
      </c>
      <c r="B668" s="17" t="s">
        <v>78</v>
      </c>
      <c r="C668" s="17" t="str">
        <f t="shared" si="224"/>
        <v>HER42PB1D</v>
      </c>
      <c r="D668" s="17" t="str">
        <f t="shared" si="225"/>
        <v>HER42PB1D_137</v>
      </c>
      <c r="E668" s="27" t="s">
        <v>82</v>
      </c>
      <c r="F668" s="17">
        <v>137</v>
      </c>
      <c r="G668" s="20">
        <v>2</v>
      </c>
      <c r="H668" s="20">
        <v>2.2999999999999998</v>
      </c>
      <c r="I668" s="20">
        <v>1.25</v>
      </c>
      <c r="J668" s="22">
        <f t="shared" si="223"/>
        <v>4.5358281250000001</v>
      </c>
      <c r="K668" s="53">
        <v>6.2820512820512528E-2</v>
      </c>
      <c r="L668" s="45">
        <f t="shared" si="219"/>
        <v>30.670512820512787</v>
      </c>
      <c r="M668" s="45">
        <f t="shared" si="220"/>
        <v>31.920512820512787</v>
      </c>
      <c r="N668" s="46">
        <f t="shared" si="221"/>
        <v>31.295512820512787</v>
      </c>
      <c r="O668" s="20">
        <f t="shared" si="218"/>
        <v>150.6705128205127</v>
      </c>
      <c r="P668" s="20">
        <f t="shared" si="235"/>
        <v>151.9205128205127</v>
      </c>
      <c r="Q668" s="20">
        <f t="shared" si="222"/>
        <v>151.2955128205127</v>
      </c>
      <c r="R668" s="20">
        <f t="shared" si="226"/>
        <v>150.6705128205127</v>
      </c>
      <c r="S668" s="20">
        <f t="shared" si="227"/>
        <v>151.2955128205127</v>
      </c>
      <c r="T668" s="20">
        <f t="shared" si="228"/>
        <v>151.2955128205127</v>
      </c>
      <c r="U668" s="20">
        <f t="shared" si="229"/>
        <v>151.2955128205127</v>
      </c>
      <c r="V668" s="22">
        <v>7.5008999999999997</v>
      </c>
      <c r="W668" s="22">
        <v>2.1606999999999998</v>
      </c>
      <c r="X668" s="23">
        <v>1.1476266666666668</v>
      </c>
      <c r="Y668" s="23">
        <f t="shared" si="236"/>
        <v>6.3532733333333331</v>
      </c>
      <c r="Z668" s="23">
        <f t="shared" si="237"/>
        <v>1.013073333333333</v>
      </c>
      <c r="AA668" s="22">
        <f t="shared" si="238"/>
        <v>84.05430901236214</v>
      </c>
      <c r="AB668" s="22">
        <f t="shared" si="239"/>
        <v>15.94569098763786</v>
      </c>
      <c r="AC668" s="22">
        <f t="shared" si="230"/>
        <v>1.4006865247640601</v>
      </c>
      <c r="AD668" s="22">
        <f t="shared" si="231"/>
        <v>0.22334914494436076</v>
      </c>
      <c r="AE668" s="27">
        <v>14.037000000000001</v>
      </c>
      <c r="AF668" s="27">
        <v>14.136100000000001</v>
      </c>
      <c r="AG668" s="27">
        <v>14.069599999999999</v>
      </c>
      <c r="AH668" s="26">
        <v>3.2599999999999997E-2</v>
      </c>
      <c r="AI668" s="26">
        <v>67.103935419999999</v>
      </c>
      <c r="AJ668" s="26">
        <f t="shared" si="232"/>
        <v>3.3551967710000001</v>
      </c>
      <c r="AK668" s="26">
        <f t="shared" si="233"/>
        <v>38.788401976878617</v>
      </c>
      <c r="AL668" s="26">
        <f t="shared" si="234"/>
        <v>3.3564036366517107</v>
      </c>
      <c r="AM668" s="17">
        <f t="shared" si="240"/>
        <v>0.5780346820809249</v>
      </c>
      <c r="AN668" s="17"/>
      <c r="AO668" s="27"/>
      <c r="AS668" s="49"/>
      <c r="AT668" s="25"/>
      <c r="AU668" s="17"/>
      <c r="AV668" s="17"/>
      <c r="AW668" s="17"/>
      <c r="AX668" s="27"/>
      <c r="BB668" s="17"/>
    </row>
    <row r="669" spans="1:54" x14ac:dyDescent="0.2">
      <c r="A669" s="17" t="s">
        <v>77</v>
      </c>
      <c r="B669" s="17" t="s">
        <v>78</v>
      </c>
      <c r="C669" s="17" t="str">
        <f t="shared" si="224"/>
        <v>HER42PB1D</v>
      </c>
      <c r="D669" s="17" t="str">
        <f t="shared" si="225"/>
        <v>HER42PB1D_138</v>
      </c>
      <c r="E669" s="27" t="s">
        <v>82</v>
      </c>
      <c r="F669" s="17">
        <v>138</v>
      </c>
      <c r="G669" s="20">
        <v>2.2000000000000002</v>
      </c>
      <c r="H669" s="20">
        <v>2</v>
      </c>
      <c r="I669" s="20">
        <v>1.1000000000000001</v>
      </c>
      <c r="J669" s="22">
        <f t="shared" si="223"/>
        <v>3.8080350000000007</v>
      </c>
      <c r="K669" s="53">
        <v>6.2820512820512528E-2</v>
      </c>
      <c r="L669" s="45">
        <f t="shared" si="219"/>
        <v>31.983333333333299</v>
      </c>
      <c r="M669" s="45">
        <f t="shared" si="220"/>
        <v>33.0833333333333</v>
      </c>
      <c r="N669" s="46">
        <f t="shared" si="221"/>
        <v>32.533333333333303</v>
      </c>
      <c r="O669" s="20">
        <f t="shared" si="218"/>
        <v>151.98333333333321</v>
      </c>
      <c r="P669" s="20">
        <f t="shared" si="235"/>
        <v>153.0833333333332</v>
      </c>
      <c r="Q669" s="20">
        <f t="shared" si="222"/>
        <v>152.53333333333319</v>
      </c>
      <c r="R669" s="20">
        <f t="shared" si="226"/>
        <v>151.98333333333321</v>
      </c>
      <c r="S669" s="20">
        <f t="shared" si="227"/>
        <v>152.53333333333319</v>
      </c>
      <c r="T669" s="20">
        <f t="shared" si="228"/>
        <v>152.53333333333319</v>
      </c>
      <c r="U669" s="20">
        <f t="shared" si="229"/>
        <v>152.53333333333319</v>
      </c>
      <c r="V669" s="22">
        <v>7.0115999999999996</v>
      </c>
      <c r="W669" s="22">
        <v>2.2383000000000002</v>
      </c>
      <c r="X669" s="23">
        <v>1.1476266666666668</v>
      </c>
      <c r="Y669" s="23">
        <f t="shared" si="236"/>
        <v>5.863973333333333</v>
      </c>
      <c r="Z669" s="23">
        <f t="shared" si="237"/>
        <v>1.0906733333333334</v>
      </c>
      <c r="AA669" s="22">
        <f t="shared" si="238"/>
        <v>81.400438383075866</v>
      </c>
      <c r="AB669" s="22">
        <f t="shared" si="239"/>
        <v>18.599561616924134</v>
      </c>
      <c r="AC669" s="22">
        <f t="shared" si="230"/>
        <v>1.5398948101404877</v>
      </c>
      <c r="AD669" s="22">
        <f t="shared" si="231"/>
        <v>0.28641368404789691</v>
      </c>
      <c r="AE669" s="27">
        <v>13.074</v>
      </c>
      <c r="AF669" s="27">
        <v>13.2403</v>
      </c>
      <c r="AG669" s="27">
        <v>13.1531</v>
      </c>
      <c r="AH669" s="26">
        <v>7.9100000000000004E-2</v>
      </c>
      <c r="AI669" s="26">
        <v>52.435357789999998</v>
      </c>
      <c r="AJ669" s="26">
        <f t="shared" si="232"/>
        <v>2.6217678895000001</v>
      </c>
      <c r="AK669" s="26">
        <f t="shared" si="233"/>
        <v>30.309455369942196</v>
      </c>
      <c r="AL669" s="26">
        <f t="shared" si="234"/>
        <v>2.6233121938521315</v>
      </c>
      <c r="AM669" s="17">
        <f t="shared" si="240"/>
        <v>0.5780346820809249</v>
      </c>
      <c r="AN669" s="17"/>
      <c r="AO669" s="27"/>
      <c r="AS669" s="49"/>
      <c r="AT669" s="25"/>
      <c r="AU669" s="17"/>
      <c r="AV669" s="17"/>
      <c r="AW669" s="17"/>
      <c r="AX669" s="27"/>
      <c r="BB669" s="17"/>
    </row>
    <row r="670" spans="1:54" x14ac:dyDescent="0.2">
      <c r="A670" s="17" t="s">
        <v>77</v>
      </c>
      <c r="B670" s="17" t="s">
        <v>78</v>
      </c>
      <c r="C670" s="17" t="str">
        <f t="shared" si="224"/>
        <v>HER42PB1D</v>
      </c>
      <c r="D670" s="17" t="str">
        <f t="shared" si="225"/>
        <v>HER42PB1D_139</v>
      </c>
      <c r="E670" s="27" t="s">
        <v>82</v>
      </c>
      <c r="F670" s="17">
        <v>139</v>
      </c>
      <c r="G670" s="20">
        <v>2.2000000000000002</v>
      </c>
      <c r="H670" s="20">
        <v>2.15</v>
      </c>
      <c r="I670" s="20">
        <v>1.2</v>
      </c>
      <c r="J670" s="22">
        <f t="shared" si="223"/>
        <v>4.4562487499999994</v>
      </c>
      <c r="K670" s="53">
        <v>6.2820512820512528E-2</v>
      </c>
      <c r="L670" s="45">
        <f t="shared" si="219"/>
        <v>33.146153846153815</v>
      </c>
      <c r="M670" s="45">
        <f t="shared" si="220"/>
        <v>34.346153846153818</v>
      </c>
      <c r="N670" s="46">
        <f t="shared" si="221"/>
        <v>33.746153846153817</v>
      </c>
      <c r="O670" s="20">
        <f t="shared" si="218"/>
        <v>153.14615384615371</v>
      </c>
      <c r="P670" s="20">
        <f t="shared" si="235"/>
        <v>154.3461538461537</v>
      </c>
      <c r="Q670" s="20">
        <f t="shared" si="222"/>
        <v>153.7461538461537</v>
      </c>
      <c r="R670" s="20">
        <f t="shared" si="226"/>
        <v>153.14615384615371</v>
      </c>
      <c r="S670" s="20">
        <f t="shared" si="227"/>
        <v>153.7461538461537</v>
      </c>
      <c r="T670" s="20">
        <f t="shared" si="228"/>
        <v>153.7461538461537</v>
      </c>
      <c r="U670" s="20">
        <f t="shared" si="229"/>
        <v>153.7461538461537</v>
      </c>
      <c r="V670" s="22">
        <v>7.7495000000000003</v>
      </c>
      <c r="W670" s="22">
        <v>2.4028999999999998</v>
      </c>
      <c r="X670" s="23">
        <v>1.1476266666666668</v>
      </c>
      <c r="Y670" s="23">
        <f t="shared" si="236"/>
        <v>6.6018733333333337</v>
      </c>
      <c r="Z670" s="23">
        <f t="shared" si="237"/>
        <v>1.255273333333333</v>
      </c>
      <c r="AA670" s="22">
        <f t="shared" si="238"/>
        <v>80.986103944234017</v>
      </c>
      <c r="AB670" s="22">
        <f t="shared" si="239"/>
        <v>19.013896055765983</v>
      </c>
      <c r="AC670" s="22">
        <f t="shared" si="230"/>
        <v>1.4814867175745821</v>
      </c>
      <c r="AD670" s="22">
        <f t="shared" si="231"/>
        <v>0.28168834455961039</v>
      </c>
      <c r="AE670" s="27">
        <v>13.900700000000001</v>
      </c>
      <c r="AF670" s="27">
        <v>14.0701</v>
      </c>
      <c r="AG670" s="27">
        <v>13.9893</v>
      </c>
      <c r="AH670" s="26">
        <v>8.8599999999999998E-2</v>
      </c>
      <c r="AI670" s="26">
        <v>47.69775679</v>
      </c>
      <c r="AJ670" s="26">
        <f t="shared" si="232"/>
        <v>2.3848878395000002</v>
      </c>
      <c r="AK670" s="26">
        <f t="shared" si="233"/>
        <v>27.570957682080927</v>
      </c>
      <c r="AL670" s="26">
        <f t="shared" si="234"/>
        <v>2.3865854283882189</v>
      </c>
      <c r="AM670" s="17">
        <f t="shared" si="240"/>
        <v>0.5780346820809249</v>
      </c>
      <c r="AN670" s="17"/>
      <c r="AO670" s="27"/>
      <c r="AS670" s="49"/>
      <c r="AT670" s="25"/>
      <c r="AU670" s="17"/>
      <c r="AV670" s="17"/>
      <c r="AW670" s="17"/>
      <c r="AX670" s="27"/>
      <c r="BB670" s="17"/>
    </row>
    <row r="671" spans="1:54" x14ac:dyDescent="0.2">
      <c r="A671" s="17" t="s">
        <v>77</v>
      </c>
      <c r="B671" s="17" t="s">
        <v>78</v>
      </c>
      <c r="C671" s="17" t="str">
        <f t="shared" si="224"/>
        <v>HER42PB1D</v>
      </c>
      <c r="D671" s="17" t="str">
        <f t="shared" si="225"/>
        <v>HER42PB1D_140</v>
      </c>
      <c r="E671" s="27" t="s">
        <v>82</v>
      </c>
      <c r="F671" s="17">
        <v>140</v>
      </c>
      <c r="G671" s="20">
        <v>2</v>
      </c>
      <c r="H671" s="20">
        <v>2.1</v>
      </c>
      <c r="I671" s="20">
        <v>1.2</v>
      </c>
      <c r="J671" s="22">
        <f t="shared" si="223"/>
        <v>3.9587549999999991</v>
      </c>
      <c r="K671" s="53">
        <v>6.2820512820512528E-2</v>
      </c>
      <c r="L671" s="45">
        <f t="shared" si="219"/>
        <v>34.408974358974334</v>
      </c>
      <c r="M671" s="45">
        <f t="shared" si="220"/>
        <v>35.608974358974336</v>
      </c>
      <c r="N671" s="46">
        <f t="shared" si="221"/>
        <v>35.008974358974335</v>
      </c>
      <c r="O671" s="20">
        <f t="shared" si="218"/>
        <v>154.40897435897421</v>
      </c>
      <c r="P671" s="20">
        <f t="shared" si="235"/>
        <v>155.60897435897419</v>
      </c>
      <c r="Q671" s="20">
        <f t="shared" si="222"/>
        <v>155.0089743589742</v>
      </c>
      <c r="R671" s="20">
        <f t="shared" si="226"/>
        <v>154.40897435897421</v>
      </c>
      <c r="S671" s="20">
        <f t="shared" si="227"/>
        <v>155.0089743589742</v>
      </c>
      <c r="T671" s="20">
        <f t="shared" si="228"/>
        <v>155.0089743589742</v>
      </c>
      <c r="U671" s="20">
        <f t="shared" si="229"/>
        <v>155.0089743589742</v>
      </c>
      <c r="V671" s="22">
        <v>6.9722999999999997</v>
      </c>
      <c r="W671" s="22">
        <v>2.1042000000000001</v>
      </c>
      <c r="X671" s="23">
        <v>1.1476266666666668</v>
      </c>
      <c r="Y671" s="23">
        <f t="shared" si="236"/>
        <v>5.8246733333333331</v>
      </c>
      <c r="Z671" s="23">
        <f t="shared" si="237"/>
        <v>0.95657333333333328</v>
      </c>
      <c r="AA671" s="22">
        <f t="shared" si="238"/>
        <v>83.577219208859788</v>
      </c>
      <c r="AB671" s="22">
        <f t="shared" si="239"/>
        <v>16.422780791140212</v>
      </c>
      <c r="AC671" s="22">
        <f t="shared" si="230"/>
        <v>1.4713396846567506</v>
      </c>
      <c r="AD671" s="22">
        <f t="shared" si="231"/>
        <v>0.24163489110423189</v>
      </c>
      <c r="AE671" s="27">
        <v>17.389199999999999</v>
      </c>
      <c r="AF671" s="27">
        <v>17.630500000000001</v>
      </c>
      <c r="AG671" s="27">
        <v>17.534199999999998</v>
      </c>
      <c r="AH671" s="26">
        <v>0.14499999999999999</v>
      </c>
      <c r="AI671" s="26">
        <v>39.908827189999997</v>
      </c>
      <c r="AJ671" s="26">
        <f t="shared" si="232"/>
        <v>1.9954413595</v>
      </c>
      <c r="AK671" s="26">
        <f t="shared" si="233"/>
        <v>23.068686236994221</v>
      </c>
      <c r="AL671" s="26">
        <f t="shared" si="234"/>
        <v>1.9974699545182673</v>
      </c>
      <c r="AM671" s="17">
        <f t="shared" si="240"/>
        <v>0.5780346820809249</v>
      </c>
      <c r="AN671" s="17"/>
      <c r="AO671" s="27"/>
      <c r="AS671" s="49"/>
      <c r="AT671" s="25"/>
      <c r="AU671" s="17"/>
      <c r="AV671" s="17"/>
      <c r="AW671" s="17"/>
      <c r="AX671" s="27"/>
      <c r="BB671" s="17"/>
    </row>
    <row r="672" spans="1:54" x14ac:dyDescent="0.2">
      <c r="A672" s="17" t="s">
        <v>77</v>
      </c>
      <c r="B672" s="17" t="s">
        <v>78</v>
      </c>
      <c r="C672" s="17" t="str">
        <f t="shared" si="224"/>
        <v>HER42PB1D</v>
      </c>
      <c r="D672" s="17" t="str">
        <f t="shared" si="225"/>
        <v>HER42PB1D_141</v>
      </c>
      <c r="E672" s="27" t="s">
        <v>82</v>
      </c>
      <c r="F672" s="17">
        <v>141</v>
      </c>
      <c r="G672" s="20">
        <v>2.2000000000000002</v>
      </c>
      <c r="H672" s="20">
        <v>2.1</v>
      </c>
      <c r="I672" s="20">
        <v>1.1499999999999999</v>
      </c>
      <c r="J672" s="22">
        <f t="shared" si="223"/>
        <v>4.1729618750000013</v>
      </c>
      <c r="K672" s="53">
        <v>6.2820512820512528E-2</v>
      </c>
      <c r="L672" s="45">
        <f t="shared" si="219"/>
        <v>35.671794871794852</v>
      </c>
      <c r="M672" s="45">
        <f t="shared" si="220"/>
        <v>36.82179487179485</v>
      </c>
      <c r="N672" s="46">
        <f t="shared" si="221"/>
        <v>36.246794871794847</v>
      </c>
      <c r="O672" s="20">
        <f t="shared" si="218"/>
        <v>155.6717948717947</v>
      </c>
      <c r="P672" s="20">
        <f t="shared" si="235"/>
        <v>156.82179487179471</v>
      </c>
      <c r="Q672" s="20">
        <f t="shared" si="222"/>
        <v>156.24679487179469</v>
      </c>
      <c r="R672" s="20">
        <f t="shared" si="226"/>
        <v>155.6717948717947</v>
      </c>
      <c r="S672" s="20">
        <f t="shared" si="227"/>
        <v>156.24679487179469</v>
      </c>
      <c r="T672" s="20">
        <f t="shared" si="228"/>
        <v>156.24679487179469</v>
      </c>
      <c r="U672" s="20">
        <f t="shared" si="229"/>
        <v>156.24679487179469</v>
      </c>
      <c r="V672" s="22">
        <v>7.4912999999999998</v>
      </c>
      <c r="W672" s="22">
        <v>2.3397000000000001</v>
      </c>
      <c r="X672" s="23">
        <v>1.1476266666666668</v>
      </c>
      <c r="Y672" s="23">
        <f t="shared" si="236"/>
        <v>6.3436733333333333</v>
      </c>
      <c r="Z672" s="23">
        <f t="shared" si="237"/>
        <v>1.1920733333333333</v>
      </c>
      <c r="AA672" s="22">
        <f t="shared" si="238"/>
        <v>81.208469120414989</v>
      </c>
      <c r="AB672" s="22">
        <f t="shared" si="239"/>
        <v>18.791530879585011</v>
      </c>
      <c r="AC672" s="22">
        <f t="shared" si="230"/>
        <v>1.5201848287514803</v>
      </c>
      <c r="AD672" s="22">
        <f t="shared" si="231"/>
        <v>0.28566600152160099</v>
      </c>
      <c r="AE672" s="27">
        <v>14.7742</v>
      </c>
      <c r="AF672" s="27">
        <v>14.902699999999999</v>
      </c>
      <c r="AG672" s="27">
        <v>14.8255</v>
      </c>
      <c r="AH672" s="26">
        <v>5.1299999999999998E-2</v>
      </c>
      <c r="AI672" s="26">
        <v>60.077821010000001</v>
      </c>
      <c r="AJ672" s="26">
        <f t="shared" si="232"/>
        <v>3.0038910505</v>
      </c>
      <c r="AK672" s="26">
        <f t="shared" si="233"/>
        <v>34.727064167630061</v>
      </c>
      <c r="AL672" s="26">
        <f t="shared" si="234"/>
        <v>3.0052389993599502</v>
      </c>
      <c r="AM672" s="17">
        <f t="shared" si="240"/>
        <v>0.5780346820809249</v>
      </c>
      <c r="AN672" s="17"/>
      <c r="AO672" s="27"/>
      <c r="AS672" s="49"/>
      <c r="AT672" s="25"/>
      <c r="AU672" s="17"/>
      <c r="AV672" s="17"/>
      <c r="AW672" s="17"/>
      <c r="AX672" s="27"/>
      <c r="BB672" s="17"/>
    </row>
    <row r="673" spans="1:54" x14ac:dyDescent="0.2">
      <c r="A673" s="17" t="s">
        <v>77</v>
      </c>
      <c r="B673" s="17" t="s">
        <v>78</v>
      </c>
      <c r="C673" s="17" t="str">
        <f t="shared" si="224"/>
        <v>HER42PB1D</v>
      </c>
      <c r="D673" s="17" t="str">
        <f t="shared" si="225"/>
        <v>HER42PB1D_142</v>
      </c>
      <c r="E673" s="27" t="s">
        <v>82</v>
      </c>
      <c r="F673" s="17">
        <v>142</v>
      </c>
      <c r="G673" s="20">
        <v>2.0499999999999998</v>
      </c>
      <c r="H673" s="20">
        <v>2.0499999999999998</v>
      </c>
      <c r="I673" s="20">
        <v>1.1000000000000001</v>
      </c>
      <c r="J673" s="22">
        <f t="shared" si="223"/>
        <v>3.6288587499999996</v>
      </c>
      <c r="K673" s="53">
        <v>6.2820512820512528E-2</v>
      </c>
      <c r="L673" s="45">
        <f t="shared" si="219"/>
        <v>36.884615384615365</v>
      </c>
      <c r="M673" s="45">
        <f t="shared" si="220"/>
        <v>37.984615384615367</v>
      </c>
      <c r="N673" s="46">
        <f t="shared" si="221"/>
        <v>37.43461538461537</v>
      </c>
      <c r="O673" s="20">
        <f t="shared" si="218"/>
        <v>156.88461538461522</v>
      </c>
      <c r="P673" s="20">
        <f t="shared" si="235"/>
        <v>157.98461538461521</v>
      </c>
      <c r="Q673" s="20">
        <f t="shared" si="222"/>
        <v>157.4346153846152</v>
      </c>
      <c r="R673" s="20">
        <f t="shared" si="226"/>
        <v>156.88461538461522</v>
      </c>
      <c r="S673" s="20">
        <f t="shared" si="227"/>
        <v>157.4346153846152</v>
      </c>
      <c r="T673" s="20">
        <f t="shared" si="228"/>
        <v>157.4346153846152</v>
      </c>
      <c r="U673" s="20">
        <f t="shared" si="229"/>
        <v>157.4346153846152</v>
      </c>
      <c r="V673" s="22">
        <v>6.4881000000000002</v>
      </c>
      <c r="W673" s="22">
        <v>2.1166</v>
      </c>
      <c r="X673" s="23">
        <v>1.1476266666666668</v>
      </c>
      <c r="Y673" s="23">
        <f t="shared" si="236"/>
        <v>5.3404733333333336</v>
      </c>
      <c r="Z673" s="23">
        <f t="shared" si="237"/>
        <v>0.96897333333333324</v>
      </c>
      <c r="AA673" s="22">
        <f t="shared" si="238"/>
        <v>81.856040226147243</v>
      </c>
      <c r="AB673" s="22">
        <f t="shared" si="239"/>
        <v>18.143959773852757</v>
      </c>
      <c r="AC673" s="22">
        <f t="shared" si="230"/>
        <v>1.4716674583526665</v>
      </c>
      <c r="AD673" s="22">
        <f t="shared" si="231"/>
        <v>0.26701875164838901</v>
      </c>
      <c r="AE673" s="27">
        <v>16.6296</v>
      </c>
      <c r="AF673" s="27">
        <v>16.762699999999999</v>
      </c>
      <c r="AG673" s="27">
        <v>16.6968</v>
      </c>
      <c r="AH673" s="26">
        <v>6.7199999999999996E-2</v>
      </c>
      <c r="AI673" s="26">
        <v>49.511645379999997</v>
      </c>
      <c r="AJ673" s="26">
        <f t="shared" si="232"/>
        <v>2.4755822690000002</v>
      </c>
      <c r="AK673" s="26">
        <f t="shared" si="233"/>
        <v>28.619448196531792</v>
      </c>
      <c r="AL673" s="26">
        <f t="shared" si="234"/>
        <v>2.4772177075475601</v>
      </c>
      <c r="AM673" s="17">
        <f t="shared" si="240"/>
        <v>0.5780346820809249</v>
      </c>
      <c r="AN673" s="17"/>
      <c r="AO673" s="27"/>
      <c r="AS673" s="49"/>
      <c r="AT673" s="25"/>
      <c r="AU673" s="17"/>
      <c r="AV673" s="17"/>
      <c r="AW673" s="17"/>
      <c r="AX673" s="27"/>
      <c r="BB673" s="17"/>
    </row>
    <row r="674" spans="1:54" x14ac:dyDescent="0.2">
      <c r="A674" s="17" t="s">
        <v>77</v>
      </c>
      <c r="B674" s="17" t="s">
        <v>78</v>
      </c>
      <c r="C674" s="17" t="str">
        <f t="shared" si="224"/>
        <v>HER42PB1D</v>
      </c>
      <c r="D674" s="17" t="str">
        <f t="shared" si="225"/>
        <v>HER42PB1D_143</v>
      </c>
      <c r="E674" s="27" t="s">
        <v>82</v>
      </c>
      <c r="F674" s="17">
        <v>143</v>
      </c>
      <c r="G674" s="20">
        <v>2.0499999999999998</v>
      </c>
      <c r="H674" s="20">
        <v>2.2000000000000002</v>
      </c>
      <c r="I674" s="20">
        <v>1.1000000000000001</v>
      </c>
      <c r="J674" s="22">
        <f t="shared" si="223"/>
        <v>3.8992421875000005</v>
      </c>
      <c r="K674" s="53">
        <v>6.2820512820512528E-2</v>
      </c>
      <c r="L674" s="45">
        <f t="shared" si="219"/>
        <v>38.047435897435882</v>
      </c>
      <c r="M674" s="45">
        <f t="shared" si="220"/>
        <v>39.147435897435884</v>
      </c>
      <c r="N674" s="46">
        <f t="shared" si="221"/>
        <v>38.597435897435886</v>
      </c>
      <c r="O674" s="20">
        <f t="shared" si="218"/>
        <v>158.04743589743572</v>
      </c>
      <c r="P674" s="20">
        <f t="shared" si="235"/>
        <v>159.14743589743571</v>
      </c>
      <c r="Q674" s="20">
        <f t="shared" si="222"/>
        <v>158.59743589743573</v>
      </c>
      <c r="R674" s="20">
        <f t="shared" si="226"/>
        <v>158.04743589743572</v>
      </c>
      <c r="S674" s="20">
        <f t="shared" si="227"/>
        <v>158.59743589743573</v>
      </c>
      <c r="T674" s="20">
        <f t="shared" si="228"/>
        <v>158.59743589743573</v>
      </c>
      <c r="U674" s="20">
        <f t="shared" si="229"/>
        <v>158.59743589743573</v>
      </c>
      <c r="V674" s="22">
        <v>7.5368000000000004</v>
      </c>
      <c r="W674" s="22">
        <v>2.6442000000000001</v>
      </c>
      <c r="X674" s="23">
        <v>1.1476266666666668</v>
      </c>
      <c r="Y674" s="23">
        <f t="shared" si="236"/>
        <v>6.3891733333333338</v>
      </c>
      <c r="Z674" s="23">
        <f t="shared" si="237"/>
        <v>1.4965733333333333</v>
      </c>
      <c r="AA674" s="22">
        <f t="shared" si="238"/>
        <v>76.576416771705468</v>
      </c>
      <c r="AB674" s="22">
        <f t="shared" si="239"/>
        <v>23.423583228294532</v>
      </c>
      <c r="AC674" s="22">
        <f t="shared" si="230"/>
        <v>1.6385679642612179</v>
      </c>
      <c r="AD674" s="22">
        <f t="shared" si="231"/>
        <v>0.38381133086089775</v>
      </c>
      <c r="AE674" s="27">
        <v>13.504200000000001</v>
      </c>
      <c r="AF674" s="27">
        <v>13.6867</v>
      </c>
      <c r="AG674" s="27">
        <v>13.6038</v>
      </c>
      <c r="AH674" s="26">
        <v>9.9599999999999994E-2</v>
      </c>
      <c r="AI674" s="26">
        <v>45.424657529999998</v>
      </c>
      <c r="AJ674" s="26">
        <f t="shared" si="232"/>
        <v>2.2712328765000001</v>
      </c>
      <c r="AK674" s="26">
        <f t="shared" si="233"/>
        <v>26.25702747398844</v>
      </c>
      <c r="AL674" s="26">
        <f t="shared" si="234"/>
        <v>2.2730153495510019</v>
      </c>
      <c r="AM674" s="17">
        <f t="shared" si="240"/>
        <v>0.5780346820809249</v>
      </c>
      <c r="AN674" s="17"/>
      <c r="AO674" s="27"/>
      <c r="AS674" s="49"/>
      <c r="AT674" s="25"/>
      <c r="AU674" s="17"/>
      <c r="AV674" s="17"/>
      <c r="AW674" s="17"/>
      <c r="AX674" s="27"/>
      <c r="BB674" s="17"/>
    </row>
    <row r="675" spans="1:54" x14ac:dyDescent="0.2">
      <c r="A675" s="17" t="s">
        <v>77</v>
      </c>
      <c r="B675" s="17" t="s">
        <v>78</v>
      </c>
      <c r="C675" s="17" t="str">
        <f t="shared" si="224"/>
        <v>HER42PB1D</v>
      </c>
      <c r="D675" s="17" t="str">
        <f t="shared" si="225"/>
        <v>HER42PB1D_144</v>
      </c>
      <c r="E675" s="27" t="s">
        <v>82</v>
      </c>
      <c r="F675" s="17">
        <v>144</v>
      </c>
      <c r="G675" s="20">
        <v>2</v>
      </c>
      <c r="H675" s="20">
        <v>2.2000000000000002</v>
      </c>
      <c r="I675" s="20">
        <v>1.1000000000000001</v>
      </c>
      <c r="J675" s="22">
        <f t="shared" si="223"/>
        <v>3.8080350000000007</v>
      </c>
      <c r="K675" s="53">
        <v>6.2820512820512528E-2</v>
      </c>
      <c r="L675" s="45">
        <f t="shared" si="219"/>
        <v>39.210256410256399</v>
      </c>
      <c r="M675" s="45">
        <f t="shared" si="220"/>
        <v>40.3102564102564</v>
      </c>
      <c r="N675" s="46">
        <f t="shared" si="221"/>
        <v>39.760256410256403</v>
      </c>
      <c r="O675" s="20">
        <f t="shared" si="218"/>
        <v>159.21025641025622</v>
      </c>
      <c r="P675" s="20">
        <f t="shared" si="235"/>
        <v>160.31025641025622</v>
      </c>
      <c r="Q675" s="20">
        <f t="shared" si="222"/>
        <v>159.7602564102562</v>
      </c>
      <c r="R675" s="20">
        <f t="shared" si="226"/>
        <v>159.21025641025622</v>
      </c>
      <c r="S675" s="20">
        <f t="shared" si="227"/>
        <v>159.7602564102562</v>
      </c>
      <c r="T675" s="20">
        <f t="shared" si="228"/>
        <v>159.7602564102562</v>
      </c>
      <c r="U675" s="20">
        <f t="shared" si="229"/>
        <v>159.7602564102562</v>
      </c>
      <c r="V675" s="22">
        <v>7.4945000000000004</v>
      </c>
      <c r="W675" s="22">
        <v>3.0874000000000001</v>
      </c>
      <c r="X675" s="23">
        <v>1.1476266666666668</v>
      </c>
      <c r="Y675" s="23">
        <f t="shared" si="236"/>
        <v>6.3468733333333338</v>
      </c>
      <c r="Z675" s="23">
        <f t="shared" si="237"/>
        <v>1.9397733333333333</v>
      </c>
      <c r="AA675" s="22">
        <f t="shared" si="238"/>
        <v>69.437339750491319</v>
      </c>
      <c r="AB675" s="22">
        <f t="shared" si="239"/>
        <v>30.562660249508681</v>
      </c>
      <c r="AC675" s="22">
        <f t="shared" si="230"/>
        <v>1.6667056193898777</v>
      </c>
      <c r="AD675" s="22">
        <f t="shared" si="231"/>
        <v>0.50938957581359756</v>
      </c>
      <c r="AE675" s="27">
        <v>12.7668</v>
      </c>
      <c r="AF675" s="27">
        <v>12.973599999999999</v>
      </c>
      <c r="AG675" s="27">
        <v>12.9239</v>
      </c>
      <c r="AH675" s="26">
        <v>0.15709999999999999</v>
      </c>
      <c r="AI675" s="26">
        <v>24.032882010000002</v>
      </c>
      <c r="AJ675" s="26">
        <f t="shared" si="232"/>
        <v>1.2016441005000003</v>
      </c>
      <c r="AK675" s="26">
        <f t="shared" si="233"/>
        <v>13.89183931213873</v>
      </c>
      <c r="AL675" s="26">
        <f t="shared" si="234"/>
        <v>1.2050097693655661</v>
      </c>
      <c r="AM675" s="17">
        <f t="shared" si="240"/>
        <v>0.5780346820809249</v>
      </c>
      <c r="AN675" s="17"/>
      <c r="AO675" s="27"/>
      <c r="AS675" s="49"/>
      <c r="AT675" s="25"/>
      <c r="AU675" s="17"/>
      <c r="AV675" s="17"/>
      <c r="AW675" s="17"/>
      <c r="AX675" s="27"/>
      <c r="BB675" s="17"/>
    </row>
    <row r="676" spans="1:54" x14ac:dyDescent="0.2">
      <c r="A676" s="17" t="s">
        <v>77</v>
      </c>
      <c r="B676" s="17" t="s">
        <v>78</v>
      </c>
      <c r="C676" s="17" t="str">
        <f t="shared" si="224"/>
        <v>HER42PB1D</v>
      </c>
      <c r="D676" s="17" t="str">
        <f t="shared" si="225"/>
        <v>HER42PB1D_145</v>
      </c>
      <c r="E676" s="27" t="s">
        <v>82</v>
      </c>
      <c r="F676" s="17">
        <v>145</v>
      </c>
      <c r="G676" s="20">
        <v>2</v>
      </c>
      <c r="H676" s="20">
        <v>2</v>
      </c>
      <c r="I676" s="20">
        <v>1.2</v>
      </c>
      <c r="J676" s="22">
        <f t="shared" si="223"/>
        <v>3.7679999999999998</v>
      </c>
      <c r="K676" s="53">
        <v>6.2820512820512528E-2</v>
      </c>
      <c r="L676" s="45">
        <f t="shared" si="219"/>
        <v>40.373076923076916</v>
      </c>
      <c r="M676" s="45">
        <f t="shared" si="220"/>
        <v>41.573076923076918</v>
      </c>
      <c r="N676" s="46">
        <f t="shared" si="221"/>
        <v>40.973076923076917</v>
      </c>
      <c r="O676" s="20">
        <f t="shared" si="218"/>
        <v>160.37307692307672</v>
      </c>
      <c r="P676" s="20">
        <f t="shared" si="235"/>
        <v>161.57307692307671</v>
      </c>
      <c r="Q676" s="20">
        <f t="shared" si="222"/>
        <v>160.97307692307672</v>
      </c>
      <c r="R676" s="20">
        <f t="shared" si="226"/>
        <v>160.37307692307672</v>
      </c>
      <c r="S676" s="20">
        <f t="shared" si="227"/>
        <v>160.97307692307672</v>
      </c>
      <c r="T676" s="20">
        <f t="shared" si="228"/>
        <v>160.97307692307672</v>
      </c>
      <c r="U676" s="20">
        <f t="shared" si="229"/>
        <v>160.97307692307672</v>
      </c>
      <c r="V676" s="22">
        <v>6.9278000000000004</v>
      </c>
      <c r="W676" s="22">
        <v>2.5118</v>
      </c>
      <c r="X676" s="23">
        <v>1.1476266666666668</v>
      </c>
      <c r="Y676" s="23">
        <f t="shared" si="236"/>
        <v>5.7801733333333338</v>
      </c>
      <c r="Z676" s="23">
        <f t="shared" si="237"/>
        <v>1.3641733333333332</v>
      </c>
      <c r="AA676" s="22">
        <f t="shared" si="238"/>
        <v>76.39909299144432</v>
      </c>
      <c r="AB676" s="22">
        <f t="shared" si="239"/>
        <v>23.60090700855568</v>
      </c>
      <c r="AC676" s="22">
        <f t="shared" si="230"/>
        <v>1.534016277423921</v>
      </c>
      <c r="AD676" s="22">
        <f t="shared" si="231"/>
        <v>0.36204175513092712</v>
      </c>
      <c r="AE676" s="27">
        <v>17.1691</v>
      </c>
      <c r="AF676" s="27">
        <v>17.4224</v>
      </c>
      <c r="AG676" s="27">
        <v>17.326899999999998</v>
      </c>
      <c r="AH676" s="26">
        <v>0.1578</v>
      </c>
      <c r="AI676" s="26">
        <v>37.702329249999998</v>
      </c>
      <c r="AJ676" s="26">
        <f t="shared" si="232"/>
        <v>1.8851164625000001</v>
      </c>
      <c r="AK676" s="26">
        <f t="shared" si="233"/>
        <v>21.793253901734104</v>
      </c>
      <c r="AL676" s="26">
        <f t="shared" si="234"/>
        <v>1.887263648033447</v>
      </c>
      <c r="AM676" s="17">
        <f t="shared" si="240"/>
        <v>0.5780346820809249</v>
      </c>
      <c r="AN676" s="17"/>
      <c r="AO676" s="27"/>
      <c r="AS676" s="49"/>
      <c r="AT676" s="25"/>
      <c r="AU676" s="17"/>
      <c r="AV676" s="17"/>
      <c r="AW676" s="17"/>
      <c r="AX676" s="27"/>
      <c r="BB676" s="17"/>
    </row>
    <row r="677" spans="1:54" x14ac:dyDescent="0.2">
      <c r="A677" s="17" t="s">
        <v>77</v>
      </c>
      <c r="B677" s="17" t="s">
        <v>78</v>
      </c>
      <c r="C677" s="17" t="str">
        <f t="shared" si="224"/>
        <v>HER42PB1D</v>
      </c>
      <c r="D677" s="17" t="str">
        <f t="shared" si="225"/>
        <v>HER42PB1D_146</v>
      </c>
      <c r="E677" s="27" t="s">
        <v>82</v>
      </c>
      <c r="F677" s="17">
        <v>146</v>
      </c>
      <c r="G677" s="20">
        <v>2</v>
      </c>
      <c r="H677" s="20">
        <v>2.1</v>
      </c>
      <c r="I677" s="20">
        <v>1.2</v>
      </c>
      <c r="J677" s="22">
        <f t="shared" si="223"/>
        <v>3.9587549999999991</v>
      </c>
      <c r="K677" s="53">
        <v>6.2820512820512528E-2</v>
      </c>
      <c r="L677" s="45">
        <f t="shared" si="219"/>
        <v>41.635897435897434</v>
      </c>
      <c r="M677" s="45">
        <f t="shared" si="220"/>
        <v>42.835897435897436</v>
      </c>
      <c r="N677" s="46">
        <f t="shared" si="221"/>
        <v>42.235897435897435</v>
      </c>
      <c r="O677" s="20">
        <f t="shared" si="218"/>
        <v>161.63589743589722</v>
      </c>
      <c r="P677" s="20">
        <f t="shared" si="235"/>
        <v>162.83589743589721</v>
      </c>
      <c r="Q677" s="20">
        <f t="shared" si="222"/>
        <v>162.23589743589721</v>
      </c>
      <c r="R677" s="20">
        <f t="shared" si="226"/>
        <v>161.63589743589722</v>
      </c>
      <c r="S677" s="20">
        <f t="shared" si="227"/>
        <v>162.23589743589721</v>
      </c>
      <c r="T677" s="20">
        <f t="shared" si="228"/>
        <v>162.23589743589721</v>
      </c>
      <c r="U677" s="20">
        <f t="shared" si="229"/>
        <v>162.23589743589721</v>
      </c>
      <c r="V677" s="22">
        <v>7.1783999999999999</v>
      </c>
      <c r="W677" s="22">
        <v>2.7057000000000002</v>
      </c>
      <c r="X677" s="23">
        <v>1.1476266666666668</v>
      </c>
      <c r="Y677" s="23">
        <f t="shared" si="236"/>
        <v>6.0307733333333333</v>
      </c>
      <c r="Z677" s="23">
        <f t="shared" si="237"/>
        <v>1.5580733333333334</v>
      </c>
      <c r="AA677" s="22">
        <f t="shared" si="238"/>
        <v>74.164617915225904</v>
      </c>
      <c r="AB677" s="22">
        <f t="shared" si="239"/>
        <v>25.835382084774096</v>
      </c>
      <c r="AC677" s="22">
        <f t="shared" si="230"/>
        <v>1.5234015071236626</v>
      </c>
      <c r="AD677" s="22">
        <f t="shared" si="231"/>
        <v>0.39357660005060524</v>
      </c>
      <c r="AE677" s="27">
        <v>16.5044</v>
      </c>
      <c r="AF677" s="27">
        <v>16.740400000000001</v>
      </c>
      <c r="AG677" s="27">
        <v>16.674199999999999</v>
      </c>
      <c r="AH677" s="26">
        <v>0.16980000000000001</v>
      </c>
      <c r="AI677" s="26">
        <v>28.05084746</v>
      </c>
      <c r="AJ677" s="26">
        <f t="shared" si="232"/>
        <v>1.4025423730000002</v>
      </c>
      <c r="AK677" s="26">
        <f t="shared" si="233"/>
        <v>16.214362693641618</v>
      </c>
      <c r="AL677" s="26">
        <f t="shared" si="234"/>
        <v>1.4054270198272381</v>
      </c>
      <c r="AM677" s="17">
        <f t="shared" si="240"/>
        <v>0.5780346820809249</v>
      </c>
      <c r="AN677" s="17"/>
      <c r="AO677" s="27"/>
      <c r="AS677" s="49"/>
      <c r="AT677" s="25"/>
      <c r="AU677" s="17"/>
      <c r="AV677" s="17"/>
      <c r="AW677" s="17"/>
      <c r="AX677" s="27"/>
      <c r="BB677" s="17"/>
    </row>
    <row r="678" spans="1:54" x14ac:dyDescent="0.2">
      <c r="A678" s="17" t="s">
        <v>77</v>
      </c>
      <c r="B678" s="17" t="s">
        <v>78</v>
      </c>
      <c r="C678" s="17" t="str">
        <f t="shared" si="224"/>
        <v>HER42PB1D</v>
      </c>
      <c r="D678" s="17" t="str">
        <f t="shared" si="225"/>
        <v>HER42PB1D_147</v>
      </c>
      <c r="E678" s="27" t="s">
        <v>82</v>
      </c>
      <c r="F678" s="17">
        <v>147</v>
      </c>
      <c r="G678" s="20">
        <v>1.8</v>
      </c>
      <c r="H678" s="20">
        <v>1.95</v>
      </c>
      <c r="I678" s="20">
        <v>1.2</v>
      </c>
      <c r="J678" s="22">
        <f t="shared" si="223"/>
        <v>3.3117187500000003</v>
      </c>
      <c r="K678" s="53">
        <v>6.2820512820512528E-2</v>
      </c>
      <c r="L678" s="45">
        <f t="shared" si="219"/>
        <v>42.898717948717952</v>
      </c>
      <c r="M678" s="45">
        <f t="shared" si="220"/>
        <v>44.098717948717955</v>
      </c>
      <c r="N678" s="46">
        <f t="shared" si="221"/>
        <v>43.498717948717953</v>
      </c>
      <c r="O678" s="20">
        <f t="shared" si="218"/>
        <v>162.89871794871772</v>
      </c>
      <c r="P678" s="20">
        <f t="shared" si="235"/>
        <v>164.09871794871771</v>
      </c>
      <c r="Q678" s="20">
        <f t="shared" si="222"/>
        <v>163.49871794871771</v>
      </c>
      <c r="R678" s="20">
        <f t="shared" si="226"/>
        <v>162.89871794871772</v>
      </c>
      <c r="S678" s="20">
        <f t="shared" si="227"/>
        <v>163.49871794871771</v>
      </c>
      <c r="T678" s="20">
        <f t="shared" si="228"/>
        <v>163.49871794871771</v>
      </c>
      <c r="U678" s="20">
        <f t="shared" si="229"/>
        <v>163.49871794871771</v>
      </c>
      <c r="V678" s="22">
        <v>6.7549999999999999</v>
      </c>
      <c r="W678" s="22">
        <v>2.2852999999999999</v>
      </c>
      <c r="X678" s="23">
        <v>1.1476266666666668</v>
      </c>
      <c r="Y678" s="23">
        <f t="shared" si="236"/>
        <v>5.6073733333333333</v>
      </c>
      <c r="Z678" s="23">
        <f t="shared" si="237"/>
        <v>1.1376733333333331</v>
      </c>
      <c r="AA678" s="22">
        <f t="shared" si="238"/>
        <v>79.711118455937793</v>
      </c>
      <c r="AB678" s="22">
        <f t="shared" si="239"/>
        <v>20.288881544062207</v>
      </c>
      <c r="AC678" s="22">
        <f t="shared" si="230"/>
        <v>1.6931912872532828</v>
      </c>
      <c r="AD678" s="22">
        <f t="shared" si="231"/>
        <v>0.34352957458520084</v>
      </c>
      <c r="AE678" s="27">
        <v>15.994999999999999</v>
      </c>
      <c r="AF678" s="27">
        <v>16.224399999999999</v>
      </c>
      <c r="AG678" s="27">
        <v>16.147600000000001</v>
      </c>
      <c r="AH678" s="26">
        <v>0.15260000000000001</v>
      </c>
      <c r="AI678" s="26">
        <v>33.47863993</v>
      </c>
      <c r="AJ678" s="26">
        <f t="shared" si="232"/>
        <v>1.6739319965000001</v>
      </c>
      <c r="AK678" s="26">
        <f t="shared" si="233"/>
        <v>19.351814988439308</v>
      </c>
      <c r="AL678" s="26">
        <f t="shared" si="234"/>
        <v>1.6763497036437465</v>
      </c>
      <c r="AM678" s="17">
        <f t="shared" si="240"/>
        <v>0.5780346820809249</v>
      </c>
      <c r="AN678" s="17"/>
      <c r="AO678" s="27"/>
      <c r="AS678" s="49"/>
      <c r="AT678" s="25"/>
      <c r="AU678" s="17"/>
      <c r="AV678" s="17"/>
      <c r="AW678" s="17"/>
      <c r="AX678" s="27"/>
      <c r="BB678" s="17"/>
    </row>
    <row r="679" spans="1:54" x14ac:dyDescent="0.2">
      <c r="A679" s="17" t="s">
        <v>77</v>
      </c>
      <c r="B679" s="17" t="s">
        <v>78</v>
      </c>
      <c r="C679" s="17" t="str">
        <f t="shared" si="224"/>
        <v>HER42PB1D</v>
      </c>
      <c r="D679" s="17" t="str">
        <f t="shared" si="225"/>
        <v>HER42PB1D_148</v>
      </c>
      <c r="E679" s="27" t="s">
        <v>82</v>
      </c>
      <c r="F679" s="17">
        <v>148</v>
      </c>
      <c r="G679" s="20">
        <v>2.0499999999999998</v>
      </c>
      <c r="H679" s="20">
        <v>2.1</v>
      </c>
      <c r="I679" s="20">
        <v>1.2</v>
      </c>
      <c r="J679" s="22">
        <f t="shared" si="223"/>
        <v>4.0558987500000008</v>
      </c>
      <c r="K679" s="53">
        <v>6.2820512820512528E-2</v>
      </c>
      <c r="L679" s="45">
        <f t="shared" si="219"/>
        <v>44.16153846153847</v>
      </c>
      <c r="M679" s="45">
        <f t="shared" si="220"/>
        <v>45.361538461538473</v>
      </c>
      <c r="N679" s="46">
        <f t="shared" si="221"/>
        <v>44.761538461538471</v>
      </c>
      <c r="O679" s="20">
        <f t="shared" si="218"/>
        <v>164.16153846153821</v>
      </c>
      <c r="P679" s="20">
        <f t="shared" si="235"/>
        <v>165.3615384615382</v>
      </c>
      <c r="Q679" s="20">
        <f t="shared" si="222"/>
        <v>164.76153846153821</v>
      </c>
      <c r="R679" s="20">
        <f t="shared" si="226"/>
        <v>164.16153846153821</v>
      </c>
      <c r="S679" s="20">
        <f t="shared" si="227"/>
        <v>164.76153846153821</v>
      </c>
      <c r="T679" s="20">
        <f t="shared" si="228"/>
        <v>164.76153846153821</v>
      </c>
      <c r="U679" s="20">
        <f t="shared" si="229"/>
        <v>164.76153846153821</v>
      </c>
      <c r="V679" s="22">
        <v>6.5247999999999999</v>
      </c>
      <c r="W679" s="22">
        <v>2.0697999999999999</v>
      </c>
      <c r="X679" s="23">
        <v>1.1476266666666668</v>
      </c>
      <c r="Y679" s="23">
        <f t="shared" si="236"/>
        <v>5.3771733333333334</v>
      </c>
      <c r="Z679" s="23">
        <f t="shared" si="237"/>
        <v>0.92217333333333307</v>
      </c>
      <c r="AA679" s="22">
        <f t="shared" si="238"/>
        <v>82.850221181884905</v>
      </c>
      <c r="AB679" s="22">
        <f t="shared" si="239"/>
        <v>17.149778818115095</v>
      </c>
      <c r="AC679" s="22">
        <f t="shared" si="230"/>
        <v>1.3257661654727777</v>
      </c>
      <c r="AD679" s="22">
        <f t="shared" si="231"/>
        <v>0.22736596502398707</v>
      </c>
      <c r="AE679" s="27">
        <v>6.4451999999999998</v>
      </c>
      <c r="AF679" s="27">
        <v>6.5613000000000001</v>
      </c>
      <c r="AG679" s="27">
        <v>6.4928999999999997</v>
      </c>
      <c r="AH679" s="26">
        <v>4.7699999999999999E-2</v>
      </c>
      <c r="AI679" s="26">
        <v>58.914728680000003</v>
      </c>
      <c r="AJ679" s="26">
        <f t="shared" si="232"/>
        <v>2.9457364340000005</v>
      </c>
      <c r="AK679" s="26">
        <f t="shared" si="233"/>
        <v>34.054756462427747</v>
      </c>
      <c r="AL679" s="26">
        <f t="shared" si="234"/>
        <v>2.9471109817234642</v>
      </c>
      <c r="AM679" s="17">
        <f t="shared" si="240"/>
        <v>0.5780346820809249</v>
      </c>
      <c r="AN679" s="17"/>
      <c r="AO679" s="27"/>
      <c r="AS679" s="49"/>
      <c r="AT679" s="25"/>
      <c r="AU679" s="17"/>
      <c r="AV679" s="17"/>
      <c r="AW679" s="17"/>
      <c r="AX679" s="27"/>
      <c r="BB679" s="17"/>
    </row>
    <row r="680" spans="1:54" x14ac:dyDescent="0.2">
      <c r="A680" s="17" t="s">
        <v>77</v>
      </c>
      <c r="B680" s="17" t="s">
        <v>78</v>
      </c>
      <c r="C680" s="17" t="str">
        <f t="shared" si="224"/>
        <v>HER42PB1D</v>
      </c>
      <c r="D680" s="17" t="str">
        <f t="shared" si="225"/>
        <v>HER42PB1D_149</v>
      </c>
      <c r="E680" s="27" t="s">
        <v>82</v>
      </c>
      <c r="F680" s="17">
        <v>149</v>
      </c>
      <c r="G680" s="20">
        <v>2.1</v>
      </c>
      <c r="H680" s="20">
        <v>2.2000000000000002</v>
      </c>
      <c r="I680" s="20">
        <v>1.2</v>
      </c>
      <c r="J680" s="22">
        <f t="shared" si="223"/>
        <v>4.3543950000000011</v>
      </c>
      <c r="K680" s="53">
        <v>6.2820512820512528E-2</v>
      </c>
      <c r="L680" s="45">
        <f t="shared" si="219"/>
        <v>45.424358974358988</v>
      </c>
      <c r="M680" s="45">
        <f t="shared" si="220"/>
        <v>46.624358974358991</v>
      </c>
      <c r="N680" s="46">
        <f t="shared" si="221"/>
        <v>46.024358974358989</v>
      </c>
      <c r="O680" s="20">
        <f t="shared" si="218"/>
        <v>165.42435897435871</v>
      </c>
      <c r="P680" s="20">
        <f t="shared" si="235"/>
        <v>166.6243589743587</v>
      </c>
      <c r="Q680" s="20">
        <f t="shared" si="222"/>
        <v>166.02435897435871</v>
      </c>
      <c r="R680" s="20">
        <f t="shared" si="226"/>
        <v>165.42435897435871</v>
      </c>
      <c r="S680" s="20">
        <f t="shared" si="227"/>
        <v>166.02435897435871</v>
      </c>
      <c r="T680" s="20">
        <f t="shared" si="228"/>
        <v>166.02435897435871</v>
      </c>
      <c r="U680" s="20">
        <f t="shared" si="229"/>
        <v>166.02435897435871</v>
      </c>
      <c r="V680" s="22">
        <v>7.6923000000000004</v>
      </c>
      <c r="W680" s="22">
        <v>2.3376000000000001</v>
      </c>
      <c r="X680" s="23">
        <v>1.1476266666666668</v>
      </c>
      <c r="Y680" s="23">
        <f t="shared" si="236"/>
        <v>6.5446733333333338</v>
      </c>
      <c r="Z680" s="23">
        <f t="shared" si="237"/>
        <v>1.1899733333333333</v>
      </c>
      <c r="AA680" s="22">
        <f t="shared" si="238"/>
        <v>81.817681758498765</v>
      </c>
      <c r="AB680" s="22">
        <f t="shared" si="239"/>
        <v>18.182318241501235</v>
      </c>
      <c r="AC680" s="22">
        <f t="shared" si="230"/>
        <v>1.5030040529932016</v>
      </c>
      <c r="AD680" s="22">
        <f t="shared" si="231"/>
        <v>0.27328098009788571</v>
      </c>
      <c r="AE680" s="27">
        <v>6.4223999999999997</v>
      </c>
      <c r="AF680" s="27">
        <v>6.5235000000000003</v>
      </c>
      <c r="AG680" s="27">
        <v>6.4654999999999996</v>
      </c>
      <c r="AH680" s="26">
        <v>4.3099999999999999E-2</v>
      </c>
      <c r="AI680" s="26">
        <v>57.368941640000003</v>
      </c>
      <c r="AJ680" s="26">
        <f t="shared" si="232"/>
        <v>2.8684470820000003</v>
      </c>
      <c r="AK680" s="26">
        <f t="shared" si="233"/>
        <v>33.161237942196536</v>
      </c>
      <c r="AL680" s="26">
        <f t="shared" si="234"/>
        <v>2.8698586484763178</v>
      </c>
      <c r="AM680" s="17">
        <f t="shared" si="240"/>
        <v>0.5780346820809249</v>
      </c>
      <c r="AN680" s="17"/>
      <c r="AO680" s="27"/>
      <c r="AS680" s="49"/>
      <c r="AT680" s="25"/>
      <c r="AU680" s="17"/>
      <c r="AV680" s="17"/>
      <c r="AW680" s="17"/>
      <c r="AX680" s="27"/>
      <c r="BB680" s="17"/>
    </row>
    <row r="681" spans="1:54" x14ac:dyDescent="0.2">
      <c r="A681" s="17" t="s">
        <v>77</v>
      </c>
      <c r="B681" s="17" t="s">
        <v>78</v>
      </c>
      <c r="C681" s="17" t="str">
        <f t="shared" si="224"/>
        <v>HER42PB1D</v>
      </c>
      <c r="D681" s="17" t="str">
        <f t="shared" si="225"/>
        <v>HER42PB1D_150</v>
      </c>
      <c r="E681" s="27" t="s">
        <v>82</v>
      </c>
      <c r="F681" s="17">
        <v>150</v>
      </c>
      <c r="G681" s="20">
        <v>1.85</v>
      </c>
      <c r="H681" s="20">
        <v>2</v>
      </c>
      <c r="I681" s="20">
        <v>1.1499999999999999</v>
      </c>
      <c r="J681" s="22">
        <f t="shared" si="223"/>
        <v>3.3452529687500001</v>
      </c>
      <c r="K681" s="53">
        <v>6.2820512820512528E-2</v>
      </c>
      <c r="L681" s="45">
        <f t="shared" si="219"/>
        <v>46.687179487179506</v>
      </c>
      <c r="M681" s="45">
        <f t="shared" si="220"/>
        <v>47.837179487179505</v>
      </c>
      <c r="N681" s="46">
        <f t="shared" si="221"/>
        <v>47.262179487179509</v>
      </c>
      <c r="O681" s="20">
        <f t="shared" si="218"/>
        <v>166.68717948717921</v>
      </c>
      <c r="P681" s="20">
        <f t="shared" si="235"/>
        <v>167.83717948717921</v>
      </c>
      <c r="Q681" s="20">
        <f t="shared" si="222"/>
        <v>167.2621794871792</v>
      </c>
      <c r="R681" s="20">
        <f t="shared" si="226"/>
        <v>166.68717948717921</v>
      </c>
      <c r="S681" s="20">
        <f t="shared" si="227"/>
        <v>167.2621794871792</v>
      </c>
      <c r="T681" s="20">
        <f t="shared" si="228"/>
        <v>167.2621794871792</v>
      </c>
      <c r="U681" s="20">
        <f t="shared" si="229"/>
        <v>167.2621794871792</v>
      </c>
      <c r="V681" s="22">
        <v>5.9135</v>
      </c>
      <c r="W681" s="22">
        <v>2.0234999999999999</v>
      </c>
      <c r="X681" s="23">
        <v>1.1476266666666668</v>
      </c>
      <c r="Y681" s="23">
        <f t="shared" si="236"/>
        <v>4.7658733333333334</v>
      </c>
      <c r="Z681" s="23">
        <f t="shared" si="237"/>
        <v>0.87587333333333306</v>
      </c>
      <c r="AA681" s="22">
        <f t="shared" si="238"/>
        <v>81.621976244997427</v>
      </c>
      <c r="AB681" s="22">
        <f t="shared" si="239"/>
        <v>18.378023755002573</v>
      </c>
      <c r="AC681" s="22">
        <f t="shared" si="230"/>
        <v>1.4246675446832255</v>
      </c>
      <c r="AD681" s="22">
        <f t="shared" si="231"/>
        <v>0.2618257397916951</v>
      </c>
      <c r="AE681" s="27">
        <v>6.6188000000000002</v>
      </c>
      <c r="AF681" s="27">
        <v>6.7851999999999997</v>
      </c>
      <c r="AG681" s="27">
        <v>6.7045000000000003</v>
      </c>
      <c r="AH681" s="26">
        <v>8.5699999999999998E-2</v>
      </c>
      <c r="AI681" s="26">
        <v>48.49759615</v>
      </c>
      <c r="AJ681" s="26">
        <f t="shared" si="232"/>
        <v>2.4248798075</v>
      </c>
      <c r="AK681" s="26">
        <f t="shared" si="233"/>
        <v>28.033292572254336</v>
      </c>
      <c r="AL681" s="26">
        <f t="shared" si="234"/>
        <v>2.4265494185821224</v>
      </c>
      <c r="AM681" s="17">
        <f t="shared" si="240"/>
        <v>0.5780346820809249</v>
      </c>
      <c r="AN681" s="17"/>
      <c r="AO681" s="27"/>
      <c r="AS681" s="49"/>
      <c r="AT681" s="25"/>
      <c r="AU681" s="17"/>
      <c r="AV681" s="17"/>
      <c r="AW681" s="17"/>
      <c r="AX681" s="27"/>
      <c r="BB681" s="17"/>
    </row>
    <row r="682" spans="1:54" x14ac:dyDescent="0.2">
      <c r="A682" s="17" t="s">
        <v>77</v>
      </c>
      <c r="B682" s="17" t="s">
        <v>78</v>
      </c>
      <c r="C682" s="17" t="str">
        <f t="shared" si="224"/>
        <v>HER42PB1D</v>
      </c>
      <c r="D682" s="17" t="str">
        <f t="shared" si="225"/>
        <v>HER42PB1D_151</v>
      </c>
      <c r="E682" s="27" t="s">
        <v>82</v>
      </c>
      <c r="F682" s="17">
        <v>151</v>
      </c>
      <c r="G682" s="20">
        <v>2</v>
      </c>
      <c r="H682" s="20">
        <v>2</v>
      </c>
      <c r="I682" s="20">
        <v>1.1000000000000001</v>
      </c>
      <c r="J682" s="22">
        <f t="shared" si="223"/>
        <v>3.4540000000000006</v>
      </c>
      <c r="K682" s="53">
        <v>6.2820512820512528E-2</v>
      </c>
      <c r="L682" s="45">
        <f t="shared" si="219"/>
        <v>47.90000000000002</v>
      </c>
      <c r="M682" s="45">
        <f t="shared" si="220"/>
        <v>49.000000000000021</v>
      </c>
      <c r="N682" s="46">
        <f t="shared" si="221"/>
        <v>48.450000000000017</v>
      </c>
      <c r="O682" s="20">
        <f t="shared" si="218"/>
        <v>167.89999999999972</v>
      </c>
      <c r="P682" s="20">
        <f t="shared" si="235"/>
        <v>168.99999999999972</v>
      </c>
      <c r="Q682" s="20">
        <f t="shared" si="222"/>
        <v>168.4499999999997</v>
      </c>
      <c r="R682" s="20">
        <f t="shared" si="226"/>
        <v>167.89999999999972</v>
      </c>
      <c r="S682" s="20">
        <f t="shared" si="227"/>
        <v>168.4499999999997</v>
      </c>
      <c r="T682" s="20">
        <f t="shared" si="228"/>
        <v>168.4499999999997</v>
      </c>
      <c r="U682" s="20">
        <f t="shared" si="229"/>
        <v>168.4499999999997</v>
      </c>
      <c r="V682" s="22">
        <v>5.5561999999999996</v>
      </c>
      <c r="W682" s="22">
        <v>1.8811</v>
      </c>
      <c r="X682" s="23">
        <v>1.1476266666666668</v>
      </c>
      <c r="Y682" s="23">
        <f t="shared" si="236"/>
        <v>4.408573333333333</v>
      </c>
      <c r="Z682" s="23">
        <f t="shared" si="237"/>
        <v>0.7334733333333332</v>
      </c>
      <c r="AA682" s="22">
        <f t="shared" si="238"/>
        <v>83.362569296794419</v>
      </c>
      <c r="AB682" s="22">
        <f t="shared" si="239"/>
        <v>16.637430703205581</v>
      </c>
      <c r="AC682" s="22">
        <f t="shared" si="230"/>
        <v>1.2763674966222733</v>
      </c>
      <c r="AD682" s="22">
        <f t="shared" si="231"/>
        <v>0.21235475776877044</v>
      </c>
      <c r="AE682" s="27">
        <v>6.3845999999999998</v>
      </c>
      <c r="AF682" s="27">
        <v>6.4866000000000001</v>
      </c>
      <c r="AG682" s="27">
        <v>6.4260000000000002</v>
      </c>
      <c r="AH682" s="26">
        <v>4.1399999999999999E-2</v>
      </c>
      <c r="AI682" s="26">
        <v>59.41176471</v>
      </c>
      <c r="AJ682" s="26">
        <f t="shared" si="232"/>
        <v>2.9705882355000002</v>
      </c>
      <c r="AK682" s="26">
        <f t="shared" si="233"/>
        <v>34.342060526011565</v>
      </c>
      <c r="AL682" s="26">
        <f t="shared" si="234"/>
        <v>2.9719512891181452</v>
      </c>
      <c r="AM682" s="17">
        <f t="shared" si="240"/>
        <v>0.5780346820809249</v>
      </c>
      <c r="AN682" s="17"/>
      <c r="AO682" s="27"/>
      <c r="AS682" s="49"/>
      <c r="AT682" s="25"/>
      <c r="AU682" s="17"/>
      <c r="AV682" s="17"/>
      <c r="AW682" s="17"/>
      <c r="AX682" s="27"/>
      <c r="BB682" s="17"/>
    </row>
    <row r="683" spans="1:54" x14ac:dyDescent="0.2">
      <c r="A683" s="17" t="s">
        <v>77</v>
      </c>
      <c r="B683" s="17" t="s">
        <v>78</v>
      </c>
      <c r="C683" s="17" t="str">
        <f t="shared" si="224"/>
        <v>HER42PB1E</v>
      </c>
      <c r="D683" s="17" t="str">
        <f t="shared" si="225"/>
        <v>HER42PB1E_152</v>
      </c>
      <c r="E683" s="27" t="s">
        <v>83</v>
      </c>
      <c r="F683" s="17">
        <v>152</v>
      </c>
      <c r="G683" s="20">
        <v>2.1</v>
      </c>
      <c r="H683" s="20">
        <v>2.2000000000000002</v>
      </c>
      <c r="I683" s="20">
        <v>1.1000000000000001</v>
      </c>
      <c r="J683" s="22">
        <f t="shared" si="223"/>
        <v>3.9915287500000014</v>
      </c>
      <c r="K683" s="53">
        <v>0.37333333333333318</v>
      </c>
      <c r="L683" s="39">
        <v>0</v>
      </c>
      <c r="M683" s="45">
        <f>L683+I683</f>
        <v>1.1000000000000001</v>
      </c>
      <c r="N683" s="46">
        <f>L683+((M683-L683)/2)</f>
        <v>0.55000000000000004</v>
      </c>
      <c r="O683" s="20">
        <v>160</v>
      </c>
      <c r="P683" s="20">
        <f t="shared" si="235"/>
        <v>161.1</v>
      </c>
      <c r="Q683" s="20">
        <f>O683+((P683-O683)/2)</f>
        <v>160.55000000000001</v>
      </c>
      <c r="R683" s="20">
        <f t="shared" si="226"/>
        <v>160</v>
      </c>
      <c r="S683" s="20">
        <f t="shared" si="227"/>
        <v>160.55000000000001</v>
      </c>
      <c r="T683" s="20">
        <f t="shared" si="228"/>
        <v>160.55000000000001</v>
      </c>
      <c r="U683" s="20">
        <f t="shared" si="229"/>
        <v>160.55000000000001</v>
      </c>
      <c r="V683" s="22">
        <v>6.9225000000000003</v>
      </c>
      <c r="W683" s="22">
        <v>2.1918000000000002</v>
      </c>
      <c r="X683" s="23">
        <v>1.1476266666666668</v>
      </c>
      <c r="Y683" s="23">
        <f t="shared" si="236"/>
        <v>5.7748733333333337</v>
      </c>
      <c r="Z683" s="23">
        <f t="shared" si="237"/>
        <v>1.0441733333333334</v>
      </c>
      <c r="AA683" s="22">
        <f t="shared" si="238"/>
        <v>81.918679890237129</v>
      </c>
      <c r="AB683" s="22">
        <f t="shared" si="239"/>
        <v>18.081320109762871</v>
      </c>
      <c r="AC683" s="22">
        <f t="shared" si="230"/>
        <v>1.446782347072743</v>
      </c>
      <c r="AD683" s="22">
        <f t="shared" si="231"/>
        <v>0.26159734746576307</v>
      </c>
      <c r="AE683" s="27">
        <v>9.2170000000000005</v>
      </c>
      <c r="AF683" s="27">
        <v>9.3400999999999996</v>
      </c>
      <c r="AG683" s="27">
        <v>9.2672000000000008</v>
      </c>
      <c r="AH683" s="26">
        <v>5.0200000000000002E-2</v>
      </c>
      <c r="AI683" s="26">
        <v>59.220146219999997</v>
      </c>
      <c r="AJ683" s="26">
        <f t="shared" si="232"/>
        <v>2.9610073109999999</v>
      </c>
      <c r="AK683" s="26">
        <f t="shared" si="233"/>
        <v>34.231298393063582</v>
      </c>
      <c r="AL683" s="26">
        <f t="shared" si="234"/>
        <v>2.9623747730149628</v>
      </c>
      <c r="AM683" s="17">
        <f t="shared" si="240"/>
        <v>0.5780346820809249</v>
      </c>
      <c r="AN683" s="28" t="s">
        <v>43</v>
      </c>
      <c r="AO683" s="27">
        <v>49</v>
      </c>
      <c r="AS683" s="49"/>
      <c r="AT683" s="25"/>
      <c r="AU683" s="17"/>
      <c r="AV683" s="17"/>
      <c r="AW683" s="17"/>
      <c r="AX683" s="27"/>
      <c r="BB683" s="17"/>
    </row>
    <row r="684" spans="1:54" x14ac:dyDescent="0.2">
      <c r="A684" s="17" t="s">
        <v>77</v>
      </c>
      <c r="B684" s="17" t="s">
        <v>78</v>
      </c>
      <c r="C684" s="17" t="str">
        <f t="shared" si="224"/>
        <v>HER42PB1E</v>
      </c>
      <c r="D684" s="17" t="str">
        <f t="shared" si="225"/>
        <v>HER42PB1E_153</v>
      </c>
      <c r="E684" s="27" t="s">
        <v>83</v>
      </c>
      <c r="F684" s="17">
        <v>153</v>
      </c>
      <c r="G684" s="20">
        <v>2.0499999999999998</v>
      </c>
      <c r="H684" s="20">
        <v>2.25</v>
      </c>
      <c r="I684" s="20">
        <v>1.2</v>
      </c>
      <c r="J684" s="22">
        <f t="shared" si="223"/>
        <v>4.3543950000000002</v>
      </c>
      <c r="K684" s="53">
        <v>0.37333333333333318</v>
      </c>
      <c r="L684" s="45">
        <f>M683+K684</f>
        <v>1.4733333333333332</v>
      </c>
      <c r="M684" s="45">
        <f>L684+I684</f>
        <v>2.6733333333333329</v>
      </c>
      <c r="N684" s="46">
        <f>L684+((M684-L684)/2)</f>
        <v>2.0733333333333333</v>
      </c>
      <c r="O684" s="20">
        <f t="shared" ref="O684:O713" si="241">P683+K684</f>
        <v>161.47333333333333</v>
      </c>
      <c r="P684" s="20">
        <f t="shared" si="235"/>
        <v>162.67333333333332</v>
      </c>
      <c r="Q684" s="20">
        <f>O684+((P684-O684)/2)</f>
        <v>162.07333333333332</v>
      </c>
      <c r="R684" s="20">
        <f t="shared" si="226"/>
        <v>161.47333333333333</v>
      </c>
      <c r="S684" s="20">
        <f t="shared" si="227"/>
        <v>162.07333333333332</v>
      </c>
      <c r="T684" s="20">
        <f t="shared" si="228"/>
        <v>162.07333333333332</v>
      </c>
      <c r="U684" s="20">
        <f t="shared" si="229"/>
        <v>162.07333333333332</v>
      </c>
      <c r="V684" s="22">
        <v>7.2351000000000001</v>
      </c>
      <c r="W684" s="22">
        <v>2.2189000000000001</v>
      </c>
      <c r="X684" s="23">
        <v>1.1476266666666668</v>
      </c>
      <c r="Y684" s="23">
        <f t="shared" si="236"/>
        <v>6.0874733333333335</v>
      </c>
      <c r="Z684" s="23">
        <f t="shared" si="237"/>
        <v>1.0712733333333333</v>
      </c>
      <c r="AA684" s="22">
        <f t="shared" si="238"/>
        <v>82.402003677497291</v>
      </c>
      <c r="AB684" s="22">
        <f t="shared" si="239"/>
        <v>17.597996322502709</v>
      </c>
      <c r="AC684" s="22">
        <f t="shared" si="230"/>
        <v>1.3980066882617064</v>
      </c>
      <c r="AD684" s="22">
        <f t="shared" si="231"/>
        <v>0.24602116558863704</v>
      </c>
      <c r="AE684" s="27">
        <v>10.238899999999999</v>
      </c>
      <c r="AF684" s="27">
        <v>10.391</v>
      </c>
      <c r="AG684" s="27">
        <v>10.307499999999999</v>
      </c>
      <c r="AH684" s="26">
        <v>6.8599999999999994E-2</v>
      </c>
      <c r="AI684" s="26">
        <v>54.898093359999997</v>
      </c>
      <c r="AJ684" s="26">
        <f t="shared" si="232"/>
        <v>2.7449046680000002</v>
      </c>
      <c r="AK684" s="26">
        <f t="shared" si="233"/>
        <v>31.733001942196534</v>
      </c>
      <c r="AL684" s="26">
        <f t="shared" si="234"/>
        <v>2.746379732740575</v>
      </c>
      <c r="AM684" s="17">
        <f t="shared" si="240"/>
        <v>0.5780346820809249</v>
      </c>
      <c r="AN684" s="28" t="s">
        <v>44</v>
      </c>
      <c r="AO684" s="27" t="s">
        <v>57</v>
      </c>
      <c r="AS684" s="49"/>
      <c r="AT684" s="25"/>
      <c r="AU684" s="17"/>
      <c r="AV684" s="17"/>
      <c r="AW684" s="17"/>
      <c r="AX684" s="27"/>
      <c r="BB684" s="17"/>
    </row>
    <row r="685" spans="1:54" x14ac:dyDescent="0.2">
      <c r="A685" s="17" t="s">
        <v>77</v>
      </c>
      <c r="B685" s="17" t="s">
        <v>78</v>
      </c>
      <c r="C685" s="17" t="str">
        <f t="shared" si="224"/>
        <v>HER42PB1E</v>
      </c>
      <c r="D685" s="17" t="str">
        <f t="shared" si="225"/>
        <v>HER42PB1E_154</v>
      </c>
      <c r="E685" s="27" t="s">
        <v>83</v>
      </c>
      <c r="F685" s="17">
        <v>154</v>
      </c>
      <c r="G685" s="20">
        <v>2.2000000000000002</v>
      </c>
      <c r="H685" s="20">
        <v>2</v>
      </c>
      <c r="I685" s="20">
        <v>1.2</v>
      </c>
      <c r="J685" s="22">
        <f t="shared" si="223"/>
        <v>4.1542200000000005</v>
      </c>
      <c r="K685" s="53">
        <v>0.37333333333333318</v>
      </c>
      <c r="L685" s="45">
        <f t="shared" ref="L685:L713" si="242">M684+K685</f>
        <v>3.046666666666666</v>
      </c>
      <c r="M685" s="45">
        <f t="shared" ref="M685:M713" si="243">L685+I685</f>
        <v>4.2466666666666661</v>
      </c>
      <c r="N685" s="46">
        <f t="shared" ref="N685:N713" si="244">L685+((M685-L685)/2)</f>
        <v>3.6466666666666661</v>
      </c>
      <c r="O685" s="20">
        <f t="shared" si="241"/>
        <v>163.04666666666665</v>
      </c>
      <c r="P685" s="20">
        <f t="shared" si="235"/>
        <v>164.24666666666664</v>
      </c>
      <c r="Q685" s="20">
        <f t="shared" ref="Q685:Q713" si="245">O685+((P685-O685)/2)</f>
        <v>163.64666666666665</v>
      </c>
      <c r="R685" s="20">
        <f t="shared" si="226"/>
        <v>163.04666666666665</v>
      </c>
      <c r="S685" s="20">
        <f t="shared" si="227"/>
        <v>163.64666666666665</v>
      </c>
      <c r="T685" s="20">
        <f t="shared" si="228"/>
        <v>163.64666666666665</v>
      </c>
      <c r="U685" s="20">
        <f t="shared" si="229"/>
        <v>163.64666666666665</v>
      </c>
      <c r="V685" s="22">
        <v>6.7492000000000001</v>
      </c>
      <c r="W685" s="22">
        <v>2.0958000000000001</v>
      </c>
      <c r="X685" s="23">
        <v>1.1476266666666668</v>
      </c>
      <c r="Y685" s="23">
        <f t="shared" si="236"/>
        <v>5.6015733333333335</v>
      </c>
      <c r="Z685" s="23">
        <f t="shared" si="237"/>
        <v>0.94817333333333331</v>
      </c>
      <c r="AA685" s="22">
        <f t="shared" si="238"/>
        <v>83.073088989283974</v>
      </c>
      <c r="AB685" s="22">
        <f t="shared" si="239"/>
        <v>16.926911010716026</v>
      </c>
      <c r="AC685" s="22">
        <f t="shared" si="230"/>
        <v>1.3484055570801097</v>
      </c>
      <c r="AD685" s="22">
        <f t="shared" si="231"/>
        <v>0.22824340871049997</v>
      </c>
      <c r="AE685" s="27">
        <v>13.141299999999999</v>
      </c>
      <c r="AF685" s="27">
        <v>13.273</v>
      </c>
      <c r="AG685" s="27">
        <v>13.193099999999999</v>
      </c>
      <c r="AH685" s="26">
        <v>5.1799999999999999E-2</v>
      </c>
      <c r="AI685" s="26">
        <v>60.668185270000002</v>
      </c>
      <c r="AJ685" s="26">
        <f t="shared" si="232"/>
        <v>3.0334092635000003</v>
      </c>
      <c r="AK685" s="26">
        <f t="shared" si="233"/>
        <v>35.068315184971105</v>
      </c>
      <c r="AL685" s="26">
        <f t="shared" si="234"/>
        <v>3.0347441012196752</v>
      </c>
      <c r="AM685" s="17">
        <f t="shared" si="240"/>
        <v>0.5780346820809249</v>
      </c>
      <c r="AN685" s="28" t="s">
        <v>46</v>
      </c>
      <c r="AO685" s="29">
        <f>SUM(I683:I713)</f>
        <v>37.800000000000004</v>
      </c>
      <c r="AS685" s="49"/>
      <c r="AT685" s="25"/>
      <c r="AU685" s="17"/>
      <c r="AV685" s="17"/>
      <c r="AW685" s="17"/>
      <c r="AX685" s="27"/>
      <c r="BB685" s="17"/>
    </row>
    <row r="686" spans="1:54" x14ac:dyDescent="0.2">
      <c r="A686" s="17" t="s">
        <v>77</v>
      </c>
      <c r="B686" s="17" t="s">
        <v>78</v>
      </c>
      <c r="C686" s="17" t="str">
        <f t="shared" si="224"/>
        <v>HER42PB1E</v>
      </c>
      <c r="D686" s="17" t="str">
        <f t="shared" si="225"/>
        <v>HER42PB1E_155</v>
      </c>
      <c r="E686" s="27" t="s">
        <v>83</v>
      </c>
      <c r="F686" s="17">
        <v>155</v>
      </c>
      <c r="G686" s="20">
        <v>2.25</v>
      </c>
      <c r="H686" s="20">
        <v>2.2000000000000002</v>
      </c>
      <c r="I686" s="20">
        <v>1.25</v>
      </c>
      <c r="J686" s="22">
        <f t="shared" si="223"/>
        <v>4.8578007812500008</v>
      </c>
      <c r="K686" s="53">
        <v>0.37333333333333318</v>
      </c>
      <c r="L686" s="45">
        <f t="shared" si="242"/>
        <v>4.6199999999999992</v>
      </c>
      <c r="M686" s="45">
        <f t="shared" si="243"/>
        <v>5.8699999999999992</v>
      </c>
      <c r="N686" s="46">
        <f t="shared" si="244"/>
        <v>5.2449999999999992</v>
      </c>
      <c r="O686" s="20">
        <f t="shared" si="241"/>
        <v>164.61999999999998</v>
      </c>
      <c r="P686" s="20">
        <f t="shared" si="235"/>
        <v>165.86999999999998</v>
      </c>
      <c r="Q686" s="20">
        <f t="shared" si="245"/>
        <v>165.24499999999998</v>
      </c>
      <c r="R686" s="20">
        <f t="shared" si="226"/>
        <v>164.61999999999998</v>
      </c>
      <c r="S686" s="20">
        <f t="shared" si="227"/>
        <v>165.24499999999998</v>
      </c>
      <c r="T686" s="20">
        <f t="shared" si="228"/>
        <v>165.24499999999998</v>
      </c>
      <c r="U686" s="20">
        <f t="shared" si="229"/>
        <v>165.24499999999998</v>
      </c>
      <c r="V686" s="22">
        <v>7.7012</v>
      </c>
      <c r="W686" s="22">
        <v>2.1996000000000002</v>
      </c>
      <c r="X686" s="23">
        <v>1.1476266666666668</v>
      </c>
      <c r="Y686" s="23">
        <f t="shared" si="236"/>
        <v>6.5535733333333335</v>
      </c>
      <c r="Z686" s="23">
        <f t="shared" si="237"/>
        <v>1.0519733333333334</v>
      </c>
      <c r="AA686" s="22">
        <f t="shared" si="238"/>
        <v>83.948095491925017</v>
      </c>
      <c r="AB686" s="22">
        <f t="shared" si="239"/>
        <v>16.051904508074983</v>
      </c>
      <c r="AC686" s="22">
        <f t="shared" si="230"/>
        <v>1.3490823581379925</v>
      </c>
      <c r="AD686" s="22">
        <f t="shared" si="231"/>
        <v>0.21655341186359675</v>
      </c>
      <c r="AE686" s="27">
        <v>10.3491</v>
      </c>
      <c r="AF686" s="27">
        <v>10.460800000000001</v>
      </c>
      <c r="AG686" s="27">
        <v>10.3896</v>
      </c>
      <c r="AH686" s="26">
        <v>4.0500000000000001E-2</v>
      </c>
      <c r="AI686" s="26">
        <v>63.742166519999998</v>
      </c>
      <c r="AJ686" s="26">
        <f t="shared" si="232"/>
        <v>3.1871083260000002</v>
      </c>
      <c r="AK686" s="26">
        <f t="shared" si="233"/>
        <v>36.845182959537574</v>
      </c>
      <c r="AL686" s="26">
        <f t="shared" si="234"/>
        <v>3.188378817151206</v>
      </c>
      <c r="AM686" s="17">
        <f t="shared" si="240"/>
        <v>0.5780346820809249</v>
      </c>
      <c r="AN686" s="28" t="s">
        <v>47</v>
      </c>
      <c r="AO686" s="29">
        <f>AO683-AO685</f>
        <v>11.199999999999996</v>
      </c>
      <c r="AS686" s="49"/>
      <c r="AT686" s="25"/>
      <c r="AU686" s="17"/>
      <c r="AV686" s="17"/>
      <c r="AW686" s="17"/>
      <c r="AX686" s="27"/>
      <c r="BB686" s="17"/>
    </row>
    <row r="687" spans="1:54" x14ac:dyDescent="0.2">
      <c r="A687" s="17" t="s">
        <v>77</v>
      </c>
      <c r="B687" s="17" t="s">
        <v>78</v>
      </c>
      <c r="C687" s="17" t="str">
        <f t="shared" si="224"/>
        <v>HER42PB1E</v>
      </c>
      <c r="D687" s="17" t="str">
        <f t="shared" si="225"/>
        <v>HER42PB1E_156</v>
      </c>
      <c r="E687" s="27" t="s">
        <v>83</v>
      </c>
      <c r="F687" s="17">
        <v>156</v>
      </c>
      <c r="G687" s="20">
        <v>2.15</v>
      </c>
      <c r="H687" s="20">
        <v>2</v>
      </c>
      <c r="I687" s="20">
        <v>1.2</v>
      </c>
      <c r="J687" s="22">
        <f t="shared" si="223"/>
        <v>4.0558987500000008</v>
      </c>
      <c r="K687" s="53">
        <v>0.37333333333333318</v>
      </c>
      <c r="L687" s="45">
        <f t="shared" si="242"/>
        <v>6.2433333333333323</v>
      </c>
      <c r="M687" s="45">
        <f t="shared" si="243"/>
        <v>7.4433333333333325</v>
      </c>
      <c r="N687" s="46">
        <f t="shared" si="244"/>
        <v>6.8433333333333319</v>
      </c>
      <c r="O687" s="20">
        <f t="shared" si="241"/>
        <v>166.24333333333331</v>
      </c>
      <c r="P687" s="20">
        <f t="shared" si="235"/>
        <v>167.4433333333333</v>
      </c>
      <c r="Q687" s="20">
        <f t="shared" si="245"/>
        <v>166.84333333333331</v>
      </c>
      <c r="R687" s="20">
        <f t="shared" si="226"/>
        <v>166.24333333333331</v>
      </c>
      <c r="S687" s="20">
        <f t="shared" si="227"/>
        <v>166.84333333333331</v>
      </c>
      <c r="T687" s="20">
        <f t="shared" si="228"/>
        <v>166.84333333333331</v>
      </c>
      <c r="U687" s="20">
        <f t="shared" si="229"/>
        <v>166.84333333333331</v>
      </c>
      <c r="V687" s="22">
        <v>6.6375999999999999</v>
      </c>
      <c r="W687" s="22">
        <v>2.0767000000000002</v>
      </c>
      <c r="X687" s="23">
        <v>1.1476266666666668</v>
      </c>
      <c r="Y687" s="23">
        <f t="shared" si="236"/>
        <v>5.4899733333333334</v>
      </c>
      <c r="Z687" s="23">
        <f t="shared" si="237"/>
        <v>0.92907333333333342</v>
      </c>
      <c r="AA687" s="22">
        <f t="shared" si="238"/>
        <v>83.076906263054113</v>
      </c>
      <c r="AB687" s="22">
        <f t="shared" si="239"/>
        <v>16.923093736945887</v>
      </c>
      <c r="AC687" s="22">
        <f t="shared" si="230"/>
        <v>1.3535775106154542</v>
      </c>
      <c r="AD687" s="22">
        <f t="shared" si="231"/>
        <v>0.22906719092367214</v>
      </c>
      <c r="AE687" s="27">
        <v>9.5378000000000007</v>
      </c>
      <c r="AF687" s="27">
        <v>9.7141000000000002</v>
      </c>
      <c r="AG687" s="27">
        <v>9.6044999999999998</v>
      </c>
      <c r="AH687" s="26">
        <v>6.6699999999999995E-2</v>
      </c>
      <c r="AI687" s="26">
        <v>62.166761200000003</v>
      </c>
      <c r="AJ687" s="26">
        <f t="shared" si="232"/>
        <v>3.1083380600000003</v>
      </c>
      <c r="AK687" s="26">
        <f t="shared" si="233"/>
        <v>35.934544046242777</v>
      </c>
      <c r="AL687" s="26">
        <f t="shared" si="234"/>
        <v>3.1096407341113488</v>
      </c>
      <c r="AM687" s="17">
        <f t="shared" si="240"/>
        <v>0.5780346820809249</v>
      </c>
      <c r="AN687" s="28" t="s">
        <v>48</v>
      </c>
      <c r="AO687" s="27">
        <v>30</v>
      </c>
      <c r="AS687" s="49"/>
      <c r="AT687" s="25"/>
      <c r="AU687" s="17"/>
      <c r="AV687" s="17"/>
      <c r="AW687" s="17"/>
      <c r="AX687" s="27"/>
      <c r="BB687" s="17"/>
    </row>
    <row r="688" spans="1:54" x14ac:dyDescent="0.2">
      <c r="A688" s="17" t="s">
        <v>77</v>
      </c>
      <c r="B688" s="17" t="s">
        <v>78</v>
      </c>
      <c r="C688" s="17" t="str">
        <f t="shared" si="224"/>
        <v>HER42PB1E</v>
      </c>
      <c r="D688" s="17" t="str">
        <f t="shared" si="225"/>
        <v>HER42PB1E_157</v>
      </c>
      <c r="E688" s="27" t="s">
        <v>83</v>
      </c>
      <c r="F688" s="17">
        <v>157</v>
      </c>
      <c r="G688" s="20">
        <v>2.0499999999999998</v>
      </c>
      <c r="H688" s="20">
        <v>2</v>
      </c>
      <c r="I688" s="20">
        <v>1.1499999999999999</v>
      </c>
      <c r="J688" s="22">
        <f t="shared" si="223"/>
        <v>3.7018392187499995</v>
      </c>
      <c r="K688" s="53">
        <v>0.37333333333333318</v>
      </c>
      <c r="L688" s="45">
        <f t="shared" si="242"/>
        <v>7.8166666666666655</v>
      </c>
      <c r="M688" s="45">
        <f t="shared" si="243"/>
        <v>8.966666666666665</v>
      </c>
      <c r="N688" s="46">
        <f t="shared" si="244"/>
        <v>8.3916666666666657</v>
      </c>
      <c r="O688" s="20">
        <f t="shared" si="241"/>
        <v>167.81666666666663</v>
      </c>
      <c r="P688" s="20">
        <f t="shared" si="235"/>
        <v>168.96666666666664</v>
      </c>
      <c r="Q688" s="20">
        <f t="shared" si="245"/>
        <v>168.39166666666665</v>
      </c>
      <c r="R688" s="20">
        <f t="shared" si="226"/>
        <v>167.81666666666663</v>
      </c>
      <c r="S688" s="20">
        <f t="shared" si="227"/>
        <v>168.39166666666665</v>
      </c>
      <c r="T688" s="20">
        <f t="shared" si="228"/>
        <v>168.39166666666665</v>
      </c>
      <c r="U688" s="20">
        <f t="shared" si="229"/>
        <v>168.39166666666665</v>
      </c>
      <c r="V688" s="22">
        <v>6.6746999999999996</v>
      </c>
      <c r="W688" s="22">
        <v>2.0329999999999999</v>
      </c>
      <c r="X688" s="23">
        <v>1.1476266666666668</v>
      </c>
      <c r="Y688" s="23">
        <f t="shared" si="236"/>
        <v>5.5270733333333331</v>
      </c>
      <c r="Z688" s="23">
        <f t="shared" si="237"/>
        <v>0.88537333333333312</v>
      </c>
      <c r="AA688" s="22">
        <f t="shared" si="238"/>
        <v>83.98115458331776</v>
      </c>
      <c r="AB688" s="22">
        <f t="shared" si="239"/>
        <v>16.01884541668224</v>
      </c>
      <c r="AC688" s="22">
        <f t="shared" si="230"/>
        <v>1.4930614234509245</v>
      </c>
      <c r="AD688" s="22">
        <f t="shared" si="231"/>
        <v>0.23917120139871911</v>
      </c>
      <c r="AE688" s="27">
        <v>9.3887999999999998</v>
      </c>
      <c r="AF688" s="27">
        <v>9.5472999999999999</v>
      </c>
      <c r="AG688" s="27">
        <v>9.4509000000000007</v>
      </c>
      <c r="AH688" s="26">
        <v>6.2100000000000002E-2</v>
      </c>
      <c r="AI688" s="26">
        <v>60.82018927</v>
      </c>
      <c r="AJ688" s="26">
        <f t="shared" si="232"/>
        <v>3.0410094635</v>
      </c>
      <c r="AK688" s="26">
        <f t="shared" si="233"/>
        <v>35.156178768786127</v>
      </c>
      <c r="AL688" s="26">
        <f t="shared" si="234"/>
        <v>3.0423409666072208</v>
      </c>
      <c r="AM688" s="17">
        <f t="shared" si="240"/>
        <v>0.5780346820809249</v>
      </c>
      <c r="AN688" s="28" t="s">
        <v>49</v>
      </c>
      <c r="AO688" s="30">
        <f>AO686/AO687</f>
        <v>0.37333333333333318</v>
      </c>
      <c r="AS688" s="49"/>
      <c r="AT688" s="25"/>
      <c r="AU688" s="17"/>
      <c r="AV688" s="17"/>
      <c r="AW688" s="17"/>
      <c r="AX688" s="27"/>
      <c r="BB688" s="17"/>
    </row>
    <row r="689" spans="1:54" x14ac:dyDescent="0.2">
      <c r="A689" s="17" t="s">
        <v>77</v>
      </c>
      <c r="B689" s="17" t="s">
        <v>78</v>
      </c>
      <c r="C689" s="17" t="str">
        <f t="shared" si="224"/>
        <v>HER42PB1E</v>
      </c>
      <c r="D689" s="17" t="str">
        <f t="shared" si="225"/>
        <v>HER42PB1E_158</v>
      </c>
      <c r="E689" s="27" t="s">
        <v>83</v>
      </c>
      <c r="F689" s="17">
        <v>158</v>
      </c>
      <c r="G689" s="20">
        <v>2</v>
      </c>
      <c r="H689" s="20">
        <v>2.1</v>
      </c>
      <c r="I689" s="20">
        <v>1.1499999999999999</v>
      </c>
      <c r="J689" s="22">
        <f t="shared" si="223"/>
        <v>3.7938068749999991</v>
      </c>
      <c r="K689" s="53">
        <v>0.37333333333333318</v>
      </c>
      <c r="L689" s="45">
        <f t="shared" si="242"/>
        <v>9.3399999999999981</v>
      </c>
      <c r="M689" s="45">
        <f t="shared" si="243"/>
        <v>10.489999999999998</v>
      </c>
      <c r="N689" s="46">
        <f t="shared" si="244"/>
        <v>9.9149999999999991</v>
      </c>
      <c r="O689" s="20">
        <f t="shared" si="241"/>
        <v>169.33999999999997</v>
      </c>
      <c r="P689" s="20">
        <f t="shared" si="235"/>
        <v>170.48999999999998</v>
      </c>
      <c r="Q689" s="20">
        <f t="shared" si="245"/>
        <v>169.91499999999996</v>
      </c>
      <c r="R689" s="20">
        <f t="shared" si="226"/>
        <v>169.33999999999997</v>
      </c>
      <c r="S689" s="20">
        <f t="shared" si="227"/>
        <v>169.91499999999996</v>
      </c>
      <c r="T689" s="20">
        <f t="shared" si="228"/>
        <v>169.91499999999996</v>
      </c>
      <c r="U689" s="20">
        <f t="shared" si="229"/>
        <v>169.91499999999996</v>
      </c>
      <c r="V689" s="22">
        <v>6.8197000000000001</v>
      </c>
      <c r="W689" s="22">
        <v>1.9777</v>
      </c>
      <c r="X689" s="23">
        <v>1.1476266666666668</v>
      </c>
      <c r="Y689" s="23">
        <f t="shared" si="236"/>
        <v>5.6720733333333335</v>
      </c>
      <c r="Z689" s="23">
        <f t="shared" si="237"/>
        <v>0.83007333333333322</v>
      </c>
      <c r="AA689" s="22">
        <f t="shared" si="238"/>
        <v>85.365609988587366</v>
      </c>
      <c r="AB689" s="22">
        <f t="shared" si="239"/>
        <v>14.634390011412634</v>
      </c>
      <c r="AC689" s="22">
        <f t="shared" si="230"/>
        <v>1.4950875255961296</v>
      </c>
      <c r="AD689" s="22">
        <f t="shared" si="231"/>
        <v>0.21879693950771636</v>
      </c>
      <c r="AE689" s="27">
        <v>12.6152</v>
      </c>
      <c r="AF689" s="27">
        <v>12.765000000000001</v>
      </c>
      <c r="AG689" s="27">
        <v>12.6747</v>
      </c>
      <c r="AH689" s="26">
        <v>5.9499999999999997E-2</v>
      </c>
      <c r="AI689" s="26">
        <v>60.280373830000002</v>
      </c>
      <c r="AJ689" s="26">
        <f t="shared" si="232"/>
        <v>3.0140186915000005</v>
      </c>
      <c r="AK689" s="26">
        <f t="shared" si="233"/>
        <v>34.844146722543357</v>
      </c>
      <c r="AL689" s="26">
        <f t="shared" si="234"/>
        <v>3.0153621130324257</v>
      </c>
      <c r="AM689" s="17">
        <f t="shared" si="240"/>
        <v>0.5780346820809249</v>
      </c>
      <c r="AN689" s="17"/>
      <c r="AO689" s="27"/>
      <c r="AS689" s="49"/>
      <c r="AT689" s="25"/>
      <c r="AU689" s="17"/>
      <c r="AV689" s="17"/>
      <c r="AW689" s="17"/>
      <c r="AX689" s="27"/>
      <c r="BB689" s="17"/>
    </row>
    <row r="690" spans="1:54" x14ac:dyDescent="0.2">
      <c r="A690" s="17" t="s">
        <v>77</v>
      </c>
      <c r="B690" s="17" t="s">
        <v>78</v>
      </c>
      <c r="C690" s="17" t="str">
        <f t="shared" si="224"/>
        <v>HER42PB1E</v>
      </c>
      <c r="D690" s="17" t="str">
        <f t="shared" si="225"/>
        <v>HER42PB1E_159</v>
      </c>
      <c r="E690" s="27" t="s">
        <v>83</v>
      </c>
      <c r="F690" s="17">
        <v>159</v>
      </c>
      <c r="G690" s="20">
        <v>2.0499999999999998</v>
      </c>
      <c r="H690" s="20">
        <v>2.2000000000000002</v>
      </c>
      <c r="I690" s="20">
        <v>1.2</v>
      </c>
      <c r="J690" s="22">
        <f t="shared" si="223"/>
        <v>4.25371875</v>
      </c>
      <c r="K690" s="53">
        <v>0.37333333333333318</v>
      </c>
      <c r="L690" s="45">
        <f t="shared" si="242"/>
        <v>10.863333333333332</v>
      </c>
      <c r="M690" s="45">
        <f t="shared" si="243"/>
        <v>12.063333333333331</v>
      </c>
      <c r="N690" s="46">
        <f t="shared" si="244"/>
        <v>11.463333333333331</v>
      </c>
      <c r="O690" s="20">
        <f t="shared" si="241"/>
        <v>170.86333333333332</v>
      </c>
      <c r="P690" s="20">
        <f t="shared" si="235"/>
        <v>172.0633333333333</v>
      </c>
      <c r="Q690" s="20">
        <f t="shared" si="245"/>
        <v>171.46333333333331</v>
      </c>
      <c r="R690" s="20">
        <f t="shared" si="226"/>
        <v>170.86333333333332</v>
      </c>
      <c r="S690" s="20">
        <f t="shared" si="227"/>
        <v>171.46333333333331</v>
      </c>
      <c r="T690" s="20">
        <f t="shared" si="228"/>
        <v>171.46333333333331</v>
      </c>
      <c r="U690" s="20">
        <f t="shared" si="229"/>
        <v>171.46333333333331</v>
      </c>
      <c r="V690" s="22">
        <v>6.9564000000000004</v>
      </c>
      <c r="W690" s="22">
        <v>2.2040999999999999</v>
      </c>
      <c r="X690" s="23">
        <v>1.1476266666666668</v>
      </c>
      <c r="Y690" s="23">
        <f t="shared" si="236"/>
        <v>5.8087733333333338</v>
      </c>
      <c r="Z690" s="23">
        <f t="shared" si="237"/>
        <v>1.0564733333333332</v>
      </c>
      <c r="AA690" s="22">
        <f t="shared" si="238"/>
        <v>81.812453805508</v>
      </c>
      <c r="AB690" s="22">
        <f t="shared" si="239"/>
        <v>18.187546194492</v>
      </c>
      <c r="AC690" s="22">
        <f t="shared" si="230"/>
        <v>1.3655753176754655</v>
      </c>
      <c r="AD690" s="22">
        <f t="shared" si="231"/>
        <v>0.24836464172280623</v>
      </c>
      <c r="AE690" s="27">
        <v>17.0794</v>
      </c>
      <c r="AF690" s="27">
        <v>17.188099999999999</v>
      </c>
      <c r="AG690" s="27">
        <v>17.1205</v>
      </c>
      <c r="AH690" s="26">
        <v>4.1099999999999998E-2</v>
      </c>
      <c r="AI690" s="26">
        <v>62.18951242</v>
      </c>
      <c r="AJ690" s="26">
        <f t="shared" si="232"/>
        <v>3.1094756210000001</v>
      </c>
      <c r="AK690" s="26">
        <f t="shared" si="233"/>
        <v>35.947695040462428</v>
      </c>
      <c r="AL690" s="26">
        <f t="shared" si="234"/>
        <v>3.1107778187445878</v>
      </c>
      <c r="AM690" s="17">
        <f t="shared" si="240"/>
        <v>0.5780346820809249</v>
      </c>
      <c r="AN690" s="17"/>
      <c r="AO690" s="27"/>
      <c r="AS690" s="49"/>
      <c r="AT690" s="25"/>
      <c r="AU690" s="17"/>
      <c r="AV690" s="17"/>
      <c r="AW690" s="17"/>
      <c r="AX690" s="27"/>
      <c r="BB690" s="17"/>
    </row>
    <row r="691" spans="1:54" x14ac:dyDescent="0.2">
      <c r="A691" s="17" t="s">
        <v>77</v>
      </c>
      <c r="B691" s="17" t="s">
        <v>78</v>
      </c>
      <c r="C691" s="17" t="str">
        <f t="shared" si="224"/>
        <v>HER42PB1E</v>
      </c>
      <c r="D691" s="17" t="str">
        <f t="shared" si="225"/>
        <v>HER42PB1E_160</v>
      </c>
      <c r="E691" s="27" t="s">
        <v>83</v>
      </c>
      <c r="F691" s="17">
        <v>160</v>
      </c>
      <c r="G691" s="20">
        <v>2.1</v>
      </c>
      <c r="H691" s="20">
        <v>2.1</v>
      </c>
      <c r="I691" s="20">
        <v>1.2</v>
      </c>
      <c r="J691" s="22">
        <f t="shared" si="223"/>
        <v>4.1542200000000005</v>
      </c>
      <c r="K691" s="53">
        <v>0.37333333333333318</v>
      </c>
      <c r="L691" s="45">
        <f t="shared" si="242"/>
        <v>12.436666666666664</v>
      </c>
      <c r="M691" s="45">
        <f t="shared" si="243"/>
        <v>13.636666666666663</v>
      </c>
      <c r="N691" s="46">
        <f t="shared" si="244"/>
        <v>13.036666666666664</v>
      </c>
      <c r="O691" s="20">
        <f t="shared" si="241"/>
        <v>172.43666666666664</v>
      </c>
      <c r="P691" s="20">
        <f t="shared" si="235"/>
        <v>173.63666666666663</v>
      </c>
      <c r="Q691" s="20">
        <f t="shared" si="245"/>
        <v>173.03666666666663</v>
      </c>
      <c r="R691" s="20">
        <f t="shared" si="226"/>
        <v>172.43666666666664</v>
      </c>
      <c r="S691" s="20">
        <f t="shared" si="227"/>
        <v>173.03666666666663</v>
      </c>
      <c r="T691" s="20">
        <f t="shared" si="228"/>
        <v>173.03666666666663</v>
      </c>
      <c r="U691" s="20">
        <f t="shared" si="229"/>
        <v>173.03666666666663</v>
      </c>
      <c r="V691" s="22">
        <v>6.6420000000000003</v>
      </c>
      <c r="W691" s="22">
        <v>2.0303</v>
      </c>
      <c r="X691" s="23">
        <v>1.1476266666666668</v>
      </c>
      <c r="Y691" s="23">
        <f t="shared" si="236"/>
        <v>5.4943733333333338</v>
      </c>
      <c r="Z691" s="23">
        <f t="shared" si="237"/>
        <v>0.8826733333333332</v>
      </c>
      <c r="AA691" s="22">
        <f t="shared" si="238"/>
        <v>83.934958915545124</v>
      </c>
      <c r="AB691" s="22">
        <f t="shared" si="239"/>
        <v>16.065041084454876</v>
      </c>
      <c r="AC691" s="22">
        <f t="shared" si="230"/>
        <v>1.3226004721303477</v>
      </c>
      <c r="AD691" s="22">
        <f t="shared" si="231"/>
        <v>0.21247630923093458</v>
      </c>
      <c r="AE691" s="27">
        <v>11.8596</v>
      </c>
      <c r="AF691" s="27">
        <v>12.0564</v>
      </c>
      <c r="AG691" s="27">
        <v>11.965299999999999</v>
      </c>
      <c r="AH691" s="26">
        <v>0.1057</v>
      </c>
      <c r="AI691" s="26">
        <v>46.290650409999998</v>
      </c>
      <c r="AJ691" s="26">
        <f t="shared" si="232"/>
        <v>2.3145325204999998</v>
      </c>
      <c r="AK691" s="26">
        <f t="shared" si="233"/>
        <v>26.757601393063585</v>
      </c>
      <c r="AL691" s="26">
        <f t="shared" si="234"/>
        <v>2.3162816729517335</v>
      </c>
      <c r="AM691" s="17">
        <f t="shared" si="240"/>
        <v>0.5780346820809249</v>
      </c>
      <c r="AN691" s="17"/>
      <c r="AO691" s="27"/>
      <c r="AS691" s="49"/>
      <c r="AT691" s="25"/>
      <c r="AU691" s="17"/>
      <c r="AV691" s="17"/>
      <c r="AW691" s="17"/>
      <c r="AX691" s="27"/>
      <c r="BB691" s="17"/>
    </row>
    <row r="692" spans="1:54" x14ac:dyDescent="0.2">
      <c r="A692" s="17" t="s">
        <v>77</v>
      </c>
      <c r="B692" s="17" t="s">
        <v>78</v>
      </c>
      <c r="C692" s="17" t="str">
        <f t="shared" si="224"/>
        <v>HER42PB1E</v>
      </c>
      <c r="D692" s="17" t="str">
        <f t="shared" si="225"/>
        <v>HER42PB1E_161</v>
      </c>
      <c r="E692" s="27" t="s">
        <v>83</v>
      </c>
      <c r="F692" s="17">
        <v>161</v>
      </c>
      <c r="G692" s="20">
        <v>2</v>
      </c>
      <c r="H692" s="20">
        <v>1.95</v>
      </c>
      <c r="I692" s="20">
        <v>1.2</v>
      </c>
      <c r="J692" s="22">
        <f t="shared" si="223"/>
        <v>3.6743887499999999</v>
      </c>
      <c r="K692" s="53">
        <v>0.37333333333333318</v>
      </c>
      <c r="L692" s="45">
        <f t="shared" si="242"/>
        <v>14.009999999999996</v>
      </c>
      <c r="M692" s="45">
        <f t="shared" si="243"/>
        <v>15.209999999999996</v>
      </c>
      <c r="N692" s="46">
        <f t="shared" si="244"/>
        <v>14.609999999999996</v>
      </c>
      <c r="O692" s="20">
        <f t="shared" si="241"/>
        <v>174.00999999999996</v>
      </c>
      <c r="P692" s="20">
        <f t="shared" si="235"/>
        <v>175.20999999999995</v>
      </c>
      <c r="Q692" s="20">
        <f t="shared" si="245"/>
        <v>174.60999999999996</v>
      </c>
      <c r="R692" s="20">
        <f t="shared" si="226"/>
        <v>174.00999999999996</v>
      </c>
      <c r="S692" s="20">
        <f t="shared" si="227"/>
        <v>174.60999999999996</v>
      </c>
      <c r="T692" s="20">
        <f t="shared" si="228"/>
        <v>174.60999999999996</v>
      </c>
      <c r="U692" s="20">
        <f t="shared" si="229"/>
        <v>174.60999999999996</v>
      </c>
      <c r="V692" s="22">
        <v>6.2683999999999997</v>
      </c>
      <c r="W692" s="22">
        <v>2.1187999999999998</v>
      </c>
      <c r="X692" s="23">
        <v>1.1476266666666668</v>
      </c>
      <c r="Y692" s="23">
        <f t="shared" si="236"/>
        <v>5.1207733333333332</v>
      </c>
      <c r="Z692" s="23">
        <f t="shared" si="237"/>
        <v>0.971173333333333</v>
      </c>
      <c r="AA692" s="22">
        <f t="shared" si="238"/>
        <v>81.034635393612433</v>
      </c>
      <c r="AB692" s="22">
        <f t="shared" si="239"/>
        <v>18.965364606387567</v>
      </c>
      <c r="AC692" s="22">
        <f t="shared" si="230"/>
        <v>1.3936395089750189</v>
      </c>
      <c r="AD692" s="22">
        <f t="shared" si="231"/>
        <v>0.26430881417578178</v>
      </c>
      <c r="AE692" s="27">
        <v>16.819500000000001</v>
      </c>
      <c r="AF692" s="27">
        <v>16.914899999999999</v>
      </c>
      <c r="AG692" s="27">
        <v>16.856200000000001</v>
      </c>
      <c r="AH692" s="26">
        <v>3.6700000000000003E-2</v>
      </c>
      <c r="AI692" s="26">
        <v>61.530398320000003</v>
      </c>
      <c r="AJ692" s="26">
        <f t="shared" si="232"/>
        <v>3.0765199160000005</v>
      </c>
      <c r="AK692" s="26">
        <f t="shared" si="233"/>
        <v>35.566704231213876</v>
      </c>
      <c r="AL692" s="26">
        <f t="shared" si="234"/>
        <v>3.0778360569635042</v>
      </c>
      <c r="AM692" s="17">
        <f t="shared" si="240"/>
        <v>0.5780346820809249</v>
      </c>
      <c r="AN692" s="17"/>
      <c r="AO692" s="27"/>
      <c r="AS692" s="49"/>
      <c r="AT692" s="25"/>
      <c r="AU692" s="17"/>
      <c r="AV692" s="17"/>
      <c r="AW692" s="17"/>
      <c r="AX692" s="27"/>
      <c r="BB692" s="17"/>
    </row>
    <row r="693" spans="1:54" x14ac:dyDescent="0.2">
      <c r="A693" s="17" t="s">
        <v>77</v>
      </c>
      <c r="B693" s="17" t="s">
        <v>78</v>
      </c>
      <c r="C693" s="17" t="str">
        <f t="shared" si="224"/>
        <v>HER42PB1E</v>
      </c>
      <c r="D693" s="17" t="str">
        <f t="shared" si="225"/>
        <v>HER42PB1E_162</v>
      </c>
      <c r="E693" s="27" t="s">
        <v>83</v>
      </c>
      <c r="F693" s="17">
        <v>162</v>
      </c>
      <c r="G693" s="20">
        <v>1.9</v>
      </c>
      <c r="H693" s="20">
        <v>2.1</v>
      </c>
      <c r="I693" s="20">
        <v>1.2</v>
      </c>
      <c r="J693" s="22">
        <f t="shared" si="223"/>
        <v>3.7679999999999998</v>
      </c>
      <c r="K693" s="53">
        <v>0.37333333333333318</v>
      </c>
      <c r="L693" s="45">
        <f t="shared" si="242"/>
        <v>15.583333333333329</v>
      </c>
      <c r="M693" s="45">
        <f t="shared" si="243"/>
        <v>16.783333333333328</v>
      </c>
      <c r="N693" s="46">
        <f t="shared" si="244"/>
        <v>16.18333333333333</v>
      </c>
      <c r="O693" s="20">
        <f t="shared" si="241"/>
        <v>175.58333333333329</v>
      </c>
      <c r="P693" s="20">
        <f t="shared" si="235"/>
        <v>176.78333333333327</v>
      </c>
      <c r="Q693" s="20">
        <f t="shared" si="245"/>
        <v>176.18333333333328</v>
      </c>
      <c r="R693" s="20">
        <f t="shared" si="226"/>
        <v>175.58333333333329</v>
      </c>
      <c r="S693" s="20">
        <f t="shared" si="227"/>
        <v>176.18333333333328</v>
      </c>
      <c r="T693" s="20">
        <f t="shared" si="228"/>
        <v>176.18333333333328</v>
      </c>
      <c r="U693" s="20">
        <f t="shared" si="229"/>
        <v>176.18333333333328</v>
      </c>
      <c r="V693" s="22">
        <v>6.8322000000000003</v>
      </c>
      <c r="W693" s="22">
        <v>2.1076999999999999</v>
      </c>
      <c r="X693" s="23">
        <v>1.1476266666666668</v>
      </c>
      <c r="Y693" s="23">
        <f t="shared" si="236"/>
        <v>5.6845733333333337</v>
      </c>
      <c r="Z693" s="23">
        <f t="shared" si="237"/>
        <v>0.96007333333333311</v>
      </c>
      <c r="AA693" s="22">
        <f t="shared" si="238"/>
        <v>83.110898971016297</v>
      </c>
      <c r="AB693" s="22">
        <f t="shared" si="239"/>
        <v>16.889101028983703</v>
      </c>
      <c r="AC693" s="22">
        <f t="shared" si="230"/>
        <v>1.5086447275300781</v>
      </c>
      <c r="AD693" s="22">
        <f t="shared" si="231"/>
        <v>0.25479653220099074</v>
      </c>
      <c r="AE693" s="27">
        <v>16.289400000000001</v>
      </c>
      <c r="AF693" s="27">
        <v>16.424700000000001</v>
      </c>
      <c r="AG693" s="27">
        <v>16.357800000000001</v>
      </c>
      <c r="AH693" s="26">
        <v>6.8400000000000002E-2</v>
      </c>
      <c r="AI693" s="26">
        <v>49.44567627</v>
      </c>
      <c r="AJ693" s="26">
        <f t="shared" si="232"/>
        <v>2.4722838135000003</v>
      </c>
      <c r="AK693" s="26">
        <f t="shared" si="233"/>
        <v>28.581315763005783</v>
      </c>
      <c r="AL693" s="26">
        <f t="shared" si="234"/>
        <v>2.4739214325629066</v>
      </c>
      <c r="AM693" s="17">
        <f t="shared" si="240"/>
        <v>0.5780346820809249</v>
      </c>
      <c r="AN693" s="17"/>
      <c r="AO693" s="27"/>
      <c r="AS693" s="49"/>
      <c r="AT693" s="25"/>
      <c r="AU693" s="17"/>
      <c r="AV693" s="17"/>
      <c r="AW693" s="17"/>
      <c r="AX693" s="27"/>
      <c r="BB693" s="17"/>
    </row>
    <row r="694" spans="1:54" x14ac:dyDescent="0.2">
      <c r="A694" s="17" t="s">
        <v>77</v>
      </c>
      <c r="B694" s="17" t="s">
        <v>78</v>
      </c>
      <c r="C694" s="17" t="str">
        <f t="shared" si="224"/>
        <v>HER42PB1E</v>
      </c>
      <c r="D694" s="17" t="str">
        <f t="shared" si="225"/>
        <v>HER42PB1E_163</v>
      </c>
      <c r="E694" s="27" t="s">
        <v>83</v>
      </c>
      <c r="F694" s="17">
        <v>163</v>
      </c>
      <c r="G694" s="20">
        <v>2</v>
      </c>
      <c r="H694" s="20">
        <v>2.2000000000000002</v>
      </c>
      <c r="I694" s="20">
        <v>1.2</v>
      </c>
      <c r="J694" s="22">
        <f t="shared" si="223"/>
        <v>4.1542200000000005</v>
      </c>
      <c r="K694" s="53">
        <v>0.37333333333333318</v>
      </c>
      <c r="L694" s="45">
        <f t="shared" si="242"/>
        <v>17.156666666666663</v>
      </c>
      <c r="M694" s="45">
        <f t="shared" si="243"/>
        <v>18.356666666666662</v>
      </c>
      <c r="N694" s="46">
        <f t="shared" si="244"/>
        <v>17.756666666666661</v>
      </c>
      <c r="O694" s="20">
        <f t="shared" si="241"/>
        <v>177.15666666666661</v>
      </c>
      <c r="P694" s="20">
        <f t="shared" si="235"/>
        <v>178.3566666666666</v>
      </c>
      <c r="Q694" s="20">
        <f t="shared" si="245"/>
        <v>177.7566666666666</v>
      </c>
      <c r="R694" s="20">
        <f t="shared" si="226"/>
        <v>177.15666666666661</v>
      </c>
      <c r="S694" s="20">
        <f t="shared" si="227"/>
        <v>177.7566666666666</v>
      </c>
      <c r="T694" s="20">
        <f t="shared" si="228"/>
        <v>177.7566666666666</v>
      </c>
      <c r="U694" s="20">
        <f t="shared" si="229"/>
        <v>177.7566666666666</v>
      </c>
      <c r="V694" s="22">
        <v>7.1242000000000001</v>
      </c>
      <c r="W694" s="22">
        <v>2.0299999999999998</v>
      </c>
      <c r="X694" s="23">
        <v>1.1476266666666668</v>
      </c>
      <c r="Y694" s="23">
        <f t="shared" si="236"/>
        <v>5.9765733333333335</v>
      </c>
      <c r="Z694" s="23">
        <f t="shared" si="237"/>
        <v>0.88237333333333301</v>
      </c>
      <c r="AA694" s="22">
        <f t="shared" si="238"/>
        <v>85.236133079601913</v>
      </c>
      <c r="AB694" s="22">
        <f t="shared" si="239"/>
        <v>14.763866920398087</v>
      </c>
      <c r="AC694" s="22">
        <f t="shared" si="230"/>
        <v>1.4386752105890717</v>
      </c>
      <c r="AD694" s="22">
        <f t="shared" si="231"/>
        <v>0.21240409350812739</v>
      </c>
      <c r="AE694" s="27">
        <v>16.6904</v>
      </c>
      <c r="AF694" s="27">
        <v>16.793199999999999</v>
      </c>
      <c r="AG694" s="27">
        <v>16.725000000000001</v>
      </c>
      <c r="AH694" s="26">
        <v>3.4599999999999999E-2</v>
      </c>
      <c r="AI694" s="26">
        <v>66.342412449999998</v>
      </c>
      <c r="AJ694" s="26">
        <f t="shared" si="232"/>
        <v>3.3171206225000001</v>
      </c>
      <c r="AK694" s="26">
        <f t="shared" si="233"/>
        <v>38.34821528901734</v>
      </c>
      <c r="AL694" s="26">
        <f t="shared" si="234"/>
        <v>3.3183413363026397</v>
      </c>
      <c r="AM694" s="17">
        <f t="shared" si="240"/>
        <v>0.5780346820809249</v>
      </c>
      <c r="AN694" s="17"/>
      <c r="AO694" s="27"/>
      <c r="AS694" s="49"/>
      <c r="AT694" s="25"/>
      <c r="AU694" s="17"/>
      <c r="AV694" s="17"/>
      <c r="AW694" s="17"/>
      <c r="AX694" s="27"/>
      <c r="BB694" s="17"/>
    </row>
    <row r="695" spans="1:54" x14ac:dyDescent="0.2">
      <c r="A695" s="17" t="s">
        <v>77</v>
      </c>
      <c r="B695" s="17" t="s">
        <v>78</v>
      </c>
      <c r="C695" s="17" t="str">
        <f t="shared" si="224"/>
        <v>HER42PB1E</v>
      </c>
      <c r="D695" s="17" t="str">
        <f t="shared" si="225"/>
        <v>HER42PB1E_164</v>
      </c>
      <c r="E695" s="27" t="s">
        <v>83</v>
      </c>
      <c r="F695" s="17">
        <v>164</v>
      </c>
      <c r="G695" s="20">
        <v>2.1</v>
      </c>
      <c r="H695" s="20">
        <v>2.15</v>
      </c>
      <c r="I695" s="20">
        <v>1.2</v>
      </c>
      <c r="J695" s="22">
        <f t="shared" si="223"/>
        <v>4.25371875</v>
      </c>
      <c r="K695" s="53">
        <v>0.37333333333333318</v>
      </c>
      <c r="L695" s="45">
        <f t="shared" si="242"/>
        <v>18.729999999999997</v>
      </c>
      <c r="M695" s="45">
        <f t="shared" si="243"/>
        <v>19.929999999999996</v>
      </c>
      <c r="N695" s="46">
        <f t="shared" si="244"/>
        <v>19.329999999999998</v>
      </c>
      <c r="O695" s="20">
        <f t="shared" si="241"/>
        <v>178.72999999999993</v>
      </c>
      <c r="P695" s="20">
        <f t="shared" si="235"/>
        <v>179.92999999999992</v>
      </c>
      <c r="Q695" s="20">
        <f t="shared" si="245"/>
        <v>179.32999999999993</v>
      </c>
      <c r="R695" s="20">
        <f t="shared" si="226"/>
        <v>178.72999999999993</v>
      </c>
      <c r="S695" s="20">
        <f t="shared" si="227"/>
        <v>179.32999999999993</v>
      </c>
      <c r="T695" s="20">
        <f t="shared" si="228"/>
        <v>179.32999999999993</v>
      </c>
      <c r="U695" s="20">
        <f t="shared" si="229"/>
        <v>179.32999999999993</v>
      </c>
      <c r="V695" s="22">
        <v>6.8110999999999997</v>
      </c>
      <c r="W695" s="22">
        <v>2.0348000000000002</v>
      </c>
      <c r="X695" s="23">
        <v>1.1476266666666668</v>
      </c>
      <c r="Y695" s="23">
        <f t="shared" si="236"/>
        <v>5.6634733333333331</v>
      </c>
      <c r="Z695" s="23">
        <f t="shared" si="237"/>
        <v>0.88717333333333337</v>
      </c>
      <c r="AA695" s="22">
        <f t="shared" si="238"/>
        <v>84.335172408922205</v>
      </c>
      <c r="AB695" s="22">
        <f t="shared" si="239"/>
        <v>15.664827591077795</v>
      </c>
      <c r="AC695" s="22">
        <f t="shared" si="230"/>
        <v>1.3314169709347459</v>
      </c>
      <c r="AD695" s="22">
        <f t="shared" si="231"/>
        <v>0.2085641730152783</v>
      </c>
      <c r="AE695" s="27">
        <v>17.234500000000001</v>
      </c>
      <c r="AF695" s="27">
        <v>17.390499999999999</v>
      </c>
      <c r="AG695" s="27">
        <v>17.3034</v>
      </c>
      <c r="AH695" s="26">
        <v>6.8900000000000003E-2</v>
      </c>
      <c r="AI695" s="26">
        <v>55.833333330000002</v>
      </c>
      <c r="AJ695" s="26">
        <f t="shared" si="232"/>
        <v>2.7916666665000003</v>
      </c>
      <c r="AK695" s="26">
        <f t="shared" si="233"/>
        <v>32.273603080924858</v>
      </c>
      <c r="AL695" s="26">
        <f t="shared" si="234"/>
        <v>2.7931170360096305</v>
      </c>
      <c r="AM695" s="17">
        <f t="shared" si="240"/>
        <v>0.5780346820809249</v>
      </c>
      <c r="AN695" s="17"/>
      <c r="AO695" s="27"/>
      <c r="AS695" s="49"/>
      <c r="AT695" s="25"/>
      <c r="AU695" s="17"/>
      <c r="AV695" s="17"/>
      <c r="AW695" s="17"/>
      <c r="AX695" s="27"/>
      <c r="BB695" s="17"/>
    </row>
    <row r="696" spans="1:54" x14ac:dyDescent="0.2">
      <c r="A696" s="17" t="s">
        <v>77</v>
      </c>
      <c r="B696" s="17" t="s">
        <v>78</v>
      </c>
      <c r="C696" s="17" t="str">
        <f t="shared" si="224"/>
        <v>HER42PB1E</v>
      </c>
      <c r="D696" s="17" t="str">
        <f t="shared" si="225"/>
        <v>HER42PB1E_165</v>
      </c>
      <c r="E696" s="27" t="s">
        <v>83</v>
      </c>
      <c r="F696" s="17">
        <v>165</v>
      </c>
      <c r="G696" s="20">
        <v>2</v>
      </c>
      <c r="H696" s="20">
        <v>2</v>
      </c>
      <c r="I696" s="20">
        <v>1.2</v>
      </c>
      <c r="J696" s="22">
        <f t="shared" si="223"/>
        <v>3.7679999999999998</v>
      </c>
      <c r="K696" s="53">
        <v>0.37333333333333318</v>
      </c>
      <c r="L696" s="45">
        <f t="shared" si="242"/>
        <v>20.303333333333331</v>
      </c>
      <c r="M696" s="45">
        <f t="shared" si="243"/>
        <v>21.50333333333333</v>
      </c>
      <c r="N696" s="46">
        <f t="shared" si="244"/>
        <v>20.903333333333329</v>
      </c>
      <c r="O696" s="20">
        <f t="shared" si="241"/>
        <v>180.30333333333326</v>
      </c>
      <c r="P696" s="20">
        <f t="shared" si="235"/>
        <v>181.50333333333325</v>
      </c>
      <c r="Q696" s="20">
        <f t="shared" si="245"/>
        <v>180.90333333333325</v>
      </c>
      <c r="R696" s="20">
        <f t="shared" si="226"/>
        <v>180.30333333333326</v>
      </c>
      <c r="S696" s="20">
        <f t="shared" si="227"/>
        <v>180.90333333333325</v>
      </c>
      <c r="T696" s="20">
        <f t="shared" si="228"/>
        <v>180.90333333333325</v>
      </c>
      <c r="U696" s="20">
        <f t="shared" si="229"/>
        <v>180.90333333333325</v>
      </c>
      <c r="V696" s="22">
        <v>6.3539000000000003</v>
      </c>
      <c r="W696" s="22">
        <v>1.8873</v>
      </c>
      <c r="X696" s="23">
        <v>1.1476266666666668</v>
      </c>
      <c r="Y696" s="23">
        <f t="shared" si="236"/>
        <v>5.2062733333333338</v>
      </c>
      <c r="Z696" s="23">
        <f t="shared" si="237"/>
        <v>0.73967333333333318</v>
      </c>
      <c r="AA696" s="22">
        <f t="shared" si="238"/>
        <v>85.792652709999857</v>
      </c>
      <c r="AB696" s="22">
        <f t="shared" si="239"/>
        <v>14.207347290000143</v>
      </c>
      <c r="AC696" s="22">
        <f t="shared" si="230"/>
        <v>1.3817073602264687</v>
      </c>
      <c r="AD696" s="22">
        <f t="shared" si="231"/>
        <v>0.19630396319886761</v>
      </c>
      <c r="AE696" s="27">
        <v>16.631900000000002</v>
      </c>
      <c r="AF696" s="27">
        <v>16.785</v>
      </c>
      <c r="AG696" s="27">
        <v>16.692900000000002</v>
      </c>
      <c r="AH696" s="26">
        <v>6.0999999999999999E-2</v>
      </c>
      <c r="AI696" s="26">
        <v>60.156760290000001</v>
      </c>
      <c r="AJ696" s="26">
        <f t="shared" si="232"/>
        <v>3.0078380145000003</v>
      </c>
      <c r="AK696" s="26">
        <f t="shared" si="233"/>
        <v>34.772693809248558</v>
      </c>
      <c r="AL696" s="26">
        <f t="shared" si="234"/>
        <v>3.0091841953378835</v>
      </c>
      <c r="AM696" s="17">
        <f t="shared" si="240"/>
        <v>0.5780346820809249</v>
      </c>
      <c r="AN696" s="17"/>
      <c r="AO696" s="27"/>
      <c r="AS696" s="49"/>
      <c r="AT696" s="25"/>
      <c r="AU696" s="17"/>
      <c r="AV696" s="17"/>
      <c r="AW696" s="17"/>
      <c r="AX696" s="27"/>
      <c r="BB696" s="17"/>
    </row>
    <row r="697" spans="1:54" x14ac:dyDescent="0.2">
      <c r="A697" s="17" t="s">
        <v>77</v>
      </c>
      <c r="B697" s="17" t="s">
        <v>78</v>
      </c>
      <c r="C697" s="17" t="str">
        <f t="shared" si="224"/>
        <v>HER42PB1E</v>
      </c>
      <c r="D697" s="17" t="str">
        <f t="shared" si="225"/>
        <v>HER42PB1E_166</v>
      </c>
      <c r="E697" s="27" t="s">
        <v>83</v>
      </c>
      <c r="F697" s="17">
        <v>166</v>
      </c>
      <c r="G697" s="20">
        <v>2.1</v>
      </c>
      <c r="H697" s="20">
        <v>2.2000000000000002</v>
      </c>
      <c r="I697" s="20">
        <v>1.25</v>
      </c>
      <c r="J697" s="22">
        <f t="shared" si="223"/>
        <v>4.5358281250000019</v>
      </c>
      <c r="K697" s="53">
        <v>0.37333333333333318</v>
      </c>
      <c r="L697" s="45">
        <f t="shared" si="242"/>
        <v>21.876666666666665</v>
      </c>
      <c r="M697" s="45">
        <f t="shared" si="243"/>
        <v>23.126666666666665</v>
      </c>
      <c r="N697" s="46">
        <f t="shared" si="244"/>
        <v>22.501666666666665</v>
      </c>
      <c r="O697" s="20">
        <f t="shared" si="241"/>
        <v>181.87666666666658</v>
      </c>
      <c r="P697" s="20">
        <f t="shared" si="235"/>
        <v>183.12666666666658</v>
      </c>
      <c r="Q697" s="20">
        <f t="shared" si="245"/>
        <v>182.50166666666658</v>
      </c>
      <c r="R697" s="20">
        <f t="shared" si="226"/>
        <v>181.87666666666658</v>
      </c>
      <c r="S697" s="20">
        <f t="shared" si="227"/>
        <v>182.50166666666658</v>
      </c>
      <c r="T697" s="20">
        <f t="shared" si="228"/>
        <v>182.50166666666658</v>
      </c>
      <c r="U697" s="20">
        <f t="shared" si="229"/>
        <v>182.50166666666658</v>
      </c>
      <c r="V697" s="22">
        <v>6.9912999999999998</v>
      </c>
      <c r="W697" s="22">
        <v>2.0350999999999999</v>
      </c>
      <c r="X697" s="23">
        <v>1.1476266666666668</v>
      </c>
      <c r="Y697" s="23">
        <f t="shared" si="236"/>
        <v>5.8436733333333333</v>
      </c>
      <c r="Z697" s="23">
        <f t="shared" si="237"/>
        <v>0.88747333333333311</v>
      </c>
      <c r="AA697" s="22">
        <f t="shared" si="238"/>
        <v>84.813091309005401</v>
      </c>
      <c r="AB697" s="22">
        <f t="shared" si="239"/>
        <v>15.186908690994599</v>
      </c>
      <c r="AC697" s="22">
        <f t="shared" si="230"/>
        <v>1.2883365886650149</v>
      </c>
      <c r="AD697" s="22">
        <f t="shared" si="231"/>
        <v>0.19565850135323035</v>
      </c>
      <c r="AE697" s="27">
        <v>16.918399999999998</v>
      </c>
      <c r="AF697" s="27">
        <v>17.0837</v>
      </c>
      <c r="AG697" s="27">
        <v>16.979399999999998</v>
      </c>
      <c r="AH697" s="26">
        <v>6.0999999999999999E-2</v>
      </c>
      <c r="AI697" s="26">
        <v>63.097398669999997</v>
      </c>
      <c r="AJ697" s="26">
        <f t="shared" si="232"/>
        <v>3.1548699335000001</v>
      </c>
      <c r="AK697" s="26">
        <f t="shared" si="233"/>
        <v>36.472484780346825</v>
      </c>
      <c r="AL697" s="26">
        <f t="shared" si="234"/>
        <v>3.1561534020548327</v>
      </c>
      <c r="AM697" s="17">
        <f t="shared" si="240"/>
        <v>0.5780346820809249</v>
      </c>
      <c r="AN697" s="17"/>
      <c r="AO697" s="27"/>
      <c r="AS697" s="49"/>
      <c r="AT697" s="25"/>
      <c r="AU697" s="17"/>
      <c r="AV697" s="17"/>
      <c r="AW697" s="17"/>
      <c r="AX697" s="27"/>
      <c r="BB697" s="17"/>
    </row>
    <row r="698" spans="1:54" x14ac:dyDescent="0.2">
      <c r="A698" s="17" t="s">
        <v>77</v>
      </c>
      <c r="B698" s="17" t="s">
        <v>78</v>
      </c>
      <c r="C698" s="17" t="str">
        <f t="shared" si="224"/>
        <v>HER42PB1E</v>
      </c>
      <c r="D698" s="17" t="str">
        <f t="shared" si="225"/>
        <v>HER42PB1E_167</v>
      </c>
      <c r="E698" s="27" t="s">
        <v>83</v>
      </c>
      <c r="F698" s="17">
        <v>167</v>
      </c>
      <c r="G698" s="20">
        <v>2</v>
      </c>
      <c r="H698" s="20">
        <v>2.1</v>
      </c>
      <c r="I698" s="20">
        <v>1.1499999999999999</v>
      </c>
      <c r="J698" s="22">
        <f t="shared" si="223"/>
        <v>3.7938068749999991</v>
      </c>
      <c r="K698" s="53">
        <v>0.37333333333333318</v>
      </c>
      <c r="L698" s="45">
        <f t="shared" si="242"/>
        <v>23.5</v>
      </c>
      <c r="M698" s="45">
        <f t="shared" si="243"/>
        <v>24.65</v>
      </c>
      <c r="N698" s="46">
        <f t="shared" si="244"/>
        <v>24.074999999999999</v>
      </c>
      <c r="O698" s="20">
        <f t="shared" si="241"/>
        <v>183.49999999999991</v>
      </c>
      <c r="P698" s="20">
        <f t="shared" si="235"/>
        <v>184.64999999999992</v>
      </c>
      <c r="Q698" s="20">
        <f t="shared" si="245"/>
        <v>184.07499999999993</v>
      </c>
      <c r="R698" s="20">
        <f t="shared" si="226"/>
        <v>183.49999999999991</v>
      </c>
      <c r="S698" s="20">
        <f t="shared" si="227"/>
        <v>184.07499999999993</v>
      </c>
      <c r="T698" s="20">
        <f t="shared" si="228"/>
        <v>184.07499999999993</v>
      </c>
      <c r="U698" s="20">
        <f t="shared" si="229"/>
        <v>184.07499999999993</v>
      </c>
      <c r="V698" s="22">
        <v>6.9904000000000002</v>
      </c>
      <c r="W698" s="22">
        <v>2.0042</v>
      </c>
      <c r="X698" s="23">
        <v>1.1476266666666668</v>
      </c>
      <c r="Y698" s="23">
        <f t="shared" si="236"/>
        <v>5.8427733333333336</v>
      </c>
      <c r="Z698" s="23">
        <f t="shared" si="237"/>
        <v>0.85657333333333319</v>
      </c>
      <c r="AA698" s="22">
        <f t="shared" si="238"/>
        <v>85.339610413319704</v>
      </c>
      <c r="AB698" s="22">
        <f t="shared" si="239"/>
        <v>14.660389586680296</v>
      </c>
      <c r="AC698" s="22">
        <f t="shared" si="230"/>
        <v>1.540081908711638</v>
      </c>
      <c r="AD698" s="22">
        <f t="shared" si="231"/>
        <v>0.2257820077711081</v>
      </c>
      <c r="AE698" s="27">
        <v>16.767600000000002</v>
      </c>
      <c r="AF698" s="27">
        <v>16.896699999999999</v>
      </c>
      <c r="AG698" s="27">
        <v>16.811399999999999</v>
      </c>
      <c r="AH698" s="26">
        <v>4.3799999999999999E-2</v>
      </c>
      <c r="AI698" s="26">
        <v>66.072811770000001</v>
      </c>
      <c r="AJ698" s="26">
        <f t="shared" si="232"/>
        <v>3.3036405885000004</v>
      </c>
      <c r="AK698" s="26">
        <f t="shared" si="233"/>
        <v>38.192376745664745</v>
      </c>
      <c r="AL698" s="26">
        <f t="shared" si="234"/>
        <v>3.3048662814075596</v>
      </c>
      <c r="AM698" s="17">
        <f t="shared" si="240"/>
        <v>0.5780346820809249</v>
      </c>
      <c r="AN698" s="17"/>
      <c r="AO698" s="27"/>
      <c r="AS698" s="49"/>
      <c r="AT698" s="25"/>
      <c r="AU698" s="17"/>
      <c r="AV698" s="17"/>
      <c r="AW698" s="17"/>
      <c r="AX698" s="27"/>
      <c r="BB698" s="17"/>
    </row>
    <row r="699" spans="1:54" x14ac:dyDescent="0.2">
      <c r="A699" s="17" t="s">
        <v>77</v>
      </c>
      <c r="B699" s="17" t="s">
        <v>78</v>
      </c>
      <c r="C699" s="17" t="str">
        <f t="shared" si="224"/>
        <v>HER42PB1E</v>
      </c>
      <c r="D699" s="17" t="str">
        <f t="shared" si="225"/>
        <v>HER42PB1E_168</v>
      </c>
      <c r="E699" s="27" t="s">
        <v>83</v>
      </c>
      <c r="F699" s="17">
        <v>168</v>
      </c>
      <c r="G699" s="20">
        <v>2.1</v>
      </c>
      <c r="H699" s="20">
        <v>2.2999999999999998</v>
      </c>
      <c r="I699" s="20">
        <v>1.25</v>
      </c>
      <c r="J699" s="22">
        <f t="shared" si="223"/>
        <v>4.7492500000000009</v>
      </c>
      <c r="K699" s="53">
        <v>0.37333333333333318</v>
      </c>
      <c r="L699" s="45">
        <f t="shared" si="242"/>
        <v>25.023333333333333</v>
      </c>
      <c r="M699" s="45">
        <f t="shared" si="243"/>
        <v>26.273333333333333</v>
      </c>
      <c r="N699" s="46">
        <f t="shared" si="244"/>
        <v>25.648333333333333</v>
      </c>
      <c r="O699" s="20">
        <f t="shared" si="241"/>
        <v>185.02333333333326</v>
      </c>
      <c r="P699" s="20">
        <f t="shared" si="235"/>
        <v>186.27333333333326</v>
      </c>
      <c r="Q699" s="20">
        <f t="shared" si="245"/>
        <v>185.64833333333326</v>
      </c>
      <c r="R699" s="20">
        <f t="shared" si="226"/>
        <v>185.02333333333326</v>
      </c>
      <c r="S699" s="20">
        <f t="shared" si="227"/>
        <v>185.64833333333326</v>
      </c>
      <c r="T699" s="20">
        <f t="shared" si="228"/>
        <v>185.64833333333326</v>
      </c>
      <c r="U699" s="20">
        <f t="shared" si="229"/>
        <v>185.64833333333326</v>
      </c>
      <c r="V699" s="22">
        <v>7.3589000000000002</v>
      </c>
      <c r="W699" s="22">
        <v>2.0093000000000001</v>
      </c>
      <c r="X699" s="23">
        <v>1.1476266666666668</v>
      </c>
      <c r="Y699" s="23">
        <f t="shared" si="236"/>
        <v>6.2112733333333336</v>
      </c>
      <c r="Z699" s="23">
        <f t="shared" si="237"/>
        <v>0.86167333333333329</v>
      </c>
      <c r="AA699" s="22">
        <f t="shared" si="238"/>
        <v>86.127267516805475</v>
      </c>
      <c r="AB699" s="22">
        <f t="shared" si="239"/>
        <v>13.872732483194525</v>
      </c>
      <c r="AC699" s="22">
        <f t="shared" si="230"/>
        <v>1.3078429927532416</v>
      </c>
      <c r="AD699" s="22">
        <f t="shared" si="231"/>
        <v>0.18143355968486249</v>
      </c>
      <c r="AE699" s="27">
        <v>15.849500000000001</v>
      </c>
      <c r="AF699" s="27">
        <v>15.929500000000001</v>
      </c>
      <c r="AG699" s="27">
        <v>15.8714</v>
      </c>
      <c r="AH699" s="26">
        <v>2.1899999999999999E-2</v>
      </c>
      <c r="AI699" s="26">
        <v>72.625</v>
      </c>
      <c r="AJ699" s="26">
        <f t="shared" si="232"/>
        <v>3.6312500000000001</v>
      </c>
      <c r="AK699" s="26">
        <f t="shared" si="233"/>
        <v>41.979768786127174</v>
      </c>
      <c r="AL699" s="26">
        <f t="shared" si="234"/>
        <v>3.6323651471871603</v>
      </c>
      <c r="AM699" s="17">
        <f t="shared" si="240"/>
        <v>0.5780346820809249</v>
      </c>
      <c r="AN699" s="17"/>
      <c r="AO699" s="27"/>
      <c r="AS699" s="49"/>
      <c r="AT699" s="25"/>
      <c r="AU699" s="17"/>
      <c r="AV699" s="17"/>
      <c r="AW699" s="17"/>
      <c r="AX699" s="27"/>
      <c r="BB699" s="17"/>
    </row>
    <row r="700" spans="1:54" x14ac:dyDescent="0.2">
      <c r="A700" s="17" t="s">
        <v>77</v>
      </c>
      <c r="B700" s="17" t="s">
        <v>78</v>
      </c>
      <c r="C700" s="17" t="str">
        <f t="shared" si="224"/>
        <v>HER42PB1E</v>
      </c>
      <c r="D700" s="17" t="str">
        <f t="shared" si="225"/>
        <v>HER42PB1E_169</v>
      </c>
      <c r="E700" s="27" t="s">
        <v>83</v>
      </c>
      <c r="F700" s="17">
        <v>169</v>
      </c>
      <c r="G700" s="20">
        <v>2.1</v>
      </c>
      <c r="H700" s="20">
        <v>2.0499999999999998</v>
      </c>
      <c r="I700" s="20">
        <v>1.3</v>
      </c>
      <c r="J700" s="22">
        <f t="shared" si="223"/>
        <v>4.3938903125000017</v>
      </c>
      <c r="K700" s="53">
        <v>0.37333333333333318</v>
      </c>
      <c r="L700" s="45">
        <f t="shared" si="242"/>
        <v>26.646666666666668</v>
      </c>
      <c r="M700" s="45">
        <f t="shared" si="243"/>
        <v>27.946666666666669</v>
      </c>
      <c r="N700" s="46">
        <f t="shared" si="244"/>
        <v>27.296666666666667</v>
      </c>
      <c r="O700" s="20">
        <f t="shared" si="241"/>
        <v>186.64666666666659</v>
      </c>
      <c r="P700" s="20">
        <f t="shared" si="235"/>
        <v>187.9466666666666</v>
      </c>
      <c r="Q700" s="20">
        <f t="shared" si="245"/>
        <v>187.2966666666666</v>
      </c>
      <c r="R700" s="20">
        <f t="shared" si="226"/>
        <v>186.64666666666659</v>
      </c>
      <c r="S700" s="20">
        <f t="shared" si="227"/>
        <v>187.2966666666666</v>
      </c>
      <c r="T700" s="20">
        <f t="shared" si="228"/>
        <v>187.2966666666666</v>
      </c>
      <c r="U700" s="20">
        <f t="shared" si="229"/>
        <v>187.2966666666666</v>
      </c>
      <c r="V700" s="22">
        <v>6.9057000000000004</v>
      </c>
      <c r="W700" s="22">
        <v>2.0989</v>
      </c>
      <c r="X700" s="23">
        <v>1.1476266666666668</v>
      </c>
      <c r="Y700" s="23">
        <f t="shared" si="236"/>
        <v>5.7580733333333338</v>
      </c>
      <c r="Z700" s="23">
        <f t="shared" si="237"/>
        <v>0.95127333333333319</v>
      </c>
      <c r="AA700" s="22">
        <f t="shared" si="238"/>
        <v>83.479311945778164</v>
      </c>
      <c r="AB700" s="22">
        <f t="shared" si="239"/>
        <v>16.520688054221836</v>
      </c>
      <c r="AC700" s="22">
        <f t="shared" si="230"/>
        <v>1.3104727072845725</v>
      </c>
      <c r="AD700" s="22">
        <f t="shared" si="231"/>
        <v>0.21649910800619987</v>
      </c>
      <c r="AE700" s="27">
        <v>16.28</v>
      </c>
      <c r="AF700" s="27">
        <v>16.4193</v>
      </c>
      <c r="AG700" s="27">
        <v>16.335899999999999</v>
      </c>
      <c r="AH700" s="26">
        <v>5.5899999999999998E-2</v>
      </c>
      <c r="AI700" s="26">
        <v>59.870782480000003</v>
      </c>
      <c r="AJ700" s="26">
        <f t="shared" si="232"/>
        <v>2.9935391240000002</v>
      </c>
      <c r="AK700" s="26">
        <f t="shared" si="233"/>
        <v>34.607388716763012</v>
      </c>
      <c r="AL700" s="26">
        <f t="shared" si="234"/>
        <v>2.9948917320862685</v>
      </c>
      <c r="AM700" s="17">
        <f t="shared" si="240"/>
        <v>0.5780346820809249</v>
      </c>
      <c r="AN700" s="17"/>
      <c r="AO700" s="27"/>
      <c r="AS700" s="49"/>
      <c r="AT700" s="25"/>
      <c r="AU700" s="17"/>
      <c r="AV700" s="17"/>
      <c r="AW700" s="17"/>
      <c r="AX700" s="27"/>
      <c r="BB700" s="17"/>
    </row>
    <row r="701" spans="1:54" x14ac:dyDescent="0.2">
      <c r="A701" s="17" t="s">
        <v>77</v>
      </c>
      <c r="B701" s="17" t="s">
        <v>78</v>
      </c>
      <c r="C701" s="17" t="str">
        <f t="shared" si="224"/>
        <v>HER42PB1E</v>
      </c>
      <c r="D701" s="17" t="str">
        <f t="shared" si="225"/>
        <v>HER42PB1E_170</v>
      </c>
      <c r="E701" s="27" t="s">
        <v>83</v>
      </c>
      <c r="F701" s="17">
        <v>170</v>
      </c>
      <c r="G701" s="20">
        <v>2</v>
      </c>
      <c r="H701" s="20">
        <v>2.15</v>
      </c>
      <c r="I701" s="20">
        <v>1.25</v>
      </c>
      <c r="J701" s="22">
        <f t="shared" si="223"/>
        <v>4.2248945312500013</v>
      </c>
      <c r="K701" s="53">
        <v>0.37333333333333318</v>
      </c>
      <c r="L701" s="45">
        <f t="shared" si="242"/>
        <v>28.320000000000004</v>
      </c>
      <c r="M701" s="45">
        <f t="shared" si="243"/>
        <v>29.570000000000004</v>
      </c>
      <c r="N701" s="46">
        <f t="shared" si="244"/>
        <v>28.945000000000004</v>
      </c>
      <c r="O701" s="20">
        <f t="shared" si="241"/>
        <v>188.31999999999994</v>
      </c>
      <c r="P701" s="20">
        <f t="shared" si="235"/>
        <v>189.56999999999994</v>
      </c>
      <c r="Q701" s="20">
        <f t="shared" si="245"/>
        <v>188.94499999999994</v>
      </c>
      <c r="R701" s="20">
        <f t="shared" si="226"/>
        <v>188.31999999999994</v>
      </c>
      <c r="S701" s="20">
        <f t="shared" si="227"/>
        <v>188.94499999999994</v>
      </c>
      <c r="T701" s="20">
        <f t="shared" si="228"/>
        <v>188.94499999999994</v>
      </c>
      <c r="U701" s="20">
        <f t="shared" si="229"/>
        <v>188.94499999999994</v>
      </c>
      <c r="V701" s="22">
        <v>6.9132999999999996</v>
      </c>
      <c r="W701" s="22">
        <v>1.9542999999999999</v>
      </c>
      <c r="X701" s="23">
        <v>1.1476266666666668</v>
      </c>
      <c r="Y701" s="23">
        <f t="shared" si="236"/>
        <v>5.765673333333333</v>
      </c>
      <c r="Z701" s="23">
        <f t="shared" si="237"/>
        <v>0.80667333333333313</v>
      </c>
      <c r="AA701" s="22">
        <f t="shared" si="238"/>
        <v>86.009035082343672</v>
      </c>
      <c r="AB701" s="22">
        <f t="shared" si="239"/>
        <v>13.990964917656328</v>
      </c>
      <c r="AC701" s="22">
        <f t="shared" si="230"/>
        <v>1.3646904770490136</v>
      </c>
      <c r="AD701" s="22">
        <f t="shared" si="231"/>
        <v>0.19093336587852436</v>
      </c>
      <c r="AE701" s="27">
        <v>14.0379</v>
      </c>
      <c r="AF701" s="27">
        <v>14.1374</v>
      </c>
      <c r="AG701" s="27">
        <v>14.0671</v>
      </c>
      <c r="AH701" s="26">
        <v>2.92E-2</v>
      </c>
      <c r="AI701" s="26">
        <v>70.653266329999994</v>
      </c>
      <c r="AJ701" s="26">
        <f t="shared" si="232"/>
        <v>3.5326633164999999</v>
      </c>
      <c r="AK701" s="26">
        <f t="shared" si="233"/>
        <v>40.840038341040461</v>
      </c>
      <c r="AL701" s="26">
        <f t="shared" si="234"/>
        <v>3.5338095743467526</v>
      </c>
      <c r="AM701" s="17">
        <f t="shared" si="240"/>
        <v>0.5780346820809249</v>
      </c>
      <c r="AN701" s="17"/>
      <c r="AO701" s="27"/>
      <c r="AS701" s="49"/>
      <c r="AT701" s="25"/>
      <c r="AU701" s="17"/>
      <c r="AV701" s="17"/>
      <c r="AW701" s="17"/>
      <c r="AX701" s="27"/>
      <c r="BB701" s="17"/>
    </row>
    <row r="702" spans="1:54" x14ac:dyDescent="0.2">
      <c r="A702" s="17" t="s">
        <v>77</v>
      </c>
      <c r="B702" s="17" t="s">
        <v>78</v>
      </c>
      <c r="C702" s="17" t="str">
        <f t="shared" si="224"/>
        <v>HER42PB1E</v>
      </c>
      <c r="D702" s="17" t="str">
        <f t="shared" si="225"/>
        <v>HER42PB1E_171</v>
      </c>
      <c r="E702" s="27" t="s">
        <v>83</v>
      </c>
      <c r="F702" s="17">
        <v>171</v>
      </c>
      <c r="G702" s="20">
        <v>2.0499999999999998</v>
      </c>
      <c r="H702" s="20">
        <v>1.9</v>
      </c>
      <c r="I702" s="20">
        <v>1.3</v>
      </c>
      <c r="J702" s="22">
        <f t="shared" si="223"/>
        <v>3.9805878125000005</v>
      </c>
      <c r="K702" s="53">
        <v>0.37333333333333318</v>
      </c>
      <c r="L702" s="45">
        <f t="shared" si="242"/>
        <v>29.943333333333339</v>
      </c>
      <c r="M702" s="45">
        <f t="shared" si="243"/>
        <v>31.243333333333339</v>
      </c>
      <c r="N702" s="46">
        <f t="shared" si="244"/>
        <v>30.593333333333341</v>
      </c>
      <c r="O702" s="20">
        <f t="shared" si="241"/>
        <v>189.94333333333327</v>
      </c>
      <c r="P702" s="20">
        <f t="shared" si="235"/>
        <v>191.24333333333328</v>
      </c>
      <c r="Q702" s="20">
        <f t="shared" si="245"/>
        <v>190.59333333333328</v>
      </c>
      <c r="R702" s="20">
        <f t="shared" si="226"/>
        <v>189.94333333333327</v>
      </c>
      <c r="S702" s="20">
        <f t="shared" si="227"/>
        <v>190.59333333333328</v>
      </c>
      <c r="T702" s="20">
        <f t="shared" si="228"/>
        <v>190.59333333333328</v>
      </c>
      <c r="U702" s="20">
        <f t="shared" si="229"/>
        <v>190.59333333333328</v>
      </c>
      <c r="V702" s="22">
        <v>6.5517000000000003</v>
      </c>
      <c r="W702" s="22">
        <v>1.95</v>
      </c>
      <c r="X702" s="23">
        <v>1.1476266666666668</v>
      </c>
      <c r="Y702" s="23">
        <f t="shared" si="236"/>
        <v>5.4040733333333337</v>
      </c>
      <c r="Z702" s="23">
        <f t="shared" si="237"/>
        <v>0.80237333333333316</v>
      </c>
      <c r="AA702" s="22">
        <f t="shared" si="238"/>
        <v>85.152434398250222</v>
      </c>
      <c r="AB702" s="22">
        <f t="shared" si="239"/>
        <v>14.847565601749778</v>
      </c>
      <c r="AC702" s="22">
        <f t="shared" si="230"/>
        <v>1.357606863077671</v>
      </c>
      <c r="AD702" s="22">
        <f t="shared" si="231"/>
        <v>0.2015715696093146</v>
      </c>
      <c r="AE702" s="27">
        <v>13.0745</v>
      </c>
      <c r="AF702" s="27">
        <v>13.236599999999999</v>
      </c>
      <c r="AG702" s="27">
        <v>13.135899999999999</v>
      </c>
      <c r="AH702" s="26">
        <v>6.1400000000000003E-2</v>
      </c>
      <c r="AI702" s="26">
        <v>62.122146819999998</v>
      </c>
      <c r="AJ702" s="26">
        <f t="shared" si="232"/>
        <v>3.106107341</v>
      </c>
      <c r="AK702" s="26">
        <f t="shared" si="233"/>
        <v>35.908755387283236</v>
      </c>
      <c r="AL702" s="26">
        <f t="shared" si="234"/>
        <v>3.1074109502629503</v>
      </c>
      <c r="AM702" s="17">
        <f t="shared" si="240"/>
        <v>0.5780346820809249</v>
      </c>
      <c r="AN702" s="17"/>
      <c r="AO702" s="27"/>
      <c r="AS702" s="49"/>
      <c r="AT702" s="25"/>
      <c r="AU702" s="17"/>
      <c r="AV702" s="17"/>
      <c r="AW702" s="17"/>
      <c r="AX702" s="27"/>
      <c r="BB702" s="17"/>
    </row>
    <row r="703" spans="1:54" x14ac:dyDescent="0.2">
      <c r="A703" s="17" t="s">
        <v>77</v>
      </c>
      <c r="B703" s="17" t="s">
        <v>78</v>
      </c>
      <c r="C703" s="17" t="str">
        <f t="shared" si="224"/>
        <v>HER42PB1E</v>
      </c>
      <c r="D703" s="17" t="str">
        <f t="shared" si="225"/>
        <v>HER42PB1E_172</v>
      </c>
      <c r="E703" s="27" t="s">
        <v>83</v>
      </c>
      <c r="F703" s="17">
        <v>172</v>
      </c>
      <c r="G703" s="20">
        <v>2.1</v>
      </c>
      <c r="H703" s="20">
        <v>2.2000000000000002</v>
      </c>
      <c r="I703" s="20">
        <v>1.25</v>
      </c>
      <c r="J703" s="22">
        <f t="shared" si="223"/>
        <v>4.5358281250000019</v>
      </c>
      <c r="K703" s="53">
        <v>0.37333333333333318</v>
      </c>
      <c r="L703" s="45">
        <f t="shared" si="242"/>
        <v>31.616666666666674</v>
      </c>
      <c r="M703" s="45">
        <f t="shared" si="243"/>
        <v>32.866666666666674</v>
      </c>
      <c r="N703" s="46">
        <f t="shared" si="244"/>
        <v>32.241666666666674</v>
      </c>
      <c r="O703" s="20">
        <f t="shared" si="241"/>
        <v>191.61666666666662</v>
      </c>
      <c r="P703" s="20">
        <f t="shared" si="235"/>
        <v>192.86666666666662</v>
      </c>
      <c r="Q703" s="20">
        <f t="shared" si="245"/>
        <v>192.24166666666662</v>
      </c>
      <c r="R703" s="20">
        <f t="shared" si="226"/>
        <v>191.61666666666662</v>
      </c>
      <c r="S703" s="20">
        <f t="shared" si="227"/>
        <v>192.24166666666662</v>
      </c>
      <c r="T703" s="20">
        <f t="shared" si="228"/>
        <v>192.24166666666662</v>
      </c>
      <c r="U703" s="20">
        <f t="shared" si="229"/>
        <v>192.24166666666662</v>
      </c>
      <c r="V703" s="22">
        <v>7.2630999999999997</v>
      </c>
      <c r="W703" s="22">
        <v>2.0586000000000002</v>
      </c>
      <c r="X703" s="23">
        <v>1.1476266666666668</v>
      </c>
      <c r="Y703" s="23">
        <f t="shared" si="236"/>
        <v>6.1154733333333331</v>
      </c>
      <c r="Z703" s="23">
        <f t="shared" si="237"/>
        <v>0.91097333333333341</v>
      </c>
      <c r="AA703" s="22">
        <f t="shared" si="238"/>
        <v>85.103796817035686</v>
      </c>
      <c r="AB703" s="22">
        <f t="shared" si="239"/>
        <v>14.896203182964314</v>
      </c>
      <c r="AC703" s="22">
        <f t="shared" si="230"/>
        <v>1.3482594941432731</v>
      </c>
      <c r="AD703" s="22">
        <f t="shared" si="231"/>
        <v>0.20083947368118871</v>
      </c>
      <c r="AE703" s="27">
        <v>13.900600000000001</v>
      </c>
      <c r="AF703" s="27">
        <v>14.048999999999999</v>
      </c>
      <c r="AG703" s="27">
        <v>13.956899999999999</v>
      </c>
      <c r="AH703" s="26">
        <v>5.6300000000000003E-2</v>
      </c>
      <c r="AI703" s="26">
        <v>62.061994609999999</v>
      </c>
      <c r="AJ703" s="26">
        <f t="shared" si="232"/>
        <v>3.1030997305000003</v>
      </c>
      <c r="AK703" s="26">
        <f t="shared" si="233"/>
        <v>35.873985323699422</v>
      </c>
      <c r="AL703" s="26">
        <f t="shared" si="234"/>
        <v>3.1044046027264511</v>
      </c>
      <c r="AM703" s="17">
        <f t="shared" si="240"/>
        <v>0.5780346820809249</v>
      </c>
      <c r="AN703" s="17"/>
      <c r="AO703" s="27"/>
      <c r="AS703" s="49"/>
      <c r="AT703" s="25"/>
      <c r="AU703" s="17"/>
      <c r="AV703" s="17"/>
      <c r="AW703" s="17"/>
      <c r="AX703" s="27"/>
      <c r="BB703" s="17"/>
    </row>
    <row r="704" spans="1:54" x14ac:dyDescent="0.2">
      <c r="A704" s="17" t="s">
        <v>77</v>
      </c>
      <c r="B704" s="17" t="s">
        <v>78</v>
      </c>
      <c r="C704" s="17" t="str">
        <f t="shared" si="224"/>
        <v>HER42PB1E</v>
      </c>
      <c r="D704" s="17" t="str">
        <f t="shared" si="225"/>
        <v>HER42PB1E_173</v>
      </c>
      <c r="E704" s="27" t="s">
        <v>83</v>
      </c>
      <c r="F704" s="17">
        <v>173</v>
      </c>
      <c r="G704" s="20">
        <v>2.1</v>
      </c>
      <c r="H704" s="20">
        <v>2.2000000000000002</v>
      </c>
      <c r="I704" s="20">
        <v>1.25</v>
      </c>
      <c r="J704" s="22">
        <f t="shared" si="223"/>
        <v>4.5358281250000019</v>
      </c>
      <c r="K704" s="53">
        <v>0.37333333333333318</v>
      </c>
      <c r="L704" s="45">
        <f t="shared" si="242"/>
        <v>33.240000000000009</v>
      </c>
      <c r="M704" s="45">
        <f t="shared" si="243"/>
        <v>34.490000000000009</v>
      </c>
      <c r="N704" s="46">
        <f t="shared" si="244"/>
        <v>33.865000000000009</v>
      </c>
      <c r="O704" s="20">
        <f t="shared" si="241"/>
        <v>193.23999999999995</v>
      </c>
      <c r="P704" s="20">
        <f t="shared" si="235"/>
        <v>194.48999999999995</v>
      </c>
      <c r="Q704" s="20">
        <f t="shared" si="245"/>
        <v>193.86499999999995</v>
      </c>
      <c r="R704" s="20">
        <f t="shared" si="226"/>
        <v>193.23999999999995</v>
      </c>
      <c r="S704" s="20">
        <f t="shared" si="227"/>
        <v>193.86499999999995</v>
      </c>
      <c r="T704" s="20">
        <f t="shared" si="228"/>
        <v>193.86499999999995</v>
      </c>
      <c r="U704" s="20">
        <f t="shared" si="229"/>
        <v>193.86499999999995</v>
      </c>
      <c r="V704" s="22">
        <v>7.1780999999999997</v>
      </c>
      <c r="W704" s="22">
        <v>1.9804999999999999</v>
      </c>
      <c r="X704" s="23">
        <v>1.1476266666666668</v>
      </c>
      <c r="Y704" s="23">
        <f t="shared" si="236"/>
        <v>6.0304733333333331</v>
      </c>
      <c r="Z704" s="23">
        <f t="shared" si="237"/>
        <v>0.83287333333333313</v>
      </c>
      <c r="AA704" s="22">
        <f t="shared" si="238"/>
        <v>86.188922704795971</v>
      </c>
      <c r="AB704" s="22">
        <f t="shared" si="239"/>
        <v>13.811077295204029</v>
      </c>
      <c r="AC704" s="22">
        <f t="shared" si="230"/>
        <v>1.3295198069995942</v>
      </c>
      <c r="AD704" s="22">
        <f t="shared" si="231"/>
        <v>0.18362100819976127</v>
      </c>
      <c r="AE704" s="27">
        <v>17.389700000000001</v>
      </c>
      <c r="AF704" s="27">
        <v>17.572199999999999</v>
      </c>
      <c r="AG704" s="27">
        <v>17.4483</v>
      </c>
      <c r="AH704" s="26">
        <v>5.8599999999999999E-2</v>
      </c>
      <c r="AI704" s="26">
        <v>67.890410959999997</v>
      </c>
      <c r="AJ704" s="26">
        <f t="shared" si="232"/>
        <v>3.394520548</v>
      </c>
      <c r="AK704" s="26">
        <f t="shared" si="233"/>
        <v>39.243012115606938</v>
      </c>
      <c r="AL704" s="26">
        <f t="shared" si="234"/>
        <v>3.3957134376731823</v>
      </c>
      <c r="AM704" s="17">
        <f t="shared" si="240"/>
        <v>0.5780346820809249</v>
      </c>
      <c r="AN704" s="17"/>
      <c r="AO704" s="27"/>
      <c r="AS704" s="49"/>
      <c r="AT704" s="25"/>
      <c r="AU704" s="17"/>
      <c r="AV704" s="17"/>
      <c r="AW704" s="17"/>
      <c r="AX704" s="27"/>
      <c r="BB704" s="17"/>
    </row>
    <row r="705" spans="1:54" x14ac:dyDescent="0.2">
      <c r="A705" s="17" t="s">
        <v>77</v>
      </c>
      <c r="B705" s="17" t="s">
        <v>78</v>
      </c>
      <c r="C705" s="17" t="str">
        <f t="shared" si="224"/>
        <v>HER42PB1E</v>
      </c>
      <c r="D705" s="17" t="str">
        <f t="shared" si="225"/>
        <v>HER42PB1E_174</v>
      </c>
      <c r="E705" s="27" t="s">
        <v>83</v>
      </c>
      <c r="F705" s="17">
        <v>174</v>
      </c>
      <c r="G705" s="20">
        <v>2.0499999999999998</v>
      </c>
      <c r="H705" s="20">
        <v>2.35</v>
      </c>
      <c r="I705" s="20">
        <v>1.2</v>
      </c>
      <c r="J705" s="22">
        <f t="shared" si="223"/>
        <v>4.5592800000000011</v>
      </c>
      <c r="K705" s="53">
        <v>0.37333333333333318</v>
      </c>
      <c r="L705" s="45">
        <f t="shared" si="242"/>
        <v>34.863333333333344</v>
      </c>
      <c r="M705" s="45">
        <f t="shared" si="243"/>
        <v>36.063333333333347</v>
      </c>
      <c r="N705" s="46">
        <f t="shared" si="244"/>
        <v>35.463333333333345</v>
      </c>
      <c r="O705" s="20">
        <f t="shared" si="241"/>
        <v>194.86333333333329</v>
      </c>
      <c r="P705" s="20">
        <f t="shared" si="235"/>
        <v>196.06333333333328</v>
      </c>
      <c r="Q705" s="20">
        <f t="shared" si="245"/>
        <v>195.46333333333328</v>
      </c>
      <c r="R705" s="20">
        <f t="shared" si="226"/>
        <v>194.86333333333329</v>
      </c>
      <c r="S705" s="20">
        <f t="shared" si="227"/>
        <v>195.46333333333328</v>
      </c>
      <c r="T705" s="20">
        <f t="shared" si="228"/>
        <v>195.46333333333328</v>
      </c>
      <c r="U705" s="20">
        <f t="shared" si="229"/>
        <v>195.46333333333328</v>
      </c>
      <c r="V705" s="22">
        <v>6.4116</v>
      </c>
      <c r="W705" s="22">
        <v>1.9750000000000001</v>
      </c>
      <c r="X705" s="23">
        <v>1.1476266666666668</v>
      </c>
      <c r="Y705" s="23">
        <f t="shared" si="236"/>
        <v>5.2639733333333334</v>
      </c>
      <c r="Z705" s="23">
        <f t="shared" si="237"/>
        <v>0.82737333333333329</v>
      </c>
      <c r="AA705" s="22">
        <f t="shared" si="238"/>
        <v>84.282341855835142</v>
      </c>
      <c r="AB705" s="22">
        <f t="shared" si="239"/>
        <v>15.717658144164858</v>
      </c>
      <c r="AC705" s="22">
        <f t="shared" si="230"/>
        <v>1.1545624162879515</v>
      </c>
      <c r="AD705" s="22">
        <f t="shared" si="231"/>
        <v>0.18147017365314985</v>
      </c>
      <c r="AE705" s="27">
        <v>14.7746</v>
      </c>
      <c r="AF705" s="27">
        <v>14.9107</v>
      </c>
      <c r="AG705" s="27">
        <v>14.8246</v>
      </c>
      <c r="AH705" s="26">
        <v>0.05</v>
      </c>
      <c r="AI705" s="26">
        <v>63.262307130000003</v>
      </c>
      <c r="AJ705" s="26">
        <f t="shared" si="232"/>
        <v>3.1631153565000005</v>
      </c>
      <c r="AK705" s="26">
        <f t="shared" si="233"/>
        <v>36.567807589595382</v>
      </c>
      <c r="AL705" s="26">
        <f t="shared" si="234"/>
        <v>3.1643954807397456</v>
      </c>
      <c r="AM705" s="17">
        <f t="shared" si="240"/>
        <v>0.5780346820809249</v>
      </c>
      <c r="AN705" s="17"/>
      <c r="AO705" s="27"/>
      <c r="AS705" s="49"/>
      <c r="AT705" s="25"/>
      <c r="AU705" s="17"/>
      <c r="AV705" s="17"/>
      <c r="AW705" s="17"/>
      <c r="AX705" s="27"/>
      <c r="BB705" s="17"/>
    </row>
    <row r="706" spans="1:54" x14ac:dyDescent="0.2">
      <c r="A706" s="17" t="s">
        <v>77</v>
      </c>
      <c r="B706" s="17" t="s">
        <v>78</v>
      </c>
      <c r="C706" s="17" t="str">
        <f t="shared" si="224"/>
        <v>HER42PB1E</v>
      </c>
      <c r="D706" s="17" t="str">
        <f t="shared" si="225"/>
        <v>HER42PB1E_175</v>
      </c>
      <c r="E706" s="27" t="s">
        <v>83</v>
      </c>
      <c r="F706" s="17">
        <v>175</v>
      </c>
      <c r="G706" s="20">
        <v>2.1</v>
      </c>
      <c r="H706" s="20">
        <v>2.25</v>
      </c>
      <c r="I706" s="20">
        <v>1.25</v>
      </c>
      <c r="J706" s="22">
        <f t="shared" si="223"/>
        <v>4.6419257812499986</v>
      </c>
      <c r="K706" s="53">
        <v>0.37333333333333318</v>
      </c>
      <c r="L706" s="45">
        <f t="shared" si="242"/>
        <v>36.436666666666682</v>
      </c>
      <c r="M706" s="45">
        <f t="shared" si="243"/>
        <v>37.686666666666682</v>
      </c>
      <c r="N706" s="46">
        <f t="shared" si="244"/>
        <v>37.061666666666682</v>
      </c>
      <c r="O706" s="20">
        <f t="shared" si="241"/>
        <v>196.43666666666661</v>
      </c>
      <c r="P706" s="20">
        <f t="shared" si="235"/>
        <v>197.68666666666661</v>
      </c>
      <c r="Q706" s="20">
        <f t="shared" si="245"/>
        <v>197.06166666666661</v>
      </c>
      <c r="R706" s="20">
        <f t="shared" si="226"/>
        <v>196.43666666666661</v>
      </c>
      <c r="S706" s="20">
        <f t="shared" si="227"/>
        <v>197.06166666666661</v>
      </c>
      <c r="T706" s="20">
        <f t="shared" si="228"/>
        <v>197.06166666666661</v>
      </c>
      <c r="U706" s="20">
        <f t="shared" si="229"/>
        <v>197.06166666666661</v>
      </c>
      <c r="V706" s="22">
        <v>7.2617000000000003</v>
      </c>
      <c r="W706" s="22">
        <v>2.2999000000000001</v>
      </c>
      <c r="X706" s="23">
        <v>1.1476266666666668</v>
      </c>
      <c r="Y706" s="23">
        <f t="shared" si="236"/>
        <v>6.1140733333333337</v>
      </c>
      <c r="Z706" s="23">
        <f t="shared" si="237"/>
        <v>1.1522733333333333</v>
      </c>
      <c r="AA706" s="22">
        <f t="shared" si="238"/>
        <v>81.153753471499087</v>
      </c>
      <c r="AB706" s="22">
        <f t="shared" si="239"/>
        <v>18.846246528500913</v>
      </c>
      <c r="AC706" s="22">
        <f t="shared" si="230"/>
        <v>1.3171415531953872</v>
      </c>
      <c r="AD706" s="22">
        <f t="shared" si="231"/>
        <v>0.2482317442445286</v>
      </c>
      <c r="AE706" s="27">
        <v>16.629200000000001</v>
      </c>
      <c r="AF706" s="27">
        <v>16.775600000000001</v>
      </c>
      <c r="AG706" s="27">
        <v>16.698399999999999</v>
      </c>
      <c r="AH706" s="26">
        <v>6.9199999999999998E-2</v>
      </c>
      <c r="AI706" s="26">
        <v>52.732240439999998</v>
      </c>
      <c r="AJ706" s="26">
        <f t="shared" si="232"/>
        <v>2.636612022</v>
      </c>
      <c r="AK706" s="26">
        <f t="shared" si="233"/>
        <v>30.481063838150291</v>
      </c>
      <c r="AL706" s="26">
        <f t="shared" si="234"/>
        <v>2.638147636989812</v>
      </c>
      <c r="AM706" s="17">
        <f t="shared" si="240"/>
        <v>0.5780346820809249</v>
      </c>
      <c r="AN706" s="17"/>
      <c r="AO706" s="27"/>
      <c r="AS706" s="49"/>
      <c r="AT706" s="25"/>
      <c r="AU706" s="17"/>
      <c r="AV706" s="17"/>
      <c r="AW706" s="17"/>
      <c r="AX706" s="27"/>
      <c r="BB706" s="17"/>
    </row>
    <row r="707" spans="1:54" x14ac:dyDescent="0.2">
      <c r="A707" s="17" t="s">
        <v>77</v>
      </c>
      <c r="B707" s="17" t="s">
        <v>78</v>
      </c>
      <c r="C707" s="17" t="str">
        <f t="shared" si="224"/>
        <v>HER42PB1E</v>
      </c>
      <c r="D707" s="17" t="str">
        <f t="shared" si="225"/>
        <v>HER42PB1E_176</v>
      </c>
      <c r="E707" s="27" t="s">
        <v>83</v>
      </c>
      <c r="F707" s="17">
        <v>176</v>
      </c>
      <c r="G707" s="20">
        <v>2</v>
      </c>
      <c r="H707" s="20">
        <v>2.25</v>
      </c>
      <c r="I707" s="20">
        <v>1.1000000000000001</v>
      </c>
      <c r="J707" s="22">
        <f t="shared" si="223"/>
        <v>3.8992421875000005</v>
      </c>
      <c r="K707" s="53">
        <v>0.37333333333333318</v>
      </c>
      <c r="L707" s="45">
        <f t="shared" si="242"/>
        <v>38.060000000000016</v>
      </c>
      <c r="M707" s="45">
        <f t="shared" si="243"/>
        <v>39.160000000000018</v>
      </c>
      <c r="N707" s="46">
        <f t="shared" si="244"/>
        <v>38.610000000000014</v>
      </c>
      <c r="O707" s="20">
        <f t="shared" si="241"/>
        <v>198.05999999999995</v>
      </c>
      <c r="P707" s="20">
        <f t="shared" si="235"/>
        <v>199.15999999999994</v>
      </c>
      <c r="Q707" s="20">
        <f t="shared" si="245"/>
        <v>198.60999999999996</v>
      </c>
      <c r="R707" s="20">
        <f t="shared" si="226"/>
        <v>198.05999999999995</v>
      </c>
      <c r="S707" s="20">
        <f t="shared" si="227"/>
        <v>198.60999999999996</v>
      </c>
      <c r="T707" s="20">
        <f t="shared" si="228"/>
        <v>198.60999999999996</v>
      </c>
      <c r="U707" s="20">
        <f t="shared" si="229"/>
        <v>198.60999999999996</v>
      </c>
      <c r="V707" s="22">
        <v>6.4371999999999998</v>
      </c>
      <c r="W707" s="22">
        <v>2.2484999999999999</v>
      </c>
      <c r="X707" s="23">
        <v>1.1476266666666668</v>
      </c>
      <c r="Y707" s="23">
        <f t="shared" si="236"/>
        <v>5.2895733333333332</v>
      </c>
      <c r="Z707" s="23">
        <f t="shared" si="237"/>
        <v>1.1008733333333331</v>
      </c>
      <c r="AA707" s="22">
        <f t="shared" si="238"/>
        <v>79.187861402810057</v>
      </c>
      <c r="AB707" s="22">
        <f t="shared" si="239"/>
        <v>20.812138597189943</v>
      </c>
      <c r="AC707" s="22">
        <f t="shared" si="230"/>
        <v>1.3565644499565552</v>
      </c>
      <c r="AD707" s="22">
        <f t="shared" si="231"/>
        <v>0.28233007348516564</v>
      </c>
      <c r="AE707" s="27">
        <v>13.504</v>
      </c>
      <c r="AF707" s="27">
        <v>13.7233</v>
      </c>
      <c r="AG707" s="27">
        <v>13.626799999999999</v>
      </c>
      <c r="AH707" s="26">
        <v>0.12280000000000001</v>
      </c>
      <c r="AI707" s="26">
        <v>44.003647970000003</v>
      </c>
      <c r="AJ707" s="26">
        <f t="shared" si="232"/>
        <v>2.2001823985000004</v>
      </c>
      <c r="AK707" s="26">
        <f t="shared" si="233"/>
        <v>25.435634664739887</v>
      </c>
      <c r="AL707" s="26">
        <f t="shared" si="234"/>
        <v>2.2020223855967527</v>
      </c>
      <c r="AM707" s="17">
        <f t="shared" si="240"/>
        <v>0.5780346820809249</v>
      </c>
      <c r="AN707" s="17"/>
      <c r="AO707" s="27"/>
      <c r="AS707" s="49"/>
      <c r="AT707" s="25"/>
      <c r="AU707" s="17"/>
      <c r="AV707" s="17"/>
      <c r="AW707" s="17"/>
      <c r="AX707" s="27"/>
      <c r="BB707" s="17"/>
    </row>
    <row r="708" spans="1:54" x14ac:dyDescent="0.2">
      <c r="A708" s="17" t="s">
        <v>77</v>
      </c>
      <c r="B708" s="17" t="s">
        <v>78</v>
      </c>
      <c r="C708" s="17" t="str">
        <f t="shared" si="224"/>
        <v>HER42PB1E</v>
      </c>
      <c r="D708" s="17" t="str">
        <f t="shared" si="225"/>
        <v>HER42PB1E_177</v>
      </c>
      <c r="E708" s="27" t="s">
        <v>83</v>
      </c>
      <c r="F708" s="17">
        <v>177</v>
      </c>
      <c r="G708" s="20">
        <v>2.0499999999999998</v>
      </c>
      <c r="H708" s="20">
        <v>2.4</v>
      </c>
      <c r="I708" s="20">
        <v>1.1000000000000001</v>
      </c>
      <c r="J708" s="22">
        <f t="shared" si="223"/>
        <v>4.2748646874999991</v>
      </c>
      <c r="K708" s="53">
        <v>0.37333333333333318</v>
      </c>
      <c r="L708" s="45">
        <f t="shared" si="242"/>
        <v>39.533333333333353</v>
      </c>
      <c r="M708" s="45">
        <f t="shared" si="243"/>
        <v>40.633333333333354</v>
      </c>
      <c r="N708" s="46">
        <f t="shared" si="244"/>
        <v>40.083333333333357</v>
      </c>
      <c r="O708" s="20">
        <f t="shared" si="241"/>
        <v>199.53333333333327</v>
      </c>
      <c r="P708" s="20">
        <f t="shared" si="235"/>
        <v>200.63333333333327</v>
      </c>
      <c r="Q708" s="20">
        <f t="shared" si="245"/>
        <v>200.08333333333326</v>
      </c>
      <c r="R708" s="20">
        <f t="shared" si="226"/>
        <v>199.53333333333327</v>
      </c>
      <c r="S708" s="20">
        <f t="shared" si="227"/>
        <v>200.08333333333326</v>
      </c>
      <c r="T708" s="20">
        <f t="shared" si="228"/>
        <v>200.08333333333326</v>
      </c>
      <c r="U708" s="20">
        <f t="shared" si="229"/>
        <v>200.08333333333326</v>
      </c>
      <c r="V708" s="22">
        <v>6.3647</v>
      </c>
      <c r="W708" s="22">
        <v>2.4472</v>
      </c>
      <c r="X708" s="23">
        <v>1.1476266666666668</v>
      </c>
      <c r="Y708" s="23">
        <f t="shared" si="236"/>
        <v>5.2170733333333335</v>
      </c>
      <c r="Z708" s="23">
        <f t="shared" si="237"/>
        <v>1.2995733333333332</v>
      </c>
      <c r="AA708" s="22">
        <f t="shared" si="238"/>
        <v>75.089992984572447</v>
      </c>
      <c r="AB708" s="22">
        <f t="shared" si="239"/>
        <v>24.910007015427553</v>
      </c>
      <c r="AC708" s="22">
        <f t="shared" si="230"/>
        <v>1.2204066595577674</v>
      </c>
      <c r="AD708" s="22">
        <f t="shared" si="231"/>
        <v>0.30400338451258491</v>
      </c>
      <c r="AE708" s="27">
        <v>12.767300000000001</v>
      </c>
      <c r="AF708" s="27">
        <v>12.9381</v>
      </c>
      <c r="AG708" s="27">
        <v>12.8706</v>
      </c>
      <c r="AH708" s="26">
        <v>0.1033</v>
      </c>
      <c r="AI708" s="26">
        <v>39.519906319999997</v>
      </c>
      <c r="AJ708" s="26">
        <f t="shared" si="232"/>
        <v>1.9759953159999999</v>
      </c>
      <c r="AK708" s="26">
        <f t="shared" si="233"/>
        <v>22.843876485549131</v>
      </c>
      <c r="AL708" s="26">
        <f t="shared" si="234"/>
        <v>1.9780438541280978</v>
      </c>
      <c r="AM708" s="17">
        <f t="shared" si="240"/>
        <v>0.5780346820809249</v>
      </c>
      <c r="AN708" s="17"/>
      <c r="AO708" s="27"/>
      <c r="AS708" s="49"/>
      <c r="AT708" s="25"/>
      <c r="AU708" s="17"/>
      <c r="AV708" s="17"/>
      <c r="AW708" s="17"/>
      <c r="AX708" s="27"/>
      <c r="BB708" s="17"/>
    </row>
    <row r="709" spans="1:54" x14ac:dyDescent="0.2">
      <c r="A709" s="17" t="s">
        <v>77</v>
      </c>
      <c r="B709" s="17" t="s">
        <v>78</v>
      </c>
      <c r="C709" s="17" t="str">
        <f t="shared" si="224"/>
        <v>HER42PB1E</v>
      </c>
      <c r="D709" s="17" t="str">
        <f t="shared" si="225"/>
        <v>HER42PB1E_178</v>
      </c>
      <c r="E709" s="27" t="s">
        <v>83</v>
      </c>
      <c r="F709" s="17">
        <v>178</v>
      </c>
      <c r="G709" s="20">
        <v>2.25</v>
      </c>
      <c r="H709" s="20">
        <v>1.95</v>
      </c>
      <c r="I709" s="20">
        <v>1.1000000000000001</v>
      </c>
      <c r="J709" s="22">
        <f t="shared" si="223"/>
        <v>3.8080350000000007</v>
      </c>
      <c r="K709" s="53">
        <v>0.37333333333333318</v>
      </c>
      <c r="L709" s="45">
        <f t="shared" si="242"/>
        <v>41.006666666666689</v>
      </c>
      <c r="M709" s="45">
        <f t="shared" si="243"/>
        <v>42.10666666666669</v>
      </c>
      <c r="N709" s="46">
        <f t="shared" si="244"/>
        <v>41.556666666666686</v>
      </c>
      <c r="O709" s="20">
        <f t="shared" si="241"/>
        <v>201.0066666666666</v>
      </c>
      <c r="P709" s="20">
        <f t="shared" si="235"/>
        <v>202.1066666666666</v>
      </c>
      <c r="Q709" s="20">
        <f t="shared" si="245"/>
        <v>201.55666666666662</v>
      </c>
      <c r="R709" s="20">
        <f t="shared" si="226"/>
        <v>201.0066666666666</v>
      </c>
      <c r="S709" s="20">
        <f t="shared" si="227"/>
        <v>201.55666666666662</v>
      </c>
      <c r="T709" s="20">
        <f t="shared" si="228"/>
        <v>201.55666666666662</v>
      </c>
      <c r="U709" s="20">
        <f t="shared" si="229"/>
        <v>201.55666666666662</v>
      </c>
      <c r="V709" s="22">
        <v>6.5057999999999998</v>
      </c>
      <c r="W709" s="22">
        <v>2.4773999999999998</v>
      </c>
      <c r="X709" s="23">
        <v>1.1476266666666668</v>
      </c>
      <c r="Y709" s="23">
        <f t="shared" si="236"/>
        <v>5.3581733333333332</v>
      </c>
      <c r="Z709" s="23">
        <f t="shared" si="237"/>
        <v>1.329773333333333</v>
      </c>
      <c r="AA709" s="22">
        <f t="shared" si="238"/>
        <v>75.182338259556118</v>
      </c>
      <c r="AB709" s="22">
        <f t="shared" si="239"/>
        <v>24.817661740443882</v>
      </c>
      <c r="AC709" s="22">
        <f t="shared" si="230"/>
        <v>1.4070704007009736</v>
      </c>
      <c r="AD709" s="22">
        <f t="shared" si="231"/>
        <v>0.34920197249587592</v>
      </c>
      <c r="AE709" s="27">
        <v>17.169499999999999</v>
      </c>
      <c r="AF709" s="27">
        <v>17.299299999999999</v>
      </c>
      <c r="AG709" s="27">
        <v>17.255500000000001</v>
      </c>
      <c r="AH709" s="26">
        <v>8.5999999999999993E-2</v>
      </c>
      <c r="AI709" s="26">
        <v>33.744221879999998</v>
      </c>
      <c r="AJ709" s="26">
        <f t="shared" si="232"/>
        <v>1.687211094</v>
      </c>
      <c r="AK709" s="26">
        <f t="shared" si="233"/>
        <v>19.50533056647399</v>
      </c>
      <c r="AL709" s="26">
        <f t="shared" si="234"/>
        <v>1.6896097998403883</v>
      </c>
      <c r="AM709" s="17">
        <f t="shared" si="240"/>
        <v>0.5780346820809249</v>
      </c>
      <c r="AN709" s="17"/>
      <c r="AO709" s="27"/>
      <c r="AS709" s="49"/>
      <c r="AT709" s="25"/>
      <c r="AU709" s="17"/>
      <c r="AV709" s="17"/>
      <c r="AW709" s="17"/>
      <c r="AX709" s="27"/>
      <c r="BB709" s="17"/>
    </row>
    <row r="710" spans="1:54" x14ac:dyDescent="0.2">
      <c r="A710" s="17" t="s">
        <v>77</v>
      </c>
      <c r="B710" s="17" t="s">
        <v>78</v>
      </c>
      <c r="C710" s="17" t="str">
        <f t="shared" si="224"/>
        <v>HER42PB1E</v>
      </c>
      <c r="D710" s="17" t="str">
        <f t="shared" si="225"/>
        <v>HER42PB1E_179</v>
      </c>
      <c r="E710" s="27" t="s">
        <v>83</v>
      </c>
      <c r="F710" s="17">
        <v>179</v>
      </c>
      <c r="G710" s="20">
        <v>1.9</v>
      </c>
      <c r="H710" s="20">
        <v>1.9</v>
      </c>
      <c r="I710" s="20">
        <v>1.1000000000000001</v>
      </c>
      <c r="J710" s="22">
        <f t="shared" si="223"/>
        <v>3.117235</v>
      </c>
      <c r="K710" s="53">
        <v>0.37333333333333318</v>
      </c>
      <c r="L710" s="45">
        <f t="shared" si="242"/>
        <v>42.480000000000025</v>
      </c>
      <c r="M710" s="45">
        <f t="shared" si="243"/>
        <v>43.580000000000027</v>
      </c>
      <c r="N710" s="46">
        <f t="shared" si="244"/>
        <v>43.03000000000003</v>
      </c>
      <c r="O710" s="20">
        <f t="shared" si="241"/>
        <v>202.47999999999993</v>
      </c>
      <c r="P710" s="20">
        <f t="shared" si="235"/>
        <v>203.57999999999993</v>
      </c>
      <c r="Q710" s="20">
        <f t="shared" si="245"/>
        <v>203.02999999999992</v>
      </c>
      <c r="R710" s="20">
        <f t="shared" si="226"/>
        <v>202.47999999999993</v>
      </c>
      <c r="S710" s="20">
        <f t="shared" si="227"/>
        <v>203.02999999999992</v>
      </c>
      <c r="T710" s="20">
        <f t="shared" si="228"/>
        <v>203.02999999999992</v>
      </c>
      <c r="U710" s="20">
        <f t="shared" si="229"/>
        <v>203.02999999999992</v>
      </c>
      <c r="V710" s="22">
        <v>5.7088999999999999</v>
      </c>
      <c r="W710" s="22">
        <v>1.7778</v>
      </c>
      <c r="X710" s="23">
        <v>1.1476266666666668</v>
      </c>
      <c r="Y710" s="23">
        <f t="shared" si="236"/>
        <v>4.5612733333333333</v>
      </c>
      <c r="Z710" s="23">
        <f t="shared" si="237"/>
        <v>0.63017333333333325</v>
      </c>
      <c r="AA710" s="22">
        <f t="shared" si="238"/>
        <v>86.184267258704068</v>
      </c>
      <c r="AB710" s="22">
        <f t="shared" si="239"/>
        <v>13.815732741295932</v>
      </c>
      <c r="AC710" s="22">
        <f t="shared" si="230"/>
        <v>1.4632433337022499</v>
      </c>
      <c r="AD710" s="22">
        <f t="shared" si="231"/>
        <v>0.20215778833913173</v>
      </c>
      <c r="AE710" s="27">
        <v>6.4447999999999999</v>
      </c>
      <c r="AF710" s="27">
        <v>6.6040000000000001</v>
      </c>
      <c r="AG710" s="27">
        <v>6.5114999999999998</v>
      </c>
      <c r="AH710" s="26">
        <v>6.6699999999999995E-2</v>
      </c>
      <c r="AI710" s="26">
        <v>58.103015079999999</v>
      </c>
      <c r="AJ710" s="26">
        <f t="shared" si="232"/>
        <v>2.9051507540000001</v>
      </c>
      <c r="AK710" s="26">
        <f t="shared" si="233"/>
        <v>33.585557849710987</v>
      </c>
      <c r="AL710" s="26">
        <f t="shared" si="234"/>
        <v>2.9065444953529904</v>
      </c>
      <c r="AM710" s="17">
        <f t="shared" si="240"/>
        <v>0.5780346820809249</v>
      </c>
      <c r="AN710" s="17"/>
      <c r="AO710" s="27"/>
      <c r="AS710" s="49"/>
      <c r="AT710" s="25"/>
      <c r="AU710" s="17"/>
      <c r="AV710" s="17"/>
      <c r="AW710" s="17"/>
      <c r="AX710" s="27"/>
      <c r="BB710" s="17"/>
    </row>
    <row r="711" spans="1:54" x14ac:dyDescent="0.2">
      <c r="A711" s="17" t="s">
        <v>77</v>
      </c>
      <c r="B711" s="17" t="s">
        <v>78</v>
      </c>
      <c r="C711" s="17" t="str">
        <f t="shared" si="224"/>
        <v>HER42PB1E</v>
      </c>
      <c r="D711" s="17" t="str">
        <f t="shared" si="225"/>
        <v>HER42PB1E_180</v>
      </c>
      <c r="E711" s="27" t="s">
        <v>83</v>
      </c>
      <c r="F711" s="17">
        <v>180</v>
      </c>
      <c r="G711" s="20">
        <v>1.75</v>
      </c>
      <c r="H711" s="20">
        <v>2</v>
      </c>
      <c r="I711" s="20">
        <v>1.2</v>
      </c>
      <c r="J711" s="22">
        <f t="shared" si="223"/>
        <v>3.3117187500000003</v>
      </c>
      <c r="K711" s="53">
        <v>0.37333333333333318</v>
      </c>
      <c r="L711" s="45">
        <f t="shared" si="242"/>
        <v>43.953333333333362</v>
      </c>
      <c r="M711" s="45">
        <f t="shared" si="243"/>
        <v>45.153333333333364</v>
      </c>
      <c r="N711" s="46">
        <f t="shared" si="244"/>
        <v>44.553333333333363</v>
      </c>
      <c r="O711" s="20">
        <f t="shared" si="241"/>
        <v>203.95333333333326</v>
      </c>
      <c r="P711" s="20">
        <f t="shared" si="235"/>
        <v>205.15333333333325</v>
      </c>
      <c r="Q711" s="20">
        <f t="shared" si="245"/>
        <v>204.55333333333326</v>
      </c>
      <c r="R711" s="20">
        <f t="shared" si="226"/>
        <v>203.95333333333326</v>
      </c>
      <c r="S711" s="20">
        <f t="shared" si="227"/>
        <v>204.55333333333326</v>
      </c>
      <c r="T711" s="20">
        <f t="shared" si="228"/>
        <v>204.55333333333326</v>
      </c>
      <c r="U711" s="20">
        <f t="shared" si="229"/>
        <v>204.55333333333326</v>
      </c>
      <c r="V711" s="22">
        <v>5.7995000000000001</v>
      </c>
      <c r="W711" s="22">
        <v>1.9294</v>
      </c>
      <c r="X711" s="23">
        <v>1.1476266666666668</v>
      </c>
      <c r="Y711" s="23">
        <f t="shared" si="236"/>
        <v>4.6518733333333335</v>
      </c>
      <c r="Z711" s="23">
        <f t="shared" si="237"/>
        <v>0.78177333333333321</v>
      </c>
      <c r="AA711" s="22">
        <f t="shared" si="238"/>
        <v>83.194440662614781</v>
      </c>
      <c r="AB711" s="22">
        <f t="shared" si="239"/>
        <v>16.805559337385219</v>
      </c>
      <c r="AC711" s="22">
        <f t="shared" si="230"/>
        <v>1.4046704096878193</v>
      </c>
      <c r="AD711" s="22">
        <f t="shared" si="231"/>
        <v>0.23606271919477859</v>
      </c>
      <c r="AE711" s="27">
        <v>6.4222999999999999</v>
      </c>
      <c r="AF711" s="27">
        <v>6.5281000000000002</v>
      </c>
      <c r="AG711" s="27">
        <v>6.4717000000000002</v>
      </c>
      <c r="AH711" s="26">
        <v>4.9399999999999999E-2</v>
      </c>
      <c r="AI711" s="26">
        <v>53.308128539999998</v>
      </c>
      <c r="AJ711" s="26">
        <f t="shared" si="232"/>
        <v>2.6654064270000002</v>
      </c>
      <c r="AK711" s="26">
        <f t="shared" si="233"/>
        <v>30.813947132947977</v>
      </c>
      <c r="AL711" s="26">
        <f t="shared" si="234"/>
        <v>2.6669254622304139</v>
      </c>
      <c r="AM711" s="17">
        <f t="shared" si="240"/>
        <v>0.5780346820809249</v>
      </c>
      <c r="AN711" s="17"/>
      <c r="AO711" s="27"/>
      <c r="AS711" s="49"/>
      <c r="AT711" s="25"/>
      <c r="AU711" s="17"/>
      <c r="AV711" s="17"/>
      <c r="AW711" s="17"/>
      <c r="AX711" s="27"/>
      <c r="BB711" s="17"/>
    </row>
    <row r="712" spans="1:54" x14ac:dyDescent="0.2">
      <c r="A712" s="17" t="s">
        <v>77</v>
      </c>
      <c r="B712" s="17" t="s">
        <v>78</v>
      </c>
      <c r="C712" s="17" t="str">
        <f t="shared" si="224"/>
        <v>HER42PB1E</v>
      </c>
      <c r="D712" s="17" t="str">
        <f t="shared" si="225"/>
        <v>HER42PB1E_181</v>
      </c>
      <c r="E712" s="27" t="s">
        <v>83</v>
      </c>
      <c r="F712" s="17">
        <v>181</v>
      </c>
      <c r="G712" s="20">
        <v>1.9</v>
      </c>
      <c r="H712" s="20">
        <v>2.1</v>
      </c>
      <c r="I712" s="20">
        <v>1.1000000000000001</v>
      </c>
      <c r="J712" s="22">
        <f t="shared" si="223"/>
        <v>3.4540000000000006</v>
      </c>
      <c r="K712" s="53">
        <v>0.37333333333333318</v>
      </c>
      <c r="L712" s="45">
        <f t="shared" si="242"/>
        <v>45.526666666666699</v>
      </c>
      <c r="M712" s="45">
        <f t="shared" si="243"/>
        <v>46.626666666666701</v>
      </c>
      <c r="N712" s="46">
        <f t="shared" si="244"/>
        <v>46.076666666666696</v>
      </c>
      <c r="O712" s="20">
        <f t="shared" si="241"/>
        <v>205.52666666666659</v>
      </c>
      <c r="P712" s="20">
        <f t="shared" si="235"/>
        <v>206.62666666666658</v>
      </c>
      <c r="Q712" s="20">
        <f t="shared" si="245"/>
        <v>206.0766666666666</v>
      </c>
      <c r="R712" s="20">
        <f t="shared" si="226"/>
        <v>205.52666666666659</v>
      </c>
      <c r="S712" s="20">
        <f t="shared" si="227"/>
        <v>206.0766666666666</v>
      </c>
      <c r="T712" s="20">
        <f t="shared" si="228"/>
        <v>206.0766666666666</v>
      </c>
      <c r="U712" s="20">
        <f t="shared" si="229"/>
        <v>206.0766666666666</v>
      </c>
      <c r="V712" s="22">
        <v>5.6207000000000003</v>
      </c>
      <c r="W712" s="22">
        <v>1.7954000000000001</v>
      </c>
      <c r="X712" s="23">
        <v>1.1476266666666668</v>
      </c>
      <c r="Y712" s="23">
        <f t="shared" si="236"/>
        <v>4.4730733333333337</v>
      </c>
      <c r="Z712" s="23">
        <f t="shared" si="237"/>
        <v>0.64777333333333331</v>
      </c>
      <c r="AA712" s="22">
        <f t="shared" si="238"/>
        <v>85.518383333755608</v>
      </c>
      <c r="AB712" s="22">
        <f t="shared" si="239"/>
        <v>14.481616666244392</v>
      </c>
      <c r="AC712" s="22">
        <f t="shared" si="230"/>
        <v>1.295041497780351</v>
      </c>
      <c r="AD712" s="22">
        <f t="shared" si="231"/>
        <v>0.18754294537734023</v>
      </c>
      <c r="AE712" s="27">
        <v>6.6185</v>
      </c>
      <c r="AF712" s="27">
        <v>6.7408999999999999</v>
      </c>
      <c r="AG712" s="27">
        <v>6.6643999999999997</v>
      </c>
      <c r="AH712" s="26">
        <v>4.5900000000000003E-2</v>
      </c>
      <c r="AI712" s="26">
        <v>62.5</v>
      </c>
      <c r="AJ712" s="26">
        <f t="shared" si="232"/>
        <v>3.125</v>
      </c>
      <c r="AK712" s="26">
        <f t="shared" si="233"/>
        <v>36.127167630057805</v>
      </c>
      <c r="AL712" s="26">
        <f t="shared" si="234"/>
        <v>3.1262957313728337</v>
      </c>
      <c r="AM712" s="17">
        <f t="shared" si="240"/>
        <v>0.5780346820809249</v>
      </c>
      <c r="AN712" s="17"/>
      <c r="AO712" s="27"/>
      <c r="AS712" s="49"/>
      <c r="AT712" s="25"/>
      <c r="AU712" s="17"/>
      <c r="AV712" s="17"/>
      <c r="AW712" s="17"/>
      <c r="AX712" s="27"/>
      <c r="BB712" s="17"/>
    </row>
    <row r="713" spans="1:54" x14ac:dyDescent="0.2">
      <c r="A713" s="17" t="s">
        <v>77</v>
      </c>
      <c r="B713" s="17" t="s">
        <v>78</v>
      </c>
      <c r="C713" s="17" t="str">
        <f t="shared" si="224"/>
        <v>HER42PB1E</v>
      </c>
      <c r="D713" s="17" t="str">
        <f t="shared" si="225"/>
        <v>HER42PB1E_182</v>
      </c>
      <c r="E713" s="27" t="s">
        <v>83</v>
      </c>
      <c r="F713" s="17">
        <v>182</v>
      </c>
      <c r="G713" s="20">
        <v>1.9</v>
      </c>
      <c r="H713" s="20">
        <v>1.8</v>
      </c>
      <c r="I713" s="20">
        <v>2</v>
      </c>
      <c r="J713" s="22">
        <f t="shared" si="223"/>
        <v>5.3733250000000004</v>
      </c>
      <c r="K713" s="53">
        <v>0.37333333333333318</v>
      </c>
      <c r="L713" s="45">
        <f t="shared" si="242"/>
        <v>47.000000000000036</v>
      </c>
      <c r="M713" s="45">
        <f t="shared" si="243"/>
        <v>49.000000000000036</v>
      </c>
      <c r="N713" s="46">
        <f t="shared" si="244"/>
        <v>48.000000000000036</v>
      </c>
      <c r="O713" s="20">
        <f t="shared" si="241"/>
        <v>206.99999999999991</v>
      </c>
      <c r="P713" s="20">
        <f t="shared" si="235"/>
        <v>208.99999999999991</v>
      </c>
      <c r="Q713" s="20">
        <f t="shared" si="245"/>
        <v>207.99999999999991</v>
      </c>
      <c r="R713" s="20">
        <f t="shared" si="226"/>
        <v>206.99999999999991</v>
      </c>
      <c r="S713" s="20">
        <f t="shared" si="227"/>
        <v>207.99999999999991</v>
      </c>
      <c r="T713" s="20">
        <f t="shared" si="228"/>
        <v>207.99999999999991</v>
      </c>
      <c r="U713" s="20">
        <f t="shared" si="229"/>
        <v>207.99999999999991</v>
      </c>
      <c r="V713" s="22">
        <v>7.9053000000000004</v>
      </c>
      <c r="W713" s="22">
        <v>2.2717999999999998</v>
      </c>
      <c r="X713" s="23">
        <v>1.1476266666666668</v>
      </c>
      <c r="Y713" s="23">
        <f t="shared" si="236"/>
        <v>6.7576733333333339</v>
      </c>
      <c r="Z713" s="23">
        <f t="shared" si="237"/>
        <v>1.124173333333333</v>
      </c>
      <c r="AA713" s="22">
        <f t="shared" si="238"/>
        <v>83.364491328869605</v>
      </c>
      <c r="AB713" s="22">
        <f t="shared" si="239"/>
        <v>16.635508671130395</v>
      </c>
      <c r="AC713" s="22">
        <f t="shared" si="230"/>
        <v>1.2576334640717495</v>
      </c>
      <c r="AD713" s="22">
        <f t="shared" si="231"/>
        <v>0.20921372396669344</v>
      </c>
      <c r="AE713" s="27">
        <v>6.3940999999999999</v>
      </c>
      <c r="AF713" s="27">
        <v>6.5728</v>
      </c>
      <c r="AG713" s="27">
        <v>6.4581</v>
      </c>
      <c r="AH713" s="26">
        <v>6.4000000000000001E-2</v>
      </c>
      <c r="AI713" s="26">
        <v>64.185786230000005</v>
      </c>
      <c r="AJ713" s="26">
        <f t="shared" si="232"/>
        <v>3.2092893115000005</v>
      </c>
      <c r="AK713" s="26">
        <f t="shared" si="233"/>
        <v>37.101610537572263</v>
      </c>
      <c r="AL713" s="26">
        <f t="shared" si="234"/>
        <v>3.2105510251214118</v>
      </c>
      <c r="AM713" s="17">
        <f t="shared" si="240"/>
        <v>0.5780346820809249</v>
      </c>
      <c r="AN713" s="17"/>
      <c r="AO713" s="27"/>
      <c r="AS713" s="49"/>
      <c r="AT713" s="25"/>
      <c r="AU713" s="17"/>
      <c r="AV713" s="17"/>
      <c r="AW713" s="17"/>
      <c r="AX713" s="27"/>
      <c r="BB713" s="17"/>
    </row>
    <row r="714" spans="1:54" x14ac:dyDescent="0.2">
      <c r="A714" s="17" t="s">
        <v>77</v>
      </c>
      <c r="B714" s="17" t="s">
        <v>78</v>
      </c>
      <c r="C714" s="17" t="str">
        <f t="shared" si="224"/>
        <v>HER42PB1F</v>
      </c>
      <c r="D714" s="17" t="str">
        <f t="shared" si="225"/>
        <v>HER42PB1F_183</v>
      </c>
      <c r="E714" s="27" t="s">
        <v>84</v>
      </c>
      <c r="F714" s="17">
        <v>183</v>
      </c>
      <c r="G714" s="20">
        <v>1.9</v>
      </c>
      <c r="H714" s="20">
        <v>2.1</v>
      </c>
      <c r="I714" s="20">
        <v>1.2</v>
      </c>
      <c r="J714" s="22">
        <f t="shared" si="223"/>
        <v>3.7679999999999998</v>
      </c>
      <c r="K714" s="53">
        <v>0.18000000000000013</v>
      </c>
      <c r="L714" s="39">
        <v>0</v>
      </c>
      <c r="M714" s="45">
        <f>L714+I714</f>
        <v>1.2</v>
      </c>
      <c r="N714" s="46">
        <f>L714+((M714-L714)/2)</f>
        <v>0.6</v>
      </c>
      <c r="O714" s="20">
        <v>200</v>
      </c>
      <c r="P714" s="20">
        <f t="shared" si="235"/>
        <v>201.2</v>
      </c>
      <c r="Q714" s="20">
        <f>O714+((P714-O714)/2)</f>
        <v>200.6</v>
      </c>
      <c r="R714" s="20">
        <f t="shared" si="226"/>
        <v>200</v>
      </c>
      <c r="S714" s="20">
        <f t="shared" si="227"/>
        <v>200.6</v>
      </c>
      <c r="T714" s="20">
        <f t="shared" si="228"/>
        <v>200.6</v>
      </c>
      <c r="U714" s="20">
        <f t="shared" si="229"/>
        <v>200.6</v>
      </c>
      <c r="V714" s="22">
        <v>5.7016</v>
      </c>
      <c r="W714" s="22">
        <v>1.9944</v>
      </c>
      <c r="X714" s="23">
        <v>1.1476266666666668</v>
      </c>
      <c r="Y714" s="23">
        <f t="shared" si="236"/>
        <v>4.5539733333333334</v>
      </c>
      <c r="Z714" s="23">
        <f t="shared" si="237"/>
        <v>0.84677333333333316</v>
      </c>
      <c r="AA714" s="22">
        <f t="shared" si="238"/>
        <v>81.405834611826151</v>
      </c>
      <c r="AB714" s="22">
        <f t="shared" si="239"/>
        <v>18.594165388173849</v>
      </c>
      <c r="AC714" s="22">
        <f t="shared" si="230"/>
        <v>1.2085916489738147</v>
      </c>
      <c r="AD714" s="22">
        <f t="shared" si="231"/>
        <v>0.22472753007784851</v>
      </c>
      <c r="AE714" s="27">
        <v>9.2164999999999999</v>
      </c>
      <c r="AF714" s="27">
        <v>9.3297000000000008</v>
      </c>
      <c r="AG714" s="27">
        <v>9.2788000000000004</v>
      </c>
      <c r="AH714" s="26">
        <v>6.2300000000000001E-2</v>
      </c>
      <c r="AI714" s="26">
        <v>44.964664310000003</v>
      </c>
      <c r="AJ714" s="26">
        <f t="shared" si="232"/>
        <v>2.2482332155000004</v>
      </c>
      <c r="AK714" s="26">
        <f t="shared" si="233"/>
        <v>25.991135439306362</v>
      </c>
      <c r="AL714" s="26">
        <f t="shared" si="234"/>
        <v>2.2500339089172572</v>
      </c>
      <c r="AM714" s="17">
        <f t="shared" si="240"/>
        <v>0.5780346820809249</v>
      </c>
      <c r="AN714" s="28" t="s">
        <v>43</v>
      </c>
      <c r="AO714" s="27">
        <v>49.5</v>
      </c>
      <c r="AS714" s="49"/>
      <c r="AT714" s="25"/>
      <c r="AU714" s="17"/>
      <c r="AV714" s="17"/>
      <c r="AW714" s="17"/>
      <c r="AX714" s="27"/>
      <c r="BB714" s="17"/>
    </row>
    <row r="715" spans="1:54" x14ac:dyDescent="0.2">
      <c r="A715" s="17" t="s">
        <v>77</v>
      </c>
      <c r="B715" s="17" t="s">
        <v>78</v>
      </c>
      <c r="C715" s="17" t="str">
        <f t="shared" si="224"/>
        <v>HER42PB1F</v>
      </c>
      <c r="D715" s="17" t="str">
        <f t="shared" si="225"/>
        <v>HER42PB1F_184</v>
      </c>
      <c r="E715" s="27" t="s">
        <v>84</v>
      </c>
      <c r="F715" s="17">
        <v>184</v>
      </c>
      <c r="G715" s="20">
        <v>2.2000000000000002</v>
      </c>
      <c r="H715" s="20">
        <v>2.2000000000000002</v>
      </c>
      <c r="I715" s="20">
        <v>1.1499999999999999</v>
      </c>
      <c r="J715" s="22">
        <f t="shared" si="223"/>
        <v>4.3693100000000014</v>
      </c>
      <c r="K715" s="53">
        <v>0.18000000000000013</v>
      </c>
      <c r="L715" s="45">
        <f>M714+K715</f>
        <v>1.3800000000000001</v>
      </c>
      <c r="M715" s="45">
        <f>L715+I715</f>
        <v>2.5300000000000002</v>
      </c>
      <c r="N715" s="46">
        <f>L715+((M715-L715)/2)</f>
        <v>1.9550000000000001</v>
      </c>
      <c r="O715" s="20">
        <f t="shared" ref="O715:O749" si="246">P714+K715</f>
        <v>201.38</v>
      </c>
      <c r="P715" s="20">
        <f t="shared" si="235"/>
        <v>202.53</v>
      </c>
      <c r="Q715" s="20">
        <f>O715+((P715-O715)/2)</f>
        <v>201.95499999999998</v>
      </c>
      <c r="R715" s="20">
        <f t="shared" si="226"/>
        <v>201.38</v>
      </c>
      <c r="S715" s="20">
        <f t="shared" si="227"/>
        <v>201.95499999999998</v>
      </c>
      <c r="T715" s="20">
        <f t="shared" si="228"/>
        <v>201.95499999999998</v>
      </c>
      <c r="U715" s="20">
        <f t="shared" si="229"/>
        <v>201.95499999999998</v>
      </c>
      <c r="V715" s="22">
        <v>7.1395</v>
      </c>
      <c r="W715" s="22">
        <v>2.8999000000000001</v>
      </c>
      <c r="X715" s="23">
        <v>1.1476266666666668</v>
      </c>
      <c r="Y715" s="23">
        <f t="shared" si="236"/>
        <v>5.9918733333333334</v>
      </c>
      <c r="Z715" s="23">
        <f t="shared" si="237"/>
        <v>1.7522733333333333</v>
      </c>
      <c r="AA715" s="22">
        <f t="shared" si="238"/>
        <v>70.755834847421113</v>
      </c>
      <c r="AB715" s="22">
        <f t="shared" si="239"/>
        <v>29.244165152578887</v>
      </c>
      <c r="AC715" s="22">
        <f t="shared" si="230"/>
        <v>1.3713545922201289</v>
      </c>
      <c r="AD715" s="22">
        <f t="shared" si="231"/>
        <v>0.40104120177632918</v>
      </c>
      <c r="AE715" s="27">
        <v>10.239000000000001</v>
      </c>
      <c r="AF715" s="27">
        <v>10.378299999999999</v>
      </c>
      <c r="AG715" s="27">
        <v>10.324400000000001</v>
      </c>
      <c r="AH715" s="26">
        <v>8.5400000000000004E-2</v>
      </c>
      <c r="AI715" s="26">
        <v>38.693467339999998</v>
      </c>
      <c r="AJ715" s="26">
        <f t="shared" si="232"/>
        <v>1.934673367</v>
      </c>
      <c r="AK715" s="26">
        <f t="shared" si="233"/>
        <v>22.36616609248555</v>
      </c>
      <c r="AL715" s="26">
        <f t="shared" si="234"/>
        <v>1.9367656122977599</v>
      </c>
      <c r="AM715" s="17">
        <f t="shared" si="240"/>
        <v>0.5780346820809249</v>
      </c>
      <c r="AN715" s="28" t="s">
        <v>44</v>
      </c>
      <c r="AO715" s="27" t="s">
        <v>58</v>
      </c>
      <c r="AS715" s="49"/>
      <c r="AT715" s="25"/>
      <c r="AU715" s="17"/>
      <c r="AV715" s="17"/>
      <c r="AW715" s="17"/>
      <c r="AX715" s="27"/>
      <c r="BB715" s="17"/>
    </row>
    <row r="716" spans="1:54" x14ac:dyDescent="0.2">
      <c r="A716" s="17" t="s">
        <v>77</v>
      </c>
      <c r="B716" s="17" t="s">
        <v>78</v>
      </c>
      <c r="C716" s="17" t="str">
        <f t="shared" si="224"/>
        <v>HER42PB1F</v>
      </c>
      <c r="D716" s="17" t="str">
        <f t="shared" si="225"/>
        <v>HER42PB1F_185</v>
      </c>
      <c r="E716" s="27" t="s">
        <v>84</v>
      </c>
      <c r="F716" s="17">
        <v>185</v>
      </c>
      <c r="G716" s="20">
        <v>2.15</v>
      </c>
      <c r="H716" s="20">
        <v>2</v>
      </c>
      <c r="I716" s="20">
        <v>1.1499999999999999</v>
      </c>
      <c r="J716" s="22">
        <f t="shared" si="223"/>
        <v>3.8869029687500007</v>
      </c>
      <c r="K716" s="53">
        <v>0.18000000000000013</v>
      </c>
      <c r="L716" s="45">
        <f t="shared" ref="L716:L749" si="247">M715+K716</f>
        <v>2.7100000000000004</v>
      </c>
      <c r="M716" s="45">
        <f t="shared" ref="M716:M749" si="248">L716+I716</f>
        <v>3.8600000000000003</v>
      </c>
      <c r="N716" s="46">
        <f t="shared" ref="N716:N749" si="249">L716+((M716-L716)/2)</f>
        <v>3.2850000000000001</v>
      </c>
      <c r="O716" s="20">
        <f t="shared" si="246"/>
        <v>202.71</v>
      </c>
      <c r="P716" s="20">
        <f t="shared" si="235"/>
        <v>203.86</v>
      </c>
      <c r="Q716" s="20">
        <f t="shared" ref="Q716:Q749" si="250">O716+((P716-O716)/2)</f>
        <v>203.28500000000003</v>
      </c>
      <c r="R716" s="20">
        <f t="shared" si="226"/>
        <v>202.71</v>
      </c>
      <c r="S716" s="20">
        <f t="shared" si="227"/>
        <v>203.28500000000003</v>
      </c>
      <c r="T716" s="20">
        <f t="shared" si="228"/>
        <v>203.28500000000003</v>
      </c>
      <c r="U716" s="20">
        <f t="shared" si="229"/>
        <v>203.28500000000003</v>
      </c>
      <c r="V716" s="22">
        <v>6.6794000000000002</v>
      </c>
      <c r="W716" s="22">
        <v>2.2696999999999998</v>
      </c>
      <c r="X716" s="23">
        <v>1.1476266666666668</v>
      </c>
      <c r="Y716" s="23">
        <f t="shared" si="236"/>
        <v>5.5317733333333337</v>
      </c>
      <c r="Z716" s="23">
        <f t="shared" si="237"/>
        <v>1.122073333333333</v>
      </c>
      <c r="AA716" s="22">
        <f t="shared" si="238"/>
        <v>79.715847600407841</v>
      </c>
      <c r="AB716" s="22">
        <f t="shared" si="239"/>
        <v>20.284152399592159</v>
      </c>
      <c r="AC716" s="22">
        <f t="shared" si="230"/>
        <v>1.4231827698833222</v>
      </c>
      <c r="AD716" s="22">
        <f t="shared" si="231"/>
        <v>0.28868056196787018</v>
      </c>
      <c r="AE716" s="27">
        <v>13.142300000000001</v>
      </c>
      <c r="AF716" s="27">
        <v>13.279299999999999</v>
      </c>
      <c r="AG716" s="27">
        <v>13.2082</v>
      </c>
      <c r="AH716" s="26">
        <v>6.59E-2</v>
      </c>
      <c r="AI716" s="26">
        <v>51.897810219999997</v>
      </c>
      <c r="AJ716" s="26">
        <f t="shared" si="232"/>
        <v>2.594890511</v>
      </c>
      <c r="AK716" s="26">
        <f t="shared" si="233"/>
        <v>29.998734231213874</v>
      </c>
      <c r="AL716" s="26">
        <f t="shared" si="234"/>
        <v>2.5964508013975234</v>
      </c>
      <c r="AM716" s="17">
        <f t="shared" si="240"/>
        <v>0.5780346820809249</v>
      </c>
      <c r="AN716" s="28" t="s">
        <v>46</v>
      </c>
      <c r="AO716" s="29">
        <f>SUM(I714:I749)</f>
        <v>43.199999999999996</v>
      </c>
      <c r="AS716" s="49"/>
      <c r="AT716" s="25"/>
      <c r="AU716" s="17"/>
      <c r="AV716" s="17"/>
      <c r="AW716" s="17"/>
      <c r="AX716" s="27"/>
      <c r="BB716" s="17"/>
    </row>
    <row r="717" spans="1:54" x14ac:dyDescent="0.2">
      <c r="A717" s="17" t="s">
        <v>77</v>
      </c>
      <c r="B717" s="17" t="s">
        <v>78</v>
      </c>
      <c r="C717" s="17" t="str">
        <f t="shared" si="224"/>
        <v>HER42PB1F</v>
      </c>
      <c r="D717" s="17" t="str">
        <f t="shared" si="225"/>
        <v>HER42PB1F_186</v>
      </c>
      <c r="E717" s="27" t="s">
        <v>84</v>
      </c>
      <c r="F717" s="17">
        <v>186</v>
      </c>
      <c r="G717" s="20">
        <v>2.25</v>
      </c>
      <c r="H717" s="20">
        <v>2.0499999999999998</v>
      </c>
      <c r="I717" s="20">
        <v>1.1499999999999999</v>
      </c>
      <c r="J717" s="22">
        <f t="shared" si="223"/>
        <v>4.1729618749999995</v>
      </c>
      <c r="K717" s="53">
        <v>0.18000000000000013</v>
      </c>
      <c r="L717" s="45">
        <f t="shared" si="247"/>
        <v>4.04</v>
      </c>
      <c r="M717" s="45">
        <f t="shared" si="248"/>
        <v>5.1899999999999995</v>
      </c>
      <c r="N717" s="46">
        <f t="shared" si="249"/>
        <v>4.6150000000000002</v>
      </c>
      <c r="O717" s="20">
        <f t="shared" si="246"/>
        <v>204.04000000000002</v>
      </c>
      <c r="P717" s="20">
        <f t="shared" si="235"/>
        <v>205.19000000000003</v>
      </c>
      <c r="Q717" s="20">
        <f t="shared" si="250"/>
        <v>204.61500000000001</v>
      </c>
      <c r="R717" s="20">
        <f t="shared" si="226"/>
        <v>204.04000000000002</v>
      </c>
      <c r="S717" s="20">
        <f t="shared" si="227"/>
        <v>204.61500000000001</v>
      </c>
      <c r="T717" s="20">
        <f t="shared" si="228"/>
        <v>204.61500000000001</v>
      </c>
      <c r="U717" s="20">
        <f t="shared" si="229"/>
        <v>204.61500000000001</v>
      </c>
      <c r="V717" s="22">
        <v>6.5899000000000001</v>
      </c>
      <c r="W717" s="22">
        <v>2.0918000000000001</v>
      </c>
      <c r="X717" s="23">
        <v>1.1476266666666668</v>
      </c>
      <c r="Y717" s="23">
        <f t="shared" si="236"/>
        <v>5.4422733333333335</v>
      </c>
      <c r="Z717" s="23">
        <f t="shared" si="237"/>
        <v>0.94417333333333331</v>
      </c>
      <c r="AA717" s="22">
        <f t="shared" si="238"/>
        <v>82.651122508853518</v>
      </c>
      <c r="AB717" s="22">
        <f t="shared" si="239"/>
        <v>17.348877491146482</v>
      </c>
      <c r="AC717" s="22">
        <f t="shared" si="230"/>
        <v>1.3041751869188438</v>
      </c>
      <c r="AD717" s="22">
        <f t="shared" si="231"/>
        <v>0.22625975544848068</v>
      </c>
      <c r="AE717" s="27">
        <v>10.349399999999999</v>
      </c>
      <c r="AF717" s="27">
        <v>10.486800000000001</v>
      </c>
      <c r="AG717" s="27">
        <v>10.402200000000001</v>
      </c>
      <c r="AH717" s="26">
        <v>5.28E-2</v>
      </c>
      <c r="AI717" s="26">
        <v>61.572052399999997</v>
      </c>
      <c r="AJ717" s="26">
        <f t="shared" si="232"/>
        <v>3.0786026199999998</v>
      </c>
      <c r="AK717" s="26">
        <f t="shared" si="233"/>
        <v>35.590781734104048</v>
      </c>
      <c r="AL717" s="26">
        <f t="shared" si="234"/>
        <v>3.0799178709619621</v>
      </c>
      <c r="AM717" s="17">
        <f t="shared" si="240"/>
        <v>0.5780346820809249</v>
      </c>
      <c r="AN717" s="28" t="s">
        <v>47</v>
      </c>
      <c r="AO717" s="29">
        <f>AO714-AO716</f>
        <v>6.3000000000000043</v>
      </c>
      <c r="AS717" s="49"/>
      <c r="AT717" s="25"/>
      <c r="AU717" s="17"/>
      <c r="AV717" s="17"/>
      <c r="AW717" s="17"/>
      <c r="AX717" s="27"/>
      <c r="BB717" s="17"/>
    </row>
    <row r="718" spans="1:54" x14ac:dyDescent="0.2">
      <c r="A718" s="17" t="s">
        <v>77</v>
      </c>
      <c r="B718" s="17" t="s">
        <v>78</v>
      </c>
      <c r="C718" s="17" t="str">
        <f t="shared" si="224"/>
        <v>HER42PB1F</v>
      </c>
      <c r="D718" s="17" t="str">
        <f t="shared" si="225"/>
        <v>HER42PB1F_187</v>
      </c>
      <c r="E718" s="27" t="s">
        <v>84</v>
      </c>
      <c r="F718" s="17">
        <v>187</v>
      </c>
      <c r="G718" s="20">
        <v>2.2000000000000002</v>
      </c>
      <c r="H718" s="20">
        <v>2.2000000000000002</v>
      </c>
      <c r="I718" s="20">
        <v>1.1499999999999999</v>
      </c>
      <c r="J718" s="22">
        <f t="shared" si="223"/>
        <v>4.3693100000000014</v>
      </c>
      <c r="K718" s="53">
        <v>0.18000000000000013</v>
      </c>
      <c r="L718" s="45">
        <f t="shared" si="247"/>
        <v>5.3699999999999992</v>
      </c>
      <c r="M718" s="45">
        <f t="shared" si="248"/>
        <v>6.52</v>
      </c>
      <c r="N718" s="46">
        <f t="shared" si="249"/>
        <v>5.9449999999999994</v>
      </c>
      <c r="O718" s="20">
        <f t="shared" si="246"/>
        <v>205.37000000000003</v>
      </c>
      <c r="P718" s="20">
        <f t="shared" si="235"/>
        <v>206.52000000000004</v>
      </c>
      <c r="Q718" s="20">
        <f t="shared" si="250"/>
        <v>205.94500000000005</v>
      </c>
      <c r="R718" s="20">
        <f t="shared" si="226"/>
        <v>205.37000000000003</v>
      </c>
      <c r="S718" s="20">
        <f t="shared" si="227"/>
        <v>205.94500000000005</v>
      </c>
      <c r="T718" s="20">
        <f t="shared" si="228"/>
        <v>205.94500000000005</v>
      </c>
      <c r="U718" s="20">
        <f t="shared" si="229"/>
        <v>205.94500000000005</v>
      </c>
      <c r="V718" s="22">
        <v>7.4119000000000002</v>
      </c>
      <c r="W718" s="22">
        <v>2.5156999999999998</v>
      </c>
      <c r="X718" s="23">
        <v>1.1476266666666668</v>
      </c>
      <c r="Y718" s="23">
        <f t="shared" si="236"/>
        <v>6.2642733333333336</v>
      </c>
      <c r="Z718" s="23">
        <f t="shared" si="237"/>
        <v>1.368073333333333</v>
      </c>
      <c r="AA718" s="22">
        <f t="shared" si="238"/>
        <v>78.160701799942743</v>
      </c>
      <c r="AB718" s="22">
        <f t="shared" si="239"/>
        <v>21.839298200057257</v>
      </c>
      <c r="AC718" s="22">
        <f t="shared" si="230"/>
        <v>1.4336985321099514</v>
      </c>
      <c r="AD718" s="22">
        <f t="shared" si="231"/>
        <v>0.31310969771733582</v>
      </c>
      <c r="AE718" s="27">
        <v>9.5378000000000007</v>
      </c>
      <c r="AF718" s="27">
        <v>9.7325999999999997</v>
      </c>
      <c r="AG718" s="27">
        <v>9.6397999999999993</v>
      </c>
      <c r="AH718" s="26">
        <v>0.10199999999999999</v>
      </c>
      <c r="AI718" s="26">
        <v>47.638603699999997</v>
      </c>
      <c r="AJ718" s="26">
        <f t="shared" si="232"/>
        <v>2.3819301849999999</v>
      </c>
      <c r="AK718" s="26">
        <f t="shared" si="233"/>
        <v>27.536765144508671</v>
      </c>
      <c r="AL718" s="26">
        <f t="shared" si="234"/>
        <v>2.3836298802905902</v>
      </c>
      <c r="AM718" s="17">
        <f t="shared" si="240"/>
        <v>0.5780346820809249</v>
      </c>
      <c r="AN718" s="28" t="s">
        <v>48</v>
      </c>
      <c r="AO718" s="27">
        <v>35</v>
      </c>
      <c r="AS718" s="49"/>
      <c r="AT718" s="25"/>
      <c r="AU718" s="17"/>
      <c r="AV718" s="17"/>
      <c r="AW718" s="17"/>
      <c r="AX718" s="27"/>
      <c r="BB718" s="17"/>
    </row>
    <row r="719" spans="1:54" x14ac:dyDescent="0.2">
      <c r="A719" s="17" t="s">
        <v>77</v>
      </c>
      <c r="B719" s="17" t="s">
        <v>78</v>
      </c>
      <c r="C719" s="17" t="str">
        <f t="shared" si="224"/>
        <v>HER42PB1F</v>
      </c>
      <c r="D719" s="17" t="str">
        <f t="shared" si="225"/>
        <v>HER42PB1F_188</v>
      </c>
      <c r="E719" s="27" t="s">
        <v>84</v>
      </c>
      <c r="F719" s="17">
        <v>188</v>
      </c>
      <c r="G719" s="20">
        <v>2.25</v>
      </c>
      <c r="H719" s="20">
        <v>2.1</v>
      </c>
      <c r="I719" s="20">
        <v>1.2</v>
      </c>
      <c r="J719" s="22">
        <f t="shared" si="223"/>
        <v>4.4562487499999994</v>
      </c>
      <c r="K719" s="53">
        <v>0.18000000000000013</v>
      </c>
      <c r="L719" s="45">
        <f t="shared" si="247"/>
        <v>6.6999999999999993</v>
      </c>
      <c r="M719" s="45">
        <f t="shared" si="248"/>
        <v>7.8999999999999995</v>
      </c>
      <c r="N719" s="46">
        <f t="shared" si="249"/>
        <v>7.2999999999999989</v>
      </c>
      <c r="O719" s="20">
        <f t="shared" si="246"/>
        <v>206.70000000000005</v>
      </c>
      <c r="P719" s="20">
        <f t="shared" si="235"/>
        <v>207.90000000000003</v>
      </c>
      <c r="Q719" s="20">
        <f t="shared" si="250"/>
        <v>207.30000000000004</v>
      </c>
      <c r="R719" s="20">
        <f t="shared" si="226"/>
        <v>206.70000000000005</v>
      </c>
      <c r="S719" s="20">
        <f t="shared" si="227"/>
        <v>207.30000000000004</v>
      </c>
      <c r="T719" s="20">
        <f t="shared" si="228"/>
        <v>207.30000000000004</v>
      </c>
      <c r="U719" s="20">
        <f t="shared" si="229"/>
        <v>207.30000000000004</v>
      </c>
      <c r="V719" s="22">
        <v>6.4253</v>
      </c>
      <c r="W719" s="22">
        <v>1.9191</v>
      </c>
      <c r="X719" s="23">
        <v>1.1476266666666668</v>
      </c>
      <c r="Y719" s="23">
        <f t="shared" si="236"/>
        <v>5.2776733333333334</v>
      </c>
      <c r="Z719" s="23">
        <f t="shared" si="237"/>
        <v>0.77147333333333323</v>
      </c>
      <c r="AA719" s="22">
        <f t="shared" si="238"/>
        <v>85.382321250146845</v>
      </c>
      <c r="AB719" s="22">
        <f t="shared" si="239"/>
        <v>14.617678749853155</v>
      </c>
      <c r="AC719" s="22">
        <f t="shared" si="230"/>
        <v>1.1843309539965277</v>
      </c>
      <c r="AD719" s="22">
        <f t="shared" si="231"/>
        <v>0.17312169419028356</v>
      </c>
      <c r="AE719" s="27">
        <v>17.833300000000001</v>
      </c>
      <c r="AF719" s="27">
        <v>17.948399999999999</v>
      </c>
      <c r="AG719" s="27">
        <v>17.8933</v>
      </c>
      <c r="AH719" s="26">
        <v>0.06</v>
      </c>
      <c r="AI719" s="26">
        <v>47.871416160000003</v>
      </c>
      <c r="AJ719" s="26">
        <f t="shared" si="232"/>
        <v>2.3935708080000002</v>
      </c>
      <c r="AK719" s="26">
        <f t="shared" si="233"/>
        <v>27.671338820809254</v>
      </c>
      <c r="AL719" s="26">
        <f t="shared" si="234"/>
        <v>2.3952622430351491</v>
      </c>
      <c r="AM719" s="17">
        <f t="shared" si="240"/>
        <v>0.5780346820809249</v>
      </c>
      <c r="AN719" s="28" t="s">
        <v>49</v>
      </c>
      <c r="AO719" s="30">
        <f>AO717/AO718</f>
        <v>0.18000000000000013</v>
      </c>
      <c r="AS719" s="49"/>
      <c r="AT719" s="25"/>
      <c r="AU719" s="17"/>
      <c r="AV719" s="17"/>
      <c r="AW719" s="17"/>
      <c r="AX719" s="27"/>
      <c r="BB719" s="17"/>
    </row>
    <row r="720" spans="1:54" x14ac:dyDescent="0.2">
      <c r="A720" s="17" t="s">
        <v>77</v>
      </c>
      <c r="B720" s="17" t="s">
        <v>78</v>
      </c>
      <c r="C720" s="17" t="str">
        <f t="shared" si="224"/>
        <v>HER42PB1F</v>
      </c>
      <c r="D720" s="17" t="str">
        <f t="shared" si="225"/>
        <v>HER42PB1F_189</v>
      </c>
      <c r="E720" s="27" t="s">
        <v>84</v>
      </c>
      <c r="F720" s="17">
        <v>189</v>
      </c>
      <c r="G720" s="20">
        <v>2</v>
      </c>
      <c r="H720" s="20">
        <v>2.4</v>
      </c>
      <c r="I720" s="20">
        <v>1.2</v>
      </c>
      <c r="J720" s="22">
        <f t="shared" si="223"/>
        <v>4.5592800000000011</v>
      </c>
      <c r="K720" s="53">
        <v>0.18000000000000013</v>
      </c>
      <c r="L720" s="45">
        <f t="shared" si="247"/>
        <v>8.08</v>
      </c>
      <c r="M720" s="45">
        <f t="shared" si="248"/>
        <v>9.2799999999999994</v>
      </c>
      <c r="N720" s="46">
        <f t="shared" si="249"/>
        <v>8.68</v>
      </c>
      <c r="O720" s="20">
        <f t="shared" si="246"/>
        <v>208.08000000000004</v>
      </c>
      <c r="P720" s="20">
        <f t="shared" si="235"/>
        <v>209.28000000000003</v>
      </c>
      <c r="Q720" s="20">
        <f t="shared" si="250"/>
        <v>208.68000000000004</v>
      </c>
      <c r="R720" s="20">
        <f t="shared" si="226"/>
        <v>208.08000000000004</v>
      </c>
      <c r="S720" s="20">
        <f t="shared" si="227"/>
        <v>208.68000000000004</v>
      </c>
      <c r="T720" s="20">
        <f t="shared" si="228"/>
        <v>208.68000000000004</v>
      </c>
      <c r="U720" s="20">
        <f t="shared" si="229"/>
        <v>208.68000000000004</v>
      </c>
      <c r="V720" s="22">
        <v>7.0824999999999996</v>
      </c>
      <c r="W720" s="22">
        <v>2.0175000000000001</v>
      </c>
      <c r="X720" s="23">
        <v>1.1476266666666668</v>
      </c>
      <c r="Y720" s="23">
        <f t="shared" si="236"/>
        <v>5.934873333333333</v>
      </c>
      <c r="Z720" s="23">
        <f t="shared" si="237"/>
        <v>0.86987333333333328</v>
      </c>
      <c r="AA720" s="22">
        <f t="shared" si="238"/>
        <v>85.343017711133399</v>
      </c>
      <c r="AB720" s="22">
        <f t="shared" si="239"/>
        <v>14.656982288866601</v>
      </c>
      <c r="AC720" s="22">
        <f t="shared" si="230"/>
        <v>1.3017128435483962</v>
      </c>
      <c r="AD720" s="22">
        <f t="shared" si="231"/>
        <v>0.1907918209307902</v>
      </c>
      <c r="AE720" s="27">
        <v>9.3888999999999996</v>
      </c>
      <c r="AF720" s="27">
        <v>9.4979999999999993</v>
      </c>
      <c r="AG720" s="27">
        <v>9.4282000000000004</v>
      </c>
      <c r="AH720" s="26">
        <v>3.9300000000000002E-2</v>
      </c>
      <c r="AI720" s="26">
        <v>63.978001829999997</v>
      </c>
      <c r="AJ720" s="26">
        <f t="shared" si="232"/>
        <v>3.1989000915000001</v>
      </c>
      <c r="AK720" s="26">
        <f t="shared" si="233"/>
        <v>36.981503947976883</v>
      </c>
      <c r="AL720" s="26">
        <f t="shared" si="234"/>
        <v>3.2001659012305455</v>
      </c>
      <c r="AM720" s="17">
        <f t="shared" si="240"/>
        <v>0.5780346820809249</v>
      </c>
      <c r="AN720" s="17"/>
      <c r="AO720" s="27"/>
      <c r="AS720" s="49"/>
      <c r="AT720" s="25"/>
      <c r="AU720" s="17"/>
      <c r="AV720" s="17"/>
      <c r="AW720" s="17"/>
      <c r="AX720" s="27"/>
      <c r="BB720" s="17"/>
    </row>
    <row r="721" spans="1:54" x14ac:dyDescent="0.2">
      <c r="A721" s="17" t="s">
        <v>77</v>
      </c>
      <c r="B721" s="17" t="s">
        <v>78</v>
      </c>
      <c r="C721" s="17" t="str">
        <f t="shared" si="224"/>
        <v>HER42PB1F</v>
      </c>
      <c r="D721" s="17" t="str">
        <f t="shared" si="225"/>
        <v>HER42PB1F_190</v>
      </c>
      <c r="E721" s="27" t="s">
        <v>84</v>
      </c>
      <c r="F721" s="17">
        <v>190</v>
      </c>
      <c r="G721" s="20">
        <v>2.2000000000000002</v>
      </c>
      <c r="H721" s="20">
        <v>2.1</v>
      </c>
      <c r="I721" s="20">
        <v>1.25</v>
      </c>
      <c r="J721" s="22">
        <f t="shared" si="223"/>
        <v>4.5358281250000019</v>
      </c>
      <c r="K721" s="53">
        <v>0.18000000000000013</v>
      </c>
      <c r="L721" s="45">
        <f t="shared" si="247"/>
        <v>9.4599999999999991</v>
      </c>
      <c r="M721" s="45">
        <f t="shared" si="248"/>
        <v>10.709999999999999</v>
      </c>
      <c r="N721" s="46">
        <f t="shared" si="249"/>
        <v>10.084999999999999</v>
      </c>
      <c r="O721" s="20">
        <f t="shared" si="246"/>
        <v>209.46000000000004</v>
      </c>
      <c r="P721" s="20">
        <f t="shared" si="235"/>
        <v>210.71000000000004</v>
      </c>
      <c r="Q721" s="20">
        <f t="shared" si="250"/>
        <v>210.08500000000004</v>
      </c>
      <c r="R721" s="20">
        <f t="shared" si="226"/>
        <v>209.46000000000004</v>
      </c>
      <c r="S721" s="20">
        <f t="shared" si="227"/>
        <v>210.08500000000004</v>
      </c>
      <c r="T721" s="20">
        <f t="shared" si="228"/>
        <v>210.08500000000004</v>
      </c>
      <c r="U721" s="20">
        <f t="shared" si="229"/>
        <v>210.08500000000004</v>
      </c>
      <c r="V721" s="22">
        <v>7.5286</v>
      </c>
      <c r="W721" s="22">
        <v>2.1446000000000001</v>
      </c>
      <c r="X721" s="23">
        <v>1.1476266666666668</v>
      </c>
      <c r="Y721" s="23">
        <f t="shared" si="236"/>
        <v>6.3809733333333334</v>
      </c>
      <c r="Z721" s="23">
        <f t="shared" si="237"/>
        <v>0.99697333333333327</v>
      </c>
      <c r="AA721" s="22">
        <f t="shared" si="238"/>
        <v>84.375842347980353</v>
      </c>
      <c r="AB721" s="22">
        <f t="shared" si="239"/>
        <v>15.624157652019647</v>
      </c>
      <c r="AC721" s="22">
        <f t="shared" si="230"/>
        <v>1.4067934581038233</v>
      </c>
      <c r="AD721" s="22">
        <f t="shared" si="231"/>
        <v>0.21979962773244033</v>
      </c>
      <c r="AE721" s="27">
        <v>12.615</v>
      </c>
      <c r="AF721" s="27">
        <v>12.7501</v>
      </c>
      <c r="AG721" s="27">
        <v>12.6669</v>
      </c>
      <c r="AH721" s="26">
        <v>5.1900000000000002E-2</v>
      </c>
      <c r="AI721" s="26">
        <v>61.584011840000002</v>
      </c>
      <c r="AJ721" s="26">
        <f t="shared" si="232"/>
        <v>3.0792005920000003</v>
      </c>
      <c r="AK721" s="26">
        <f t="shared" si="233"/>
        <v>35.597694705202315</v>
      </c>
      <c r="AL721" s="26">
        <f t="shared" si="234"/>
        <v>3.0805155876530073</v>
      </c>
      <c r="AM721" s="17">
        <f t="shared" si="240"/>
        <v>0.5780346820809249</v>
      </c>
      <c r="AN721" s="17"/>
      <c r="AO721" s="27"/>
      <c r="AS721" s="49"/>
      <c r="AT721" s="25"/>
      <c r="AU721" s="17"/>
      <c r="AV721" s="17"/>
      <c r="AW721" s="17"/>
      <c r="AX721" s="27"/>
      <c r="BB721" s="17"/>
    </row>
    <row r="722" spans="1:54" x14ac:dyDescent="0.2">
      <c r="A722" s="17" t="s">
        <v>77</v>
      </c>
      <c r="B722" s="17" t="s">
        <v>78</v>
      </c>
      <c r="C722" s="17" t="str">
        <f t="shared" si="224"/>
        <v>HER42PB1F</v>
      </c>
      <c r="D722" s="17" t="str">
        <f t="shared" si="225"/>
        <v>HER42PB1F_191</v>
      </c>
      <c r="E722" s="27" t="s">
        <v>84</v>
      </c>
      <c r="F722" s="17">
        <v>191</v>
      </c>
      <c r="G722" s="20">
        <v>2.2000000000000002</v>
      </c>
      <c r="H722" s="20">
        <v>2.1</v>
      </c>
      <c r="I722" s="20">
        <v>1.3</v>
      </c>
      <c r="J722" s="22">
        <f t="shared" si="223"/>
        <v>4.7172612500000026</v>
      </c>
      <c r="K722" s="53">
        <v>0.18000000000000013</v>
      </c>
      <c r="L722" s="45">
        <f t="shared" si="247"/>
        <v>10.889999999999999</v>
      </c>
      <c r="M722" s="45">
        <f t="shared" si="248"/>
        <v>12.19</v>
      </c>
      <c r="N722" s="46">
        <f t="shared" si="249"/>
        <v>11.54</v>
      </c>
      <c r="O722" s="20">
        <f t="shared" si="246"/>
        <v>210.89000000000004</v>
      </c>
      <c r="P722" s="20">
        <f t="shared" si="235"/>
        <v>212.19000000000005</v>
      </c>
      <c r="Q722" s="20">
        <f t="shared" si="250"/>
        <v>211.54000000000005</v>
      </c>
      <c r="R722" s="20">
        <f t="shared" si="226"/>
        <v>210.89000000000004</v>
      </c>
      <c r="S722" s="20">
        <f t="shared" si="227"/>
        <v>211.54000000000005</v>
      </c>
      <c r="T722" s="20">
        <f t="shared" si="228"/>
        <v>211.54000000000005</v>
      </c>
      <c r="U722" s="20">
        <f t="shared" si="229"/>
        <v>211.54000000000005</v>
      </c>
      <c r="V722" s="22">
        <v>7.234</v>
      </c>
      <c r="W722" s="22">
        <v>2.2986</v>
      </c>
      <c r="X722" s="23">
        <v>1.1476266666666668</v>
      </c>
      <c r="Y722" s="23">
        <f t="shared" si="236"/>
        <v>6.0863733333333334</v>
      </c>
      <c r="Z722" s="23">
        <f t="shared" si="237"/>
        <v>1.1509733333333332</v>
      </c>
      <c r="AA722" s="22">
        <f t="shared" si="238"/>
        <v>81.089340559676486</v>
      </c>
      <c r="AB722" s="22">
        <f t="shared" si="239"/>
        <v>18.910659440323514</v>
      </c>
      <c r="AC722" s="22">
        <f t="shared" si="230"/>
        <v>1.2902345260893342</v>
      </c>
      <c r="AD722" s="22">
        <f t="shared" si="231"/>
        <v>0.24399185721022607</v>
      </c>
      <c r="AE722" s="27">
        <v>16.217199999999998</v>
      </c>
      <c r="AF722" s="27">
        <v>16.336400000000001</v>
      </c>
      <c r="AG722" s="27">
        <v>16.2624</v>
      </c>
      <c r="AH722" s="26">
        <v>4.5199999999999997E-2</v>
      </c>
      <c r="AI722" s="26">
        <v>62.080536909999999</v>
      </c>
      <c r="AJ722" s="26">
        <f t="shared" si="232"/>
        <v>3.1040268455</v>
      </c>
      <c r="AK722" s="26">
        <f t="shared" si="233"/>
        <v>35.884703416184976</v>
      </c>
      <c r="AL722" s="26">
        <f t="shared" si="234"/>
        <v>3.1053313281491688</v>
      </c>
      <c r="AM722" s="17">
        <f t="shared" si="240"/>
        <v>0.5780346820809249</v>
      </c>
      <c r="AN722" s="17"/>
      <c r="AO722" s="27"/>
      <c r="AS722" s="49"/>
      <c r="AT722" s="25"/>
      <c r="AU722" s="17"/>
      <c r="AV722" s="17"/>
      <c r="AW722" s="17"/>
      <c r="AX722" s="27"/>
      <c r="BB722" s="17"/>
    </row>
    <row r="723" spans="1:54" x14ac:dyDescent="0.2">
      <c r="A723" s="17" t="s">
        <v>77</v>
      </c>
      <c r="B723" s="17" t="s">
        <v>78</v>
      </c>
      <c r="C723" s="17" t="str">
        <f t="shared" si="224"/>
        <v>HER42PB1F</v>
      </c>
      <c r="D723" s="17" t="str">
        <f t="shared" si="225"/>
        <v>HER42PB1F_192</v>
      </c>
      <c r="E723" s="27" t="s">
        <v>84</v>
      </c>
      <c r="F723" s="17">
        <v>192</v>
      </c>
      <c r="G723" s="20">
        <v>2.25</v>
      </c>
      <c r="H723" s="20">
        <v>2.1</v>
      </c>
      <c r="I723" s="20">
        <v>1.1499999999999999</v>
      </c>
      <c r="J723" s="22">
        <f t="shared" si="223"/>
        <v>4.2705717187499985</v>
      </c>
      <c r="K723" s="53">
        <v>0.18000000000000013</v>
      </c>
      <c r="L723" s="45">
        <f t="shared" si="247"/>
        <v>12.37</v>
      </c>
      <c r="M723" s="45">
        <f t="shared" si="248"/>
        <v>13.52</v>
      </c>
      <c r="N723" s="46">
        <f t="shared" si="249"/>
        <v>12.945</v>
      </c>
      <c r="O723" s="20">
        <f t="shared" si="246"/>
        <v>212.37000000000006</v>
      </c>
      <c r="P723" s="20">
        <f t="shared" si="235"/>
        <v>213.52000000000007</v>
      </c>
      <c r="Q723" s="20">
        <f t="shared" si="250"/>
        <v>212.94500000000005</v>
      </c>
      <c r="R723" s="20">
        <f t="shared" si="226"/>
        <v>212.37000000000006</v>
      </c>
      <c r="S723" s="20">
        <f t="shared" si="227"/>
        <v>212.94500000000005</v>
      </c>
      <c r="T723" s="20">
        <f t="shared" si="228"/>
        <v>212.94500000000005</v>
      </c>
      <c r="U723" s="20">
        <f t="shared" si="229"/>
        <v>212.94500000000005</v>
      </c>
      <c r="V723" s="22">
        <v>6.6592000000000002</v>
      </c>
      <c r="W723" s="22">
        <v>2.1686000000000001</v>
      </c>
      <c r="X723" s="23">
        <v>1.1476266666666668</v>
      </c>
      <c r="Y723" s="23">
        <f t="shared" si="236"/>
        <v>5.5115733333333337</v>
      </c>
      <c r="Z723" s="23">
        <f t="shared" si="237"/>
        <v>1.0209733333333333</v>
      </c>
      <c r="AA723" s="22">
        <f t="shared" si="238"/>
        <v>81.475827833794597</v>
      </c>
      <c r="AB723" s="22">
        <f t="shared" si="239"/>
        <v>18.524172166205403</v>
      </c>
      <c r="AC723" s="22">
        <f t="shared" si="230"/>
        <v>1.2905937884463343</v>
      </c>
      <c r="AD723" s="22">
        <f t="shared" si="231"/>
        <v>0.23907181533815183</v>
      </c>
      <c r="AE723" s="27">
        <v>17.079000000000001</v>
      </c>
      <c r="AF723" s="27">
        <v>17.260899999999999</v>
      </c>
      <c r="AG723" s="27">
        <v>17.188600000000001</v>
      </c>
      <c r="AH723" s="26">
        <v>0.1096</v>
      </c>
      <c r="AI723" s="26">
        <v>39.747113800000001</v>
      </c>
      <c r="AJ723" s="26">
        <f t="shared" si="232"/>
        <v>1.9873556900000002</v>
      </c>
      <c r="AK723" s="26">
        <f t="shared" si="233"/>
        <v>22.975210289017344</v>
      </c>
      <c r="AL723" s="26">
        <f t="shared" si="234"/>
        <v>1.9893925300391015</v>
      </c>
      <c r="AM723" s="17">
        <f t="shared" si="240"/>
        <v>0.5780346820809249</v>
      </c>
      <c r="AN723" s="17"/>
      <c r="AO723" s="27"/>
      <c r="AS723" s="49"/>
      <c r="AT723" s="25"/>
      <c r="AU723" s="17"/>
      <c r="AV723" s="17"/>
      <c r="AW723" s="17"/>
      <c r="AX723" s="27"/>
      <c r="BB723" s="17"/>
    </row>
    <row r="724" spans="1:54" x14ac:dyDescent="0.2">
      <c r="A724" s="17" t="s">
        <v>77</v>
      </c>
      <c r="B724" s="17" t="s">
        <v>78</v>
      </c>
      <c r="C724" s="17" t="str">
        <f t="shared" si="224"/>
        <v>HER42PB1F</v>
      </c>
      <c r="D724" s="17" t="str">
        <f t="shared" si="225"/>
        <v>HER42PB1F_193</v>
      </c>
      <c r="E724" s="27" t="s">
        <v>84</v>
      </c>
      <c r="F724" s="17">
        <v>193</v>
      </c>
      <c r="G724" s="20">
        <v>2.2000000000000002</v>
      </c>
      <c r="H724" s="20">
        <v>2.0499999999999998</v>
      </c>
      <c r="I724" s="20">
        <v>1.3</v>
      </c>
      <c r="J724" s="22">
        <f t="shared" ref="J724:J787" si="251">(AVERAGE(G724:H724)*(AVERAGE(G724:H724)*3.14/4*I724))</f>
        <v>4.6081953125000004</v>
      </c>
      <c r="K724" s="53">
        <v>0.18000000000000013</v>
      </c>
      <c r="L724" s="45">
        <f t="shared" si="247"/>
        <v>13.7</v>
      </c>
      <c r="M724" s="45">
        <f t="shared" si="248"/>
        <v>15</v>
      </c>
      <c r="N724" s="46">
        <f t="shared" si="249"/>
        <v>14.35</v>
      </c>
      <c r="O724" s="20">
        <f t="shared" si="246"/>
        <v>213.70000000000007</v>
      </c>
      <c r="P724" s="20">
        <f t="shared" si="235"/>
        <v>215.00000000000009</v>
      </c>
      <c r="Q724" s="20">
        <f t="shared" si="250"/>
        <v>214.35000000000008</v>
      </c>
      <c r="R724" s="20">
        <f t="shared" si="226"/>
        <v>213.70000000000007</v>
      </c>
      <c r="S724" s="20">
        <f t="shared" si="227"/>
        <v>214.35000000000008</v>
      </c>
      <c r="T724" s="20">
        <f t="shared" si="228"/>
        <v>214.35000000000008</v>
      </c>
      <c r="U724" s="20">
        <f t="shared" si="229"/>
        <v>214.35000000000008</v>
      </c>
      <c r="V724" s="22">
        <v>7.0186999999999999</v>
      </c>
      <c r="W724" s="22">
        <v>2.2071000000000001</v>
      </c>
      <c r="X724" s="23">
        <v>1.1476266666666668</v>
      </c>
      <c r="Y724" s="23">
        <f t="shared" si="236"/>
        <v>5.8710733333333334</v>
      </c>
      <c r="Z724" s="23">
        <f t="shared" si="237"/>
        <v>1.0594733333333333</v>
      </c>
      <c r="AA724" s="22">
        <f t="shared" si="238"/>
        <v>81.954350198316945</v>
      </c>
      <c r="AB724" s="22">
        <f t="shared" si="239"/>
        <v>18.045649801683055</v>
      </c>
      <c r="AC724" s="22">
        <f t="shared" si="230"/>
        <v>1.2740504547208975</v>
      </c>
      <c r="AD724" s="22">
        <f t="shared" si="231"/>
        <v>0.22991068335568365</v>
      </c>
      <c r="AE724" s="27">
        <v>11.860300000000001</v>
      </c>
      <c r="AF724" s="27">
        <v>11.965400000000001</v>
      </c>
      <c r="AG724" s="27">
        <v>11.912100000000001</v>
      </c>
      <c r="AH724" s="26">
        <v>5.1799999999999999E-2</v>
      </c>
      <c r="AI724" s="26">
        <v>50.713606089999999</v>
      </c>
      <c r="AJ724" s="26">
        <f t="shared" si="232"/>
        <v>2.5356803045</v>
      </c>
      <c r="AK724" s="26">
        <f t="shared" si="233"/>
        <v>29.314223173410408</v>
      </c>
      <c r="AL724" s="26">
        <f t="shared" si="234"/>
        <v>2.5372770062863088</v>
      </c>
      <c r="AM724" s="17">
        <f t="shared" si="240"/>
        <v>0.5780346820809249</v>
      </c>
      <c r="AN724" s="17"/>
      <c r="AO724" s="27"/>
      <c r="AS724" s="49"/>
      <c r="AT724" s="25"/>
      <c r="AU724" s="17"/>
      <c r="AV724" s="17"/>
      <c r="AW724" s="17"/>
      <c r="AX724" s="27"/>
      <c r="BB724" s="17"/>
    </row>
    <row r="725" spans="1:54" x14ac:dyDescent="0.2">
      <c r="A725" s="17" t="s">
        <v>77</v>
      </c>
      <c r="B725" s="17" t="s">
        <v>78</v>
      </c>
      <c r="C725" s="17" t="str">
        <f t="shared" ref="C725:C788" si="252">"HER42PB1"&amp;E725</f>
        <v>HER42PB1F</v>
      </c>
      <c r="D725" s="17" t="str">
        <f t="shared" ref="D725:D788" si="253">C725&amp;"_"&amp;F725</f>
        <v>HER42PB1F_194</v>
      </c>
      <c r="E725" s="27" t="s">
        <v>84</v>
      </c>
      <c r="F725" s="17">
        <v>194</v>
      </c>
      <c r="G725" s="20">
        <v>2</v>
      </c>
      <c r="H725" s="20">
        <v>2.15</v>
      </c>
      <c r="I725" s="20">
        <v>1.25</v>
      </c>
      <c r="J725" s="22">
        <f t="shared" si="251"/>
        <v>4.2248945312500013</v>
      </c>
      <c r="K725" s="53">
        <v>0.18000000000000013</v>
      </c>
      <c r="L725" s="45">
        <f t="shared" si="247"/>
        <v>15.18</v>
      </c>
      <c r="M725" s="45">
        <f t="shared" si="248"/>
        <v>16.43</v>
      </c>
      <c r="N725" s="46">
        <f t="shared" si="249"/>
        <v>15.805</v>
      </c>
      <c r="O725" s="20">
        <f t="shared" si="246"/>
        <v>215.18000000000009</v>
      </c>
      <c r="P725" s="20">
        <f t="shared" si="235"/>
        <v>216.43000000000009</v>
      </c>
      <c r="Q725" s="20">
        <f t="shared" si="250"/>
        <v>215.80500000000009</v>
      </c>
      <c r="R725" s="20">
        <f t="shared" ref="R725:R788" si="254">O725</f>
        <v>215.18000000000009</v>
      </c>
      <c r="S725" s="20">
        <f t="shared" ref="S725:S788" si="255">Q725</f>
        <v>215.80500000000009</v>
      </c>
      <c r="T725" s="20">
        <f t="shared" ref="T725:T788" si="256">Q725</f>
        <v>215.80500000000009</v>
      </c>
      <c r="U725" s="20">
        <f t="shared" ref="U725:U788" si="257">T725</f>
        <v>215.80500000000009</v>
      </c>
      <c r="V725" s="22">
        <v>6.7106000000000003</v>
      </c>
      <c r="W725" s="22">
        <v>1.8994</v>
      </c>
      <c r="X725" s="23">
        <v>1.1476266666666668</v>
      </c>
      <c r="Y725" s="23">
        <f t="shared" si="236"/>
        <v>5.5629733333333338</v>
      </c>
      <c r="Z725" s="23">
        <f t="shared" si="237"/>
        <v>0.75177333333333318</v>
      </c>
      <c r="AA725" s="22">
        <f t="shared" si="238"/>
        <v>86.486123727598908</v>
      </c>
      <c r="AB725" s="22">
        <f t="shared" si="239"/>
        <v>13.513876272401092</v>
      </c>
      <c r="AC725" s="22">
        <f t="shared" ref="AC725:AC788" si="258">(V725-X725)/J725</f>
        <v>1.3167129480241584</v>
      </c>
      <c r="AD725" s="22">
        <f t="shared" ref="AD725:AD788" si="259">(W725-X725)/J725</f>
        <v>0.17793895865866957</v>
      </c>
      <c r="AE725" s="27">
        <v>14.6196</v>
      </c>
      <c r="AF725" s="27">
        <v>14.6883</v>
      </c>
      <c r="AG725" s="27">
        <v>14.6418</v>
      </c>
      <c r="AH725" s="26">
        <v>2.2200000000000001E-2</v>
      </c>
      <c r="AI725" s="26">
        <v>67.685589519999994</v>
      </c>
      <c r="AJ725" s="26">
        <f t="shared" ref="AJ725:AJ788" si="260">AI725*0.05</f>
        <v>3.3842794759999997</v>
      </c>
      <c r="AK725" s="26">
        <f t="shared" ref="AK725:AK788" si="261">AI725*AM725</f>
        <v>39.124618219653179</v>
      </c>
      <c r="AL725" s="26">
        <f t="shared" ref="AL725:AL788" si="262">(AJ725^2+0.09^2)^0.5</f>
        <v>3.3854759741688958</v>
      </c>
      <c r="AM725" s="17">
        <f t="shared" si="240"/>
        <v>0.5780346820809249</v>
      </c>
      <c r="AN725" s="17"/>
      <c r="AO725" s="27"/>
      <c r="AS725" s="49"/>
      <c r="AT725" s="25"/>
      <c r="AU725" s="17"/>
      <c r="AV725" s="17"/>
      <c r="AW725" s="17"/>
      <c r="AX725" s="27"/>
      <c r="BB725" s="17"/>
    </row>
    <row r="726" spans="1:54" x14ac:dyDescent="0.2">
      <c r="A726" s="17" t="s">
        <v>77</v>
      </c>
      <c r="B726" s="17" t="s">
        <v>78</v>
      </c>
      <c r="C726" s="17" t="str">
        <f t="shared" si="252"/>
        <v>HER42PB1F</v>
      </c>
      <c r="D726" s="17" t="str">
        <f t="shared" si="253"/>
        <v>HER42PB1F_195</v>
      </c>
      <c r="E726" s="27" t="s">
        <v>84</v>
      </c>
      <c r="F726" s="17">
        <v>195</v>
      </c>
      <c r="G726" s="20">
        <v>1.95</v>
      </c>
      <c r="H726" s="20">
        <v>1.95</v>
      </c>
      <c r="I726" s="20">
        <v>1.1499999999999999</v>
      </c>
      <c r="J726" s="22">
        <f t="shared" si="251"/>
        <v>3.4327068749999996</v>
      </c>
      <c r="K726" s="53">
        <v>0.18000000000000013</v>
      </c>
      <c r="L726" s="45">
        <f t="shared" si="247"/>
        <v>16.61</v>
      </c>
      <c r="M726" s="45">
        <f t="shared" si="248"/>
        <v>17.759999999999998</v>
      </c>
      <c r="N726" s="46">
        <f t="shared" si="249"/>
        <v>17.184999999999999</v>
      </c>
      <c r="O726" s="20">
        <f t="shared" si="246"/>
        <v>216.6100000000001</v>
      </c>
      <c r="P726" s="20">
        <f t="shared" ref="P726:P789" si="263">O726+I726</f>
        <v>217.7600000000001</v>
      </c>
      <c r="Q726" s="20">
        <f t="shared" si="250"/>
        <v>217.18500000000012</v>
      </c>
      <c r="R726" s="20">
        <f t="shared" si="254"/>
        <v>216.6100000000001</v>
      </c>
      <c r="S726" s="20">
        <f t="shared" si="255"/>
        <v>217.18500000000012</v>
      </c>
      <c r="T726" s="20">
        <f t="shared" si="256"/>
        <v>217.18500000000012</v>
      </c>
      <c r="U726" s="20">
        <f t="shared" si="257"/>
        <v>217.18500000000012</v>
      </c>
      <c r="V726" s="22">
        <v>5.7953999999999999</v>
      </c>
      <c r="W726" s="22">
        <v>1.7417</v>
      </c>
      <c r="X726" s="23">
        <v>1.1476266666666668</v>
      </c>
      <c r="Y726" s="23">
        <f t="shared" ref="Y726:Y789" si="264">V726-X726</f>
        <v>4.6477733333333333</v>
      </c>
      <c r="Z726" s="23">
        <f t="shared" ref="Z726:Z789" si="265">W726-X726</f>
        <v>0.59407333333333323</v>
      </c>
      <c r="AA726" s="22">
        <f t="shared" ref="AA726:AA789" si="266">((Y726-Z726)/Y726)*100</f>
        <v>87.218108743111401</v>
      </c>
      <c r="AB726" s="22">
        <f t="shared" ref="AB726:AB789" si="267">100-AA726</f>
        <v>12.781891256888599</v>
      </c>
      <c r="AC726" s="22">
        <f t="shared" si="258"/>
        <v>1.3539674381120392</v>
      </c>
      <c r="AD726" s="22">
        <f t="shared" si="259"/>
        <v>0.17306264559316131</v>
      </c>
      <c r="AE726" s="27">
        <v>16.773099999999999</v>
      </c>
      <c r="AF726" s="27">
        <v>16.881599999999999</v>
      </c>
      <c r="AG726" s="27">
        <v>16.807200000000002</v>
      </c>
      <c r="AH726" s="26">
        <v>3.4099999999999998E-2</v>
      </c>
      <c r="AI726" s="26">
        <v>68.571428569999995</v>
      </c>
      <c r="AJ726" s="26">
        <f t="shared" si="260"/>
        <v>3.4285714284999997</v>
      </c>
      <c r="AK726" s="26">
        <f t="shared" si="261"/>
        <v>39.636663913294797</v>
      </c>
      <c r="AL726" s="26">
        <f t="shared" si="262"/>
        <v>3.4297524750813331</v>
      </c>
      <c r="AM726" s="17">
        <f t="shared" ref="AM726:AM789" si="268">1/1.73</f>
        <v>0.5780346820809249</v>
      </c>
      <c r="AN726" s="17"/>
      <c r="AO726" s="27"/>
      <c r="AS726" s="49"/>
      <c r="AT726" s="25"/>
      <c r="AU726" s="17"/>
      <c r="AV726" s="17"/>
      <c r="AW726" s="17"/>
      <c r="AX726" s="27"/>
      <c r="BB726" s="17"/>
    </row>
    <row r="727" spans="1:54" x14ac:dyDescent="0.2">
      <c r="A727" s="17" t="s">
        <v>77</v>
      </c>
      <c r="B727" s="17" t="s">
        <v>78</v>
      </c>
      <c r="C727" s="17" t="str">
        <f t="shared" si="252"/>
        <v>HER42PB1F</v>
      </c>
      <c r="D727" s="17" t="str">
        <f t="shared" si="253"/>
        <v>HER42PB1F_196</v>
      </c>
      <c r="E727" s="27" t="s">
        <v>84</v>
      </c>
      <c r="F727" s="17">
        <v>196</v>
      </c>
      <c r="G727" s="20">
        <v>2.15</v>
      </c>
      <c r="H727" s="20">
        <v>1.8</v>
      </c>
      <c r="I727" s="20">
        <v>1.2</v>
      </c>
      <c r="J727" s="22">
        <f t="shared" si="251"/>
        <v>3.6743887499999999</v>
      </c>
      <c r="K727" s="53">
        <v>0.18000000000000013</v>
      </c>
      <c r="L727" s="45">
        <f t="shared" si="247"/>
        <v>17.939999999999998</v>
      </c>
      <c r="M727" s="45">
        <f t="shared" si="248"/>
        <v>19.139999999999997</v>
      </c>
      <c r="N727" s="46">
        <f t="shared" si="249"/>
        <v>18.54</v>
      </c>
      <c r="O727" s="20">
        <f t="shared" si="246"/>
        <v>217.94000000000011</v>
      </c>
      <c r="P727" s="20">
        <f t="shared" si="263"/>
        <v>219.1400000000001</v>
      </c>
      <c r="Q727" s="20">
        <f t="shared" si="250"/>
        <v>218.54000000000011</v>
      </c>
      <c r="R727" s="20">
        <f t="shared" si="254"/>
        <v>217.94000000000011</v>
      </c>
      <c r="S727" s="20">
        <f t="shared" si="255"/>
        <v>218.54000000000011</v>
      </c>
      <c r="T727" s="20">
        <f t="shared" si="256"/>
        <v>218.54000000000011</v>
      </c>
      <c r="U727" s="20">
        <f t="shared" si="257"/>
        <v>218.54000000000011</v>
      </c>
      <c r="V727" s="22">
        <v>6.1029999999999998</v>
      </c>
      <c r="W727" s="22">
        <v>1.8633</v>
      </c>
      <c r="X727" s="23">
        <v>1.1476266666666668</v>
      </c>
      <c r="Y727" s="23">
        <f t="shared" si="264"/>
        <v>4.9553733333333332</v>
      </c>
      <c r="Z727" s="23">
        <f t="shared" si="265"/>
        <v>0.71567333333333316</v>
      </c>
      <c r="AA727" s="22">
        <f t="shared" si="266"/>
        <v>85.557630370264732</v>
      </c>
      <c r="AB727" s="22">
        <f t="shared" si="267"/>
        <v>14.442369629735268</v>
      </c>
      <c r="AC727" s="22">
        <f t="shared" si="258"/>
        <v>1.3486252191832815</v>
      </c>
      <c r="AD727" s="22">
        <f t="shared" si="259"/>
        <v>0.19477343907427683</v>
      </c>
      <c r="AE727" s="27">
        <v>16.819900000000001</v>
      </c>
      <c r="AF727" s="27">
        <v>16.921199999999999</v>
      </c>
      <c r="AG727" s="27">
        <v>16.850000000000001</v>
      </c>
      <c r="AH727" s="26">
        <v>3.0099999999999998E-2</v>
      </c>
      <c r="AI727" s="26">
        <v>70.286278379999999</v>
      </c>
      <c r="AJ727" s="26">
        <f t="shared" si="260"/>
        <v>3.5143139190000001</v>
      </c>
      <c r="AK727" s="26">
        <f t="shared" si="261"/>
        <v>40.627906578034683</v>
      </c>
      <c r="AL727" s="26">
        <f t="shared" si="262"/>
        <v>3.5154661598822337</v>
      </c>
      <c r="AM727" s="17">
        <f t="shared" si="268"/>
        <v>0.5780346820809249</v>
      </c>
      <c r="AN727" s="17"/>
      <c r="AO727" s="27"/>
      <c r="AS727" s="49"/>
      <c r="AT727" s="25"/>
      <c r="AU727" s="17"/>
      <c r="AV727" s="17"/>
      <c r="AW727" s="17"/>
      <c r="AX727" s="27"/>
      <c r="BB727" s="17"/>
    </row>
    <row r="728" spans="1:54" x14ac:dyDescent="0.2">
      <c r="A728" s="17" t="s">
        <v>77</v>
      </c>
      <c r="B728" s="17" t="s">
        <v>78</v>
      </c>
      <c r="C728" s="17" t="str">
        <f t="shared" si="252"/>
        <v>HER42PB1F</v>
      </c>
      <c r="D728" s="17" t="str">
        <f t="shared" si="253"/>
        <v>HER42PB1F_197</v>
      </c>
      <c r="E728" s="27" t="s">
        <v>84</v>
      </c>
      <c r="F728" s="17">
        <v>197</v>
      </c>
      <c r="G728" s="20">
        <v>2</v>
      </c>
      <c r="H728" s="20">
        <v>2.35</v>
      </c>
      <c r="I728" s="20">
        <v>1.2</v>
      </c>
      <c r="J728" s="22">
        <f t="shared" si="251"/>
        <v>4.4562487499999994</v>
      </c>
      <c r="K728" s="53">
        <v>0.18000000000000013</v>
      </c>
      <c r="L728" s="45">
        <f t="shared" si="247"/>
        <v>19.319999999999997</v>
      </c>
      <c r="M728" s="45">
        <f t="shared" si="248"/>
        <v>20.519999999999996</v>
      </c>
      <c r="N728" s="46">
        <f t="shared" si="249"/>
        <v>19.919999999999995</v>
      </c>
      <c r="O728" s="20">
        <f t="shared" si="246"/>
        <v>219.32000000000011</v>
      </c>
      <c r="P728" s="20">
        <f t="shared" si="263"/>
        <v>220.5200000000001</v>
      </c>
      <c r="Q728" s="20">
        <f t="shared" si="250"/>
        <v>219.9200000000001</v>
      </c>
      <c r="R728" s="20">
        <f t="shared" si="254"/>
        <v>219.32000000000011</v>
      </c>
      <c r="S728" s="20">
        <f t="shared" si="255"/>
        <v>219.9200000000001</v>
      </c>
      <c r="T728" s="20">
        <f t="shared" si="256"/>
        <v>219.9200000000001</v>
      </c>
      <c r="U728" s="20">
        <f t="shared" si="257"/>
        <v>219.9200000000001</v>
      </c>
      <c r="V728" s="22">
        <v>7.1665000000000001</v>
      </c>
      <c r="W728" s="22">
        <v>1.9984999999999999</v>
      </c>
      <c r="X728" s="23">
        <v>1.1476266666666668</v>
      </c>
      <c r="Y728" s="23">
        <f t="shared" si="264"/>
        <v>6.0188733333333335</v>
      </c>
      <c r="Z728" s="23">
        <f t="shared" si="265"/>
        <v>0.85087333333333315</v>
      </c>
      <c r="AA728" s="22">
        <f t="shared" si="266"/>
        <v>85.863245723729023</v>
      </c>
      <c r="AB728" s="22">
        <f t="shared" si="267"/>
        <v>14.136754276270977</v>
      </c>
      <c r="AC728" s="22">
        <f t="shared" si="258"/>
        <v>1.3506591913957529</v>
      </c>
      <c r="AD728" s="22">
        <f t="shared" si="259"/>
        <v>0.19093937099748601</v>
      </c>
      <c r="AE728" s="27">
        <v>16.2895</v>
      </c>
      <c r="AF728" s="27">
        <v>16.395099999999999</v>
      </c>
      <c r="AG728" s="27">
        <v>16.3249</v>
      </c>
      <c r="AH728" s="26">
        <v>3.5400000000000001E-2</v>
      </c>
      <c r="AI728" s="26">
        <v>66.477272729999996</v>
      </c>
      <c r="AJ728" s="26">
        <f t="shared" si="260"/>
        <v>3.3238636365000001</v>
      </c>
      <c r="AK728" s="26">
        <f t="shared" si="261"/>
        <v>38.426169208092489</v>
      </c>
      <c r="AL728" s="26">
        <f t="shared" si="262"/>
        <v>3.3250818747884998</v>
      </c>
      <c r="AM728" s="17">
        <f t="shared" si="268"/>
        <v>0.5780346820809249</v>
      </c>
      <c r="AN728" s="17"/>
      <c r="AO728" s="27"/>
      <c r="AS728" s="49"/>
      <c r="AT728" s="25"/>
      <c r="AU728" s="17"/>
      <c r="AV728" s="17"/>
      <c r="AW728" s="17"/>
      <c r="AX728" s="27"/>
      <c r="BB728" s="17"/>
    </row>
    <row r="729" spans="1:54" x14ac:dyDescent="0.2">
      <c r="A729" s="17" t="s">
        <v>77</v>
      </c>
      <c r="B729" s="17" t="s">
        <v>78</v>
      </c>
      <c r="C729" s="17" t="str">
        <f t="shared" si="252"/>
        <v>HER42PB1F</v>
      </c>
      <c r="D729" s="17" t="str">
        <f t="shared" si="253"/>
        <v>HER42PB1F_198</v>
      </c>
      <c r="E729" s="27" t="s">
        <v>84</v>
      </c>
      <c r="F729" s="17">
        <v>198</v>
      </c>
      <c r="G729" s="20">
        <v>2.2999999999999998</v>
      </c>
      <c r="H729" s="20">
        <v>2.2000000000000002</v>
      </c>
      <c r="I729" s="20">
        <v>1.1499999999999999</v>
      </c>
      <c r="J729" s="22">
        <f t="shared" si="251"/>
        <v>4.5701718750000007</v>
      </c>
      <c r="K729" s="53">
        <v>0.18000000000000013</v>
      </c>
      <c r="L729" s="45">
        <f t="shared" si="247"/>
        <v>20.699999999999996</v>
      </c>
      <c r="M729" s="45">
        <f t="shared" si="248"/>
        <v>21.849999999999994</v>
      </c>
      <c r="N729" s="46">
        <f t="shared" si="249"/>
        <v>21.274999999999995</v>
      </c>
      <c r="O729" s="20">
        <f t="shared" si="246"/>
        <v>220.7000000000001</v>
      </c>
      <c r="P729" s="20">
        <f t="shared" si="263"/>
        <v>221.85000000000011</v>
      </c>
      <c r="Q729" s="20">
        <f t="shared" si="250"/>
        <v>221.27500000000009</v>
      </c>
      <c r="R729" s="20">
        <f t="shared" si="254"/>
        <v>220.7000000000001</v>
      </c>
      <c r="S729" s="20">
        <f t="shared" si="255"/>
        <v>221.27500000000009</v>
      </c>
      <c r="T729" s="20">
        <f t="shared" si="256"/>
        <v>221.27500000000009</v>
      </c>
      <c r="U729" s="20">
        <f t="shared" si="257"/>
        <v>221.27500000000009</v>
      </c>
      <c r="V729" s="22">
        <v>6.8048000000000002</v>
      </c>
      <c r="W729" s="22">
        <v>1.8865000000000001</v>
      </c>
      <c r="X729" s="23">
        <v>1.1476266666666668</v>
      </c>
      <c r="Y729" s="23">
        <f t="shared" si="264"/>
        <v>5.6571733333333336</v>
      </c>
      <c r="Z729" s="23">
        <f t="shared" si="265"/>
        <v>0.73887333333333327</v>
      </c>
      <c r="AA729" s="22">
        <f t="shared" si="266"/>
        <v>86.939178105437819</v>
      </c>
      <c r="AB729" s="22">
        <f t="shared" si="267"/>
        <v>13.060821894562181</v>
      </c>
      <c r="AC729" s="22">
        <f t="shared" si="258"/>
        <v>1.2378469536954413</v>
      </c>
      <c r="AD729" s="22">
        <f t="shared" si="259"/>
        <v>0.1616729859494252</v>
      </c>
      <c r="AE729" s="27">
        <v>15.680899999999999</v>
      </c>
      <c r="AF729" s="27">
        <v>15.754899999999999</v>
      </c>
      <c r="AG729" s="27">
        <v>15.699400000000001</v>
      </c>
      <c r="AH729" s="26">
        <v>1.8499999999999999E-2</v>
      </c>
      <c r="AI729" s="26">
        <v>75</v>
      </c>
      <c r="AJ729" s="26">
        <f t="shared" si="260"/>
        <v>3.75</v>
      </c>
      <c r="AK729" s="26">
        <f t="shared" si="261"/>
        <v>43.352601156069369</v>
      </c>
      <c r="AL729" s="26">
        <f t="shared" si="262"/>
        <v>3.7510798445247739</v>
      </c>
      <c r="AM729" s="17">
        <f t="shared" si="268"/>
        <v>0.5780346820809249</v>
      </c>
      <c r="AN729" s="17"/>
      <c r="AO729" s="27"/>
      <c r="AS729" s="49"/>
      <c r="AT729" s="25"/>
      <c r="AU729" s="17"/>
      <c r="AV729" s="17"/>
      <c r="AW729" s="17"/>
      <c r="AX729" s="27"/>
      <c r="BB729" s="17"/>
    </row>
    <row r="730" spans="1:54" x14ac:dyDescent="0.2">
      <c r="A730" s="17" t="s">
        <v>77</v>
      </c>
      <c r="B730" s="17" t="s">
        <v>78</v>
      </c>
      <c r="C730" s="17" t="str">
        <f t="shared" si="252"/>
        <v>HER42PB1F</v>
      </c>
      <c r="D730" s="17" t="str">
        <f t="shared" si="253"/>
        <v>HER42PB1F_199</v>
      </c>
      <c r="E730" s="27" t="s">
        <v>84</v>
      </c>
      <c r="F730" s="17">
        <v>199</v>
      </c>
      <c r="G730" s="20">
        <v>2.1</v>
      </c>
      <c r="H730" s="20">
        <v>2.35</v>
      </c>
      <c r="I730" s="20">
        <v>1.2</v>
      </c>
      <c r="J730" s="22">
        <f t="shared" si="251"/>
        <v>4.6634887500000008</v>
      </c>
      <c r="K730" s="53">
        <v>0.18000000000000013</v>
      </c>
      <c r="L730" s="45">
        <f t="shared" si="247"/>
        <v>22.029999999999994</v>
      </c>
      <c r="M730" s="45">
        <f t="shared" si="248"/>
        <v>23.229999999999993</v>
      </c>
      <c r="N730" s="46">
        <f t="shared" si="249"/>
        <v>22.629999999999995</v>
      </c>
      <c r="O730" s="20">
        <f t="shared" si="246"/>
        <v>222.03000000000011</v>
      </c>
      <c r="P730" s="20">
        <f t="shared" si="263"/>
        <v>223.2300000000001</v>
      </c>
      <c r="Q730" s="20">
        <f t="shared" si="250"/>
        <v>222.63000000000011</v>
      </c>
      <c r="R730" s="20">
        <f t="shared" si="254"/>
        <v>222.03000000000011</v>
      </c>
      <c r="S730" s="20">
        <f t="shared" si="255"/>
        <v>222.63000000000011</v>
      </c>
      <c r="T730" s="20">
        <f t="shared" si="256"/>
        <v>222.63000000000011</v>
      </c>
      <c r="U730" s="20">
        <f t="shared" si="257"/>
        <v>222.63000000000011</v>
      </c>
      <c r="V730" s="22">
        <v>7.2853000000000003</v>
      </c>
      <c r="W730" s="22">
        <v>1.9858</v>
      </c>
      <c r="X730" s="23">
        <v>1.1476266666666668</v>
      </c>
      <c r="Y730" s="23">
        <f t="shared" si="264"/>
        <v>6.1376733333333338</v>
      </c>
      <c r="Z730" s="23">
        <f t="shared" si="265"/>
        <v>0.83817333333333321</v>
      </c>
      <c r="AA730" s="22">
        <f t="shared" si="266"/>
        <v>86.34379368512063</v>
      </c>
      <c r="AB730" s="22">
        <f t="shared" si="267"/>
        <v>13.65620631487937</v>
      </c>
      <c r="AC730" s="22">
        <f t="shared" si="258"/>
        <v>1.3161119630305387</v>
      </c>
      <c r="AD730" s="22">
        <f t="shared" si="259"/>
        <v>0.17973096500625912</v>
      </c>
      <c r="AE730" s="27">
        <v>16.6904</v>
      </c>
      <c r="AF730" s="27">
        <v>16.8063</v>
      </c>
      <c r="AG730" s="27">
        <v>16.729399999999998</v>
      </c>
      <c r="AH730" s="26">
        <v>3.9E-2</v>
      </c>
      <c r="AI730" s="26">
        <v>66.350301979999998</v>
      </c>
      <c r="AJ730" s="26">
        <f t="shared" si="260"/>
        <v>3.317515099</v>
      </c>
      <c r="AK730" s="26">
        <f t="shared" si="261"/>
        <v>38.352775710982662</v>
      </c>
      <c r="AL730" s="26">
        <f t="shared" si="262"/>
        <v>3.3187356677043414</v>
      </c>
      <c r="AM730" s="17">
        <f t="shared" si="268"/>
        <v>0.5780346820809249</v>
      </c>
      <c r="AN730" s="17"/>
      <c r="AO730" s="27"/>
      <c r="AS730" s="49"/>
      <c r="AT730" s="25"/>
      <c r="AU730" s="17"/>
      <c r="AV730" s="17"/>
      <c r="AW730" s="17"/>
      <c r="AX730" s="27"/>
      <c r="BB730" s="17"/>
    </row>
    <row r="731" spans="1:54" x14ac:dyDescent="0.2">
      <c r="A731" s="17" t="s">
        <v>77</v>
      </c>
      <c r="B731" s="17" t="s">
        <v>78</v>
      </c>
      <c r="C731" s="17" t="str">
        <f t="shared" si="252"/>
        <v>HER42PB1F</v>
      </c>
      <c r="D731" s="17" t="str">
        <f t="shared" si="253"/>
        <v>HER42PB1F_200</v>
      </c>
      <c r="E731" s="27" t="s">
        <v>84</v>
      </c>
      <c r="F731" s="17">
        <v>200</v>
      </c>
      <c r="G731" s="20">
        <v>2.35</v>
      </c>
      <c r="H731" s="20">
        <v>1.8</v>
      </c>
      <c r="I731" s="20">
        <v>1.2</v>
      </c>
      <c r="J731" s="22">
        <f t="shared" si="251"/>
        <v>4.0558987500000008</v>
      </c>
      <c r="K731" s="53">
        <v>0.18000000000000013</v>
      </c>
      <c r="L731" s="45">
        <f t="shared" si="247"/>
        <v>23.409999999999993</v>
      </c>
      <c r="M731" s="45">
        <f t="shared" si="248"/>
        <v>24.609999999999992</v>
      </c>
      <c r="N731" s="46">
        <f t="shared" si="249"/>
        <v>24.009999999999991</v>
      </c>
      <c r="O731" s="20">
        <f t="shared" si="246"/>
        <v>223.41000000000011</v>
      </c>
      <c r="P731" s="20">
        <f t="shared" si="263"/>
        <v>224.6100000000001</v>
      </c>
      <c r="Q731" s="20">
        <f t="shared" si="250"/>
        <v>224.0100000000001</v>
      </c>
      <c r="R731" s="20">
        <f t="shared" si="254"/>
        <v>223.41000000000011</v>
      </c>
      <c r="S731" s="20">
        <f t="shared" si="255"/>
        <v>224.0100000000001</v>
      </c>
      <c r="T731" s="20">
        <f t="shared" si="256"/>
        <v>224.0100000000001</v>
      </c>
      <c r="U731" s="20">
        <f t="shared" si="257"/>
        <v>224.0100000000001</v>
      </c>
      <c r="V731" s="22">
        <v>6.1135999999999999</v>
      </c>
      <c r="W731" s="22">
        <v>1.7257</v>
      </c>
      <c r="X731" s="23">
        <v>1.1476266666666668</v>
      </c>
      <c r="Y731" s="23">
        <f t="shared" si="264"/>
        <v>4.9659733333333334</v>
      </c>
      <c r="Z731" s="23">
        <f t="shared" si="265"/>
        <v>0.57807333333333322</v>
      </c>
      <c r="AA731" s="22">
        <f t="shared" si="266"/>
        <v>88.359314588882214</v>
      </c>
      <c r="AB731" s="22">
        <f t="shared" si="267"/>
        <v>11.640685411117786</v>
      </c>
      <c r="AC731" s="22">
        <f t="shared" si="258"/>
        <v>1.2243829640306807</v>
      </c>
      <c r="AD731" s="22">
        <f t="shared" si="259"/>
        <v>0.14252656907013103</v>
      </c>
      <c r="AE731" s="27">
        <v>17.233799999999999</v>
      </c>
      <c r="AF731" s="27">
        <v>17.3445</v>
      </c>
      <c r="AG731" s="27">
        <v>17.2669</v>
      </c>
      <c r="AH731" s="26">
        <v>3.3099999999999997E-2</v>
      </c>
      <c r="AI731" s="26">
        <v>70.099367659999999</v>
      </c>
      <c r="AJ731" s="26">
        <f t="shared" si="260"/>
        <v>3.504968383</v>
      </c>
      <c r="AK731" s="26">
        <f t="shared" si="261"/>
        <v>40.51986569942197</v>
      </c>
      <c r="AL731" s="26">
        <f t="shared" si="262"/>
        <v>3.5061236951695864</v>
      </c>
      <c r="AM731" s="17">
        <f t="shared" si="268"/>
        <v>0.5780346820809249</v>
      </c>
      <c r="AN731" s="17"/>
      <c r="AO731" s="27"/>
      <c r="AS731" s="49"/>
      <c r="AT731" s="25"/>
      <c r="AU731" s="17"/>
      <c r="AV731" s="17"/>
      <c r="AW731" s="17"/>
      <c r="AX731" s="27"/>
      <c r="BB731" s="17"/>
    </row>
    <row r="732" spans="1:54" x14ac:dyDescent="0.2">
      <c r="A732" s="17" t="s">
        <v>77</v>
      </c>
      <c r="B732" s="17" t="s">
        <v>78</v>
      </c>
      <c r="C732" s="17" t="str">
        <f t="shared" si="252"/>
        <v>HER42PB1F</v>
      </c>
      <c r="D732" s="17" t="str">
        <f t="shared" si="253"/>
        <v>HER42PB1F_201</v>
      </c>
      <c r="E732" s="27" t="s">
        <v>84</v>
      </c>
      <c r="F732" s="17">
        <v>201</v>
      </c>
      <c r="G732" s="20">
        <v>2.25</v>
      </c>
      <c r="H732" s="20">
        <v>2.1</v>
      </c>
      <c r="I732" s="20">
        <v>1.1000000000000001</v>
      </c>
      <c r="J732" s="22">
        <f t="shared" si="251"/>
        <v>4.0848946874999994</v>
      </c>
      <c r="K732" s="53">
        <v>0.18000000000000013</v>
      </c>
      <c r="L732" s="45">
        <f t="shared" si="247"/>
        <v>24.789999999999992</v>
      </c>
      <c r="M732" s="45">
        <f t="shared" si="248"/>
        <v>25.889999999999993</v>
      </c>
      <c r="N732" s="46">
        <f t="shared" si="249"/>
        <v>25.339999999999993</v>
      </c>
      <c r="O732" s="20">
        <f t="shared" si="246"/>
        <v>224.79000000000011</v>
      </c>
      <c r="P732" s="20">
        <f t="shared" si="263"/>
        <v>225.8900000000001</v>
      </c>
      <c r="Q732" s="20">
        <f t="shared" si="250"/>
        <v>225.34000000000009</v>
      </c>
      <c r="R732" s="20">
        <f t="shared" si="254"/>
        <v>224.79000000000011</v>
      </c>
      <c r="S732" s="20">
        <f t="shared" si="255"/>
        <v>225.34000000000009</v>
      </c>
      <c r="T732" s="20">
        <f t="shared" si="256"/>
        <v>225.34000000000009</v>
      </c>
      <c r="U732" s="20">
        <f t="shared" si="257"/>
        <v>225.34000000000009</v>
      </c>
      <c r="V732" s="22">
        <v>6.3178000000000001</v>
      </c>
      <c r="W732" s="22">
        <v>1.7612000000000001</v>
      </c>
      <c r="X732" s="23">
        <v>1.1476266666666668</v>
      </c>
      <c r="Y732" s="23">
        <f t="shared" si="264"/>
        <v>5.1701733333333335</v>
      </c>
      <c r="Z732" s="23">
        <f t="shared" si="265"/>
        <v>0.6135733333333333</v>
      </c>
      <c r="AA732" s="22">
        <f t="shared" si="266"/>
        <v>88.132441723423852</v>
      </c>
      <c r="AB732" s="22">
        <f t="shared" si="267"/>
        <v>11.867558276576148</v>
      </c>
      <c r="AC732" s="22">
        <f t="shared" si="258"/>
        <v>1.2656809364398907</v>
      </c>
      <c r="AD732" s="22">
        <f t="shared" si="259"/>
        <v>0.15020542272751883</v>
      </c>
      <c r="AE732" s="27">
        <v>16.6313</v>
      </c>
      <c r="AF732" s="27">
        <v>16.6815</v>
      </c>
      <c r="AG732" s="27">
        <v>16.634499999999999</v>
      </c>
      <c r="AH732" s="26">
        <v>3.2000000000000002E-3</v>
      </c>
      <c r="AI732" s="26">
        <v>93.625498010000001</v>
      </c>
      <c r="AJ732" s="26">
        <f t="shared" si="260"/>
        <v>4.6812749005000001</v>
      </c>
      <c r="AK732" s="26">
        <f t="shared" si="261"/>
        <v>54.118784976878615</v>
      </c>
      <c r="AL732" s="26">
        <f t="shared" si="262"/>
        <v>4.6821399695066015</v>
      </c>
      <c r="AM732" s="17">
        <f t="shared" si="268"/>
        <v>0.5780346820809249</v>
      </c>
      <c r="AN732" s="17"/>
      <c r="AO732" s="27"/>
      <c r="AS732" s="49"/>
      <c r="AT732" s="25"/>
      <c r="AU732" s="17"/>
      <c r="AV732" s="17"/>
      <c r="AW732" s="17"/>
      <c r="AX732" s="27"/>
      <c r="BB732" s="17"/>
    </row>
    <row r="733" spans="1:54" x14ac:dyDescent="0.2">
      <c r="A733" s="17" t="s">
        <v>77</v>
      </c>
      <c r="B733" s="17" t="s">
        <v>78</v>
      </c>
      <c r="C733" s="17" t="str">
        <f t="shared" si="252"/>
        <v>HER42PB1F</v>
      </c>
      <c r="D733" s="17" t="str">
        <f t="shared" si="253"/>
        <v>HER42PB1F_202</v>
      </c>
      <c r="E733" s="27" t="s">
        <v>84</v>
      </c>
      <c r="F733" s="17">
        <v>202</v>
      </c>
      <c r="G733" s="20">
        <v>2.2000000000000002</v>
      </c>
      <c r="H733" s="20">
        <v>2.15</v>
      </c>
      <c r="I733" s="20">
        <v>1.2</v>
      </c>
      <c r="J733" s="22">
        <f t="shared" si="251"/>
        <v>4.4562487499999994</v>
      </c>
      <c r="K733" s="53">
        <v>0.18000000000000013</v>
      </c>
      <c r="L733" s="45">
        <f t="shared" si="247"/>
        <v>26.069999999999993</v>
      </c>
      <c r="M733" s="45">
        <f t="shared" si="248"/>
        <v>27.269999999999992</v>
      </c>
      <c r="N733" s="46">
        <f t="shared" si="249"/>
        <v>26.669999999999995</v>
      </c>
      <c r="O733" s="20">
        <f t="shared" si="246"/>
        <v>226.07000000000011</v>
      </c>
      <c r="P733" s="20">
        <f t="shared" si="263"/>
        <v>227.2700000000001</v>
      </c>
      <c r="Q733" s="20">
        <f t="shared" si="250"/>
        <v>226.6700000000001</v>
      </c>
      <c r="R733" s="20">
        <f t="shared" si="254"/>
        <v>226.07000000000011</v>
      </c>
      <c r="S733" s="20">
        <f t="shared" si="255"/>
        <v>226.6700000000001</v>
      </c>
      <c r="T733" s="20">
        <f t="shared" si="256"/>
        <v>226.6700000000001</v>
      </c>
      <c r="U733" s="20">
        <f t="shared" si="257"/>
        <v>226.6700000000001</v>
      </c>
      <c r="V733" s="22">
        <v>7.5164</v>
      </c>
      <c r="W733" s="22">
        <v>1.9553</v>
      </c>
      <c r="X733" s="23">
        <v>1.1476266666666668</v>
      </c>
      <c r="Y733" s="23">
        <f t="shared" si="264"/>
        <v>6.3687733333333334</v>
      </c>
      <c r="Z733" s="23">
        <f t="shared" si="265"/>
        <v>0.80767333333333324</v>
      </c>
      <c r="AA733" s="22">
        <f t="shared" si="266"/>
        <v>87.318227685917535</v>
      </c>
      <c r="AB733" s="22">
        <f t="shared" si="267"/>
        <v>12.681772314082465</v>
      </c>
      <c r="AC733" s="22">
        <f t="shared" si="258"/>
        <v>1.429178147502052</v>
      </c>
      <c r="AD733" s="22">
        <f t="shared" si="259"/>
        <v>0.18124511862883178</v>
      </c>
      <c r="AE733" s="27">
        <v>16.9177</v>
      </c>
      <c r="AF733" s="27">
        <v>16.9862</v>
      </c>
      <c r="AG733" s="27">
        <v>16.9282</v>
      </c>
      <c r="AH733" s="26">
        <v>1.0500000000000001E-2</v>
      </c>
      <c r="AI733" s="26">
        <v>84.671532850000006</v>
      </c>
      <c r="AJ733" s="26">
        <f t="shared" si="260"/>
        <v>4.2335766425000001</v>
      </c>
      <c r="AK733" s="26">
        <f t="shared" si="261"/>
        <v>48.94308257225434</v>
      </c>
      <c r="AL733" s="26">
        <f t="shared" si="262"/>
        <v>4.234533172372319</v>
      </c>
      <c r="AM733" s="17">
        <f t="shared" si="268"/>
        <v>0.5780346820809249</v>
      </c>
      <c r="AN733" s="17"/>
      <c r="AO733" s="27"/>
      <c r="AS733" s="49"/>
      <c r="AT733" s="25"/>
      <c r="AU733" s="17"/>
      <c r="AV733" s="17"/>
      <c r="AW733" s="17"/>
      <c r="AX733" s="27"/>
      <c r="BB733" s="17"/>
    </row>
    <row r="734" spans="1:54" x14ac:dyDescent="0.2">
      <c r="A734" s="17" t="s">
        <v>77</v>
      </c>
      <c r="B734" s="17" t="s">
        <v>78</v>
      </c>
      <c r="C734" s="17" t="str">
        <f t="shared" si="252"/>
        <v>HER42PB1F</v>
      </c>
      <c r="D734" s="17" t="str">
        <f t="shared" si="253"/>
        <v>HER42PB1F_203</v>
      </c>
      <c r="E734" s="27" t="s">
        <v>84</v>
      </c>
      <c r="F734" s="17">
        <v>203</v>
      </c>
      <c r="G734" s="20">
        <v>1.9</v>
      </c>
      <c r="H734" s="20">
        <v>2.2999999999999998</v>
      </c>
      <c r="I734" s="20">
        <v>1.25</v>
      </c>
      <c r="J734" s="22">
        <f t="shared" si="251"/>
        <v>4.3273124999999988</v>
      </c>
      <c r="K734" s="53">
        <v>0.18000000000000013</v>
      </c>
      <c r="L734" s="45">
        <f t="shared" si="247"/>
        <v>27.449999999999992</v>
      </c>
      <c r="M734" s="45">
        <f t="shared" si="248"/>
        <v>28.699999999999992</v>
      </c>
      <c r="N734" s="46">
        <f t="shared" si="249"/>
        <v>28.074999999999992</v>
      </c>
      <c r="O734" s="20">
        <f t="shared" si="246"/>
        <v>227.4500000000001</v>
      </c>
      <c r="P734" s="20">
        <f t="shared" si="263"/>
        <v>228.7000000000001</v>
      </c>
      <c r="Q734" s="20">
        <f t="shared" si="250"/>
        <v>228.0750000000001</v>
      </c>
      <c r="R734" s="20">
        <f t="shared" si="254"/>
        <v>227.4500000000001</v>
      </c>
      <c r="S734" s="20">
        <f t="shared" si="255"/>
        <v>228.0750000000001</v>
      </c>
      <c r="T734" s="20">
        <f t="shared" si="256"/>
        <v>228.0750000000001</v>
      </c>
      <c r="U734" s="20">
        <f t="shared" si="257"/>
        <v>228.0750000000001</v>
      </c>
      <c r="V734" s="22">
        <v>6.6310000000000002</v>
      </c>
      <c r="W734" s="22">
        <v>1.7379</v>
      </c>
      <c r="X734" s="23">
        <v>1.1476266666666668</v>
      </c>
      <c r="Y734" s="23">
        <f t="shared" si="264"/>
        <v>5.4833733333333337</v>
      </c>
      <c r="Z734" s="23">
        <f t="shared" si="265"/>
        <v>0.59027333333333321</v>
      </c>
      <c r="AA734" s="22">
        <f t="shared" si="266"/>
        <v>89.235215305420269</v>
      </c>
      <c r="AB734" s="22">
        <f t="shared" si="267"/>
        <v>10.764784694579731</v>
      </c>
      <c r="AC734" s="22">
        <f t="shared" si="258"/>
        <v>1.2671544598023219</v>
      </c>
      <c r="AD734" s="22">
        <f t="shared" si="259"/>
        <v>0.13640644934548485</v>
      </c>
      <c r="AE734" s="27">
        <v>16.767399999999999</v>
      </c>
      <c r="AF734" s="27">
        <v>16.856100000000001</v>
      </c>
      <c r="AG734" s="27">
        <v>16.7898</v>
      </c>
      <c r="AH734" s="26">
        <v>2.24E-2</v>
      </c>
      <c r="AI734" s="26">
        <v>74.746335959999996</v>
      </c>
      <c r="AJ734" s="26">
        <f t="shared" si="260"/>
        <v>3.7373167980000002</v>
      </c>
      <c r="AK734" s="26">
        <f t="shared" si="261"/>
        <v>43.205974543352603</v>
      </c>
      <c r="AL734" s="26">
        <f t="shared" si="262"/>
        <v>3.7384003060952389</v>
      </c>
      <c r="AM734" s="17">
        <f t="shared" si="268"/>
        <v>0.5780346820809249</v>
      </c>
      <c r="AN734" s="17"/>
      <c r="AO734" s="27"/>
      <c r="AS734" s="49"/>
      <c r="AT734" s="25"/>
      <c r="AU734" s="17"/>
      <c r="AV734" s="17"/>
      <c r="AW734" s="17"/>
      <c r="AX734" s="27"/>
      <c r="BB734" s="17"/>
    </row>
    <row r="735" spans="1:54" x14ac:dyDescent="0.2">
      <c r="A735" s="17" t="s">
        <v>77</v>
      </c>
      <c r="B735" s="17" t="s">
        <v>78</v>
      </c>
      <c r="C735" s="17" t="str">
        <f t="shared" si="252"/>
        <v>HER42PB1F</v>
      </c>
      <c r="D735" s="17" t="str">
        <f t="shared" si="253"/>
        <v>HER42PB1F_204</v>
      </c>
      <c r="E735" s="27" t="s">
        <v>84</v>
      </c>
      <c r="F735" s="17">
        <v>204</v>
      </c>
      <c r="G735" s="20">
        <v>2.0499999999999998</v>
      </c>
      <c r="H735" s="20">
        <v>2.25</v>
      </c>
      <c r="I735" s="20">
        <v>1.2</v>
      </c>
      <c r="J735" s="22">
        <f t="shared" si="251"/>
        <v>4.3543950000000002</v>
      </c>
      <c r="K735" s="53">
        <v>0.18000000000000013</v>
      </c>
      <c r="L735" s="45">
        <f t="shared" si="247"/>
        <v>28.879999999999992</v>
      </c>
      <c r="M735" s="45">
        <f t="shared" si="248"/>
        <v>30.079999999999991</v>
      </c>
      <c r="N735" s="46">
        <f t="shared" si="249"/>
        <v>29.47999999999999</v>
      </c>
      <c r="O735" s="20">
        <f t="shared" si="246"/>
        <v>228.88000000000011</v>
      </c>
      <c r="P735" s="20">
        <f t="shared" si="263"/>
        <v>230.0800000000001</v>
      </c>
      <c r="Q735" s="20">
        <f t="shared" si="250"/>
        <v>229.4800000000001</v>
      </c>
      <c r="R735" s="20">
        <f t="shared" si="254"/>
        <v>228.88000000000011</v>
      </c>
      <c r="S735" s="20">
        <f t="shared" si="255"/>
        <v>229.4800000000001</v>
      </c>
      <c r="T735" s="20">
        <f t="shared" si="256"/>
        <v>229.4800000000001</v>
      </c>
      <c r="U735" s="20">
        <f t="shared" si="257"/>
        <v>229.4800000000001</v>
      </c>
      <c r="V735" s="22">
        <v>6.8057999999999996</v>
      </c>
      <c r="W735" s="22">
        <v>1.7989999999999999</v>
      </c>
      <c r="X735" s="23">
        <v>1.1476266666666668</v>
      </c>
      <c r="Y735" s="23">
        <f t="shared" si="264"/>
        <v>5.6581733333333331</v>
      </c>
      <c r="Z735" s="23">
        <f t="shared" si="265"/>
        <v>0.65137333333333314</v>
      </c>
      <c r="AA735" s="22">
        <f t="shared" si="266"/>
        <v>88.487921897055116</v>
      </c>
      <c r="AB735" s="22">
        <f t="shared" si="267"/>
        <v>11.512078102944884</v>
      </c>
      <c r="AC735" s="22">
        <f t="shared" si="258"/>
        <v>1.2994166430315424</v>
      </c>
      <c r="AD735" s="22">
        <f t="shared" si="259"/>
        <v>0.14958985882845563</v>
      </c>
      <c r="AE735" s="27">
        <v>15.8491</v>
      </c>
      <c r="AF735" s="27">
        <v>15.9694</v>
      </c>
      <c r="AG735" s="27">
        <v>15.877800000000001</v>
      </c>
      <c r="AH735" s="26">
        <v>2.87E-2</v>
      </c>
      <c r="AI735" s="26">
        <v>76.142975890000002</v>
      </c>
      <c r="AJ735" s="26">
        <f t="shared" si="260"/>
        <v>3.8071487945000002</v>
      </c>
      <c r="AK735" s="26">
        <f t="shared" si="261"/>
        <v>44.013280861271681</v>
      </c>
      <c r="AL735" s="26">
        <f t="shared" si="262"/>
        <v>3.8082124341300614</v>
      </c>
      <c r="AM735" s="17">
        <f t="shared" si="268"/>
        <v>0.5780346820809249</v>
      </c>
      <c r="AN735" s="17"/>
      <c r="AO735" s="27"/>
      <c r="AS735" s="49"/>
      <c r="AT735" s="25"/>
      <c r="AU735" s="17"/>
      <c r="AV735" s="17"/>
      <c r="AW735" s="17"/>
      <c r="AX735" s="27"/>
      <c r="BB735" s="17"/>
    </row>
    <row r="736" spans="1:54" x14ac:dyDescent="0.2">
      <c r="A736" s="17" t="s">
        <v>77</v>
      </c>
      <c r="B736" s="17" t="s">
        <v>78</v>
      </c>
      <c r="C736" s="17" t="str">
        <f t="shared" si="252"/>
        <v>HER42PB1F</v>
      </c>
      <c r="D736" s="17" t="str">
        <f t="shared" si="253"/>
        <v>HER42PB1F_205</v>
      </c>
      <c r="E736" s="27" t="s">
        <v>84</v>
      </c>
      <c r="F736" s="17">
        <v>205</v>
      </c>
      <c r="G736" s="20">
        <v>2.1</v>
      </c>
      <c r="H736" s="20">
        <v>2.2999999999999998</v>
      </c>
      <c r="I736" s="20">
        <v>1.2</v>
      </c>
      <c r="J736" s="22">
        <f t="shared" si="251"/>
        <v>4.5592800000000011</v>
      </c>
      <c r="K736" s="53">
        <v>0.18000000000000013</v>
      </c>
      <c r="L736" s="45">
        <f t="shared" si="247"/>
        <v>30.259999999999991</v>
      </c>
      <c r="M736" s="45">
        <f t="shared" si="248"/>
        <v>31.45999999999999</v>
      </c>
      <c r="N736" s="46">
        <f t="shared" si="249"/>
        <v>30.859999999999992</v>
      </c>
      <c r="O736" s="20">
        <f t="shared" si="246"/>
        <v>230.2600000000001</v>
      </c>
      <c r="P736" s="20">
        <f t="shared" si="263"/>
        <v>231.46000000000009</v>
      </c>
      <c r="Q736" s="20">
        <f t="shared" si="250"/>
        <v>230.8600000000001</v>
      </c>
      <c r="R736" s="20">
        <f t="shared" si="254"/>
        <v>230.2600000000001</v>
      </c>
      <c r="S736" s="20">
        <f t="shared" si="255"/>
        <v>230.8600000000001</v>
      </c>
      <c r="T736" s="20">
        <f t="shared" si="256"/>
        <v>230.8600000000001</v>
      </c>
      <c r="U736" s="20">
        <f t="shared" si="257"/>
        <v>230.8600000000001</v>
      </c>
      <c r="V736" s="22">
        <v>7.0248999999999997</v>
      </c>
      <c r="W736" s="22">
        <v>1.8273999999999999</v>
      </c>
      <c r="X736" s="23">
        <v>1.1476266666666668</v>
      </c>
      <c r="Y736" s="23">
        <f t="shared" si="264"/>
        <v>5.8772733333333331</v>
      </c>
      <c r="Z736" s="23">
        <f t="shared" si="265"/>
        <v>0.67977333333333312</v>
      </c>
      <c r="AA736" s="22">
        <f t="shared" si="266"/>
        <v>88.43386559073312</v>
      </c>
      <c r="AB736" s="22">
        <f t="shared" si="267"/>
        <v>11.56613440926688</v>
      </c>
      <c r="AC736" s="22">
        <f t="shared" si="258"/>
        <v>1.2890792698262294</v>
      </c>
      <c r="AD736" s="22">
        <f t="shared" si="259"/>
        <v>0.14909664099009776</v>
      </c>
      <c r="AE736" s="27">
        <v>16.279699999999998</v>
      </c>
      <c r="AF736" s="27">
        <v>16.3567</v>
      </c>
      <c r="AG736" s="27">
        <v>16.298500000000001</v>
      </c>
      <c r="AH736" s="26">
        <v>1.8800000000000001E-2</v>
      </c>
      <c r="AI736" s="26">
        <v>75.584415579999998</v>
      </c>
      <c r="AJ736" s="26">
        <f t="shared" si="260"/>
        <v>3.7792207790000001</v>
      </c>
      <c r="AK736" s="26">
        <f t="shared" si="261"/>
        <v>43.690413630057805</v>
      </c>
      <c r="AL736" s="26">
        <f t="shared" si="262"/>
        <v>3.7802922765872706</v>
      </c>
      <c r="AM736" s="17">
        <f t="shared" si="268"/>
        <v>0.5780346820809249</v>
      </c>
      <c r="AN736" s="17"/>
      <c r="AO736" s="27"/>
      <c r="AS736" s="49"/>
      <c r="AT736" s="25"/>
      <c r="AU736" s="17"/>
      <c r="AV736" s="17"/>
      <c r="AW736" s="17"/>
      <c r="AX736" s="27"/>
      <c r="BB736" s="17"/>
    </row>
    <row r="737" spans="1:54" x14ac:dyDescent="0.2">
      <c r="A737" s="17" t="s">
        <v>77</v>
      </c>
      <c r="B737" s="17" t="s">
        <v>78</v>
      </c>
      <c r="C737" s="17" t="str">
        <f t="shared" si="252"/>
        <v>HER42PB1F</v>
      </c>
      <c r="D737" s="17" t="str">
        <f t="shared" si="253"/>
        <v>HER42PB1F_206</v>
      </c>
      <c r="E737" s="27" t="s">
        <v>84</v>
      </c>
      <c r="F737" s="17">
        <v>206</v>
      </c>
      <c r="G737" s="20">
        <v>2.25</v>
      </c>
      <c r="H737" s="20">
        <v>2.2000000000000002</v>
      </c>
      <c r="I737" s="20">
        <v>1.3</v>
      </c>
      <c r="J737" s="22">
        <f t="shared" si="251"/>
        <v>5.0521128125000008</v>
      </c>
      <c r="K737" s="53">
        <v>0.18000000000000013</v>
      </c>
      <c r="L737" s="45">
        <f t="shared" si="247"/>
        <v>31.63999999999999</v>
      </c>
      <c r="M737" s="45">
        <f t="shared" si="248"/>
        <v>32.939999999999991</v>
      </c>
      <c r="N737" s="46">
        <f t="shared" si="249"/>
        <v>32.289999999999992</v>
      </c>
      <c r="O737" s="20">
        <f t="shared" si="246"/>
        <v>231.6400000000001</v>
      </c>
      <c r="P737" s="20">
        <f t="shared" si="263"/>
        <v>232.94000000000011</v>
      </c>
      <c r="Q737" s="20">
        <f t="shared" si="250"/>
        <v>232.29000000000011</v>
      </c>
      <c r="R737" s="20">
        <f t="shared" si="254"/>
        <v>231.6400000000001</v>
      </c>
      <c r="S737" s="20">
        <f t="shared" si="255"/>
        <v>232.29000000000011</v>
      </c>
      <c r="T737" s="20">
        <f t="shared" si="256"/>
        <v>232.29000000000011</v>
      </c>
      <c r="U737" s="20">
        <f t="shared" si="257"/>
        <v>232.29000000000011</v>
      </c>
      <c r="V737" s="22">
        <v>7.5972</v>
      </c>
      <c r="W737" s="22">
        <v>2.0726</v>
      </c>
      <c r="X737" s="23">
        <v>1.1476266666666668</v>
      </c>
      <c r="Y737" s="23">
        <f t="shared" si="264"/>
        <v>6.4495733333333334</v>
      </c>
      <c r="Z737" s="23">
        <f t="shared" si="265"/>
        <v>0.9249733333333332</v>
      </c>
      <c r="AA737" s="22">
        <f t="shared" si="266"/>
        <v>85.658379469029484</v>
      </c>
      <c r="AB737" s="22">
        <f t="shared" si="267"/>
        <v>14.341620530970516</v>
      </c>
      <c r="AC737" s="22">
        <f t="shared" si="258"/>
        <v>1.2766091282395196</v>
      </c>
      <c r="AD737" s="22">
        <f t="shared" si="259"/>
        <v>0.18308643683584275</v>
      </c>
      <c r="AE737" s="27">
        <v>14.0375</v>
      </c>
      <c r="AF737" s="27">
        <v>14.1731</v>
      </c>
      <c r="AG737" s="27">
        <v>14.084099999999999</v>
      </c>
      <c r="AH737" s="26">
        <v>4.6600000000000003E-2</v>
      </c>
      <c r="AI737" s="26">
        <v>65.634218290000007</v>
      </c>
      <c r="AJ737" s="26">
        <f t="shared" si="260"/>
        <v>3.2817109145000005</v>
      </c>
      <c r="AK737" s="26">
        <f t="shared" si="261"/>
        <v>37.93885450289018</v>
      </c>
      <c r="AL737" s="26">
        <f t="shared" si="262"/>
        <v>3.2829447948980852</v>
      </c>
      <c r="AM737" s="17">
        <f t="shared" si="268"/>
        <v>0.5780346820809249</v>
      </c>
      <c r="AN737" s="17"/>
      <c r="AO737" s="27"/>
      <c r="AS737" s="49"/>
      <c r="AT737" s="25"/>
      <c r="AU737" s="17"/>
      <c r="AV737" s="17"/>
      <c r="AW737" s="17"/>
      <c r="AX737" s="27"/>
      <c r="BB737" s="17"/>
    </row>
    <row r="738" spans="1:54" x14ac:dyDescent="0.2">
      <c r="A738" s="17" t="s">
        <v>77</v>
      </c>
      <c r="B738" s="17" t="s">
        <v>78</v>
      </c>
      <c r="C738" s="17" t="str">
        <f t="shared" si="252"/>
        <v>HER42PB1F</v>
      </c>
      <c r="D738" s="17" t="str">
        <f t="shared" si="253"/>
        <v>HER42PB1F_207</v>
      </c>
      <c r="E738" s="27" t="s">
        <v>84</v>
      </c>
      <c r="F738" s="17">
        <v>207</v>
      </c>
      <c r="G738" s="20">
        <v>2.2999999999999998</v>
      </c>
      <c r="H738" s="20">
        <v>2.2999999999999998</v>
      </c>
      <c r="I738" s="20">
        <v>1.2</v>
      </c>
      <c r="J738" s="22">
        <f t="shared" si="251"/>
        <v>4.9831799999999991</v>
      </c>
      <c r="K738" s="53">
        <v>0.18000000000000013</v>
      </c>
      <c r="L738" s="45">
        <f t="shared" si="247"/>
        <v>33.11999999999999</v>
      </c>
      <c r="M738" s="45">
        <f t="shared" si="248"/>
        <v>34.319999999999993</v>
      </c>
      <c r="N738" s="46">
        <f t="shared" si="249"/>
        <v>33.719999999999992</v>
      </c>
      <c r="O738" s="20">
        <f t="shared" si="246"/>
        <v>233.12000000000012</v>
      </c>
      <c r="P738" s="20">
        <f t="shared" si="263"/>
        <v>234.32000000000011</v>
      </c>
      <c r="Q738" s="20">
        <f t="shared" si="250"/>
        <v>233.72000000000011</v>
      </c>
      <c r="R738" s="20">
        <f t="shared" si="254"/>
        <v>233.12000000000012</v>
      </c>
      <c r="S738" s="20">
        <f t="shared" si="255"/>
        <v>233.72000000000011</v>
      </c>
      <c r="T738" s="20">
        <f t="shared" si="256"/>
        <v>233.72000000000011</v>
      </c>
      <c r="U738" s="20">
        <f t="shared" si="257"/>
        <v>233.72000000000011</v>
      </c>
      <c r="V738" s="22">
        <v>8.2546999999999997</v>
      </c>
      <c r="W738" s="22">
        <v>2.8891</v>
      </c>
      <c r="X738" s="23">
        <v>1.1476266666666668</v>
      </c>
      <c r="Y738" s="23">
        <f t="shared" si="264"/>
        <v>7.1070733333333331</v>
      </c>
      <c r="Z738" s="23">
        <f t="shared" si="265"/>
        <v>1.7414733333333332</v>
      </c>
      <c r="AA738" s="22">
        <f t="shared" si="266"/>
        <v>75.49661792336461</v>
      </c>
      <c r="AB738" s="22">
        <f t="shared" si="267"/>
        <v>24.50338207663539</v>
      </c>
      <c r="AC738" s="22">
        <f t="shared" si="258"/>
        <v>1.4262124453327663</v>
      </c>
      <c r="AD738" s="22">
        <f t="shared" si="259"/>
        <v>0.34947028470441233</v>
      </c>
      <c r="AE738" s="27">
        <v>13.074199999999999</v>
      </c>
      <c r="AF738" s="27">
        <v>13.2117</v>
      </c>
      <c r="AG738" s="27">
        <v>13.163</v>
      </c>
      <c r="AH738" s="26">
        <v>8.8800000000000004E-2</v>
      </c>
      <c r="AI738" s="26">
        <v>35.418181820000001</v>
      </c>
      <c r="AJ738" s="26">
        <f t="shared" si="260"/>
        <v>1.770909091</v>
      </c>
      <c r="AK738" s="26">
        <f t="shared" si="261"/>
        <v>20.472937468208094</v>
      </c>
      <c r="AL738" s="26">
        <f t="shared" si="262"/>
        <v>1.7731945771929394</v>
      </c>
      <c r="AM738" s="17">
        <f t="shared" si="268"/>
        <v>0.5780346820809249</v>
      </c>
      <c r="AN738" s="17"/>
      <c r="AO738" s="27"/>
      <c r="AS738" s="49"/>
      <c r="AT738" s="25"/>
      <c r="AU738" s="17"/>
      <c r="AV738" s="17"/>
      <c r="AW738" s="17"/>
      <c r="AX738" s="27"/>
      <c r="BB738" s="17"/>
    </row>
    <row r="739" spans="1:54" x14ac:dyDescent="0.2">
      <c r="A739" s="17" t="s">
        <v>77</v>
      </c>
      <c r="B739" s="17" t="s">
        <v>78</v>
      </c>
      <c r="C739" s="17" t="str">
        <f t="shared" si="252"/>
        <v>HER42PB1F</v>
      </c>
      <c r="D739" s="17" t="str">
        <f t="shared" si="253"/>
        <v>HER42PB1F_208</v>
      </c>
      <c r="E739" s="27" t="s">
        <v>84</v>
      </c>
      <c r="F739" s="17">
        <v>208</v>
      </c>
      <c r="G739" s="20">
        <v>2.2000000000000002</v>
      </c>
      <c r="H739" s="20">
        <v>2.2000000000000002</v>
      </c>
      <c r="I739" s="20">
        <v>1.1499999999999999</v>
      </c>
      <c r="J739" s="22">
        <f t="shared" si="251"/>
        <v>4.3693100000000014</v>
      </c>
      <c r="K739" s="53">
        <v>0.18000000000000013</v>
      </c>
      <c r="L739" s="45">
        <f t="shared" si="247"/>
        <v>34.499999999999993</v>
      </c>
      <c r="M739" s="45">
        <f t="shared" si="248"/>
        <v>35.649999999999991</v>
      </c>
      <c r="N739" s="46">
        <f t="shared" si="249"/>
        <v>35.074999999999989</v>
      </c>
      <c r="O739" s="20">
        <f t="shared" si="246"/>
        <v>234.50000000000011</v>
      </c>
      <c r="P739" s="20">
        <f t="shared" si="263"/>
        <v>235.65000000000012</v>
      </c>
      <c r="Q739" s="20">
        <f t="shared" si="250"/>
        <v>235.0750000000001</v>
      </c>
      <c r="R739" s="20">
        <f t="shared" si="254"/>
        <v>234.50000000000011</v>
      </c>
      <c r="S739" s="20">
        <f t="shared" si="255"/>
        <v>235.0750000000001</v>
      </c>
      <c r="T739" s="20">
        <f t="shared" si="256"/>
        <v>235.0750000000001</v>
      </c>
      <c r="U739" s="20">
        <f t="shared" si="257"/>
        <v>235.0750000000001</v>
      </c>
      <c r="V739" s="22">
        <v>7.8459000000000003</v>
      </c>
      <c r="W739" s="22">
        <v>2.8140000000000001</v>
      </c>
      <c r="X739" s="23">
        <v>1.1476266666666668</v>
      </c>
      <c r="Y739" s="23">
        <f t="shared" si="264"/>
        <v>6.6982733333333337</v>
      </c>
      <c r="Z739" s="23">
        <f t="shared" si="265"/>
        <v>1.6663733333333333</v>
      </c>
      <c r="AA739" s="22">
        <f t="shared" si="266"/>
        <v>75.122344962532623</v>
      </c>
      <c r="AB739" s="22">
        <f t="shared" si="267"/>
        <v>24.877655037467377</v>
      </c>
      <c r="AC739" s="22">
        <f t="shared" si="258"/>
        <v>1.5330277168095949</v>
      </c>
      <c r="AD739" s="22">
        <f t="shared" si="259"/>
        <v>0.38138134701665316</v>
      </c>
      <c r="AE739" s="27">
        <v>13.9009</v>
      </c>
      <c r="AF739" s="27">
        <v>14.0885</v>
      </c>
      <c r="AG739" s="27">
        <v>14.0158</v>
      </c>
      <c r="AH739" s="26">
        <v>0.1149</v>
      </c>
      <c r="AI739" s="26">
        <v>38.75266525</v>
      </c>
      <c r="AJ739" s="26">
        <f t="shared" si="260"/>
        <v>1.9376332625000001</v>
      </c>
      <c r="AK739" s="26">
        <f t="shared" si="261"/>
        <v>22.400384537572258</v>
      </c>
      <c r="AL739" s="26">
        <f t="shared" si="262"/>
        <v>1.939722315164311</v>
      </c>
      <c r="AM739" s="17">
        <f t="shared" si="268"/>
        <v>0.5780346820809249</v>
      </c>
      <c r="AN739" s="17"/>
      <c r="AO739" s="27"/>
      <c r="AS739" s="49"/>
      <c r="AT739" s="25"/>
      <c r="AU739" s="17"/>
      <c r="AV739" s="17"/>
      <c r="AW739" s="17"/>
      <c r="AX739" s="27"/>
      <c r="BB739" s="17"/>
    </row>
    <row r="740" spans="1:54" x14ac:dyDescent="0.2">
      <c r="A740" s="17" t="s">
        <v>77</v>
      </c>
      <c r="B740" s="17" t="s">
        <v>78</v>
      </c>
      <c r="C740" s="17" t="str">
        <f t="shared" si="252"/>
        <v>HER42PB1F</v>
      </c>
      <c r="D740" s="17" t="str">
        <f t="shared" si="253"/>
        <v>HER42PB1F_209</v>
      </c>
      <c r="E740" s="27" t="s">
        <v>84</v>
      </c>
      <c r="F740" s="17">
        <v>209</v>
      </c>
      <c r="G740" s="20">
        <v>2.15</v>
      </c>
      <c r="H740" s="20">
        <v>2.1</v>
      </c>
      <c r="I740" s="20">
        <v>1.1000000000000001</v>
      </c>
      <c r="J740" s="22">
        <f t="shared" si="251"/>
        <v>3.8992421875000005</v>
      </c>
      <c r="K740" s="53">
        <v>0.18000000000000013</v>
      </c>
      <c r="L740" s="45">
        <f t="shared" si="247"/>
        <v>35.829999999999991</v>
      </c>
      <c r="M740" s="45">
        <f t="shared" si="248"/>
        <v>36.929999999999993</v>
      </c>
      <c r="N740" s="46">
        <f t="shared" si="249"/>
        <v>36.379999999999995</v>
      </c>
      <c r="O740" s="20">
        <f t="shared" si="246"/>
        <v>235.83000000000013</v>
      </c>
      <c r="P740" s="20">
        <f t="shared" si="263"/>
        <v>236.93000000000012</v>
      </c>
      <c r="Q740" s="20">
        <f t="shared" si="250"/>
        <v>236.38000000000011</v>
      </c>
      <c r="R740" s="20">
        <f t="shared" si="254"/>
        <v>235.83000000000013</v>
      </c>
      <c r="S740" s="20">
        <f t="shared" si="255"/>
        <v>236.38000000000011</v>
      </c>
      <c r="T740" s="20">
        <f t="shared" si="256"/>
        <v>236.38000000000011</v>
      </c>
      <c r="U740" s="20">
        <f t="shared" si="257"/>
        <v>236.38000000000011</v>
      </c>
      <c r="V740" s="22">
        <v>7.0842000000000001</v>
      </c>
      <c r="W740" s="22">
        <v>2.7402000000000002</v>
      </c>
      <c r="X740" s="23">
        <v>1.1476266666666668</v>
      </c>
      <c r="Y740" s="23">
        <f t="shared" si="264"/>
        <v>5.9365733333333335</v>
      </c>
      <c r="Z740" s="23">
        <f t="shared" si="265"/>
        <v>1.5925733333333334</v>
      </c>
      <c r="AA740" s="22">
        <f t="shared" si="266"/>
        <v>73.173525468115159</v>
      </c>
      <c r="AB740" s="22">
        <f t="shared" si="267"/>
        <v>26.826474531884841</v>
      </c>
      <c r="AC740" s="22">
        <f t="shared" si="258"/>
        <v>1.5224941277986039</v>
      </c>
      <c r="AD740" s="22">
        <f t="shared" si="259"/>
        <v>0.40843149944333462</v>
      </c>
      <c r="AE740" s="27">
        <v>17.389900000000001</v>
      </c>
      <c r="AF740" s="27">
        <v>17.520700000000001</v>
      </c>
      <c r="AG740" s="27">
        <v>17.481000000000002</v>
      </c>
      <c r="AH740" s="26">
        <v>9.11E-2</v>
      </c>
      <c r="AI740" s="26">
        <v>30.351681960000001</v>
      </c>
      <c r="AJ740" s="26">
        <f t="shared" si="260"/>
        <v>1.5175840980000002</v>
      </c>
      <c r="AK740" s="26">
        <f t="shared" si="261"/>
        <v>17.544324832369945</v>
      </c>
      <c r="AL740" s="26">
        <f t="shared" si="262"/>
        <v>1.5202504709759095</v>
      </c>
      <c r="AM740" s="17">
        <f t="shared" si="268"/>
        <v>0.5780346820809249</v>
      </c>
      <c r="AN740" s="17"/>
      <c r="AO740" s="27"/>
      <c r="AS740" s="49"/>
      <c r="AT740" s="25"/>
      <c r="AU740" s="17"/>
      <c r="AV740" s="17"/>
      <c r="AW740" s="17"/>
      <c r="AX740" s="27"/>
      <c r="BB740" s="17"/>
    </row>
    <row r="741" spans="1:54" x14ac:dyDescent="0.2">
      <c r="A741" s="17" t="s">
        <v>77</v>
      </c>
      <c r="B741" s="17" t="s">
        <v>78</v>
      </c>
      <c r="C741" s="17" t="str">
        <f t="shared" si="252"/>
        <v>HER42PB1F</v>
      </c>
      <c r="D741" s="17" t="str">
        <f t="shared" si="253"/>
        <v>HER42PB1F_210</v>
      </c>
      <c r="E741" s="27" t="s">
        <v>84</v>
      </c>
      <c r="F741" s="17">
        <v>210</v>
      </c>
      <c r="G741" s="20">
        <v>2.25</v>
      </c>
      <c r="H741" s="20">
        <v>2.2000000000000002</v>
      </c>
      <c r="I741" s="20">
        <v>1.1499999999999999</v>
      </c>
      <c r="J741" s="22">
        <f t="shared" si="251"/>
        <v>4.4691767187500009</v>
      </c>
      <c r="K741" s="53">
        <v>0.18000000000000013</v>
      </c>
      <c r="L741" s="45">
        <f t="shared" si="247"/>
        <v>37.109999999999992</v>
      </c>
      <c r="M741" s="45">
        <f t="shared" si="248"/>
        <v>38.259999999999991</v>
      </c>
      <c r="N741" s="46">
        <f t="shared" si="249"/>
        <v>37.684999999999988</v>
      </c>
      <c r="O741" s="20">
        <f t="shared" si="246"/>
        <v>237.11000000000013</v>
      </c>
      <c r="P741" s="20">
        <f t="shared" si="263"/>
        <v>238.26000000000013</v>
      </c>
      <c r="Q741" s="20">
        <f t="shared" si="250"/>
        <v>237.68500000000012</v>
      </c>
      <c r="R741" s="20">
        <f t="shared" si="254"/>
        <v>237.11000000000013</v>
      </c>
      <c r="S741" s="20">
        <f t="shared" si="255"/>
        <v>237.68500000000012</v>
      </c>
      <c r="T741" s="20">
        <f t="shared" si="256"/>
        <v>237.68500000000012</v>
      </c>
      <c r="U741" s="20">
        <f t="shared" si="257"/>
        <v>237.68500000000012</v>
      </c>
      <c r="V741" s="22">
        <v>7.4522000000000004</v>
      </c>
      <c r="W741" s="22">
        <v>2.6080999999999999</v>
      </c>
      <c r="X741" s="23">
        <v>1.1476266666666668</v>
      </c>
      <c r="Y741" s="23">
        <f t="shared" si="264"/>
        <v>6.3045733333333338</v>
      </c>
      <c r="Z741" s="23">
        <f t="shared" si="265"/>
        <v>1.4604733333333331</v>
      </c>
      <c r="AA741" s="22">
        <f t="shared" si="266"/>
        <v>76.834699889815454</v>
      </c>
      <c r="AB741" s="22">
        <f t="shared" si="267"/>
        <v>23.165300110184546</v>
      </c>
      <c r="AC741" s="22">
        <f t="shared" si="258"/>
        <v>1.4106789080152287</v>
      </c>
      <c r="AD741" s="22">
        <f t="shared" si="259"/>
        <v>0.32678800263280211</v>
      </c>
      <c r="AE741" s="27">
        <v>14.7742</v>
      </c>
      <c r="AF741" s="27">
        <v>14.9466</v>
      </c>
      <c r="AG741" s="27">
        <v>14.8856</v>
      </c>
      <c r="AH741" s="26">
        <v>0.1114</v>
      </c>
      <c r="AI741" s="26">
        <v>35.382830630000001</v>
      </c>
      <c r="AJ741" s="26">
        <f t="shared" si="260"/>
        <v>1.7691415315000001</v>
      </c>
      <c r="AK741" s="26">
        <f t="shared" si="261"/>
        <v>20.452503254335262</v>
      </c>
      <c r="AL741" s="26">
        <f t="shared" si="262"/>
        <v>1.7714292981878124</v>
      </c>
      <c r="AM741" s="17">
        <f t="shared" si="268"/>
        <v>0.5780346820809249</v>
      </c>
      <c r="AN741" s="17"/>
      <c r="AO741" s="27"/>
      <c r="AS741" s="49"/>
      <c r="AT741" s="25"/>
      <c r="AU741" s="17"/>
      <c r="AV741" s="17"/>
      <c r="AW741" s="17"/>
      <c r="AX741" s="27"/>
      <c r="BB741" s="17"/>
    </row>
    <row r="742" spans="1:54" x14ac:dyDescent="0.2">
      <c r="A742" s="17" t="s">
        <v>77</v>
      </c>
      <c r="B742" s="17" t="s">
        <v>78</v>
      </c>
      <c r="C742" s="17" t="str">
        <f t="shared" si="252"/>
        <v>HER42PB1F</v>
      </c>
      <c r="D742" s="17" t="str">
        <f t="shared" si="253"/>
        <v>HER42PB1F_211</v>
      </c>
      <c r="E742" s="27" t="s">
        <v>84</v>
      </c>
      <c r="F742" s="17">
        <v>211</v>
      </c>
      <c r="G742" s="20">
        <v>2.2000000000000002</v>
      </c>
      <c r="H742" s="20">
        <v>2.15</v>
      </c>
      <c r="I742" s="20">
        <v>1.1000000000000001</v>
      </c>
      <c r="J742" s="22">
        <f t="shared" si="251"/>
        <v>4.0848946874999994</v>
      </c>
      <c r="K742" s="53">
        <v>0.18000000000000013</v>
      </c>
      <c r="L742" s="45">
        <f t="shared" si="247"/>
        <v>38.439999999999991</v>
      </c>
      <c r="M742" s="45">
        <f t="shared" si="248"/>
        <v>39.539999999999992</v>
      </c>
      <c r="N742" s="46">
        <f t="shared" si="249"/>
        <v>38.989999999999995</v>
      </c>
      <c r="O742" s="20">
        <f t="shared" si="246"/>
        <v>238.44000000000014</v>
      </c>
      <c r="P742" s="20">
        <f t="shared" si="263"/>
        <v>239.54000000000013</v>
      </c>
      <c r="Q742" s="20">
        <f t="shared" si="250"/>
        <v>238.99000000000012</v>
      </c>
      <c r="R742" s="20">
        <f t="shared" si="254"/>
        <v>238.44000000000014</v>
      </c>
      <c r="S742" s="20">
        <f t="shared" si="255"/>
        <v>238.99000000000012</v>
      </c>
      <c r="T742" s="20">
        <f t="shared" si="256"/>
        <v>238.99000000000012</v>
      </c>
      <c r="U742" s="20">
        <f t="shared" si="257"/>
        <v>238.99000000000012</v>
      </c>
      <c r="V742" s="22">
        <v>7.1151999999999997</v>
      </c>
      <c r="W742" s="22">
        <v>2.4657</v>
      </c>
      <c r="X742" s="23">
        <v>1.1476266666666668</v>
      </c>
      <c r="Y742" s="23">
        <f t="shared" si="264"/>
        <v>5.9675733333333332</v>
      </c>
      <c r="Z742" s="23">
        <f t="shared" si="265"/>
        <v>1.3180733333333332</v>
      </c>
      <c r="AA742" s="22">
        <f t="shared" si="266"/>
        <v>77.912741750974149</v>
      </c>
      <c r="AB742" s="22">
        <f t="shared" si="267"/>
        <v>22.087258249025851</v>
      </c>
      <c r="AC742" s="22">
        <f t="shared" si="258"/>
        <v>1.4608879273177919</v>
      </c>
      <c r="AD742" s="22">
        <f t="shared" si="259"/>
        <v>0.32267008923552165</v>
      </c>
      <c r="AE742" s="27">
        <v>16.629200000000001</v>
      </c>
      <c r="AF742" s="27">
        <v>16.752700000000001</v>
      </c>
      <c r="AG742" s="27">
        <v>16.696300000000001</v>
      </c>
      <c r="AH742" s="26">
        <v>6.7100000000000007E-2</v>
      </c>
      <c r="AI742" s="26">
        <v>45.668016190000003</v>
      </c>
      <c r="AJ742" s="26">
        <f t="shared" si="260"/>
        <v>2.2834008095000002</v>
      </c>
      <c r="AK742" s="26">
        <f t="shared" si="261"/>
        <v>26.397697219653182</v>
      </c>
      <c r="AL742" s="26">
        <f t="shared" si="262"/>
        <v>2.2851737913833285</v>
      </c>
      <c r="AM742" s="17">
        <f t="shared" si="268"/>
        <v>0.5780346820809249</v>
      </c>
      <c r="AN742" s="17"/>
      <c r="AO742" s="27"/>
      <c r="AS742" s="49"/>
      <c r="AT742" s="25"/>
      <c r="AU742" s="17"/>
      <c r="AV742" s="17"/>
      <c r="AW742" s="17"/>
      <c r="AX742" s="27"/>
      <c r="BB742" s="17"/>
    </row>
    <row r="743" spans="1:54" x14ac:dyDescent="0.2">
      <c r="A743" s="17" t="s">
        <v>77</v>
      </c>
      <c r="B743" s="17" t="s">
        <v>78</v>
      </c>
      <c r="C743" s="17" t="str">
        <f t="shared" si="252"/>
        <v>HER42PB1F</v>
      </c>
      <c r="D743" s="17" t="str">
        <f t="shared" si="253"/>
        <v>HER42PB1F_212</v>
      </c>
      <c r="E743" s="27" t="s">
        <v>84</v>
      </c>
      <c r="F743" s="17">
        <v>212</v>
      </c>
      <c r="G743" s="20">
        <v>2.15</v>
      </c>
      <c r="H743" s="20">
        <v>2.2000000000000002</v>
      </c>
      <c r="I743" s="20">
        <v>1.2</v>
      </c>
      <c r="J743" s="22">
        <f t="shared" si="251"/>
        <v>4.4562487499999994</v>
      </c>
      <c r="K743" s="53">
        <v>0.18000000000000013</v>
      </c>
      <c r="L743" s="45">
        <f t="shared" si="247"/>
        <v>39.719999999999992</v>
      </c>
      <c r="M743" s="45">
        <f t="shared" si="248"/>
        <v>40.919999999999995</v>
      </c>
      <c r="N743" s="46">
        <f t="shared" si="249"/>
        <v>40.319999999999993</v>
      </c>
      <c r="O743" s="20">
        <f t="shared" si="246"/>
        <v>239.72000000000014</v>
      </c>
      <c r="P743" s="20">
        <f t="shared" si="263"/>
        <v>240.92000000000013</v>
      </c>
      <c r="Q743" s="20">
        <f t="shared" si="250"/>
        <v>240.32000000000014</v>
      </c>
      <c r="R743" s="20">
        <f t="shared" si="254"/>
        <v>239.72000000000014</v>
      </c>
      <c r="S743" s="20">
        <f t="shared" si="255"/>
        <v>240.32000000000014</v>
      </c>
      <c r="T743" s="20">
        <f t="shared" si="256"/>
        <v>240.32000000000014</v>
      </c>
      <c r="U743" s="20">
        <f t="shared" si="257"/>
        <v>240.32000000000014</v>
      </c>
      <c r="V743" s="22">
        <v>7.7150999999999996</v>
      </c>
      <c r="W743" s="22">
        <v>2.7010999999999998</v>
      </c>
      <c r="X743" s="23">
        <v>1.1476266666666668</v>
      </c>
      <c r="Y743" s="23">
        <f t="shared" si="264"/>
        <v>6.5674733333333331</v>
      </c>
      <c r="Z743" s="23">
        <f t="shared" si="265"/>
        <v>1.553473333333333</v>
      </c>
      <c r="AA743" s="22">
        <f t="shared" si="266"/>
        <v>76.34595141104495</v>
      </c>
      <c r="AB743" s="22">
        <f t="shared" si="267"/>
        <v>23.65404858895505</v>
      </c>
      <c r="AC743" s="22">
        <f t="shared" si="258"/>
        <v>1.473767220318061</v>
      </c>
      <c r="AD743" s="22">
        <f t="shared" si="259"/>
        <v>0.34860561438212651</v>
      </c>
      <c r="AE743" s="27">
        <v>13.5045</v>
      </c>
      <c r="AF743" s="27">
        <v>13.6816</v>
      </c>
      <c r="AG743" s="27">
        <v>13.6121</v>
      </c>
      <c r="AH743" s="26">
        <v>0.1076</v>
      </c>
      <c r="AI743" s="26">
        <v>39.243365330000003</v>
      </c>
      <c r="AJ743" s="26">
        <f t="shared" si="260"/>
        <v>1.9621682665000002</v>
      </c>
      <c r="AK743" s="26">
        <f t="shared" si="261"/>
        <v>22.684026202312143</v>
      </c>
      <c r="AL743" s="26">
        <f t="shared" si="262"/>
        <v>1.9642312252022713</v>
      </c>
      <c r="AM743" s="17">
        <f t="shared" si="268"/>
        <v>0.5780346820809249</v>
      </c>
      <c r="AN743" s="17"/>
      <c r="AO743" s="27"/>
      <c r="AS743" s="49"/>
      <c r="AT743" s="25"/>
      <c r="AU743" s="17"/>
      <c r="AV743" s="17"/>
      <c r="AW743" s="17"/>
      <c r="AX743" s="27"/>
      <c r="BB743" s="17"/>
    </row>
    <row r="744" spans="1:54" x14ac:dyDescent="0.2">
      <c r="A744" s="17" t="s">
        <v>77</v>
      </c>
      <c r="B744" s="17" t="s">
        <v>78</v>
      </c>
      <c r="C744" s="17" t="str">
        <f t="shared" si="252"/>
        <v>HER42PB1F</v>
      </c>
      <c r="D744" s="17" t="str">
        <f t="shared" si="253"/>
        <v>HER42PB1F_213</v>
      </c>
      <c r="E744" s="27" t="s">
        <v>84</v>
      </c>
      <c r="F744" s="17">
        <v>213</v>
      </c>
      <c r="G744" s="20">
        <v>2.15</v>
      </c>
      <c r="H744" s="20">
        <v>2.0499999999999998</v>
      </c>
      <c r="I744" s="20">
        <v>1.1499999999999999</v>
      </c>
      <c r="J744" s="22">
        <f t="shared" si="251"/>
        <v>3.981127499999999</v>
      </c>
      <c r="K744" s="53">
        <v>0.18000000000000013</v>
      </c>
      <c r="L744" s="45">
        <f t="shared" si="247"/>
        <v>41.099999999999994</v>
      </c>
      <c r="M744" s="45">
        <f t="shared" si="248"/>
        <v>42.249999999999993</v>
      </c>
      <c r="N744" s="46">
        <f t="shared" si="249"/>
        <v>41.674999999999997</v>
      </c>
      <c r="O744" s="20">
        <f t="shared" si="246"/>
        <v>241.10000000000014</v>
      </c>
      <c r="P744" s="20">
        <f t="shared" si="263"/>
        <v>242.25000000000014</v>
      </c>
      <c r="Q744" s="20">
        <f t="shared" si="250"/>
        <v>241.67500000000013</v>
      </c>
      <c r="R744" s="20">
        <f t="shared" si="254"/>
        <v>241.10000000000014</v>
      </c>
      <c r="S744" s="20">
        <f t="shared" si="255"/>
        <v>241.67500000000013</v>
      </c>
      <c r="T744" s="20">
        <f t="shared" si="256"/>
        <v>241.67500000000013</v>
      </c>
      <c r="U744" s="20">
        <f t="shared" si="257"/>
        <v>241.67500000000013</v>
      </c>
      <c r="V744" s="22">
        <v>7.3613999999999997</v>
      </c>
      <c r="W744" s="22">
        <v>2.6716000000000002</v>
      </c>
      <c r="X744" s="23">
        <v>1.1476266666666668</v>
      </c>
      <c r="Y744" s="23">
        <f t="shared" si="264"/>
        <v>6.2137733333333331</v>
      </c>
      <c r="Z744" s="23">
        <f t="shared" si="265"/>
        <v>1.5239733333333334</v>
      </c>
      <c r="AA744" s="22">
        <f t="shared" si="266"/>
        <v>75.474268989535076</v>
      </c>
      <c r="AB744" s="22">
        <f t="shared" si="267"/>
        <v>24.525731010464924</v>
      </c>
      <c r="AC744" s="22">
        <f t="shared" si="258"/>
        <v>1.5608074178315903</v>
      </c>
      <c r="AD744" s="22">
        <f t="shared" si="259"/>
        <v>0.38279942888875923</v>
      </c>
      <c r="AE744" s="27">
        <v>12.7668</v>
      </c>
      <c r="AF744" s="27">
        <v>12.9964</v>
      </c>
      <c r="AG744" s="27">
        <v>12.9221</v>
      </c>
      <c r="AH744" s="26">
        <v>0.15529999999999999</v>
      </c>
      <c r="AI744" s="26">
        <v>32.360627180000002</v>
      </c>
      <c r="AJ744" s="26">
        <f t="shared" si="260"/>
        <v>1.6180313590000002</v>
      </c>
      <c r="AK744" s="26">
        <f t="shared" si="261"/>
        <v>18.705564843930638</v>
      </c>
      <c r="AL744" s="26">
        <f t="shared" si="262"/>
        <v>1.6205324676498734</v>
      </c>
      <c r="AM744" s="17">
        <f t="shared" si="268"/>
        <v>0.5780346820809249</v>
      </c>
      <c r="AN744" s="17"/>
      <c r="AO744" s="27"/>
      <c r="AS744" s="49"/>
      <c r="AT744" s="25"/>
      <c r="AU744" s="17"/>
      <c r="AV744" s="17"/>
      <c r="AW744" s="17"/>
      <c r="AX744" s="27"/>
      <c r="BB744" s="17"/>
    </row>
    <row r="745" spans="1:54" x14ac:dyDescent="0.2">
      <c r="A745" s="17" t="s">
        <v>77</v>
      </c>
      <c r="B745" s="17" t="s">
        <v>78</v>
      </c>
      <c r="C745" s="17" t="str">
        <f t="shared" si="252"/>
        <v>HER42PB1F</v>
      </c>
      <c r="D745" s="17" t="str">
        <f t="shared" si="253"/>
        <v>HER42PB1F_214</v>
      </c>
      <c r="E745" s="27" t="s">
        <v>84</v>
      </c>
      <c r="F745" s="17">
        <v>214</v>
      </c>
      <c r="G745" s="20">
        <v>2.2000000000000002</v>
      </c>
      <c r="H745" s="20">
        <v>2.15</v>
      </c>
      <c r="I745" s="20">
        <v>1.2</v>
      </c>
      <c r="J745" s="22">
        <f t="shared" si="251"/>
        <v>4.4562487499999994</v>
      </c>
      <c r="K745" s="53">
        <v>0.18000000000000013</v>
      </c>
      <c r="L745" s="45">
        <f t="shared" si="247"/>
        <v>42.429999999999993</v>
      </c>
      <c r="M745" s="45">
        <f t="shared" si="248"/>
        <v>43.629999999999995</v>
      </c>
      <c r="N745" s="46">
        <f t="shared" si="249"/>
        <v>43.029999999999994</v>
      </c>
      <c r="O745" s="20">
        <f t="shared" si="246"/>
        <v>242.43000000000015</v>
      </c>
      <c r="P745" s="20">
        <f t="shared" si="263"/>
        <v>243.63000000000014</v>
      </c>
      <c r="Q745" s="20">
        <f t="shared" si="250"/>
        <v>243.03000000000014</v>
      </c>
      <c r="R745" s="20">
        <f t="shared" si="254"/>
        <v>242.43000000000015</v>
      </c>
      <c r="S745" s="20">
        <f t="shared" si="255"/>
        <v>243.03000000000014</v>
      </c>
      <c r="T745" s="20">
        <f t="shared" si="256"/>
        <v>243.03000000000014</v>
      </c>
      <c r="U745" s="20">
        <f t="shared" si="257"/>
        <v>243.03000000000014</v>
      </c>
      <c r="V745" s="22">
        <v>7.4767000000000001</v>
      </c>
      <c r="W745" s="22">
        <v>2.7442000000000002</v>
      </c>
      <c r="X745" s="23">
        <v>1.1476266666666668</v>
      </c>
      <c r="Y745" s="23">
        <f t="shared" si="264"/>
        <v>6.3290733333333336</v>
      </c>
      <c r="Z745" s="23">
        <f t="shared" si="265"/>
        <v>1.5965733333333334</v>
      </c>
      <c r="AA745" s="22">
        <f t="shared" si="266"/>
        <v>74.773979550455522</v>
      </c>
      <c r="AB745" s="22">
        <f t="shared" si="267"/>
        <v>25.226020449544478</v>
      </c>
      <c r="AC745" s="22">
        <f t="shared" si="258"/>
        <v>1.4202693090984506</v>
      </c>
      <c r="AD745" s="22">
        <f t="shared" si="259"/>
        <v>0.35827742635177928</v>
      </c>
      <c r="AE745" s="27">
        <v>17.1692</v>
      </c>
      <c r="AF745" s="27">
        <v>17.347000000000001</v>
      </c>
      <c r="AG745" s="27">
        <v>17.289200000000001</v>
      </c>
      <c r="AH745" s="26">
        <v>0.12</v>
      </c>
      <c r="AI745" s="26">
        <v>32.508436449999998</v>
      </c>
      <c r="AJ745" s="26">
        <f t="shared" si="260"/>
        <v>1.6254218224999999</v>
      </c>
      <c r="AK745" s="26">
        <f t="shared" si="261"/>
        <v>18.791003728323698</v>
      </c>
      <c r="AL745" s="26">
        <f t="shared" si="262"/>
        <v>1.6279115765480696</v>
      </c>
      <c r="AM745" s="17">
        <f t="shared" si="268"/>
        <v>0.5780346820809249</v>
      </c>
      <c r="AN745" s="17"/>
      <c r="AO745" s="27"/>
      <c r="AS745" s="49"/>
      <c r="AT745" s="25"/>
      <c r="AU745" s="17"/>
      <c r="AV745" s="17"/>
      <c r="AW745" s="17"/>
      <c r="AX745" s="27"/>
      <c r="BB745" s="17"/>
    </row>
    <row r="746" spans="1:54" x14ac:dyDescent="0.2">
      <c r="A746" s="17" t="s">
        <v>77</v>
      </c>
      <c r="B746" s="17" t="s">
        <v>78</v>
      </c>
      <c r="C746" s="17" t="str">
        <f t="shared" si="252"/>
        <v>HER42PB1F</v>
      </c>
      <c r="D746" s="17" t="str">
        <f t="shared" si="253"/>
        <v>HER42PB1F_215</v>
      </c>
      <c r="E746" s="27" t="s">
        <v>84</v>
      </c>
      <c r="F746" s="17">
        <v>215</v>
      </c>
      <c r="G746" s="20">
        <v>2.0499999999999998</v>
      </c>
      <c r="H746" s="20">
        <v>2.1</v>
      </c>
      <c r="I746" s="20">
        <v>1.1499999999999999</v>
      </c>
      <c r="J746" s="22">
        <f t="shared" si="251"/>
        <v>3.8869029687500007</v>
      </c>
      <c r="K746" s="53">
        <v>0.18000000000000013</v>
      </c>
      <c r="L746" s="45">
        <f t="shared" si="247"/>
        <v>43.809999999999995</v>
      </c>
      <c r="M746" s="45">
        <f t="shared" si="248"/>
        <v>44.959999999999994</v>
      </c>
      <c r="N746" s="46">
        <f t="shared" si="249"/>
        <v>44.384999999999991</v>
      </c>
      <c r="O746" s="20">
        <f t="shared" si="246"/>
        <v>243.81000000000014</v>
      </c>
      <c r="P746" s="20">
        <f t="shared" si="263"/>
        <v>244.96000000000015</v>
      </c>
      <c r="Q746" s="20">
        <f t="shared" si="250"/>
        <v>244.38500000000016</v>
      </c>
      <c r="R746" s="20">
        <f t="shared" si="254"/>
        <v>243.81000000000014</v>
      </c>
      <c r="S746" s="20">
        <f t="shared" si="255"/>
        <v>244.38500000000016</v>
      </c>
      <c r="T746" s="20">
        <f t="shared" si="256"/>
        <v>244.38500000000016</v>
      </c>
      <c r="U746" s="20">
        <f t="shared" si="257"/>
        <v>244.38500000000016</v>
      </c>
      <c r="V746" s="22">
        <v>7.0114000000000001</v>
      </c>
      <c r="W746" s="22">
        <v>2.5405000000000002</v>
      </c>
      <c r="X746" s="23">
        <v>1.1476266666666668</v>
      </c>
      <c r="Y746" s="23">
        <f t="shared" si="264"/>
        <v>5.8637733333333335</v>
      </c>
      <c r="Z746" s="23">
        <f t="shared" si="265"/>
        <v>1.3928733333333334</v>
      </c>
      <c r="AA746" s="22">
        <f t="shared" si="266"/>
        <v>76.246125930288358</v>
      </c>
      <c r="AB746" s="22">
        <f t="shared" si="267"/>
        <v>23.753874069711642</v>
      </c>
      <c r="AC746" s="22">
        <f t="shared" si="258"/>
        <v>1.5085978169450109</v>
      </c>
      <c r="AD746" s="22">
        <f t="shared" si="259"/>
        <v>0.35835042565553704</v>
      </c>
      <c r="AE746" s="27">
        <v>15.994999999999999</v>
      </c>
      <c r="AF746" s="27">
        <v>16.1372</v>
      </c>
      <c r="AG746" s="27">
        <v>16.083100000000002</v>
      </c>
      <c r="AH746" s="26">
        <v>8.8099999999999998E-2</v>
      </c>
      <c r="AI746" s="26">
        <v>38.045007030000001</v>
      </c>
      <c r="AJ746" s="26">
        <f t="shared" si="260"/>
        <v>1.9022503515000002</v>
      </c>
      <c r="AK746" s="26">
        <f t="shared" si="261"/>
        <v>21.991333543352603</v>
      </c>
      <c r="AL746" s="26">
        <f t="shared" si="262"/>
        <v>1.9043782186797544</v>
      </c>
      <c r="AM746" s="17">
        <f t="shared" si="268"/>
        <v>0.5780346820809249</v>
      </c>
      <c r="AN746" s="17"/>
      <c r="AO746" s="27"/>
      <c r="AS746" s="49"/>
      <c r="AT746" s="25"/>
      <c r="AU746" s="17"/>
      <c r="AV746" s="17"/>
      <c r="AW746" s="17"/>
      <c r="AX746" s="27"/>
      <c r="BB746" s="17"/>
    </row>
    <row r="747" spans="1:54" x14ac:dyDescent="0.2">
      <c r="A747" s="17" t="s">
        <v>77</v>
      </c>
      <c r="B747" s="17" t="s">
        <v>78</v>
      </c>
      <c r="C747" s="17" t="str">
        <f t="shared" si="252"/>
        <v>HER42PB1F</v>
      </c>
      <c r="D747" s="17" t="str">
        <f t="shared" si="253"/>
        <v>HER42PB1F_216</v>
      </c>
      <c r="E747" s="27" t="s">
        <v>84</v>
      </c>
      <c r="F747" s="17">
        <v>216</v>
      </c>
      <c r="G747" s="20">
        <v>1.95</v>
      </c>
      <c r="H747" s="20">
        <v>2.2000000000000002</v>
      </c>
      <c r="I747" s="20">
        <v>1</v>
      </c>
      <c r="J747" s="22">
        <f t="shared" si="251"/>
        <v>3.3799156250000011</v>
      </c>
      <c r="K747" s="53">
        <v>0.18000000000000013</v>
      </c>
      <c r="L747" s="45">
        <f t="shared" si="247"/>
        <v>45.139999999999993</v>
      </c>
      <c r="M747" s="45">
        <f t="shared" si="248"/>
        <v>46.139999999999993</v>
      </c>
      <c r="N747" s="46">
        <f t="shared" si="249"/>
        <v>45.639999999999993</v>
      </c>
      <c r="O747" s="20">
        <f t="shared" si="246"/>
        <v>245.14000000000016</v>
      </c>
      <c r="P747" s="20">
        <f t="shared" si="263"/>
        <v>246.14000000000016</v>
      </c>
      <c r="Q747" s="20">
        <f t="shared" si="250"/>
        <v>245.64000000000016</v>
      </c>
      <c r="R747" s="20">
        <f t="shared" si="254"/>
        <v>245.14000000000016</v>
      </c>
      <c r="S747" s="20">
        <f t="shared" si="255"/>
        <v>245.64000000000016</v>
      </c>
      <c r="T747" s="20">
        <f t="shared" si="256"/>
        <v>245.64000000000016</v>
      </c>
      <c r="U747" s="20">
        <f t="shared" si="257"/>
        <v>245.64000000000016</v>
      </c>
      <c r="V747" s="22">
        <v>6.1601999999999997</v>
      </c>
      <c r="W747" s="22">
        <v>2.2917999999999998</v>
      </c>
      <c r="X747" s="23">
        <v>1.1476266666666668</v>
      </c>
      <c r="Y747" s="23">
        <f t="shared" si="264"/>
        <v>5.0125733333333331</v>
      </c>
      <c r="Z747" s="23">
        <f t="shared" si="265"/>
        <v>1.144173333333333</v>
      </c>
      <c r="AA747" s="22">
        <f t="shared" si="266"/>
        <v>77.173933282439094</v>
      </c>
      <c r="AB747" s="22">
        <f t="shared" si="267"/>
        <v>22.826066717560906</v>
      </c>
      <c r="AC747" s="22">
        <f t="shared" si="258"/>
        <v>1.4830468832586114</v>
      </c>
      <c r="AD747" s="22">
        <f t="shared" si="259"/>
        <v>0.33852127102531815</v>
      </c>
      <c r="AE747" s="27">
        <v>6.4447000000000001</v>
      </c>
      <c r="AF747" s="27">
        <v>6.5453999999999999</v>
      </c>
      <c r="AG747" s="27">
        <v>6.4988000000000001</v>
      </c>
      <c r="AH747" s="26">
        <v>5.4100000000000002E-2</v>
      </c>
      <c r="AI747" s="26">
        <v>46.276067529999999</v>
      </c>
      <c r="AJ747" s="26">
        <f t="shared" si="260"/>
        <v>2.3138033765000001</v>
      </c>
      <c r="AK747" s="26">
        <f t="shared" si="261"/>
        <v>26.749171982658961</v>
      </c>
      <c r="AL747" s="26">
        <f t="shared" si="262"/>
        <v>2.3155530797420303</v>
      </c>
      <c r="AM747" s="17">
        <f t="shared" si="268"/>
        <v>0.5780346820809249</v>
      </c>
      <c r="AN747" s="17"/>
      <c r="AO747" s="27"/>
      <c r="AS747" s="49"/>
      <c r="AT747" s="25"/>
      <c r="AU747" s="17"/>
      <c r="AV747" s="17"/>
      <c r="AW747" s="17"/>
      <c r="AX747" s="27"/>
      <c r="BB747" s="17"/>
    </row>
    <row r="748" spans="1:54" x14ac:dyDescent="0.2">
      <c r="A748" s="17" t="s">
        <v>77</v>
      </c>
      <c r="B748" s="17" t="s">
        <v>78</v>
      </c>
      <c r="C748" s="17" t="str">
        <f t="shared" si="252"/>
        <v>HER42PB1F</v>
      </c>
      <c r="D748" s="17" t="str">
        <f t="shared" si="253"/>
        <v>HER42PB1F_217</v>
      </c>
      <c r="E748" s="27" t="s">
        <v>84</v>
      </c>
      <c r="F748" s="17">
        <v>217</v>
      </c>
      <c r="G748" s="20">
        <v>2.15</v>
      </c>
      <c r="H748" s="20">
        <v>2.2999999999999998</v>
      </c>
      <c r="I748" s="20">
        <v>1.1000000000000001</v>
      </c>
      <c r="J748" s="22">
        <f t="shared" si="251"/>
        <v>4.2748646874999991</v>
      </c>
      <c r="K748" s="53">
        <v>0.18000000000000013</v>
      </c>
      <c r="L748" s="45">
        <f t="shared" si="247"/>
        <v>46.319999999999993</v>
      </c>
      <c r="M748" s="45">
        <f t="shared" si="248"/>
        <v>47.419999999999995</v>
      </c>
      <c r="N748" s="46">
        <f t="shared" si="249"/>
        <v>46.86999999999999</v>
      </c>
      <c r="O748" s="20">
        <f t="shared" si="246"/>
        <v>246.32000000000016</v>
      </c>
      <c r="P748" s="20">
        <f t="shared" si="263"/>
        <v>247.42000000000016</v>
      </c>
      <c r="Q748" s="20">
        <f t="shared" si="250"/>
        <v>246.87000000000018</v>
      </c>
      <c r="R748" s="20">
        <f t="shared" si="254"/>
        <v>246.32000000000016</v>
      </c>
      <c r="S748" s="20">
        <f t="shared" si="255"/>
        <v>246.87000000000018</v>
      </c>
      <c r="T748" s="20">
        <f t="shared" si="256"/>
        <v>246.87000000000018</v>
      </c>
      <c r="U748" s="20">
        <f t="shared" si="257"/>
        <v>246.87000000000018</v>
      </c>
      <c r="V748" s="22">
        <v>7.1361999999999997</v>
      </c>
      <c r="W748" s="22">
        <v>2.4624000000000001</v>
      </c>
      <c r="X748" s="23">
        <v>1.1476266666666668</v>
      </c>
      <c r="Y748" s="23">
        <f t="shared" si="264"/>
        <v>5.9885733333333331</v>
      </c>
      <c r="Z748" s="23">
        <f t="shared" si="265"/>
        <v>1.3147733333333333</v>
      </c>
      <c r="AA748" s="22">
        <f t="shared" si="266"/>
        <v>78.045299603912341</v>
      </c>
      <c r="AB748" s="22">
        <f t="shared" si="267"/>
        <v>21.954700396087659</v>
      </c>
      <c r="AC748" s="22">
        <f t="shared" si="258"/>
        <v>1.4008802081722813</v>
      </c>
      <c r="AD748" s="22">
        <f t="shared" si="259"/>
        <v>0.30755905261231348</v>
      </c>
      <c r="AE748" s="27">
        <v>6.4225000000000003</v>
      </c>
      <c r="AF748" s="27">
        <v>6.5255000000000001</v>
      </c>
      <c r="AG748" s="27">
        <v>6.4810999999999996</v>
      </c>
      <c r="AH748" s="26">
        <v>5.8599999999999999E-2</v>
      </c>
      <c r="AI748" s="26">
        <v>43.106796119999998</v>
      </c>
      <c r="AJ748" s="26">
        <f t="shared" si="260"/>
        <v>2.1553398060000002</v>
      </c>
      <c r="AK748" s="26">
        <f t="shared" si="261"/>
        <v>24.917223190751447</v>
      </c>
      <c r="AL748" s="26">
        <f t="shared" si="262"/>
        <v>2.1572180416749993</v>
      </c>
      <c r="AM748" s="17">
        <f t="shared" si="268"/>
        <v>0.5780346820809249</v>
      </c>
      <c r="AN748" s="17"/>
      <c r="AO748" s="27"/>
      <c r="AS748" s="49"/>
      <c r="AT748" s="25"/>
      <c r="AU748" s="17"/>
      <c r="AV748" s="17"/>
      <c r="AW748" s="17"/>
      <c r="AX748" s="27"/>
      <c r="BB748" s="17"/>
    </row>
    <row r="749" spans="1:54" x14ac:dyDescent="0.2">
      <c r="A749" s="17" t="s">
        <v>77</v>
      </c>
      <c r="B749" s="17" t="s">
        <v>78</v>
      </c>
      <c r="C749" s="17" t="str">
        <f t="shared" si="252"/>
        <v>HER42PB1F</v>
      </c>
      <c r="D749" s="17" t="str">
        <f t="shared" si="253"/>
        <v>HER42PB1F_218</v>
      </c>
      <c r="E749" s="27" t="s">
        <v>84</v>
      </c>
      <c r="F749" s="17">
        <v>218</v>
      </c>
      <c r="G749" s="20">
        <v>2.2000000000000002</v>
      </c>
      <c r="H749" s="20">
        <v>2.0499999999999998</v>
      </c>
      <c r="I749" s="20">
        <v>1.9</v>
      </c>
      <c r="J749" s="22">
        <f t="shared" si="251"/>
        <v>6.7350546874999999</v>
      </c>
      <c r="K749" s="53">
        <v>0.18000000000000013</v>
      </c>
      <c r="L749" s="45">
        <f t="shared" si="247"/>
        <v>47.599999999999994</v>
      </c>
      <c r="M749" s="45">
        <f t="shared" si="248"/>
        <v>49.499999999999993</v>
      </c>
      <c r="N749" s="46">
        <f t="shared" si="249"/>
        <v>48.55</v>
      </c>
      <c r="O749" s="20">
        <f t="shared" si="246"/>
        <v>247.60000000000016</v>
      </c>
      <c r="P749" s="20">
        <f t="shared" si="263"/>
        <v>249.50000000000017</v>
      </c>
      <c r="Q749" s="20">
        <f t="shared" si="250"/>
        <v>248.55000000000018</v>
      </c>
      <c r="R749" s="20">
        <f t="shared" si="254"/>
        <v>247.60000000000016</v>
      </c>
      <c r="S749" s="20">
        <f t="shared" si="255"/>
        <v>248.55000000000018</v>
      </c>
      <c r="T749" s="20">
        <f t="shared" si="256"/>
        <v>248.55000000000018</v>
      </c>
      <c r="U749" s="20">
        <f t="shared" si="257"/>
        <v>248.55000000000018</v>
      </c>
      <c r="V749" s="22">
        <v>10.3346</v>
      </c>
      <c r="W749" s="22">
        <v>3.024</v>
      </c>
      <c r="X749" s="23">
        <v>1.1476266666666668</v>
      </c>
      <c r="Y749" s="23">
        <f t="shared" si="264"/>
        <v>9.1869733333333325</v>
      </c>
      <c r="Z749" s="23">
        <f t="shared" si="265"/>
        <v>1.8763733333333332</v>
      </c>
      <c r="AA749" s="22">
        <f t="shared" si="266"/>
        <v>79.575718081979844</v>
      </c>
      <c r="AB749" s="22">
        <f t="shared" si="267"/>
        <v>20.424281918020156</v>
      </c>
      <c r="AC749" s="22">
        <f t="shared" si="258"/>
        <v>1.3640532645390391</v>
      </c>
      <c r="AD749" s="22">
        <f t="shared" si="259"/>
        <v>0.27859808426141058</v>
      </c>
      <c r="AE749" s="27">
        <v>6.6185</v>
      </c>
      <c r="AF749" s="27">
        <v>6.8239000000000001</v>
      </c>
      <c r="AG749" s="27">
        <v>6.7394999999999996</v>
      </c>
      <c r="AH749" s="26">
        <v>0.121</v>
      </c>
      <c r="AI749" s="26">
        <v>41.090555010000003</v>
      </c>
      <c r="AJ749" s="26">
        <f t="shared" si="260"/>
        <v>2.0545277505000001</v>
      </c>
      <c r="AK749" s="26">
        <f t="shared" si="261"/>
        <v>23.751765901734107</v>
      </c>
      <c r="AL749" s="26">
        <f t="shared" si="262"/>
        <v>2.056498061651066</v>
      </c>
      <c r="AM749" s="17">
        <f t="shared" si="268"/>
        <v>0.5780346820809249</v>
      </c>
      <c r="AN749" s="17"/>
      <c r="AO749" s="27"/>
      <c r="AS749" s="49"/>
      <c r="AT749" s="25"/>
      <c r="AU749" s="17"/>
      <c r="AV749" s="17"/>
      <c r="AW749" s="17"/>
      <c r="AX749" s="27"/>
      <c r="BB749" s="17"/>
    </row>
    <row r="750" spans="1:54" x14ac:dyDescent="0.2">
      <c r="A750" s="17" t="s">
        <v>77</v>
      </c>
      <c r="B750" s="17" t="s">
        <v>78</v>
      </c>
      <c r="C750" s="17" t="str">
        <f t="shared" si="252"/>
        <v>HER42PB1G</v>
      </c>
      <c r="D750" s="17" t="str">
        <f t="shared" si="253"/>
        <v>HER42PB1G_219</v>
      </c>
      <c r="E750" s="27" t="s">
        <v>85</v>
      </c>
      <c r="F750" s="17">
        <v>219</v>
      </c>
      <c r="G750" s="20">
        <v>2.1</v>
      </c>
      <c r="H750" s="20">
        <v>2.4</v>
      </c>
      <c r="I750" s="20">
        <v>1.2</v>
      </c>
      <c r="J750" s="22">
        <f t="shared" si="251"/>
        <v>4.7688749999999995</v>
      </c>
      <c r="K750" s="53">
        <v>0.14444444444444471</v>
      </c>
      <c r="L750" s="39">
        <v>0</v>
      </c>
      <c r="M750" s="45">
        <f>L750+I750</f>
        <v>1.2</v>
      </c>
      <c r="N750" s="46">
        <f>L750+((M750-L750)/2)</f>
        <v>0.6</v>
      </c>
      <c r="O750" s="20">
        <v>240</v>
      </c>
      <c r="P750" s="20">
        <f t="shared" si="263"/>
        <v>241.2</v>
      </c>
      <c r="Q750" s="20">
        <f>O750+((P750-O750)/2)</f>
        <v>240.6</v>
      </c>
      <c r="R750" s="20">
        <f t="shared" si="254"/>
        <v>240</v>
      </c>
      <c r="S750" s="20">
        <f t="shared" si="255"/>
        <v>240.6</v>
      </c>
      <c r="T750" s="20">
        <f t="shared" si="256"/>
        <v>240.6</v>
      </c>
      <c r="U750" s="20">
        <f t="shared" si="257"/>
        <v>240.6</v>
      </c>
      <c r="V750" s="22">
        <v>5.8361000000000001</v>
      </c>
      <c r="W750" s="22">
        <v>2.3182</v>
      </c>
      <c r="X750" s="23">
        <v>1.1476266666666668</v>
      </c>
      <c r="Y750" s="23">
        <f t="shared" si="264"/>
        <v>4.6884733333333335</v>
      </c>
      <c r="Z750" s="23">
        <f t="shared" si="265"/>
        <v>1.1705733333333332</v>
      </c>
      <c r="AA750" s="22">
        <f t="shared" si="266"/>
        <v>75.032953157459929</v>
      </c>
      <c r="AB750" s="22">
        <f t="shared" si="267"/>
        <v>24.967046842540071</v>
      </c>
      <c r="AC750" s="22">
        <f t="shared" si="258"/>
        <v>0.98314032834438603</v>
      </c>
      <c r="AD750" s="22">
        <f t="shared" si="259"/>
        <v>0.2454611063056451</v>
      </c>
      <c r="AE750" s="27">
        <v>16.900400000000001</v>
      </c>
      <c r="AF750" s="27">
        <v>17.0471</v>
      </c>
      <c r="AG750" s="27">
        <v>16.978200000000001</v>
      </c>
      <c r="AH750" s="26">
        <v>7.7799999999999994E-2</v>
      </c>
      <c r="AI750" s="26">
        <v>46.966598500000003</v>
      </c>
      <c r="AJ750" s="26">
        <f t="shared" si="260"/>
        <v>2.3483299250000003</v>
      </c>
      <c r="AK750" s="26">
        <f t="shared" si="261"/>
        <v>27.148322832369946</v>
      </c>
      <c r="AL750" s="26">
        <f t="shared" si="262"/>
        <v>2.350053922072961</v>
      </c>
      <c r="AM750" s="17">
        <f t="shared" si="268"/>
        <v>0.5780346820809249</v>
      </c>
      <c r="AN750" s="28" t="s">
        <v>43</v>
      </c>
      <c r="AO750" s="27">
        <v>49.5</v>
      </c>
      <c r="AS750" s="49"/>
      <c r="AT750" s="25"/>
      <c r="AU750" s="17"/>
      <c r="AV750" s="17"/>
      <c r="AW750" s="17"/>
      <c r="AX750" s="27"/>
      <c r="BB750" s="17"/>
    </row>
    <row r="751" spans="1:54" x14ac:dyDescent="0.2">
      <c r="A751" s="17" t="s">
        <v>77</v>
      </c>
      <c r="B751" s="17" t="s">
        <v>78</v>
      </c>
      <c r="C751" s="17" t="str">
        <f t="shared" si="252"/>
        <v>HER42PB1G</v>
      </c>
      <c r="D751" s="17" t="str">
        <f t="shared" si="253"/>
        <v>HER42PB1G_220</v>
      </c>
      <c r="E751" s="27" t="s">
        <v>85</v>
      </c>
      <c r="F751" s="17">
        <v>220</v>
      </c>
      <c r="G751" s="20">
        <v>2.2999999999999998</v>
      </c>
      <c r="H751" s="20">
        <v>2.35</v>
      </c>
      <c r="I751" s="20">
        <v>1.4</v>
      </c>
      <c r="J751" s="22">
        <f t="shared" si="251"/>
        <v>5.9407818750000008</v>
      </c>
      <c r="K751" s="53">
        <v>0.14444444444444471</v>
      </c>
      <c r="L751" s="45">
        <f>M750+K751</f>
        <v>1.3444444444444446</v>
      </c>
      <c r="M751" s="45">
        <f>L751+I751</f>
        <v>2.7444444444444445</v>
      </c>
      <c r="N751" s="46">
        <f>L751+((M751-L751)/2)</f>
        <v>2.0444444444444443</v>
      </c>
      <c r="O751" s="20">
        <f t="shared" ref="O751:O786" si="269">P750+K751</f>
        <v>241.34444444444443</v>
      </c>
      <c r="P751" s="20">
        <f t="shared" si="263"/>
        <v>242.74444444444444</v>
      </c>
      <c r="Q751" s="20">
        <f>O751+((P751-O751)/2)</f>
        <v>242.04444444444442</v>
      </c>
      <c r="R751" s="20">
        <f t="shared" si="254"/>
        <v>241.34444444444443</v>
      </c>
      <c r="S751" s="20">
        <f t="shared" si="255"/>
        <v>242.04444444444442</v>
      </c>
      <c r="T751" s="20">
        <f t="shared" si="256"/>
        <v>242.04444444444442</v>
      </c>
      <c r="U751" s="20">
        <f t="shared" si="257"/>
        <v>242.04444444444442</v>
      </c>
      <c r="V751" s="22">
        <v>7.4520999999999997</v>
      </c>
      <c r="W751" s="22">
        <v>2.6579999999999999</v>
      </c>
      <c r="X751" s="23">
        <v>1.1476266666666668</v>
      </c>
      <c r="Y751" s="23">
        <f t="shared" si="264"/>
        <v>6.3044733333333332</v>
      </c>
      <c r="Z751" s="23">
        <f t="shared" si="265"/>
        <v>1.5103733333333331</v>
      </c>
      <c r="AA751" s="22">
        <f t="shared" si="266"/>
        <v>76.042830963411163</v>
      </c>
      <c r="AB751" s="22">
        <f t="shared" si="267"/>
        <v>23.957169036588837</v>
      </c>
      <c r="AC751" s="22">
        <f t="shared" si="258"/>
        <v>1.061219459994621</v>
      </c>
      <c r="AD751" s="22">
        <f t="shared" si="259"/>
        <v>0.25423813988008659</v>
      </c>
      <c r="AE751" s="27">
        <v>18.7136</v>
      </c>
      <c r="AF751" s="27">
        <v>18.889700000000001</v>
      </c>
      <c r="AG751" s="27">
        <v>18.8111</v>
      </c>
      <c r="AH751" s="26">
        <v>9.7500000000000003E-2</v>
      </c>
      <c r="AI751" s="26">
        <v>44.633730829999998</v>
      </c>
      <c r="AJ751" s="26">
        <f t="shared" si="260"/>
        <v>2.2316865414999998</v>
      </c>
      <c r="AK751" s="26">
        <f t="shared" si="261"/>
        <v>25.799844410404624</v>
      </c>
      <c r="AL751" s="26">
        <f t="shared" si="262"/>
        <v>2.2335005752209312</v>
      </c>
      <c r="AM751" s="17">
        <f t="shared" si="268"/>
        <v>0.5780346820809249</v>
      </c>
      <c r="AN751" s="28" t="s">
        <v>44</v>
      </c>
      <c r="AO751" s="27" t="s">
        <v>59</v>
      </c>
      <c r="AS751" s="49"/>
      <c r="AT751" s="25"/>
      <c r="AU751" s="17"/>
      <c r="AV751" s="17"/>
      <c r="AW751" s="17"/>
      <c r="AX751" s="27"/>
      <c r="BB751" s="17"/>
    </row>
    <row r="752" spans="1:54" x14ac:dyDescent="0.2">
      <c r="A752" s="17" t="s">
        <v>77</v>
      </c>
      <c r="B752" s="17" t="s">
        <v>78</v>
      </c>
      <c r="C752" s="17" t="str">
        <f t="shared" si="252"/>
        <v>HER42PB1G</v>
      </c>
      <c r="D752" s="17" t="str">
        <f t="shared" si="253"/>
        <v>HER42PB1G_221</v>
      </c>
      <c r="E752" s="27" t="s">
        <v>85</v>
      </c>
      <c r="F752" s="17">
        <v>221</v>
      </c>
      <c r="G752" s="20">
        <v>2.4500000000000002</v>
      </c>
      <c r="H752" s="20">
        <v>2.2999999999999998</v>
      </c>
      <c r="I752" s="20">
        <v>1.2</v>
      </c>
      <c r="J752" s="22">
        <f t="shared" si="251"/>
        <v>5.3134687500000002</v>
      </c>
      <c r="K752" s="53">
        <v>0.14444444444444471</v>
      </c>
      <c r="L752" s="45">
        <f t="shared" ref="L752:L786" si="270">M751+K752</f>
        <v>2.8888888888888893</v>
      </c>
      <c r="M752" s="45">
        <f t="shared" ref="M752:M786" si="271">L752+I752</f>
        <v>4.0888888888888895</v>
      </c>
      <c r="N752" s="46">
        <f t="shared" ref="N752:N786" si="272">L752+((M752-L752)/2)</f>
        <v>3.4888888888888894</v>
      </c>
      <c r="O752" s="20">
        <f t="shared" si="269"/>
        <v>242.88888888888889</v>
      </c>
      <c r="P752" s="20">
        <f t="shared" si="263"/>
        <v>244.08888888888887</v>
      </c>
      <c r="Q752" s="20">
        <f t="shared" ref="Q752:Q786" si="273">O752+((P752-O752)/2)</f>
        <v>243.48888888888888</v>
      </c>
      <c r="R752" s="20">
        <f t="shared" si="254"/>
        <v>242.88888888888889</v>
      </c>
      <c r="S752" s="20">
        <f t="shared" si="255"/>
        <v>243.48888888888888</v>
      </c>
      <c r="T752" s="20">
        <f t="shared" si="256"/>
        <v>243.48888888888888</v>
      </c>
      <c r="U752" s="20">
        <f t="shared" si="257"/>
        <v>243.48888888888888</v>
      </c>
      <c r="V752" s="22">
        <v>7.1387</v>
      </c>
      <c r="W752" s="22">
        <v>3.1078000000000001</v>
      </c>
      <c r="X752" s="23">
        <v>1.1476266666666668</v>
      </c>
      <c r="Y752" s="23">
        <f t="shared" si="264"/>
        <v>5.9910733333333335</v>
      </c>
      <c r="Z752" s="23">
        <f t="shared" si="265"/>
        <v>1.9601733333333333</v>
      </c>
      <c r="AA752" s="22">
        <f t="shared" si="266"/>
        <v>67.281766984435734</v>
      </c>
      <c r="AB752" s="22">
        <f t="shared" si="267"/>
        <v>32.718233015564266</v>
      </c>
      <c r="AC752" s="22">
        <f t="shared" si="258"/>
        <v>1.1275258433266091</v>
      </c>
      <c r="AD752" s="22">
        <f t="shared" si="259"/>
        <v>0.36890653273030605</v>
      </c>
      <c r="AE752" s="27">
        <v>13.1416</v>
      </c>
      <c r="AF752" s="27">
        <v>13.388299999999999</v>
      </c>
      <c r="AG752" s="27">
        <v>13.3154</v>
      </c>
      <c r="AH752" s="26">
        <v>0.17380000000000001</v>
      </c>
      <c r="AI752" s="26">
        <v>29.550060800000001</v>
      </c>
      <c r="AJ752" s="26">
        <f t="shared" si="260"/>
        <v>1.4775030400000002</v>
      </c>
      <c r="AK752" s="26">
        <f t="shared" si="261"/>
        <v>17.080960000000001</v>
      </c>
      <c r="AL752" s="26">
        <f t="shared" si="262"/>
        <v>1.4802416131190348</v>
      </c>
      <c r="AM752" s="17">
        <f t="shared" si="268"/>
        <v>0.5780346820809249</v>
      </c>
      <c r="AN752" s="28" t="s">
        <v>46</v>
      </c>
      <c r="AO752" s="29">
        <f>SUM(I750:I786)</f>
        <v>44.29999999999999</v>
      </c>
      <c r="AS752" s="49"/>
      <c r="AT752" s="25"/>
      <c r="AU752" s="17"/>
      <c r="AV752" s="17"/>
      <c r="AW752" s="17"/>
      <c r="AX752" s="27"/>
      <c r="BB752" s="17"/>
    </row>
    <row r="753" spans="1:54" x14ac:dyDescent="0.2">
      <c r="A753" s="17" t="s">
        <v>77</v>
      </c>
      <c r="B753" s="17" t="s">
        <v>78</v>
      </c>
      <c r="C753" s="17" t="str">
        <f t="shared" si="252"/>
        <v>HER42PB1G</v>
      </c>
      <c r="D753" s="17" t="str">
        <f t="shared" si="253"/>
        <v>HER42PB1G_222</v>
      </c>
      <c r="E753" s="27" t="s">
        <v>85</v>
      </c>
      <c r="F753" s="17">
        <v>222</v>
      </c>
      <c r="G753" s="20">
        <v>2.2999999999999998</v>
      </c>
      <c r="H753" s="20">
        <v>2.4</v>
      </c>
      <c r="I753" s="20">
        <v>1.2</v>
      </c>
      <c r="J753" s="22">
        <f t="shared" si="251"/>
        <v>5.2021949999999988</v>
      </c>
      <c r="K753" s="53">
        <v>0.14444444444444471</v>
      </c>
      <c r="L753" s="45">
        <f t="shared" si="270"/>
        <v>4.2333333333333343</v>
      </c>
      <c r="M753" s="45">
        <f t="shared" si="271"/>
        <v>5.4333333333333345</v>
      </c>
      <c r="N753" s="46">
        <f t="shared" si="272"/>
        <v>4.8333333333333339</v>
      </c>
      <c r="O753" s="20">
        <f t="shared" si="269"/>
        <v>244.23333333333332</v>
      </c>
      <c r="P753" s="20">
        <f t="shared" si="263"/>
        <v>245.43333333333331</v>
      </c>
      <c r="Q753" s="20">
        <f t="shared" si="273"/>
        <v>244.83333333333331</v>
      </c>
      <c r="R753" s="20">
        <f t="shared" si="254"/>
        <v>244.23333333333332</v>
      </c>
      <c r="S753" s="20">
        <f t="shared" si="255"/>
        <v>244.83333333333331</v>
      </c>
      <c r="T753" s="20">
        <f t="shared" si="256"/>
        <v>244.83333333333331</v>
      </c>
      <c r="U753" s="20">
        <f t="shared" si="257"/>
        <v>244.83333333333331</v>
      </c>
      <c r="V753" s="22">
        <v>7.8720999999999997</v>
      </c>
      <c r="W753" s="22">
        <v>3.0634999999999999</v>
      </c>
      <c r="X753" s="23">
        <v>1.1476266666666668</v>
      </c>
      <c r="Y753" s="23">
        <f t="shared" si="264"/>
        <v>6.7244733333333331</v>
      </c>
      <c r="Z753" s="23">
        <f t="shared" si="265"/>
        <v>1.9158733333333331</v>
      </c>
      <c r="AA753" s="22">
        <f t="shared" si="266"/>
        <v>71.508945929842341</v>
      </c>
      <c r="AB753" s="22">
        <f t="shared" si="267"/>
        <v>28.491054070157659</v>
      </c>
      <c r="AC753" s="22">
        <f t="shared" si="258"/>
        <v>1.2926223129531542</v>
      </c>
      <c r="AD753" s="22">
        <f t="shared" si="259"/>
        <v>0.36828172210640575</v>
      </c>
      <c r="AE753" s="27">
        <v>10.3492</v>
      </c>
      <c r="AF753" s="27">
        <v>10.529400000000001</v>
      </c>
      <c r="AG753" s="27">
        <v>10.4633</v>
      </c>
      <c r="AH753" s="26">
        <v>0.11409999999999999</v>
      </c>
      <c r="AI753" s="26">
        <v>36.681465039999999</v>
      </c>
      <c r="AJ753" s="26">
        <f t="shared" si="260"/>
        <v>1.834073252</v>
      </c>
      <c r="AK753" s="26">
        <f t="shared" si="261"/>
        <v>21.203158982658962</v>
      </c>
      <c r="AL753" s="26">
        <f t="shared" si="262"/>
        <v>1.8362801239739692</v>
      </c>
      <c r="AM753" s="17">
        <f t="shared" si="268"/>
        <v>0.5780346820809249</v>
      </c>
      <c r="AN753" s="28" t="s">
        <v>47</v>
      </c>
      <c r="AO753" s="29">
        <f>AO750-AO752</f>
        <v>5.2000000000000099</v>
      </c>
      <c r="AS753" s="49"/>
      <c r="AT753" s="25"/>
      <c r="AU753" s="17"/>
      <c r="AV753" s="17"/>
      <c r="AW753" s="17"/>
      <c r="AX753" s="27"/>
      <c r="BB753" s="17"/>
    </row>
    <row r="754" spans="1:54" x14ac:dyDescent="0.2">
      <c r="A754" s="17" t="s">
        <v>77</v>
      </c>
      <c r="B754" s="17" t="s">
        <v>78</v>
      </c>
      <c r="C754" s="17" t="str">
        <f t="shared" si="252"/>
        <v>HER42PB1G</v>
      </c>
      <c r="D754" s="17" t="str">
        <f t="shared" si="253"/>
        <v>HER42PB1G_223</v>
      </c>
      <c r="E754" s="27" t="s">
        <v>85</v>
      </c>
      <c r="F754" s="17">
        <v>223</v>
      </c>
      <c r="G754" s="20">
        <v>2.2999999999999998</v>
      </c>
      <c r="H754" s="20">
        <v>2.35</v>
      </c>
      <c r="I754" s="20">
        <v>1.2</v>
      </c>
      <c r="J754" s="22">
        <f t="shared" si="251"/>
        <v>5.0920987500000008</v>
      </c>
      <c r="K754" s="53">
        <v>0.14444444444444471</v>
      </c>
      <c r="L754" s="45">
        <f t="shared" si="270"/>
        <v>5.5777777777777793</v>
      </c>
      <c r="M754" s="45">
        <f t="shared" si="271"/>
        <v>6.7777777777777795</v>
      </c>
      <c r="N754" s="46">
        <f t="shared" si="272"/>
        <v>6.1777777777777789</v>
      </c>
      <c r="O754" s="20">
        <f t="shared" si="269"/>
        <v>245.57777777777775</v>
      </c>
      <c r="P754" s="20">
        <f t="shared" si="263"/>
        <v>246.77777777777774</v>
      </c>
      <c r="Q754" s="20">
        <f t="shared" si="273"/>
        <v>246.17777777777775</v>
      </c>
      <c r="R754" s="20">
        <f t="shared" si="254"/>
        <v>245.57777777777775</v>
      </c>
      <c r="S754" s="20">
        <f t="shared" si="255"/>
        <v>246.17777777777775</v>
      </c>
      <c r="T754" s="20">
        <f t="shared" si="256"/>
        <v>246.17777777777775</v>
      </c>
      <c r="U754" s="20">
        <f t="shared" si="257"/>
        <v>246.17777777777775</v>
      </c>
      <c r="V754" s="22">
        <v>7.6375000000000002</v>
      </c>
      <c r="W754" s="22">
        <v>2.3839000000000001</v>
      </c>
      <c r="X754" s="23">
        <v>1.1476266666666668</v>
      </c>
      <c r="Y754" s="23">
        <f t="shared" si="264"/>
        <v>6.4898733333333336</v>
      </c>
      <c r="Z754" s="23">
        <f t="shared" si="265"/>
        <v>1.2362733333333333</v>
      </c>
      <c r="AA754" s="22">
        <f t="shared" si="266"/>
        <v>80.950732474491033</v>
      </c>
      <c r="AB754" s="22">
        <f t="shared" si="267"/>
        <v>19.049267525508967</v>
      </c>
      <c r="AC754" s="22">
        <f t="shared" si="258"/>
        <v>1.2744987188894035</v>
      </c>
      <c r="AD754" s="22">
        <f t="shared" si="259"/>
        <v>0.24278267057042702</v>
      </c>
      <c r="AE754" s="27">
        <v>10.754300000000001</v>
      </c>
      <c r="AF754" s="27">
        <v>10.8949</v>
      </c>
      <c r="AG754" s="27">
        <v>10.7974</v>
      </c>
      <c r="AH754" s="26">
        <v>4.3099999999999999E-2</v>
      </c>
      <c r="AI754" s="26">
        <v>69.345661449999994</v>
      </c>
      <c r="AJ754" s="26">
        <f t="shared" si="260"/>
        <v>3.4672830724999999</v>
      </c>
      <c r="AK754" s="26">
        <f t="shared" si="261"/>
        <v>40.084197369942196</v>
      </c>
      <c r="AL754" s="26">
        <f t="shared" si="262"/>
        <v>3.4684509373559025</v>
      </c>
      <c r="AM754" s="17">
        <f t="shared" si="268"/>
        <v>0.5780346820809249</v>
      </c>
      <c r="AN754" s="28" t="s">
        <v>48</v>
      </c>
      <c r="AO754" s="27">
        <v>36</v>
      </c>
      <c r="AS754" s="49"/>
      <c r="AT754" s="25"/>
      <c r="AU754" s="17"/>
      <c r="AV754" s="17"/>
      <c r="AW754" s="17"/>
      <c r="AX754" s="27"/>
      <c r="BB754" s="17"/>
    </row>
    <row r="755" spans="1:54" x14ac:dyDescent="0.2">
      <c r="A755" s="17" t="s">
        <v>77</v>
      </c>
      <c r="B755" s="17" t="s">
        <v>78</v>
      </c>
      <c r="C755" s="17" t="str">
        <f t="shared" si="252"/>
        <v>HER42PB1G</v>
      </c>
      <c r="D755" s="17" t="str">
        <f t="shared" si="253"/>
        <v>HER42PB1G_224</v>
      </c>
      <c r="E755" s="27" t="s">
        <v>85</v>
      </c>
      <c r="F755" s="17">
        <v>224</v>
      </c>
      <c r="G755" s="20">
        <v>2.4</v>
      </c>
      <c r="H755" s="20">
        <v>2.25</v>
      </c>
      <c r="I755" s="20">
        <v>1.2</v>
      </c>
      <c r="J755" s="22">
        <f t="shared" si="251"/>
        <v>5.0920987500000008</v>
      </c>
      <c r="K755" s="53">
        <v>0.14444444444444471</v>
      </c>
      <c r="L755" s="45">
        <f t="shared" si="270"/>
        <v>6.9222222222222243</v>
      </c>
      <c r="M755" s="45">
        <f t="shared" si="271"/>
        <v>8.1222222222222236</v>
      </c>
      <c r="N755" s="46">
        <f t="shared" si="272"/>
        <v>7.5222222222222239</v>
      </c>
      <c r="O755" s="20">
        <f t="shared" si="269"/>
        <v>246.92222222222219</v>
      </c>
      <c r="P755" s="20">
        <f t="shared" si="263"/>
        <v>248.12222222222218</v>
      </c>
      <c r="Q755" s="20">
        <f t="shared" si="273"/>
        <v>247.52222222222218</v>
      </c>
      <c r="R755" s="20">
        <f t="shared" si="254"/>
        <v>246.92222222222219</v>
      </c>
      <c r="S755" s="20">
        <f t="shared" si="255"/>
        <v>247.52222222222218</v>
      </c>
      <c r="T755" s="20">
        <f t="shared" si="256"/>
        <v>247.52222222222218</v>
      </c>
      <c r="U755" s="20">
        <f t="shared" si="257"/>
        <v>247.52222222222218</v>
      </c>
      <c r="V755" s="22">
        <v>7.0198999999999998</v>
      </c>
      <c r="W755" s="22">
        <v>1.9341999999999999</v>
      </c>
      <c r="X755" s="23">
        <v>1.1476266666666668</v>
      </c>
      <c r="Y755" s="23">
        <f t="shared" si="264"/>
        <v>5.8722733333333332</v>
      </c>
      <c r="Z755" s="23">
        <f t="shared" si="265"/>
        <v>0.78657333333333312</v>
      </c>
      <c r="AA755" s="22">
        <f t="shared" si="266"/>
        <v>86.605301070227199</v>
      </c>
      <c r="AB755" s="22">
        <f t="shared" si="267"/>
        <v>13.394698929772801</v>
      </c>
      <c r="AC755" s="22">
        <f t="shared" si="258"/>
        <v>1.153212775642525</v>
      </c>
      <c r="AD755" s="22">
        <f t="shared" si="259"/>
        <v>0.15446937931699242</v>
      </c>
      <c r="AE755" s="27">
        <v>9.5379000000000005</v>
      </c>
      <c r="AF755" s="27">
        <v>9.6492000000000004</v>
      </c>
      <c r="AG755" s="27">
        <v>9.5616000000000003</v>
      </c>
      <c r="AH755" s="26">
        <v>2.3699999999999999E-2</v>
      </c>
      <c r="AI755" s="26">
        <v>78.706199459999993</v>
      </c>
      <c r="AJ755" s="26">
        <f t="shared" si="260"/>
        <v>3.9353099729999999</v>
      </c>
      <c r="AK755" s="26">
        <f t="shared" si="261"/>
        <v>45.49491298265896</v>
      </c>
      <c r="AL755" s="26">
        <f t="shared" si="262"/>
        <v>3.9363389823023702</v>
      </c>
      <c r="AM755" s="17">
        <f t="shared" si="268"/>
        <v>0.5780346820809249</v>
      </c>
      <c r="AN755" s="28" t="s">
        <v>49</v>
      </c>
      <c r="AO755" s="30">
        <f>AO753/AO754</f>
        <v>0.14444444444444471</v>
      </c>
      <c r="AS755" s="49"/>
      <c r="AT755" s="25"/>
      <c r="AU755" s="17"/>
      <c r="AV755" s="17"/>
      <c r="AW755" s="17"/>
      <c r="AX755" s="27"/>
      <c r="BB755" s="17"/>
    </row>
    <row r="756" spans="1:54" x14ac:dyDescent="0.2">
      <c r="A756" s="17" t="s">
        <v>77</v>
      </c>
      <c r="B756" s="17" t="s">
        <v>78</v>
      </c>
      <c r="C756" s="17" t="str">
        <f t="shared" si="252"/>
        <v>HER42PB1G</v>
      </c>
      <c r="D756" s="17" t="str">
        <f t="shared" si="253"/>
        <v>HER42PB1G_225</v>
      </c>
      <c r="E756" s="27" t="s">
        <v>85</v>
      </c>
      <c r="F756" s="17">
        <v>225</v>
      </c>
      <c r="G756" s="20">
        <v>2.2999999999999998</v>
      </c>
      <c r="H756" s="20">
        <v>2.35</v>
      </c>
      <c r="I756" s="20">
        <v>1.25</v>
      </c>
      <c r="J756" s="22">
        <f t="shared" si="251"/>
        <v>5.304269531250001</v>
      </c>
      <c r="K756" s="53">
        <v>0.14444444444444471</v>
      </c>
      <c r="L756" s="45">
        <f t="shared" si="270"/>
        <v>8.2666666666666675</v>
      </c>
      <c r="M756" s="45">
        <f t="shared" si="271"/>
        <v>9.5166666666666675</v>
      </c>
      <c r="N756" s="46">
        <f t="shared" si="272"/>
        <v>8.8916666666666675</v>
      </c>
      <c r="O756" s="20">
        <f t="shared" si="269"/>
        <v>248.26666666666662</v>
      </c>
      <c r="P756" s="20">
        <f t="shared" si="263"/>
        <v>249.51666666666662</v>
      </c>
      <c r="Q756" s="20">
        <f t="shared" si="273"/>
        <v>248.89166666666662</v>
      </c>
      <c r="R756" s="20">
        <f t="shared" si="254"/>
        <v>248.26666666666662</v>
      </c>
      <c r="S756" s="20">
        <f t="shared" si="255"/>
        <v>248.89166666666662</v>
      </c>
      <c r="T756" s="20">
        <f t="shared" si="256"/>
        <v>248.89166666666662</v>
      </c>
      <c r="U756" s="20">
        <f t="shared" si="257"/>
        <v>248.89166666666662</v>
      </c>
      <c r="V756" s="22">
        <v>7.4729999999999999</v>
      </c>
      <c r="W756" s="22">
        <v>1.9890000000000001</v>
      </c>
      <c r="X756" s="23">
        <v>1.1476266666666668</v>
      </c>
      <c r="Y756" s="23">
        <f t="shared" si="264"/>
        <v>6.3253733333333333</v>
      </c>
      <c r="Z756" s="23">
        <f t="shared" si="265"/>
        <v>0.84137333333333331</v>
      </c>
      <c r="AA756" s="22">
        <f t="shared" si="266"/>
        <v>86.698439933980183</v>
      </c>
      <c r="AB756" s="22">
        <f t="shared" si="267"/>
        <v>13.301560066019817</v>
      </c>
      <c r="AC756" s="22">
        <f t="shared" si="258"/>
        <v>1.1925060172880582</v>
      </c>
      <c r="AD756" s="22">
        <f t="shared" si="259"/>
        <v>0.15862190418047173</v>
      </c>
      <c r="AE756" s="27">
        <v>16.203499999999998</v>
      </c>
      <c r="AF756" s="27">
        <v>16.2822</v>
      </c>
      <c r="AG756" s="27">
        <v>16.221800000000002</v>
      </c>
      <c r="AH756" s="26">
        <v>1.83E-2</v>
      </c>
      <c r="AI756" s="26">
        <v>76.747141040000002</v>
      </c>
      <c r="AJ756" s="26">
        <f t="shared" si="260"/>
        <v>3.8373570520000002</v>
      </c>
      <c r="AK756" s="26">
        <f t="shared" si="261"/>
        <v>44.362509271676302</v>
      </c>
      <c r="AL756" s="26">
        <f t="shared" si="262"/>
        <v>3.8384123208084526</v>
      </c>
      <c r="AM756" s="17">
        <f t="shared" si="268"/>
        <v>0.5780346820809249</v>
      </c>
      <c r="AN756" s="17"/>
      <c r="AO756" s="27"/>
      <c r="AS756" s="49"/>
      <c r="AT756" s="25"/>
      <c r="AU756" s="17"/>
      <c r="AV756" s="17"/>
      <c r="AW756" s="17"/>
      <c r="AX756" s="27"/>
      <c r="BB756" s="17"/>
    </row>
    <row r="757" spans="1:54" x14ac:dyDescent="0.2">
      <c r="A757" s="17" t="s">
        <v>77</v>
      </c>
      <c r="B757" s="17" t="s">
        <v>78</v>
      </c>
      <c r="C757" s="17" t="str">
        <f t="shared" si="252"/>
        <v>HER42PB1G</v>
      </c>
      <c r="D757" s="17" t="str">
        <f t="shared" si="253"/>
        <v>HER42PB1G_226</v>
      </c>
      <c r="E757" s="27" t="s">
        <v>85</v>
      </c>
      <c r="F757" s="17">
        <v>226</v>
      </c>
      <c r="G757" s="20">
        <v>2.2999999999999998</v>
      </c>
      <c r="H757" s="20">
        <v>2.2999999999999998</v>
      </c>
      <c r="I757" s="20">
        <v>1.2</v>
      </c>
      <c r="J757" s="22">
        <f t="shared" si="251"/>
        <v>4.9831799999999991</v>
      </c>
      <c r="K757" s="53">
        <v>0.14444444444444471</v>
      </c>
      <c r="L757" s="45">
        <f t="shared" si="270"/>
        <v>9.6611111111111114</v>
      </c>
      <c r="M757" s="45">
        <f t="shared" si="271"/>
        <v>10.861111111111111</v>
      </c>
      <c r="N757" s="46">
        <f t="shared" si="272"/>
        <v>10.261111111111111</v>
      </c>
      <c r="O757" s="20">
        <f t="shared" si="269"/>
        <v>249.66111111111107</v>
      </c>
      <c r="P757" s="20">
        <f t="shared" si="263"/>
        <v>250.86111111111106</v>
      </c>
      <c r="Q757" s="20">
        <f t="shared" si="273"/>
        <v>250.26111111111106</v>
      </c>
      <c r="R757" s="20">
        <f t="shared" si="254"/>
        <v>249.66111111111107</v>
      </c>
      <c r="S757" s="20">
        <f t="shared" si="255"/>
        <v>250.26111111111106</v>
      </c>
      <c r="T757" s="20">
        <f t="shared" si="256"/>
        <v>250.26111111111106</v>
      </c>
      <c r="U757" s="20">
        <f t="shared" si="257"/>
        <v>250.26111111111106</v>
      </c>
      <c r="V757" s="22">
        <v>7.2474999999999996</v>
      </c>
      <c r="W757" s="22">
        <v>1.9531000000000001</v>
      </c>
      <c r="X757" s="23">
        <v>1.1476266666666668</v>
      </c>
      <c r="Y757" s="23">
        <f t="shared" si="264"/>
        <v>6.099873333333333</v>
      </c>
      <c r="Z757" s="23">
        <f t="shared" si="265"/>
        <v>0.80547333333333326</v>
      </c>
      <c r="AA757" s="22">
        <f t="shared" si="266"/>
        <v>86.795244928583216</v>
      </c>
      <c r="AB757" s="22">
        <f t="shared" si="267"/>
        <v>13.204755071416784</v>
      </c>
      <c r="AC757" s="22">
        <f t="shared" si="258"/>
        <v>1.2240925138833705</v>
      </c>
      <c r="AD757" s="22">
        <f t="shared" si="259"/>
        <v>0.16163841830584755</v>
      </c>
      <c r="AE757" s="27">
        <v>12.418200000000001</v>
      </c>
      <c r="AF757" s="27">
        <v>12.4876</v>
      </c>
      <c r="AG757" s="27">
        <v>12.4358</v>
      </c>
      <c r="AH757" s="26">
        <v>1.7600000000000001E-2</v>
      </c>
      <c r="AI757" s="26">
        <v>74.639769450000003</v>
      </c>
      <c r="AJ757" s="26">
        <f t="shared" si="260"/>
        <v>3.7319884725000003</v>
      </c>
      <c r="AK757" s="26">
        <f t="shared" si="261"/>
        <v>43.144375404624284</v>
      </c>
      <c r="AL757" s="26">
        <f t="shared" si="262"/>
        <v>3.7330735271184903</v>
      </c>
      <c r="AM757" s="17">
        <f t="shared" si="268"/>
        <v>0.5780346820809249</v>
      </c>
      <c r="AN757" s="17"/>
      <c r="AO757" s="27"/>
      <c r="AS757" s="49"/>
      <c r="AT757" s="25"/>
      <c r="AU757" s="17"/>
      <c r="AV757" s="17"/>
      <c r="AW757" s="17"/>
      <c r="AX757" s="27"/>
      <c r="BB757" s="17"/>
    </row>
    <row r="758" spans="1:54" x14ac:dyDescent="0.2">
      <c r="A758" s="17" t="s">
        <v>77</v>
      </c>
      <c r="B758" s="17" t="s">
        <v>78</v>
      </c>
      <c r="C758" s="17" t="str">
        <f t="shared" si="252"/>
        <v>HER42PB1G</v>
      </c>
      <c r="D758" s="17" t="str">
        <f t="shared" si="253"/>
        <v>HER42PB1G_227</v>
      </c>
      <c r="E758" s="27" t="s">
        <v>85</v>
      </c>
      <c r="F758" s="17">
        <v>227</v>
      </c>
      <c r="G758" s="20">
        <v>2.2999999999999998</v>
      </c>
      <c r="H758" s="20">
        <v>2.25</v>
      </c>
      <c r="I758" s="20">
        <v>1.25</v>
      </c>
      <c r="J758" s="22">
        <f t="shared" si="251"/>
        <v>5.0785820312499999</v>
      </c>
      <c r="K758" s="53">
        <v>0.14444444444444471</v>
      </c>
      <c r="L758" s="45">
        <f t="shared" si="270"/>
        <v>11.005555555555555</v>
      </c>
      <c r="M758" s="45">
        <f t="shared" si="271"/>
        <v>12.255555555555555</v>
      </c>
      <c r="N758" s="46">
        <f t="shared" si="272"/>
        <v>11.630555555555555</v>
      </c>
      <c r="O758" s="20">
        <f t="shared" si="269"/>
        <v>251.0055555555555</v>
      </c>
      <c r="P758" s="20">
        <f t="shared" si="263"/>
        <v>252.2555555555555</v>
      </c>
      <c r="Q758" s="20">
        <f t="shared" si="273"/>
        <v>251.6305555555555</v>
      </c>
      <c r="R758" s="20">
        <f t="shared" si="254"/>
        <v>251.0055555555555</v>
      </c>
      <c r="S758" s="20">
        <f t="shared" si="255"/>
        <v>251.6305555555555</v>
      </c>
      <c r="T758" s="20">
        <f t="shared" si="256"/>
        <v>251.6305555555555</v>
      </c>
      <c r="U758" s="20">
        <f t="shared" si="257"/>
        <v>251.6305555555555</v>
      </c>
      <c r="V758" s="22">
        <v>7.2397999999999998</v>
      </c>
      <c r="W758" s="22">
        <v>1.9296</v>
      </c>
      <c r="X758" s="23">
        <v>1.1476266666666668</v>
      </c>
      <c r="Y758" s="23">
        <f t="shared" si="264"/>
        <v>6.0921733333333332</v>
      </c>
      <c r="Z758" s="23">
        <f t="shared" si="265"/>
        <v>0.78197333333333319</v>
      </c>
      <c r="AA758" s="22">
        <f t="shared" si="266"/>
        <v>87.164296047606442</v>
      </c>
      <c r="AB758" s="22">
        <f t="shared" si="267"/>
        <v>12.835703952393558</v>
      </c>
      <c r="AC758" s="22">
        <f t="shared" si="258"/>
        <v>1.1995815556087133</v>
      </c>
      <c r="AD758" s="22">
        <f t="shared" si="259"/>
        <v>0.15397473714545176</v>
      </c>
      <c r="AE758" s="27">
        <v>16.218399999999999</v>
      </c>
      <c r="AF758" s="27">
        <v>16.316500000000001</v>
      </c>
      <c r="AG758" s="27">
        <v>16.240600000000001</v>
      </c>
      <c r="AH758" s="26">
        <v>2.2200000000000001E-2</v>
      </c>
      <c r="AI758" s="26">
        <v>77.370030580000005</v>
      </c>
      <c r="AJ758" s="26">
        <f t="shared" si="260"/>
        <v>3.8685015290000004</v>
      </c>
      <c r="AK758" s="26">
        <f t="shared" si="261"/>
        <v>44.722561028901744</v>
      </c>
      <c r="AL758" s="26">
        <f t="shared" si="262"/>
        <v>3.8695483043729202</v>
      </c>
      <c r="AM758" s="17">
        <f t="shared" si="268"/>
        <v>0.5780346820809249</v>
      </c>
      <c r="AN758" s="17"/>
      <c r="AO758" s="27"/>
      <c r="AS758" s="49"/>
      <c r="AT758" s="25"/>
      <c r="AU758" s="17"/>
      <c r="AV758" s="17"/>
      <c r="AW758" s="17"/>
      <c r="AX758" s="27"/>
      <c r="BB758" s="17"/>
    </row>
    <row r="759" spans="1:54" x14ac:dyDescent="0.2">
      <c r="A759" s="17" t="s">
        <v>77</v>
      </c>
      <c r="B759" s="17" t="s">
        <v>78</v>
      </c>
      <c r="C759" s="17" t="str">
        <f t="shared" si="252"/>
        <v>HER42PB1G</v>
      </c>
      <c r="D759" s="17" t="str">
        <f t="shared" si="253"/>
        <v>HER42PB1G_228</v>
      </c>
      <c r="E759" s="27" t="s">
        <v>85</v>
      </c>
      <c r="F759" s="17">
        <v>228</v>
      </c>
      <c r="G759" s="20">
        <v>2.1</v>
      </c>
      <c r="H759" s="20">
        <v>2.4</v>
      </c>
      <c r="I759" s="20">
        <v>1.1499999999999999</v>
      </c>
      <c r="J759" s="22">
        <f t="shared" si="251"/>
        <v>4.5701718750000007</v>
      </c>
      <c r="K759" s="53">
        <v>0.14444444444444471</v>
      </c>
      <c r="L759" s="45">
        <f t="shared" si="270"/>
        <v>12.399999999999999</v>
      </c>
      <c r="M759" s="45">
        <f t="shared" si="271"/>
        <v>13.549999999999999</v>
      </c>
      <c r="N759" s="46">
        <f t="shared" si="272"/>
        <v>12.974999999999998</v>
      </c>
      <c r="O759" s="20">
        <f t="shared" si="269"/>
        <v>252.39999999999995</v>
      </c>
      <c r="P759" s="20">
        <f t="shared" si="263"/>
        <v>253.54999999999995</v>
      </c>
      <c r="Q759" s="20">
        <f t="shared" si="273"/>
        <v>252.97499999999997</v>
      </c>
      <c r="R759" s="20">
        <f t="shared" si="254"/>
        <v>252.39999999999995</v>
      </c>
      <c r="S759" s="20">
        <f t="shared" si="255"/>
        <v>252.97499999999997</v>
      </c>
      <c r="T759" s="20">
        <f t="shared" si="256"/>
        <v>252.97499999999997</v>
      </c>
      <c r="U759" s="20">
        <f t="shared" si="257"/>
        <v>252.97499999999997</v>
      </c>
      <c r="V759" s="22">
        <v>6.6675000000000004</v>
      </c>
      <c r="W759" s="22">
        <v>1.9662999999999999</v>
      </c>
      <c r="X759" s="23">
        <v>1.1476266666666668</v>
      </c>
      <c r="Y759" s="23">
        <f t="shared" si="264"/>
        <v>5.5198733333333339</v>
      </c>
      <c r="Z759" s="23">
        <f t="shared" si="265"/>
        <v>0.81867333333333314</v>
      </c>
      <c r="AA759" s="22">
        <f t="shared" si="266"/>
        <v>85.168621019081371</v>
      </c>
      <c r="AB759" s="22">
        <f t="shared" si="267"/>
        <v>14.831378980918629</v>
      </c>
      <c r="AC759" s="22">
        <f t="shared" si="258"/>
        <v>1.2078043199049999</v>
      </c>
      <c r="AD759" s="22">
        <f t="shared" si="259"/>
        <v>0.17913403603301747</v>
      </c>
      <c r="AE759" s="27">
        <v>13.206799999999999</v>
      </c>
      <c r="AF759" s="27">
        <v>13.3546</v>
      </c>
      <c r="AG759" s="27">
        <v>13.2555</v>
      </c>
      <c r="AH759" s="26">
        <v>4.87E-2</v>
      </c>
      <c r="AI759" s="26">
        <v>67.050067659999996</v>
      </c>
      <c r="AJ759" s="26">
        <f t="shared" si="260"/>
        <v>3.3525033830000002</v>
      </c>
      <c r="AK759" s="26">
        <f t="shared" si="261"/>
        <v>38.757264543352605</v>
      </c>
      <c r="AL759" s="26">
        <f t="shared" si="262"/>
        <v>3.35371121789376</v>
      </c>
      <c r="AM759" s="17">
        <f t="shared" si="268"/>
        <v>0.5780346820809249</v>
      </c>
      <c r="AN759" s="17"/>
      <c r="AO759" s="27"/>
      <c r="AS759" s="49"/>
      <c r="AT759" s="25"/>
      <c r="AU759" s="17"/>
      <c r="AV759" s="17"/>
      <c r="AW759" s="17"/>
      <c r="AX759" s="27"/>
      <c r="BB759" s="17"/>
    </row>
    <row r="760" spans="1:54" x14ac:dyDescent="0.2">
      <c r="A760" s="17" t="s">
        <v>77</v>
      </c>
      <c r="B760" s="17" t="s">
        <v>78</v>
      </c>
      <c r="C760" s="17" t="str">
        <f t="shared" si="252"/>
        <v>HER42PB1G</v>
      </c>
      <c r="D760" s="17" t="str">
        <f t="shared" si="253"/>
        <v>HER42PB1G_229</v>
      </c>
      <c r="E760" s="27" t="s">
        <v>85</v>
      </c>
      <c r="F760" s="17">
        <v>229</v>
      </c>
      <c r="G760" s="20">
        <v>2.2999999999999998</v>
      </c>
      <c r="H760" s="20">
        <v>2.2000000000000002</v>
      </c>
      <c r="I760" s="20">
        <v>1.2</v>
      </c>
      <c r="J760" s="22">
        <f t="shared" si="251"/>
        <v>4.7688749999999995</v>
      </c>
      <c r="K760" s="53">
        <v>0.14444444444444471</v>
      </c>
      <c r="L760" s="45">
        <f t="shared" si="270"/>
        <v>13.694444444444443</v>
      </c>
      <c r="M760" s="45">
        <f t="shared" si="271"/>
        <v>14.894444444444442</v>
      </c>
      <c r="N760" s="46">
        <f t="shared" si="272"/>
        <v>14.294444444444443</v>
      </c>
      <c r="O760" s="20">
        <f t="shared" si="269"/>
        <v>253.6944444444444</v>
      </c>
      <c r="P760" s="20">
        <f t="shared" si="263"/>
        <v>254.89444444444439</v>
      </c>
      <c r="Q760" s="20">
        <f t="shared" si="273"/>
        <v>254.29444444444439</v>
      </c>
      <c r="R760" s="20">
        <f t="shared" si="254"/>
        <v>253.6944444444444</v>
      </c>
      <c r="S760" s="20">
        <f t="shared" si="255"/>
        <v>254.29444444444439</v>
      </c>
      <c r="T760" s="20">
        <f t="shared" si="256"/>
        <v>254.29444444444439</v>
      </c>
      <c r="U760" s="20">
        <f t="shared" si="257"/>
        <v>254.29444444444439</v>
      </c>
      <c r="V760" s="22">
        <v>7.7370999999999999</v>
      </c>
      <c r="W760" s="22">
        <v>2.1063999999999998</v>
      </c>
      <c r="X760" s="23">
        <v>1.1476266666666668</v>
      </c>
      <c r="Y760" s="23">
        <f t="shared" si="264"/>
        <v>6.5894733333333333</v>
      </c>
      <c r="Z760" s="23">
        <f t="shared" si="265"/>
        <v>0.95877333333333303</v>
      </c>
      <c r="AA760" s="22">
        <f t="shared" si="266"/>
        <v>85.449924677844763</v>
      </c>
      <c r="AB760" s="22">
        <f t="shared" si="267"/>
        <v>14.550075322155237</v>
      </c>
      <c r="AC760" s="22">
        <f t="shared" si="258"/>
        <v>1.3817668387897217</v>
      </c>
      <c r="AD760" s="22">
        <f t="shared" si="259"/>
        <v>0.20104811582046775</v>
      </c>
      <c r="AE760" s="27">
        <v>12.642799999999999</v>
      </c>
      <c r="AF760" s="27">
        <v>12.7689</v>
      </c>
      <c r="AG760" s="27">
        <v>12.6851</v>
      </c>
      <c r="AH760" s="26">
        <v>4.2299999999999997E-2</v>
      </c>
      <c r="AI760" s="26">
        <v>66.455194289999994</v>
      </c>
      <c r="AJ760" s="26">
        <f t="shared" si="260"/>
        <v>3.3227597145000001</v>
      </c>
      <c r="AK760" s="26">
        <f t="shared" si="261"/>
        <v>38.413407104046243</v>
      </c>
      <c r="AL760" s="26">
        <f t="shared" si="262"/>
        <v>3.3239783573760109</v>
      </c>
      <c r="AM760" s="17">
        <f t="shared" si="268"/>
        <v>0.5780346820809249</v>
      </c>
      <c r="AN760" s="17"/>
      <c r="AO760" s="27"/>
      <c r="AS760" s="49"/>
      <c r="AT760" s="25"/>
      <c r="AU760" s="17"/>
      <c r="AV760" s="17"/>
      <c r="AW760" s="17"/>
      <c r="AX760" s="27"/>
      <c r="BB760" s="17"/>
    </row>
    <row r="761" spans="1:54" x14ac:dyDescent="0.2">
      <c r="A761" s="17" t="s">
        <v>77</v>
      </c>
      <c r="B761" s="17" t="s">
        <v>78</v>
      </c>
      <c r="C761" s="17" t="str">
        <f t="shared" si="252"/>
        <v>HER42PB1G</v>
      </c>
      <c r="D761" s="17" t="str">
        <f t="shared" si="253"/>
        <v>HER42PB1G_230</v>
      </c>
      <c r="E761" s="27" t="s">
        <v>85</v>
      </c>
      <c r="F761" s="17">
        <v>230</v>
      </c>
      <c r="G761" s="20">
        <v>2.2999999999999998</v>
      </c>
      <c r="H761" s="20">
        <v>2.6</v>
      </c>
      <c r="I761" s="20">
        <v>1.2</v>
      </c>
      <c r="J761" s="22">
        <f t="shared" si="251"/>
        <v>5.6543550000000007</v>
      </c>
      <c r="K761" s="53">
        <v>0.14444444444444471</v>
      </c>
      <c r="L761" s="45">
        <f t="shared" si="270"/>
        <v>15.038888888888886</v>
      </c>
      <c r="M761" s="45">
        <f t="shared" si="271"/>
        <v>16.238888888888887</v>
      </c>
      <c r="N761" s="46">
        <f t="shared" si="272"/>
        <v>15.638888888888886</v>
      </c>
      <c r="O761" s="20">
        <f t="shared" si="269"/>
        <v>255.03888888888883</v>
      </c>
      <c r="P761" s="20">
        <f t="shared" si="263"/>
        <v>256.23888888888882</v>
      </c>
      <c r="Q761" s="20">
        <f t="shared" si="273"/>
        <v>255.63888888888883</v>
      </c>
      <c r="R761" s="20">
        <f t="shared" si="254"/>
        <v>255.03888888888883</v>
      </c>
      <c r="S761" s="20">
        <f t="shared" si="255"/>
        <v>255.63888888888883</v>
      </c>
      <c r="T761" s="20">
        <f t="shared" si="256"/>
        <v>255.63888888888883</v>
      </c>
      <c r="U761" s="20">
        <f t="shared" si="257"/>
        <v>255.63888888888883</v>
      </c>
      <c r="V761" s="22">
        <v>7.9904999999999999</v>
      </c>
      <c r="W761" s="22">
        <v>2.3963000000000001</v>
      </c>
      <c r="X761" s="23">
        <v>1.1476266666666668</v>
      </c>
      <c r="Y761" s="23">
        <f t="shared" si="264"/>
        <v>6.8428733333333334</v>
      </c>
      <c r="Z761" s="23">
        <f t="shared" si="265"/>
        <v>1.2486733333333333</v>
      </c>
      <c r="AA761" s="22">
        <f t="shared" si="266"/>
        <v>81.752207406050672</v>
      </c>
      <c r="AB761" s="22">
        <f t="shared" si="267"/>
        <v>18.247792593949328</v>
      </c>
      <c r="AC761" s="22">
        <f t="shared" si="258"/>
        <v>1.2101952094152795</v>
      </c>
      <c r="AD761" s="22">
        <f t="shared" si="259"/>
        <v>0.22083391179601089</v>
      </c>
      <c r="AE761" s="27">
        <v>17.4236</v>
      </c>
      <c r="AF761" s="27">
        <v>17.581299999999999</v>
      </c>
      <c r="AG761" s="27">
        <v>17.501100000000001</v>
      </c>
      <c r="AH761" s="26">
        <v>7.7499999999999999E-2</v>
      </c>
      <c r="AI761" s="26">
        <v>50.8560558</v>
      </c>
      <c r="AJ761" s="26">
        <f t="shared" si="260"/>
        <v>2.5428027900000001</v>
      </c>
      <c r="AK761" s="26">
        <f t="shared" si="261"/>
        <v>29.396564046242776</v>
      </c>
      <c r="AL761" s="26">
        <f t="shared" si="262"/>
        <v>2.544395022167703</v>
      </c>
      <c r="AM761" s="17">
        <f t="shared" si="268"/>
        <v>0.5780346820809249</v>
      </c>
      <c r="AN761" s="17"/>
      <c r="AO761" s="27"/>
      <c r="AS761" s="49"/>
      <c r="AT761" s="25"/>
      <c r="AU761" s="17"/>
      <c r="AV761" s="17"/>
      <c r="AW761" s="17"/>
      <c r="AX761" s="27"/>
      <c r="BB761" s="17"/>
    </row>
    <row r="762" spans="1:54" x14ac:dyDescent="0.2">
      <c r="A762" s="17" t="s">
        <v>77</v>
      </c>
      <c r="B762" s="17" t="s">
        <v>78</v>
      </c>
      <c r="C762" s="17" t="str">
        <f t="shared" si="252"/>
        <v>HER42PB1G</v>
      </c>
      <c r="D762" s="17" t="str">
        <f t="shared" si="253"/>
        <v>HER42PB1G_231</v>
      </c>
      <c r="E762" s="27" t="s">
        <v>85</v>
      </c>
      <c r="F762" s="17">
        <v>231</v>
      </c>
      <c r="G762" s="20">
        <v>2.2999999999999998</v>
      </c>
      <c r="H762" s="20">
        <v>2.2999999999999998</v>
      </c>
      <c r="I762" s="20">
        <v>1.2</v>
      </c>
      <c r="J762" s="22">
        <f t="shared" si="251"/>
        <v>4.9831799999999991</v>
      </c>
      <c r="K762" s="53">
        <v>0.14444444444444471</v>
      </c>
      <c r="L762" s="45">
        <f t="shared" si="270"/>
        <v>16.383333333333333</v>
      </c>
      <c r="M762" s="45">
        <f t="shared" si="271"/>
        <v>17.583333333333332</v>
      </c>
      <c r="N762" s="46">
        <f t="shared" si="272"/>
        <v>16.983333333333334</v>
      </c>
      <c r="O762" s="20">
        <f t="shared" si="269"/>
        <v>256.38333333333327</v>
      </c>
      <c r="P762" s="20">
        <f t="shared" si="263"/>
        <v>257.58333333333326</v>
      </c>
      <c r="Q762" s="20">
        <f t="shared" si="273"/>
        <v>256.98333333333323</v>
      </c>
      <c r="R762" s="20">
        <f t="shared" si="254"/>
        <v>256.38333333333327</v>
      </c>
      <c r="S762" s="20">
        <f t="shared" si="255"/>
        <v>256.98333333333323</v>
      </c>
      <c r="T762" s="20">
        <f t="shared" si="256"/>
        <v>256.98333333333323</v>
      </c>
      <c r="U762" s="20">
        <f t="shared" si="257"/>
        <v>256.98333333333323</v>
      </c>
      <c r="V762" s="22">
        <v>7.1738</v>
      </c>
      <c r="W762" s="22">
        <v>2.3201999999999998</v>
      </c>
      <c r="X762" s="23">
        <v>1.1476266666666668</v>
      </c>
      <c r="Y762" s="23">
        <f t="shared" si="264"/>
        <v>6.0261733333333334</v>
      </c>
      <c r="Z762" s="23">
        <f t="shared" si="265"/>
        <v>1.172573333333333</v>
      </c>
      <c r="AA762" s="22">
        <f t="shared" si="266"/>
        <v>80.541991269196814</v>
      </c>
      <c r="AB762" s="22">
        <f t="shared" si="267"/>
        <v>19.458008730803186</v>
      </c>
      <c r="AC762" s="22">
        <f t="shared" si="258"/>
        <v>1.209302761155193</v>
      </c>
      <c r="AD762" s="22">
        <f t="shared" si="259"/>
        <v>0.23530623684742139</v>
      </c>
      <c r="AE762" s="27">
        <v>14.7921</v>
      </c>
      <c r="AF762" s="27">
        <v>14.943</v>
      </c>
      <c r="AG762" s="27">
        <v>14.8544</v>
      </c>
      <c r="AH762" s="26">
        <v>6.2300000000000001E-2</v>
      </c>
      <c r="AI762" s="26">
        <v>58.714380380000001</v>
      </c>
      <c r="AJ762" s="26">
        <f t="shared" si="260"/>
        <v>2.9357190190000004</v>
      </c>
      <c r="AK762" s="26">
        <f t="shared" si="261"/>
        <v>33.938948196531797</v>
      </c>
      <c r="AL762" s="26">
        <f t="shared" si="262"/>
        <v>2.9370982548287903</v>
      </c>
      <c r="AM762" s="17">
        <f t="shared" si="268"/>
        <v>0.5780346820809249</v>
      </c>
      <c r="AN762" s="17"/>
      <c r="AO762" s="27"/>
      <c r="AS762" s="49"/>
      <c r="AT762" s="25"/>
      <c r="AU762" s="17"/>
      <c r="AV762" s="17"/>
      <c r="AW762" s="17"/>
      <c r="AX762" s="27"/>
      <c r="BB762" s="17"/>
    </row>
    <row r="763" spans="1:54" x14ac:dyDescent="0.2">
      <c r="A763" s="17" t="s">
        <v>77</v>
      </c>
      <c r="B763" s="17" t="s">
        <v>78</v>
      </c>
      <c r="C763" s="17" t="str">
        <f t="shared" si="252"/>
        <v>HER42PB1G</v>
      </c>
      <c r="D763" s="17" t="str">
        <f t="shared" si="253"/>
        <v>HER42PB1G_232</v>
      </c>
      <c r="E763" s="27" t="s">
        <v>85</v>
      </c>
      <c r="F763" s="17">
        <v>232</v>
      </c>
      <c r="G763" s="20">
        <v>2.2999999999999998</v>
      </c>
      <c r="H763" s="20">
        <v>2.35</v>
      </c>
      <c r="I763" s="20">
        <v>1.1499999999999999</v>
      </c>
      <c r="J763" s="22">
        <f t="shared" si="251"/>
        <v>4.8799279687499997</v>
      </c>
      <c r="K763" s="53">
        <v>0.14444444444444471</v>
      </c>
      <c r="L763" s="45">
        <f t="shared" si="270"/>
        <v>17.727777777777778</v>
      </c>
      <c r="M763" s="45">
        <f t="shared" si="271"/>
        <v>18.877777777777776</v>
      </c>
      <c r="N763" s="46">
        <f t="shared" si="272"/>
        <v>18.302777777777777</v>
      </c>
      <c r="O763" s="20">
        <f t="shared" si="269"/>
        <v>257.7277777777777</v>
      </c>
      <c r="P763" s="20">
        <f t="shared" si="263"/>
        <v>258.87777777777768</v>
      </c>
      <c r="Q763" s="20">
        <f t="shared" si="273"/>
        <v>258.30277777777769</v>
      </c>
      <c r="R763" s="20">
        <f t="shared" si="254"/>
        <v>257.7277777777777</v>
      </c>
      <c r="S763" s="20">
        <f t="shared" si="255"/>
        <v>258.30277777777769</v>
      </c>
      <c r="T763" s="20">
        <f t="shared" si="256"/>
        <v>258.30277777777769</v>
      </c>
      <c r="U763" s="20">
        <f t="shared" si="257"/>
        <v>258.30277777777769</v>
      </c>
      <c r="V763" s="22">
        <v>7.4356999999999998</v>
      </c>
      <c r="W763" s="22">
        <v>1.9036999999999999</v>
      </c>
      <c r="X763" s="23">
        <v>1.1476266666666668</v>
      </c>
      <c r="Y763" s="23">
        <f t="shared" si="264"/>
        <v>6.2880733333333332</v>
      </c>
      <c r="Z763" s="23">
        <f t="shared" si="265"/>
        <v>0.75607333333333315</v>
      </c>
      <c r="AA763" s="22">
        <f t="shared" si="266"/>
        <v>87.976073222216456</v>
      </c>
      <c r="AB763" s="22">
        <f t="shared" si="267"/>
        <v>12.023926777783544</v>
      </c>
      <c r="AC763" s="22">
        <f t="shared" si="258"/>
        <v>1.2885586372587445</v>
      </c>
      <c r="AD763" s="22">
        <f t="shared" si="259"/>
        <v>0.15493534703279696</v>
      </c>
      <c r="AE763" s="27">
        <v>16.773900000000001</v>
      </c>
      <c r="AF763" s="27">
        <v>16.871700000000001</v>
      </c>
      <c r="AG763" s="27">
        <v>16.798999999999999</v>
      </c>
      <c r="AH763" s="26">
        <v>2.5100000000000001E-2</v>
      </c>
      <c r="AI763" s="26">
        <v>74.335378320000004</v>
      </c>
      <c r="AJ763" s="26">
        <f t="shared" si="260"/>
        <v>3.7167689160000004</v>
      </c>
      <c r="AK763" s="26">
        <f t="shared" si="261"/>
        <v>42.968426774566481</v>
      </c>
      <c r="AL763" s="26">
        <f t="shared" si="262"/>
        <v>3.7178584124390506</v>
      </c>
      <c r="AM763" s="17">
        <f t="shared" si="268"/>
        <v>0.5780346820809249</v>
      </c>
      <c r="AN763" s="17"/>
      <c r="AO763" s="27"/>
      <c r="AS763" s="49"/>
      <c r="AT763" s="25"/>
      <c r="AU763" s="17"/>
      <c r="AV763" s="17"/>
      <c r="AW763" s="17"/>
      <c r="AX763" s="27"/>
      <c r="BB763" s="17"/>
    </row>
    <row r="764" spans="1:54" x14ac:dyDescent="0.2">
      <c r="A764" s="17" t="s">
        <v>77</v>
      </c>
      <c r="B764" s="17" t="s">
        <v>78</v>
      </c>
      <c r="C764" s="17" t="str">
        <f t="shared" si="252"/>
        <v>HER42PB1G</v>
      </c>
      <c r="D764" s="17" t="str">
        <f t="shared" si="253"/>
        <v>HER42PB1G_233</v>
      </c>
      <c r="E764" s="27" t="s">
        <v>85</v>
      </c>
      <c r="F764" s="17">
        <v>233</v>
      </c>
      <c r="G764" s="20">
        <v>2.2999999999999998</v>
      </c>
      <c r="H764" s="20">
        <v>2.1</v>
      </c>
      <c r="I764" s="20">
        <v>1.3</v>
      </c>
      <c r="J764" s="22">
        <f t="shared" si="251"/>
        <v>4.9392200000000015</v>
      </c>
      <c r="K764" s="53">
        <v>0.14444444444444471</v>
      </c>
      <c r="L764" s="45">
        <f t="shared" si="270"/>
        <v>19.022222222222222</v>
      </c>
      <c r="M764" s="45">
        <f t="shared" si="271"/>
        <v>20.322222222222223</v>
      </c>
      <c r="N764" s="46">
        <f t="shared" si="272"/>
        <v>19.672222222222224</v>
      </c>
      <c r="O764" s="20">
        <f t="shared" si="269"/>
        <v>259.02222222222213</v>
      </c>
      <c r="P764" s="20">
        <f t="shared" si="263"/>
        <v>260.32222222222214</v>
      </c>
      <c r="Q764" s="20">
        <f t="shared" si="273"/>
        <v>259.6722222222221</v>
      </c>
      <c r="R764" s="20">
        <f t="shared" si="254"/>
        <v>259.02222222222213</v>
      </c>
      <c r="S764" s="20">
        <f t="shared" si="255"/>
        <v>259.6722222222221</v>
      </c>
      <c r="T764" s="20">
        <f t="shared" si="256"/>
        <v>259.6722222222221</v>
      </c>
      <c r="U764" s="20">
        <f t="shared" si="257"/>
        <v>259.6722222222221</v>
      </c>
      <c r="V764" s="22">
        <v>6.6712999999999996</v>
      </c>
      <c r="W764" s="22">
        <v>1.9520999999999999</v>
      </c>
      <c r="X764" s="23">
        <v>1.1476266666666668</v>
      </c>
      <c r="Y764" s="23">
        <f t="shared" si="264"/>
        <v>5.523673333333333</v>
      </c>
      <c r="Z764" s="23">
        <f t="shared" si="265"/>
        <v>0.80447333333333315</v>
      </c>
      <c r="AA764" s="22">
        <f t="shared" si="266"/>
        <v>85.435899540281767</v>
      </c>
      <c r="AB764" s="22">
        <f t="shared" si="267"/>
        <v>14.564100459718233</v>
      </c>
      <c r="AC764" s="22">
        <f t="shared" si="258"/>
        <v>1.1183290749011647</v>
      </c>
      <c r="AD764" s="22">
        <f t="shared" si="259"/>
        <v>0.16287456993884317</v>
      </c>
      <c r="AE764" s="27">
        <v>16.820599999999999</v>
      </c>
      <c r="AF764" s="27">
        <v>16.889800000000001</v>
      </c>
      <c r="AG764" s="27">
        <v>16.8338</v>
      </c>
      <c r="AH764" s="26">
        <v>1.32E-2</v>
      </c>
      <c r="AI764" s="26">
        <v>80.924855489999999</v>
      </c>
      <c r="AJ764" s="26">
        <f t="shared" si="260"/>
        <v>4.0462427745000005</v>
      </c>
      <c r="AK764" s="26">
        <f t="shared" si="261"/>
        <v>46.777373115606942</v>
      </c>
      <c r="AL764" s="26">
        <f t="shared" si="262"/>
        <v>4.0472435793010364</v>
      </c>
      <c r="AM764" s="17">
        <f t="shared" si="268"/>
        <v>0.5780346820809249</v>
      </c>
      <c r="AN764" s="17"/>
      <c r="AO764" s="27"/>
      <c r="AS764" s="49"/>
      <c r="AT764" s="25"/>
      <c r="AU764" s="17"/>
      <c r="AV764" s="17"/>
      <c r="AW764" s="17"/>
      <c r="AX764" s="27"/>
      <c r="BB764" s="17"/>
    </row>
    <row r="765" spans="1:54" x14ac:dyDescent="0.2">
      <c r="A765" s="17" t="s">
        <v>77</v>
      </c>
      <c r="B765" s="17" t="s">
        <v>78</v>
      </c>
      <c r="C765" s="17" t="str">
        <f t="shared" si="252"/>
        <v>HER42PB1G</v>
      </c>
      <c r="D765" s="17" t="str">
        <f t="shared" si="253"/>
        <v>HER42PB1G_234</v>
      </c>
      <c r="E765" s="27" t="s">
        <v>85</v>
      </c>
      <c r="F765" s="17">
        <v>234</v>
      </c>
      <c r="G765" s="20">
        <v>2.2999999999999998</v>
      </c>
      <c r="H765" s="20">
        <v>2.4</v>
      </c>
      <c r="I765" s="20">
        <v>1.2</v>
      </c>
      <c r="J765" s="22">
        <f t="shared" si="251"/>
        <v>5.2021949999999988</v>
      </c>
      <c r="K765" s="53">
        <v>0.14444444444444471</v>
      </c>
      <c r="L765" s="45">
        <f t="shared" si="270"/>
        <v>20.466666666666669</v>
      </c>
      <c r="M765" s="45">
        <f t="shared" si="271"/>
        <v>21.666666666666668</v>
      </c>
      <c r="N765" s="46">
        <f t="shared" si="272"/>
        <v>21.06666666666667</v>
      </c>
      <c r="O765" s="20">
        <f t="shared" si="269"/>
        <v>260.46666666666658</v>
      </c>
      <c r="P765" s="20">
        <f t="shared" si="263"/>
        <v>261.66666666666657</v>
      </c>
      <c r="Q765" s="20">
        <f t="shared" si="273"/>
        <v>261.06666666666661</v>
      </c>
      <c r="R765" s="20">
        <f t="shared" si="254"/>
        <v>260.46666666666658</v>
      </c>
      <c r="S765" s="20">
        <f t="shared" si="255"/>
        <v>261.06666666666661</v>
      </c>
      <c r="T765" s="20">
        <f t="shared" si="256"/>
        <v>261.06666666666661</v>
      </c>
      <c r="U765" s="20">
        <f t="shared" si="257"/>
        <v>261.06666666666661</v>
      </c>
      <c r="V765" s="22">
        <v>7.5198</v>
      </c>
      <c r="W765" s="22">
        <v>2.0266000000000002</v>
      </c>
      <c r="X765" s="23">
        <v>1.1476266666666668</v>
      </c>
      <c r="Y765" s="23">
        <f t="shared" si="264"/>
        <v>6.3721733333333335</v>
      </c>
      <c r="Z765" s="23">
        <f t="shared" si="265"/>
        <v>0.87897333333333338</v>
      </c>
      <c r="AA765" s="22">
        <f t="shared" si="266"/>
        <v>86.206066794583947</v>
      </c>
      <c r="AB765" s="22">
        <f t="shared" si="267"/>
        <v>13.793933205416053</v>
      </c>
      <c r="AC765" s="22">
        <f t="shared" si="258"/>
        <v>1.224900899203766</v>
      </c>
      <c r="AD765" s="22">
        <f t="shared" si="259"/>
        <v>0.16896201186870805</v>
      </c>
      <c r="AE765" s="27">
        <v>16.2027</v>
      </c>
      <c r="AF765" s="27">
        <v>16.325700000000001</v>
      </c>
      <c r="AG765" s="27">
        <v>16.236499999999999</v>
      </c>
      <c r="AH765" s="26">
        <v>3.3799999999999997E-2</v>
      </c>
      <c r="AI765" s="26">
        <v>72.520325200000002</v>
      </c>
      <c r="AJ765" s="26">
        <f t="shared" si="260"/>
        <v>3.6260162600000001</v>
      </c>
      <c r="AK765" s="26">
        <f t="shared" si="261"/>
        <v>41.919263121387289</v>
      </c>
      <c r="AL765" s="26">
        <f t="shared" si="262"/>
        <v>3.6271330162794402</v>
      </c>
      <c r="AM765" s="17">
        <f t="shared" si="268"/>
        <v>0.5780346820809249</v>
      </c>
      <c r="AN765" s="17"/>
      <c r="AO765" s="27"/>
      <c r="AS765" s="49"/>
      <c r="AT765" s="25"/>
      <c r="AU765" s="17"/>
      <c r="AV765" s="17"/>
      <c r="AW765" s="17"/>
      <c r="AX765" s="27"/>
      <c r="BB765" s="17"/>
    </row>
    <row r="766" spans="1:54" x14ac:dyDescent="0.2">
      <c r="A766" s="17" t="s">
        <v>77</v>
      </c>
      <c r="B766" s="17" t="s">
        <v>78</v>
      </c>
      <c r="C766" s="17" t="str">
        <f t="shared" si="252"/>
        <v>HER42PB1G</v>
      </c>
      <c r="D766" s="17" t="str">
        <f t="shared" si="253"/>
        <v>HER42PB1G_235</v>
      </c>
      <c r="E766" s="27" t="s">
        <v>85</v>
      </c>
      <c r="F766" s="17">
        <v>235</v>
      </c>
      <c r="G766" s="20">
        <v>2.2999999999999998</v>
      </c>
      <c r="H766" s="20">
        <v>2.15</v>
      </c>
      <c r="I766" s="20">
        <v>1.2</v>
      </c>
      <c r="J766" s="22">
        <f t="shared" si="251"/>
        <v>4.6634887499999991</v>
      </c>
      <c r="K766" s="53">
        <v>0.14444444444444471</v>
      </c>
      <c r="L766" s="45">
        <f t="shared" si="270"/>
        <v>21.811111111111114</v>
      </c>
      <c r="M766" s="45">
        <f t="shared" si="271"/>
        <v>23.011111111111113</v>
      </c>
      <c r="N766" s="46">
        <f t="shared" si="272"/>
        <v>22.411111111111111</v>
      </c>
      <c r="O766" s="20">
        <f t="shared" si="269"/>
        <v>261.81111111111102</v>
      </c>
      <c r="P766" s="20">
        <f t="shared" si="263"/>
        <v>263.01111111111101</v>
      </c>
      <c r="Q766" s="20">
        <f t="shared" si="273"/>
        <v>262.41111111111104</v>
      </c>
      <c r="R766" s="20">
        <f t="shared" si="254"/>
        <v>261.81111111111102</v>
      </c>
      <c r="S766" s="20">
        <f t="shared" si="255"/>
        <v>262.41111111111104</v>
      </c>
      <c r="T766" s="20">
        <f t="shared" si="256"/>
        <v>262.41111111111104</v>
      </c>
      <c r="U766" s="20">
        <f t="shared" si="257"/>
        <v>262.41111111111104</v>
      </c>
      <c r="V766" s="22">
        <v>6.4741999999999997</v>
      </c>
      <c r="W766" s="22">
        <v>2.0329000000000002</v>
      </c>
      <c r="X766" s="23">
        <v>1.1476266666666668</v>
      </c>
      <c r="Y766" s="23">
        <f t="shared" si="264"/>
        <v>5.3265733333333332</v>
      </c>
      <c r="Z766" s="23">
        <f t="shared" si="265"/>
        <v>0.88527333333333336</v>
      </c>
      <c r="AA766" s="22">
        <f t="shared" si="266"/>
        <v>83.380059225067782</v>
      </c>
      <c r="AB766" s="22">
        <f t="shared" si="267"/>
        <v>16.619940774932218</v>
      </c>
      <c r="AC766" s="22">
        <f t="shared" si="258"/>
        <v>1.142186379957137</v>
      </c>
      <c r="AD766" s="22">
        <f t="shared" si="259"/>
        <v>0.18983069988821857</v>
      </c>
      <c r="AE766" s="27">
        <v>17.456499999999998</v>
      </c>
      <c r="AF766" s="27">
        <v>17.5626</v>
      </c>
      <c r="AG766" s="27">
        <v>17.491800000000001</v>
      </c>
      <c r="AH766" s="26">
        <v>3.5299999999999998E-2</v>
      </c>
      <c r="AI766" s="26">
        <v>66.729500470000005</v>
      </c>
      <c r="AJ766" s="26">
        <f t="shared" si="260"/>
        <v>3.3364750235000002</v>
      </c>
      <c r="AK766" s="26">
        <f t="shared" si="261"/>
        <v>38.571965589595379</v>
      </c>
      <c r="AL766" s="26">
        <f t="shared" si="262"/>
        <v>3.3376886587037036</v>
      </c>
      <c r="AM766" s="17">
        <f t="shared" si="268"/>
        <v>0.5780346820809249</v>
      </c>
      <c r="AN766" s="17"/>
      <c r="AO766" s="27"/>
      <c r="AS766" s="49"/>
      <c r="AT766" s="25"/>
      <c r="AU766" s="17"/>
      <c r="AV766" s="17"/>
      <c r="AW766" s="17"/>
      <c r="AX766" s="27"/>
      <c r="BB766" s="17"/>
    </row>
    <row r="767" spans="1:54" x14ac:dyDescent="0.2">
      <c r="A767" s="17" t="s">
        <v>77</v>
      </c>
      <c r="B767" s="17" t="s">
        <v>78</v>
      </c>
      <c r="C767" s="17" t="str">
        <f t="shared" si="252"/>
        <v>HER42PB1G</v>
      </c>
      <c r="D767" s="17" t="str">
        <f t="shared" si="253"/>
        <v>HER42PB1G_236</v>
      </c>
      <c r="E767" s="27" t="s">
        <v>85</v>
      </c>
      <c r="F767" s="17">
        <v>236</v>
      </c>
      <c r="G767" s="20">
        <v>2.25</v>
      </c>
      <c r="H767" s="20">
        <v>2.2999999999999998</v>
      </c>
      <c r="I767" s="20">
        <v>1.2</v>
      </c>
      <c r="J767" s="22">
        <f t="shared" si="251"/>
        <v>4.8754387499999998</v>
      </c>
      <c r="K767" s="53">
        <v>0.14444444444444471</v>
      </c>
      <c r="L767" s="45">
        <f t="shared" si="270"/>
        <v>23.155555555555559</v>
      </c>
      <c r="M767" s="45">
        <f t="shared" si="271"/>
        <v>24.355555555555558</v>
      </c>
      <c r="N767" s="46">
        <f t="shared" si="272"/>
        <v>23.75555555555556</v>
      </c>
      <c r="O767" s="20">
        <f t="shared" si="269"/>
        <v>263.15555555555545</v>
      </c>
      <c r="P767" s="20">
        <f t="shared" si="263"/>
        <v>264.35555555555544</v>
      </c>
      <c r="Q767" s="20">
        <f t="shared" si="273"/>
        <v>263.75555555555547</v>
      </c>
      <c r="R767" s="20">
        <f t="shared" si="254"/>
        <v>263.15555555555545</v>
      </c>
      <c r="S767" s="20">
        <f t="shared" si="255"/>
        <v>263.75555555555547</v>
      </c>
      <c r="T767" s="20">
        <f t="shared" si="256"/>
        <v>263.75555555555547</v>
      </c>
      <c r="U767" s="20">
        <f t="shared" si="257"/>
        <v>263.75555555555547</v>
      </c>
      <c r="V767" s="22">
        <v>6.9721000000000002</v>
      </c>
      <c r="W767" s="22">
        <v>2.0804</v>
      </c>
      <c r="X767" s="23">
        <v>1.1476266666666668</v>
      </c>
      <c r="Y767" s="23">
        <f t="shared" si="264"/>
        <v>5.8244733333333336</v>
      </c>
      <c r="Z767" s="23">
        <f t="shared" si="265"/>
        <v>0.93277333333333323</v>
      </c>
      <c r="AA767" s="22">
        <f t="shared" si="266"/>
        <v>83.985275921943156</v>
      </c>
      <c r="AB767" s="22">
        <f t="shared" si="267"/>
        <v>16.014724078056844</v>
      </c>
      <c r="AC767" s="22">
        <f t="shared" si="258"/>
        <v>1.1946562416220148</v>
      </c>
      <c r="AD767" s="22">
        <f t="shared" si="259"/>
        <v>0.19132090077704972</v>
      </c>
      <c r="AE767" s="27">
        <v>13.1951</v>
      </c>
      <c r="AF767" s="27">
        <v>13.3233</v>
      </c>
      <c r="AG767" s="27">
        <v>13.2372</v>
      </c>
      <c r="AH767" s="26">
        <v>4.2099999999999999E-2</v>
      </c>
      <c r="AI767" s="26">
        <v>67.160686429999998</v>
      </c>
      <c r="AJ767" s="26">
        <f t="shared" si="260"/>
        <v>3.3580343214999999</v>
      </c>
      <c r="AK767" s="26">
        <f t="shared" si="261"/>
        <v>38.821206028901734</v>
      </c>
      <c r="AL767" s="26">
        <f t="shared" si="262"/>
        <v>3.3592401677123305</v>
      </c>
      <c r="AM767" s="17">
        <f t="shared" si="268"/>
        <v>0.5780346820809249</v>
      </c>
      <c r="AN767" s="17"/>
      <c r="AO767" s="27"/>
      <c r="AS767" s="49"/>
      <c r="AT767" s="25"/>
      <c r="AU767" s="17"/>
      <c r="AV767" s="17"/>
      <c r="AW767" s="17"/>
      <c r="AX767" s="27"/>
      <c r="BB767" s="17"/>
    </row>
    <row r="768" spans="1:54" x14ac:dyDescent="0.2">
      <c r="A768" s="17" t="s">
        <v>77</v>
      </c>
      <c r="B768" s="17" t="s">
        <v>78</v>
      </c>
      <c r="C768" s="17" t="str">
        <f t="shared" si="252"/>
        <v>HER42PB1G</v>
      </c>
      <c r="D768" s="17" t="str">
        <f t="shared" si="253"/>
        <v>HER42PB1G_237</v>
      </c>
      <c r="E768" s="27" t="s">
        <v>85</v>
      </c>
      <c r="F768" s="17">
        <v>237</v>
      </c>
      <c r="G768" s="20">
        <v>2.2000000000000002</v>
      </c>
      <c r="H768" s="20">
        <v>2.1</v>
      </c>
      <c r="I768" s="20">
        <v>1.2</v>
      </c>
      <c r="J768" s="22">
        <f t="shared" si="251"/>
        <v>4.3543950000000011</v>
      </c>
      <c r="K768" s="53">
        <v>0.14444444444444471</v>
      </c>
      <c r="L768" s="45">
        <f t="shared" si="270"/>
        <v>24.500000000000004</v>
      </c>
      <c r="M768" s="45">
        <f t="shared" si="271"/>
        <v>25.700000000000003</v>
      </c>
      <c r="N768" s="46">
        <f t="shared" si="272"/>
        <v>25.1</v>
      </c>
      <c r="O768" s="20">
        <f t="shared" si="269"/>
        <v>264.49999999999989</v>
      </c>
      <c r="P768" s="20">
        <f t="shared" si="263"/>
        <v>265.69999999999987</v>
      </c>
      <c r="Q768" s="20">
        <f t="shared" si="273"/>
        <v>265.09999999999991</v>
      </c>
      <c r="R768" s="20">
        <f t="shared" si="254"/>
        <v>264.49999999999989</v>
      </c>
      <c r="S768" s="20">
        <f t="shared" si="255"/>
        <v>265.09999999999991</v>
      </c>
      <c r="T768" s="20">
        <f t="shared" si="256"/>
        <v>265.09999999999991</v>
      </c>
      <c r="U768" s="20">
        <f t="shared" si="257"/>
        <v>265.09999999999991</v>
      </c>
      <c r="V768" s="22">
        <v>6.3170999999999999</v>
      </c>
      <c r="W768" s="22">
        <v>1.8522000000000001</v>
      </c>
      <c r="X768" s="23">
        <v>1.1476266666666668</v>
      </c>
      <c r="Y768" s="23">
        <f t="shared" si="264"/>
        <v>5.1694733333333334</v>
      </c>
      <c r="Z768" s="23">
        <f t="shared" si="265"/>
        <v>0.70457333333333327</v>
      </c>
      <c r="AA768" s="22">
        <f t="shared" si="266"/>
        <v>86.370500669958645</v>
      </c>
      <c r="AB768" s="22">
        <f t="shared" si="267"/>
        <v>13.629499330041355</v>
      </c>
      <c r="AC768" s="22">
        <f t="shared" si="258"/>
        <v>1.1871852078953178</v>
      </c>
      <c r="AD768" s="22">
        <f t="shared" si="259"/>
        <v>0.16180739995644242</v>
      </c>
      <c r="AE768" s="27">
        <v>16.087399999999999</v>
      </c>
      <c r="AF768" s="27">
        <v>16.1755</v>
      </c>
      <c r="AG768" s="27">
        <v>16.1082</v>
      </c>
      <c r="AH768" s="26">
        <v>2.0799999999999999E-2</v>
      </c>
      <c r="AI768" s="26">
        <v>76.390465379999995</v>
      </c>
      <c r="AJ768" s="26">
        <f t="shared" si="260"/>
        <v>3.8195232689999998</v>
      </c>
      <c r="AK768" s="26">
        <f t="shared" si="261"/>
        <v>44.156338369942198</v>
      </c>
      <c r="AL768" s="26">
        <f t="shared" si="262"/>
        <v>3.8205834636129135</v>
      </c>
      <c r="AM768" s="17">
        <f t="shared" si="268"/>
        <v>0.5780346820809249</v>
      </c>
      <c r="AN768" s="17"/>
      <c r="AO768" s="27"/>
      <c r="AS768" s="49"/>
      <c r="AT768" s="25"/>
      <c r="AU768" s="17"/>
      <c r="AV768" s="17"/>
      <c r="AW768" s="17"/>
      <c r="AX768" s="27"/>
      <c r="BB768" s="17"/>
    </row>
    <row r="769" spans="1:54" x14ac:dyDescent="0.2">
      <c r="A769" s="17" t="s">
        <v>77</v>
      </c>
      <c r="B769" s="17" t="s">
        <v>78</v>
      </c>
      <c r="C769" s="17" t="str">
        <f t="shared" si="252"/>
        <v>HER42PB1G</v>
      </c>
      <c r="D769" s="17" t="str">
        <f t="shared" si="253"/>
        <v>HER42PB1G_238</v>
      </c>
      <c r="E769" s="27" t="s">
        <v>85</v>
      </c>
      <c r="F769" s="17">
        <v>238</v>
      </c>
      <c r="G769" s="20">
        <v>2.15</v>
      </c>
      <c r="H769" s="20">
        <v>2.1</v>
      </c>
      <c r="I769" s="20">
        <v>1.25</v>
      </c>
      <c r="J769" s="22">
        <f t="shared" si="251"/>
        <v>4.4309570312500002</v>
      </c>
      <c r="K769" s="53">
        <v>0.14444444444444471</v>
      </c>
      <c r="L769" s="45">
        <f t="shared" si="270"/>
        <v>25.844444444444449</v>
      </c>
      <c r="M769" s="45">
        <f t="shared" si="271"/>
        <v>27.094444444444449</v>
      </c>
      <c r="N769" s="46">
        <f t="shared" si="272"/>
        <v>26.469444444444449</v>
      </c>
      <c r="O769" s="20">
        <f t="shared" si="269"/>
        <v>265.84444444444432</v>
      </c>
      <c r="P769" s="20">
        <f t="shared" si="263"/>
        <v>267.09444444444432</v>
      </c>
      <c r="Q769" s="20">
        <f t="shared" si="273"/>
        <v>266.46944444444432</v>
      </c>
      <c r="R769" s="20">
        <f t="shared" si="254"/>
        <v>265.84444444444432</v>
      </c>
      <c r="S769" s="20">
        <f t="shared" si="255"/>
        <v>266.46944444444432</v>
      </c>
      <c r="T769" s="20">
        <f t="shared" si="256"/>
        <v>266.46944444444432</v>
      </c>
      <c r="U769" s="20">
        <f t="shared" si="257"/>
        <v>266.46944444444432</v>
      </c>
      <c r="V769" s="22">
        <v>6.7473999999999998</v>
      </c>
      <c r="W769" s="22">
        <v>2.0305</v>
      </c>
      <c r="X769" s="23">
        <v>1.1476266666666668</v>
      </c>
      <c r="Y769" s="23">
        <f t="shared" si="264"/>
        <v>5.5997733333333333</v>
      </c>
      <c r="Z769" s="23">
        <f t="shared" si="265"/>
        <v>0.88287333333333318</v>
      </c>
      <c r="AA769" s="22">
        <f t="shared" si="266"/>
        <v>84.233766604838763</v>
      </c>
      <c r="AB769" s="22">
        <f t="shared" si="267"/>
        <v>15.766233395161237</v>
      </c>
      <c r="AC769" s="22">
        <f t="shared" si="258"/>
        <v>1.2637841653259281</v>
      </c>
      <c r="AD769" s="22">
        <f t="shared" si="259"/>
        <v>0.19925116111637606</v>
      </c>
      <c r="AE769" s="27">
        <v>16.716699999999999</v>
      </c>
      <c r="AF769" s="27">
        <v>16.824400000000001</v>
      </c>
      <c r="AG769" s="27">
        <v>16.77</v>
      </c>
      <c r="AH769" s="26">
        <v>5.33E-2</v>
      </c>
      <c r="AI769" s="26">
        <v>50.510677809999997</v>
      </c>
      <c r="AJ769" s="26">
        <f t="shared" si="260"/>
        <v>2.5255338905000002</v>
      </c>
      <c r="AK769" s="26">
        <f t="shared" si="261"/>
        <v>29.196923589595375</v>
      </c>
      <c r="AL769" s="26">
        <f t="shared" si="262"/>
        <v>2.5271370030261648</v>
      </c>
      <c r="AM769" s="17">
        <f t="shared" si="268"/>
        <v>0.5780346820809249</v>
      </c>
      <c r="AN769" s="17"/>
      <c r="AO769" s="27"/>
      <c r="AS769" s="49"/>
      <c r="AT769" s="25"/>
      <c r="AU769" s="17"/>
      <c r="AV769" s="17"/>
      <c r="AW769" s="17"/>
      <c r="AX769" s="27"/>
      <c r="BB769" s="17"/>
    </row>
    <row r="770" spans="1:54" x14ac:dyDescent="0.2">
      <c r="A770" s="17" t="s">
        <v>77</v>
      </c>
      <c r="B770" s="17" t="s">
        <v>78</v>
      </c>
      <c r="C770" s="17" t="str">
        <f t="shared" si="252"/>
        <v>HER42PB1G</v>
      </c>
      <c r="D770" s="17" t="str">
        <f t="shared" si="253"/>
        <v>HER42PB1G_239</v>
      </c>
      <c r="E770" s="27" t="s">
        <v>85</v>
      </c>
      <c r="F770" s="17">
        <v>239</v>
      </c>
      <c r="G770" s="20">
        <v>2.2999999999999998</v>
      </c>
      <c r="H770" s="20">
        <v>2.35</v>
      </c>
      <c r="I770" s="20">
        <v>1.2</v>
      </c>
      <c r="J770" s="22">
        <f t="shared" si="251"/>
        <v>5.0920987500000008</v>
      </c>
      <c r="K770" s="53">
        <v>0.14444444444444471</v>
      </c>
      <c r="L770" s="45">
        <f t="shared" si="270"/>
        <v>27.238888888888894</v>
      </c>
      <c r="M770" s="45">
        <f t="shared" si="271"/>
        <v>28.438888888888894</v>
      </c>
      <c r="N770" s="46">
        <f t="shared" si="272"/>
        <v>27.838888888888896</v>
      </c>
      <c r="O770" s="20">
        <f t="shared" si="269"/>
        <v>267.23888888888877</v>
      </c>
      <c r="P770" s="20">
        <f t="shared" si="263"/>
        <v>268.43888888888875</v>
      </c>
      <c r="Q770" s="20">
        <f t="shared" si="273"/>
        <v>267.83888888888873</v>
      </c>
      <c r="R770" s="20">
        <f t="shared" si="254"/>
        <v>267.23888888888877</v>
      </c>
      <c r="S770" s="20">
        <f t="shared" si="255"/>
        <v>267.83888888888873</v>
      </c>
      <c r="T770" s="20">
        <f t="shared" si="256"/>
        <v>267.83888888888873</v>
      </c>
      <c r="U770" s="20">
        <f t="shared" si="257"/>
        <v>267.83888888888873</v>
      </c>
      <c r="V770" s="22">
        <v>6.8189000000000002</v>
      </c>
      <c r="W770" s="22">
        <v>2.0789</v>
      </c>
      <c r="X770" s="23">
        <v>1.1476266666666668</v>
      </c>
      <c r="Y770" s="23">
        <f t="shared" si="264"/>
        <v>5.6712733333333336</v>
      </c>
      <c r="Z770" s="23">
        <f t="shared" si="265"/>
        <v>0.93127333333333318</v>
      </c>
      <c r="AA770" s="22">
        <f t="shared" si="266"/>
        <v>83.579113920330656</v>
      </c>
      <c r="AB770" s="22">
        <f t="shared" si="267"/>
        <v>16.420886079669344</v>
      </c>
      <c r="AC770" s="22">
        <f t="shared" si="258"/>
        <v>1.113739856936854</v>
      </c>
      <c r="AD770" s="22">
        <f t="shared" si="259"/>
        <v>0.18288595313147316</v>
      </c>
      <c r="AE770" s="27">
        <v>16.9178</v>
      </c>
      <c r="AF770" s="27">
        <v>17.029800000000002</v>
      </c>
      <c r="AG770" s="27">
        <v>16.963200000000001</v>
      </c>
      <c r="AH770" s="26">
        <v>4.5400000000000003E-2</v>
      </c>
      <c r="AI770" s="26">
        <v>59.464285709999999</v>
      </c>
      <c r="AJ770" s="26">
        <f t="shared" si="260"/>
        <v>2.9732142855000001</v>
      </c>
      <c r="AK770" s="26">
        <f t="shared" si="261"/>
        <v>34.372419485549138</v>
      </c>
      <c r="AL770" s="26">
        <f t="shared" si="262"/>
        <v>2.9745761357714944</v>
      </c>
      <c r="AM770" s="17">
        <f t="shared" si="268"/>
        <v>0.5780346820809249</v>
      </c>
      <c r="AN770" s="17"/>
      <c r="AO770" s="27"/>
      <c r="AS770" s="49"/>
      <c r="AT770" s="25"/>
      <c r="AU770" s="17"/>
      <c r="AV770" s="17"/>
      <c r="AW770" s="17"/>
      <c r="AX770" s="27"/>
      <c r="BB770" s="17"/>
    </row>
    <row r="771" spans="1:54" x14ac:dyDescent="0.2">
      <c r="A771" s="17" t="s">
        <v>77</v>
      </c>
      <c r="B771" s="17" t="s">
        <v>78</v>
      </c>
      <c r="C771" s="17" t="str">
        <f t="shared" si="252"/>
        <v>HER42PB1G</v>
      </c>
      <c r="D771" s="17" t="str">
        <f t="shared" si="253"/>
        <v>HER42PB1G_240</v>
      </c>
      <c r="E771" s="27" t="s">
        <v>85</v>
      </c>
      <c r="F771" s="17">
        <v>240</v>
      </c>
      <c r="G771" s="20">
        <v>2.35</v>
      </c>
      <c r="H771" s="20">
        <v>2.2999999999999998</v>
      </c>
      <c r="I771" s="20">
        <v>1.2</v>
      </c>
      <c r="J771" s="22">
        <f t="shared" si="251"/>
        <v>5.0920987500000008</v>
      </c>
      <c r="K771" s="53">
        <v>0.14444444444444471</v>
      </c>
      <c r="L771" s="45">
        <f t="shared" si="270"/>
        <v>28.583333333333339</v>
      </c>
      <c r="M771" s="45">
        <f t="shared" si="271"/>
        <v>29.783333333333339</v>
      </c>
      <c r="N771" s="46">
        <f t="shared" si="272"/>
        <v>29.183333333333337</v>
      </c>
      <c r="O771" s="20">
        <f t="shared" si="269"/>
        <v>268.5833333333332</v>
      </c>
      <c r="P771" s="20">
        <f t="shared" si="263"/>
        <v>269.78333333333319</v>
      </c>
      <c r="Q771" s="20">
        <f t="shared" si="273"/>
        <v>269.18333333333317</v>
      </c>
      <c r="R771" s="20">
        <f t="shared" si="254"/>
        <v>268.5833333333332</v>
      </c>
      <c r="S771" s="20">
        <f t="shared" si="255"/>
        <v>269.18333333333317</v>
      </c>
      <c r="T771" s="20">
        <f t="shared" si="256"/>
        <v>269.18333333333317</v>
      </c>
      <c r="U771" s="20">
        <f t="shared" si="257"/>
        <v>269.18333333333317</v>
      </c>
      <c r="V771" s="22">
        <v>7.4065000000000003</v>
      </c>
      <c r="W771" s="22">
        <v>2.3534000000000002</v>
      </c>
      <c r="X771" s="23">
        <v>1.1476266666666668</v>
      </c>
      <c r="Y771" s="23">
        <f t="shared" si="264"/>
        <v>6.2588733333333337</v>
      </c>
      <c r="Z771" s="23">
        <f t="shared" si="265"/>
        <v>1.2057733333333334</v>
      </c>
      <c r="AA771" s="22">
        <f t="shared" si="266"/>
        <v>80.734977860765142</v>
      </c>
      <c r="AB771" s="22">
        <f t="shared" si="267"/>
        <v>19.265022139234858</v>
      </c>
      <c r="AC771" s="22">
        <f t="shared" si="258"/>
        <v>1.2291343197799007</v>
      </c>
      <c r="AD771" s="22">
        <f t="shared" si="259"/>
        <v>0.23679299882653163</v>
      </c>
      <c r="AE771" s="27">
        <v>14.0372</v>
      </c>
      <c r="AF771" s="27">
        <v>14.1999</v>
      </c>
      <c r="AG771" s="27">
        <v>14.124599999999999</v>
      </c>
      <c r="AH771" s="26">
        <v>8.7400000000000005E-2</v>
      </c>
      <c r="AI771" s="26">
        <v>46.281499689999997</v>
      </c>
      <c r="AJ771" s="26">
        <f t="shared" si="260"/>
        <v>2.3140749844999999</v>
      </c>
      <c r="AK771" s="26">
        <f t="shared" si="261"/>
        <v>26.752311959537572</v>
      </c>
      <c r="AL771" s="26">
        <f t="shared" si="262"/>
        <v>2.3158244825307195</v>
      </c>
      <c r="AM771" s="17">
        <f t="shared" si="268"/>
        <v>0.5780346820809249</v>
      </c>
      <c r="AN771" s="17"/>
      <c r="AO771" s="27"/>
      <c r="AS771" s="49"/>
      <c r="AT771" s="25"/>
      <c r="AU771" s="17"/>
      <c r="AV771" s="17"/>
      <c r="AW771" s="17"/>
      <c r="AX771" s="27"/>
      <c r="BB771" s="17"/>
    </row>
    <row r="772" spans="1:54" x14ac:dyDescent="0.2">
      <c r="A772" s="17" t="s">
        <v>77</v>
      </c>
      <c r="B772" s="17" t="s">
        <v>78</v>
      </c>
      <c r="C772" s="17" t="str">
        <f t="shared" si="252"/>
        <v>HER42PB1G</v>
      </c>
      <c r="D772" s="17" t="str">
        <f t="shared" si="253"/>
        <v>HER42PB1G_241</v>
      </c>
      <c r="E772" s="27" t="s">
        <v>85</v>
      </c>
      <c r="F772" s="17">
        <v>241</v>
      </c>
      <c r="G772" s="20">
        <v>2.2999999999999998</v>
      </c>
      <c r="H772" s="20">
        <v>2.2999999999999998</v>
      </c>
      <c r="I772" s="20">
        <v>1.1499999999999999</v>
      </c>
      <c r="J772" s="22">
        <f t="shared" si="251"/>
        <v>4.7755474999999992</v>
      </c>
      <c r="K772" s="53">
        <v>0.14444444444444471</v>
      </c>
      <c r="L772" s="45">
        <f t="shared" si="270"/>
        <v>29.927777777777784</v>
      </c>
      <c r="M772" s="45">
        <f t="shared" si="271"/>
        <v>31.077777777777783</v>
      </c>
      <c r="N772" s="46">
        <f t="shared" si="272"/>
        <v>30.502777777777784</v>
      </c>
      <c r="O772" s="20">
        <f t="shared" si="269"/>
        <v>269.92777777777764</v>
      </c>
      <c r="P772" s="20">
        <f t="shared" si="263"/>
        <v>271.07777777777761</v>
      </c>
      <c r="Q772" s="20">
        <f t="shared" si="273"/>
        <v>270.50277777777762</v>
      </c>
      <c r="R772" s="20">
        <f t="shared" si="254"/>
        <v>269.92777777777764</v>
      </c>
      <c r="S772" s="20">
        <f t="shared" si="255"/>
        <v>270.50277777777762</v>
      </c>
      <c r="T772" s="20">
        <f t="shared" si="256"/>
        <v>270.50277777777762</v>
      </c>
      <c r="U772" s="20">
        <f t="shared" si="257"/>
        <v>270.50277777777762</v>
      </c>
      <c r="V772" s="22">
        <v>7.1631</v>
      </c>
      <c r="W772" s="22">
        <v>2.1248</v>
      </c>
      <c r="X772" s="23">
        <v>1.1476266666666668</v>
      </c>
      <c r="Y772" s="23">
        <f t="shared" si="264"/>
        <v>6.0154733333333334</v>
      </c>
      <c r="Z772" s="23">
        <f t="shared" si="265"/>
        <v>0.97717333333333323</v>
      </c>
      <c r="AA772" s="22">
        <f t="shared" si="266"/>
        <v>83.755670099665195</v>
      </c>
      <c r="AB772" s="22">
        <f t="shared" si="267"/>
        <v>16.244329900334805</v>
      </c>
      <c r="AC772" s="22">
        <f t="shared" si="258"/>
        <v>1.2596405612829387</v>
      </c>
      <c r="AD772" s="22">
        <f t="shared" si="259"/>
        <v>0.20462016833322952</v>
      </c>
      <c r="AE772" s="27">
        <v>13.0753</v>
      </c>
      <c r="AF772" s="27">
        <v>13.175000000000001</v>
      </c>
      <c r="AG772" s="27">
        <v>13.113</v>
      </c>
      <c r="AH772" s="26">
        <v>3.7699999999999997E-2</v>
      </c>
      <c r="AI772" s="26">
        <v>62.186559680000002</v>
      </c>
      <c r="AJ772" s="26">
        <f t="shared" si="260"/>
        <v>3.1093279840000001</v>
      </c>
      <c r="AK772" s="26">
        <f t="shared" si="261"/>
        <v>35.945988254335262</v>
      </c>
      <c r="AL772" s="26">
        <f t="shared" si="262"/>
        <v>3.1106302435496098</v>
      </c>
      <c r="AM772" s="17">
        <f t="shared" si="268"/>
        <v>0.5780346820809249</v>
      </c>
      <c r="AN772" s="17"/>
      <c r="AO772" s="27"/>
      <c r="AS772" s="49"/>
      <c r="AT772" s="25"/>
      <c r="AU772" s="17"/>
      <c r="AV772" s="17"/>
      <c r="AW772" s="17"/>
      <c r="AX772" s="27"/>
      <c r="BB772" s="17"/>
    </row>
    <row r="773" spans="1:54" x14ac:dyDescent="0.2">
      <c r="A773" s="17" t="s">
        <v>77</v>
      </c>
      <c r="B773" s="17" t="s">
        <v>78</v>
      </c>
      <c r="C773" s="17" t="str">
        <f t="shared" si="252"/>
        <v>HER42PB1G</v>
      </c>
      <c r="D773" s="17" t="str">
        <f t="shared" si="253"/>
        <v>HER42PB1G_242</v>
      </c>
      <c r="E773" s="27" t="s">
        <v>85</v>
      </c>
      <c r="F773" s="17">
        <v>242</v>
      </c>
      <c r="G773" s="20">
        <v>2.25</v>
      </c>
      <c r="H773" s="20">
        <v>2.25</v>
      </c>
      <c r="I773" s="20">
        <v>1.2</v>
      </c>
      <c r="J773" s="22">
        <f t="shared" si="251"/>
        <v>4.7688749999999995</v>
      </c>
      <c r="K773" s="53">
        <v>0.14444444444444471</v>
      </c>
      <c r="L773" s="45">
        <f t="shared" si="270"/>
        <v>31.222222222222229</v>
      </c>
      <c r="M773" s="45">
        <f t="shared" si="271"/>
        <v>32.422222222222231</v>
      </c>
      <c r="N773" s="46">
        <f t="shared" si="272"/>
        <v>31.82222222222223</v>
      </c>
      <c r="O773" s="20">
        <f t="shared" si="269"/>
        <v>271.22222222222206</v>
      </c>
      <c r="P773" s="20">
        <f t="shared" si="263"/>
        <v>272.42222222222205</v>
      </c>
      <c r="Q773" s="20">
        <f t="shared" si="273"/>
        <v>271.82222222222208</v>
      </c>
      <c r="R773" s="20">
        <f t="shared" si="254"/>
        <v>271.22222222222206</v>
      </c>
      <c r="S773" s="20">
        <f t="shared" si="255"/>
        <v>271.82222222222208</v>
      </c>
      <c r="T773" s="20">
        <f t="shared" si="256"/>
        <v>271.82222222222208</v>
      </c>
      <c r="U773" s="20">
        <f t="shared" si="257"/>
        <v>271.82222222222208</v>
      </c>
      <c r="V773" s="22">
        <v>7.9919000000000002</v>
      </c>
      <c r="W773" s="22">
        <v>2.0886</v>
      </c>
      <c r="X773" s="23">
        <v>1.1476266666666668</v>
      </c>
      <c r="Y773" s="23">
        <f t="shared" si="264"/>
        <v>6.8442733333333337</v>
      </c>
      <c r="Z773" s="23">
        <f t="shared" si="265"/>
        <v>0.94097333333333322</v>
      </c>
      <c r="AA773" s="22">
        <f t="shared" si="266"/>
        <v>86.251669278744956</v>
      </c>
      <c r="AB773" s="22">
        <f t="shared" si="267"/>
        <v>13.748330721255044</v>
      </c>
      <c r="AC773" s="22">
        <f t="shared" si="258"/>
        <v>1.4351966309314743</v>
      </c>
      <c r="AD773" s="22">
        <f t="shared" si="259"/>
        <v>0.19731557932076921</v>
      </c>
      <c r="AE773" s="27">
        <v>13.9009</v>
      </c>
      <c r="AF773" s="27">
        <v>13.9892</v>
      </c>
      <c r="AG773" s="27">
        <v>13.922599999999999</v>
      </c>
      <c r="AH773" s="26">
        <v>2.1700000000000001E-2</v>
      </c>
      <c r="AI773" s="26">
        <v>75.424688560000007</v>
      </c>
      <c r="AJ773" s="26">
        <f t="shared" si="260"/>
        <v>3.7712344280000005</v>
      </c>
      <c r="AK773" s="26">
        <f t="shared" si="261"/>
        <v>43.598085872832378</v>
      </c>
      <c r="AL773" s="26">
        <f t="shared" si="262"/>
        <v>3.7723081940547343</v>
      </c>
      <c r="AM773" s="17">
        <f t="shared" si="268"/>
        <v>0.5780346820809249</v>
      </c>
      <c r="AN773" s="17"/>
      <c r="AO773" s="27"/>
      <c r="AS773" s="49"/>
      <c r="AT773" s="25"/>
      <c r="AU773" s="17"/>
      <c r="AV773" s="17"/>
      <c r="AW773" s="17"/>
      <c r="AX773" s="27"/>
      <c r="BB773" s="17"/>
    </row>
    <row r="774" spans="1:54" x14ac:dyDescent="0.2">
      <c r="A774" s="17" t="s">
        <v>77</v>
      </c>
      <c r="B774" s="17" t="s">
        <v>78</v>
      </c>
      <c r="C774" s="17" t="str">
        <f t="shared" si="252"/>
        <v>HER42PB1G</v>
      </c>
      <c r="D774" s="17" t="str">
        <f t="shared" si="253"/>
        <v>HER42PB1G_243</v>
      </c>
      <c r="E774" s="27" t="s">
        <v>85</v>
      </c>
      <c r="F774" s="17">
        <v>243</v>
      </c>
      <c r="G774" s="20">
        <v>2.25</v>
      </c>
      <c r="H774" s="20">
        <v>2.25</v>
      </c>
      <c r="I774" s="20">
        <v>1.1499999999999999</v>
      </c>
      <c r="J774" s="22">
        <f t="shared" si="251"/>
        <v>4.5701718750000007</v>
      </c>
      <c r="K774" s="53">
        <v>0.14444444444444471</v>
      </c>
      <c r="L774" s="45">
        <f t="shared" si="270"/>
        <v>32.566666666666677</v>
      </c>
      <c r="M774" s="45">
        <f t="shared" si="271"/>
        <v>33.716666666666676</v>
      </c>
      <c r="N774" s="46">
        <f t="shared" si="272"/>
        <v>33.14166666666668</v>
      </c>
      <c r="O774" s="20">
        <f t="shared" si="269"/>
        <v>272.56666666666649</v>
      </c>
      <c r="P774" s="20">
        <f t="shared" si="263"/>
        <v>273.71666666666647</v>
      </c>
      <c r="Q774" s="20">
        <f t="shared" si="273"/>
        <v>273.14166666666648</v>
      </c>
      <c r="R774" s="20">
        <f t="shared" si="254"/>
        <v>272.56666666666649</v>
      </c>
      <c r="S774" s="20">
        <f t="shared" si="255"/>
        <v>273.14166666666648</v>
      </c>
      <c r="T774" s="20">
        <f t="shared" si="256"/>
        <v>273.14166666666648</v>
      </c>
      <c r="U774" s="20">
        <f t="shared" si="257"/>
        <v>273.14166666666648</v>
      </c>
      <c r="V774" s="22">
        <v>7.4747000000000003</v>
      </c>
      <c r="W774" s="22">
        <v>2.2267999999999999</v>
      </c>
      <c r="X774" s="23">
        <v>1.1476266666666668</v>
      </c>
      <c r="Y774" s="23">
        <f t="shared" si="264"/>
        <v>6.3270733333333338</v>
      </c>
      <c r="Z774" s="23">
        <f t="shared" si="265"/>
        <v>1.0791733333333331</v>
      </c>
      <c r="AA774" s="22">
        <f t="shared" si="266"/>
        <v>82.943562110338533</v>
      </c>
      <c r="AB774" s="22">
        <f t="shared" si="267"/>
        <v>17.056437889661467</v>
      </c>
      <c r="AC774" s="22">
        <f t="shared" si="258"/>
        <v>1.3844278741340188</v>
      </c>
      <c r="AD774" s="22">
        <f t="shared" si="259"/>
        <v>0.23613408047882947</v>
      </c>
      <c r="AE774" s="27">
        <v>13.6469</v>
      </c>
      <c r="AF774" s="27">
        <v>13.8613</v>
      </c>
      <c r="AG774" s="27">
        <v>13.757999999999999</v>
      </c>
      <c r="AH774" s="26">
        <v>0.1111</v>
      </c>
      <c r="AI774" s="26">
        <v>48.18097015</v>
      </c>
      <c r="AJ774" s="26">
        <f t="shared" si="260"/>
        <v>2.4090485075000001</v>
      </c>
      <c r="AK774" s="26">
        <f t="shared" si="261"/>
        <v>27.850271763005782</v>
      </c>
      <c r="AL774" s="26">
        <f t="shared" si="262"/>
        <v>2.4107290829721988</v>
      </c>
      <c r="AM774" s="17">
        <f t="shared" si="268"/>
        <v>0.5780346820809249</v>
      </c>
      <c r="AN774" s="17"/>
      <c r="AO774" s="27"/>
      <c r="AS774" s="49"/>
      <c r="AT774" s="25"/>
      <c r="AU774" s="17"/>
      <c r="AV774" s="17"/>
      <c r="AW774" s="17"/>
      <c r="AX774" s="27"/>
      <c r="BB774" s="17"/>
    </row>
    <row r="775" spans="1:54" x14ac:dyDescent="0.2">
      <c r="A775" s="17" t="s">
        <v>77</v>
      </c>
      <c r="B775" s="17" t="s">
        <v>78</v>
      </c>
      <c r="C775" s="17" t="str">
        <f t="shared" si="252"/>
        <v>HER42PB1G</v>
      </c>
      <c r="D775" s="17" t="str">
        <f t="shared" si="253"/>
        <v>HER42PB1G_244</v>
      </c>
      <c r="E775" s="27" t="s">
        <v>85</v>
      </c>
      <c r="F775" s="17">
        <v>244</v>
      </c>
      <c r="G775" s="20">
        <v>2.2999999999999998</v>
      </c>
      <c r="H775" s="20">
        <v>2.2999999999999998</v>
      </c>
      <c r="I775" s="20">
        <v>1.2</v>
      </c>
      <c r="J775" s="22">
        <f t="shared" si="251"/>
        <v>4.9831799999999991</v>
      </c>
      <c r="K775" s="53">
        <v>0.14444444444444471</v>
      </c>
      <c r="L775" s="45">
        <f t="shared" si="270"/>
        <v>33.861111111111121</v>
      </c>
      <c r="M775" s="45">
        <f t="shared" si="271"/>
        <v>35.061111111111124</v>
      </c>
      <c r="N775" s="46">
        <f t="shared" si="272"/>
        <v>34.461111111111123</v>
      </c>
      <c r="O775" s="20">
        <f t="shared" si="269"/>
        <v>273.86111111111092</v>
      </c>
      <c r="P775" s="20">
        <f t="shared" si="263"/>
        <v>275.0611111111109</v>
      </c>
      <c r="Q775" s="20">
        <f t="shared" si="273"/>
        <v>274.46111111111088</v>
      </c>
      <c r="R775" s="20">
        <f t="shared" si="254"/>
        <v>273.86111111111092</v>
      </c>
      <c r="S775" s="20">
        <f t="shared" si="255"/>
        <v>274.46111111111088</v>
      </c>
      <c r="T775" s="20">
        <f t="shared" si="256"/>
        <v>274.46111111111088</v>
      </c>
      <c r="U775" s="20">
        <f t="shared" si="257"/>
        <v>274.46111111111088</v>
      </c>
      <c r="V775" s="22">
        <v>7.2359</v>
      </c>
      <c r="W775" s="22">
        <v>2.0665</v>
      </c>
      <c r="X775" s="23">
        <v>1.1476266666666668</v>
      </c>
      <c r="Y775" s="23">
        <f t="shared" si="264"/>
        <v>6.0882733333333334</v>
      </c>
      <c r="Z775" s="23">
        <f t="shared" si="265"/>
        <v>0.91887333333333321</v>
      </c>
      <c r="AA775" s="22">
        <f t="shared" si="266"/>
        <v>84.90748882277515</v>
      </c>
      <c r="AB775" s="22">
        <f t="shared" si="267"/>
        <v>15.09251117722485</v>
      </c>
      <c r="AC775" s="22">
        <f t="shared" si="258"/>
        <v>1.2217646830604825</v>
      </c>
      <c r="AD775" s="22">
        <f t="shared" si="259"/>
        <v>0.18439497135028904</v>
      </c>
      <c r="AE775" s="27">
        <v>14.7742</v>
      </c>
      <c r="AF775" s="27">
        <v>14.866899999999999</v>
      </c>
      <c r="AG775" s="27">
        <v>14.7995</v>
      </c>
      <c r="AH775" s="26">
        <v>2.53E-2</v>
      </c>
      <c r="AI775" s="26">
        <v>72.707659120000002</v>
      </c>
      <c r="AJ775" s="26">
        <f t="shared" si="260"/>
        <v>3.6353829560000004</v>
      </c>
      <c r="AK775" s="26">
        <f t="shared" si="261"/>
        <v>42.027548624277465</v>
      </c>
      <c r="AL775" s="26">
        <f t="shared" si="262"/>
        <v>3.6364968357988849</v>
      </c>
      <c r="AM775" s="17">
        <f t="shared" si="268"/>
        <v>0.5780346820809249</v>
      </c>
      <c r="AN775" s="17"/>
      <c r="AO775" s="27"/>
      <c r="AS775" s="49"/>
      <c r="AT775" s="25"/>
      <c r="AU775" s="17"/>
      <c r="AV775" s="17"/>
      <c r="AW775" s="17"/>
      <c r="AX775" s="27"/>
      <c r="BB775" s="17"/>
    </row>
    <row r="776" spans="1:54" x14ac:dyDescent="0.2">
      <c r="A776" s="17" t="s">
        <v>77</v>
      </c>
      <c r="B776" s="17" t="s">
        <v>78</v>
      </c>
      <c r="C776" s="17" t="str">
        <f t="shared" si="252"/>
        <v>HER42PB1G</v>
      </c>
      <c r="D776" s="17" t="str">
        <f t="shared" si="253"/>
        <v>HER42PB1G_245</v>
      </c>
      <c r="E776" s="27" t="s">
        <v>85</v>
      </c>
      <c r="F776" s="17">
        <v>245</v>
      </c>
      <c r="G776" s="20">
        <v>2.15</v>
      </c>
      <c r="H776" s="20">
        <v>2.2999999999999998</v>
      </c>
      <c r="I776" s="20">
        <v>1.1499999999999999</v>
      </c>
      <c r="J776" s="22">
        <f t="shared" si="251"/>
        <v>4.4691767187499982</v>
      </c>
      <c r="K776" s="53">
        <v>0.14444444444444471</v>
      </c>
      <c r="L776" s="45">
        <f t="shared" si="270"/>
        <v>35.20555555555557</v>
      </c>
      <c r="M776" s="45">
        <f t="shared" si="271"/>
        <v>36.355555555555569</v>
      </c>
      <c r="N776" s="46">
        <f t="shared" si="272"/>
        <v>35.780555555555566</v>
      </c>
      <c r="O776" s="20">
        <f t="shared" si="269"/>
        <v>275.20555555555535</v>
      </c>
      <c r="P776" s="20">
        <f t="shared" si="263"/>
        <v>276.35555555555533</v>
      </c>
      <c r="Q776" s="20">
        <f t="shared" si="273"/>
        <v>275.78055555555534</v>
      </c>
      <c r="R776" s="20">
        <f t="shared" si="254"/>
        <v>275.20555555555535</v>
      </c>
      <c r="S776" s="20">
        <f t="shared" si="255"/>
        <v>275.78055555555534</v>
      </c>
      <c r="T776" s="20">
        <f t="shared" si="256"/>
        <v>275.78055555555534</v>
      </c>
      <c r="U776" s="20">
        <f t="shared" si="257"/>
        <v>275.78055555555534</v>
      </c>
      <c r="V776" s="22">
        <v>7.0544000000000002</v>
      </c>
      <c r="W776" s="22">
        <v>2.0920999999999998</v>
      </c>
      <c r="X776" s="23">
        <v>1.1476266666666668</v>
      </c>
      <c r="Y776" s="23">
        <f t="shared" si="264"/>
        <v>5.9067733333333337</v>
      </c>
      <c r="Z776" s="23">
        <f t="shared" si="265"/>
        <v>0.94447333333333305</v>
      </c>
      <c r="AA776" s="22">
        <f t="shared" si="266"/>
        <v>84.010333899162106</v>
      </c>
      <c r="AB776" s="22">
        <f t="shared" si="267"/>
        <v>15.989666100837894</v>
      </c>
      <c r="AC776" s="22">
        <f t="shared" si="258"/>
        <v>1.3216692256880418</v>
      </c>
      <c r="AD776" s="22">
        <f t="shared" si="259"/>
        <v>0.21133049614504762</v>
      </c>
      <c r="AE776" s="27">
        <v>13.5045</v>
      </c>
      <c r="AF776" s="27">
        <v>13.5867</v>
      </c>
      <c r="AG776" s="27">
        <v>13.529400000000001</v>
      </c>
      <c r="AH776" s="26">
        <v>2.4899999999999999E-2</v>
      </c>
      <c r="AI776" s="26">
        <v>69.708029199999999</v>
      </c>
      <c r="AJ776" s="26">
        <f t="shared" si="260"/>
        <v>3.4854014600000003</v>
      </c>
      <c r="AK776" s="26">
        <f t="shared" si="261"/>
        <v>40.293658497109831</v>
      </c>
      <c r="AL776" s="26">
        <f t="shared" si="262"/>
        <v>3.4865632558968631</v>
      </c>
      <c r="AM776" s="17">
        <f t="shared" si="268"/>
        <v>0.5780346820809249</v>
      </c>
      <c r="AN776" s="17"/>
      <c r="AO776" s="27"/>
      <c r="AS776" s="49"/>
      <c r="AT776" s="25"/>
      <c r="AU776" s="17"/>
      <c r="AV776" s="17"/>
      <c r="AW776" s="17"/>
      <c r="AX776" s="27"/>
      <c r="BB776" s="17"/>
    </row>
    <row r="777" spans="1:54" x14ac:dyDescent="0.2">
      <c r="A777" s="17" t="s">
        <v>77</v>
      </c>
      <c r="B777" s="17" t="s">
        <v>78</v>
      </c>
      <c r="C777" s="17" t="str">
        <f t="shared" si="252"/>
        <v>HER42PB1G</v>
      </c>
      <c r="D777" s="17" t="str">
        <f t="shared" si="253"/>
        <v>HER42PB1G_246</v>
      </c>
      <c r="E777" s="27" t="s">
        <v>85</v>
      </c>
      <c r="F777" s="17">
        <v>246</v>
      </c>
      <c r="G777" s="20">
        <v>2.2999999999999998</v>
      </c>
      <c r="H777" s="20">
        <v>2.35</v>
      </c>
      <c r="I777" s="20">
        <v>1.3</v>
      </c>
      <c r="J777" s="22">
        <f t="shared" si="251"/>
        <v>5.5164403125000003</v>
      </c>
      <c r="K777" s="53">
        <v>0.14444444444444471</v>
      </c>
      <c r="L777" s="45">
        <f t="shared" si="270"/>
        <v>36.500000000000014</v>
      </c>
      <c r="M777" s="45">
        <f t="shared" si="271"/>
        <v>37.800000000000011</v>
      </c>
      <c r="N777" s="46">
        <f t="shared" si="272"/>
        <v>37.150000000000013</v>
      </c>
      <c r="O777" s="20">
        <f t="shared" si="269"/>
        <v>276.49999999999977</v>
      </c>
      <c r="P777" s="20">
        <f t="shared" si="263"/>
        <v>277.79999999999978</v>
      </c>
      <c r="Q777" s="20">
        <f t="shared" si="273"/>
        <v>277.14999999999975</v>
      </c>
      <c r="R777" s="20">
        <f t="shared" si="254"/>
        <v>276.49999999999977</v>
      </c>
      <c r="S777" s="20">
        <f t="shared" si="255"/>
        <v>277.14999999999975</v>
      </c>
      <c r="T777" s="20">
        <f t="shared" si="256"/>
        <v>277.14999999999975</v>
      </c>
      <c r="U777" s="20">
        <f t="shared" si="257"/>
        <v>277.14999999999975</v>
      </c>
      <c r="V777" s="22">
        <v>7.4463999999999997</v>
      </c>
      <c r="W777" s="22">
        <v>2.1793999999999998</v>
      </c>
      <c r="X777" s="23">
        <v>1.1476266666666668</v>
      </c>
      <c r="Y777" s="23">
        <f t="shared" si="264"/>
        <v>6.2987733333333331</v>
      </c>
      <c r="Z777" s="23">
        <f t="shared" si="265"/>
        <v>1.031773333333333</v>
      </c>
      <c r="AA777" s="22">
        <f t="shared" si="266"/>
        <v>83.619456063402836</v>
      </c>
      <c r="AB777" s="22">
        <f t="shared" si="267"/>
        <v>16.380543936597164</v>
      </c>
      <c r="AC777" s="22">
        <f t="shared" si="258"/>
        <v>1.1418184511233815</v>
      </c>
      <c r="AD777" s="22">
        <f t="shared" si="259"/>
        <v>0.18703607306243883</v>
      </c>
      <c r="AE777" s="27">
        <v>10.2933</v>
      </c>
      <c r="AF777" s="27">
        <v>10.4269</v>
      </c>
      <c r="AG777" s="27">
        <v>10.342499999999999</v>
      </c>
      <c r="AH777" s="26">
        <v>4.9200000000000001E-2</v>
      </c>
      <c r="AI777" s="26">
        <v>63.173652689999997</v>
      </c>
      <c r="AJ777" s="26">
        <f t="shared" si="260"/>
        <v>3.1586826344999999</v>
      </c>
      <c r="AK777" s="26">
        <f t="shared" si="261"/>
        <v>36.516562248554912</v>
      </c>
      <c r="AL777" s="26">
        <f t="shared" si="262"/>
        <v>3.1599645544676385</v>
      </c>
      <c r="AM777" s="17">
        <f t="shared" si="268"/>
        <v>0.5780346820809249</v>
      </c>
      <c r="AN777" s="17"/>
      <c r="AO777" s="27"/>
      <c r="AS777" s="49"/>
      <c r="AT777" s="25"/>
      <c r="AU777" s="17"/>
      <c r="AV777" s="17"/>
      <c r="AW777" s="17"/>
      <c r="AX777" s="27"/>
      <c r="BB777" s="17"/>
    </row>
    <row r="778" spans="1:54" x14ac:dyDescent="0.2">
      <c r="A778" s="17" t="s">
        <v>77</v>
      </c>
      <c r="B778" s="17" t="s">
        <v>78</v>
      </c>
      <c r="C778" s="17" t="str">
        <f t="shared" si="252"/>
        <v>HER42PB1G</v>
      </c>
      <c r="D778" s="17" t="str">
        <f t="shared" si="253"/>
        <v>HER42PB1G_247</v>
      </c>
      <c r="E778" s="27" t="s">
        <v>85</v>
      </c>
      <c r="F778" s="17">
        <v>247</v>
      </c>
      <c r="G778" s="20">
        <v>2.2000000000000002</v>
      </c>
      <c r="H778" s="20">
        <v>2.25</v>
      </c>
      <c r="I778" s="20">
        <v>1.2</v>
      </c>
      <c r="J778" s="22">
        <f t="shared" si="251"/>
        <v>4.6634887500000008</v>
      </c>
      <c r="K778" s="53">
        <v>0.14444444444444471</v>
      </c>
      <c r="L778" s="45">
        <f t="shared" si="270"/>
        <v>37.944444444444457</v>
      </c>
      <c r="M778" s="45">
        <f t="shared" si="271"/>
        <v>39.14444444444446</v>
      </c>
      <c r="N778" s="46">
        <f t="shared" si="272"/>
        <v>38.544444444444458</v>
      </c>
      <c r="O778" s="20">
        <f t="shared" si="269"/>
        <v>277.94444444444423</v>
      </c>
      <c r="P778" s="20">
        <f t="shared" si="263"/>
        <v>279.14444444444422</v>
      </c>
      <c r="Q778" s="20">
        <f t="shared" si="273"/>
        <v>278.54444444444425</v>
      </c>
      <c r="R778" s="20">
        <f t="shared" si="254"/>
        <v>277.94444444444423</v>
      </c>
      <c r="S778" s="20">
        <f t="shared" si="255"/>
        <v>278.54444444444425</v>
      </c>
      <c r="T778" s="20">
        <f t="shared" si="256"/>
        <v>278.54444444444425</v>
      </c>
      <c r="U778" s="20">
        <f t="shared" si="257"/>
        <v>278.54444444444425</v>
      </c>
      <c r="V778" s="22">
        <v>7.1866000000000003</v>
      </c>
      <c r="W778" s="22">
        <v>2.0145</v>
      </c>
      <c r="X778" s="23">
        <v>1.1476266666666668</v>
      </c>
      <c r="Y778" s="23">
        <f t="shared" si="264"/>
        <v>6.0389733333333337</v>
      </c>
      <c r="Z778" s="23">
        <f t="shared" si="265"/>
        <v>0.86687333333333316</v>
      </c>
      <c r="AA778" s="22">
        <f t="shared" si="266"/>
        <v>85.645352521289482</v>
      </c>
      <c r="AB778" s="22">
        <f t="shared" si="267"/>
        <v>14.354647478710518</v>
      </c>
      <c r="AC778" s="22">
        <f t="shared" si="258"/>
        <v>1.2949475504435028</v>
      </c>
      <c r="AD778" s="22">
        <f t="shared" si="259"/>
        <v>0.18588515590036173</v>
      </c>
      <c r="AE778" s="27">
        <v>14.0771</v>
      </c>
      <c r="AF778" s="27">
        <v>14.2037</v>
      </c>
      <c r="AG778" s="27">
        <v>14.111499999999999</v>
      </c>
      <c r="AH778" s="26">
        <v>3.44E-2</v>
      </c>
      <c r="AI778" s="26">
        <v>72.827804110000002</v>
      </c>
      <c r="AJ778" s="26">
        <f t="shared" si="260"/>
        <v>3.6413902055000005</v>
      </c>
      <c r="AK778" s="26">
        <f t="shared" si="261"/>
        <v>42.096996595375728</v>
      </c>
      <c r="AL778" s="26">
        <f t="shared" si="262"/>
        <v>3.6425022482781442</v>
      </c>
      <c r="AM778" s="17">
        <f t="shared" si="268"/>
        <v>0.5780346820809249</v>
      </c>
      <c r="AN778" s="17"/>
      <c r="AO778" s="27"/>
      <c r="AS778" s="49"/>
      <c r="AT778" s="25"/>
      <c r="AU778" s="17"/>
      <c r="AV778" s="17"/>
      <c r="AW778" s="17"/>
      <c r="AX778" s="27"/>
      <c r="BB778" s="17"/>
    </row>
    <row r="779" spans="1:54" x14ac:dyDescent="0.2">
      <c r="A779" s="17" t="s">
        <v>77</v>
      </c>
      <c r="B779" s="17" t="s">
        <v>78</v>
      </c>
      <c r="C779" s="17" t="str">
        <f t="shared" si="252"/>
        <v>HER42PB1G</v>
      </c>
      <c r="D779" s="17" t="str">
        <f t="shared" si="253"/>
        <v>HER42PB1G_248</v>
      </c>
      <c r="E779" s="27" t="s">
        <v>85</v>
      </c>
      <c r="F779" s="17">
        <v>248</v>
      </c>
      <c r="G779" s="20">
        <v>2.25</v>
      </c>
      <c r="H779" s="20">
        <v>2.2999999999999998</v>
      </c>
      <c r="I779" s="20">
        <v>1.25</v>
      </c>
      <c r="J779" s="22">
        <f t="shared" si="251"/>
        <v>5.0785820312499999</v>
      </c>
      <c r="K779" s="53">
        <v>0.14444444444444471</v>
      </c>
      <c r="L779" s="45">
        <f t="shared" si="270"/>
        <v>39.288888888888906</v>
      </c>
      <c r="M779" s="45">
        <f t="shared" si="271"/>
        <v>40.538888888888906</v>
      </c>
      <c r="N779" s="46">
        <f t="shared" si="272"/>
        <v>39.913888888888906</v>
      </c>
      <c r="O779" s="20">
        <f t="shared" si="269"/>
        <v>279.28888888888866</v>
      </c>
      <c r="P779" s="20">
        <f t="shared" si="263"/>
        <v>280.53888888888866</v>
      </c>
      <c r="Q779" s="20">
        <f t="shared" si="273"/>
        <v>279.91388888888866</v>
      </c>
      <c r="R779" s="20">
        <f t="shared" si="254"/>
        <v>279.28888888888866</v>
      </c>
      <c r="S779" s="20">
        <f t="shared" si="255"/>
        <v>279.91388888888866</v>
      </c>
      <c r="T779" s="20">
        <f t="shared" si="256"/>
        <v>279.91388888888866</v>
      </c>
      <c r="U779" s="20">
        <f t="shared" si="257"/>
        <v>279.91388888888866</v>
      </c>
      <c r="V779" s="22">
        <v>7.3082000000000003</v>
      </c>
      <c r="W779" s="22">
        <v>2.1295999999999999</v>
      </c>
      <c r="X779" s="23">
        <v>1.1476266666666668</v>
      </c>
      <c r="Y779" s="23">
        <f t="shared" si="264"/>
        <v>6.1605733333333337</v>
      </c>
      <c r="Z779" s="23">
        <f t="shared" si="265"/>
        <v>0.98197333333333314</v>
      </c>
      <c r="AA779" s="22">
        <f t="shared" si="266"/>
        <v>84.060358018625976</v>
      </c>
      <c r="AB779" s="22">
        <f t="shared" si="267"/>
        <v>15.939641981374024</v>
      </c>
      <c r="AC779" s="22">
        <f t="shared" si="258"/>
        <v>1.2130498819208837</v>
      </c>
      <c r="AD779" s="22">
        <f t="shared" si="259"/>
        <v>0.19335580823366919</v>
      </c>
      <c r="AE779" s="27">
        <v>13.8188</v>
      </c>
      <c r="AF779" s="27">
        <v>13.9269</v>
      </c>
      <c r="AG779" s="27">
        <v>13.8558</v>
      </c>
      <c r="AH779" s="26">
        <v>3.6999999999999998E-2</v>
      </c>
      <c r="AI779" s="26">
        <v>65.772432929999994</v>
      </c>
      <c r="AJ779" s="26">
        <f t="shared" si="260"/>
        <v>3.2886216464999998</v>
      </c>
      <c r="AK779" s="26">
        <f t="shared" si="261"/>
        <v>38.018747358381503</v>
      </c>
      <c r="AL779" s="26">
        <f t="shared" si="262"/>
        <v>3.2898529349848409</v>
      </c>
      <c r="AM779" s="17">
        <f t="shared" si="268"/>
        <v>0.5780346820809249</v>
      </c>
      <c r="AN779" s="17"/>
      <c r="AO779" s="27"/>
      <c r="AS779" s="49"/>
      <c r="AT779" s="25"/>
      <c r="AU779" s="17"/>
      <c r="AV779" s="17"/>
      <c r="AW779" s="17"/>
      <c r="AX779" s="27"/>
      <c r="BB779" s="17"/>
    </row>
    <row r="780" spans="1:54" x14ac:dyDescent="0.2">
      <c r="A780" s="17" t="s">
        <v>77</v>
      </c>
      <c r="B780" s="17" t="s">
        <v>78</v>
      </c>
      <c r="C780" s="17" t="str">
        <f t="shared" si="252"/>
        <v>HER42PB1G</v>
      </c>
      <c r="D780" s="17" t="str">
        <f t="shared" si="253"/>
        <v>HER42PB1G_249</v>
      </c>
      <c r="E780" s="27" t="s">
        <v>85</v>
      </c>
      <c r="F780" s="17">
        <v>249</v>
      </c>
      <c r="G780" s="20">
        <v>2.2000000000000002</v>
      </c>
      <c r="H780" s="20">
        <v>2.15</v>
      </c>
      <c r="I780" s="20">
        <v>1.2</v>
      </c>
      <c r="J780" s="22">
        <f t="shared" si="251"/>
        <v>4.4562487499999994</v>
      </c>
      <c r="K780" s="53">
        <v>0.14444444444444471</v>
      </c>
      <c r="L780" s="45">
        <f t="shared" si="270"/>
        <v>40.683333333333351</v>
      </c>
      <c r="M780" s="45">
        <f t="shared" si="271"/>
        <v>41.883333333333354</v>
      </c>
      <c r="N780" s="46">
        <f t="shared" si="272"/>
        <v>41.283333333333353</v>
      </c>
      <c r="O780" s="20">
        <f t="shared" si="269"/>
        <v>280.68333333333311</v>
      </c>
      <c r="P780" s="20">
        <f t="shared" si="263"/>
        <v>281.8833333333331</v>
      </c>
      <c r="Q780" s="20">
        <f t="shared" si="273"/>
        <v>281.28333333333308</v>
      </c>
      <c r="R780" s="20">
        <f t="shared" si="254"/>
        <v>280.68333333333311</v>
      </c>
      <c r="S780" s="20">
        <f t="shared" si="255"/>
        <v>281.28333333333308</v>
      </c>
      <c r="T780" s="20">
        <f t="shared" si="256"/>
        <v>281.28333333333308</v>
      </c>
      <c r="U780" s="20">
        <f t="shared" si="257"/>
        <v>281.28333333333308</v>
      </c>
      <c r="V780" s="22">
        <v>7.1506999999999996</v>
      </c>
      <c r="W780" s="22">
        <v>2.0364</v>
      </c>
      <c r="X780" s="23">
        <v>1.1476266666666668</v>
      </c>
      <c r="Y780" s="23">
        <f t="shared" si="264"/>
        <v>6.003073333333333</v>
      </c>
      <c r="Z780" s="23">
        <f t="shared" si="265"/>
        <v>0.88877333333333319</v>
      </c>
      <c r="AA780" s="22">
        <f t="shared" si="266"/>
        <v>85.194694717483614</v>
      </c>
      <c r="AB780" s="22">
        <f t="shared" si="267"/>
        <v>14.805305282516386</v>
      </c>
      <c r="AC780" s="22">
        <f t="shared" si="258"/>
        <v>1.3471136083535133</v>
      </c>
      <c r="AD780" s="22">
        <f t="shared" si="259"/>
        <v>0.19944428221905999</v>
      </c>
      <c r="AE780" s="27">
        <v>10.428599999999999</v>
      </c>
      <c r="AF780" s="27">
        <v>10.5214</v>
      </c>
      <c r="AG780" s="27">
        <v>10.462999999999999</v>
      </c>
      <c r="AH780" s="26">
        <v>3.44E-2</v>
      </c>
      <c r="AI780" s="26">
        <v>62.931034480000001</v>
      </c>
      <c r="AJ780" s="26">
        <f t="shared" si="260"/>
        <v>3.146551724</v>
      </c>
      <c r="AK780" s="26">
        <f t="shared" si="261"/>
        <v>36.376320508670524</v>
      </c>
      <c r="AL780" s="26">
        <f t="shared" si="262"/>
        <v>3.1478385841410885</v>
      </c>
      <c r="AM780" s="17">
        <f t="shared" si="268"/>
        <v>0.5780346820809249</v>
      </c>
      <c r="AN780" s="17"/>
      <c r="AO780" s="27"/>
      <c r="AS780" s="49"/>
      <c r="AT780" s="25"/>
      <c r="AU780" s="17"/>
      <c r="AV780" s="17"/>
      <c r="AW780" s="17"/>
      <c r="AX780" s="27"/>
      <c r="BB780" s="17"/>
    </row>
    <row r="781" spans="1:54" x14ac:dyDescent="0.2">
      <c r="A781" s="17" t="s">
        <v>77</v>
      </c>
      <c r="B781" s="17" t="s">
        <v>78</v>
      </c>
      <c r="C781" s="17" t="str">
        <f t="shared" si="252"/>
        <v>HER42PB1G</v>
      </c>
      <c r="D781" s="17" t="str">
        <f t="shared" si="253"/>
        <v>HER42PB1G_250</v>
      </c>
      <c r="E781" s="27" t="s">
        <v>85</v>
      </c>
      <c r="F781" s="17">
        <v>250</v>
      </c>
      <c r="G781" s="20">
        <v>2.2000000000000002</v>
      </c>
      <c r="H781" s="20">
        <v>2.2000000000000002</v>
      </c>
      <c r="I781" s="20">
        <v>1.1499999999999999</v>
      </c>
      <c r="J781" s="22">
        <f t="shared" si="251"/>
        <v>4.3693100000000014</v>
      </c>
      <c r="K781" s="53">
        <v>0.14444444444444471</v>
      </c>
      <c r="L781" s="45">
        <f t="shared" si="270"/>
        <v>42.0277777777778</v>
      </c>
      <c r="M781" s="45">
        <f t="shared" si="271"/>
        <v>43.177777777777798</v>
      </c>
      <c r="N781" s="46">
        <f t="shared" si="272"/>
        <v>42.602777777777803</v>
      </c>
      <c r="O781" s="20">
        <f t="shared" si="269"/>
        <v>282.02777777777754</v>
      </c>
      <c r="P781" s="20">
        <f t="shared" si="263"/>
        <v>283.17777777777752</v>
      </c>
      <c r="Q781" s="20">
        <f t="shared" si="273"/>
        <v>282.60277777777753</v>
      </c>
      <c r="R781" s="20">
        <f t="shared" si="254"/>
        <v>282.02777777777754</v>
      </c>
      <c r="S781" s="20">
        <f t="shared" si="255"/>
        <v>282.60277777777753</v>
      </c>
      <c r="T781" s="20">
        <f t="shared" si="256"/>
        <v>282.60277777777753</v>
      </c>
      <c r="U781" s="20">
        <f t="shared" si="257"/>
        <v>282.60277777777753</v>
      </c>
      <c r="V781" s="22">
        <v>6.6505000000000001</v>
      </c>
      <c r="W781" s="22">
        <v>2.0668000000000002</v>
      </c>
      <c r="X781" s="23">
        <v>1.1476266666666668</v>
      </c>
      <c r="Y781" s="23">
        <f t="shared" si="264"/>
        <v>5.5028733333333335</v>
      </c>
      <c r="Z781" s="23">
        <f t="shared" si="265"/>
        <v>0.9191733333333334</v>
      </c>
      <c r="AA781" s="22">
        <f t="shared" si="266"/>
        <v>83.296483897503251</v>
      </c>
      <c r="AB781" s="22">
        <f t="shared" si="267"/>
        <v>16.703516102496749</v>
      </c>
      <c r="AC781" s="22">
        <f t="shared" si="258"/>
        <v>1.2594376076161526</v>
      </c>
      <c r="AD781" s="22">
        <f t="shared" si="259"/>
        <v>0.21037036358906397</v>
      </c>
      <c r="AE781" s="27">
        <v>15.994899999999999</v>
      </c>
      <c r="AF781" s="27">
        <v>16.104700000000001</v>
      </c>
      <c r="AG781" s="27">
        <v>16.046399999999998</v>
      </c>
      <c r="AH781" s="26">
        <v>5.1499999999999997E-2</v>
      </c>
      <c r="AI781" s="26">
        <v>53.096539159999999</v>
      </c>
      <c r="AJ781" s="26">
        <f t="shared" si="260"/>
        <v>2.6548269580000001</v>
      </c>
      <c r="AK781" s="26">
        <f t="shared" si="261"/>
        <v>30.691641132947979</v>
      </c>
      <c r="AL781" s="26">
        <f t="shared" si="262"/>
        <v>2.6563520431079035</v>
      </c>
      <c r="AM781" s="17">
        <f t="shared" si="268"/>
        <v>0.5780346820809249</v>
      </c>
      <c r="AN781" s="17"/>
      <c r="AO781" s="27"/>
      <c r="AS781" s="49"/>
      <c r="AT781" s="25"/>
      <c r="AU781" s="17"/>
      <c r="AV781" s="17"/>
      <c r="AW781" s="17"/>
      <c r="AX781" s="27"/>
      <c r="BB781" s="17"/>
    </row>
    <row r="782" spans="1:54" x14ac:dyDescent="0.2">
      <c r="A782" s="17" t="s">
        <v>77</v>
      </c>
      <c r="B782" s="17" t="s">
        <v>78</v>
      </c>
      <c r="C782" s="17" t="str">
        <f t="shared" si="252"/>
        <v>HER42PB1G</v>
      </c>
      <c r="D782" s="17" t="str">
        <f t="shared" si="253"/>
        <v>HER42PB1G_251</v>
      </c>
      <c r="E782" s="27" t="s">
        <v>85</v>
      </c>
      <c r="F782" s="17">
        <v>251</v>
      </c>
      <c r="G782" s="20">
        <v>2.15</v>
      </c>
      <c r="H782" s="20">
        <v>2.0499999999999998</v>
      </c>
      <c r="I782" s="20">
        <v>1.1499999999999999</v>
      </c>
      <c r="J782" s="22">
        <f t="shared" si="251"/>
        <v>3.981127499999999</v>
      </c>
      <c r="K782" s="53">
        <v>0.14444444444444471</v>
      </c>
      <c r="L782" s="45">
        <f t="shared" si="270"/>
        <v>43.322222222222244</v>
      </c>
      <c r="M782" s="45">
        <f t="shared" si="271"/>
        <v>44.472222222222243</v>
      </c>
      <c r="N782" s="46">
        <f t="shared" si="272"/>
        <v>43.89722222222224</v>
      </c>
      <c r="O782" s="20">
        <f t="shared" si="269"/>
        <v>283.32222222222197</v>
      </c>
      <c r="P782" s="20">
        <f t="shared" si="263"/>
        <v>284.47222222222194</v>
      </c>
      <c r="Q782" s="20">
        <f t="shared" si="273"/>
        <v>283.89722222222196</v>
      </c>
      <c r="R782" s="20">
        <f t="shared" si="254"/>
        <v>283.32222222222197</v>
      </c>
      <c r="S782" s="20">
        <f t="shared" si="255"/>
        <v>283.89722222222196</v>
      </c>
      <c r="T782" s="20">
        <f t="shared" si="256"/>
        <v>283.89722222222196</v>
      </c>
      <c r="U782" s="20">
        <f t="shared" si="257"/>
        <v>283.89722222222196</v>
      </c>
      <c r="V782" s="22">
        <v>6.173</v>
      </c>
      <c r="W782" s="22">
        <v>1.8922000000000001</v>
      </c>
      <c r="X782" s="23">
        <v>1.1476266666666668</v>
      </c>
      <c r="Y782" s="23">
        <f t="shared" si="264"/>
        <v>5.0253733333333335</v>
      </c>
      <c r="Z782" s="23">
        <f t="shared" si="265"/>
        <v>0.74457333333333331</v>
      </c>
      <c r="AA782" s="22">
        <f t="shared" si="266"/>
        <v>85.183721010445652</v>
      </c>
      <c r="AB782" s="22">
        <f t="shared" si="267"/>
        <v>14.816278989554348</v>
      </c>
      <c r="AC782" s="22">
        <f t="shared" si="258"/>
        <v>1.2622990178871023</v>
      </c>
      <c r="AD782" s="22">
        <f t="shared" si="259"/>
        <v>0.18702574417255752</v>
      </c>
      <c r="AE782" s="27">
        <v>16.5047</v>
      </c>
      <c r="AF782" s="27">
        <v>16.672899999999998</v>
      </c>
      <c r="AG782" s="27">
        <v>16.565899999999999</v>
      </c>
      <c r="AH782" s="26">
        <v>6.1199999999999997E-2</v>
      </c>
      <c r="AI782" s="26">
        <v>63.614744350000002</v>
      </c>
      <c r="AJ782" s="26">
        <f t="shared" si="260"/>
        <v>3.1807372175000004</v>
      </c>
      <c r="AK782" s="26">
        <f t="shared" si="261"/>
        <v>36.771528526011565</v>
      </c>
      <c r="AL782" s="26">
        <f t="shared" si="262"/>
        <v>3.1820102524645715</v>
      </c>
      <c r="AM782" s="17">
        <f t="shared" si="268"/>
        <v>0.5780346820809249</v>
      </c>
      <c r="AN782" s="17"/>
      <c r="AO782" s="27"/>
      <c r="AS782" s="49"/>
      <c r="AT782" s="25"/>
      <c r="AU782" s="17"/>
      <c r="AV782" s="17"/>
      <c r="AW782" s="17"/>
      <c r="AX782" s="27"/>
      <c r="BB782" s="17"/>
    </row>
    <row r="783" spans="1:54" x14ac:dyDescent="0.2">
      <c r="A783" s="17" t="s">
        <v>77</v>
      </c>
      <c r="B783" s="17" t="s">
        <v>78</v>
      </c>
      <c r="C783" s="17" t="str">
        <f t="shared" si="252"/>
        <v>HER42PB1G</v>
      </c>
      <c r="D783" s="17" t="str">
        <f t="shared" si="253"/>
        <v>HER42PB1G_252</v>
      </c>
      <c r="E783" s="27" t="s">
        <v>85</v>
      </c>
      <c r="F783" s="17">
        <v>252</v>
      </c>
      <c r="G783" s="20">
        <v>2.0499999999999998</v>
      </c>
      <c r="H783" s="20">
        <v>2.0499999999999998</v>
      </c>
      <c r="I783" s="20">
        <v>1</v>
      </c>
      <c r="J783" s="22">
        <f t="shared" si="251"/>
        <v>3.2989624999999996</v>
      </c>
      <c r="K783" s="53">
        <v>0.14444444444444471</v>
      </c>
      <c r="L783" s="45">
        <f t="shared" si="270"/>
        <v>44.616666666666688</v>
      </c>
      <c r="M783" s="45">
        <f t="shared" si="271"/>
        <v>45.616666666666688</v>
      </c>
      <c r="N783" s="46">
        <f t="shared" si="272"/>
        <v>45.116666666666688</v>
      </c>
      <c r="O783" s="20">
        <f t="shared" si="269"/>
        <v>284.61666666666639</v>
      </c>
      <c r="P783" s="20">
        <f t="shared" si="263"/>
        <v>285.61666666666639</v>
      </c>
      <c r="Q783" s="20">
        <f t="shared" si="273"/>
        <v>285.11666666666639</v>
      </c>
      <c r="R783" s="20">
        <f t="shared" si="254"/>
        <v>284.61666666666639</v>
      </c>
      <c r="S783" s="20">
        <f t="shared" si="255"/>
        <v>285.11666666666639</v>
      </c>
      <c r="T783" s="20">
        <f t="shared" si="256"/>
        <v>285.11666666666639</v>
      </c>
      <c r="U783" s="20">
        <f t="shared" si="257"/>
        <v>285.11666666666639</v>
      </c>
      <c r="V783" s="22">
        <v>5.8042999999999996</v>
      </c>
      <c r="W783" s="22">
        <v>1.7546999999999999</v>
      </c>
      <c r="X783" s="23">
        <v>1.1476266666666668</v>
      </c>
      <c r="Y783" s="23">
        <f t="shared" si="264"/>
        <v>4.656673333333333</v>
      </c>
      <c r="Z783" s="23">
        <f t="shared" si="265"/>
        <v>0.60707333333333313</v>
      </c>
      <c r="AA783" s="22">
        <f t="shared" si="266"/>
        <v>86.963368699543736</v>
      </c>
      <c r="AB783" s="22">
        <f t="shared" si="267"/>
        <v>13.036631300456264</v>
      </c>
      <c r="AC783" s="22">
        <f t="shared" si="258"/>
        <v>1.4115569162527108</v>
      </c>
      <c r="AD783" s="22">
        <f t="shared" si="259"/>
        <v>0.18401947076795605</v>
      </c>
      <c r="AE783" s="27">
        <v>17.389099999999999</v>
      </c>
      <c r="AF783" s="27">
        <v>17.498000000000001</v>
      </c>
      <c r="AG783" s="27">
        <v>17.427900000000001</v>
      </c>
      <c r="AH783" s="26">
        <v>3.8800000000000001E-2</v>
      </c>
      <c r="AI783" s="26">
        <v>64.370982549999994</v>
      </c>
      <c r="AJ783" s="26">
        <f t="shared" si="260"/>
        <v>3.2185491274999998</v>
      </c>
      <c r="AK783" s="26">
        <f t="shared" si="261"/>
        <v>37.208660433526013</v>
      </c>
      <c r="AL783" s="26">
        <f t="shared" si="262"/>
        <v>3.2198072125720527</v>
      </c>
      <c r="AM783" s="17">
        <f t="shared" si="268"/>
        <v>0.5780346820809249</v>
      </c>
      <c r="AN783" s="17"/>
      <c r="AO783" s="27"/>
      <c r="AS783" s="49"/>
      <c r="AT783" s="25"/>
      <c r="AU783" s="17"/>
      <c r="AV783" s="17"/>
      <c r="AW783" s="17"/>
      <c r="AX783" s="27"/>
      <c r="BB783" s="17"/>
    </row>
    <row r="784" spans="1:54" x14ac:dyDescent="0.2">
      <c r="A784" s="17" t="s">
        <v>77</v>
      </c>
      <c r="B784" s="17" t="s">
        <v>78</v>
      </c>
      <c r="C784" s="17" t="str">
        <f t="shared" si="252"/>
        <v>HER42PB1G</v>
      </c>
      <c r="D784" s="17" t="str">
        <f t="shared" si="253"/>
        <v>HER42PB1G_253</v>
      </c>
      <c r="E784" s="27" t="s">
        <v>85</v>
      </c>
      <c r="F784" s="17">
        <v>253</v>
      </c>
      <c r="G784" s="20">
        <v>2.0499999999999998</v>
      </c>
      <c r="H784" s="20">
        <v>2.1</v>
      </c>
      <c r="I784" s="20">
        <v>1.1000000000000001</v>
      </c>
      <c r="J784" s="22">
        <f t="shared" si="251"/>
        <v>3.7179071875000012</v>
      </c>
      <c r="K784" s="53">
        <v>0.14444444444444471</v>
      </c>
      <c r="L784" s="45">
        <f t="shared" si="270"/>
        <v>45.761111111111134</v>
      </c>
      <c r="M784" s="45">
        <f t="shared" si="271"/>
        <v>46.861111111111136</v>
      </c>
      <c r="N784" s="46">
        <f t="shared" si="272"/>
        <v>46.311111111111131</v>
      </c>
      <c r="O784" s="20">
        <f t="shared" si="269"/>
        <v>285.76111111111084</v>
      </c>
      <c r="P784" s="20">
        <f t="shared" si="263"/>
        <v>286.86111111111086</v>
      </c>
      <c r="Q784" s="20">
        <f t="shared" si="273"/>
        <v>286.31111111111085</v>
      </c>
      <c r="R784" s="20">
        <f t="shared" si="254"/>
        <v>285.76111111111084</v>
      </c>
      <c r="S784" s="20">
        <f t="shared" si="255"/>
        <v>286.31111111111085</v>
      </c>
      <c r="T784" s="20">
        <f t="shared" si="256"/>
        <v>286.31111111111085</v>
      </c>
      <c r="U784" s="20">
        <f t="shared" si="257"/>
        <v>286.31111111111085</v>
      </c>
      <c r="V784" s="22">
        <v>6.4135999999999997</v>
      </c>
      <c r="W784" s="22">
        <v>2.0537999999999998</v>
      </c>
      <c r="X784" s="23">
        <v>1.1476266666666668</v>
      </c>
      <c r="Y784" s="23">
        <f t="shared" si="264"/>
        <v>5.2659733333333332</v>
      </c>
      <c r="Z784" s="23">
        <f t="shared" si="265"/>
        <v>0.90617333333333305</v>
      </c>
      <c r="AA784" s="22">
        <f t="shared" si="266"/>
        <v>82.791911846622838</v>
      </c>
      <c r="AB784" s="22">
        <f t="shared" si="267"/>
        <v>17.208088153377162</v>
      </c>
      <c r="AC784" s="22">
        <f t="shared" si="258"/>
        <v>1.4163810627220859</v>
      </c>
      <c r="AD784" s="22">
        <f t="shared" si="259"/>
        <v>0.24373210186095662</v>
      </c>
      <c r="AE784" s="27">
        <v>6.4450000000000003</v>
      </c>
      <c r="AF784" s="27">
        <v>6.5633999999999997</v>
      </c>
      <c r="AG784" s="27">
        <v>6.4894999999999996</v>
      </c>
      <c r="AH784" s="26">
        <v>4.4499999999999998E-2</v>
      </c>
      <c r="AI784" s="26">
        <v>62.415540540000002</v>
      </c>
      <c r="AJ784" s="26">
        <f t="shared" si="260"/>
        <v>3.1207770270000004</v>
      </c>
      <c r="AK784" s="26">
        <f t="shared" si="261"/>
        <v>36.078347132947982</v>
      </c>
      <c r="AL784" s="26">
        <f t="shared" si="262"/>
        <v>3.1220745110024137</v>
      </c>
      <c r="AM784" s="17">
        <f t="shared" si="268"/>
        <v>0.5780346820809249</v>
      </c>
      <c r="AN784" s="17"/>
      <c r="AO784" s="27"/>
      <c r="AS784" s="49"/>
      <c r="AT784" s="25"/>
      <c r="AU784" s="17"/>
      <c r="AV784" s="17"/>
      <c r="AW784" s="17"/>
      <c r="AX784" s="27"/>
      <c r="BB784" s="17"/>
    </row>
    <row r="785" spans="1:54" x14ac:dyDescent="0.2">
      <c r="A785" s="17" t="s">
        <v>77</v>
      </c>
      <c r="B785" s="17" t="s">
        <v>78</v>
      </c>
      <c r="C785" s="17" t="str">
        <f t="shared" si="252"/>
        <v>HER42PB1G</v>
      </c>
      <c r="D785" s="17" t="str">
        <f t="shared" si="253"/>
        <v>HER42PB1G_254</v>
      </c>
      <c r="E785" s="27" t="s">
        <v>85</v>
      </c>
      <c r="F785" s="17">
        <v>254</v>
      </c>
      <c r="G785" s="20">
        <v>2</v>
      </c>
      <c r="H785" s="20">
        <v>1.9</v>
      </c>
      <c r="I785" s="20">
        <v>1.1499999999999999</v>
      </c>
      <c r="J785" s="22">
        <f t="shared" si="251"/>
        <v>3.4327068749999996</v>
      </c>
      <c r="K785" s="53">
        <v>0.14444444444444471</v>
      </c>
      <c r="L785" s="45">
        <f t="shared" si="270"/>
        <v>47.005555555555581</v>
      </c>
      <c r="M785" s="45">
        <f t="shared" si="271"/>
        <v>48.15555555555558</v>
      </c>
      <c r="N785" s="46">
        <f t="shared" si="272"/>
        <v>47.580555555555577</v>
      </c>
      <c r="O785" s="20">
        <f t="shared" si="269"/>
        <v>287.0055555555553</v>
      </c>
      <c r="P785" s="20">
        <f t="shared" si="263"/>
        <v>288.15555555555528</v>
      </c>
      <c r="Q785" s="20">
        <f t="shared" si="273"/>
        <v>287.58055555555529</v>
      </c>
      <c r="R785" s="20">
        <f t="shared" si="254"/>
        <v>287.0055555555553</v>
      </c>
      <c r="S785" s="20">
        <f t="shared" si="255"/>
        <v>287.58055555555529</v>
      </c>
      <c r="T785" s="20">
        <f t="shared" si="256"/>
        <v>287.58055555555529</v>
      </c>
      <c r="U785" s="20">
        <f t="shared" si="257"/>
        <v>287.58055555555529</v>
      </c>
      <c r="V785" s="22">
        <v>5.9439000000000002</v>
      </c>
      <c r="W785" s="22">
        <v>1.9567000000000001</v>
      </c>
      <c r="X785" s="23">
        <v>1.1476266666666668</v>
      </c>
      <c r="Y785" s="23">
        <f t="shared" si="264"/>
        <v>4.7962733333333336</v>
      </c>
      <c r="Z785" s="23">
        <f t="shared" si="265"/>
        <v>0.80907333333333331</v>
      </c>
      <c r="AA785" s="22">
        <f t="shared" si="266"/>
        <v>83.131208813509389</v>
      </c>
      <c r="AB785" s="22">
        <f t="shared" si="267"/>
        <v>16.868791186490611</v>
      </c>
      <c r="AC785" s="22">
        <f t="shared" si="258"/>
        <v>1.3972277587300064</v>
      </c>
      <c r="AD785" s="22">
        <f t="shared" si="259"/>
        <v>0.23569543301984774</v>
      </c>
      <c r="AE785" s="27">
        <v>6.6184000000000003</v>
      </c>
      <c r="AF785" s="27">
        <v>6.7319000000000004</v>
      </c>
      <c r="AG785" s="27">
        <v>6.6664000000000003</v>
      </c>
      <c r="AH785" s="26">
        <v>4.8000000000000001E-2</v>
      </c>
      <c r="AI785" s="26">
        <v>57.709251100000003</v>
      </c>
      <c r="AJ785" s="26">
        <f t="shared" si="260"/>
        <v>2.8854625550000002</v>
      </c>
      <c r="AK785" s="26">
        <f t="shared" si="261"/>
        <v>33.357948612716768</v>
      </c>
      <c r="AL785" s="26">
        <f t="shared" si="262"/>
        <v>2.8868658015756687</v>
      </c>
      <c r="AM785" s="17">
        <f t="shared" si="268"/>
        <v>0.5780346820809249</v>
      </c>
      <c r="AN785" s="17"/>
      <c r="AO785" s="27"/>
      <c r="AS785" s="49"/>
      <c r="AT785" s="25"/>
      <c r="AU785" s="17"/>
      <c r="AV785" s="17"/>
      <c r="AW785" s="17"/>
      <c r="AX785" s="27"/>
      <c r="BB785" s="17"/>
    </row>
    <row r="786" spans="1:54" x14ac:dyDescent="0.2">
      <c r="A786" s="17" t="s">
        <v>77</v>
      </c>
      <c r="B786" s="17" t="s">
        <v>78</v>
      </c>
      <c r="C786" s="17" t="str">
        <f t="shared" si="252"/>
        <v>HER42PB1G</v>
      </c>
      <c r="D786" s="17" t="str">
        <f t="shared" si="253"/>
        <v>HER42PB1G_255</v>
      </c>
      <c r="E786" s="27" t="s">
        <v>85</v>
      </c>
      <c r="F786" s="17">
        <v>255</v>
      </c>
      <c r="G786" s="20">
        <v>1.9</v>
      </c>
      <c r="H786" s="20">
        <v>2.1</v>
      </c>
      <c r="I786" s="20">
        <v>1.2</v>
      </c>
      <c r="J786" s="22">
        <f t="shared" si="251"/>
        <v>3.7679999999999998</v>
      </c>
      <c r="K786" s="53">
        <v>0.14444444444444471</v>
      </c>
      <c r="L786" s="45">
        <f t="shared" si="270"/>
        <v>48.300000000000026</v>
      </c>
      <c r="M786" s="45">
        <f t="shared" si="271"/>
        <v>49.500000000000028</v>
      </c>
      <c r="N786" s="46">
        <f t="shared" si="272"/>
        <v>48.900000000000027</v>
      </c>
      <c r="O786" s="20">
        <f t="shared" si="269"/>
        <v>288.29999999999973</v>
      </c>
      <c r="P786" s="20">
        <f t="shared" si="263"/>
        <v>289.49999999999972</v>
      </c>
      <c r="Q786" s="20">
        <f t="shared" si="273"/>
        <v>288.89999999999975</v>
      </c>
      <c r="R786" s="20">
        <f t="shared" si="254"/>
        <v>288.29999999999973</v>
      </c>
      <c r="S786" s="20">
        <f t="shared" si="255"/>
        <v>288.89999999999975</v>
      </c>
      <c r="T786" s="20">
        <f t="shared" si="256"/>
        <v>288.89999999999975</v>
      </c>
      <c r="U786" s="20">
        <f t="shared" si="257"/>
        <v>288.89999999999975</v>
      </c>
      <c r="V786" s="22">
        <v>6.2039999999999997</v>
      </c>
      <c r="W786" s="22">
        <v>1.9851000000000001</v>
      </c>
      <c r="X786" s="23">
        <v>1.1476266666666668</v>
      </c>
      <c r="Y786" s="23">
        <f t="shared" si="264"/>
        <v>5.0563733333333332</v>
      </c>
      <c r="Z786" s="23">
        <f t="shared" si="265"/>
        <v>0.83747333333333329</v>
      </c>
      <c r="AA786" s="22">
        <f t="shared" si="266"/>
        <v>83.43727256426213</v>
      </c>
      <c r="AB786" s="22">
        <f t="shared" si="267"/>
        <v>16.56272743573787</v>
      </c>
      <c r="AC786" s="22">
        <f t="shared" si="258"/>
        <v>1.341924982307148</v>
      </c>
      <c r="AD786" s="22">
        <f t="shared" si="259"/>
        <v>0.22225937721160652</v>
      </c>
      <c r="AE786" s="27">
        <v>6.3951000000000002</v>
      </c>
      <c r="AF786" s="27">
        <v>6.4641000000000002</v>
      </c>
      <c r="AG786" s="27">
        <v>6.4226000000000001</v>
      </c>
      <c r="AH786" s="26">
        <v>2.75E-2</v>
      </c>
      <c r="AI786" s="26">
        <v>60.144927539999998</v>
      </c>
      <c r="AJ786" s="26">
        <f t="shared" si="260"/>
        <v>3.007246377</v>
      </c>
      <c r="AK786" s="26">
        <f t="shared" si="261"/>
        <v>34.76585406936416</v>
      </c>
      <c r="AL786" s="26">
        <f t="shared" si="262"/>
        <v>3.0085928225633367</v>
      </c>
      <c r="AM786" s="17">
        <f t="shared" si="268"/>
        <v>0.5780346820809249</v>
      </c>
      <c r="AN786" s="17"/>
      <c r="AO786" s="27"/>
      <c r="AS786" s="49"/>
      <c r="AT786" s="25"/>
      <c r="AU786" s="17"/>
      <c r="AV786" s="17"/>
      <c r="AW786" s="17"/>
      <c r="AX786" s="27"/>
      <c r="BB786" s="17"/>
    </row>
    <row r="787" spans="1:54" x14ac:dyDescent="0.2">
      <c r="A787" s="17" t="s">
        <v>77</v>
      </c>
      <c r="B787" s="17" t="s">
        <v>78</v>
      </c>
      <c r="C787" s="17" t="str">
        <f t="shared" si="252"/>
        <v>HER42PB1H</v>
      </c>
      <c r="D787" s="17" t="str">
        <f t="shared" si="253"/>
        <v>HER42PB1H_256</v>
      </c>
      <c r="E787" s="27" t="s">
        <v>86</v>
      </c>
      <c r="F787" s="17">
        <v>256</v>
      </c>
      <c r="G787" s="20">
        <v>2</v>
      </c>
      <c r="H787" s="20">
        <v>2.0499999999999998</v>
      </c>
      <c r="I787" s="20">
        <v>0.95</v>
      </c>
      <c r="J787" s="22">
        <f t="shared" si="251"/>
        <v>3.0580410937499996</v>
      </c>
      <c r="K787" s="53">
        <v>0.16142857142857159</v>
      </c>
      <c r="L787" s="39">
        <v>0</v>
      </c>
      <c r="M787" s="45">
        <f>L787+I787</f>
        <v>0.95</v>
      </c>
      <c r="N787" s="46">
        <f>L787+((M787-L787)/2)</f>
        <v>0.47499999999999998</v>
      </c>
      <c r="O787" s="20">
        <v>280</v>
      </c>
      <c r="P787" s="20">
        <f t="shared" si="263"/>
        <v>280.95</v>
      </c>
      <c r="Q787" s="20">
        <f>O787+((P787-O787)/2)</f>
        <v>280.47500000000002</v>
      </c>
      <c r="R787" s="20">
        <f t="shared" si="254"/>
        <v>280</v>
      </c>
      <c r="S787" s="20">
        <f t="shared" si="255"/>
        <v>280.47500000000002</v>
      </c>
      <c r="T787" s="20">
        <f t="shared" si="256"/>
        <v>280.47500000000002</v>
      </c>
      <c r="U787" s="20">
        <f t="shared" si="257"/>
        <v>280.47500000000002</v>
      </c>
      <c r="V787" s="22">
        <v>5.0713999999999997</v>
      </c>
      <c r="W787" s="22">
        <v>1.7965</v>
      </c>
      <c r="X787" s="23">
        <v>1.1476266666666668</v>
      </c>
      <c r="Y787" s="23">
        <f t="shared" si="264"/>
        <v>3.9237733333333331</v>
      </c>
      <c r="Z787" s="23">
        <f t="shared" si="265"/>
        <v>0.64887333333333319</v>
      </c>
      <c r="AA787" s="22">
        <f t="shared" si="266"/>
        <v>83.463027086172147</v>
      </c>
      <c r="AB787" s="22">
        <f t="shared" si="267"/>
        <v>16.536972913827853</v>
      </c>
      <c r="AC787" s="22">
        <f t="shared" si="258"/>
        <v>1.283100263548685</v>
      </c>
      <c r="AD787" s="22">
        <f t="shared" si="259"/>
        <v>0.2121859430402997</v>
      </c>
      <c r="AE787" s="27">
        <v>16.9038</v>
      </c>
      <c r="AF787" s="27">
        <v>16.9984</v>
      </c>
      <c r="AG787" s="27">
        <v>16.939800000000002</v>
      </c>
      <c r="AH787" s="26">
        <v>3.5999999999999997E-2</v>
      </c>
      <c r="AI787" s="26">
        <v>61.945031710000002</v>
      </c>
      <c r="AJ787" s="26">
        <f t="shared" si="260"/>
        <v>3.0972515855000005</v>
      </c>
      <c r="AK787" s="26">
        <f t="shared" si="261"/>
        <v>35.806376710982661</v>
      </c>
      <c r="AL787" s="26">
        <f t="shared" si="262"/>
        <v>3.0985589205116413</v>
      </c>
      <c r="AM787" s="17">
        <f t="shared" si="268"/>
        <v>0.5780346820809249</v>
      </c>
      <c r="AN787" s="28" t="s">
        <v>43</v>
      </c>
      <c r="AO787" s="27">
        <v>49</v>
      </c>
      <c r="AS787" s="49"/>
      <c r="AT787" s="25"/>
      <c r="AU787" s="17"/>
      <c r="AV787" s="17"/>
      <c r="AW787" s="17"/>
      <c r="AX787" s="27"/>
      <c r="BB787" s="17"/>
    </row>
    <row r="788" spans="1:54" x14ac:dyDescent="0.2">
      <c r="A788" s="17" t="s">
        <v>77</v>
      </c>
      <c r="B788" s="17" t="s">
        <v>78</v>
      </c>
      <c r="C788" s="17" t="str">
        <f t="shared" si="252"/>
        <v>HER42PB1H</v>
      </c>
      <c r="D788" s="17" t="str">
        <f t="shared" si="253"/>
        <v>HER42PB1H_257</v>
      </c>
      <c r="E788" s="27" t="s">
        <v>86</v>
      </c>
      <c r="F788" s="17">
        <v>257</v>
      </c>
      <c r="G788" s="20">
        <v>2.2000000000000002</v>
      </c>
      <c r="H788" s="20">
        <v>2.2999999999999998</v>
      </c>
      <c r="I788" s="20">
        <v>1.1000000000000001</v>
      </c>
      <c r="J788" s="22">
        <f t="shared" ref="J788:J851" si="274">(AVERAGE(G788:H788)*(AVERAGE(G788:H788)*3.14/4*I788))</f>
        <v>4.3714687500000009</v>
      </c>
      <c r="K788" s="53">
        <v>0.16142857142857159</v>
      </c>
      <c r="L788" s="45">
        <f>M787+K788</f>
        <v>1.1114285714285717</v>
      </c>
      <c r="M788" s="45">
        <f>L788+I788</f>
        <v>2.2114285714285717</v>
      </c>
      <c r="N788" s="46">
        <f>L788+((M788-L788)/2)</f>
        <v>1.6614285714285717</v>
      </c>
      <c r="O788" s="20">
        <f t="shared" ref="O788:O822" si="275">P787+K788</f>
        <v>281.11142857142858</v>
      </c>
      <c r="P788" s="20">
        <f t="shared" si="263"/>
        <v>282.2114285714286</v>
      </c>
      <c r="Q788" s="20">
        <f>O788+((P788-O788)/2)</f>
        <v>281.66142857142859</v>
      </c>
      <c r="R788" s="20">
        <f t="shared" si="254"/>
        <v>281.11142857142858</v>
      </c>
      <c r="S788" s="20">
        <f t="shared" si="255"/>
        <v>281.66142857142859</v>
      </c>
      <c r="T788" s="20">
        <f t="shared" si="256"/>
        <v>281.66142857142859</v>
      </c>
      <c r="U788" s="20">
        <f t="shared" si="257"/>
        <v>281.66142857142859</v>
      </c>
      <c r="V788" s="22">
        <v>6.8395999999999999</v>
      </c>
      <c r="W788" s="22">
        <v>2.1417999999999999</v>
      </c>
      <c r="X788" s="23">
        <v>1.1476266666666668</v>
      </c>
      <c r="Y788" s="23">
        <f t="shared" si="264"/>
        <v>5.6919733333333333</v>
      </c>
      <c r="Z788" s="23">
        <f t="shared" si="265"/>
        <v>0.99417333333333313</v>
      </c>
      <c r="AA788" s="22">
        <f t="shared" si="266"/>
        <v>82.533766848286945</v>
      </c>
      <c r="AB788" s="22">
        <f t="shared" si="267"/>
        <v>17.466233151713055</v>
      </c>
      <c r="AC788" s="22">
        <f t="shared" si="258"/>
        <v>1.3020734354633856</v>
      </c>
      <c r="AD788" s="22">
        <f t="shared" si="259"/>
        <v>0.22742318204455492</v>
      </c>
      <c r="AE788" s="27">
        <v>18.7151</v>
      </c>
      <c r="AF788" s="27">
        <v>18.779499999999999</v>
      </c>
      <c r="AG788" s="27">
        <v>18.734000000000002</v>
      </c>
      <c r="AH788" s="26">
        <v>1.89E-2</v>
      </c>
      <c r="AI788" s="26">
        <v>70.652173910000002</v>
      </c>
      <c r="AJ788" s="26">
        <f t="shared" si="260"/>
        <v>3.5326086955000005</v>
      </c>
      <c r="AK788" s="26">
        <f t="shared" si="261"/>
        <v>40.839406884393071</v>
      </c>
      <c r="AL788" s="26">
        <f t="shared" si="262"/>
        <v>3.5337549710643796</v>
      </c>
      <c r="AM788" s="17">
        <f t="shared" si="268"/>
        <v>0.5780346820809249</v>
      </c>
      <c r="AN788" s="28" t="s">
        <v>44</v>
      </c>
      <c r="AO788" s="27" t="s">
        <v>60</v>
      </c>
      <c r="AS788" s="49"/>
      <c r="AT788" s="25"/>
      <c r="AU788" s="17"/>
      <c r="AV788" s="17"/>
      <c r="AW788" s="17"/>
      <c r="AX788" s="27"/>
      <c r="BB788" s="17"/>
    </row>
    <row r="789" spans="1:54" x14ac:dyDescent="0.2">
      <c r="A789" s="17" t="s">
        <v>77</v>
      </c>
      <c r="B789" s="17" t="s">
        <v>78</v>
      </c>
      <c r="C789" s="17" t="str">
        <f t="shared" ref="C789:C852" si="276">"HER42PB1"&amp;E789</f>
        <v>HER42PB1H</v>
      </c>
      <c r="D789" s="17" t="str">
        <f t="shared" ref="D789:D852" si="277">C789&amp;"_"&amp;F789</f>
        <v>HER42PB1H_258</v>
      </c>
      <c r="E789" s="27" t="s">
        <v>86</v>
      </c>
      <c r="F789" s="17">
        <v>258</v>
      </c>
      <c r="G789" s="20">
        <v>2.15</v>
      </c>
      <c r="H789" s="20">
        <v>2</v>
      </c>
      <c r="I789" s="20">
        <v>1.2</v>
      </c>
      <c r="J789" s="22">
        <f t="shared" si="274"/>
        <v>4.0558987500000008</v>
      </c>
      <c r="K789" s="53">
        <v>0.16142857142857159</v>
      </c>
      <c r="L789" s="45">
        <f t="shared" ref="L789:L822" si="278">M788+K789</f>
        <v>2.3728571428571432</v>
      </c>
      <c r="M789" s="45">
        <f t="shared" ref="M789:M822" si="279">L789+I789</f>
        <v>3.572857142857143</v>
      </c>
      <c r="N789" s="46">
        <f t="shared" ref="N789:N822" si="280">L789+((M789-L789)/2)</f>
        <v>2.9728571428571433</v>
      </c>
      <c r="O789" s="20">
        <f t="shared" si="275"/>
        <v>282.37285714285719</v>
      </c>
      <c r="P789" s="20">
        <f t="shared" si="263"/>
        <v>283.57285714285717</v>
      </c>
      <c r="Q789" s="20">
        <f t="shared" ref="Q789:Q822" si="281">O789+((P789-O789)/2)</f>
        <v>282.97285714285715</v>
      </c>
      <c r="R789" s="20">
        <f t="shared" ref="R789:R852" si="282">O789</f>
        <v>282.37285714285719</v>
      </c>
      <c r="S789" s="20">
        <f t="shared" ref="S789:S852" si="283">Q789</f>
        <v>282.97285714285715</v>
      </c>
      <c r="T789" s="20">
        <f t="shared" ref="T789:T852" si="284">Q789</f>
        <v>282.97285714285715</v>
      </c>
      <c r="U789" s="20">
        <f t="shared" ref="U789:U852" si="285">T789</f>
        <v>282.97285714285715</v>
      </c>
      <c r="V789" s="22">
        <v>6.4111000000000002</v>
      </c>
      <c r="W789" s="22">
        <v>2.0097999999999998</v>
      </c>
      <c r="X789" s="23">
        <v>1.1476266666666668</v>
      </c>
      <c r="Y789" s="23">
        <f t="shared" si="264"/>
        <v>5.2634733333333337</v>
      </c>
      <c r="Z789" s="23">
        <f t="shared" si="265"/>
        <v>0.86217333333333301</v>
      </c>
      <c r="AA789" s="22">
        <f t="shared" si="266"/>
        <v>83.619688393342301</v>
      </c>
      <c r="AB789" s="22">
        <f t="shared" si="267"/>
        <v>16.380311606657699</v>
      </c>
      <c r="AC789" s="22">
        <f t="shared" ref="AC789:AC852" si="286">(V789-X789)/J789</f>
        <v>1.2977329212997077</v>
      </c>
      <c r="AD789" s="22">
        <f t="shared" ref="AD789:AD852" si="287">(W789-X789)/J789</f>
        <v>0.21257269633107406</v>
      </c>
      <c r="AE789" s="27">
        <v>13.141299999999999</v>
      </c>
      <c r="AF789" s="27">
        <v>13.253299999999999</v>
      </c>
      <c r="AG789" s="27">
        <v>13.1793</v>
      </c>
      <c r="AH789" s="26">
        <v>3.7999999999999999E-2</v>
      </c>
      <c r="AI789" s="26">
        <v>66.071428569999995</v>
      </c>
      <c r="AJ789" s="26">
        <f t="shared" ref="AJ789:AJ852" si="288">AI789*0.05</f>
        <v>3.3035714284999997</v>
      </c>
      <c r="AK789" s="26">
        <f t="shared" ref="AK789:AK852" si="289">AI789*AM789</f>
        <v>38.191577208092482</v>
      </c>
      <c r="AL789" s="26">
        <f t="shared" ref="AL789:AL852" si="290">(AJ789^2+0.09^2)^0.5</f>
        <v>3.3047971470578235</v>
      </c>
      <c r="AM789" s="17">
        <f t="shared" si="268"/>
        <v>0.5780346820809249</v>
      </c>
      <c r="AN789" s="28" t="s">
        <v>46</v>
      </c>
      <c r="AO789" s="29">
        <f>SUM(I787:I822)</f>
        <v>43.349999999999994</v>
      </c>
      <c r="AS789" s="49"/>
      <c r="AT789" s="25"/>
      <c r="AU789" s="17"/>
      <c r="AV789" s="17"/>
      <c r="AW789" s="17"/>
      <c r="AX789" s="27"/>
      <c r="BB789" s="17"/>
    </row>
    <row r="790" spans="1:54" x14ac:dyDescent="0.2">
      <c r="A790" s="17" t="s">
        <v>77</v>
      </c>
      <c r="B790" s="17" t="s">
        <v>78</v>
      </c>
      <c r="C790" s="17" t="str">
        <f t="shared" si="276"/>
        <v>HER42PB1H</v>
      </c>
      <c r="D790" s="17" t="str">
        <f t="shared" si="277"/>
        <v>HER42PB1H_259</v>
      </c>
      <c r="E790" s="27" t="s">
        <v>86</v>
      </c>
      <c r="F790" s="17">
        <v>259</v>
      </c>
      <c r="G790" s="20">
        <v>2.25</v>
      </c>
      <c r="H790" s="20">
        <v>2.15</v>
      </c>
      <c r="I790" s="20">
        <v>1.1000000000000001</v>
      </c>
      <c r="J790" s="22">
        <f t="shared" si="274"/>
        <v>4.1793400000000016</v>
      </c>
      <c r="K790" s="53">
        <v>0.16142857142857159</v>
      </c>
      <c r="L790" s="45">
        <f t="shared" si="278"/>
        <v>3.7342857142857144</v>
      </c>
      <c r="M790" s="45">
        <f t="shared" si="279"/>
        <v>4.8342857142857145</v>
      </c>
      <c r="N790" s="46">
        <f t="shared" si="280"/>
        <v>4.2842857142857147</v>
      </c>
      <c r="O790" s="20">
        <f t="shared" si="275"/>
        <v>283.73428571428576</v>
      </c>
      <c r="P790" s="20">
        <f t="shared" ref="P790:P853" si="291">O790+I790</f>
        <v>284.83428571428578</v>
      </c>
      <c r="Q790" s="20">
        <f t="shared" si="281"/>
        <v>284.28428571428577</v>
      </c>
      <c r="R790" s="20">
        <f t="shared" si="282"/>
        <v>283.73428571428576</v>
      </c>
      <c r="S790" s="20">
        <f t="shared" si="283"/>
        <v>284.28428571428577</v>
      </c>
      <c r="T790" s="20">
        <f t="shared" si="284"/>
        <v>284.28428571428577</v>
      </c>
      <c r="U790" s="20">
        <f t="shared" si="285"/>
        <v>284.28428571428577</v>
      </c>
      <c r="V790" s="22">
        <v>6.6551999999999998</v>
      </c>
      <c r="W790" s="22">
        <v>2.0289000000000001</v>
      </c>
      <c r="X790" s="23">
        <v>1.1476266666666668</v>
      </c>
      <c r="Y790" s="23">
        <f t="shared" ref="Y790:Y853" si="292">V790-X790</f>
        <v>5.5075733333333332</v>
      </c>
      <c r="Z790" s="23">
        <f t="shared" ref="Z790:Z853" si="293">W790-X790</f>
        <v>0.88127333333333335</v>
      </c>
      <c r="AA790" s="22">
        <f t="shared" ref="AA790:AA853" si="294">((Y790-Z790)/Y790)*100</f>
        <v>83.998881540085407</v>
      </c>
      <c r="AB790" s="22">
        <f t="shared" ref="AB790:AB853" si="295">100-AA790</f>
        <v>16.001118459914593</v>
      </c>
      <c r="AC790" s="22">
        <f t="shared" si="286"/>
        <v>1.3178093510777613</v>
      </c>
      <c r="AD790" s="22">
        <f t="shared" si="287"/>
        <v>0.21086423534178436</v>
      </c>
      <c r="AE790" s="27">
        <v>10.349500000000001</v>
      </c>
      <c r="AF790" s="27">
        <v>10.439299999999999</v>
      </c>
      <c r="AG790" s="27">
        <v>10.383100000000001</v>
      </c>
      <c r="AH790" s="26">
        <v>3.3599999999999998E-2</v>
      </c>
      <c r="AI790" s="26">
        <v>62.583518929999997</v>
      </c>
      <c r="AJ790" s="26">
        <f t="shared" si="288"/>
        <v>3.1291759465000002</v>
      </c>
      <c r="AK790" s="26">
        <f t="shared" si="289"/>
        <v>36.175444468208092</v>
      </c>
      <c r="AL790" s="26">
        <f t="shared" si="290"/>
        <v>3.1304699494092212</v>
      </c>
      <c r="AM790" s="17">
        <f t="shared" ref="AM790:AM853" si="296">1/1.73</f>
        <v>0.5780346820809249</v>
      </c>
      <c r="AN790" s="28" t="s">
        <v>47</v>
      </c>
      <c r="AO790" s="29">
        <f>AO787-AO789</f>
        <v>5.6500000000000057</v>
      </c>
      <c r="AS790" s="49"/>
      <c r="AT790" s="25"/>
      <c r="AU790" s="17"/>
      <c r="AV790" s="17"/>
      <c r="AW790" s="17"/>
      <c r="AX790" s="27"/>
      <c r="BB790" s="17"/>
    </row>
    <row r="791" spans="1:54" x14ac:dyDescent="0.2">
      <c r="A791" s="17" t="s">
        <v>77</v>
      </c>
      <c r="B791" s="17" t="s">
        <v>78</v>
      </c>
      <c r="C791" s="17" t="str">
        <f t="shared" si="276"/>
        <v>HER42PB1H</v>
      </c>
      <c r="D791" s="17" t="str">
        <f t="shared" si="277"/>
        <v>HER42PB1H_260</v>
      </c>
      <c r="E791" s="27" t="s">
        <v>86</v>
      </c>
      <c r="F791" s="17">
        <v>260</v>
      </c>
      <c r="G791" s="20">
        <v>2.2999999999999998</v>
      </c>
      <c r="H791" s="20">
        <v>2.2000000000000002</v>
      </c>
      <c r="I791" s="20">
        <v>1.2</v>
      </c>
      <c r="J791" s="22">
        <f t="shared" si="274"/>
        <v>4.7688749999999995</v>
      </c>
      <c r="K791" s="53">
        <v>0.16142857142857159</v>
      </c>
      <c r="L791" s="45">
        <f t="shared" si="278"/>
        <v>4.9957142857142864</v>
      </c>
      <c r="M791" s="45">
        <f t="shared" si="279"/>
        <v>6.1957142857142866</v>
      </c>
      <c r="N791" s="46">
        <f t="shared" si="280"/>
        <v>5.595714285714287</v>
      </c>
      <c r="O791" s="20">
        <f t="shared" si="275"/>
        <v>284.99571428571437</v>
      </c>
      <c r="P791" s="20">
        <f t="shared" si="291"/>
        <v>286.19571428571436</v>
      </c>
      <c r="Q791" s="20">
        <f t="shared" si="281"/>
        <v>285.59571428571439</v>
      </c>
      <c r="R791" s="20">
        <f t="shared" si="282"/>
        <v>284.99571428571437</v>
      </c>
      <c r="S791" s="20">
        <f t="shared" si="283"/>
        <v>285.59571428571439</v>
      </c>
      <c r="T791" s="20">
        <f t="shared" si="284"/>
        <v>285.59571428571439</v>
      </c>
      <c r="U791" s="20">
        <f t="shared" si="285"/>
        <v>285.59571428571439</v>
      </c>
      <c r="V791" s="22">
        <v>7.4638</v>
      </c>
      <c r="W791" s="22">
        <v>2.5451000000000001</v>
      </c>
      <c r="X791" s="23">
        <v>1.1476266666666668</v>
      </c>
      <c r="Y791" s="23">
        <f t="shared" si="292"/>
        <v>6.3161733333333334</v>
      </c>
      <c r="Z791" s="23">
        <f t="shared" si="293"/>
        <v>1.3974733333333333</v>
      </c>
      <c r="AA791" s="22">
        <f t="shared" si="294"/>
        <v>77.874683616451307</v>
      </c>
      <c r="AB791" s="22">
        <f t="shared" si="295"/>
        <v>22.125316383548693</v>
      </c>
      <c r="AC791" s="22">
        <f t="shared" si="286"/>
        <v>1.324457725005024</v>
      </c>
      <c r="AD791" s="22">
        <f t="shared" si="287"/>
        <v>0.29304046202371281</v>
      </c>
      <c r="AE791" s="27">
        <v>10.4276</v>
      </c>
      <c r="AF791" s="27">
        <v>10.572900000000001</v>
      </c>
      <c r="AG791" s="27">
        <v>10.499599999999999</v>
      </c>
      <c r="AH791" s="26">
        <v>7.1999999999999995E-2</v>
      </c>
      <c r="AI791" s="26">
        <v>50.447350309999997</v>
      </c>
      <c r="AJ791" s="26">
        <f t="shared" si="288"/>
        <v>2.5223675155</v>
      </c>
      <c r="AK791" s="26">
        <f t="shared" si="289"/>
        <v>29.160318098265897</v>
      </c>
      <c r="AL791" s="26">
        <f t="shared" si="290"/>
        <v>2.5239726391642288</v>
      </c>
      <c r="AM791" s="17">
        <f t="shared" si="296"/>
        <v>0.5780346820809249</v>
      </c>
      <c r="AN791" s="28" t="s">
        <v>48</v>
      </c>
      <c r="AO791" s="27">
        <v>35</v>
      </c>
      <c r="AS791" s="49"/>
      <c r="AT791" s="25"/>
      <c r="AU791" s="17"/>
      <c r="AV791" s="17"/>
      <c r="AW791" s="17"/>
      <c r="AX791" s="27"/>
      <c r="BB791" s="17"/>
    </row>
    <row r="792" spans="1:54" x14ac:dyDescent="0.2">
      <c r="A792" s="17" t="s">
        <v>77</v>
      </c>
      <c r="B792" s="17" t="s">
        <v>78</v>
      </c>
      <c r="C792" s="17" t="str">
        <f t="shared" si="276"/>
        <v>HER42PB1H</v>
      </c>
      <c r="D792" s="17" t="str">
        <f t="shared" si="277"/>
        <v>HER42PB1H_261</v>
      </c>
      <c r="E792" s="27" t="s">
        <v>86</v>
      </c>
      <c r="F792" s="17">
        <v>261</v>
      </c>
      <c r="G792" s="20">
        <v>2.2999999999999998</v>
      </c>
      <c r="H792" s="20">
        <v>2.25</v>
      </c>
      <c r="I792" s="20">
        <v>1.1000000000000001</v>
      </c>
      <c r="J792" s="22">
        <f t="shared" si="274"/>
        <v>4.4691521875000007</v>
      </c>
      <c r="K792" s="53">
        <v>0.16142857142857159</v>
      </c>
      <c r="L792" s="45">
        <f t="shared" si="278"/>
        <v>6.3571428571428585</v>
      </c>
      <c r="M792" s="45">
        <f t="shared" si="279"/>
        <v>7.4571428571428591</v>
      </c>
      <c r="N792" s="46">
        <f t="shared" si="280"/>
        <v>6.9071428571428584</v>
      </c>
      <c r="O792" s="20">
        <f t="shared" si="275"/>
        <v>286.35714285714295</v>
      </c>
      <c r="P792" s="20">
        <f t="shared" si="291"/>
        <v>287.45714285714297</v>
      </c>
      <c r="Q792" s="20">
        <f t="shared" si="281"/>
        <v>286.90714285714296</v>
      </c>
      <c r="R792" s="20">
        <f t="shared" si="282"/>
        <v>286.35714285714295</v>
      </c>
      <c r="S792" s="20">
        <f t="shared" si="283"/>
        <v>286.90714285714296</v>
      </c>
      <c r="T792" s="20">
        <f t="shared" si="284"/>
        <v>286.90714285714296</v>
      </c>
      <c r="U792" s="20">
        <f t="shared" si="285"/>
        <v>286.90714285714296</v>
      </c>
      <c r="V792" s="22">
        <v>7.3548999999999998</v>
      </c>
      <c r="W792" s="22">
        <v>2.3902999999999999</v>
      </c>
      <c r="X792" s="23">
        <v>1.1476266666666668</v>
      </c>
      <c r="Y792" s="23">
        <f t="shared" si="292"/>
        <v>6.2072733333333332</v>
      </c>
      <c r="Z792" s="23">
        <f t="shared" si="293"/>
        <v>1.2426733333333331</v>
      </c>
      <c r="AA792" s="22">
        <f t="shared" si="294"/>
        <v>79.980367117714593</v>
      </c>
      <c r="AB792" s="22">
        <f t="shared" si="295"/>
        <v>20.019632882285407</v>
      </c>
      <c r="AC792" s="22">
        <f t="shared" si="286"/>
        <v>1.388915184113616</v>
      </c>
      <c r="AD792" s="22">
        <f t="shared" si="287"/>
        <v>0.27805572090586428</v>
      </c>
      <c r="AE792" s="27">
        <v>10.7539</v>
      </c>
      <c r="AF792" s="27">
        <v>10.8489</v>
      </c>
      <c r="AG792" s="27">
        <v>10.800599999999999</v>
      </c>
      <c r="AH792" s="26">
        <v>4.6699999999999998E-2</v>
      </c>
      <c r="AI792" s="26">
        <v>50.842105259999997</v>
      </c>
      <c r="AJ792" s="26">
        <f t="shared" si="288"/>
        <v>2.5421052629999998</v>
      </c>
      <c r="AK792" s="26">
        <f t="shared" si="289"/>
        <v>29.388500150289019</v>
      </c>
      <c r="AL792" s="26">
        <f t="shared" si="290"/>
        <v>2.5436979317859851</v>
      </c>
      <c r="AM792" s="17">
        <f t="shared" si="296"/>
        <v>0.5780346820809249</v>
      </c>
      <c r="AN792" s="28" t="s">
        <v>49</v>
      </c>
      <c r="AO792" s="30">
        <f>AO790/AO791</f>
        <v>0.16142857142857159</v>
      </c>
      <c r="AS792" s="49"/>
      <c r="AT792" s="25"/>
      <c r="AU792" s="17"/>
      <c r="AV792" s="17"/>
      <c r="AW792" s="17"/>
      <c r="AX792" s="27"/>
      <c r="BB792" s="17"/>
    </row>
    <row r="793" spans="1:54" x14ac:dyDescent="0.2">
      <c r="A793" s="17" t="s">
        <v>77</v>
      </c>
      <c r="B793" s="17" t="s">
        <v>78</v>
      </c>
      <c r="C793" s="17" t="str">
        <f t="shared" si="276"/>
        <v>HER42PB1H</v>
      </c>
      <c r="D793" s="17" t="str">
        <f t="shared" si="277"/>
        <v>HER42PB1H_262</v>
      </c>
      <c r="E793" s="27" t="s">
        <v>86</v>
      </c>
      <c r="F793" s="17">
        <v>262</v>
      </c>
      <c r="G793" s="20">
        <v>2.25</v>
      </c>
      <c r="H793" s="20">
        <v>2.4</v>
      </c>
      <c r="I793" s="20">
        <v>1.2</v>
      </c>
      <c r="J793" s="22">
        <f t="shared" si="274"/>
        <v>5.0920987500000008</v>
      </c>
      <c r="K793" s="53">
        <v>0.16142857142857159</v>
      </c>
      <c r="L793" s="45">
        <f t="shared" si="278"/>
        <v>7.618571428571431</v>
      </c>
      <c r="M793" s="45">
        <f t="shared" si="279"/>
        <v>8.8185714285714312</v>
      </c>
      <c r="N793" s="46">
        <f t="shared" si="280"/>
        <v>8.2185714285714315</v>
      </c>
      <c r="O793" s="20">
        <f t="shared" si="275"/>
        <v>287.61857142857156</v>
      </c>
      <c r="P793" s="20">
        <f t="shared" si="291"/>
        <v>288.81857142857154</v>
      </c>
      <c r="Q793" s="20">
        <f t="shared" si="281"/>
        <v>288.21857142857152</v>
      </c>
      <c r="R793" s="20">
        <f t="shared" si="282"/>
        <v>287.61857142857156</v>
      </c>
      <c r="S793" s="20">
        <f t="shared" si="283"/>
        <v>288.21857142857152</v>
      </c>
      <c r="T793" s="20">
        <f t="shared" si="284"/>
        <v>288.21857142857152</v>
      </c>
      <c r="U793" s="20">
        <f t="shared" si="285"/>
        <v>288.21857142857152</v>
      </c>
      <c r="V793" s="22">
        <v>7.4539999999999997</v>
      </c>
      <c r="W793" s="22">
        <v>2.1663000000000001</v>
      </c>
      <c r="X793" s="23">
        <v>1.1476266666666668</v>
      </c>
      <c r="Y793" s="23">
        <f t="shared" si="292"/>
        <v>6.3063733333333332</v>
      </c>
      <c r="Z793" s="23">
        <f t="shared" si="293"/>
        <v>1.0186733333333333</v>
      </c>
      <c r="AA793" s="22">
        <f t="shared" si="294"/>
        <v>83.846923112702925</v>
      </c>
      <c r="AB793" s="22">
        <f t="shared" si="295"/>
        <v>16.153076887297075</v>
      </c>
      <c r="AC793" s="22">
        <f t="shared" si="286"/>
        <v>1.2384624970859672</v>
      </c>
      <c r="AD793" s="22">
        <f t="shared" si="287"/>
        <v>0.20004979937463568</v>
      </c>
      <c r="AE793" s="27">
        <v>9.5379000000000005</v>
      </c>
      <c r="AF793" s="27">
        <v>9.6449999999999996</v>
      </c>
      <c r="AG793" s="27">
        <v>9.6031999999999993</v>
      </c>
      <c r="AH793" s="26">
        <v>6.5299999999999997E-2</v>
      </c>
      <c r="AI793" s="26">
        <v>39.02894491</v>
      </c>
      <c r="AJ793" s="26">
        <f t="shared" si="288"/>
        <v>1.9514472455</v>
      </c>
      <c r="AK793" s="26">
        <f t="shared" si="289"/>
        <v>22.560083763005782</v>
      </c>
      <c r="AL793" s="26">
        <f t="shared" si="290"/>
        <v>1.9535215258526171</v>
      </c>
      <c r="AM793" s="17">
        <f t="shared" si="296"/>
        <v>0.5780346820809249</v>
      </c>
      <c r="AN793" s="17"/>
      <c r="AO793" s="27"/>
      <c r="AS793" s="49"/>
      <c r="AT793" s="25"/>
      <c r="AU793" s="17"/>
      <c r="AV793" s="17"/>
      <c r="AW793" s="17"/>
      <c r="AX793" s="27"/>
      <c r="BB793" s="17"/>
    </row>
    <row r="794" spans="1:54" x14ac:dyDescent="0.2">
      <c r="A794" s="17" t="s">
        <v>77</v>
      </c>
      <c r="B794" s="17" t="s">
        <v>78</v>
      </c>
      <c r="C794" s="17" t="str">
        <f t="shared" si="276"/>
        <v>HER42PB1H</v>
      </c>
      <c r="D794" s="17" t="str">
        <f t="shared" si="277"/>
        <v>HER42PB1H_263</v>
      </c>
      <c r="E794" s="27" t="s">
        <v>86</v>
      </c>
      <c r="F794" s="17">
        <v>263</v>
      </c>
      <c r="G794" s="20">
        <v>2.25</v>
      </c>
      <c r="H794" s="20">
        <v>2.2000000000000002</v>
      </c>
      <c r="I794" s="20">
        <v>1.2</v>
      </c>
      <c r="J794" s="22">
        <f t="shared" si="274"/>
        <v>4.6634887500000008</v>
      </c>
      <c r="K794" s="53">
        <v>0.16142857142857159</v>
      </c>
      <c r="L794" s="45">
        <f t="shared" si="278"/>
        <v>8.9800000000000022</v>
      </c>
      <c r="M794" s="45">
        <f t="shared" si="279"/>
        <v>10.180000000000001</v>
      </c>
      <c r="N794" s="46">
        <f t="shared" si="280"/>
        <v>9.5800000000000018</v>
      </c>
      <c r="O794" s="20">
        <f t="shared" si="275"/>
        <v>288.98000000000013</v>
      </c>
      <c r="P794" s="20">
        <f t="shared" si="291"/>
        <v>290.18000000000012</v>
      </c>
      <c r="Q794" s="20">
        <f t="shared" si="281"/>
        <v>289.58000000000015</v>
      </c>
      <c r="R794" s="20">
        <f t="shared" si="282"/>
        <v>288.98000000000013</v>
      </c>
      <c r="S794" s="20">
        <f t="shared" si="283"/>
        <v>289.58000000000015</v>
      </c>
      <c r="T794" s="20">
        <f t="shared" si="284"/>
        <v>289.58000000000015</v>
      </c>
      <c r="U794" s="20">
        <f t="shared" si="285"/>
        <v>289.58000000000015</v>
      </c>
      <c r="V794" s="22">
        <v>6.8971999999999998</v>
      </c>
      <c r="W794" s="22">
        <v>1.9826999999999999</v>
      </c>
      <c r="X794" s="23">
        <v>1.1476266666666668</v>
      </c>
      <c r="Y794" s="23">
        <f t="shared" si="292"/>
        <v>5.7495733333333332</v>
      </c>
      <c r="Z794" s="23">
        <f t="shared" si="293"/>
        <v>0.83507333333333311</v>
      </c>
      <c r="AA794" s="22">
        <f t="shared" si="294"/>
        <v>85.475907777504659</v>
      </c>
      <c r="AB794" s="22">
        <f t="shared" si="295"/>
        <v>14.524092222495341</v>
      </c>
      <c r="AC794" s="22">
        <f t="shared" si="286"/>
        <v>1.2328910053301474</v>
      </c>
      <c r="AD794" s="22">
        <f t="shared" si="287"/>
        <v>0.17906622661700061</v>
      </c>
      <c r="AE794" s="27">
        <v>16.2026</v>
      </c>
      <c r="AF794" s="27">
        <v>16.363800000000001</v>
      </c>
      <c r="AG794" s="27">
        <v>16.256499999999999</v>
      </c>
      <c r="AH794" s="26">
        <v>5.3900000000000003E-2</v>
      </c>
      <c r="AI794" s="26">
        <v>66.563275430000004</v>
      </c>
      <c r="AJ794" s="26">
        <f t="shared" si="288"/>
        <v>3.3281637715000003</v>
      </c>
      <c r="AK794" s="26">
        <f t="shared" si="289"/>
        <v>38.475881751445094</v>
      </c>
      <c r="AL794" s="26">
        <f t="shared" si="290"/>
        <v>3.329380436346244</v>
      </c>
      <c r="AM794" s="17">
        <f t="shared" si="296"/>
        <v>0.5780346820809249</v>
      </c>
      <c r="AN794" s="17"/>
      <c r="AO794" s="27"/>
      <c r="AS794" s="49"/>
      <c r="AT794" s="25"/>
      <c r="AU794" s="17"/>
      <c r="AV794" s="17"/>
      <c r="AW794" s="17"/>
      <c r="AX794" s="27"/>
      <c r="BB794" s="17"/>
    </row>
    <row r="795" spans="1:54" x14ac:dyDescent="0.2">
      <c r="A795" s="17" t="s">
        <v>77</v>
      </c>
      <c r="B795" s="17" t="s">
        <v>78</v>
      </c>
      <c r="C795" s="17" t="str">
        <f t="shared" si="276"/>
        <v>HER42PB1H</v>
      </c>
      <c r="D795" s="17" t="str">
        <f t="shared" si="277"/>
        <v>HER42PB1H_264</v>
      </c>
      <c r="E795" s="27" t="s">
        <v>86</v>
      </c>
      <c r="F795" s="17">
        <v>264</v>
      </c>
      <c r="G795" s="20">
        <v>2.1</v>
      </c>
      <c r="H795" s="20">
        <v>2.25</v>
      </c>
      <c r="I795" s="20">
        <v>1.2</v>
      </c>
      <c r="J795" s="22">
        <f t="shared" si="274"/>
        <v>4.4562487499999994</v>
      </c>
      <c r="K795" s="53">
        <v>0.16142857142857159</v>
      </c>
      <c r="L795" s="45">
        <f t="shared" si="278"/>
        <v>10.341428571428573</v>
      </c>
      <c r="M795" s="45">
        <f t="shared" si="279"/>
        <v>11.541428571428572</v>
      </c>
      <c r="N795" s="46">
        <f t="shared" si="280"/>
        <v>10.941428571428572</v>
      </c>
      <c r="O795" s="20">
        <f t="shared" si="275"/>
        <v>290.34142857142871</v>
      </c>
      <c r="P795" s="20">
        <f t="shared" si="291"/>
        <v>291.5414285714287</v>
      </c>
      <c r="Q795" s="20">
        <f t="shared" si="281"/>
        <v>290.94142857142867</v>
      </c>
      <c r="R795" s="20">
        <f t="shared" si="282"/>
        <v>290.34142857142871</v>
      </c>
      <c r="S795" s="20">
        <f t="shared" si="283"/>
        <v>290.94142857142867</v>
      </c>
      <c r="T795" s="20">
        <f t="shared" si="284"/>
        <v>290.94142857142867</v>
      </c>
      <c r="U795" s="20">
        <f t="shared" si="285"/>
        <v>290.94142857142867</v>
      </c>
      <c r="V795" s="22">
        <v>6.4791999999999996</v>
      </c>
      <c r="W795" s="22">
        <v>1.9004000000000001</v>
      </c>
      <c r="X795" s="23">
        <v>1.1476266666666668</v>
      </c>
      <c r="Y795" s="23">
        <f t="shared" si="292"/>
        <v>5.3315733333333331</v>
      </c>
      <c r="Z795" s="23">
        <f t="shared" si="293"/>
        <v>0.75277333333333329</v>
      </c>
      <c r="AA795" s="22">
        <f t="shared" si="294"/>
        <v>85.880840677423549</v>
      </c>
      <c r="AB795" s="22">
        <f t="shared" si="295"/>
        <v>14.119159322576451</v>
      </c>
      <c r="AC795" s="22">
        <f t="shared" si="286"/>
        <v>1.1964263290583439</v>
      </c>
      <c r="AD795" s="22">
        <f t="shared" si="287"/>
        <v>0.16892533957700037</v>
      </c>
      <c r="AE795" s="27">
        <v>12.4184</v>
      </c>
      <c r="AF795" s="27">
        <v>12.5192</v>
      </c>
      <c r="AG795" s="27">
        <v>12.444699999999999</v>
      </c>
      <c r="AH795" s="26">
        <v>2.63E-2</v>
      </c>
      <c r="AI795" s="26">
        <v>73.908730160000005</v>
      </c>
      <c r="AJ795" s="26">
        <f t="shared" si="288"/>
        <v>3.6954365080000002</v>
      </c>
      <c r="AK795" s="26">
        <f t="shared" si="289"/>
        <v>42.721809341040469</v>
      </c>
      <c r="AL795" s="26">
        <f t="shared" si="290"/>
        <v>3.6965322918458643</v>
      </c>
      <c r="AM795" s="17">
        <f t="shared" si="296"/>
        <v>0.5780346820809249</v>
      </c>
      <c r="AN795" s="17"/>
      <c r="AO795" s="27"/>
      <c r="AS795" s="49"/>
      <c r="AT795" s="25"/>
      <c r="AU795" s="17"/>
      <c r="AV795" s="17"/>
      <c r="AW795" s="17"/>
      <c r="AX795" s="27"/>
      <c r="BB795" s="17"/>
    </row>
    <row r="796" spans="1:54" x14ac:dyDescent="0.2">
      <c r="A796" s="17" t="s">
        <v>77</v>
      </c>
      <c r="B796" s="17" t="s">
        <v>78</v>
      </c>
      <c r="C796" s="17" t="str">
        <f t="shared" si="276"/>
        <v>HER42PB1H</v>
      </c>
      <c r="D796" s="17" t="str">
        <f t="shared" si="277"/>
        <v>HER42PB1H_265</v>
      </c>
      <c r="E796" s="27" t="s">
        <v>86</v>
      </c>
      <c r="F796" s="17">
        <v>265</v>
      </c>
      <c r="G796" s="20">
        <v>2.15</v>
      </c>
      <c r="H796" s="20">
        <v>2.1</v>
      </c>
      <c r="I796" s="20">
        <v>1.1499999999999999</v>
      </c>
      <c r="J796" s="22">
        <f t="shared" si="274"/>
        <v>4.0764804687499998</v>
      </c>
      <c r="K796" s="53">
        <v>0.16142857142857159</v>
      </c>
      <c r="L796" s="45">
        <f t="shared" si="278"/>
        <v>11.702857142857143</v>
      </c>
      <c r="M796" s="45">
        <f t="shared" si="279"/>
        <v>12.852857142857143</v>
      </c>
      <c r="N796" s="46">
        <f t="shared" si="280"/>
        <v>12.277857142857144</v>
      </c>
      <c r="O796" s="20">
        <f t="shared" si="275"/>
        <v>291.70285714285728</v>
      </c>
      <c r="P796" s="20">
        <f t="shared" si="291"/>
        <v>292.85285714285726</v>
      </c>
      <c r="Q796" s="20">
        <f t="shared" si="281"/>
        <v>292.27785714285727</v>
      </c>
      <c r="R796" s="20">
        <f t="shared" si="282"/>
        <v>291.70285714285728</v>
      </c>
      <c r="S796" s="20">
        <f t="shared" si="283"/>
        <v>292.27785714285727</v>
      </c>
      <c r="T796" s="20">
        <f t="shared" si="284"/>
        <v>292.27785714285727</v>
      </c>
      <c r="U796" s="20">
        <f t="shared" si="285"/>
        <v>292.27785714285727</v>
      </c>
      <c r="V796" s="22">
        <v>6.4645000000000001</v>
      </c>
      <c r="W796" s="22">
        <v>1.8559000000000001</v>
      </c>
      <c r="X796" s="23">
        <v>1.1476266666666668</v>
      </c>
      <c r="Y796" s="23">
        <f t="shared" si="292"/>
        <v>5.3168733333333336</v>
      </c>
      <c r="Z796" s="23">
        <f t="shared" si="293"/>
        <v>0.70827333333333331</v>
      </c>
      <c r="AA796" s="22">
        <f t="shared" si="294"/>
        <v>86.67876233024171</v>
      </c>
      <c r="AB796" s="22">
        <f t="shared" si="295"/>
        <v>13.32123766975829</v>
      </c>
      <c r="AC796" s="22">
        <f t="shared" si="286"/>
        <v>1.304280340379917</v>
      </c>
      <c r="AD796" s="22">
        <f t="shared" si="287"/>
        <v>0.17374628402194117</v>
      </c>
      <c r="AE796" s="27">
        <v>16.217600000000001</v>
      </c>
      <c r="AF796" s="27">
        <v>16.300799999999999</v>
      </c>
      <c r="AG796" s="27">
        <v>16.237400000000001</v>
      </c>
      <c r="AH796" s="26">
        <v>1.9800000000000002E-2</v>
      </c>
      <c r="AI796" s="26">
        <v>76.20192308</v>
      </c>
      <c r="AJ796" s="26">
        <f t="shared" si="288"/>
        <v>3.810096154</v>
      </c>
      <c r="AK796" s="26">
        <f t="shared" si="289"/>
        <v>44.047354381502892</v>
      </c>
      <c r="AL796" s="26">
        <f t="shared" si="290"/>
        <v>3.8111589710645228</v>
      </c>
      <c r="AM796" s="17">
        <f t="shared" si="296"/>
        <v>0.5780346820809249</v>
      </c>
      <c r="AN796" s="17"/>
      <c r="AO796" s="27"/>
      <c r="AS796" s="49"/>
      <c r="AT796" s="25"/>
      <c r="AU796" s="17"/>
      <c r="AV796" s="17"/>
      <c r="AW796" s="17"/>
      <c r="AX796" s="27"/>
      <c r="BB796" s="17"/>
    </row>
    <row r="797" spans="1:54" x14ac:dyDescent="0.2">
      <c r="A797" s="17" t="s">
        <v>77</v>
      </c>
      <c r="B797" s="17" t="s">
        <v>78</v>
      </c>
      <c r="C797" s="17" t="str">
        <f t="shared" si="276"/>
        <v>HER42PB1H</v>
      </c>
      <c r="D797" s="17" t="str">
        <f t="shared" si="277"/>
        <v>HER42PB1H_266</v>
      </c>
      <c r="E797" s="27" t="s">
        <v>86</v>
      </c>
      <c r="F797" s="17">
        <v>266</v>
      </c>
      <c r="G797" s="20">
        <v>2.2000000000000002</v>
      </c>
      <c r="H797" s="20">
        <v>2.2000000000000002</v>
      </c>
      <c r="I797" s="20">
        <v>1.2</v>
      </c>
      <c r="J797" s="22">
        <f t="shared" si="274"/>
        <v>4.5592800000000011</v>
      </c>
      <c r="K797" s="53">
        <v>0.16142857142857159</v>
      </c>
      <c r="L797" s="45">
        <f t="shared" si="278"/>
        <v>13.014285714285714</v>
      </c>
      <c r="M797" s="45">
        <f t="shared" si="279"/>
        <v>14.214285714285714</v>
      </c>
      <c r="N797" s="46">
        <f t="shared" si="280"/>
        <v>13.614285714285714</v>
      </c>
      <c r="O797" s="20">
        <f t="shared" si="275"/>
        <v>293.01428571428585</v>
      </c>
      <c r="P797" s="20">
        <f t="shared" si="291"/>
        <v>294.21428571428584</v>
      </c>
      <c r="Q797" s="20">
        <f t="shared" si="281"/>
        <v>293.61428571428587</v>
      </c>
      <c r="R797" s="20">
        <f t="shared" si="282"/>
        <v>293.01428571428585</v>
      </c>
      <c r="S797" s="20">
        <f t="shared" si="283"/>
        <v>293.61428571428587</v>
      </c>
      <c r="T797" s="20">
        <f t="shared" si="284"/>
        <v>293.61428571428587</v>
      </c>
      <c r="U797" s="20">
        <f t="shared" si="285"/>
        <v>293.61428571428587</v>
      </c>
      <c r="V797" s="22">
        <v>7.3160999999999996</v>
      </c>
      <c r="W797" s="22">
        <v>2.0042</v>
      </c>
      <c r="X797" s="23">
        <v>1.1476266666666668</v>
      </c>
      <c r="Y797" s="23">
        <f t="shared" si="292"/>
        <v>6.168473333333333</v>
      </c>
      <c r="Z797" s="23">
        <f t="shared" si="293"/>
        <v>0.85657333333333319</v>
      </c>
      <c r="AA797" s="22">
        <f t="shared" si="294"/>
        <v>86.113689935164942</v>
      </c>
      <c r="AB797" s="22">
        <f t="shared" si="295"/>
        <v>13.886310064835058</v>
      </c>
      <c r="AC797" s="22">
        <f t="shared" si="286"/>
        <v>1.3529490036438498</v>
      </c>
      <c r="AD797" s="22">
        <f t="shared" si="287"/>
        <v>0.18787469366508155</v>
      </c>
      <c r="AE797" s="27">
        <v>13.2067</v>
      </c>
      <c r="AF797" s="27">
        <v>13.2889</v>
      </c>
      <c r="AG797" s="27">
        <v>13.2286</v>
      </c>
      <c r="AH797" s="26">
        <v>2.1899999999999999E-2</v>
      </c>
      <c r="AI797" s="26">
        <v>73.357664229999997</v>
      </c>
      <c r="AJ797" s="26">
        <f t="shared" si="288"/>
        <v>3.6678832115</v>
      </c>
      <c r="AK797" s="26">
        <f t="shared" si="289"/>
        <v>42.403274121387284</v>
      </c>
      <c r="AL797" s="26">
        <f t="shared" si="290"/>
        <v>3.6689872244535757</v>
      </c>
      <c r="AM797" s="17">
        <f t="shared" si="296"/>
        <v>0.5780346820809249</v>
      </c>
      <c r="AN797" s="17"/>
      <c r="AO797" s="27"/>
      <c r="AS797" s="49"/>
      <c r="AT797" s="25"/>
      <c r="AU797" s="17"/>
      <c r="AV797" s="17"/>
      <c r="AW797" s="17"/>
      <c r="AX797" s="27"/>
      <c r="BB797" s="17"/>
    </row>
    <row r="798" spans="1:54" x14ac:dyDescent="0.2">
      <c r="A798" s="17" t="s">
        <v>77</v>
      </c>
      <c r="B798" s="17" t="s">
        <v>78</v>
      </c>
      <c r="C798" s="17" t="str">
        <f t="shared" si="276"/>
        <v>HER42PB1H</v>
      </c>
      <c r="D798" s="17" t="str">
        <f t="shared" si="277"/>
        <v>HER42PB1H_267</v>
      </c>
      <c r="E798" s="27" t="s">
        <v>86</v>
      </c>
      <c r="F798" s="17">
        <v>267</v>
      </c>
      <c r="G798" s="20">
        <v>2.2000000000000002</v>
      </c>
      <c r="H798" s="20">
        <v>2.1</v>
      </c>
      <c r="I798" s="20">
        <v>1.1499999999999999</v>
      </c>
      <c r="J798" s="22">
        <f t="shared" si="274"/>
        <v>4.1729618750000013</v>
      </c>
      <c r="K798" s="53">
        <v>0.16142857142857159</v>
      </c>
      <c r="L798" s="45">
        <f t="shared" si="278"/>
        <v>14.375714285714285</v>
      </c>
      <c r="M798" s="45">
        <f t="shared" si="279"/>
        <v>15.525714285714285</v>
      </c>
      <c r="N798" s="46">
        <f t="shared" si="280"/>
        <v>14.950714285714284</v>
      </c>
      <c r="O798" s="20">
        <f t="shared" si="275"/>
        <v>294.37571428571442</v>
      </c>
      <c r="P798" s="20">
        <f t="shared" si="291"/>
        <v>295.5257142857144</v>
      </c>
      <c r="Q798" s="20">
        <f t="shared" si="281"/>
        <v>294.95071428571441</v>
      </c>
      <c r="R798" s="20">
        <f t="shared" si="282"/>
        <v>294.37571428571442</v>
      </c>
      <c r="S798" s="20">
        <f t="shared" si="283"/>
        <v>294.95071428571441</v>
      </c>
      <c r="T798" s="20">
        <f t="shared" si="284"/>
        <v>294.95071428571441</v>
      </c>
      <c r="U798" s="20">
        <f t="shared" si="285"/>
        <v>294.95071428571441</v>
      </c>
      <c r="V798" s="22">
        <v>7.1894999999999998</v>
      </c>
      <c r="W798" s="22">
        <v>1.9798</v>
      </c>
      <c r="X798" s="23">
        <v>1.1476266666666668</v>
      </c>
      <c r="Y798" s="23">
        <f t="shared" si="292"/>
        <v>6.0418733333333332</v>
      </c>
      <c r="Z798" s="23">
        <f t="shared" si="293"/>
        <v>0.83217333333333321</v>
      </c>
      <c r="AA798" s="22">
        <f t="shared" si="294"/>
        <v>86.226567698098052</v>
      </c>
      <c r="AB798" s="22">
        <f t="shared" si="295"/>
        <v>13.773432301901948</v>
      </c>
      <c r="AC798" s="22">
        <f t="shared" si="286"/>
        <v>1.4478620975499163</v>
      </c>
      <c r="AD798" s="22">
        <f t="shared" si="287"/>
        <v>0.19942030583093523</v>
      </c>
      <c r="AE798" s="27">
        <v>12.643000000000001</v>
      </c>
      <c r="AF798" s="27">
        <v>12.7577</v>
      </c>
      <c r="AG798" s="27">
        <v>12.6792</v>
      </c>
      <c r="AH798" s="26">
        <v>3.6200000000000003E-2</v>
      </c>
      <c r="AI798" s="26">
        <v>68.439407149999994</v>
      </c>
      <c r="AJ798" s="26">
        <f t="shared" si="288"/>
        <v>3.4219703574999998</v>
      </c>
      <c r="AK798" s="26">
        <f t="shared" si="289"/>
        <v>39.560350953757222</v>
      </c>
      <c r="AL798" s="26">
        <f t="shared" si="290"/>
        <v>3.4231536815645129</v>
      </c>
      <c r="AM798" s="17">
        <f t="shared" si="296"/>
        <v>0.5780346820809249</v>
      </c>
      <c r="AN798" s="17"/>
      <c r="AO798" s="27"/>
      <c r="AS798" s="49"/>
      <c r="AT798" s="25"/>
      <c r="AU798" s="17"/>
      <c r="AV798" s="17"/>
      <c r="AW798" s="17"/>
      <c r="AX798" s="27"/>
      <c r="BB798" s="17"/>
    </row>
    <row r="799" spans="1:54" x14ac:dyDescent="0.2">
      <c r="A799" s="17" t="s">
        <v>77</v>
      </c>
      <c r="B799" s="17" t="s">
        <v>78</v>
      </c>
      <c r="C799" s="17" t="str">
        <f t="shared" si="276"/>
        <v>HER42PB1H</v>
      </c>
      <c r="D799" s="17" t="str">
        <f t="shared" si="277"/>
        <v>HER42PB1H_268</v>
      </c>
      <c r="E799" s="27" t="s">
        <v>86</v>
      </c>
      <c r="F799" s="17">
        <v>268</v>
      </c>
      <c r="G799" s="20">
        <v>2.2999999999999998</v>
      </c>
      <c r="H799" s="20">
        <v>2.2000000000000002</v>
      </c>
      <c r="I799" s="20">
        <v>1.2</v>
      </c>
      <c r="J799" s="22">
        <f t="shared" si="274"/>
        <v>4.7688749999999995</v>
      </c>
      <c r="K799" s="53">
        <v>0.16142857142857159</v>
      </c>
      <c r="L799" s="45">
        <f t="shared" si="278"/>
        <v>15.687142857142856</v>
      </c>
      <c r="M799" s="45">
        <f t="shared" si="279"/>
        <v>16.887142857142855</v>
      </c>
      <c r="N799" s="46">
        <f t="shared" si="280"/>
        <v>16.287142857142854</v>
      </c>
      <c r="O799" s="20">
        <f t="shared" si="275"/>
        <v>295.68714285714299</v>
      </c>
      <c r="P799" s="20">
        <f t="shared" si="291"/>
        <v>296.88714285714298</v>
      </c>
      <c r="Q799" s="20">
        <f t="shared" si="281"/>
        <v>296.28714285714295</v>
      </c>
      <c r="R799" s="20">
        <f t="shared" si="282"/>
        <v>295.68714285714299</v>
      </c>
      <c r="S799" s="20">
        <f t="shared" si="283"/>
        <v>296.28714285714295</v>
      </c>
      <c r="T799" s="20">
        <f t="shared" si="284"/>
        <v>296.28714285714295</v>
      </c>
      <c r="U799" s="20">
        <f t="shared" si="285"/>
        <v>296.28714285714295</v>
      </c>
      <c r="V799" s="22">
        <v>7.3493000000000004</v>
      </c>
      <c r="W799" s="22">
        <v>2.0032999999999999</v>
      </c>
      <c r="X799" s="23">
        <v>1.1476266666666668</v>
      </c>
      <c r="Y799" s="23">
        <f t="shared" si="292"/>
        <v>6.2016733333333338</v>
      </c>
      <c r="Z799" s="23">
        <f t="shared" si="293"/>
        <v>0.85567333333333306</v>
      </c>
      <c r="AA799" s="22">
        <f t="shared" si="294"/>
        <v>86.202541034624005</v>
      </c>
      <c r="AB799" s="22">
        <f t="shared" si="295"/>
        <v>13.797458965375995</v>
      </c>
      <c r="AC799" s="22">
        <f t="shared" si="286"/>
        <v>1.3004478694311203</v>
      </c>
      <c r="AD799" s="22">
        <f t="shared" si="287"/>
        <v>0.1794287611508654</v>
      </c>
      <c r="AE799" s="27">
        <v>17.4238</v>
      </c>
      <c r="AF799" s="27">
        <v>17.518999999999998</v>
      </c>
      <c r="AG799" s="27">
        <v>17.4529</v>
      </c>
      <c r="AH799" s="26">
        <v>2.9100000000000001E-2</v>
      </c>
      <c r="AI799" s="26">
        <v>69.432773109999999</v>
      </c>
      <c r="AJ799" s="26">
        <f t="shared" si="288"/>
        <v>3.4716386555000001</v>
      </c>
      <c r="AK799" s="26">
        <f t="shared" si="289"/>
        <v>40.134550930635839</v>
      </c>
      <c r="AL799" s="26">
        <f t="shared" si="290"/>
        <v>3.4728050556231702</v>
      </c>
      <c r="AM799" s="17">
        <f t="shared" si="296"/>
        <v>0.5780346820809249</v>
      </c>
      <c r="AN799" s="17"/>
      <c r="AO799" s="27"/>
      <c r="AS799" s="49"/>
      <c r="AT799" s="25"/>
      <c r="AU799" s="17"/>
      <c r="AV799" s="17"/>
      <c r="AW799" s="17"/>
      <c r="AX799" s="27"/>
      <c r="BB799" s="17"/>
    </row>
    <row r="800" spans="1:54" x14ac:dyDescent="0.2">
      <c r="A800" s="17" t="s">
        <v>77</v>
      </c>
      <c r="B800" s="17" t="s">
        <v>78</v>
      </c>
      <c r="C800" s="17" t="str">
        <f t="shared" si="276"/>
        <v>HER42PB1H</v>
      </c>
      <c r="D800" s="17" t="str">
        <f t="shared" si="277"/>
        <v>HER42PB1H_269</v>
      </c>
      <c r="E800" s="27" t="s">
        <v>86</v>
      </c>
      <c r="F800" s="17">
        <v>269</v>
      </c>
      <c r="G800" s="20">
        <v>2.25</v>
      </c>
      <c r="H800" s="20">
        <v>1.9</v>
      </c>
      <c r="I800" s="20">
        <v>1.1499999999999999</v>
      </c>
      <c r="J800" s="22">
        <f t="shared" si="274"/>
        <v>3.8869029687500007</v>
      </c>
      <c r="K800" s="53">
        <v>0.16142857142857159</v>
      </c>
      <c r="L800" s="45">
        <f t="shared" si="278"/>
        <v>17.048571428571428</v>
      </c>
      <c r="M800" s="45">
        <f t="shared" si="279"/>
        <v>18.198571428571427</v>
      </c>
      <c r="N800" s="46">
        <f t="shared" si="280"/>
        <v>17.623571428571427</v>
      </c>
      <c r="O800" s="20">
        <f t="shared" si="275"/>
        <v>297.04857142857156</v>
      </c>
      <c r="P800" s="20">
        <f t="shared" si="291"/>
        <v>298.19857142857154</v>
      </c>
      <c r="Q800" s="20">
        <f t="shared" si="281"/>
        <v>297.62357142857155</v>
      </c>
      <c r="R800" s="20">
        <f t="shared" si="282"/>
        <v>297.04857142857156</v>
      </c>
      <c r="S800" s="20">
        <f t="shared" si="283"/>
        <v>297.62357142857155</v>
      </c>
      <c r="T800" s="20">
        <f t="shared" si="284"/>
        <v>297.62357142857155</v>
      </c>
      <c r="U800" s="20">
        <f t="shared" si="285"/>
        <v>297.62357142857155</v>
      </c>
      <c r="V800" s="22">
        <v>6.8071999999999999</v>
      </c>
      <c r="W800" s="22">
        <v>2.133</v>
      </c>
      <c r="X800" s="23">
        <v>1.1476266666666668</v>
      </c>
      <c r="Y800" s="23">
        <f t="shared" si="292"/>
        <v>5.6595733333333333</v>
      </c>
      <c r="Z800" s="23">
        <f t="shared" si="293"/>
        <v>0.98537333333333321</v>
      </c>
      <c r="AA800" s="22">
        <f t="shared" si="294"/>
        <v>82.589264679551803</v>
      </c>
      <c r="AB800" s="22">
        <f t="shared" si="295"/>
        <v>17.410735320448197</v>
      </c>
      <c r="AC800" s="22">
        <f t="shared" si="286"/>
        <v>1.4560624175173096</v>
      </c>
      <c r="AD800" s="22">
        <f t="shared" si="287"/>
        <v>0.25351117361445791</v>
      </c>
      <c r="AE800" s="27">
        <v>14.791499999999999</v>
      </c>
      <c r="AF800" s="27">
        <v>14.901199999999999</v>
      </c>
      <c r="AG800" s="27">
        <v>14.8376</v>
      </c>
      <c r="AH800" s="26">
        <v>4.6100000000000002E-2</v>
      </c>
      <c r="AI800" s="26">
        <v>57.976298999999997</v>
      </c>
      <c r="AJ800" s="26">
        <f t="shared" si="288"/>
        <v>2.8988149500000002</v>
      </c>
      <c r="AK800" s="26">
        <f t="shared" si="289"/>
        <v>33.512311560693639</v>
      </c>
      <c r="AL800" s="26">
        <f t="shared" si="290"/>
        <v>2.9002117361226412</v>
      </c>
      <c r="AM800" s="17">
        <f t="shared" si="296"/>
        <v>0.5780346820809249</v>
      </c>
      <c r="AN800" s="17"/>
      <c r="AO800" s="27"/>
      <c r="AS800" s="49"/>
      <c r="AT800" s="25"/>
      <c r="AU800" s="17"/>
      <c r="AV800" s="17"/>
      <c r="AW800" s="17"/>
      <c r="AX800" s="27"/>
      <c r="BB800" s="17"/>
    </row>
    <row r="801" spans="1:54" x14ac:dyDescent="0.2">
      <c r="A801" s="17" t="s">
        <v>77</v>
      </c>
      <c r="B801" s="17" t="s">
        <v>78</v>
      </c>
      <c r="C801" s="17" t="str">
        <f t="shared" si="276"/>
        <v>HER42PB1H</v>
      </c>
      <c r="D801" s="17" t="str">
        <f t="shared" si="277"/>
        <v>HER42PB1H_270</v>
      </c>
      <c r="E801" s="27" t="s">
        <v>86</v>
      </c>
      <c r="F801" s="17">
        <v>270</v>
      </c>
      <c r="G801" s="20">
        <v>2.2000000000000002</v>
      </c>
      <c r="H801" s="20">
        <v>2.1</v>
      </c>
      <c r="I801" s="20">
        <v>1.1499999999999999</v>
      </c>
      <c r="J801" s="22">
        <f t="shared" si="274"/>
        <v>4.1729618750000013</v>
      </c>
      <c r="K801" s="53">
        <v>0.16142857142857159</v>
      </c>
      <c r="L801" s="45">
        <f t="shared" si="278"/>
        <v>18.36</v>
      </c>
      <c r="M801" s="45">
        <f t="shared" si="279"/>
        <v>19.509999999999998</v>
      </c>
      <c r="N801" s="46">
        <f t="shared" si="280"/>
        <v>18.934999999999999</v>
      </c>
      <c r="O801" s="20">
        <f t="shared" si="275"/>
        <v>298.36000000000013</v>
      </c>
      <c r="P801" s="20">
        <f t="shared" si="291"/>
        <v>299.5100000000001</v>
      </c>
      <c r="Q801" s="20">
        <f t="shared" si="281"/>
        <v>298.93500000000012</v>
      </c>
      <c r="R801" s="20">
        <f t="shared" si="282"/>
        <v>298.36000000000013</v>
      </c>
      <c r="S801" s="20">
        <f t="shared" si="283"/>
        <v>298.93500000000012</v>
      </c>
      <c r="T801" s="20">
        <f t="shared" si="284"/>
        <v>298.93500000000012</v>
      </c>
      <c r="U801" s="20">
        <f t="shared" si="285"/>
        <v>298.93500000000012</v>
      </c>
      <c r="V801" s="22">
        <v>6.8113999999999999</v>
      </c>
      <c r="W801" s="22">
        <v>2.0175000000000001</v>
      </c>
      <c r="X801" s="23">
        <v>1.1476266666666668</v>
      </c>
      <c r="Y801" s="23">
        <f t="shared" si="292"/>
        <v>5.6637733333333333</v>
      </c>
      <c r="Z801" s="23">
        <f t="shared" si="293"/>
        <v>0.86987333333333328</v>
      </c>
      <c r="AA801" s="22">
        <f t="shared" si="294"/>
        <v>84.641452223841355</v>
      </c>
      <c r="AB801" s="22">
        <f t="shared" si="295"/>
        <v>15.358547776158645</v>
      </c>
      <c r="AC801" s="22">
        <f t="shared" si="286"/>
        <v>1.3572549912963994</v>
      </c>
      <c r="AD801" s="22">
        <f t="shared" si="287"/>
        <v>0.20845465628255541</v>
      </c>
      <c r="AE801" s="27">
        <v>16.773299999999999</v>
      </c>
      <c r="AF801" s="27">
        <v>16.8918</v>
      </c>
      <c r="AG801" s="27">
        <v>16.812000000000001</v>
      </c>
      <c r="AH801" s="26">
        <v>3.8699999999999998E-2</v>
      </c>
      <c r="AI801" s="26">
        <v>67.341772149999997</v>
      </c>
      <c r="AJ801" s="26">
        <f t="shared" si="288"/>
        <v>3.3670886074999999</v>
      </c>
      <c r="AK801" s="26">
        <f t="shared" si="289"/>
        <v>38.925879855491331</v>
      </c>
      <c r="AL801" s="26">
        <f t="shared" si="290"/>
        <v>3.3682912122849902</v>
      </c>
      <c r="AM801" s="17">
        <f t="shared" si="296"/>
        <v>0.5780346820809249</v>
      </c>
      <c r="AN801" s="17"/>
      <c r="AO801" s="27"/>
      <c r="AS801" s="49"/>
      <c r="AT801" s="25"/>
      <c r="AU801" s="17"/>
      <c r="AV801" s="17"/>
      <c r="AW801" s="17"/>
      <c r="AX801" s="27"/>
      <c r="BB801" s="17"/>
    </row>
    <row r="802" spans="1:54" x14ac:dyDescent="0.2">
      <c r="A802" s="17" t="s">
        <v>77</v>
      </c>
      <c r="B802" s="17" t="s">
        <v>78</v>
      </c>
      <c r="C802" s="17" t="str">
        <f t="shared" si="276"/>
        <v>HER42PB1H</v>
      </c>
      <c r="D802" s="17" t="str">
        <f t="shared" si="277"/>
        <v>HER42PB1H_271</v>
      </c>
      <c r="E802" s="27" t="s">
        <v>86</v>
      </c>
      <c r="F802" s="17">
        <v>271</v>
      </c>
      <c r="G802" s="20">
        <v>2.35</v>
      </c>
      <c r="H802" s="20">
        <v>2.0499999999999998</v>
      </c>
      <c r="I802" s="20">
        <v>1.1499999999999999</v>
      </c>
      <c r="J802" s="22">
        <f t="shared" si="274"/>
        <v>4.3693100000000014</v>
      </c>
      <c r="K802" s="53">
        <v>0.16142857142857159</v>
      </c>
      <c r="L802" s="45">
        <f t="shared" si="278"/>
        <v>19.671428571428571</v>
      </c>
      <c r="M802" s="45">
        <f t="shared" si="279"/>
        <v>20.821428571428569</v>
      </c>
      <c r="N802" s="46">
        <f t="shared" si="280"/>
        <v>20.24642857142857</v>
      </c>
      <c r="O802" s="20">
        <f t="shared" si="275"/>
        <v>299.67142857142869</v>
      </c>
      <c r="P802" s="20">
        <f t="shared" si="291"/>
        <v>300.82142857142867</v>
      </c>
      <c r="Q802" s="20">
        <f t="shared" si="281"/>
        <v>300.24642857142868</v>
      </c>
      <c r="R802" s="20">
        <f t="shared" si="282"/>
        <v>299.67142857142869</v>
      </c>
      <c r="S802" s="20">
        <f t="shared" si="283"/>
        <v>300.24642857142868</v>
      </c>
      <c r="T802" s="20">
        <f t="shared" si="284"/>
        <v>300.24642857142868</v>
      </c>
      <c r="U802" s="20">
        <f t="shared" si="285"/>
        <v>300.24642857142868</v>
      </c>
      <c r="V802" s="22">
        <v>7.0617000000000001</v>
      </c>
      <c r="W802" s="22">
        <v>2.3071000000000002</v>
      </c>
      <c r="X802" s="23">
        <v>1.1476266666666668</v>
      </c>
      <c r="Y802" s="23">
        <f t="shared" si="292"/>
        <v>5.9140733333333335</v>
      </c>
      <c r="Z802" s="23">
        <f t="shared" si="293"/>
        <v>1.1594733333333334</v>
      </c>
      <c r="AA802" s="22">
        <f t="shared" si="294"/>
        <v>80.394674398130562</v>
      </c>
      <c r="AB802" s="22">
        <f t="shared" si="295"/>
        <v>19.605325601869438</v>
      </c>
      <c r="AC802" s="22">
        <f t="shared" si="286"/>
        <v>1.3535485770827274</v>
      </c>
      <c r="AD802" s="22">
        <f t="shared" si="287"/>
        <v>0.26536760571653945</v>
      </c>
      <c r="AE802" s="27">
        <v>16.819700000000001</v>
      </c>
      <c r="AF802" s="27">
        <v>16.901499999999999</v>
      </c>
      <c r="AG802" s="27">
        <v>16.8582</v>
      </c>
      <c r="AH802" s="26">
        <v>3.85E-2</v>
      </c>
      <c r="AI802" s="26">
        <v>52.933985329999999</v>
      </c>
      <c r="AJ802" s="26">
        <f t="shared" si="288"/>
        <v>2.6466992665000002</v>
      </c>
      <c r="AK802" s="26">
        <f t="shared" si="289"/>
        <v>30.597679381502893</v>
      </c>
      <c r="AL802" s="26">
        <f t="shared" si="290"/>
        <v>2.648229032257527</v>
      </c>
      <c r="AM802" s="17">
        <f t="shared" si="296"/>
        <v>0.5780346820809249</v>
      </c>
      <c r="AN802" s="17"/>
      <c r="AO802" s="27"/>
      <c r="AS802" s="49"/>
      <c r="AT802" s="25"/>
      <c r="AU802" s="17"/>
      <c r="AV802" s="17"/>
      <c r="AW802" s="17"/>
      <c r="AX802" s="27"/>
      <c r="BB802" s="17"/>
    </row>
    <row r="803" spans="1:54" x14ac:dyDescent="0.2">
      <c r="A803" s="17" t="s">
        <v>77</v>
      </c>
      <c r="B803" s="17" t="s">
        <v>78</v>
      </c>
      <c r="C803" s="17" t="str">
        <f t="shared" si="276"/>
        <v>HER42PB1H</v>
      </c>
      <c r="D803" s="17" t="str">
        <f t="shared" si="277"/>
        <v>HER42PB1H_272</v>
      </c>
      <c r="E803" s="27" t="s">
        <v>86</v>
      </c>
      <c r="F803" s="17">
        <v>272</v>
      </c>
      <c r="G803" s="20">
        <v>2.25</v>
      </c>
      <c r="H803" s="20">
        <v>2</v>
      </c>
      <c r="I803" s="20">
        <v>1.2</v>
      </c>
      <c r="J803" s="22">
        <f t="shared" si="274"/>
        <v>4.25371875</v>
      </c>
      <c r="K803" s="53">
        <v>0.16142857142857159</v>
      </c>
      <c r="L803" s="45">
        <f t="shared" si="278"/>
        <v>20.982857142857142</v>
      </c>
      <c r="M803" s="45">
        <f t="shared" si="279"/>
        <v>22.182857142857141</v>
      </c>
      <c r="N803" s="46">
        <f t="shared" si="280"/>
        <v>21.582857142857144</v>
      </c>
      <c r="O803" s="20">
        <f t="shared" si="275"/>
        <v>300.98285714285726</v>
      </c>
      <c r="P803" s="20">
        <f t="shared" si="291"/>
        <v>302.18285714285724</v>
      </c>
      <c r="Q803" s="20">
        <f t="shared" si="281"/>
        <v>301.58285714285728</v>
      </c>
      <c r="R803" s="20">
        <f t="shared" si="282"/>
        <v>300.98285714285726</v>
      </c>
      <c r="S803" s="20">
        <f t="shared" si="283"/>
        <v>301.58285714285728</v>
      </c>
      <c r="T803" s="20">
        <f t="shared" si="284"/>
        <v>301.58285714285728</v>
      </c>
      <c r="U803" s="20">
        <f t="shared" si="285"/>
        <v>301.58285714285728</v>
      </c>
      <c r="V803" s="22">
        <v>6.7888999999999999</v>
      </c>
      <c r="W803" s="22">
        <v>2.1486999999999998</v>
      </c>
      <c r="X803" s="23">
        <v>1.1476266666666668</v>
      </c>
      <c r="Y803" s="23">
        <f t="shared" si="292"/>
        <v>5.6412733333333334</v>
      </c>
      <c r="Z803" s="23">
        <f t="shared" si="293"/>
        <v>1.001073333333333</v>
      </c>
      <c r="AA803" s="22">
        <f t="shared" si="294"/>
        <v>82.254479189686492</v>
      </c>
      <c r="AB803" s="22">
        <f t="shared" si="295"/>
        <v>17.745520810313508</v>
      </c>
      <c r="AC803" s="22">
        <f t="shared" si="286"/>
        <v>1.3261980081154481</v>
      </c>
      <c r="AD803" s="22">
        <f t="shared" si="287"/>
        <v>0.23534074351609002</v>
      </c>
      <c r="AE803" s="27">
        <v>16.202200000000001</v>
      </c>
      <c r="AF803" s="27">
        <v>16.343299999999999</v>
      </c>
      <c r="AG803" s="27">
        <v>16.264700000000001</v>
      </c>
      <c r="AH803" s="26">
        <v>6.25E-2</v>
      </c>
      <c r="AI803" s="26">
        <v>55.705173639999998</v>
      </c>
      <c r="AJ803" s="26">
        <f t="shared" si="288"/>
        <v>2.7852586820000003</v>
      </c>
      <c r="AK803" s="26">
        <f t="shared" si="289"/>
        <v>32.19952233526012</v>
      </c>
      <c r="AL803" s="26">
        <f t="shared" si="290"/>
        <v>2.7867123866047567</v>
      </c>
      <c r="AM803" s="17">
        <f t="shared" si="296"/>
        <v>0.5780346820809249</v>
      </c>
      <c r="AN803" s="17"/>
      <c r="AO803" s="27"/>
      <c r="AS803" s="49"/>
      <c r="AT803" s="25"/>
      <c r="AU803" s="17"/>
      <c r="AV803" s="17"/>
      <c r="AW803" s="17"/>
      <c r="AX803" s="27"/>
      <c r="BB803" s="17"/>
    </row>
    <row r="804" spans="1:54" x14ac:dyDescent="0.2">
      <c r="A804" s="17" t="s">
        <v>77</v>
      </c>
      <c r="B804" s="17" t="s">
        <v>78</v>
      </c>
      <c r="C804" s="17" t="str">
        <f t="shared" si="276"/>
        <v>HER42PB1H</v>
      </c>
      <c r="D804" s="17" t="str">
        <f t="shared" si="277"/>
        <v>HER42PB1H_273</v>
      </c>
      <c r="E804" s="27" t="s">
        <v>86</v>
      </c>
      <c r="F804" s="17">
        <v>273</v>
      </c>
      <c r="G804" s="20">
        <v>2.4</v>
      </c>
      <c r="H804" s="20">
        <v>2.2000000000000002</v>
      </c>
      <c r="I804" s="20">
        <v>1.2</v>
      </c>
      <c r="J804" s="22">
        <f t="shared" si="274"/>
        <v>4.9831799999999991</v>
      </c>
      <c r="K804" s="53">
        <v>0.16142857142857159</v>
      </c>
      <c r="L804" s="45">
        <f t="shared" si="278"/>
        <v>22.344285714285714</v>
      </c>
      <c r="M804" s="45">
        <f t="shared" si="279"/>
        <v>23.544285714285714</v>
      </c>
      <c r="N804" s="46">
        <f t="shared" si="280"/>
        <v>22.944285714285712</v>
      </c>
      <c r="O804" s="20">
        <f t="shared" si="275"/>
        <v>302.34428571428583</v>
      </c>
      <c r="P804" s="20">
        <f t="shared" si="291"/>
        <v>303.54428571428582</v>
      </c>
      <c r="Q804" s="20">
        <f t="shared" si="281"/>
        <v>302.9442857142858</v>
      </c>
      <c r="R804" s="20">
        <f t="shared" si="282"/>
        <v>302.34428571428583</v>
      </c>
      <c r="S804" s="20">
        <f t="shared" si="283"/>
        <v>302.9442857142858</v>
      </c>
      <c r="T804" s="20">
        <f t="shared" si="284"/>
        <v>302.9442857142858</v>
      </c>
      <c r="U804" s="20">
        <f t="shared" si="285"/>
        <v>302.9442857142858</v>
      </c>
      <c r="V804" s="22">
        <v>7.1710000000000003</v>
      </c>
      <c r="W804" s="22">
        <v>2.0280999999999998</v>
      </c>
      <c r="X804" s="23">
        <v>1.1476266666666668</v>
      </c>
      <c r="Y804" s="23">
        <f t="shared" si="292"/>
        <v>6.0233733333333337</v>
      </c>
      <c r="Z804" s="23">
        <f t="shared" si="293"/>
        <v>0.880473333333333</v>
      </c>
      <c r="AA804" s="22">
        <f t="shared" si="294"/>
        <v>85.382388163443309</v>
      </c>
      <c r="AB804" s="22">
        <f t="shared" si="295"/>
        <v>14.617611836556691</v>
      </c>
      <c r="AC804" s="22">
        <f t="shared" si="286"/>
        <v>1.2087408709565648</v>
      </c>
      <c r="AD804" s="22">
        <f t="shared" si="287"/>
        <v>0.17668904862624532</v>
      </c>
      <c r="AE804" s="27">
        <v>17.456499999999998</v>
      </c>
      <c r="AF804" s="27">
        <v>17.5593</v>
      </c>
      <c r="AG804" s="27">
        <v>17.4893</v>
      </c>
      <c r="AH804" s="26">
        <v>3.2800000000000003E-2</v>
      </c>
      <c r="AI804" s="26">
        <v>68.093385209999994</v>
      </c>
      <c r="AJ804" s="26">
        <f t="shared" si="288"/>
        <v>3.4046692605</v>
      </c>
      <c r="AK804" s="26">
        <f t="shared" si="289"/>
        <v>39.360338271676298</v>
      </c>
      <c r="AL804" s="26">
        <f t="shared" si="290"/>
        <v>3.4058585956251348</v>
      </c>
      <c r="AM804" s="17">
        <f t="shared" si="296"/>
        <v>0.5780346820809249</v>
      </c>
      <c r="AN804" s="17"/>
      <c r="AO804" s="27"/>
      <c r="AS804" s="49"/>
      <c r="AT804" s="25"/>
      <c r="AU804" s="17"/>
      <c r="AV804" s="17"/>
      <c r="AW804" s="17"/>
      <c r="AX804" s="27"/>
      <c r="BB804" s="17"/>
    </row>
    <row r="805" spans="1:54" x14ac:dyDescent="0.2">
      <c r="A805" s="17" t="s">
        <v>77</v>
      </c>
      <c r="B805" s="17" t="s">
        <v>78</v>
      </c>
      <c r="C805" s="17" t="str">
        <f t="shared" si="276"/>
        <v>HER42PB1H</v>
      </c>
      <c r="D805" s="17" t="str">
        <f t="shared" si="277"/>
        <v>HER42PB1H_274</v>
      </c>
      <c r="E805" s="27" t="s">
        <v>86</v>
      </c>
      <c r="F805" s="17">
        <v>274</v>
      </c>
      <c r="G805" s="20">
        <v>2.2000000000000002</v>
      </c>
      <c r="H805" s="20">
        <v>2</v>
      </c>
      <c r="I805" s="20">
        <v>1.2</v>
      </c>
      <c r="J805" s="22">
        <f t="shared" si="274"/>
        <v>4.1542200000000005</v>
      </c>
      <c r="K805" s="53">
        <v>0.16142857142857159</v>
      </c>
      <c r="L805" s="45">
        <f t="shared" si="278"/>
        <v>23.705714285714286</v>
      </c>
      <c r="M805" s="45">
        <f t="shared" si="279"/>
        <v>24.905714285714286</v>
      </c>
      <c r="N805" s="46">
        <f t="shared" si="280"/>
        <v>24.305714285714288</v>
      </c>
      <c r="O805" s="20">
        <f t="shared" si="275"/>
        <v>303.70571428571441</v>
      </c>
      <c r="P805" s="20">
        <f t="shared" si="291"/>
        <v>304.9057142857144</v>
      </c>
      <c r="Q805" s="20">
        <f t="shared" si="281"/>
        <v>304.30571428571443</v>
      </c>
      <c r="R805" s="20">
        <f t="shared" si="282"/>
        <v>303.70571428571441</v>
      </c>
      <c r="S805" s="20">
        <f t="shared" si="283"/>
        <v>304.30571428571443</v>
      </c>
      <c r="T805" s="20">
        <f t="shared" si="284"/>
        <v>304.30571428571443</v>
      </c>
      <c r="U805" s="20">
        <f t="shared" si="285"/>
        <v>304.30571428571443</v>
      </c>
      <c r="V805" s="22">
        <v>6.6676000000000002</v>
      </c>
      <c r="W805" s="22">
        <v>2.0251000000000001</v>
      </c>
      <c r="X805" s="23">
        <v>1.1476266666666668</v>
      </c>
      <c r="Y805" s="23">
        <f t="shared" si="292"/>
        <v>5.5199733333333336</v>
      </c>
      <c r="Z805" s="23">
        <f t="shared" si="293"/>
        <v>0.87747333333333333</v>
      </c>
      <c r="AA805" s="22">
        <f t="shared" si="294"/>
        <v>84.103667167474242</v>
      </c>
      <c r="AB805" s="22">
        <f t="shared" si="295"/>
        <v>15.896332832525758</v>
      </c>
      <c r="AC805" s="22">
        <f t="shared" si="286"/>
        <v>1.3287628804765594</v>
      </c>
      <c r="AD805" s="22">
        <f t="shared" si="287"/>
        <v>0.21122457003561035</v>
      </c>
      <c r="AE805" s="27">
        <v>13.1953</v>
      </c>
      <c r="AF805" s="27">
        <v>13.3605</v>
      </c>
      <c r="AG805" s="27">
        <v>13.296200000000001</v>
      </c>
      <c r="AH805" s="26">
        <v>0.1009</v>
      </c>
      <c r="AI805" s="26">
        <v>38.922518160000003</v>
      </c>
      <c r="AJ805" s="26">
        <f t="shared" si="288"/>
        <v>1.9461259080000002</v>
      </c>
      <c r="AK805" s="26">
        <f t="shared" si="289"/>
        <v>22.498565410404627</v>
      </c>
      <c r="AL805" s="26">
        <f t="shared" si="290"/>
        <v>1.9482058540587608</v>
      </c>
      <c r="AM805" s="17">
        <f t="shared" si="296"/>
        <v>0.5780346820809249</v>
      </c>
      <c r="AN805" s="17"/>
      <c r="AO805" s="27"/>
      <c r="AS805" s="49"/>
      <c r="AT805" s="25"/>
      <c r="AU805" s="17"/>
      <c r="AV805" s="17"/>
      <c r="AW805" s="17"/>
      <c r="AX805" s="27"/>
      <c r="BB805" s="17"/>
    </row>
    <row r="806" spans="1:54" x14ac:dyDescent="0.2">
      <c r="A806" s="17" t="s">
        <v>77</v>
      </c>
      <c r="B806" s="17" t="s">
        <v>78</v>
      </c>
      <c r="C806" s="17" t="str">
        <f t="shared" si="276"/>
        <v>HER42PB1H</v>
      </c>
      <c r="D806" s="17" t="str">
        <f t="shared" si="277"/>
        <v>HER42PB1H_275</v>
      </c>
      <c r="E806" s="27" t="s">
        <v>86</v>
      </c>
      <c r="F806" s="17">
        <v>275</v>
      </c>
      <c r="G806" s="20">
        <v>2.25</v>
      </c>
      <c r="H806" s="20">
        <v>2.1</v>
      </c>
      <c r="I806" s="20">
        <v>1.25</v>
      </c>
      <c r="J806" s="22">
        <f t="shared" si="274"/>
        <v>4.6419257812499986</v>
      </c>
      <c r="K806" s="53">
        <v>0.16142857142857159</v>
      </c>
      <c r="L806" s="45">
        <f t="shared" si="278"/>
        <v>25.067142857142859</v>
      </c>
      <c r="M806" s="45">
        <f t="shared" si="279"/>
        <v>26.317142857142859</v>
      </c>
      <c r="N806" s="46">
        <f t="shared" si="280"/>
        <v>25.692142857142859</v>
      </c>
      <c r="O806" s="20">
        <f t="shared" si="275"/>
        <v>305.06714285714298</v>
      </c>
      <c r="P806" s="20">
        <f t="shared" si="291"/>
        <v>306.31714285714298</v>
      </c>
      <c r="Q806" s="20">
        <f t="shared" si="281"/>
        <v>305.69214285714298</v>
      </c>
      <c r="R806" s="20">
        <f t="shared" si="282"/>
        <v>305.06714285714298</v>
      </c>
      <c r="S806" s="20">
        <f t="shared" si="283"/>
        <v>305.69214285714298</v>
      </c>
      <c r="T806" s="20">
        <f t="shared" si="284"/>
        <v>305.69214285714298</v>
      </c>
      <c r="U806" s="20">
        <f t="shared" si="285"/>
        <v>305.69214285714298</v>
      </c>
      <c r="V806" s="22">
        <v>7.1094999999999997</v>
      </c>
      <c r="W806" s="22">
        <v>2.0164</v>
      </c>
      <c r="X806" s="23">
        <v>1.1476266666666668</v>
      </c>
      <c r="Y806" s="23">
        <f t="shared" si="292"/>
        <v>5.9618733333333331</v>
      </c>
      <c r="Z806" s="23">
        <f t="shared" si="293"/>
        <v>0.86877333333333318</v>
      </c>
      <c r="AA806" s="22">
        <f t="shared" si="294"/>
        <v>85.427846504622153</v>
      </c>
      <c r="AB806" s="22">
        <f t="shared" si="295"/>
        <v>14.572153495377847</v>
      </c>
      <c r="AC806" s="22">
        <f t="shared" si="286"/>
        <v>1.2843534374062942</v>
      </c>
      <c r="AD806" s="22">
        <f t="shared" si="287"/>
        <v>0.18715795432200685</v>
      </c>
      <c r="AE806" s="27">
        <v>16.088000000000001</v>
      </c>
      <c r="AF806" s="27">
        <v>16.146699999999999</v>
      </c>
      <c r="AG806" s="27">
        <v>16.104099999999999</v>
      </c>
      <c r="AH806" s="26">
        <v>1.61E-2</v>
      </c>
      <c r="AI806" s="26">
        <v>72.57240204</v>
      </c>
      <c r="AJ806" s="26">
        <f t="shared" si="288"/>
        <v>3.6286201020000002</v>
      </c>
      <c r="AK806" s="26">
        <f t="shared" si="289"/>
        <v>41.949365341040469</v>
      </c>
      <c r="AL806" s="26">
        <f t="shared" si="290"/>
        <v>3.6297360571587696</v>
      </c>
      <c r="AM806" s="17">
        <f t="shared" si="296"/>
        <v>0.5780346820809249</v>
      </c>
      <c r="AN806" s="17"/>
      <c r="AO806" s="27"/>
      <c r="AS806" s="49"/>
      <c r="AT806" s="25"/>
      <c r="AU806" s="17"/>
      <c r="AV806" s="17"/>
      <c r="AW806" s="17"/>
      <c r="AX806" s="27"/>
      <c r="BB806" s="17"/>
    </row>
    <row r="807" spans="1:54" x14ac:dyDescent="0.2">
      <c r="A807" s="17" t="s">
        <v>77</v>
      </c>
      <c r="B807" s="17" t="s">
        <v>78</v>
      </c>
      <c r="C807" s="17" t="str">
        <f t="shared" si="276"/>
        <v>HER42PB1H</v>
      </c>
      <c r="D807" s="17" t="str">
        <f t="shared" si="277"/>
        <v>HER42PB1H_276</v>
      </c>
      <c r="E807" s="27" t="s">
        <v>86</v>
      </c>
      <c r="F807" s="17">
        <v>276</v>
      </c>
      <c r="G807" s="20">
        <v>2.2999999999999998</v>
      </c>
      <c r="H807" s="20">
        <v>2.25</v>
      </c>
      <c r="I807" s="20">
        <v>1.2</v>
      </c>
      <c r="J807" s="22">
        <f t="shared" si="274"/>
        <v>4.8754387499999998</v>
      </c>
      <c r="K807" s="53">
        <v>0.16142857142857159</v>
      </c>
      <c r="L807" s="45">
        <f t="shared" si="278"/>
        <v>26.478571428571431</v>
      </c>
      <c r="M807" s="45">
        <f t="shared" si="279"/>
        <v>27.678571428571431</v>
      </c>
      <c r="N807" s="46">
        <f t="shared" si="280"/>
        <v>27.078571428571429</v>
      </c>
      <c r="O807" s="20">
        <f t="shared" si="275"/>
        <v>306.47857142857157</v>
      </c>
      <c r="P807" s="20">
        <f t="shared" si="291"/>
        <v>307.67857142857156</v>
      </c>
      <c r="Q807" s="20">
        <f t="shared" si="281"/>
        <v>307.07857142857154</v>
      </c>
      <c r="R807" s="20">
        <f t="shared" si="282"/>
        <v>306.47857142857157</v>
      </c>
      <c r="S807" s="20">
        <f t="shared" si="283"/>
        <v>307.07857142857154</v>
      </c>
      <c r="T807" s="20">
        <f t="shared" si="284"/>
        <v>307.07857142857154</v>
      </c>
      <c r="U807" s="20">
        <f t="shared" si="285"/>
        <v>307.07857142857154</v>
      </c>
      <c r="V807" s="22">
        <v>7.6332000000000004</v>
      </c>
      <c r="W807" s="22">
        <v>2.1217000000000001</v>
      </c>
      <c r="X807" s="23">
        <v>1.1476266666666668</v>
      </c>
      <c r="Y807" s="23">
        <f t="shared" si="292"/>
        <v>6.4855733333333339</v>
      </c>
      <c r="Z807" s="23">
        <f t="shared" si="293"/>
        <v>0.97407333333333335</v>
      </c>
      <c r="AA807" s="22">
        <f t="shared" si="294"/>
        <v>84.98092175865203</v>
      </c>
      <c r="AB807" s="22">
        <f t="shared" si="295"/>
        <v>15.01907824134797</v>
      </c>
      <c r="AC807" s="22">
        <f t="shared" si="286"/>
        <v>1.3302542942075386</v>
      </c>
      <c r="AD807" s="22">
        <f t="shared" si="287"/>
        <v>0.19979193325592151</v>
      </c>
      <c r="AE807" s="27">
        <v>16.717600000000001</v>
      </c>
      <c r="AF807" s="27">
        <v>16.7989</v>
      </c>
      <c r="AG807" s="27">
        <v>16.7331</v>
      </c>
      <c r="AH807" s="26">
        <v>1.55E-2</v>
      </c>
      <c r="AI807" s="26">
        <v>80.934809349999995</v>
      </c>
      <c r="AJ807" s="26">
        <f t="shared" si="288"/>
        <v>4.0467404675000003</v>
      </c>
      <c r="AK807" s="26">
        <f t="shared" si="289"/>
        <v>46.783126791907513</v>
      </c>
      <c r="AL807" s="26">
        <f t="shared" si="290"/>
        <v>4.0477411492463444</v>
      </c>
      <c r="AM807" s="17">
        <f t="shared" si="296"/>
        <v>0.5780346820809249</v>
      </c>
      <c r="AN807" s="17"/>
      <c r="AO807" s="27"/>
      <c r="AS807" s="49"/>
      <c r="AT807" s="25"/>
      <c r="AU807" s="17"/>
      <c r="AV807" s="17"/>
      <c r="AW807" s="17"/>
      <c r="AX807" s="27"/>
      <c r="BB807" s="17"/>
    </row>
    <row r="808" spans="1:54" x14ac:dyDescent="0.2">
      <c r="A808" s="17" t="s">
        <v>77</v>
      </c>
      <c r="B808" s="17" t="s">
        <v>78</v>
      </c>
      <c r="C808" s="17" t="str">
        <f t="shared" si="276"/>
        <v>HER42PB1H</v>
      </c>
      <c r="D808" s="17" t="str">
        <f t="shared" si="277"/>
        <v>HER42PB1H_277</v>
      </c>
      <c r="E808" s="27" t="s">
        <v>86</v>
      </c>
      <c r="F808" s="17">
        <v>277</v>
      </c>
      <c r="G808" s="20">
        <v>2.25</v>
      </c>
      <c r="H808" s="20">
        <v>2.0499999999999998</v>
      </c>
      <c r="I808" s="20">
        <v>1.3</v>
      </c>
      <c r="J808" s="22">
        <f t="shared" si="274"/>
        <v>4.71726125</v>
      </c>
      <c r="K808" s="53">
        <v>0.16142857142857159</v>
      </c>
      <c r="L808" s="45">
        <f t="shared" si="278"/>
        <v>27.840000000000003</v>
      </c>
      <c r="M808" s="45">
        <f t="shared" si="279"/>
        <v>29.140000000000004</v>
      </c>
      <c r="N808" s="46">
        <f t="shared" si="280"/>
        <v>28.490000000000002</v>
      </c>
      <c r="O808" s="20">
        <f t="shared" si="275"/>
        <v>307.84000000000015</v>
      </c>
      <c r="P808" s="20">
        <f t="shared" si="291"/>
        <v>309.14000000000016</v>
      </c>
      <c r="Q808" s="20">
        <f t="shared" si="281"/>
        <v>308.49000000000012</v>
      </c>
      <c r="R808" s="20">
        <f t="shared" si="282"/>
        <v>307.84000000000015</v>
      </c>
      <c r="S808" s="20">
        <f t="shared" si="283"/>
        <v>308.49000000000012</v>
      </c>
      <c r="T808" s="20">
        <f t="shared" si="284"/>
        <v>308.49000000000012</v>
      </c>
      <c r="U808" s="20">
        <f t="shared" si="285"/>
        <v>308.49000000000012</v>
      </c>
      <c r="V808" s="22">
        <v>7.1970999999999998</v>
      </c>
      <c r="W808" s="22">
        <v>2.1436999999999999</v>
      </c>
      <c r="X808" s="23">
        <v>1.1476266666666668</v>
      </c>
      <c r="Y808" s="23">
        <f t="shared" si="292"/>
        <v>6.0494733333333333</v>
      </c>
      <c r="Z808" s="23">
        <f t="shared" si="293"/>
        <v>0.99607333333333314</v>
      </c>
      <c r="AA808" s="22">
        <f t="shared" si="294"/>
        <v>83.534544604984902</v>
      </c>
      <c r="AB808" s="22">
        <f t="shared" si="295"/>
        <v>16.465455395015098</v>
      </c>
      <c r="AC808" s="22">
        <f t="shared" si="286"/>
        <v>1.2824121906187267</v>
      </c>
      <c r="AD808" s="22">
        <f t="shared" si="287"/>
        <v>0.21115500722656247</v>
      </c>
      <c r="AE808" s="27">
        <v>16.917899999999999</v>
      </c>
      <c r="AF808" s="27">
        <v>17.0684</v>
      </c>
      <c r="AG808" s="27">
        <v>16.9788</v>
      </c>
      <c r="AH808" s="26">
        <v>6.0900000000000003E-2</v>
      </c>
      <c r="AI808" s="26">
        <v>59.534883720000003</v>
      </c>
      <c r="AJ808" s="26">
        <f t="shared" si="288"/>
        <v>2.9767441860000003</v>
      </c>
      <c r="AK808" s="26">
        <f t="shared" si="289"/>
        <v>34.413227583815036</v>
      </c>
      <c r="AL808" s="26">
        <f t="shared" si="290"/>
        <v>2.9781044220921475</v>
      </c>
      <c r="AM808" s="17">
        <f t="shared" si="296"/>
        <v>0.5780346820809249</v>
      </c>
      <c r="AN808" s="17"/>
      <c r="AO808" s="27"/>
      <c r="AS808" s="49"/>
      <c r="AT808" s="25"/>
      <c r="AU808" s="17"/>
      <c r="AV808" s="17"/>
      <c r="AW808" s="17"/>
      <c r="AX808" s="27"/>
      <c r="BB808" s="17"/>
    </row>
    <row r="809" spans="1:54" x14ac:dyDescent="0.2">
      <c r="A809" s="17" t="s">
        <v>77</v>
      </c>
      <c r="B809" s="17" t="s">
        <v>78</v>
      </c>
      <c r="C809" s="17" t="str">
        <f t="shared" si="276"/>
        <v>HER42PB1H</v>
      </c>
      <c r="D809" s="17" t="str">
        <f t="shared" si="277"/>
        <v>HER42PB1H_278</v>
      </c>
      <c r="E809" s="27" t="s">
        <v>86</v>
      </c>
      <c r="F809" s="17">
        <v>278</v>
      </c>
      <c r="G809" s="20">
        <v>2.2999999999999998</v>
      </c>
      <c r="H809" s="20">
        <v>2.25</v>
      </c>
      <c r="I809" s="20">
        <v>1.25</v>
      </c>
      <c r="J809" s="22">
        <f t="shared" si="274"/>
        <v>5.0785820312499999</v>
      </c>
      <c r="K809" s="53">
        <v>0.16142857142857159</v>
      </c>
      <c r="L809" s="45">
        <f t="shared" si="278"/>
        <v>29.301428571428577</v>
      </c>
      <c r="M809" s="45">
        <f t="shared" si="279"/>
        <v>30.551428571428577</v>
      </c>
      <c r="N809" s="46">
        <f t="shared" si="280"/>
        <v>29.926428571428577</v>
      </c>
      <c r="O809" s="20">
        <f t="shared" si="275"/>
        <v>309.30142857142874</v>
      </c>
      <c r="P809" s="20">
        <f t="shared" si="291"/>
        <v>310.55142857142874</v>
      </c>
      <c r="Q809" s="20">
        <f t="shared" si="281"/>
        <v>309.92642857142874</v>
      </c>
      <c r="R809" s="20">
        <f t="shared" si="282"/>
        <v>309.30142857142874</v>
      </c>
      <c r="S809" s="20">
        <f t="shared" si="283"/>
        <v>309.92642857142874</v>
      </c>
      <c r="T809" s="20">
        <f t="shared" si="284"/>
        <v>309.92642857142874</v>
      </c>
      <c r="U809" s="20">
        <f t="shared" si="285"/>
        <v>309.92642857142874</v>
      </c>
      <c r="V809" s="22">
        <v>8.5076999999999998</v>
      </c>
      <c r="W809" s="22">
        <v>2.5821000000000001</v>
      </c>
      <c r="X809" s="23">
        <v>1.1476266666666668</v>
      </c>
      <c r="Y809" s="23">
        <f t="shared" si="292"/>
        <v>7.3600733333333332</v>
      </c>
      <c r="Z809" s="23">
        <f t="shared" si="293"/>
        <v>1.4344733333333333</v>
      </c>
      <c r="AA809" s="22">
        <f t="shared" si="294"/>
        <v>80.510067381574999</v>
      </c>
      <c r="AB809" s="22">
        <f t="shared" si="295"/>
        <v>19.489932618425001</v>
      </c>
      <c r="AC809" s="22">
        <f t="shared" si="286"/>
        <v>1.4492378557724677</v>
      </c>
      <c r="AD809" s="22">
        <f t="shared" si="287"/>
        <v>0.28245548157076117</v>
      </c>
      <c r="AE809" s="27">
        <v>14.0374</v>
      </c>
      <c r="AF809" s="27">
        <v>14.159700000000001</v>
      </c>
      <c r="AG809" s="27">
        <v>14.0899</v>
      </c>
      <c r="AH809" s="26">
        <v>5.2499999999999998E-2</v>
      </c>
      <c r="AI809" s="26">
        <v>57.072771869999997</v>
      </c>
      <c r="AJ809" s="26">
        <f t="shared" si="288"/>
        <v>2.8536385934999999</v>
      </c>
      <c r="AK809" s="26">
        <f t="shared" si="289"/>
        <v>32.990041543352604</v>
      </c>
      <c r="AL809" s="26">
        <f t="shared" si="290"/>
        <v>2.8550574814375733</v>
      </c>
      <c r="AM809" s="17">
        <f t="shared" si="296"/>
        <v>0.5780346820809249</v>
      </c>
      <c r="AN809" s="17"/>
      <c r="AO809" s="27"/>
      <c r="AS809" s="49"/>
      <c r="AT809" s="25"/>
      <c r="AU809" s="17"/>
      <c r="AV809" s="17"/>
      <c r="AW809" s="17"/>
      <c r="AX809" s="27"/>
      <c r="BB809" s="17"/>
    </row>
    <row r="810" spans="1:54" x14ac:dyDescent="0.2">
      <c r="A810" s="17" t="s">
        <v>77</v>
      </c>
      <c r="B810" s="17" t="s">
        <v>78</v>
      </c>
      <c r="C810" s="17" t="str">
        <f t="shared" si="276"/>
        <v>HER42PB1H</v>
      </c>
      <c r="D810" s="17" t="str">
        <f t="shared" si="277"/>
        <v>HER42PB1H_279</v>
      </c>
      <c r="E810" s="27" t="s">
        <v>86</v>
      </c>
      <c r="F810" s="17">
        <v>279</v>
      </c>
      <c r="G810" s="20">
        <v>2.25</v>
      </c>
      <c r="H810" s="20">
        <v>2.25</v>
      </c>
      <c r="I810" s="20">
        <v>1.25</v>
      </c>
      <c r="J810" s="22">
        <f t="shared" si="274"/>
        <v>4.9675781250000002</v>
      </c>
      <c r="K810" s="53">
        <v>0.16142857142857159</v>
      </c>
      <c r="L810" s="45">
        <f t="shared" si="278"/>
        <v>30.71285714285715</v>
      </c>
      <c r="M810" s="45">
        <f t="shared" si="279"/>
        <v>31.96285714285715</v>
      </c>
      <c r="N810" s="46">
        <f t="shared" si="280"/>
        <v>31.33785714285715</v>
      </c>
      <c r="O810" s="20">
        <f t="shared" si="275"/>
        <v>310.71285714285733</v>
      </c>
      <c r="P810" s="20">
        <f t="shared" si="291"/>
        <v>311.96285714285733</v>
      </c>
      <c r="Q810" s="20">
        <f t="shared" si="281"/>
        <v>311.33785714285733</v>
      </c>
      <c r="R810" s="20">
        <f t="shared" si="282"/>
        <v>310.71285714285733</v>
      </c>
      <c r="S810" s="20">
        <f t="shared" si="283"/>
        <v>311.33785714285733</v>
      </c>
      <c r="T810" s="20">
        <f t="shared" si="284"/>
        <v>311.33785714285733</v>
      </c>
      <c r="U810" s="20">
        <f t="shared" si="285"/>
        <v>311.33785714285733</v>
      </c>
      <c r="V810" s="22">
        <v>7.7497999999999996</v>
      </c>
      <c r="W810" s="22">
        <v>2.4022999999999999</v>
      </c>
      <c r="X810" s="23">
        <v>1.1476266666666668</v>
      </c>
      <c r="Y810" s="23">
        <f t="shared" si="292"/>
        <v>6.602173333333333</v>
      </c>
      <c r="Z810" s="23">
        <f t="shared" si="293"/>
        <v>1.2546733333333331</v>
      </c>
      <c r="AA810" s="22">
        <f t="shared" si="294"/>
        <v>80.996055844237162</v>
      </c>
      <c r="AB810" s="22">
        <f t="shared" si="295"/>
        <v>19.003944155762838</v>
      </c>
      <c r="AC810" s="22">
        <f t="shared" si="286"/>
        <v>1.3290527430473642</v>
      </c>
      <c r="AD810" s="22">
        <f t="shared" si="287"/>
        <v>0.25257244108935539</v>
      </c>
      <c r="AE810" s="27">
        <v>13.074400000000001</v>
      </c>
      <c r="AF810" s="27">
        <v>13.272399999999999</v>
      </c>
      <c r="AG810" s="27">
        <v>13.1707</v>
      </c>
      <c r="AH810" s="26">
        <v>9.6299999999999997E-2</v>
      </c>
      <c r="AI810" s="26">
        <v>51.363636360000001</v>
      </c>
      <c r="AJ810" s="26">
        <f t="shared" si="288"/>
        <v>2.5681818180000002</v>
      </c>
      <c r="AK810" s="26">
        <f t="shared" si="289"/>
        <v>29.689963213872836</v>
      </c>
      <c r="AL810" s="26">
        <f t="shared" si="290"/>
        <v>2.5697583252722009</v>
      </c>
      <c r="AM810" s="17">
        <f t="shared" si="296"/>
        <v>0.5780346820809249</v>
      </c>
      <c r="AN810" s="17"/>
      <c r="AO810" s="27"/>
      <c r="AS810" s="49"/>
      <c r="AT810" s="25"/>
      <c r="AU810" s="17"/>
      <c r="AV810" s="17"/>
      <c r="AW810" s="17"/>
      <c r="AX810" s="27"/>
      <c r="BB810" s="17"/>
    </row>
    <row r="811" spans="1:54" x14ac:dyDescent="0.2">
      <c r="A811" s="17" t="s">
        <v>77</v>
      </c>
      <c r="B811" s="17" t="s">
        <v>78</v>
      </c>
      <c r="C811" s="17" t="str">
        <f t="shared" si="276"/>
        <v>HER42PB1H</v>
      </c>
      <c r="D811" s="17" t="str">
        <f t="shared" si="277"/>
        <v>HER42PB1H_280</v>
      </c>
      <c r="E811" s="27" t="s">
        <v>86</v>
      </c>
      <c r="F811" s="17">
        <v>280</v>
      </c>
      <c r="G811" s="20">
        <v>2</v>
      </c>
      <c r="H811" s="20">
        <v>2</v>
      </c>
      <c r="I811" s="20">
        <v>1.25</v>
      </c>
      <c r="J811" s="22">
        <f t="shared" si="274"/>
        <v>3.9250000000000003</v>
      </c>
      <c r="K811" s="53">
        <v>0.16142857142857159</v>
      </c>
      <c r="L811" s="45">
        <f t="shared" si="278"/>
        <v>32.124285714285719</v>
      </c>
      <c r="M811" s="45">
        <f t="shared" si="279"/>
        <v>33.374285714285719</v>
      </c>
      <c r="N811" s="46">
        <f t="shared" si="280"/>
        <v>32.749285714285719</v>
      </c>
      <c r="O811" s="20">
        <f t="shared" si="275"/>
        <v>312.12428571428592</v>
      </c>
      <c r="P811" s="20">
        <f t="shared" si="291"/>
        <v>313.37428571428592</v>
      </c>
      <c r="Q811" s="20">
        <f t="shared" si="281"/>
        <v>312.74928571428592</v>
      </c>
      <c r="R811" s="20">
        <f t="shared" si="282"/>
        <v>312.12428571428592</v>
      </c>
      <c r="S811" s="20">
        <f t="shared" si="283"/>
        <v>312.74928571428592</v>
      </c>
      <c r="T811" s="20">
        <f t="shared" si="284"/>
        <v>312.74928571428592</v>
      </c>
      <c r="U811" s="20">
        <f t="shared" si="285"/>
        <v>312.74928571428592</v>
      </c>
      <c r="V811" s="22">
        <v>6.3615000000000004</v>
      </c>
      <c r="W811" s="22">
        <v>2.0819000000000001</v>
      </c>
      <c r="X811" s="23">
        <v>1.1476266666666668</v>
      </c>
      <c r="Y811" s="23">
        <f t="shared" si="292"/>
        <v>5.2138733333333338</v>
      </c>
      <c r="Z811" s="23">
        <f t="shared" si="293"/>
        <v>0.93427333333333329</v>
      </c>
      <c r="AA811" s="22">
        <f t="shared" si="294"/>
        <v>82.081012069082362</v>
      </c>
      <c r="AB811" s="22">
        <f t="shared" si="295"/>
        <v>17.918987930917638</v>
      </c>
      <c r="AC811" s="22">
        <f t="shared" si="286"/>
        <v>1.3283753715498938</v>
      </c>
      <c r="AD811" s="22">
        <f t="shared" si="287"/>
        <v>0.23803142250530782</v>
      </c>
      <c r="AE811" s="27">
        <v>13.900499999999999</v>
      </c>
      <c r="AF811" s="27">
        <v>14.052</v>
      </c>
      <c r="AG811" s="27">
        <v>13.965199999999999</v>
      </c>
      <c r="AH811" s="26">
        <v>6.4699999999999994E-2</v>
      </c>
      <c r="AI811" s="26">
        <v>57.293729370000001</v>
      </c>
      <c r="AJ811" s="26">
        <f t="shared" si="288"/>
        <v>2.8646864685000004</v>
      </c>
      <c r="AK811" s="26">
        <f t="shared" si="289"/>
        <v>33.117762641618498</v>
      </c>
      <c r="AL811" s="26">
        <f t="shared" si="290"/>
        <v>2.8660998870951802</v>
      </c>
      <c r="AM811" s="17">
        <f t="shared" si="296"/>
        <v>0.5780346820809249</v>
      </c>
      <c r="AN811" s="17"/>
      <c r="AO811" s="27"/>
      <c r="AS811" s="49"/>
      <c r="AT811" s="25"/>
      <c r="AU811" s="17"/>
      <c r="AV811" s="17"/>
      <c r="AW811" s="17"/>
      <c r="AX811" s="27"/>
      <c r="BB811" s="17"/>
    </row>
    <row r="812" spans="1:54" x14ac:dyDescent="0.2">
      <c r="A812" s="17" t="s">
        <v>77</v>
      </c>
      <c r="B812" s="17" t="s">
        <v>78</v>
      </c>
      <c r="C812" s="17" t="str">
        <f t="shared" si="276"/>
        <v>HER42PB1H</v>
      </c>
      <c r="D812" s="17" t="str">
        <f t="shared" si="277"/>
        <v>HER42PB1H_281</v>
      </c>
      <c r="E812" s="27" t="s">
        <v>86</v>
      </c>
      <c r="F812" s="17">
        <v>281</v>
      </c>
      <c r="G812" s="20">
        <v>1.9</v>
      </c>
      <c r="H812" s="20">
        <v>2.15</v>
      </c>
      <c r="I812" s="20">
        <v>1.25</v>
      </c>
      <c r="J812" s="22">
        <f t="shared" si="274"/>
        <v>4.02373828125</v>
      </c>
      <c r="K812" s="53">
        <v>0.16142857142857159</v>
      </c>
      <c r="L812" s="45">
        <f t="shared" si="278"/>
        <v>33.535714285714292</v>
      </c>
      <c r="M812" s="45">
        <f t="shared" si="279"/>
        <v>34.785714285714292</v>
      </c>
      <c r="N812" s="46">
        <f t="shared" si="280"/>
        <v>34.160714285714292</v>
      </c>
      <c r="O812" s="20">
        <f t="shared" si="275"/>
        <v>313.5357142857145</v>
      </c>
      <c r="P812" s="20">
        <f t="shared" si="291"/>
        <v>314.7857142857145</v>
      </c>
      <c r="Q812" s="20">
        <f t="shared" si="281"/>
        <v>314.1607142857145</v>
      </c>
      <c r="R812" s="20">
        <f t="shared" si="282"/>
        <v>313.5357142857145</v>
      </c>
      <c r="S812" s="20">
        <f t="shared" si="283"/>
        <v>314.1607142857145</v>
      </c>
      <c r="T812" s="20">
        <f t="shared" si="284"/>
        <v>314.1607142857145</v>
      </c>
      <c r="U812" s="20">
        <f t="shared" si="285"/>
        <v>314.1607142857145</v>
      </c>
      <c r="V812" s="22">
        <v>7.1140999999999996</v>
      </c>
      <c r="W812" s="22">
        <v>2.4127000000000001</v>
      </c>
      <c r="X812" s="23">
        <v>1.1476266666666668</v>
      </c>
      <c r="Y812" s="23">
        <f t="shared" si="292"/>
        <v>5.9664733333333331</v>
      </c>
      <c r="Z812" s="23">
        <f t="shared" si="293"/>
        <v>1.2650733333333333</v>
      </c>
      <c r="AA812" s="22">
        <f t="shared" si="294"/>
        <v>78.796966605621861</v>
      </c>
      <c r="AB812" s="22">
        <f t="shared" si="295"/>
        <v>21.203033394378139</v>
      </c>
      <c r="AC812" s="22">
        <f t="shared" si="286"/>
        <v>1.4828184430225442</v>
      </c>
      <c r="AD812" s="22">
        <f t="shared" si="287"/>
        <v>0.31440248965206807</v>
      </c>
      <c r="AE812" s="27">
        <v>13.646000000000001</v>
      </c>
      <c r="AF812" s="27">
        <v>13.8231</v>
      </c>
      <c r="AG812" s="27">
        <v>13.7491</v>
      </c>
      <c r="AH812" s="26">
        <v>0.1031</v>
      </c>
      <c r="AI812" s="26">
        <v>41.784302650000001</v>
      </c>
      <c r="AJ812" s="26">
        <f t="shared" si="288"/>
        <v>2.0892151325000001</v>
      </c>
      <c r="AK812" s="26">
        <f t="shared" si="289"/>
        <v>24.1527760982659</v>
      </c>
      <c r="AL812" s="26">
        <f t="shared" si="290"/>
        <v>2.0911527610069509</v>
      </c>
      <c r="AM812" s="17">
        <f t="shared" si="296"/>
        <v>0.5780346820809249</v>
      </c>
      <c r="AN812" s="17"/>
      <c r="AO812" s="27"/>
      <c r="AS812" s="49"/>
      <c r="AT812" s="25"/>
      <c r="AU812" s="17"/>
      <c r="AV812" s="17"/>
      <c r="AW812" s="17"/>
      <c r="AX812" s="27"/>
      <c r="BB812" s="17"/>
    </row>
    <row r="813" spans="1:54" x14ac:dyDescent="0.2">
      <c r="A813" s="17" t="s">
        <v>77</v>
      </c>
      <c r="B813" s="17" t="s">
        <v>78</v>
      </c>
      <c r="C813" s="17" t="str">
        <f t="shared" si="276"/>
        <v>HER42PB1H</v>
      </c>
      <c r="D813" s="17" t="str">
        <f t="shared" si="277"/>
        <v>HER42PB1H_282</v>
      </c>
      <c r="E813" s="27" t="s">
        <v>86</v>
      </c>
      <c r="F813" s="17">
        <v>282</v>
      </c>
      <c r="G813" s="20">
        <v>2.2000000000000002</v>
      </c>
      <c r="H813" s="20">
        <v>2.1</v>
      </c>
      <c r="I813" s="20">
        <v>1.25</v>
      </c>
      <c r="J813" s="22">
        <f t="shared" si="274"/>
        <v>4.5358281250000019</v>
      </c>
      <c r="K813" s="53">
        <v>0.16142857142857159</v>
      </c>
      <c r="L813" s="45">
        <f t="shared" si="278"/>
        <v>34.947142857142865</v>
      </c>
      <c r="M813" s="45">
        <f t="shared" si="279"/>
        <v>36.197142857142865</v>
      </c>
      <c r="N813" s="46">
        <f t="shared" si="280"/>
        <v>35.572142857142865</v>
      </c>
      <c r="O813" s="20">
        <f t="shared" si="275"/>
        <v>314.94714285714309</v>
      </c>
      <c r="P813" s="20">
        <f t="shared" si="291"/>
        <v>316.19714285714309</v>
      </c>
      <c r="Q813" s="20">
        <f t="shared" si="281"/>
        <v>315.57214285714309</v>
      </c>
      <c r="R813" s="20">
        <f t="shared" si="282"/>
        <v>314.94714285714309</v>
      </c>
      <c r="S813" s="20">
        <f t="shared" si="283"/>
        <v>315.57214285714309</v>
      </c>
      <c r="T813" s="20">
        <f t="shared" si="284"/>
        <v>315.57214285714309</v>
      </c>
      <c r="U813" s="20">
        <f t="shared" si="285"/>
        <v>315.57214285714309</v>
      </c>
      <c r="V813" s="22">
        <v>7.1712999999999996</v>
      </c>
      <c r="W813" s="22">
        <v>2.4470999999999998</v>
      </c>
      <c r="X813" s="23">
        <v>1.1476266666666668</v>
      </c>
      <c r="Y813" s="23">
        <f t="shared" si="292"/>
        <v>6.023673333333333</v>
      </c>
      <c r="Z813" s="23">
        <f t="shared" si="293"/>
        <v>1.299473333333333</v>
      </c>
      <c r="AA813" s="22">
        <f t="shared" si="294"/>
        <v>78.427227682776063</v>
      </c>
      <c r="AB813" s="22">
        <f t="shared" si="295"/>
        <v>21.572772317223937</v>
      </c>
      <c r="AC813" s="22">
        <f t="shared" si="286"/>
        <v>1.3280206320280996</v>
      </c>
      <c r="AD813" s="22">
        <f t="shared" si="287"/>
        <v>0.28649086727318013</v>
      </c>
      <c r="AE813" s="27">
        <v>14.7746</v>
      </c>
      <c r="AF813" s="27">
        <v>14.977600000000001</v>
      </c>
      <c r="AG813" s="27">
        <v>14.871600000000001</v>
      </c>
      <c r="AH813" s="26">
        <v>9.7000000000000003E-2</v>
      </c>
      <c r="AI813" s="26">
        <v>52.216748770000002</v>
      </c>
      <c r="AJ813" s="26">
        <f t="shared" si="288"/>
        <v>2.6108374385000004</v>
      </c>
      <c r="AK813" s="26">
        <f t="shared" si="289"/>
        <v>30.183091774566478</v>
      </c>
      <c r="AL813" s="26">
        <f t="shared" si="290"/>
        <v>2.6123882043588473</v>
      </c>
      <c r="AM813" s="17">
        <f t="shared" si="296"/>
        <v>0.5780346820809249</v>
      </c>
      <c r="AN813" s="17"/>
      <c r="AO813" s="27"/>
      <c r="AS813" s="49"/>
      <c r="AT813" s="25"/>
      <c r="AU813" s="17"/>
      <c r="AV813" s="17"/>
      <c r="AW813" s="17"/>
      <c r="AX813" s="27"/>
      <c r="BB813" s="17"/>
    </row>
    <row r="814" spans="1:54" x14ac:dyDescent="0.2">
      <c r="A814" s="17" t="s">
        <v>77</v>
      </c>
      <c r="B814" s="17" t="s">
        <v>78</v>
      </c>
      <c r="C814" s="17" t="str">
        <f t="shared" si="276"/>
        <v>HER42PB1H</v>
      </c>
      <c r="D814" s="17" t="str">
        <f t="shared" si="277"/>
        <v>HER42PB1H_283</v>
      </c>
      <c r="E814" s="27" t="s">
        <v>86</v>
      </c>
      <c r="F814" s="17">
        <v>283</v>
      </c>
      <c r="G814" s="20">
        <v>1.95</v>
      </c>
      <c r="H814" s="20">
        <v>1.95</v>
      </c>
      <c r="I814" s="20">
        <v>1.25</v>
      </c>
      <c r="J814" s="22">
        <f t="shared" si="274"/>
        <v>3.731203125</v>
      </c>
      <c r="K814" s="53">
        <v>0.16142857142857159</v>
      </c>
      <c r="L814" s="45">
        <f t="shared" si="278"/>
        <v>36.358571428571437</v>
      </c>
      <c r="M814" s="45">
        <f t="shared" si="279"/>
        <v>37.608571428571437</v>
      </c>
      <c r="N814" s="46">
        <f t="shared" si="280"/>
        <v>36.983571428571437</v>
      </c>
      <c r="O814" s="20">
        <f t="shared" si="275"/>
        <v>316.35857142857168</v>
      </c>
      <c r="P814" s="20">
        <f t="shared" si="291"/>
        <v>317.60857142857168</v>
      </c>
      <c r="Q814" s="20">
        <f t="shared" si="281"/>
        <v>316.98357142857168</v>
      </c>
      <c r="R814" s="20">
        <f t="shared" si="282"/>
        <v>316.35857142857168</v>
      </c>
      <c r="S814" s="20">
        <f t="shared" si="283"/>
        <v>316.98357142857168</v>
      </c>
      <c r="T814" s="20">
        <f t="shared" si="284"/>
        <v>316.98357142857168</v>
      </c>
      <c r="U814" s="20">
        <f t="shared" si="285"/>
        <v>316.98357142857168</v>
      </c>
      <c r="V814" s="22">
        <v>6.5777999999999999</v>
      </c>
      <c r="W814" s="22">
        <v>2.1614</v>
      </c>
      <c r="X814" s="23">
        <v>1.1476266666666668</v>
      </c>
      <c r="Y814" s="23">
        <f t="shared" si="292"/>
        <v>5.4301733333333333</v>
      </c>
      <c r="Z814" s="23">
        <f t="shared" si="293"/>
        <v>1.0137733333333332</v>
      </c>
      <c r="AA814" s="22">
        <f t="shared" si="294"/>
        <v>81.330737140373671</v>
      </c>
      <c r="AB814" s="22">
        <f t="shared" si="295"/>
        <v>18.669262859626329</v>
      </c>
      <c r="AC814" s="22">
        <f t="shared" si="286"/>
        <v>1.4553411195841377</v>
      </c>
      <c r="AD814" s="22">
        <f t="shared" si="287"/>
        <v>0.27170145911939148</v>
      </c>
      <c r="AE814" s="27">
        <v>13.5047</v>
      </c>
      <c r="AF814" s="27">
        <v>13.651400000000001</v>
      </c>
      <c r="AG814" s="27">
        <v>13.622</v>
      </c>
      <c r="AH814" s="26">
        <v>0.1173</v>
      </c>
      <c r="AI814" s="26">
        <v>20.040899799999998</v>
      </c>
      <c r="AJ814" s="26">
        <f t="shared" si="288"/>
        <v>1.0020449899999999</v>
      </c>
      <c r="AK814" s="26">
        <f t="shared" si="289"/>
        <v>11.584335144508671</v>
      </c>
      <c r="AL814" s="26">
        <f t="shared" si="290"/>
        <v>1.0060786062649876</v>
      </c>
      <c r="AM814" s="17">
        <f t="shared" si="296"/>
        <v>0.5780346820809249</v>
      </c>
      <c r="AN814" s="17"/>
      <c r="AO814" s="27"/>
      <c r="AS814" s="49"/>
      <c r="AT814" s="25"/>
      <c r="AU814" s="17"/>
      <c r="AV814" s="17"/>
      <c r="AW814" s="17"/>
      <c r="AX814" s="27"/>
      <c r="BB814" s="17"/>
    </row>
    <row r="815" spans="1:54" x14ac:dyDescent="0.2">
      <c r="A815" s="17" t="s">
        <v>77</v>
      </c>
      <c r="B815" s="17" t="s">
        <v>78</v>
      </c>
      <c r="C815" s="17" t="str">
        <f t="shared" si="276"/>
        <v>HER42PB1H</v>
      </c>
      <c r="D815" s="17" t="str">
        <f t="shared" si="277"/>
        <v>HER42PB1H_284</v>
      </c>
      <c r="E815" s="27" t="s">
        <v>86</v>
      </c>
      <c r="F815" s="17">
        <v>284</v>
      </c>
      <c r="G815" s="20">
        <v>2.2000000000000002</v>
      </c>
      <c r="H815" s="20">
        <v>2</v>
      </c>
      <c r="I815" s="20">
        <v>1.2</v>
      </c>
      <c r="J815" s="22">
        <f t="shared" si="274"/>
        <v>4.1542200000000005</v>
      </c>
      <c r="K815" s="53">
        <v>0.16142857142857159</v>
      </c>
      <c r="L815" s="45">
        <f t="shared" si="278"/>
        <v>37.77000000000001</v>
      </c>
      <c r="M815" s="45">
        <f t="shared" si="279"/>
        <v>38.970000000000013</v>
      </c>
      <c r="N815" s="46">
        <f t="shared" si="280"/>
        <v>38.370000000000012</v>
      </c>
      <c r="O815" s="20">
        <f t="shared" si="275"/>
        <v>317.77000000000027</v>
      </c>
      <c r="P815" s="20">
        <f t="shared" si="291"/>
        <v>318.97000000000025</v>
      </c>
      <c r="Q815" s="20">
        <f t="shared" si="281"/>
        <v>318.37000000000023</v>
      </c>
      <c r="R815" s="20">
        <f t="shared" si="282"/>
        <v>317.77000000000027</v>
      </c>
      <c r="S815" s="20">
        <f t="shared" si="283"/>
        <v>318.37000000000023</v>
      </c>
      <c r="T815" s="20">
        <f t="shared" si="284"/>
        <v>318.37000000000023</v>
      </c>
      <c r="U815" s="20">
        <f t="shared" si="285"/>
        <v>318.37000000000023</v>
      </c>
      <c r="V815" s="22">
        <v>6.9031000000000002</v>
      </c>
      <c r="W815" s="22">
        <v>2.1589</v>
      </c>
      <c r="X815" s="23">
        <v>1.1476266666666668</v>
      </c>
      <c r="Y815" s="23">
        <f t="shared" si="292"/>
        <v>5.7554733333333337</v>
      </c>
      <c r="Z815" s="23">
        <f t="shared" si="293"/>
        <v>1.0112733333333332</v>
      </c>
      <c r="AA815" s="22">
        <f t="shared" si="294"/>
        <v>82.429362890512337</v>
      </c>
      <c r="AB815" s="22">
        <f t="shared" si="295"/>
        <v>17.570637109487663</v>
      </c>
      <c r="AC815" s="22">
        <f t="shared" si="286"/>
        <v>1.3854522228801875</v>
      </c>
      <c r="AD815" s="22">
        <f t="shared" si="287"/>
        <v>0.24343278240760796</v>
      </c>
      <c r="AE815" s="27">
        <v>10.2941</v>
      </c>
      <c r="AF815" s="27">
        <v>10.490600000000001</v>
      </c>
      <c r="AG815" s="27">
        <v>10.4171</v>
      </c>
      <c r="AH815" s="26">
        <v>0.123</v>
      </c>
      <c r="AI815" s="26">
        <v>37.404580150000001</v>
      </c>
      <c r="AJ815" s="26">
        <f t="shared" si="288"/>
        <v>1.8702290075000001</v>
      </c>
      <c r="AK815" s="26">
        <f t="shared" si="289"/>
        <v>21.621144595375725</v>
      </c>
      <c r="AL815" s="26">
        <f t="shared" si="290"/>
        <v>1.8723932654478428</v>
      </c>
      <c r="AM815" s="17">
        <f t="shared" si="296"/>
        <v>0.5780346820809249</v>
      </c>
      <c r="AN815" s="17"/>
      <c r="AO815" s="27"/>
      <c r="AS815" s="49"/>
      <c r="AT815" s="25"/>
      <c r="AU815" s="17"/>
      <c r="AV815" s="17"/>
      <c r="AW815" s="17"/>
      <c r="AX815" s="27"/>
      <c r="BB815" s="17"/>
    </row>
    <row r="816" spans="1:54" x14ac:dyDescent="0.2">
      <c r="A816" s="17" t="s">
        <v>77</v>
      </c>
      <c r="B816" s="17" t="s">
        <v>78</v>
      </c>
      <c r="C816" s="17" t="str">
        <f t="shared" si="276"/>
        <v>HER42PB1H</v>
      </c>
      <c r="D816" s="17" t="str">
        <f t="shared" si="277"/>
        <v>HER42PB1H_285</v>
      </c>
      <c r="E816" s="27" t="s">
        <v>86</v>
      </c>
      <c r="F816" s="17">
        <v>285</v>
      </c>
      <c r="G816" s="20">
        <v>2.2000000000000002</v>
      </c>
      <c r="H816" s="20">
        <v>2.25</v>
      </c>
      <c r="I816" s="20">
        <v>1.2</v>
      </c>
      <c r="J816" s="22">
        <f t="shared" si="274"/>
        <v>4.6634887500000008</v>
      </c>
      <c r="K816" s="53">
        <v>0.16142857142857159</v>
      </c>
      <c r="L816" s="45">
        <f t="shared" si="278"/>
        <v>39.131428571428586</v>
      </c>
      <c r="M816" s="45">
        <f t="shared" si="279"/>
        <v>40.331428571428589</v>
      </c>
      <c r="N816" s="46">
        <f t="shared" si="280"/>
        <v>39.731428571428587</v>
      </c>
      <c r="O816" s="20">
        <f t="shared" si="275"/>
        <v>319.13142857142884</v>
      </c>
      <c r="P816" s="20">
        <f t="shared" si="291"/>
        <v>320.33142857142883</v>
      </c>
      <c r="Q816" s="20">
        <f t="shared" si="281"/>
        <v>319.73142857142886</v>
      </c>
      <c r="R816" s="20">
        <f t="shared" si="282"/>
        <v>319.13142857142884</v>
      </c>
      <c r="S816" s="20">
        <f t="shared" si="283"/>
        <v>319.73142857142886</v>
      </c>
      <c r="T816" s="20">
        <f t="shared" si="284"/>
        <v>319.73142857142886</v>
      </c>
      <c r="U816" s="20">
        <f t="shared" si="285"/>
        <v>319.73142857142886</v>
      </c>
      <c r="V816" s="22">
        <v>9.8210999999999995</v>
      </c>
      <c r="W816" s="22">
        <v>2.1814</v>
      </c>
      <c r="X816" s="23">
        <v>1.1476266666666668</v>
      </c>
      <c r="Y816" s="23">
        <f t="shared" si="292"/>
        <v>8.673473333333332</v>
      </c>
      <c r="Z816" s="23">
        <f t="shared" si="293"/>
        <v>1.0337733333333332</v>
      </c>
      <c r="AA816" s="22">
        <f t="shared" si="294"/>
        <v>88.081206990509756</v>
      </c>
      <c r="AB816" s="22">
        <f t="shared" si="295"/>
        <v>11.918793009490244</v>
      </c>
      <c r="AC816" s="22">
        <f t="shared" si="286"/>
        <v>1.8598679654439674</v>
      </c>
      <c r="AD816" s="22">
        <f t="shared" si="287"/>
        <v>0.22167381305108391</v>
      </c>
      <c r="AE816" s="27">
        <v>14.0778</v>
      </c>
      <c r="AF816" s="27">
        <v>14.199</v>
      </c>
      <c r="AG816" s="27">
        <v>14.119400000000001</v>
      </c>
      <c r="AH816" s="26">
        <v>4.1599999999999998E-2</v>
      </c>
      <c r="AI816" s="26">
        <v>65.676567660000003</v>
      </c>
      <c r="AJ816" s="26">
        <f t="shared" si="288"/>
        <v>3.2838283830000004</v>
      </c>
      <c r="AK816" s="26">
        <f t="shared" si="289"/>
        <v>37.963333907514453</v>
      </c>
      <c r="AL816" s="26">
        <f t="shared" si="290"/>
        <v>3.2850614680697223</v>
      </c>
      <c r="AM816" s="17">
        <f t="shared" si="296"/>
        <v>0.5780346820809249</v>
      </c>
      <c r="AN816" s="17"/>
      <c r="AO816" s="27"/>
      <c r="AS816" s="49"/>
      <c r="AT816" s="25"/>
      <c r="AU816" s="17"/>
      <c r="AV816" s="17"/>
      <c r="AW816" s="17"/>
      <c r="AX816" s="27"/>
      <c r="BB816" s="17"/>
    </row>
    <row r="817" spans="1:54" x14ac:dyDescent="0.2">
      <c r="A817" s="17" t="s">
        <v>77</v>
      </c>
      <c r="B817" s="17" t="s">
        <v>78</v>
      </c>
      <c r="C817" s="17" t="str">
        <f t="shared" si="276"/>
        <v>HER42PB1H</v>
      </c>
      <c r="D817" s="17" t="str">
        <f t="shared" si="277"/>
        <v>HER42PB1H_286</v>
      </c>
      <c r="E817" s="27" t="s">
        <v>86</v>
      </c>
      <c r="F817" s="17">
        <v>286</v>
      </c>
      <c r="G817" s="20">
        <v>2.2000000000000002</v>
      </c>
      <c r="H817" s="20">
        <v>2.2999999999999998</v>
      </c>
      <c r="I817" s="20">
        <v>1.3</v>
      </c>
      <c r="J817" s="22">
        <f t="shared" si="274"/>
        <v>5.1662812500000008</v>
      </c>
      <c r="K817" s="53">
        <v>0.16142857142857159</v>
      </c>
      <c r="L817" s="45">
        <f t="shared" si="278"/>
        <v>40.492857142857162</v>
      </c>
      <c r="M817" s="45">
        <f t="shared" si="279"/>
        <v>41.792857142857159</v>
      </c>
      <c r="N817" s="46">
        <f t="shared" si="280"/>
        <v>41.14285714285716</v>
      </c>
      <c r="O817" s="20">
        <f t="shared" si="275"/>
        <v>320.49285714285742</v>
      </c>
      <c r="P817" s="20">
        <f t="shared" si="291"/>
        <v>321.79285714285743</v>
      </c>
      <c r="Q817" s="20">
        <f t="shared" si="281"/>
        <v>321.14285714285745</v>
      </c>
      <c r="R817" s="20">
        <f t="shared" si="282"/>
        <v>320.49285714285742</v>
      </c>
      <c r="S817" s="20">
        <f t="shared" si="283"/>
        <v>321.14285714285745</v>
      </c>
      <c r="T817" s="20">
        <f t="shared" si="284"/>
        <v>321.14285714285745</v>
      </c>
      <c r="U817" s="20">
        <f t="shared" si="285"/>
        <v>321.14285714285745</v>
      </c>
      <c r="V817" s="22">
        <v>6.6620999999999997</v>
      </c>
      <c r="W817" s="22">
        <v>2.0249000000000001</v>
      </c>
      <c r="X817" s="23">
        <v>1.1476266666666668</v>
      </c>
      <c r="Y817" s="23">
        <f t="shared" si="292"/>
        <v>5.5144733333333331</v>
      </c>
      <c r="Z817" s="23">
        <f t="shared" si="293"/>
        <v>0.87727333333333335</v>
      </c>
      <c r="AA817" s="22">
        <f t="shared" si="294"/>
        <v>84.091439375896883</v>
      </c>
      <c r="AB817" s="22">
        <f t="shared" si="295"/>
        <v>15.908560624103117</v>
      </c>
      <c r="AC817" s="22">
        <f t="shared" si="286"/>
        <v>1.0673970437310845</v>
      </c>
      <c r="AD817" s="22">
        <f t="shared" si="287"/>
        <v>0.16980750580184406</v>
      </c>
      <c r="AE817" s="27">
        <v>13.8188</v>
      </c>
      <c r="AF817" s="27">
        <v>13.9245</v>
      </c>
      <c r="AG817" s="27">
        <v>13.8474</v>
      </c>
      <c r="AH817" s="26">
        <v>2.86E-2</v>
      </c>
      <c r="AI817" s="26">
        <v>72.942289500000001</v>
      </c>
      <c r="AJ817" s="26">
        <f t="shared" si="288"/>
        <v>3.6471144750000004</v>
      </c>
      <c r="AK817" s="26">
        <f t="shared" si="289"/>
        <v>42.163173121387288</v>
      </c>
      <c r="AL817" s="26">
        <f t="shared" si="290"/>
        <v>3.6482247729210062</v>
      </c>
      <c r="AM817" s="17">
        <f t="shared" si="296"/>
        <v>0.5780346820809249</v>
      </c>
      <c r="AN817" s="17"/>
      <c r="AO817" s="27"/>
      <c r="AS817" s="49"/>
      <c r="AT817" s="25"/>
      <c r="AU817" s="17"/>
      <c r="AV817" s="17"/>
      <c r="AW817" s="17"/>
      <c r="AX817" s="27"/>
      <c r="BB817" s="17"/>
    </row>
    <row r="818" spans="1:54" x14ac:dyDescent="0.2">
      <c r="A818" s="17" t="s">
        <v>77</v>
      </c>
      <c r="B818" s="17" t="s">
        <v>78</v>
      </c>
      <c r="C818" s="17" t="str">
        <f t="shared" si="276"/>
        <v>HER42PB1H</v>
      </c>
      <c r="D818" s="17" t="str">
        <f t="shared" si="277"/>
        <v>HER42PB1H_287</v>
      </c>
      <c r="E818" s="27" t="s">
        <v>86</v>
      </c>
      <c r="F818" s="17">
        <v>287</v>
      </c>
      <c r="G818" s="20">
        <v>2.25</v>
      </c>
      <c r="H818" s="20">
        <v>2.1</v>
      </c>
      <c r="I818" s="20">
        <v>1.3</v>
      </c>
      <c r="J818" s="22">
        <f t="shared" si="274"/>
        <v>4.8276028124999995</v>
      </c>
      <c r="K818" s="53">
        <v>0.16142857142857159</v>
      </c>
      <c r="L818" s="45">
        <f t="shared" si="278"/>
        <v>41.954285714285732</v>
      </c>
      <c r="M818" s="45">
        <f t="shared" si="279"/>
        <v>43.254285714285729</v>
      </c>
      <c r="N818" s="46">
        <f t="shared" si="280"/>
        <v>42.60428571428573</v>
      </c>
      <c r="O818" s="20">
        <f t="shared" si="275"/>
        <v>321.95428571428602</v>
      </c>
      <c r="P818" s="20">
        <f t="shared" si="291"/>
        <v>323.25428571428603</v>
      </c>
      <c r="Q818" s="20">
        <f t="shared" si="281"/>
        <v>322.60428571428599</v>
      </c>
      <c r="R818" s="20">
        <f t="shared" si="282"/>
        <v>321.95428571428602</v>
      </c>
      <c r="S818" s="20">
        <f t="shared" si="283"/>
        <v>322.60428571428599</v>
      </c>
      <c r="T818" s="20">
        <f t="shared" si="284"/>
        <v>322.60428571428599</v>
      </c>
      <c r="U818" s="20">
        <f t="shared" si="285"/>
        <v>322.60428571428599</v>
      </c>
      <c r="V818" s="22">
        <v>7.2297000000000002</v>
      </c>
      <c r="W818" s="22">
        <v>2.1408</v>
      </c>
      <c r="X818" s="23">
        <v>1.1476266666666668</v>
      </c>
      <c r="Y818" s="23">
        <f t="shared" si="292"/>
        <v>6.0820733333333337</v>
      </c>
      <c r="Z818" s="23">
        <f t="shared" si="293"/>
        <v>0.99317333333333324</v>
      </c>
      <c r="AA818" s="22">
        <f t="shared" si="294"/>
        <v>83.670480789993775</v>
      </c>
      <c r="AB818" s="22">
        <f t="shared" si="295"/>
        <v>16.329519210006225</v>
      </c>
      <c r="AC818" s="22">
        <f t="shared" si="286"/>
        <v>1.2598537140597323</v>
      </c>
      <c r="AD818" s="22">
        <f t="shared" si="287"/>
        <v>0.205728054255361</v>
      </c>
      <c r="AE818" s="27">
        <v>15.995900000000001</v>
      </c>
      <c r="AF818" s="27">
        <v>16.094200000000001</v>
      </c>
      <c r="AG818" s="27">
        <v>16.0214</v>
      </c>
      <c r="AH818" s="26">
        <v>2.5499999999999998E-2</v>
      </c>
      <c r="AI818" s="26">
        <v>74.059003050000001</v>
      </c>
      <c r="AJ818" s="26">
        <f t="shared" si="288"/>
        <v>3.7029501525000001</v>
      </c>
      <c r="AK818" s="26">
        <f t="shared" si="289"/>
        <v>42.808672283237001</v>
      </c>
      <c r="AL818" s="26">
        <f t="shared" si="290"/>
        <v>3.7040437135514175</v>
      </c>
      <c r="AM818" s="17">
        <f t="shared" si="296"/>
        <v>0.5780346820809249</v>
      </c>
      <c r="AN818" s="17"/>
      <c r="AO818" s="27"/>
      <c r="AS818" s="49"/>
      <c r="AT818" s="25"/>
      <c r="AU818" s="17"/>
      <c r="AV818" s="17"/>
      <c r="AW818" s="17"/>
      <c r="AX818" s="27"/>
      <c r="BB818" s="17"/>
    </row>
    <row r="819" spans="1:54" x14ac:dyDescent="0.2">
      <c r="A819" s="17" t="s">
        <v>77</v>
      </c>
      <c r="B819" s="17" t="s">
        <v>78</v>
      </c>
      <c r="C819" s="17" t="str">
        <f t="shared" si="276"/>
        <v>HER42PB1H</v>
      </c>
      <c r="D819" s="17" t="str">
        <f t="shared" si="277"/>
        <v>HER42PB1H_288</v>
      </c>
      <c r="E819" s="27" t="s">
        <v>86</v>
      </c>
      <c r="F819" s="17">
        <v>288</v>
      </c>
      <c r="G819" s="20">
        <v>2.1</v>
      </c>
      <c r="H819" s="20">
        <v>2.1</v>
      </c>
      <c r="I819" s="20">
        <v>1.1499999999999999</v>
      </c>
      <c r="J819" s="22">
        <f t="shared" si="274"/>
        <v>3.9811274999999999</v>
      </c>
      <c r="K819" s="53">
        <v>0.16142857142857159</v>
      </c>
      <c r="L819" s="45">
        <f t="shared" si="278"/>
        <v>43.415714285714301</v>
      </c>
      <c r="M819" s="45">
        <f t="shared" si="279"/>
        <v>44.5657142857143</v>
      </c>
      <c r="N819" s="46">
        <f t="shared" si="280"/>
        <v>43.990714285714304</v>
      </c>
      <c r="O819" s="20">
        <f t="shared" si="275"/>
        <v>323.41571428571461</v>
      </c>
      <c r="P819" s="20">
        <f t="shared" si="291"/>
        <v>324.56571428571459</v>
      </c>
      <c r="Q819" s="20">
        <f t="shared" si="281"/>
        <v>323.9907142857146</v>
      </c>
      <c r="R819" s="20">
        <f t="shared" si="282"/>
        <v>323.41571428571461</v>
      </c>
      <c r="S819" s="20">
        <f t="shared" si="283"/>
        <v>323.9907142857146</v>
      </c>
      <c r="T819" s="20">
        <f t="shared" si="284"/>
        <v>323.9907142857146</v>
      </c>
      <c r="U819" s="20">
        <f t="shared" si="285"/>
        <v>323.9907142857146</v>
      </c>
      <c r="V819" s="22">
        <v>6.8227000000000002</v>
      </c>
      <c r="W819" s="22">
        <v>2.1312000000000002</v>
      </c>
      <c r="X819" s="23">
        <v>1.1476266666666668</v>
      </c>
      <c r="Y819" s="23">
        <f t="shared" si="292"/>
        <v>5.6750733333333336</v>
      </c>
      <c r="Z819" s="23">
        <f t="shared" si="293"/>
        <v>0.98357333333333341</v>
      </c>
      <c r="AA819" s="22">
        <f t="shared" si="294"/>
        <v>82.668535267091997</v>
      </c>
      <c r="AB819" s="22">
        <f t="shared" si="295"/>
        <v>17.331464732908003</v>
      </c>
      <c r="AC819" s="22">
        <f t="shared" si="286"/>
        <v>1.4254939921751648</v>
      </c>
      <c r="AD819" s="22">
        <f t="shared" si="287"/>
        <v>0.24705898852356109</v>
      </c>
      <c r="AE819" s="27">
        <v>16.5047</v>
      </c>
      <c r="AF819" s="27">
        <v>16.624500000000001</v>
      </c>
      <c r="AG819" s="27">
        <v>16.554200000000002</v>
      </c>
      <c r="AH819" s="26">
        <v>4.9500000000000002E-2</v>
      </c>
      <c r="AI819" s="26">
        <v>58.681135230000002</v>
      </c>
      <c r="AJ819" s="26">
        <f t="shared" si="288"/>
        <v>2.9340567615000004</v>
      </c>
      <c r="AK819" s="26">
        <f t="shared" si="289"/>
        <v>33.919731346820811</v>
      </c>
      <c r="AL819" s="26">
        <f t="shared" si="290"/>
        <v>2.935436778352392</v>
      </c>
      <c r="AM819" s="17">
        <f t="shared" si="296"/>
        <v>0.5780346820809249</v>
      </c>
      <c r="AN819" s="17"/>
      <c r="AO819" s="27"/>
      <c r="AS819" s="49"/>
      <c r="AT819" s="25"/>
      <c r="AU819" s="17"/>
      <c r="AV819" s="17"/>
      <c r="AW819" s="17"/>
      <c r="AX819" s="27"/>
      <c r="BB819" s="17"/>
    </row>
    <row r="820" spans="1:54" x14ac:dyDescent="0.2">
      <c r="A820" s="17" t="s">
        <v>77</v>
      </c>
      <c r="B820" s="17" t="s">
        <v>78</v>
      </c>
      <c r="C820" s="17" t="str">
        <f t="shared" si="276"/>
        <v>HER42PB1H</v>
      </c>
      <c r="D820" s="17" t="str">
        <f t="shared" si="277"/>
        <v>HER42PB1H_289</v>
      </c>
      <c r="E820" s="27" t="s">
        <v>86</v>
      </c>
      <c r="F820" s="17">
        <v>289</v>
      </c>
      <c r="G820" s="20">
        <v>2.1</v>
      </c>
      <c r="H820" s="20">
        <v>2.25</v>
      </c>
      <c r="I820" s="20">
        <v>1.1000000000000001</v>
      </c>
      <c r="J820" s="22">
        <f t="shared" si="274"/>
        <v>4.0848946874999994</v>
      </c>
      <c r="K820" s="53">
        <v>0.16142857142857159</v>
      </c>
      <c r="L820" s="45">
        <f t="shared" si="278"/>
        <v>44.727142857142873</v>
      </c>
      <c r="M820" s="45">
        <f t="shared" si="279"/>
        <v>45.827142857142874</v>
      </c>
      <c r="N820" s="46">
        <f t="shared" si="280"/>
        <v>45.277142857142877</v>
      </c>
      <c r="O820" s="20">
        <f t="shared" si="275"/>
        <v>324.72714285714318</v>
      </c>
      <c r="P820" s="20">
        <f t="shared" si="291"/>
        <v>325.8271428571432</v>
      </c>
      <c r="Q820" s="20">
        <f t="shared" si="281"/>
        <v>325.27714285714319</v>
      </c>
      <c r="R820" s="20">
        <f t="shared" si="282"/>
        <v>324.72714285714318</v>
      </c>
      <c r="S820" s="20">
        <f t="shared" si="283"/>
        <v>325.27714285714319</v>
      </c>
      <c r="T820" s="20">
        <f t="shared" si="284"/>
        <v>325.27714285714319</v>
      </c>
      <c r="U820" s="20">
        <f t="shared" si="285"/>
        <v>325.27714285714319</v>
      </c>
      <c r="V820" s="22">
        <v>6.0213999999999999</v>
      </c>
      <c r="W820" s="22">
        <v>1.9031</v>
      </c>
      <c r="X820" s="23">
        <v>1.1476266666666668</v>
      </c>
      <c r="Y820" s="23">
        <f t="shared" si="292"/>
        <v>4.8737733333333333</v>
      </c>
      <c r="Z820" s="23">
        <f t="shared" si="293"/>
        <v>0.75547333333333322</v>
      </c>
      <c r="AA820" s="22">
        <f t="shared" si="294"/>
        <v>84.499210741574629</v>
      </c>
      <c r="AB820" s="22">
        <f t="shared" si="295"/>
        <v>15.500789258425371</v>
      </c>
      <c r="AC820" s="22">
        <f t="shared" si="286"/>
        <v>1.19312092628663</v>
      </c>
      <c r="AD820" s="22">
        <f t="shared" si="287"/>
        <v>0.18494316038186318</v>
      </c>
      <c r="AE820" s="27">
        <v>6.4455</v>
      </c>
      <c r="AF820" s="27">
        <v>6.5288000000000004</v>
      </c>
      <c r="AG820" s="27">
        <v>6.4705000000000004</v>
      </c>
      <c r="AH820" s="26">
        <v>2.5000000000000001E-2</v>
      </c>
      <c r="AI820" s="26">
        <v>69.9879952</v>
      </c>
      <c r="AJ820" s="26">
        <f t="shared" si="288"/>
        <v>3.4993997600000002</v>
      </c>
      <c r="AK820" s="26">
        <f t="shared" si="289"/>
        <v>40.455488554913295</v>
      </c>
      <c r="AL820" s="26">
        <f t="shared" si="290"/>
        <v>3.5005569100198985</v>
      </c>
      <c r="AM820" s="17">
        <f t="shared" si="296"/>
        <v>0.5780346820809249</v>
      </c>
      <c r="AN820" s="17"/>
      <c r="AO820" s="27"/>
      <c r="AS820" s="49"/>
      <c r="AT820" s="25"/>
      <c r="AU820" s="17"/>
      <c r="AV820" s="17"/>
      <c r="AW820" s="17"/>
      <c r="AX820" s="27"/>
      <c r="BB820" s="17"/>
    </row>
    <row r="821" spans="1:54" x14ac:dyDescent="0.2">
      <c r="A821" s="17" t="s">
        <v>77</v>
      </c>
      <c r="B821" s="17" t="s">
        <v>78</v>
      </c>
      <c r="C821" s="17" t="str">
        <f t="shared" si="276"/>
        <v>HER42PB1H</v>
      </c>
      <c r="D821" s="17" t="str">
        <f t="shared" si="277"/>
        <v>HER42PB1H_290</v>
      </c>
      <c r="E821" s="27" t="s">
        <v>86</v>
      </c>
      <c r="F821" s="17">
        <v>290</v>
      </c>
      <c r="G821" s="20">
        <v>1.9</v>
      </c>
      <c r="H821" s="20">
        <v>2.15</v>
      </c>
      <c r="I821" s="20">
        <v>1.2</v>
      </c>
      <c r="J821" s="22">
        <f t="shared" si="274"/>
        <v>3.86278875</v>
      </c>
      <c r="K821" s="53">
        <v>0.16142857142857159</v>
      </c>
      <c r="L821" s="45">
        <f t="shared" si="278"/>
        <v>45.988571428571447</v>
      </c>
      <c r="M821" s="45">
        <f t="shared" si="279"/>
        <v>47.18857142857145</v>
      </c>
      <c r="N821" s="46">
        <f t="shared" si="280"/>
        <v>46.588571428571449</v>
      </c>
      <c r="O821" s="20">
        <f t="shared" si="275"/>
        <v>325.98857142857179</v>
      </c>
      <c r="P821" s="20">
        <f t="shared" si="291"/>
        <v>327.18857142857178</v>
      </c>
      <c r="Q821" s="20">
        <f t="shared" si="281"/>
        <v>326.58857142857175</v>
      </c>
      <c r="R821" s="20">
        <f t="shared" si="282"/>
        <v>325.98857142857179</v>
      </c>
      <c r="S821" s="20">
        <f t="shared" si="283"/>
        <v>326.58857142857175</v>
      </c>
      <c r="T821" s="20">
        <f t="shared" si="284"/>
        <v>326.58857142857175</v>
      </c>
      <c r="U821" s="20">
        <f t="shared" si="285"/>
        <v>326.58857142857175</v>
      </c>
      <c r="V821" s="22">
        <v>6.1752000000000002</v>
      </c>
      <c r="W821" s="22">
        <v>1.9582999999999999</v>
      </c>
      <c r="X821" s="23">
        <v>1.1476266666666668</v>
      </c>
      <c r="Y821" s="23">
        <f t="shared" si="292"/>
        <v>5.0275733333333337</v>
      </c>
      <c r="Z821" s="23">
        <f t="shared" si="293"/>
        <v>0.81067333333333313</v>
      </c>
      <c r="AA821" s="22">
        <f t="shared" si="294"/>
        <v>83.875454825124379</v>
      </c>
      <c r="AB821" s="22">
        <f t="shared" si="295"/>
        <v>16.124545174875621</v>
      </c>
      <c r="AC821" s="22">
        <f t="shared" si="286"/>
        <v>1.3015398093756314</v>
      </c>
      <c r="AD821" s="22">
        <f t="shared" si="287"/>
        <v>0.20986737453176366</v>
      </c>
      <c r="AE821" s="27">
        <v>6.6181000000000001</v>
      </c>
      <c r="AF821" s="27">
        <v>6.7019000000000002</v>
      </c>
      <c r="AG821" s="27">
        <v>6.6439000000000004</v>
      </c>
      <c r="AH821" s="26">
        <v>2.58E-2</v>
      </c>
      <c r="AI821" s="26">
        <v>69.212410500000004</v>
      </c>
      <c r="AJ821" s="26">
        <f t="shared" si="288"/>
        <v>3.4606205250000004</v>
      </c>
      <c r="AK821" s="26">
        <f t="shared" si="289"/>
        <v>40.007173699421969</v>
      </c>
      <c r="AL821" s="26">
        <f t="shared" si="290"/>
        <v>3.4617906375243548</v>
      </c>
      <c r="AM821" s="17">
        <f t="shared" si="296"/>
        <v>0.5780346820809249</v>
      </c>
      <c r="AN821" s="17"/>
      <c r="AO821" s="27"/>
      <c r="AS821" s="49"/>
      <c r="AT821" s="25"/>
      <c r="AU821" s="17"/>
      <c r="AV821" s="17"/>
      <c r="AW821" s="17"/>
      <c r="AX821" s="27"/>
      <c r="BB821" s="17"/>
    </row>
    <row r="822" spans="1:54" x14ac:dyDescent="0.2">
      <c r="A822" s="17" t="s">
        <v>77</v>
      </c>
      <c r="B822" s="17" t="s">
        <v>78</v>
      </c>
      <c r="C822" s="17" t="str">
        <f t="shared" si="276"/>
        <v>HER42PB1H</v>
      </c>
      <c r="D822" s="17" t="str">
        <f t="shared" si="277"/>
        <v>HER42PB1H_291</v>
      </c>
      <c r="E822" s="27" t="s">
        <v>86</v>
      </c>
      <c r="F822" s="17">
        <v>291</v>
      </c>
      <c r="G822" s="20">
        <v>2.1</v>
      </c>
      <c r="H822" s="20">
        <v>2</v>
      </c>
      <c r="I822" s="20">
        <v>1.65</v>
      </c>
      <c r="J822" s="22">
        <f t="shared" si="274"/>
        <v>5.4432881249999987</v>
      </c>
      <c r="K822" s="53">
        <v>0.16142857142857159</v>
      </c>
      <c r="L822" s="45">
        <f t="shared" si="278"/>
        <v>47.350000000000023</v>
      </c>
      <c r="M822" s="45">
        <f t="shared" si="279"/>
        <v>49.000000000000021</v>
      </c>
      <c r="N822" s="46">
        <f t="shared" si="280"/>
        <v>48.175000000000026</v>
      </c>
      <c r="O822" s="20">
        <f t="shared" si="275"/>
        <v>327.35000000000036</v>
      </c>
      <c r="P822" s="20">
        <f t="shared" si="291"/>
        <v>329.00000000000034</v>
      </c>
      <c r="Q822" s="20">
        <f t="shared" si="281"/>
        <v>328.17500000000035</v>
      </c>
      <c r="R822" s="20">
        <f t="shared" si="282"/>
        <v>327.35000000000036</v>
      </c>
      <c r="S822" s="20">
        <f t="shared" si="283"/>
        <v>328.17500000000035</v>
      </c>
      <c r="T822" s="20">
        <f t="shared" si="284"/>
        <v>328.17500000000035</v>
      </c>
      <c r="U822" s="20">
        <f t="shared" si="285"/>
        <v>328.17500000000035</v>
      </c>
      <c r="V822" s="22">
        <v>8.5744000000000007</v>
      </c>
      <c r="W822" s="22">
        <v>2.7328000000000001</v>
      </c>
      <c r="X822" s="23">
        <v>1.1476266666666668</v>
      </c>
      <c r="Y822" s="23">
        <f t="shared" si="292"/>
        <v>7.4267733333333341</v>
      </c>
      <c r="Z822" s="23">
        <f t="shared" si="293"/>
        <v>1.5851733333333333</v>
      </c>
      <c r="AA822" s="22">
        <f t="shared" si="294"/>
        <v>78.655961853330652</v>
      </c>
      <c r="AB822" s="22">
        <f t="shared" si="295"/>
        <v>21.344038146669348</v>
      </c>
      <c r="AC822" s="22">
        <f t="shared" si="286"/>
        <v>1.3643910009509805</v>
      </c>
      <c r="AD822" s="22">
        <f t="shared" si="287"/>
        <v>0.291216135712701</v>
      </c>
      <c r="AE822" s="27">
        <v>6.3941999999999997</v>
      </c>
      <c r="AF822" s="27">
        <v>6.5010000000000003</v>
      </c>
      <c r="AG822" s="27">
        <v>6.4237000000000002</v>
      </c>
      <c r="AH822" s="26">
        <v>2.9499999999999998E-2</v>
      </c>
      <c r="AI822" s="26">
        <v>72.378277150000002</v>
      </c>
      <c r="AJ822" s="26">
        <f t="shared" si="288"/>
        <v>3.6189138575000004</v>
      </c>
      <c r="AK822" s="26">
        <f t="shared" si="289"/>
        <v>41.837154421965323</v>
      </c>
      <c r="AL822" s="26">
        <f t="shared" si="290"/>
        <v>3.6200328048244996</v>
      </c>
      <c r="AM822" s="17">
        <f t="shared" si="296"/>
        <v>0.5780346820809249</v>
      </c>
      <c r="AN822" s="17"/>
      <c r="AO822" s="27"/>
      <c r="AS822" s="49"/>
      <c r="AT822" s="25"/>
      <c r="AU822" s="17"/>
      <c r="AV822" s="17"/>
      <c r="AW822" s="17"/>
      <c r="AX822" s="27"/>
      <c r="BB822" s="17"/>
    </row>
    <row r="823" spans="1:54" x14ac:dyDescent="0.2">
      <c r="A823" s="17" t="s">
        <v>77</v>
      </c>
      <c r="B823" s="17" t="s">
        <v>78</v>
      </c>
      <c r="C823" s="17" t="str">
        <f t="shared" si="276"/>
        <v>HER42PB1I</v>
      </c>
      <c r="D823" s="17" t="str">
        <f t="shared" si="277"/>
        <v>HER42PB1I_292</v>
      </c>
      <c r="E823" s="27" t="s">
        <v>87</v>
      </c>
      <c r="F823" s="17">
        <v>292</v>
      </c>
      <c r="G823" s="20">
        <v>1.85</v>
      </c>
      <c r="H823" s="20">
        <v>2.15</v>
      </c>
      <c r="I823" s="20">
        <v>0.9</v>
      </c>
      <c r="J823" s="22">
        <f t="shared" si="274"/>
        <v>2.8260000000000001</v>
      </c>
      <c r="K823" s="53">
        <v>0.13571428571428532</v>
      </c>
      <c r="L823" s="39">
        <v>0</v>
      </c>
      <c r="M823" s="45">
        <f>L823+I823</f>
        <v>0.9</v>
      </c>
      <c r="N823" s="46">
        <f>L823+((M823-L823)/2)</f>
        <v>0.45</v>
      </c>
      <c r="O823" s="20">
        <v>320</v>
      </c>
      <c r="P823" s="20">
        <f t="shared" si="291"/>
        <v>320.89999999999998</v>
      </c>
      <c r="Q823" s="20">
        <f>O823+((P823-O823)/2)</f>
        <v>320.45</v>
      </c>
      <c r="R823" s="20">
        <f t="shared" si="282"/>
        <v>320</v>
      </c>
      <c r="S823" s="20">
        <f t="shared" si="283"/>
        <v>320.45</v>
      </c>
      <c r="T823" s="20">
        <f t="shared" si="284"/>
        <v>320.45</v>
      </c>
      <c r="U823" s="20">
        <f t="shared" si="285"/>
        <v>320.45</v>
      </c>
      <c r="V823" s="22">
        <v>4.6143999999999998</v>
      </c>
      <c r="W823" s="22">
        <v>1.6849000000000001</v>
      </c>
      <c r="X823" s="23">
        <v>1.1476266666666668</v>
      </c>
      <c r="Y823" s="23">
        <f t="shared" si="292"/>
        <v>3.4667733333333333</v>
      </c>
      <c r="Z823" s="23">
        <f t="shared" si="293"/>
        <v>0.53727333333333327</v>
      </c>
      <c r="AA823" s="22">
        <f t="shared" si="294"/>
        <v>84.502207624380787</v>
      </c>
      <c r="AB823" s="22">
        <f t="shared" si="295"/>
        <v>15.497792375619213</v>
      </c>
      <c r="AC823" s="22">
        <f t="shared" si="286"/>
        <v>1.2267421561689078</v>
      </c>
      <c r="AD823" s="22">
        <f t="shared" si="287"/>
        <v>0.19011795234725168</v>
      </c>
      <c r="AE823" s="27">
        <v>16.903300000000002</v>
      </c>
      <c r="AF823" s="27">
        <v>16.969000000000001</v>
      </c>
      <c r="AG823" s="27">
        <v>16.914899999999999</v>
      </c>
      <c r="AH823" s="26">
        <v>1.1599999999999999E-2</v>
      </c>
      <c r="AI823" s="26">
        <v>82.343987819999995</v>
      </c>
      <c r="AJ823" s="26">
        <f t="shared" si="288"/>
        <v>4.1171993909999998</v>
      </c>
      <c r="AK823" s="26">
        <f t="shared" si="289"/>
        <v>47.597680820809252</v>
      </c>
      <c r="AL823" s="26">
        <f t="shared" si="290"/>
        <v>4.1181829518916189</v>
      </c>
      <c r="AM823" s="17">
        <f t="shared" si="296"/>
        <v>0.5780346820809249</v>
      </c>
      <c r="AN823" s="28" t="s">
        <v>43</v>
      </c>
      <c r="AO823" s="27">
        <v>48.5</v>
      </c>
      <c r="AS823" s="49"/>
      <c r="AT823" s="25"/>
      <c r="AU823" s="17"/>
      <c r="AV823" s="17"/>
      <c r="AW823" s="17"/>
      <c r="AX823" s="27"/>
      <c r="BB823" s="17"/>
    </row>
    <row r="824" spans="1:54" x14ac:dyDescent="0.2">
      <c r="A824" s="17" t="s">
        <v>77</v>
      </c>
      <c r="B824" s="17" t="s">
        <v>78</v>
      </c>
      <c r="C824" s="17" t="str">
        <f t="shared" si="276"/>
        <v>HER42PB1I</v>
      </c>
      <c r="D824" s="17" t="str">
        <f t="shared" si="277"/>
        <v>HER42PB1I_293</v>
      </c>
      <c r="E824" s="27" t="s">
        <v>87</v>
      </c>
      <c r="F824" s="17">
        <v>293</v>
      </c>
      <c r="G824" s="20">
        <v>2.2999999999999998</v>
      </c>
      <c r="H824" s="20">
        <v>2.5</v>
      </c>
      <c r="I824" s="20">
        <v>1.2</v>
      </c>
      <c r="J824" s="22">
        <f t="shared" si="274"/>
        <v>5.4259199999999987</v>
      </c>
      <c r="K824" s="53">
        <v>0.13571428571428532</v>
      </c>
      <c r="L824" s="45">
        <f>M823+K824</f>
        <v>1.0357142857142854</v>
      </c>
      <c r="M824" s="45">
        <f>L824+I824</f>
        <v>2.2357142857142853</v>
      </c>
      <c r="N824" s="46">
        <f>L824+((M824-L824)/2)</f>
        <v>1.6357142857142852</v>
      </c>
      <c r="O824" s="20">
        <f t="shared" ref="O824:O858" si="297">P823+K824</f>
        <v>321.03571428571428</v>
      </c>
      <c r="P824" s="20">
        <f t="shared" si="291"/>
        <v>322.23571428571427</v>
      </c>
      <c r="Q824" s="20">
        <f>O824+((P824-O824)/2)</f>
        <v>321.63571428571424</v>
      </c>
      <c r="R824" s="20">
        <f t="shared" si="282"/>
        <v>321.03571428571428</v>
      </c>
      <c r="S824" s="20">
        <f t="shared" si="283"/>
        <v>321.63571428571424</v>
      </c>
      <c r="T824" s="20">
        <f t="shared" si="284"/>
        <v>321.63571428571424</v>
      </c>
      <c r="U824" s="20">
        <f t="shared" si="285"/>
        <v>321.63571428571424</v>
      </c>
      <c r="V824" s="22">
        <v>7.2262000000000004</v>
      </c>
      <c r="W824" s="22">
        <v>2.2948</v>
      </c>
      <c r="X824" s="23">
        <v>1.1476266666666668</v>
      </c>
      <c r="Y824" s="23">
        <f t="shared" si="292"/>
        <v>6.0785733333333338</v>
      </c>
      <c r="Z824" s="23">
        <f t="shared" si="293"/>
        <v>1.1471733333333332</v>
      </c>
      <c r="AA824" s="22">
        <f t="shared" si="294"/>
        <v>81.127589149208262</v>
      </c>
      <c r="AB824" s="22">
        <f t="shared" si="295"/>
        <v>18.872410850791738</v>
      </c>
      <c r="AC824" s="22">
        <f t="shared" si="286"/>
        <v>1.1202843634504998</v>
      </c>
      <c r="AD824" s="22">
        <f t="shared" si="287"/>
        <v>0.21142466776755525</v>
      </c>
      <c r="AE824" s="27">
        <v>18.715199999999999</v>
      </c>
      <c r="AF824" s="27">
        <v>18.825199999999999</v>
      </c>
      <c r="AG824" s="27">
        <v>18.752300000000002</v>
      </c>
      <c r="AH824" s="26">
        <v>3.7100000000000001E-2</v>
      </c>
      <c r="AI824" s="26">
        <v>66.272727270000004</v>
      </c>
      <c r="AJ824" s="26">
        <f t="shared" si="288"/>
        <v>3.3136363635000006</v>
      </c>
      <c r="AK824" s="26">
        <f t="shared" si="289"/>
        <v>38.307934838150295</v>
      </c>
      <c r="AL824" s="26">
        <f t="shared" si="290"/>
        <v>3.3148583603993562</v>
      </c>
      <c r="AM824" s="17">
        <f t="shared" si="296"/>
        <v>0.5780346820809249</v>
      </c>
      <c r="AN824" s="28" t="s">
        <v>44</v>
      </c>
      <c r="AO824" s="27" t="s">
        <v>61</v>
      </c>
      <c r="AS824" s="49"/>
      <c r="AT824" s="25"/>
      <c r="AU824" s="17"/>
      <c r="AV824" s="17"/>
      <c r="AW824" s="17"/>
      <c r="AX824" s="27"/>
      <c r="BB824" s="17"/>
    </row>
    <row r="825" spans="1:54" x14ac:dyDescent="0.2">
      <c r="A825" s="17" t="s">
        <v>77</v>
      </c>
      <c r="B825" s="17" t="s">
        <v>78</v>
      </c>
      <c r="C825" s="17" t="str">
        <f t="shared" si="276"/>
        <v>HER42PB1I</v>
      </c>
      <c r="D825" s="17" t="str">
        <f t="shared" si="277"/>
        <v>HER42PB1I_294</v>
      </c>
      <c r="E825" s="27" t="s">
        <v>87</v>
      </c>
      <c r="F825" s="17">
        <v>294</v>
      </c>
      <c r="G825" s="20">
        <v>2.2999999999999998</v>
      </c>
      <c r="H825" s="20">
        <v>2.7</v>
      </c>
      <c r="I825" s="20">
        <v>1.25</v>
      </c>
      <c r="J825" s="22">
        <f t="shared" si="274"/>
        <v>6.1328125</v>
      </c>
      <c r="K825" s="53">
        <v>0.13571428571428532</v>
      </c>
      <c r="L825" s="45">
        <f t="shared" ref="L825:L858" si="298">M824+K825</f>
        <v>2.3714285714285706</v>
      </c>
      <c r="M825" s="45">
        <f t="shared" ref="M825:M858" si="299">L825+I825</f>
        <v>3.6214285714285706</v>
      </c>
      <c r="N825" s="46">
        <f t="shared" ref="N825:N858" si="300">L825+((M825-L825)/2)</f>
        <v>2.9964285714285706</v>
      </c>
      <c r="O825" s="20">
        <f t="shared" si="297"/>
        <v>322.37142857142857</v>
      </c>
      <c r="P825" s="20">
        <f t="shared" si="291"/>
        <v>323.62142857142857</v>
      </c>
      <c r="Q825" s="20">
        <f t="shared" ref="Q825:Q858" si="301">O825+((P825-O825)/2)</f>
        <v>322.99642857142857</v>
      </c>
      <c r="R825" s="20">
        <f t="shared" si="282"/>
        <v>322.37142857142857</v>
      </c>
      <c r="S825" s="20">
        <f t="shared" si="283"/>
        <v>322.99642857142857</v>
      </c>
      <c r="T825" s="20">
        <f t="shared" si="284"/>
        <v>322.99642857142857</v>
      </c>
      <c r="U825" s="20">
        <f t="shared" si="285"/>
        <v>322.99642857142857</v>
      </c>
      <c r="V825" s="22">
        <v>7.9724000000000004</v>
      </c>
      <c r="W825" s="22">
        <v>2.3740000000000001</v>
      </c>
      <c r="X825" s="23">
        <v>1.1476266666666668</v>
      </c>
      <c r="Y825" s="23">
        <f t="shared" si="292"/>
        <v>6.8247733333333338</v>
      </c>
      <c r="Z825" s="23">
        <f t="shared" si="293"/>
        <v>1.2263733333333333</v>
      </c>
      <c r="AA825" s="22">
        <f t="shared" si="294"/>
        <v>82.03056316400253</v>
      </c>
      <c r="AB825" s="22">
        <f t="shared" si="295"/>
        <v>17.96943683599747</v>
      </c>
      <c r="AC825" s="22">
        <f t="shared" si="286"/>
        <v>1.1128292823779193</v>
      </c>
      <c r="AD825" s="22">
        <f t="shared" si="287"/>
        <v>0.19996915498938428</v>
      </c>
      <c r="AE825" s="27">
        <v>13.1416</v>
      </c>
      <c r="AF825" s="27">
        <v>13.247</v>
      </c>
      <c r="AG825" s="27">
        <v>13.1797</v>
      </c>
      <c r="AH825" s="26">
        <v>3.8100000000000002E-2</v>
      </c>
      <c r="AI825" s="26">
        <v>63.851992410000001</v>
      </c>
      <c r="AJ825" s="26">
        <f t="shared" si="288"/>
        <v>3.1925996205000002</v>
      </c>
      <c r="AK825" s="26">
        <f t="shared" si="289"/>
        <v>36.908666132947978</v>
      </c>
      <c r="AL825" s="26">
        <f t="shared" si="290"/>
        <v>3.1938679272657389</v>
      </c>
      <c r="AM825" s="17">
        <f t="shared" si="296"/>
        <v>0.5780346820809249</v>
      </c>
      <c r="AN825" s="28" t="s">
        <v>46</v>
      </c>
      <c r="AO825" s="29">
        <f>SUM(I823:I858)</f>
        <v>43.750000000000014</v>
      </c>
      <c r="AS825" s="49"/>
      <c r="AT825" s="25"/>
      <c r="AU825" s="17"/>
      <c r="AV825" s="17"/>
      <c r="AW825" s="17"/>
      <c r="AX825" s="27"/>
      <c r="BB825" s="17"/>
    </row>
    <row r="826" spans="1:54" x14ac:dyDescent="0.2">
      <c r="A826" s="17" t="s">
        <v>77</v>
      </c>
      <c r="B826" s="17" t="s">
        <v>78</v>
      </c>
      <c r="C826" s="17" t="str">
        <f t="shared" si="276"/>
        <v>HER42PB1I</v>
      </c>
      <c r="D826" s="17" t="str">
        <f t="shared" si="277"/>
        <v>HER42PB1I_295</v>
      </c>
      <c r="E826" s="27" t="s">
        <v>87</v>
      </c>
      <c r="F826" s="17">
        <v>295</v>
      </c>
      <c r="G826" s="20">
        <v>2.35</v>
      </c>
      <c r="H826" s="20">
        <v>2.2999999999999998</v>
      </c>
      <c r="I826" s="20">
        <v>1.2</v>
      </c>
      <c r="J826" s="22">
        <f t="shared" si="274"/>
        <v>5.0920987500000008</v>
      </c>
      <c r="K826" s="53">
        <v>0.13571428571428532</v>
      </c>
      <c r="L826" s="45">
        <f t="shared" si="298"/>
        <v>3.7571428571428558</v>
      </c>
      <c r="M826" s="45">
        <f t="shared" si="299"/>
        <v>4.9571428571428555</v>
      </c>
      <c r="N826" s="46">
        <f t="shared" si="300"/>
        <v>4.3571428571428559</v>
      </c>
      <c r="O826" s="20">
        <f t="shared" si="297"/>
        <v>323.75714285714287</v>
      </c>
      <c r="P826" s="20">
        <f t="shared" si="291"/>
        <v>324.95714285714286</v>
      </c>
      <c r="Q826" s="20">
        <f t="shared" si="301"/>
        <v>324.35714285714289</v>
      </c>
      <c r="R826" s="20">
        <f t="shared" si="282"/>
        <v>323.75714285714287</v>
      </c>
      <c r="S826" s="20">
        <f t="shared" si="283"/>
        <v>324.35714285714289</v>
      </c>
      <c r="T826" s="20">
        <f t="shared" si="284"/>
        <v>324.35714285714289</v>
      </c>
      <c r="U826" s="20">
        <f t="shared" si="285"/>
        <v>324.35714285714289</v>
      </c>
      <c r="V826" s="22">
        <v>7.6715</v>
      </c>
      <c r="W826" s="22">
        <v>2.3613</v>
      </c>
      <c r="X826" s="23">
        <v>1.1476266666666668</v>
      </c>
      <c r="Y826" s="23">
        <f t="shared" si="292"/>
        <v>6.5238733333333334</v>
      </c>
      <c r="Z826" s="23">
        <f t="shared" si="293"/>
        <v>1.2136733333333332</v>
      </c>
      <c r="AA826" s="22">
        <f t="shared" si="294"/>
        <v>81.396430137106691</v>
      </c>
      <c r="AB826" s="22">
        <f t="shared" si="295"/>
        <v>18.603569862893309</v>
      </c>
      <c r="AC826" s="22">
        <f t="shared" si="286"/>
        <v>1.2811757300137459</v>
      </c>
      <c r="AD826" s="22">
        <f t="shared" si="287"/>
        <v>0.23834442199954056</v>
      </c>
      <c r="AE826" s="27">
        <v>10.354900000000001</v>
      </c>
      <c r="AF826" s="27">
        <v>10.520200000000001</v>
      </c>
      <c r="AG826" s="27">
        <v>10.464700000000001</v>
      </c>
      <c r="AH826" s="26">
        <v>0.10979999999999999</v>
      </c>
      <c r="AI826" s="26">
        <v>33.575317599999998</v>
      </c>
      <c r="AJ826" s="26">
        <f t="shared" si="288"/>
        <v>1.67876588</v>
      </c>
      <c r="AK826" s="26">
        <f t="shared" si="289"/>
        <v>19.407698034682081</v>
      </c>
      <c r="AL826" s="26">
        <f t="shared" si="290"/>
        <v>1.6811766355300608</v>
      </c>
      <c r="AM826" s="17">
        <f t="shared" si="296"/>
        <v>0.5780346820809249</v>
      </c>
      <c r="AN826" s="28" t="s">
        <v>47</v>
      </c>
      <c r="AO826" s="29">
        <f>AO823-AO825</f>
        <v>4.7499999999999858</v>
      </c>
      <c r="AS826" s="49"/>
      <c r="AT826" s="25"/>
      <c r="AU826" s="17"/>
      <c r="AV826" s="17"/>
      <c r="AW826" s="17"/>
      <c r="AX826" s="27"/>
      <c r="BB826" s="17"/>
    </row>
    <row r="827" spans="1:54" x14ac:dyDescent="0.2">
      <c r="A827" s="17" t="s">
        <v>77</v>
      </c>
      <c r="B827" s="17" t="s">
        <v>78</v>
      </c>
      <c r="C827" s="17" t="str">
        <f t="shared" si="276"/>
        <v>HER42PB1I</v>
      </c>
      <c r="D827" s="17" t="str">
        <f t="shared" si="277"/>
        <v>HER42PB1I_296</v>
      </c>
      <c r="E827" s="27" t="s">
        <v>87</v>
      </c>
      <c r="F827" s="17">
        <v>296</v>
      </c>
      <c r="G827" s="20">
        <v>2.2999999999999998</v>
      </c>
      <c r="H827" s="20">
        <v>2.4500000000000002</v>
      </c>
      <c r="I827" s="20">
        <v>1.25</v>
      </c>
      <c r="J827" s="22">
        <f t="shared" si="274"/>
        <v>5.5348632812499998</v>
      </c>
      <c r="K827" s="53">
        <v>0.13571428571428532</v>
      </c>
      <c r="L827" s="45">
        <f t="shared" si="298"/>
        <v>5.0928571428571408</v>
      </c>
      <c r="M827" s="45">
        <f t="shared" si="299"/>
        <v>6.3428571428571408</v>
      </c>
      <c r="N827" s="46">
        <f t="shared" si="300"/>
        <v>5.7178571428571408</v>
      </c>
      <c r="O827" s="20">
        <f t="shared" si="297"/>
        <v>325.09285714285716</v>
      </c>
      <c r="P827" s="20">
        <f t="shared" si="291"/>
        <v>326.34285714285716</v>
      </c>
      <c r="Q827" s="20">
        <f t="shared" si="301"/>
        <v>325.71785714285716</v>
      </c>
      <c r="R827" s="20">
        <f t="shared" si="282"/>
        <v>325.09285714285716</v>
      </c>
      <c r="S827" s="20">
        <f t="shared" si="283"/>
        <v>325.71785714285716</v>
      </c>
      <c r="T827" s="20">
        <f t="shared" si="284"/>
        <v>325.71785714285716</v>
      </c>
      <c r="U827" s="20">
        <f t="shared" si="285"/>
        <v>325.71785714285716</v>
      </c>
      <c r="V827" s="22">
        <v>7.4127999999999998</v>
      </c>
      <c r="W827" s="22">
        <v>2.2240000000000002</v>
      </c>
      <c r="X827" s="23">
        <v>1.1476266666666668</v>
      </c>
      <c r="Y827" s="23">
        <f t="shared" si="292"/>
        <v>6.2651733333333333</v>
      </c>
      <c r="Z827" s="23">
        <f t="shared" si="293"/>
        <v>1.0763733333333334</v>
      </c>
      <c r="AA827" s="22">
        <f t="shared" si="294"/>
        <v>82.819735766821026</v>
      </c>
      <c r="AB827" s="22">
        <f t="shared" si="295"/>
        <v>17.180264233178974</v>
      </c>
      <c r="AC827" s="22">
        <f t="shared" si="286"/>
        <v>1.1319472613817481</v>
      </c>
      <c r="AD827" s="22">
        <f t="shared" si="287"/>
        <v>0.19447153048561736</v>
      </c>
      <c r="AE827" s="27">
        <v>10.428599999999999</v>
      </c>
      <c r="AF827" s="27">
        <v>10.5718</v>
      </c>
      <c r="AG827" s="27">
        <v>10.483000000000001</v>
      </c>
      <c r="AH827" s="26">
        <v>5.4399999999999997E-2</v>
      </c>
      <c r="AI827" s="26">
        <v>62.01117318</v>
      </c>
      <c r="AJ827" s="26">
        <f t="shared" si="288"/>
        <v>3.1005586590000003</v>
      </c>
      <c r="AK827" s="26">
        <f t="shared" si="289"/>
        <v>35.844608774566474</v>
      </c>
      <c r="AL827" s="26">
        <f t="shared" si="290"/>
        <v>3.1018646001880676</v>
      </c>
      <c r="AM827" s="17">
        <f t="shared" si="296"/>
        <v>0.5780346820809249</v>
      </c>
      <c r="AN827" s="28" t="s">
        <v>48</v>
      </c>
      <c r="AO827" s="27">
        <v>35</v>
      </c>
      <c r="AS827" s="49"/>
      <c r="AT827" s="25"/>
      <c r="AU827" s="17"/>
      <c r="AV827" s="17"/>
      <c r="AW827" s="17"/>
      <c r="AX827" s="27"/>
      <c r="BB827" s="17"/>
    </row>
    <row r="828" spans="1:54" x14ac:dyDescent="0.2">
      <c r="A828" s="17" t="s">
        <v>77</v>
      </c>
      <c r="B828" s="17" t="s">
        <v>78</v>
      </c>
      <c r="C828" s="17" t="str">
        <f t="shared" si="276"/>
        <v>HER42PB1I</v>
      </c>
      <c r="D828" s="17" t="str">
        <f t="shared" si="277"/>
        <v>HER42PB1I_297</v>
      </c>
      <c r="E828" s="27" t="s">
        <v>87</v>
      </c>
      <c r="F828" s="17">
        <v>297</v>
      </c>
      <c r="G828" s="20">
        <v>2.2999999999999998</v>
      </c>
      <c r="H828" s="20">
        <v>2.7</v>
      </c>
      <c r="I828" s="20">
        <v>1.25</v>
      </c>
      <c r="J828" s="22">
        <f t="shared" si="274"/>
        <v>6.1328125</v>
      </c>
      <c r="K828" s="53">
        <v>0.13571428571428532</v>
      </c>
      <c r="L828" s="45">
        <f t="shared" si="298"/>
        <v>6.478571428571426</v>
      </c>
      <c r="M828" s="45">
        <f t="shared" si="299"/>
        <v>7.728571428571426</v>
      </c>
      <c r="N828" s="46">
        <f t="shared" si="300"/>
        <v>7.103571428571426</v>
      </c>
      <c r="O828" s="20">
        <f t="shared" si="297"/>
        <v>326.47857142857146</v>
      </c>
      <c r="P828" s="20">
        <f t="shared" si="291"/>
        <v>327.72857142857146</v>
      </c>
      <c r="Q828" s="20">
        <f t="shared" si="301"/>
        <v>327.10357142857146</v>
      </c>
      <c r="R828" s="20">
        <f t="shared" si="282"/>
        <v>326.47857142857146</v>
      </c>
      <c r="S828" s="20">
        <f t="shared" si="283"/>
        <v>327.10357142857146</v>
      </c>
      <c r="T828" s="20">
        <f t="shared" si="284"/>
        <v>327.10357142857146</v>
      </c>
      <c r="U828" s="20">
        <f t="shared" si="285"/>
        <v>327.10357142857146</v>
      </c>
      <c r="V828" s="22">
        <v>7.9501999999999997</v>
      </c>
      <c r="W828" s="22">
        <v>2.2629000000000001</v>
      </c>
      <c r="X828" s="23">
        <v>1.1476266666666668</v>
      </c>
      <c r="Y828" s="23">
        <f t="shared" si="292"/>
        <v>6.8025733333333331</v>
      </c>
      <c r="Z828" s="23">
        <f t="shared" si="293"/>
        <v>1.1152733333333333</v>
      </c>
      <c r="AA828" s="22">
        <f t="shared" si="294"/>
        <v>83.605125903334624</v>
      </c>
      <c r="AB828" s="22">
        <f t="shared" si="295"/>
        <v>16.394874096665376</v>
      </c>
      <c r="AC828" s="22">
        <f t="shared" si="286"/>
        <v>1.1092094097664542</v>
      </c>
      <c r="AD828" s="22">
        <f t="shared" si="287"/>
        <v>0.18185348619957536</v>
      </c>
      <c r="AE828" s="27">
        <v>10.7547</v>
      </c>
      <c r="AF828" s="27">
        <v>10.8355</v>
      </c>
      <c r="AG828" s="27">
        <v>10.7774</v>
      </c>
      <c r="AH828" s="26">
        <v>2.2700000000000001E-2</v>
      </c>
      <c r="AI828" s="26">
        <v>71.90594059</v>
      </c>
      <c r="AJ828" s="26">
        <f t="shared" si="288"/>
        <v>3.5952970295000002</v>
      </c>
      <c r="AK828" s="26">
        <f t="shared" si="289"/>
        <v>41.564127508670524</v>
      </c>
      <c r="AL828" s="26">
        <f t="shared" si="290"/>
        <v>3.5964233246840567</v>
      </c>
      <c r="AM828" s="17">
        <f t="shared" si="296"/>
        <v>0.5780346820809249</v>
      </c>
      <c r="AN828" s="28" t="s">
        <v>49</v>
      </c>
      <c r="AO828" s="30">
        <f>AO826/AO827</f>
        <v>0.13571428571428532</v>
      </c>
      <c r="AS828" s="49"/>
      <c r="AT828" s="25"/>
      <c r="AU828" s="17"/>
      <c r="AV828" s="17"/>
      <c r="AW828" s="17"/>
      <c r="AX828" s="27"/>
      <c r="BB828" s="17"/>
    </row>
    <row r="829" spans="1:54" x14ac:dyDescent="0.2">
      <c r="A829" s="17" t="s">
        <v>77</v>
      </c>
      <c r="B829" s="17" t="s">
        <v>78</v>
      </c>
      <c r="C829" s="17" t="str">
        <f t="shared" si="276"/>
        <v>HER42PB1I</v>
      </c>
      <c r="D829" s="17" t="str">
        <f t="shared" si="277"/>
        <v>HER42PB1I_298</v>
      </c>
      <c r="E829" s="27" t="s">
        <v>87</v>
      </c>
      <c r="F829" s="17">
        <v>298</v>
      </c>
      <c r="G829" s="20">
        <v>2.4</v>
      </c>
      <c r="H829" s="20">
        <v>2.25</v>
      </c>
      <c r="I829" s="20">
        <v>1.25</v>
      </c>
      <c r="J829" s="22">
        <f t="shared" si="274"/>
        <v>5.304269531250001</v>
      </c>
      <c r="K829" s="53">
        <v>0.13571428571428532</v>
      </c>
      <c r="L829" s="45">
        <f t="shared" si="298"/>
        <v>7.8642857142857112</v>
      </c>
      <c r="M829" s="45">
        <f t="shared" si="299"/>
        <v>9.1142857142857103</v>
      </c>
      <c r="N829" s="46">
        <f t="shared" si="300"/>
        <v>8.4892857142857103</v>
      </c>
      <c r="O829" s="20">
        <f t="shared" si="297"/>
        <v>327.86428571428576</v>
      </c>
      <c r="P829" s="20">
        <f t="shared" si="291"/>
        <v>329.11428571428576</v>
      </c>
      <c r="Q829" s="20">
        <f t="shared" si="301"/>
        <v>328.48928571428576</v>
      </c>
      <c r="R829" s="20">
        <f t="shared" si="282"/>
        <v>327.86428571428576</v>
      </c>
      <c r="S829" s="20">
        <f t="shared" si="283"/>
        <v>328.48928571428576</v>
      </c>
      <c r="T829" s="20">
        <f t="shared" si="284"/>
        <v>328.48928571428576</v>
      </c>
      <c r="U829" s="20">
        <f t="shared" si="285"/>
        <v>328.48928571428576</v>
      </c>
      <c r="V829" s="22">
        <v>7.2516999999999996</v>
      </c>
      <c r="W829" s="22">
        <v>2.0623999999999998</v>
      </c>
      <c r="X829" s="23">
        <v>1.1476266666666668</v>
      </c>
      <c r="Y829" s="23">
        <f t="shared" si="292"/>
        <v>6.104073333333333</v>
      </c>
      <c r="Z829" s="23">
        <f t="shared" si="293"/>
        <v>0.91477333333333299</v>
      </c>
      <c r="AA829" s="22">
        <f t="shared" si="294"/>
        <v>85.013723076721462</v>
      </c>
      <c r="AB829" s="22">
        <f t="shared" si="295"/>
        <v>14.986276923278538</v>
      </c>
      <c r="AC829" s="22">
        <f t="shared" si="286"/>
        <v>1.1507849096602847</v>
      </c>
      <c r="AD829" s="22">
        <f t="shared" si="287"/>
        <v>0.17245981335299115</v>
      </c>
      <c r="AE829" s="27">
        <v>9.5380000000000003</v>
      </c>
      <c r="AF829" s="27">
        <v>9.6326000000000001</v>
      </c>
      <c r="AG829" s="27">
        <v>9.5588999999999995</v>
      </c>
      <c r="AH829" s="26">
        <v>2.0899999999999998E-2</v>
      </c>
      <c r="AI829" s="26">
        <v>77.906976740000005</v>
      </c>
      <c r="AJ829" s="26">
        <f t="shared" si="288"/>
        <v>3.8953488370000002</v>
      </c>
      <c r="AK829" s="26">
        <f t="shared" si="289"/>
        <v>45.032934531791916</v>
      </c>
      <c r="AL829" s="26">
        <f t="shared" si="290"/>
        <v>3.8963883997770621</v>
      </c>
      <c r="AM829" s="17">
        <f t="shared" si="296"/>
        <v>0.5780346820809249</v>
      </c>
      <c r="AN829" s="17"/>
      <c r="AO829" s="27"/>
      <c r="AS829" s="49"/>
      <c r="AT829" s="25"/>
      <c r="AU829" s="17"/>
      <c r="AV829" s="17"/>
      <c r="AW829" s="17"/>
      <c r="AX829" s="27"/>
      <c r="BB829" s="17"/>
    </row>
    <row r="830" spans="1:54" x14ac:dyDescent="0.2">
      <c r="A830" s="17" t="s">
        <v>77</v>
      </c>
      <c r="B830" s="17" t="s">
        <v>78</v>
      </c>
      <c r="C830" s="17" t="str">
        <f t="shared" si="276"/>
        <v>HER42PB1I</v>
      </c>
      <c r="D830" s="17" t="str">
        <f t="shared" si="277"/>
        <v>HER42PB1I_299</v>
      </c>
      <c r="E830" s="27" t="s">
        <v>87</v>
      </c>
      <c r="F830" s="17">
        <v>299</v>
      </c>
      <c r="G830" s="20">
        <v>2.35</v>
      </c>
      <c r="H830" s="20">
        <v>2.5499999999999998</v>
      </c>
      <c r="I830" s="20">
        <v>1.3</v>
      </c>
      <c r="J830" s="22">
        <f t="shared" si="274"/>
        <v>6.1255512500000018</v>
      </c>
      <c r="K830" s="53">
        <v>0.13571428571428532</v>
      </c>
      <c r="L830" s="45">
        <f t="shared" si="298"/>
        <v>9.2499999999999964</v>
      </c>
      <c r="M830" s="45">
        <f t="shared" si="299"/>
        <v>10.549999999999997</v>
      </c>
      <c r="N830" s="46">
        <f t="shared" si="300"/>
        <v>9.8999999999999968</v>
      </c>
      <c r="O830" s="20">
        <f t="shared" si="297"/>
        <v>329.25000000000006</v>
      </c>
      <c r="P830" s="20">
        <f t="shared" si="291"/>
        <v>330.55000000000007</v>
      </c>
      <c r="Q830" s="20">
        <f t="shared" si="301"/>
        <v>329.90000000000009</v>
      </c>
      <c r="R830" s="20">
        <f t="shared" si="282"/>
        <v>329.25000000000006</v>
      </c>
      <c r="S830" s="20">
        <f t="shared" si="283"/>
        <v>329.90000000000009</v>
      </c>
      <c r="T830" s="20">
        <f t="shared" si="284"/>
        <v>329.90000000000009</v>
      </c>
      <c r="U830" s="20">
        <f t="shared" si="285"/>
        <v>329.90000000000009</v>
      </c>
      <c r="V830" s="22">
        <v>8.0896000000000008</v>
      </c>
      <c r="W830" s="22">
        <v>2.2103999999999999</v>
      </c>
      <c r="X830" s="23">
        <v>1.1476266666666668</v>
      </c>
      <c r="Y830" s="23">
        <f t="shared" si="292"/>
        <v>6.9419733333333342</v>
      </c>
      <c r="Z830" s="23">
        <f t="shared" si="293"/>
        <v>1.0627733333333331</v>
      </c>
      <c r="AA830" s="22">
        <f t="shared" si="294"/>
        <v>84.690616308907366</v>
      </c>
      <c r="AB830" s="22">
        <f t="shared" si="295"/>
        <v>15.309383691092634</v>
      </c>
      <c r="AC830" s="22">
        <f t="shared" si="286"/>
        <v>1.1332814060340011</v>
      </c>
      <c r="AD830" s="22">
        <f t="shared" si="287"/>
        <v>0.17349839874955464</v>
      </c>
      <c r="AE830" s="27">
        <v>16.2073</v>
      </c>
      <c r="AF830" s="27">
        <v>16.266300000000001</v>
      </c>
      <c r="AG830" s="27">
        <v>16.219200000000001</v>
      </c>
      <c r="AH830" s="26">
        <v>1.1900000000000001E-2</v>
      </c>
      <c r="AI830" s="26">
        <v>79.830508469999998</v>
      </c>
      <c r="AJ830" s="26">
        <f t="shared" si="288"/>
        <v>3.9915254235000002</v>
      </c>
      <c r="AK830" s="26">
        <f t="shared" si="289"/>
        <v>46.144802583815029</v>
      </c>
      <c r="AL830" s="26">
        <f t="shared" si="290"/>
        <v>3.9925399442518863</v>
      </c>
      <c r="AM830" s="17">
        <f t="shared" si="296"/>
        <v>0.5780346820809249</v>
      </c>
      <c r="AN830" s="17"/>
      <c r="AO830" s="27"/>
      <c r="AS830" s="49"/>
      <c r="AT830" s="25"/>
      <c r="AU830" s="17"/>
      <c r="AV830" s="17"/>
      <c r="AW830" s="17"/>
      <c r="AX830" s="27"/>
      <c r="BB830" s="17"/>
    </row>
    <row r="831" spans="1:54" x14ac:dyDescent="0.2">
      <c r="A831" s="17" t="s">
        <v>77</v>
      </c>
      <c r="B831" s="17" t="s">
        <v>78</v>
      </c>
      <c r="C831" s="17" t="str">
        <f t="shared" si="276"/>
        <v>HER42PB1I</v>
      </c>
      <c r="D831" s="17" t="str">
        <f t="shared" si="277"/>
        <v>HER42PB1I_300</v>
      </c>
      <c r="E831" s="27" t="s">
        <v>87</v>
      </c>
      <c r="F831" s="17">
        <v>300</v>
      </c>
      <c r="G831" s="20">
        <v>2.4</v>
      </c>
      <c r="H831" s="20">
        <v>2.4</v>
      </c>
      <c r="I831" s="20">
        <v>1.3</v>
      </c>
      <c r="J831" s="22">
        <f t="shared" si="274"/>
        <v>5.8780799999999997</v>
      </c>
      <c r="K831" s="53">
        <v>0.13571428571428532</v>
      </c>
      <c r="L831" s="45">
        <f t="shared" si="298"/>
        <v>10.685714285714283</v>
      </c>
      <c r="M831" s="45">
        <f t="shared" si="299"/>
        <v>11.985714285714284</v>
      </c>
      <c r="N831" s="46">
        <f t="shared" si="300"/>
        <v>11.335714285714284</v>
      </c>
      <c r="O831" s="20">
        <f t="shared" si="297"/>
        <v>330.68571428571437</v>
      </c>
      <c r="P831" s="20">
        <f t="shared" si="291"/>
        <v>331.98571428571438</v>
      </c>
      <c r="Q831" s="20">
        <f t="shared" si="301"/>
        <v>331.3357142857144</v>
      </c>
      <c r="R831" s="20">
        <f t="shared" si="282"/>
        <v>330.68571428571437</v>
      </c>
      <c r="S831" s="20">
        <f t="shared" si="283"/>
        <v>331.3357142857144</v>
      </c>
      <c r="T831" s="20">
        <f t="shared" si="284"/>
        <v>331.3357142857144</v>
      </c>
      <c r="U831" s="20">
        <f t="shared" si="285"/>
        <v>331.3357142857144</v>
      </c>
      <c r="V831" s="22">
        <v>8.0576000000000008</v>
      </c>
      <c r="W831" s="22">
        <v>2.2105000000000001</v>
      </c>
      <c r="X831" s="23">
        <v>1.1476266666666668</v>
      </c>
      <c r="Y831" s="23">
        <f t="shared" si="292"/>
        <v>6.9099733333333342</v>
      </c>
      <c r="Z831" s="23">
        <f t="shared" si="293"/>
        <v>1.0628733333333333</v>
      </c>
      <c r="AA831" s="22">
        <f t="shared" si="294"/>
        <v>84.618271561105885</v>
      </c>
      <c r="AB831" s="22">
        <f t="shared" si="295"/>
        <v>15.381728438894115</v>
      </c>
      <c r="AC831" s="22">
        <f t="shared" si="286"/>
        <v>1.1755493857404686</v>
      </c>
      <c r="AD831" s="22">
        <f t="shared" si="287"/>
        <v>0.18081981417968679</v>
      </c>
      <c r="AE831" s="27">
        <v>12.4192</v>
      </c>
      <c r="AF831" s="27">
        <v>12.533799999999999</v>
      </c>
      <c r="AG831" s="27">
        <v>12.451499999999999</v>
      </c>
      <c r="AH831" s="26">
        <v>3.2300000000000002E-2</v>
      </c>
      <c r="AI831" s="26">
        <v>71.815008730000002</v>
      </c>
      <c r="AJ831" s="26">
        <f t="shared" si="288"/>
        <v>3.5907504365000005</v>
      </c>
      <c r="AK831" s="26">
        <f t="shared" si="289"/>
        <v>41.511565739884396</v>
      </c>
      <c r="AL831" s="26">
        <f t="shared" si="290"/>
        <v>3.5918781573467862</v>
      </c>
      <c r="AM831" s="17">
        <f t="shared" si="296"/>
        <v>0.5780346820809249</v>
      </c>
      <c r="AN831" s="17"/>
      <c r="AO831" s="27"/>
      <c r="AS831" s="49"/>
      <c r="AT831" s="25"/>
      <c r="AU831" s="17"/>
      <c r="AV831" s="17"/>
      <c r="AW831" s="17"/>
      <c r="AX831" s="27"/>
      <c r="BB831" s="17"/>
    </row>
    <row r="832" spans="1:54" x14ac:dyDescent="0.2">
      <c r="A832" s="17" t="s">
        <v>77</v>
      </c>
      <c r="B832" s="17" t="s">
        <v>78</v>
      </c>
      <c r="C832" s="17" t="str">
        <f t="shared" si="276"/>
        <v>HER42PB1I</v>
      </c>
      <c r="D832" s="17" t="str">
        <f t="shared" si="277"/>
        <v>HER42PB1I_301</v>
      </c>
      <c r="E832" s="27" t="s">
        <v>87</v>
      </c>
      <c r="F832" s="17">
        <v>301</v>
      </c>
      <c r="G832" s="20">
        <v>2.4</v>
      </c>
      <c r="H832" s="20">
        <v>2.25</v>
      </c>
      <c r="I832" s="20">
        <v>1.2</v>
      </c>
      <c r="J832" s="22">
        <f t="shared" si="274"/>
        <v>5.0920987500000008</v>
      </c>
      <c r="K832" s="53">
        <v>0.13571428571428532</v>
      </c>
      <c r="L832" s="45">
        <f t="shared" si="298"/>
        <v>12.12142857142857</v>
      </c>
      <c r="M832" s="45">
        <f t="shared" si="299"/>
        <v>13.321428571428569</v>
      </c>
      <c r="N832" s="46">
        <f t="shared" si="300"/>
        <v>12.72142857142857</v>
      </c>
      <c r="O832" s="20">
        <f t="shared" si="297"/>
        <v>332.12142857142868</v>
      </c>
      <c r="P832" s="20">
        <f t="shared" si="291"/>
        <v>333.32142857142867</v>
      </c>
      <c r="Q832" s="20">
        <f t="shared" si="301"/>
        <v>332.72142857142865</v>
      </c>
      <c r="R832" s="20">
        <f t="shared" si="282"/>
        <v>332.12142857142868</v>
      </c>
      <c r="S832" s="20">
        <f t="shared" si="283"/>
        <v>332.72142857142865</v>
      </c>
      <c r="T832" s="20">
        <f t="shared" si="284"/>
        <v>332.72142857142865</v>
      </c>
      <c r="U832" s="20">
        <f t="shared" si="285"/>
        <v>332.72142857142865</v>
      </c>
      <c r="V832" s="22">
        <v>7.2027999999999999</v>
      </c>
      <c r="W832" s="22">
        <v>2.1189</v>
      </c>
      <c r="X832" s="23">
        <v>1.1476266666666668</v>
      </c>
      <c r="Y832" s="23">
        <f t="shared" si="292"/>
        <v>6.0551733333333333</v>
      </c>
      <c r="Z832" s="23">
        <f t="shared" si="293"/>
        <v>0.97127333333333321</v>
      </c>
      <c r="AA832" s="22">
        <f t="shared" si="294"/>
        <v>83.95961139565506</v>
      </c>
      <c r="AB832" s="22">
        <f t="shared" si="295"/>
        <v>16.04038860434494</v>
      </c>
      <c r="AC832" s="22">
        <f t="shared" si="286"/>
        <v>1.1891311678378846</v>
      </c>
      <c r="AD832" s="22">
        <f t="shared" si="287"/>
        <v>0.19074126033658187</v>
      </c>
      <c r="AE832" s="27">
        <v>16.2181</v>
      </c>
      <c r="AF832" s="27">
        <v>16.364699999999999</v>
      </c>
      <c r="AG832" s="27">
        <v>16.265599999999999</v>
      </c>
      <c r="AH832" s="26">
        <v>4.7500000000000001E-2</v>
      </c>
      <c r="AI832" s="26">
        <v>67.598908589999994</v>
      </c>
      <c r="AJ832" s="26">
        <f t="shared" si="288"/>
        <v>3.3799454294999998</v>
      </c>
      <c r="AK832" s="26">
        <f t="shared" si="289"/>
        <v>39.074513635838152</v>
      </c>
      <c r="AL832" s="26">
        <f t="shared" si="290"/>
        <v>3.3811434613748554</v>
      </c>
      <c r="AM832" s="17">
        <f t="shared" si="296"/>
        <v>0.5780346820809249</v>
      </c>
      <c r="AN832" s="17"/>
      <c r="AO832" s="27"/>
      <c r="AS832" s="49"/>
      <c r="AT832" s="25"/>
      <c r="AU832" s="17"/>
      <c r="AV832" s="17"/>
      <c r="AW832" s="17"/>
      <c r="AX832" s="27"/>
      <c r="BB832" s="17"/>
    </row>
    <row r="833" spans="1:54" x14ac:dyDescent="0.2">
      <c r="A833" s="17" t="s">
        <v>77</v>
      </c>
      <c r="B833" s="17" t="s">
        <v>78</v>
      </c>
      <c r="C833" s="17" t="str">
        <f t="shared" si="276"/>
        <v>HER42PB1I</v>
      </c>
      <c r="D833" s="17" t="str">
        <f t="shared" si="277"/>
        <v>HER42PB1I_302</v>
      </c>
      <c r="E833" s="27" t="s">
        <v>87</v>
      </c>
      <c r="F833" s="17">
        <v>302</v>
      </c>
      <c r="G833" s="20">
        <v>2.4500000000000002</v>
      </c>
      <c r="H833" s="20">
        <v>2.4</v>
      </c>
      <c r="I833" s="20">
        <v>1.35</v>
      </c>
      <c r="J833" s="22">
        <f t="shared" si="274"/>
        <v>6.2319923437499991</v>
      </c>
      <c r="K833" s="53">
        <v>0.13571428571428532</v>
      </c>
      <c r="L833" s="45">
        <f t="shared" si="298"/>
        <v>13.457142857142856</v>
      </c>
      <c r="M833" s="45">
        <f t="shared" si="299"/>
        <v>14.807142857142855</v>
      </c>
      <c r="N833" s="46">
        <f t="shared" si="300"/>
        <v>14.132142857142856</v>
      </c>
      <c r="O833" s="20">
        <f t="shared" si="297"/>
        <v>333.45714285714297</v>
      </c>
      <c r="P833" s="20">
        <f t="shared" si="291"/>
        <v>334.80714285714299</v>
      </c>
      <c r="Q833" s="20">
        <f t="shared" si="301"/>
        <v>334.13214285714298</v>
      </c>
      <c r="R833" s="20">
        <f t="shared" si="282"/>
        <v>333.45714285714297</v>
      </c>
      <c r="S833" s="20">
        <f t="shared" si="283"/>
        <v>334.13214285714298</v>
      </c>
      <c r="T833" s="20">
        <f t="shared" si="284"/>
        <v>334.13214285714298</v>
      </c>
      <c r="U833" s="20">
        <f t="shared" si="285"/>
        <v>334.13214285714298</v>
      </c>
      <c r="V833" s="22">
        <v>8.4716000000000005</v>
      </c>
      <c r="W833" s="22">
        <v>2.2564000000000002</v>
      </c>
      <c r="X833" s="23">
        <v>1.1476266666666668</v>
      </c>
      <c r="Y833" s="23">
        <f t="shared" si="292"/>
        <v>7.3239733333333339</v>
      </c>
      <c r="Z833" s="23">
        <f t="shared" si="293"/>
        <v>1.1087733333333334</v>
      </c>
      <c r="AA833" s="22">
        <f t="shared" si="294"/>
        <v>84.861040819373088</v>
      </c>
      <c r="AB833" s="22">
        <f t="shared" si="295"/>
        <v>15.138959180626912</v>
      </c>
      <c r="AC833" s="22">
        <f t="shared" si="286"/>
        <v>1.1752218117980313</v>
      </c>
      <c r="AD833" s="22">
        <f t="shared" si="287"/>
        <v>0.17791635036992795</v>
      </c>
      <c r="AE833" s="27">
        <v>13.2072</v>
      </c>
      <c r="AF833" s="27">
        <v>13.3339</v>
      </c>
      <c r="AG833" s="27">
        <v>13.237500000000001</v>
      </c>
      <c r="AH833" s="26">
        <v>3.0300000000000001E-2</v>
      </c>
      <c r="AI833" s="26">
        <v>76.085240729999995</v>
      </c>
      <c r="AJ833" s="26">
        <f t="shared" si="288"/>
        <v>3.8042620364999999</v>
      </c>
      <c r="AK833" s="26">
        <f t="shared" si="289"/>
        <v>43.979907936416183</v>
      </c>
      <c r="AL833" s="26">
        <f t="shared" si="290"/>
        <v>3.8053264830176041</v>
      </c>
      <c r="AM833" s="17">
        <f t="shared" si="296"/>
        <v>0.5780346820809249</v>
      </c>
      <c r="AN833" s="17"/>
      <c r="AO833" s="27"/>
      <c r="AS833" s="49"/>
      <c r="AT833" s="25"/>
      <c r="AU833" s="17"/>
      <c r="AV833" s="17"/>
      <c r="AW833" s="17"/>
      <c r="AX833" s="27"/>
      <c r="BB833" s="17"/>
    </row>
    <row r="834" spans="1:54" x14ac:dyDescent="0.2">
      <c r="A834" s="17" t="s">
        <v>77</v>
      </c>
      <c r="B834" s="17" t="s">
        <v>78</v>
      </c>
      <c r="C834" s="17" t="str">
        <f t="shared" si="276"/>
        <v>HER42PB1I</v>
      </c>
      <c r="D834" s="17" t="str">
        <f t="shared" si="277"/>
        <v>HER42PB1I_303</v>
      </c>
      <c r="E834" s="27" t="s">
        <v>87</v>
      </c>
      <c r="F834" s="17">
        <v>303</v>
      </c>
      <c r="G834" s="20">
        <v>2.4</v>
      </c>
      <c r="H834" s="20">
        <v>2.4500000000000002</v>
      </c>
      <c r="I834" s="20">
        <v>1.3</v>
      </c>
      <c r="J834" s="22">
        <f t="shared" si="274"/>
        <v>6.001177812499999</v>
      </c>
      <c r="K834" s="53">
        <v>0.13571428571428532</v>
      </c>
      <c r="L834" s="45">
        <f t="shared" si="298"/>
        <v>14.942857142857141</v>
      </c>
      <c r="M834" s="45">
        <f t="shared" si="299"/>
        <v>16.24285714285714</v>
      </c>
      <c r="N834" s="46">
        <f t="shared" si="300"/>
        <v>15.592857142857142</v>
      </c>
      <c r="O834" s="20">
        <f t="shared" si="297"/>
        <v>334.94285714285729</v>
      </c>
      <c r="P834" s="20">
        <f t="shared" si="291"/>
        <v>336.2428571428573</v>
      </c>
      <c r="Q834" s="20">
        <f t="shared" si="301"/>
        <v>335.59285714285727</v>
      </c>
      <c r="R834" s="20">
        <f t="shared" si="282"/>
        <v>334.94285714285729</v>
      </c>
      <c r="S834" s="20">
        <f t="shared" si="283"/>
        <v>335.59285714285727</v>
      </c>
      <c r="T834" s="20">
        <f t="shared" si="284"/>
        <v>335.59285714285727</v>
      </c>
      <c r="U834" s="20">
        <f t="shared" si="285"/>
        <v>335.59285714285727</v>
      </c>
      <c r="V834" s="22">
        <v>7.5640999999999998</v>
      </c>
      <c r="W834" s="22">
        <v>1.9748000000000001</v>
      </c>
      <c r="X834" s="23">
        <v>1.1476266666666668</v>
      </c>
      <c r="Y834" s="23">
        <f t="shared" si="292"/>
        <v>6.4164733333333333</v>
      </c>
      <c r="Z834" s="23">
        <f t="shared" si="293"/>
        <v>0.82717333333333332</v>
      </c>
      <c r="AA834" s="22">
        <f t="shared" si="294"/>
        <v>87.10859859673694</v>
      </c>
      <c r="AB834" s="22">
        <f t="shared" si="295"/>
        <v>12.89140140326306</v>
      </c>
      <c r="AC834" s="22">
        <f t="shared" si="286"/>
        <v>1.0692023355762439</v>
      </c>
      <c r="AD834" s="22">
        <f t="shared" si="287"/>
        <v>0.1378351648921973</v>
      </c>
      <c r="AE834" s="27">
        <v>12.6425</v>
      </c>
      <c r="AF834" s="27">
        <v>12.7887</v>
      </c>
      <c r="AG834" s="27">
        <v>12.6746</v>
      </c>
      <c r="AH834" s="26">
        <v>3.2099999999999997E-2</v>
      </c>
      <c r="AI834" s="26">
        <v>78.043775650000001</v>
      </c>
      <c r="AJ834" s="26">
        <f t="shared" si="288"/>
        <v>3.9021887825000001</v>
      </c>
      <c r="AK834" s="26">
        <f t="shared" si="289"/>
        <v>45.112009046242775</v>
      </c>
      <c r="AL834" s="26">
        <f t="shared" si="290"/>
        <v>3.9032265235659631</v>
      </c>
      <c r="AM834" s="17">
        <f t="shared" si="296"/>
        <v>0.5780346820809249</v>
      </c>
      <c r="AN834" s="17"/>
      <c r="AO834" s="27"/>
      <c r="AS834" s="49"/>
      <c r="AT834" s="25"/>
      <c r="AU834" s="17"/>
      <c r="AV834" s="17"/>
      <c r="AW834" s="17"/>
      <c r="AX834" s="27"/>
      <c r="BB834" s="17"/>
    </row>
    <row r="835" spans="1:54" x14ac:dyDescent="0.2">
      <c r="A835" s="17" t="s">
        <v>77</v>
      </c>
      <c r="B835" s="17" t="s">
        <v>78</v>
      </c>
      <c r="C835" s="17" t="str">
        <f t="shared" si="276"/>
        <v>HER42PB1I</v>
      </c>
      <c r="D835" s="17" t="str">
        <f t="shared" si="277"/>
        <v>HER42PB1I_304</v>
      </c>
      <c r="E835" s="27" t="s">
        <v>87</v>
      </c>
      <c r="F835" s="17">
        <v>304</v>
      </c>
      <c r="G835" s="20">
        <v>2.4</v>
      </c>
      <c r="H835" s="20">
        <v>2.35</v>
      </c>
      <c r="I835" s="20">
        <v>1.25</v>
      </c>
      <c r="J835" s="22">
        <f t="shared" si="274"/>
        <v>5.5348632812499998</v>
      </c>
      <c r="K835" s="53">
        <v>0.13571428571428532</v>
      </c>
      <c r="L835" s="45">
        <f t="shared" si="298"/>
        <v>16.378571428571426</v>
      </c>
      <c r="M835" s="45">
        <f t="shared" si="299"/>
        <v>17.628571428571426</v>
      </c>
      <c r="N835" s="46">
        <f t="shared" si="300"/>
        <v>17.003571428571426</v>
      </c>
      <c r="O835" s="20">
        <f t="shared" si="297"/>
        <v>336.3785714285716</v>
      </c>
      <c r="P835" s="20">
        <f t="shared" si="291"/>
        <v>337.6285714285716</v>
      </c>
      <c r="Q835" s="20">
        <f t="shared" si="301"/>
        <v>337.0035714285716</v>
      </c>
      <c r="R835" s="20">
        <f t="shared" si="282"/>
        <v>336.3785714285716</v>
      </c>
      <c r="S835" s="20">
        <f t="shared" si="283"/>
        <v>337.0035714285716</v>
      </c>
      <c r="T835" s="20">
        <f t="shared" si="284"/>
        <v>337.0035714285716</v>
      </c>
      <c r="U835" s="20">
        <f t="shared" si="285"/>
        <v>337.0035714285716</v>
      </c>
      <c r="V835" s="22">
        <v>7.9158999999999997</v>
      </c>
      <c r="W835" s="22">
        <v>2.1471</v>
      </c>
      <c r="X835" s="23">
        <v>1.1476266666666668</v>
      </c>
      <c r="Y835" s="23">
        <f t="shared" si="292"/>
        <v>6.7682733333333331</v>
      </c>
      <c r="Z835" s="23">
        <f t="shared" si="293"/>
        <v>0.99947333333333321</v>
      </c>
      <c r="AA835" s="22">
        <f t="shared" si="294"/>
        <v>85.232964389736026</v>
      </c>
      <c r="AB835" s="22">
        <f t="shared" si="295"/>
        <v>14.767035610263974</v>
      </c>
      <c r="AC835" s="22">
        <f t="shared" si="286"/>
        <v>1.2228438155395194</v>
      </c>
      <c r="AD835" s="22">
        <f t="shared" si="287"/>
        <v>0.18057778169863142</v>
      </c>
      <c r="AE835" s="27">
        <v>17.424600000000002</v>
      </c>
      <c r="AF835" s="27">
        <v>17.502500000000001</v>
      </c>
      <c r="AG835" s="27">
        <v>17.446200000000001</v>
      </c>
      <c r="AH835" s="26">
        <v>2.1600000000000001E-2</v>
      </c>
      <c r="AI835" s="26">
        <v>72.27214377</v>
      </c>
      <c r="AJ835" s="26">
        <f t="shared" si="288"/>
        <v>3.6136071885000001</v>
      </c>
      <c r="AK835" s="26">
        <f t="shared" si="289"/>
        <v>41.775805647398847</v>
      </c>
      <c r="AL835" s="26">
        <f t="shared" si="290"/>
        <v>3.6147277785165062</v>
      </c>
      <c r="AM835" s="17">
        <f t="shared" si="296"/>
        <v>0.5780346820809249</v>
      </c>
      <c r="AN835" s="17"/>
      <c r="AO835" s="27"/>
      <c r="AS835" s="49"/>
      <c r="AT835" s="25"/>
      <c r="AU835" s="17"/>
      <c r="AV835" s="17"/>
      <c r="AW835" s="17"/>
      <c r="AX835" s="27"/>
      <c r="BB835" s="17"/>
    </row>
    <row r="836" spans="1:54" x14ac:dyDescent="0.2">
      <c r="A836" s="17" t="s">
        <v>77</v>
      </c>
      <c r="B836" s="17" t="s">
        <v>78</v>
      </c>
      <c r="C836" s="17" t="str">
        <f t="shared" si="276"/>
        <v>HER42PB1I</v>
      </c>
      <c r="D836" s="17" t="str">
        <f t="shared" si="277"/>
        <v>HER42PB1I_305</v>
      </c>
      <c r="E836" s="27" t="s">
        <v>87</v>
      </c>
      <c r="F836" s="17">
        <v>305</v>
      </c>
      <c r="G836" s="20">
        <v>2.4500000000000002</v>
      </c>
      <c r="H836" s="20">
        <v>2.35</v>
      </c>
      <c r="I836" s="20">
        <v>1.25</v>
      </c>
      <c r="J836" s="22">
        <f t="shared" si="274"/>
        <v>5.6520000000000019</v>
      </c>
      <c r="K836" s="53">
        <v>0.13571428571428532</v>
      </c>
      <c r="L836" s="45">
        <f t="shared" si="298"/>
        <v>17.764285714285712</v>
      </c>
      <c r="M836" s="45">
        <f t="shared" si="299"/>
        <v>19.014285714285712</v>
      </c>
      <c r="N836" s="46">
        <f t="shared" si="300"/>
        <v>18.389285714285712</v>
      </c>
      <c r="O836" s="20">
        <f t="shared" si="297"/>
        <v>337.7642857142859</v>
      </c>
      <c r="P836" s="20">
        <f t="shared" si="291"/>
        <v>339.0142857142859</v>
      </c>
      <c r="Q836" s="20">
        <f t="shared" si="301"/>
        <v>338.3892857142859</v>
      </c>
      <c r="R836" s="20">
        <f t="shared" si="282"/>
        <v>337.7642857142859</v>
      </c>
      <c r="S836" s="20">
        <f t="shared" si="283"/>
        <v>338.3892857142859</v>
      </c>
      <c r="T836" s="20">
        <f t="shared" si="284"/>
        <v>338.3892857142859</v>
      </c>
      <c r="U836" s="20">
        <f t="shared" si="285"/>
        <v>338.3892857142859</v>
      </c>
      <c r="V836" s="22">
        <v>7.7087000000000003</v>
      </c>
      <c r="W836" s="22">
        <v>2.0752000000000002</v>
      </c>
      <c r="X836" s="23">
        <v>1.1476266666666668</v>
      </c>
      <c r="Y836" s="23">
        <f t="shared" si="292"/>
        <v>6.5610733333333338</v>
      </c>
      <c r="Z836" s="23">
        <f t="shared" si="293"/>
        <v>0.92757333333333336</v>
      </c>
      <c r="AA836" s="22">
        <f t="shared" si="294"/>
        <v>85.862475753459051</v>
      </c>
      <c r="AB836" s="22">
        <f t="shared" si="295"/>
        <v>14.137524246540949</v>
      </c>
      <c r="AC836" s="22">
        <f t="shared" si="286"/>
        <v>1.1608410002359044</v>
      </c>
      <c r="AD836" s="22">
        <f t="shared" si="287"/>
        <v>0.16411417787213961</v>
      </c>
      <c r="AE836" s="27">
        <v>14.7933</v>
      </c>
      <c r="AF836" s="27">
        <v>14.928800000000001</v>
      </c>
      <c r="AG836" s="27">
        <v>14.8307</v>
      </c>
      <c r="AH836" s="26">
        <v>3.7400000000000003E-2</v>
      </c>
      <c r="AI836" s="26">
        <v>72.398523990000001</v>
      </c>
      <c r="AJ836" s="26">
        <f t="shared" si="288"/>
        <v>3.6199261995000001</v>
      </c>
      <c r="AK836" s="26">
        <f t="shared" si="289"/>
        <v>41.848857797687863</v>
      </c>
      <c r="AL836" s="26">
        <f t="shared" si="290"/>
        <v>3.6210448339984023</v>
      </c>
      <c r="AM836" s="17">
        <f t="shared" si="296"/>
        <v>0.5780346820809249</v>
      </c>
      <c r="AN836" s="17"/>
      <c r="AO836" s="27"/>
      <c r="AS836" s="49"/>
      <c r="AT836" s="25"/>
      <c r="AU836" s="17"/>
      <c r="AV836" s="17"/>
      <c r="AW836" s="17"/>
      <c r="AX836" s="27"/>
      <c r="BB836" s="17"/>
    </row>
    <row r="837" spans="1:54" x14ac:dyDescent="0.2">
      <c r="A837" s="17" t="s">
        <v>77</v>
      </c>
      <c r="B837" s="17" t="s">
        <v>78</v>
      </c>
      <c r="C837" s="17" t="str">
        <f t="shared" si="276"/>
        <v>HER42PB1I</v>
      </c>
      <c r="D837" s="17" t="str">
        <f t="shared" si="277"/>
        <v>HER42PB1I_306</v>
      </c>
      <c r="E837" s="27" t="s">
        <v>87</v>
      </c>
      <c r="F837" s="17">
        <v>306</v>
      </c>
      <c r="G837" s="20">
        <v>2.4500000000000002</v>
      </c>
      <c r="H837" s="20">
        <v>2.5</v>
      </c>
      <c r="I837" s="20">
        <v>1.1000000000000001</v>
      </c>
      <c r="J837" s="22">
        <f t="shared" si="274"/>
        <v>5.2894771875000011</v>
      </c>
      <c r="K837" s="53">
        <v>0.13571428571428532</v>
      </c>
      <c r="L837" s="45">
        <f t="shared" si="298"/>
        <v>19.149999999999999</v>
      </c>
      <c r="M837" s="45">
        <f t="shared" si="299"/>
        <v>20.25</v>
      </c>
      <c r="N837" s="46">
        <f t="shared" si="300"/>
        <v>19.7</v>
      </c>
      <c r="O837" s="20">
        <f t="shared" si="297"/>
        <v>339.1500000000002</v>
      </c>
      <c r="P837" s="20">
        <f t="shared" si="291"/>
        <v>340.25000000000023</v>
      </c>
      <c r="Q837" s="20">
        <f t="shared" si="301"/>
        <v>339.70000000000022</v>
      </c>
      <c r="R837" s="20">
        <f t="shared" si="282"/>
        <v>339.1500000000002</v>
      </c>
      <c r="S837" s="20">
        <f t="shared" si="283"/>
        <v>339.70000000000022</v>
      </c>
      <c r="T837" s="20">
        <f t="shared" si="284"/>
        <v>339.70000000000022</v>
      </c>
      <c r="U837" s="20">
        <f t="shared" si="285"/>
        <v>339.70000000000022</v>
      </c>
      <c r="V837" s="22">
        <v>7.0464000000000002</v>
      </c>
      <c r="W837" s="22">
        <v>1.9462999999999999</v>
      </c>
      <c r="X837" s="23">
        <v>1.1476266666666668</v>
      </c>
      <c r="Y837" s="23">
        <f t="shared" si="292"/>
        <v>5.8987733333333336</v>
      </c>
      <c r="Z837" s="23">
        <f t="shared" si="293"/>
        <v>0.79867333333333312</v>
      </c>
      <c r="AA837" s="22">
        <f t="shared" si="294"/>
        <v>86.460348818285382</v>
      </c>
      <c r="AB837" s="22">
        <f t="shared" si="295"/>
        <v>13.539651181714618</v>
      </c>
      <c r="AC837" s="22">
        <f t="shared" si="286"/>
        <v>1.1151902398356515</v>
      </c>
      <c r="AD837" s="22">
        <f t="shared" si="287"/>
        <v>0.1509928684862738</v>
      </c>
      <c r="AE837" s="27">
        <v>16.777200000000001</v>
      </c>
      <c r="AF837" s="27">
        <v>16.818899999999999</v>
      </c>
      <c r="AG837" s="27">
        <v>16.785399999999999</v>
      </c>
      <c r="AH837" s="26">
        <v>8.2000000000000007E-3</v>
      </c>
      <c r="AI837" s="26">
        <v>80.335731409999994</v>
      </c>
      <c r="AJ837" s="26">
        <f t="shared" si="288"/>
        <v>4.0167865704999999</v>
      </c>
      <c r="AK837" s="26">
        <f t="shared" si="289"/>
        <v>46.436838965317918</v>
      </c>
      <c r="AL837" s="26">
        <f t="shared" si="290"/>
        <v>4.0177947126438838</v>
      </c>
      <c r="AM837" s="17">
        <f t="shared" si="296"/>
        <v>0.5780346820809249</v>
      </c>
      <c r="AN837" s="17"/>
      <c r="AO837" s="27"/>
      <c r="AS837" s="49"/>
      <c r="AT837" s="25"/>
      <c r="AU837" s="17"/>
      <c r="AV837" s="17"/>
      <c r="AW837" s="17"/>
      <c r="AX837" s="27"/>
      <c r="BB837" s="17"/>
    </row>
    <row r="838" spans="1:54" x14ac:dyDescent="0.2">
      <c r="A838" s="17" t="s">
        <v>77</v>
      </c>
      <c r="B838" s="17" t="s">
        <v>78</v>
      </c>
      <c r="C838" s="17" t="str">
        <f t="shared" si="276"/>
        <v>HER42PB1I</v>
      </c>
      <c r="D838" s="17" t="str">
        <f t="shared" si="277"/>
        <v>HER42PB1I_307</v>
      </c>
      <c r="E838" s="27" t="s">
        <v>87</v>
      </c>
      <c r="F838" s="17">
        <v>307</v>
      </c>
      <c r="G838" s="20">
        <v>2.4500000000000002</v>
      </c>
      <c r="H838" s="20">
        <v>2.5</v>
      </c>
      <c r="I838" s="20">
        <v>1.25</v>
      </c>
      <c r="J838" s="22">
        <f t="shared" si="274"/>
        <v>6.0107695312500002</v>
      </c>
      <c r="K838" s="53">
        <v>0.13571428571428532</v>
      </c>
      <c r="L838" s="45">
        <f t="shared" si="298"/>
        <v>20.385714285714286</v>
      </c>
      <c r="M838" s="45">
        <f t="shared" si="299"/>
        <v>21.635714285714286</v>
      </c>
      <c r="N838" s="46">
        <f t="shared" si="300"/>
        <v>21.010714285714286</v>
      </c>
      <c r="O838" s="20">
        <f t="shared" si="297"/>
        <v>340.38571428571453</v>
      </c>
      <c r="P838" s="20">
        <f t="shared" si="291"/>
        <v>341.63571428571453</v>
      </c>
      <c r="Q838" s="20">
        <f t="shared" si="301"/>
        <v>341.01071428571453</v>
      </c>
      <c r="R838" s="20">
        <f t="shared" si="282"/>
        <v>340.38571428571453</v>
      </c>
      <c r="S838" s="20">
        <f t="shared" si="283"/>
        <v>341.01071428571453</v>
      </c>
      <c r="T838" s="20">
        <f t="shared" si="284"/>
        <v>341.01071428571453</v>
      </c>
      <c r="U838" s="20">
        <f t="shared" si="285"/>
        <v>341.01071428571453</v>
      </c>
      <c r="V838" s="22">
        <v>8.0446000000000009</v>
      </c>
      <c r="W838" s="22">
        <v>2.1749000000000001</v>
      </c>
      <c r="X838" s="23">
        <v>1.1476266666666668</v>
      </c>
      <c r="Y838" s="23">
        <f t="shared" si="292"/>
        <v>6.8969733333333343</v>
      </c>
      <c r="Z838" s="23">
        <f t="shared" si="293"/>
        <v>1.0272733333333333</v>
      </c>
      <c r="AA838" s="22">
        <f t="shared" si="294"/>
        <v>85.105447220326596</v>
      </c>
      <c r="AB838" s="22">
        <f t="shared" si="295"/>
        <v>14.894552779673404</v>
      </c>
      <c r="AC838" s="22">
        <f t="shared" si="286"/>
        <v>1.1474359975833308</v>
      </c>
      <c r="AD838" s="22">
        <f t="shared" si="287"/>
        <v>0.17090546027302123</v>
      </c>
      <c r="AE838" s="27">
        <v>16.820399999999999</v>
      </c>
      <c r="AF838" s="27">
        <v>16.912299999999998</v>
      </c>
      <c r="AG838" s="27">
        <v>16.8476</v>
      </c>
      <c r="AH838" s="26">
        <v>2.7199999999999998E-2</v>
      </c>
      <c r="AI838" s="26">
        <v>70.402611530000001</v>
      </c>
      <c r="AJ838" s="26">
        <f t="shared" si="288"/>
        <v>3.5201305765000002</v>
      </c>
      <c r="AK838" s="26">
        <f t="shared" si="289"/>
        <v>40.695151173410409</v>
      </c>
      <c r="AL838" s="26">
        <f t="shared" si="290"/>
        <v>3.5212809140439538</v>
      </c>
      <c r="AM838" s="17">
        <f t="shared" si="296"/>
        <v>0.5780346820809249</v>
      </c>
      <c r="AN838" s="17"/>
      <c r="AO838" s="27"/>
      <c r="AS838" s="49"/>
      <c r="AT838" s="25"/>
      <c r="AU838" s="17"/>
      <c r="AV838" s="17"/>
      <c r="AW838" s="17"/>
      <c r="AX838" s="27"/>
      <c r="BB838" s="17"/>
    </row>
    <row r="839" spans="1:54" x14ac:dyDescent="0.2">
      <c r="A839" s="17" t="s">
        <v>77</v>
      </c>
      <c r="B839" s="17" t="s">
        <v>78</v>
      </c>
      <c r="C839" s="17" t="str">
        <f t="shared" si="276"/>
        <v>HER42PB1I</v>
      </c>
      <c r="D839" s="17" t="str">
        <f t="shared" si="277"/>
        <v>HER42PB1I_308</v>
      </c>
      <c r="E839" s="27" t="s">
        <v>87</v>
      </c>
      <c r="F839" s="17">
        <v>308</v>
      </c>
      <c r="G839" s="20">
        <v>2.4</v>
      </c>
      <c r="H839" s="20">
        <v>2.4500000000000002</v>
      </c>
      <c r="I839" s="20">
        <v>1.35</v>
      </c>
      <c r="J839" s="22">
        <f t="shared" si="274"/>
        <v>6.2319923437499991</v>
      </c>
      <c r="K839" s="53">
        <v>0.13571428571428532</v>
      </c>
      <c r="L839" s="45">
        <f t="shared" si="298"/>
        <v>21.771428571428572</v>
      </c>
      <c r="M839" s="45">
        <f t="shared" si="299"/>
        <v>23.121428571428574</v>
      </c>
      <c r="N839" s="46">
        <f t="shared" si="300"/>
        <v>22.446428571428573</v>
      </c>
      <c r="O839" s="20">
        <f t="shared" si="297"/>
        <v>341.77142857142883</v>
      </c>
      <c r="P839" s="20">
        <f t="shared" si="291"/>
        <v>343.12142857142885</v>
      </c>
      <c r="Q839" s="20">
        <f t="shared" si="301"/>
        <v>342.44642857142884</v>
      </c>
      <c r="R839" s="20">
        <f t="shared" si="282"/>
        <v>341.77142857142883</v>
      </c>
      <c r="S839" s="20">
        <f t="shared" si="283"/>
        <v>342.44642857142884</v>
      </c>
      <c r="T839" s="20">
        <f t="shared" si="284"/>
        <v>342.44642857142884</v>
      </c>
      <c r="U839" s="20">
        <f t="shared" si="285"/>
        <v>342.44642857142884</v>
      </c>
      <c r="V839" s="22">
        <v>7.9676</v>
      </c>
      <c r="W839" s="22">
        <v>2.1204999999999998</v>
      </c>
      <c r="X839" s="23">
        <v>1.1476266666666668</v>
      </c>
      <c r="Y839" s="23">
        <f t="shared" si="292"/>
        <v>6.8199733333333334</v>
      </c>
      <c r="Z839" s="23">
        <f t="shared" si="293"/>
        <v>0.97287333333333303</v>
      </c>
      <c r="AA839" s="22">
        <f t="shared" si="294"/>
        <v>85.734939335051166</v>
      </c>
      <c r="AB839" s="22">
        <f t="shared" si="295"/>
        <v>14.265060664948834</v>
      </c>
      <c r="AC839" s="22">
        <f t="shared" si="286"/>
        <v>1.0943487984501481</v>
      </c>
      <c r="AD839" s="22">
        <f t="shared" si="287"/>
        <v>0.15610951998505224</v>
      </c>
      <c r="AE839" s="27">
        <v>16.2058</v>
      </c>
      <c r="AF839" s="27">
        <v>16.308399999999999</v>
      </c>
      <c r="AG839" s="27">
        <v>16.232399999999998</v>
      </c>
      <c r="AH839" s="26">
        <v>2.6599999999999999E-2</v>
      </c>
      <c r="AI839" s="26">
        <v>74.074074069999995</v>
      </c>
      <c r="AJ839" s="26">
        <f t="shared" si="288"/>
        <v>3.7037037035</v>
      </c>
      <c r="AK839" s="26">
        <f t="shared" si="289"/>
        <v>42.817383855491329</v>
      </c>
      <c r="AL839" s="26">
        <f t="shared" si="290"/>
        <v>3.7047970421224989</v>
      </c>
      <c r="AM839" s="17">
        <f t="shared" si="296"/>
        <v>0.5780346820809249</v>
      </c>
      <c r="AN839" s="17"/>
      <c r="AO839" s="27"/>
      <c r="AS839" s="49"/>
      <c r="AT839" s="25"/>
      <c r="AU839" s="17"/>
      <c r="AV839" s="17"/>
      <c r="AW839" s="17"/>
      <c r="AX839" s="27"/>
      <c r="BB839" s="17"/>
    </row>
    <row r="840" spans="1:54" x14ac:dyDescent="0.2">
      <c r="A840" s="17" t="s">
        <v>77</v>
      </c>
      <c r="B840" s="17" t="s">
        <v>78</v>
      </c>
      <c r="C840" s="17" t="str">
        <f t="shared" si="276"/>
        <v>HER42PB1I</v>
      </c>
      <c r="D840" s="17" t="str">
        <f t="shared" si="277"/>
        <v>HER42PB1I_309</v>
      </c>
      <c r="E840" s="27" t="s">
        <v>87</v>
      </c>
      <c r="F840" s="17">
        <v>309</v>
      </c>
      <c r="G840" s="20">
        <v>2.25</v>
      </c>
      <c r="H840" s="20">
        <v>2.2000000000000002</v>
      </c>
      <c r="I840" s="20">
        <v>1.3</v>
      </c>
      <c r="J840" s="22">
        <f t="shared" si="274"/>
        <v>5.0521128125000008</v>
      </c>
      <c r="K840" s="53">
        <v>0.13571428571428532</v>
      </c>
      <c r="L840" s="45">
        <f t="shared" si="298"/>
        <v>23.25714285714286</v>
      </c>
      <c r="M840" s="45">
        <f t="shared" si="299"/>
        <v>24.55714285714286</v>
      </c>
      <c r="N840" s="46">
        <f t="shared" si="300"/>
        <v>23.907142857142858</v>
      </c>
      <c r="O840" s="20">
        <f t="shared" si="297"/>
        <v>343.25714285714315</v>
      </c>
      <c r="P840" s="20">
        <f t="shared" si="291"/>
        <v>344.55714285714316</v>
      </c>
      <c r="Q840" s="20">
        <f t="shared" si="301"/>
        <v>343.90714285714319</v>
      </c>
      <c r="R840" s="20">
        <f t="shared" si="282"/>
        <v>343.25714285714315</v>
      </c>
      <c r="S840" s="20">
        <f t="shared" si="283"/>
        <v>343.90714285714319</v>
      </c>
      <c r="T840" s="20">
        <f t="shared" si="284"/>
        <v>343.90714285714319</v>
      </c>
      <c r="U840" s="20">
        <f t="shared" si="285"/>
        <v>343.90714285714319</v>
      </c>
      <c r="V840" s="22">
        <v>7.5989000000000004</v>
      </c>
      <c r="W840" s="22">
        <v>2</v>
      </c>
      <c r="X840" s="23">
        <v>1.1476266666666668</v>
      </c>
      <c r="Y840" s="23">
        <f t="shared" si="292"/>
        <v>6.4512733333333339</v>
      </c>
      <c r="Z840" s="23">
        <f t="shared" si="293"/>
        <v>0.85237333333333321</v>
      </c>
      <c r="AA840" s="22">
        <f t="shared" si="294"/>
        <v>86.787517916359675</v>
      </c>
      <c r="AB840" s="22">
        <f t="shared" si="295"/>
        <v>13.212482083640325</v>
      </c>
      <c r="AC840" s="22">
        <f t="shared" si="286"/>
        <v>1.2769456211214272</v>
      </c>
      <c r="AD840" s="22">
        <f t="shared" si="287"/>
        <v>0.16871621140849832</v>
      </c>
      <c r="AE840" s="27">
        <v>17.457999999999998</v>
      </c>
      <c r="AF840" s="27">
        <v>17.5913</v>
      </c>
      <c r="AG840" s="27">
        <v>17.4831</v>
      </c>
      <c r="AH840" s="26">
        <v>2.5100000000000001E-2</v>
      </c>
      <c r="AI840" s="26">
        <v>81.170292570000001</v>
      </c>
      <c r="AJ840" s="26">
        <f t="shared" si="288"/>
        <v>4.0585146285000002</v>
      </c>
      <c r="AK840" s="26">
        <f t="shared" si="289"/>
        <v>46.919244260115612</v>
      </c>
      <c r="AL840" s="26">
        <f t="shared" si="290"/>
        <v>4.059512407882071</v>
      </c>
      <c r="AM840" s="17">
        <f t="shared" si="296"/>
        <v>0.5780346820809249</v>
      </c>
      <c r="AN840" s="17"/>
      <c r="AO840" s="27"/>
      <c r="AS840" s="49"/>
      <c r="AT840" s="25"/>
      <c r="AU840" s="17"/>
      <c r="AV840" s="17"/>
      <c r="AW840" s="17"/>
      <c r="AX840" s="27"/>
      <c r="BB840" s="17"/>
    </row>
    <row r="841" spans="1:54" x14ac:dyDescent="0.2">
      <c r="A841" s="17" t="s">
        <v>77</v>
      </c>
      <c r="B841" s="17" t="s">
        <v>78</v>
      </c>
      <c r="C841" s="17" t="str">
        <f t="shared" si="276"/>
        <v>HER42PB1I</v>
      </c>
      <c r="D841" s="17" t="str">
        <f t="shared" si="277"/>
        <v>HER42PB1I_310</v>
      </c>
      <c r="E841" s="27" t="s">
        <v>87</v>
      </c>
      <c r="F841" s="17">
        <v>310</v>
      </c>
      <c r="G841" s="20">
        <v>2.2999999999999998</v>
      </c>
      <c r="H841" s="20">
        <v>2.4500000000000002</v>
      </c>
      <c r="I841" s="20">
        <v>1.35</v>
      </c>
      <c r="J841" s="22">
        <f t="shared" si="274"/>
        <v>5.9776523437500009</v>
      </c>
      <c r="K841" s="53">
        <v>0.13571428571428532</v>
      </c>
      <c r="L841" s="45">
        <f t="shared" si="298"/>
        <v>24.692857142857147</v>
      </c>
      <c r="M841" s="45">
        <f t="shared" si="299"/>
        <v>26.042857142857148</v>
      </c>
      <c r="N841" s="46">
        <f t="shared" si="300"/>
        <v>25.367857142857147</v>
      </c>
      <c r="O841" s="20">
        <f t="shared" si="297"/>
        <v>344.69285714285746</v>
      </c>
      <c r="P841" s="20">
        <f t="shared" si="291"/>
        <v>346.04285714285749</v>
      </c>
      <c r="Q841" s="20">
        <f t="shared" si="301"/>
        <v>345.36785714285747</v>
      </c>
      <c r="R841" s="20">
        <f t="shared" si="282"/>
        <v>344.69285714285746</v>
      </c>
      <c r="S841" s="20">
        <f t="shared" si="283"/>
        <v>345.36785714285747</v>
      </c>
      <c r="T841" s="20">
        <f t="shared" si="284"/>
        <v>345.36785714285747</v>
      </c>
      <c r="U841" s="20">
        <f t="shared" si="285"/>
        <v>345.36785714285747</v>
      </c>
      <c r="V841" s="22">
        <v>7.8037000000000001</v>
      </c>
      <c r="W841" s="22">
        <v>2.0863</v>
      </c>
      <c r="X841" s="23">
        <v>1.1476266666666668</v>
      </c>
      <c r="Y841" s="23">
        <f t="shared" si="292"/>
        <v>6.6560733333333335</v>
      </c>
      <c r="Z841" s="23">
        <f t="shared" si="293"/>
        <v>0.93867333333333325</v>
      </c>
      <c r="AA841" s="22">
        <f t="shared" si="294"/>
        <v>85.897491113379161</v>
      </c>
      <c r="AB841" s="22">
        <f t="shared" si="295"/>
        <v>14.102508886620839</v>
      </c>
      <c r="AC841" s="22">
        <f t="shared" si="286"/>
        <v>1.1134928815812888</v>
      </c>
      <c r="AD841" s="22">
        <f t="shared" si="287"/>
        <v>0.15703043257689173</v>
      </c>
      <c r="AE841" s="27">
        <v>13.195600000000001</v>
      </c>
      <c r="AF841" s="27">
        <v>13.293699999999999</v>
      </c>
      <c r="AG841" s="27">
        <v>13.2164</v>
      </c>
      <c r="AH841" s="26">
        <v>2.0799999999999999E-2</v>
      </c>
      <c r="AI841" s="26">
        <v>78.79714577</v>
      </c>
      <c r="AJ841" s="26">
        <f t="shared" si="288"/>
        <v>3.9398572885000003</v>
      </c>
      <c r="AK841" s="26">
        <f t="shared" si="289"/>
        <v>45.547483104046243</v>
      </c>
      <c r="AL841" s="26">
        <f t="shared" si="290"/>
        <v>3.9408851104474709</v>
      </c>
      <c r="AM841" s="17">
        <f t="shared" si="296"/>
        <v>0.5780346820809249</v>
      </c>
      <c r="AN841" s="17"/>
      <c r="AO841" s="27"/>
      <c r="AS841" s="49"/>
      <c r="AT841" s="25"/>
      <c r="AU841" s="17"/>
      <c r="AV841" s="17"/>
      <c r="AW841" s="17"/>
      <c r="AX841" s="27"/>
      <c r="BB841" s="17"/>
    </row>
    <row r="842" spans="1:54" x14ac:dyDescent="0.2">
      <c r="A842" s="17" t="s">
        <v>77</v>
      </c>
      <c r="B842" s="17" t="s">
        <v>78</v>
      </c>
      <c r="C842" s="17" t="str">
        <f t="shared" si="276"/>
        <v>HER42PB1I</v>
      </c>
      <c r="D842" s="17" t="str">
        <f t="shared" si="277"/>
        <v>HER42PB1I_311</v>
      </c>
      <c r="E842" s="27" t="s">
        <v>87</v>
      </c>
      <c r="F842" s="17">
        <v>311</v>
      </c>
      <c r="G842" s="20">
        <v>2.35</v>
      </c>
      <c r="H842" s="20">
        <v>2.35</v>
      </c>
      <c r="I842" s="20">
        <v>1.3</v>
      </c>
      <c r="J842" s="22">
        <f t="shared" si="274"/>
        <v>5.6357112500000008</v>
      </c>
      <c r="K842" s="53">
        <v>0.13571428571428532</v>
      </c>
      <c r="L842" s="45">
        <f t="shared" si="298"/>
        <v>26.178571428571434</v>
      </c>
      <c r="M842" s="45">
        <f t="shared" si="299"/>
        <v>27.478571428571435</v>
      </c>
      <c r="N842" s="46">
        <f t="shared" si="300"/>
        <v>26.828571428571436</v>
      </c>
      <c r="O842" s="20">
        <f t="shared" si="297"/>
        <v>346.17857142857179</v>
      </c>
      <c r="P842" s="20">
        <f t="shared" si="291"/>
        <v>347.4785714285718</v>
      </c>
      <c r="Q842" s="20">
        <f t="shared" si="301"/>
        <v>346.82857142857176</v>
      </c>
      <c r="R842" s="20">
        <f t="shared" si="282"/>
        <v>346.17857142857179</v>
      </c>
      <c r="S842" s="20">
        <f t="shared" si="283"/>
        <v>346.82857142857176</v>
      </c>
      <c r="T842" s="20">
        <f t="shared" si="284"/>
        <v>346.82857142857176</v>
      </c>
      <c r="U842" s="20">
        <f t="shared" si="285"/>
        <v>346.82857142857176</v>
      </c>
      <c r="V842" s="22">
        <v>7.9111000000000002</v>
      </c>
      <c r="W842" s="22">
        <v>2.0345</v>
      </c>
      <c r="X842" s="23">
        <v>1.1476266666666668</v>
      </c>
      <c r="Y842" s="23">
        <f t="shared" si="292"/>
        <v>6.7634733333333337</v>
      </c>
      <c r="Z842" s="23">
        <f t="shared" si="293"/>
        <v>0.88687333333333318</v>
      </c>
      <c r="AA842" s="22">
        <f t="shared" si="294"/>
        <v>86.887309380485959</v>
      </c>
      <c r="AB842" s="22">
        <f t="shared" si="295"/>
        <v>13.112690619514041</v>
      </c>
      <c r="AC842" s="22">
        <f t="shared" si="286"/>
        <v>1.2001099831602147</v>
      </c>
      <c r="AD842" s="22">
        <f t="shared" si="287"/>
        <v>0.15736670918570092</v>
      </c>
      <c r="AE842" s="27">
        <v>16.087599999999998</v>
      </c>
      <c r="AF842" s="27">
        <v>16.206900000000001</v>
      </c>
      <c r="AG842" s="27">
        <v>16.115400000000001</v>
      </c>
      <c r="AH842" s="26">
        <v>2.7799999999999998E-2</v>
      </c>
      <c r="AI842" s="26">
        <v>76.697401510000006</v>
      </c>
      <c r="AJ842" s="26">
        <f t="shared" si="288"/>
        <v>3.8348700755000005</v>
      </c>
      <c r="AK842" s="26">
        <f t="shared" si="289"/>
        <v>44.333758098265903</v>
      </c>
      <c r="AL842" s="26">
        <f t="shared" si="290"/>
        <v>3.8359260284793528</v>
      </c>
      <c r="AM842" s="17">
        <f t="shared" si="296"/>
        <v>0.5780346820809249</v>
      </c>
      <c r="AN842" s="17"/>
      <c r="AO842" s="27"/>
      <c r="AS842" s="49"/>
      <c r="AT842" s="25"/>
      <c r="AU842" s="17"/>
      <c r="AV842" s="17"/>
      <c r="AW842" s="17"/>
      <c r="AX842" s="27"/>
      <c r="BB842" s="17"/>
    </row>
    <row r="843" spans="1:54" x14ac:dyDescent="0.2">
      <c r="A843" s="17" t="s">
        <v>77</v>
      </c>
      <c r="B843" s="17" t="s">
        <v>78</v>
      </c>
      <c r="C843" s="17" t="str">
        <f t="shared" si="276"/>
        <v>HER42PB1I</v>
      </c>
      <c r="D843" s="17" t="str">
        <f t="shared" si="277"/>
        <v>HER42PB1I_312</v>
      </c>
      <c r="E843" s="27" t="s">
        <v>87</v>
      </c>
      <c r="F843" s="17">
        <v>312</v>
      </c>
      <c r="G843" s="20">
        <v>2.2999999999999998</v>
      </c>
      <c r="H843" s="20">
        <v>2.25</v>
      </c>
      <c r="I843" s="20">
        <v>1.2</v>
      </c>
      <c r="J843" s="22">
        <f t="shared" si="274"/>
        <v>4.8754387499999998</v>
      </c>
      <c r="K843" s="53">
        <v>0.13571428571428532</v>
      </c>
      <c r="L843" s="45">
        <f t="shared" si="298"/>
        <v>27.614285714285721</v>
      </c>
      <c r="M843" s="45">
        <f t="shared" si="299"/>
        <v>28.81428571428572</v>
      </c>
      <c r="N843" s="46">
        <f t="shared" si="300"/>
        <v>28.214285714285722</v>
      </c>
      <c r="O843" s="20">
        <f t="shared" si="297"/>
        <v>347.6142857142861</v>
      </c>
      <c r="P843" s="20">
        <f t="shared" si="291"/>
        <v>348.81428571428609</v>
      </c>
      <c r="Q843" s="20">
        <f t="shared" si="301"/>
        <v>348.21428571428612</v>
      </c>
      <c r="R843" s="20">
        <f t="shared" si="282"/>
        <v>347.6142857142861</v>
      </c>
      <c r="S843" s="20">
        <f t="shared" si="283"/>
        <v>348.21428571428612</v>
      </c>
      <c r="T843" s="20">
        <f t="shared" si="284"/>
        <v>348.21428571428612</v>
      </c>
      <c r="U843" s="20">
        <f t="shared" si="285"/>
        <v>348.21428571428612</v>
      </c>
      <c r="V843" s="22">
        <v>6.952</v>
      </c>
      <c r="W843" s="22">
        <v>1.8929</v>
      </c>
      <c r="X843" s="23">
        <v>1.1476266666666668</v>
      </c>
      <c r="Y843" s="23">
        <f t="shared" si="292"/>
        <v>5.8043733333333334</v>
      </c>
      <c r="Z843" s="23">
        <f t="shared" si="293"/>
        <v>0.74527333333333323</v>
      </c>
      <c r="AA843" s="22">
        <f t="shared" si="294"/>
        <v>87.160141318729785</v>
      </c>
      <c r="AB843" s="22">
        <f t="shared" si="295"/>
        <v>12.839858681270215</v>
      </c>
      <c r="AC843" s="22">
        <f t="shared" si="286"/>
        <v>1.1905335357424669</v>
      </c>
      <c r="AD843" s="22">
        <f t="shared" si="287"/>
        <v>0.15286282354246236</v>
      </c>
      <c r="AE843" s="27">
        <v>16.718399999999999</v>
      </c>
      <c r="AF843" s="27">
        <v>16.895900000000001</v>
      </c>
      <c r="AG843" s="27">
        <v>16.78</v>
      </c>
      <c r="AH843" s="26">
        <v>6.1600000000000002E-2</v>
      </c>
      <c r="AI843" s="26">
        <v>65.295774649999998</v>
      </c>
      <c r="AJ843" s="26">
        <f t="shared" si="288"/>
        <v>3.2647887325</v>
      </c>
      <c r="AK843" s="26">
        <f t="shared" si="289"/>
        <v>37.743222341040465</v>
      </c>
      <c r="AL843" s="26">
        <f t="shared" si="290"/>
        <v>3.2660290059733024</v>
      </c>
      <c r="AM843" s="17">
        <f t="shared" si="296"/>
        <v>0.5780346820809249</v>
      </c>
      <c r="AN843" s="17"/>
      <c r="AO843" s="27"/>
      <c r="AS843" s="49"/>
      <c r="AT843" s="25"/>
      <c r="AU843" s="17"/>
      <c r="AV843" s="17"/>
      <c r="AW843" s="17"/>
      <c r="AX843" s="27"/>
      <c r="BB843" s="17"/>
    </row>
    <row r="844" spans="1:54" x14ac:dyDescent="0.2">
      <c r="A844" s="17" t="s">
        <v>77</v>
      </c>
      <c r="B844" s="17" t="s">
        <v>78</v>
      </c>
      <c r="C844" s="17" t="str">
        <f t="shared" si="276"/>
        <v>HER42PB1I</v>
      </c>
      <c r="D844" s="17" t="str">
        <f t="shared" si="277"/>
        <v>HER42PB1I_313</v>
      </c>
      <c r="E844" s="27" t="s">
        <v>87</v>
      </c>
      <c r="F844" s="17">
        <v>313</v>
      </c>
      <c r="G844" s="20">
        <v>2.2999999999999998</v>
      </c>
      <c r="H844" s="20">
        <v>2.2999999999999998</v>
      </c>
      <c r="I844" s="20">
        <v>1.3</v>
      </c>
      <c r="J844" s="22">
        <f t="shared" si="274"/>
        <v>5.3984449999999997</v>
      </c>
      <c r="K844" s="53">
        <v>0.13571428571428532</v>
      </c>
      <c r="L844" s="45">
        <f t="shared" si="298"/>
        <v>28.950000000000006</v>
      </c>
      <c r="M844" s="45">
        <f t="shared" si="299"/>
        <v>30.250000000000007</v>
      </c>
      <c r="N844" s="46">
        <f t="shared" si="300"/>
        <v>29.600000000000009</v>
      </c>
      <c r="O844" s="20">
        <f t="shared" si="297"/>
        <v>348.95000000000039</v>
      </c>
      <c r="P844" s="20">
        <f t="shared" si="291"/>
        <v>350.2500000000004</v>
      </c>
      <c r="Q844" s="20">
        <f t="shared" si="301"/>
        <v>349.60000000000036</v>
      </c>
      <c r="R844" s="20">
        <f t="shared" si="282"/>
        <v>348.95000000000039</v>
      </c>
      <c r="S844" s="20">
        <f t="shared" si="283"/>
        <v>349.60000000000036</v>
      </c>
      <c r="T844" s="20">
        <f t="shared" si="284"/>
        <v>349.60000000000036</v>
      </c>
      <c r="U844" s="20">
        <f t="shared" si="285"/>
        <v>349.60000000000036</v>
      </c>
      <c r="V844" s="22">
        <v>7.8402000000000003</v>
      </c>
      <c r="W844" s="22">
        <v>2.0851999999999999</v>
      </c>
      <c r="X844" s="23">
        <v>1.1476266666666668</v>
      </c>
      <c r="Y844" s="23">
        <f t="shared" si="292"/>
        <v>6.6925733333333337</v>
      </c>
      <c r="Z844" s="23">
        <f t="shared" si="293"/>
        <v>0.93757333333333315</v>
      </c>
      <c r="AA844" s="22">
        <f t="shared" si="294"/>
        <v>85.990839597324793</v>
      </c>
      <c r="AB844" s="22">
        <f t="shared" si="295"/>
        <v>14.009160402675207</v>
      </c>
      <c r="AC844" s="22">
        <f t="shared" si="286"/>
        <v>1.2397224262418778</v>
      </c>
      <c r="AD844" s="22">
        <f t="shared" si="287"/>
        <v>0.1736747032401614</v>
      </c>
      <c r="AE844" s="27">
        <v>16.918299999999999</v>
      </c>
      <c r="AF844" s="27">
        <v>17.055399999999999</v>
      </c>
      <c r="AG844" s="27">
        <v>16.9467</v>
      </c>
      <c r="AH844" s="26">
        <v>2.8400000000000002E-2</v>
      </c>
      <c r="AI844" s="26">
        <v>79.285193289999995</v>
      </c>
      <c r="AJ844" s="26">
        <f t="shared" si="288"/>
        <v>3.9642596645000001</v>
      </c>
      <c r="AK844" s="26">
        <f t="shared" si="289"/>
        <v>45.829591497109824</v>
      </c>
      <c r="AL844" s="26">
        <f t="shared" si="290"/>
        <v>3.9652811612269883</v>
      </c>
      <c r="AM844" s="17">
        <f t="shared" si="296"/>
        <v>0.5780346820809249</v>
      </c>
      <c r="AN844" s="17"/>
      <c r="AO844" s="27"/>
      <c r="AS844" s="49"/>
      <c r="AT844" s="25"/>
      <c r="AU844" s="17"/>
      <c r="AV844" s="17"/>
      <c r="AW844" s="17"/>
      <c r="AX844" s="27"/>
      <c r="BB844" s="17"/>
    </row>
    <row r="845" spans="1:54" x14ac:dyDescent="0.2">
      <c r="A845" s="17" t="s">
        <v>77</v>
      </c>
      <c r="B845" s="17" t="s">
        <v>78</v>
      </c>
      <c r="C845" s="17" t="str">
        <f t="shared" si="276"/>
        <v>HER42PB1I</v>
      </c>
      <c r="D845" s="17" t="str">
        <f t="shared" si="277"/>
        <v>HER42PB1I_314</v>
      </c>
      <c r="E845" s="27" t="s">
        <v>87</v>
      </c>
      <c r="F845" s="17">
        <v>314</v>
      </c>
      <c r="G845" s="20">
        <v>2.4</v>
      </c>
      <c r="H845" s="20">
        <v>2.4</v>
      </c>
      <c r="I845" s="20">
        <v>1.2</v>
      </c>
      <c r="J845" s="22">
        <f t="shared" si="274"/>
        <v>5.4259199999999987</v>
      </c>
      <c r="K845" s="53">
        <v>0.13571428571428532</v>
      </c>
      <c r="L845" s="45">
        <f t="shared" si="298"/>
        <v>30.385714285714293</v>
      </c>
      <c r="M845" s="45">
        <f t="shared" si="299"/>
        <v>31.585714285714293</v>
      </c>
      <c r="N845" s="46">
        <f t="shared" si="300"/>
        <v>30.985714285714295</v>
      </c>
      <c r="O845" s="20">
        <f t="shared" si="297"/>
        <v>350.3857142857147</v>
      </c>
      <c r="P845" s="20">
        <f t="shared" si="291"/>
        <v>351.58571428571469</v>
      </c>
      <c r="Q845" s="20">
        <f t="shared" si="301"/>
        <v>350.98571428571472</v>
      </c>
      <c r="R845" s="20">
        <f t="shared" si="282"/>
        <v>350.3857142857147</v>
      </c>
      <c r="S845" s="20">
        <f t="shared" si="283"/>
        <v>350.98571428571472</v>
      </c>
      <c r="T845" s="20">
        <f t="shared" si="284"/>
        <v>350.98571428571472</v>
      </c>
      <c r="U845" s="20">
        <f t="shared" si="285"/>
        <v>350.98571428571472</v>
      </c>
      <c r="V845" s="22">
        <v>7.8216999999999999</v>
      </c>
      <c r="W845" s="22">
        <v>2.1383999999999999</v>
      </c>
      <c r="X845" s="23">
        <v>1.1476266666666668</v>
      </c>
      <c r="Y845" s="23">
        <f t="shared" si="292"/>
        <v>6.6740733333333333</v>
      </c>
      <c r="Z845" s="23">
        <f t="shared" si="293"/>
        <v>0.99077333333333306</v>
      </c>
      <c r="AA845" s="22">
        <f t="shared" si="294"/>
        <v>85.154892913972574</v>
      </c>
      <c r="AB845" s="22">
        <f t="shared" si="295"/>
        <v>14.845107086027426</v>
      </c>
      <c r="AC845" s="22">
        <f t="shared" si="286"/>
        <v>1.2300353365573644</v>
      </c>
      <c r="AD845" s="22">
        <f t="shared" si="287"/>
        <v>0.18260006290791853</v>
      </c>
      <c r="AE845" s="27">
        <v>14.0375</v>
      </c>
      <c r="AF845" s="27">
        <v>14.141999999999999</v>
      </c>
      <c r="AG845" s="27">
        <v>14.0616</v>
      </c>
      <c r="AH845" s="26">
        <v>2.41E-2</v>
      </c>
      <c r="AI845" s="26">
        <v>76.937799040000002</v>
      </c>
      <c r="AJ845" s="26">
        <f t="shared" si="288"/>
        <v>3.8468899520000002</v>
      </c>
      <c r="AK845" s="26">
        <f t="shared" si="289"/>
        <v>44.472716208092493</v>
      </c>
      <c r="AL845" s="26">
        <f t="shared" si="290"/>
        <v>3.8479426064844788</v>
      </c>
      <c r="AM845" s="17">
        <f t="shared" si="296"/>
        <v>0.5780346820809249</v>
      </c>
      <c r="AN845" s="17"/>
      <c r="AO845" s="27"/>
      <c r="AS845" s="49"/>
      <c r="AT845" s="25"/>
      <c r="AU845" s="17"/>
      <c r="AV845" s="17"/>
      <c r="AW845" s="17"/>
      <c r="AX845" s="27"/>
      <c r="BB845" s="17"/>
    </row>
    <row r="846" spans="1:54" x14ac:dyDescent="0.2">
      <c r="A846" s="17" t="s">
        <v>77</v>
      </c>
      <c r="B846" s="17" t="s">
        <v>78</v>
      </c>
      <c r="C846" s="17" t="str">
        <f t="shared" si="276"/>
        <v>HER42PB1I</v>
      </c>
      <c r="D846" s="17" t="str">
        <f t="shared" si="277"/>
        <v>HER42PB1I_315</v>
      </c>
      <c r="E846" s="27" t="s">
        <v>87</v>
      </c>
      <c r="F846" s="17">
        <v>315</v>
      </c>
      <c r="G846" s="20">
        <v>2.4</v>
      </c>
      <c r="H846" s="20">
        <v>2</v>
      </c>
      <c r="I846" s="20">
        <v>1.2</v>
      </c>
      <c r="J846" s="22">
        <f t="shared" si="274"/>
        <v>4.5592800000000011</v>
      </c>
      <c r="K846" s="53">
        <v>0.13571428571428532</v>
      </c>
      <c r="L846" s="45">
        <f t="shared" si="298"/>
        <v>31.721428571428579</v>
      </c>
      <c r="M846" s="45">
        <f t="shared" si="299"/>
        <v>32.921428571428578</v>
      </c>
      <c r="N846" s="46">
        <f t="shared" si="300"/>
        <v>32.321428571428577</v>
      </c>
      <c r="O846" s="20">
        <f t="shared" si="297"/>
        <v>351.72142857142899</v>
      </c>
      <c r="P846" s="20">
        <f t="shared" si="291"/>
        <v>352.92142857142898</v>
      </c>
      <c r="Q846" s="20">
        <f t="shared" si="301"/>
        <v>352.32142857142901</v>
      </c>
      <c r="R846" s="20">
        <f t="shared" si="282"/>
        <v>351.72142857142899</v>
      </c>
      <c r="S846" s="20">
        <f t="shared" si="283"/>
        <v>352.32142857142901</v>
      </c>
      <c r="T846" s="20">
        <f t="shared" si="284"/>
        <v>352.32142857142901</v>
      </c>
      <c r="U846" s="20">
        <f t="shared" si="285"/>
        <v>352.32142857142901</v>
      </c>
      <c r="V846" s="22">
        <v>7.3890000000000002</v>
      </c>
      <c r="W846" s="22">
        <v>2.3618000000000001</v>
      </c>
      <c r="X846" s="23">
        <v>1.1476266666666668</v>
      </c>
      <c r="Y846" s="23">
        <f t="shared" si="292"/>
        <v>6.2413733333333337</v>
      </c>
      <c r="Z846" s="23">
        <f t="shared" si="293"/>
        <v>1.2141733333333333</v>
      </c>
      <c r="AA846" s="22">
        <f t="shared" si="294"/>
        <v>80.546375477191987</v>
      </c>
      <c r="AB846" s="22">
        <f t="shared" si="295"/>
        <v>19.453624522808013</v>
      </c>
      <c r="AC846" s="22">
        <f t="shared" si="286"/>
        <v>1.3689383703859672</v>
      </c>
      <c r="AD846" s="22">
        <f t="shared" si="287"/>
        <v>0.26630813052353292</v>
      </c>
      <c r="AE846" s="27">
        <v>13.075100000000001</v>
      </c>
      <c r="AF846" s="27">
        <v>13.2072</v>
      </c>
      <c r="AG846" s="27">
        <v>13.1226</v>
      </c>
      <c r="AH846" s="26">
        <v>4.7500000000000001E-2</v>
      </c>
      <c r="AI846" s="26">
        <v>64.042392129999996</v>
      </c>
      <c r="AJ846" s="26">
        <f t="shared" si="288"/>
        <v>3.2021196065000002</v>
      </c>
      <c r="AK846" s="26">
        <f t="shared" si="289"/>
        <v>37.018723774566475</v>
      </c>
      <c r="AL846" s="26">
        <f t="shared" si="290"/>
        <v>3.2033841440469977</v>
      </c>
      <c r="AM846" s="17">
        <f t="shared" si="296"/>
        <v>0.5780346820809249</v>
      </c>
      <c r="AN846" s="17"/>
      <c r="AO846" s="27"/>
      <c r="AS846" s="49"/>
      <c r="AT846" s="25"/>
      <c r="AU846" s="17"/>
      <c r="AV846" s="17"/>
      <c r="AW846" s="17"/>
      <c r="AX846" s="27"/>
      <c r="BB846" s="17"/>
    </row>
    <row r="847" spans="1:54" x14ac:dyDescent="0.2">
      <c r="A847" s="17" t="s">
        <v>77</v>
      </c>
      <c r="B847" s="17" t="s">
        <v>78</v>
      </c>
      <c r="C847" s="17" t="str">
        <f t="shared" si="276"/>
        <v>HER42PB1I</v>
      </c>
      <c r="D847" s="17" t="str">
        <f t="shared" si="277"/>
        <v>HER42PB1I_316</v>
      </c>
      <c r="E847" s="27" t="s">
        <v>87</v>
      </c>
      <c r="F847" s="17">
        <v>316</v>
      </c>
      <c r="G847" s="20">
        <v>2.2999999999999998</v>
      </c>
      <c r="H847" s="20">
        <v>2.4500000000000002</v>
      </c>
      <c r="I847" s="20">
        <v>1.1000000000000001</v>
      </c>
      <c r="J847" s="22">
        <f t="shared" si="274"/>
        <v>4.8706796875</v>
      </c>
      <c r="K847" s="53">
        <v>0.13571428571428532</v>
      </c>
      <c r="L847" s="45">
        <f t="shared" si="298"/>
        <v>33.057142857142864</v>
      </c>
      <c r="M847" s="45">
        <f t="shared" si="299"/>
        <v>34.157142857142865</v>
      </c>
      <c r="N847" s="46">
        <f t="shared" si="300"/>
        <v>33.607142857142861</v>
      </c>
      <c r="O847" s="20">
        <f t="shared" si="297"/>
        <v>353.05714285714328</v>
      </c>
      <c r="P847" s="20">
        <f t="shared" si="291"/>
        <v>354.1571428571433</v>
      </c>
      <c r="Q847" s="20">
        <f t="shared" si="301"/>
        <v>353.60714285714329</v>
      </c>
      <c r="R847" s="20">
        <f t="shared" si="282"/>
        <v>353.05714285714328</v>
      </c>
      <c r="S847" s="20">
        <f t="shared" si="283"/>
        <v>353.60714285714329</v>
      </c>
      <c r="T847" s="20">
        <f t="shared" si="284"/>
        <v>353.60714285714329</v>
      </c>
      <c r="U847" s="20">
        <f t="shared" si="285"/>
        <v>353.60714285714329</v>
      </c>
      <c r="V847" s="22">
        <v>7.4550000000000001</v>
      </c>
      <c r="W847" s="22">
        <v>2.4803000000000002</v>
      </c>
      <c r="X847" s="23">
        <v>1.1476266666666668</v>
      </c>
      <c r="Y847" s="23">
        <f t="shared" si="292"/>
        <v>6.3073733333333335</v>
      </c>
      <c r="Z847" s="23">
        <f t="shared" si="293"/>
        <v>1.3326733333333334</v>
      </c>
      <c r="AA847" s="22">
        <f t="shared" si="294"/>
        <v>78.871183567169012</v>
      </c>
      <c r="AB847" s="22">
        <f t="shared" si="295"/>
        <v>21.128816432830988</v>
      </c>
      <c r="AC847" s="22">
        <f t="shared" si="286"/>
        <v>1.2949677946427951</v>
      </c>
      <c r="AD847" s="22">
        <f t="shared" si="287"/>
        <v>0.273611368194356</v>
      </c>
      <c r="AE847" s="27">
        <v>13.901199999999999</v>
      </c>
      <c r="AF847" s="27">
        <v>14.041700000000001</v>
      </c>
      <c r="AG847" s="27">
        <v>13.961600000000001</v>
      </c>
      <c r="AH847" s="26">
        <v>6.0400000000000002E-2</v>
      </c>
      <c r="AI847" s="26">
        <v>57.010676160000003</v>
      </c>
      <c r="AJ847" s="26">
        <f t="shared" si="288"/>
        <v>2.8505338080000002</v>
      </c>
      <c r="AK847" s="26">
        <f t="shared" si="289"/>
        <v>32.954148069364166</v>
      </c>
      <c r="AL847" s="26">
        <f t="shared" si="290"/>
        <v>2.8519542406130896</v>
      </c>
      <c r="AM847" s="17">
        <f t="shared" si="296"/>
        <v>0.5780346820809249</v>
      </c>
      <c r="AN847" s="17"/>
      <c r="AO847" s="27"/>
      <c r="AS847" s="49"/>
      <c r="AT847" s="25"/>
      <c r="AU847" s="17"/>
      <c r="AV847" s="17"/>
      <c r="AW847" s="17"/>
      <c r="AX847" s="27"/>
      <c r="BB847" s="17"/>
    </row>
    <row r="848" spans="1:54" x14ac:dyDescent="0.2">
      <c r="A848" s="17" t="s">
        <v>77</v>
      </c>
      <c r="B848" s="17" t="s">
        <v>78</v>
      </c>
      <c r="C848" s="17" t="str">
        <f t="shared" si="276"/>
        <v>HER42PB1I</v>
      </c>
      <c r="D848" s="17" t="str">
        <f t="shared" si="277"/>
        <v>HER42PB1I_317</v>
      </c>
      <c r="E848" s="27" t="s">
        <v>87</v>
      </c>
      <c r="F848" s="17">
        <v>317</v>
      </c>
      <c r="G848" s="20">
        <v>2.2999999999999998</v>
      </c>
      <c r="H848" s="20">
        <v>2.2999999999999998</v>
      </c>
      <c r="I848" s="20">
        <v>1.1499999999999999</v>
      </c>
      <c r="J848" s="22">
        <f t="shared" si="274"/>
        <v>4.7755474999999992</v>
      </c>
      <c r="K848" s="53">
        <v>0.13571428571428532</v>
      </c>
      <c r="L848" s="45">
        <f t="shared" si="298"/>
        <v>34.292857142857152</v>
      </c>
      <c r="M848" s="45">
        <f t="shared" si="299"/>
        <v>35.44285714285715</v>
      </c>
      <c r="N848" s="46">
        <f t="shared" si="300"/>
        <v>34.867857142857147</v>
      </c>
      <c r="O848" s="20">
        <f t="shared" si="297"/>
        <v>354.2928571428576</v>
      </c>
      <c r="P848" s="20">
        <f t="shared" si="291"/>
        <v>355.44285714285758</v>
      </c>
      <c r="Q848" s="20">
        <f t="shared" si="301"/>
        <v>354.86785714285759</v>
      </c>
      <c r="R848" s="20">
        <f t="shared" si="282"/>
        <v>354.2928571428576</v>
      </c>
      <c r="S848" s="20">
        <f t="shared" si="283"/>
        <v>354.86785714285759</v>
      </c>
      <c r="T848" s="20">
        <f t="shared" si="284"/>
        <v>354.86785714285759</v>
      </c>
      <c r="U848" s="20">
        <f t="shared" si="285"/>
        <v>354.86785714285759</v>
      </c>
      <c r="V848" s="22">
        <v>7.6318000000000001</v>
      </c>
      <c r="W848" s="22">
        <v>2.9140999999999999</v>
      </c>
      <c r="X848" s="23">
        <v>1.1476266666666668</v>
      </c>
      <c r="Y848" s="23">
        <f t="shared" si="292"/>
        <v>6.4841733333333336</v>
      </c>
      <c r="Z848" s="23">
        <f t="shared" si="293"/>
        <v>1.7664733333333331</v>
      </c>
      <c r="AA848" s="22">
        <f t="shared" si="294"/>
        <v>72.757154342984876</v>
      </c>
      <c r="AB848" s="22">
        <f t="shared" si="295"/>
        <v>27.242845657015124</v>
      </c>
      <c r="AC848" s="22">
        <f t="shared" si="286"/>
        <v>1.3577863759774842</v>
      </c>
      <c r="AD848" s="22">
        <f t="shared" si="287"/>
        <v>0.36989964675952514</v>
      </c>
      <c r="AE848" s="27">
        <v>13.6462</v>
      </c>
      <c r="AF848" s="27">
        <v>13.909800000000001</v>
      </c>
      <c r="AG848" s="27">
        <v>13.8193</v>
      </c>
      <c r="AH848" s="26">
        <v>0.1731</v>
      </c>
      <c r="AI848" s="26">
        <v>34.332321700000001</v>
      </c>
      <c r="AJ848" s="26">
        <f t="shared" si="288"/>
        <v>1.7166160850000001</v>
      </c>
      <c r="AK848" s="26">
        <f t="shared" si="289"/>
        <v>19.845272658959541</v>
      </c>
      <c r="AL848" s="26">
        <f t="shared" si="290"/>
        <v>1.7189737587527993</v>
      </c>
      <c r="AM848" s="17">
        <f t="shared" si="296"/>
        <v>0.5780346820809249</v>
      </c>
      <c r="AN848" s="17"/>
      <c r="AO848" s="27"/>
      <c r="AS848" s="49"/>
      <c r="AT848" s="25"/>
      <c r="AU848" s="17"/>
      <c r="AV848" s="17"/>
      <c r="AW848" s="17"/>
      <c r="AX848" s="27"/>
      <c r="BB848" s="17"/>
    </row>
    <row r="849" spans="1:54" x14ac:dyDescent="0.2">
      <c r="A849" s="17" t="s">
        <v>77</v>
      </c>
      <c r="B849" s="17" t="s">
        <v>78</v>
      </c>
      <c r="C849" s="17" t="str">
        <f t="shared" si="276"/>
        <v>HER42PB1I</v>
      </c>
      <c r="D849" s="17" t="str">
        <f t="shared" si="277"/>
        <v>HER42PB1I_318</v>
      </c>
      <c r="E849" s="27" t="s">
        <v>87</v>
      </c>
      <c r="F849" s="17">
        <v>318</v>
      </c>
      <c r="G849" s="20">
        <v>2.2999999999999998</v>
      </c>
      <c r="H849" s="20">
        <v>2.35</v>
      </c>
      <c r="I849" s="20">
        <v>1.2</v>
      </c>
      <c r="J849" s="22">
        <f t="shared" si="274"/>
        <v>5.0920987500000008</v>
      </c>
      <c r="K849" s="53">
        <v>0.13571428571428532</v>
      </c>
      <c r="L849" s="45">
        <f t="shared" si="298"/>
        <v>35.578571428571436</v>
      </c>
      <c r="M849" s="45">
        <f t="shared" si="299"/>
        <v>36.778571428571439</v>
      </c>
      <c r="N849" s="46">
        <f t="shared" si="300"/>
        <v>36.178571428571438</v>
      </c>
      <c r="O849" s="20">
        <f t="shared" si="297"/>
        <v>355.57857142857188</v>
      </c>
      <c r="P849" s="20">
        <f t="shared" si="291"/>
        <v>356.77857142857187</v>
      </c>
      <c r="Q849" s="20">
        <f t="shared" si="301"/>
        <v>356.1785714285719</v>
      </c>
      <c r="R849" s="20">
        <f t="shared" si="282"/>
        <v>355.57857142857188</v>
      </c>
      <c r="S849" s="20">
        <f t="shared" si="283"/>
        <v>356.1785714285719</v>
      </c>
      <c r="T849" s="20">
        <f t="shared" si="284"/>
        <v>356.1785714285719</v>
      </c>
      <c r="U849" s="20">
        <f t="shared" si="285"/>
        <v>356.1785714285719</v>
      </c>
      <c r="V849" s="22">
        <v>8.8501999999999992</v>
      </c>
      <c r="W849" s="22">
        <v>2.3603000000000001</v>
      </c>
      <c r="X849" s="23">
        <v>1.1476266666666668</v>
      </c>
      <c r="Y849" s="23">
        <f t="shared" si="292"/>
        <v>7.7025733333333326</v>
      </c>
      <c r="Z849" s="23">
        <f t="shared" si="293"/>
        <v>1.2126733333333333</v>
      </c>
      <c r="AA849" s="22">
        <f t="shared" si="294"/>
        <v>84.256257216203068</v>
      </c>
      <c r="AB849" s="22">
        <f t="shared" si="295"/>
        <v>15.743742783796932</v>
      </c>
      <c r="AC849" s="22">
        <f t="shared" si="286"/>
        <v>1.5126519950802861</v>
      </c>
      <c r="AD849" s="22">
        <f t="shared" si="287"/>
        <v>0.23814803931941286</v>
      </c>
      <c r="AE849" s="27">
        <v>14.775700000000001</v>
      </c>
      <c r="AF849" s="27">
        <v>14.9778</v>
      </c>
      <c r="AG849" s="27">
        <v>14.919700000000001</v>
      </c>
      <c r="AH849" s="26">
        <v>0.14399999999999999</v>
      </c>
      <c r="AI849" s="26">
        <v>28.748144480000001</v>
      </c>
      <c r="AJ849" s="26">
        <f t="shared" si="288"/>
        <v>1.4374072240000002</v>
      </c>
      <c r="AK849" s="26">
        <f t="shared" si="289"/>
        <v>16.617424554913296</v>
      </c>
      <c r="AL849" s="26">
        <f t="shared" si="290"/>
        <v>1.4402220410781759</v>
      </c>
      <c r="AM849" s="17">
        <f t="shared" si="296"/>
        <v>0.5780346820809249</v>
      </c>
      <c r="AN849" s="17"/>
      <c r="AO849" s="27"/>
      <c r="AS849" s="49"/>
      <c r="AT849" s="25"/>
      <c r="AU849" s="17"/>
      <c r="AV849" s="17"/>
      <c r="AW849" s="17"/>
      <c r="AX849" s="27"/>
      <c r="BB849" s="17"/>
    </row>
    <row r="850" spans="1:54" x14ac:dyDescent="0.2">
      <c r="A850" s="17" t="s">
        <v>77</v>
      </c>
      <c r="B850" s="17" t="s">
        <v>78</v>
      </c>
      <c r="C850" s="17" t="str">
        <f t="shared" si="276"/>
        <v>HER42PB1I</v>
      </c>
      <c r="D850" s="17" t="str">
        <f t="shared" si="277"/>
        <v>HER42PB1I_319</v>
      </c>
      <c r="E850" s="27" t="s">
        <v>87</v>
      </c>
      <c r="F850" s="17">
        <v>319</v>
      </c>
      <c r="G850" s="20">
        <v>2.25</v>
      </c>
      <c r="H850" s="20">
        <v>2.35</v>
      </c>
      <c r="I850" s="20">
        <v>1.2</v>
      </c>
      <c r="J850" s="22">
        <f t="shared" si="274"/>
        <v>4.9831799999999991</v>
      </c>
      <c r="K850" s="53">
        <v>0.13571428571428532</v>
      </c>
      <c r="L850" s="45">
        <f t="shared" si="298"/>
        <v>36.914285714285725</v>
      </c>
      <c r="M850" s="45">
        <f t="shared" si="299"/>
        <v>38.114285714285728</v>
      </c>
      <c r="N850" s="46">
        <f t="shared" si="300"/>
        <v>37.514285714285727</v>
      </c>
      <c r="O850" s="20">
        <f t="shared" si="297"/>
        <v>356.91428571428617</v>
      </c>
      <c r="P850" s="20">
        <f t="shared" si="291"/>
        <v>358.11428571428615</v>
      </c>
      <c r="Q850" s="20">
        <f t="shared" si="301"/>
        <v>357.51428571428619</v>
      </c>
      <c r="R850" s="20">
        <f t="shared" si="282"/>
        <v>356.91428571428617</v>
      </c>
      <c r="S850" s="20">
        <f t="shared" si="283"/>
        <v>357.51428571428619</v>
      </c>
      <c r="T850" s="20">
        <f t="shared" si="284"/>
        <v>357.51428571428619</v>
      </c>
      <c r="U850" s="20">
        <f t="shared" si="285"/>
        <v>357.51428571428619</v>
      </c>
      <c r="V850" s="22">
        <v>8.0236000000000001</v>
      </c>
      <c r="W850" s="22">
        <v>2.7783000000000002</v>
      </c>
      <c r="X850" s="23">
        <v>1.1476266666666668</v>
      </c>
      <c r="Y850" s="23">
        <f t="shared" si="292"/>
        <v>6.8759733333333335</v>
      </c>
      <c r="Z850" s="23">
        <f t="shared" si="293"/>
        <v>1.6306733333333334</v>
      </c>
      <c r="AA850" s="22">
        <f t="shared" si="294"/>
        <v>76.284472695259637</v>
      </c>
      <c r="AB850" s="22">
        <f t="shared" si="295"/>
        <v>23.715527304740363</v>
      </c>
      <c r="AC850" s="22">
        <f t="shared" si="286"/>
        <v>1.3798364364388473</v>
      </c>
      <c r="AD850" s="22">
        <f t="shared" si="287"/>
        <v>0.32723548684441134</v>
      </c>
      <c r="AE850" s="27">
        <v>13.504099999999999</v>
      </c>
      <c r="AF850" s="27">
        <v>13.6861</v>
      </c>
      <c r="AG850" s="27">
        <v>13.6128</v>
      </c>
      <c r="AH850" s="26">
        <v>0.1087</v>
      </c>
      <c r="AI850" s="26">
        <v>40.274725269999998</v>
      </c>
      <c r="AJ850" s="26">
        <f t="shared" si="288"/>
        <v>2.0137362634999998</v>
      </c>
      <c r="AK850" s="26">
        <f t="shared" si="289"/>
        <v>23.28018801734104</v>
      </c>
      <c r="AL850" s="26">
        <f t="shared" si="290"/>
        <v>2.0157464470847866</v>
      </c>
      <c r="AM850" s="17">
        <f t="shared" si="296"/>
        <v>0.5780346820809249</v>
      </c>
      <c r="AN850" s="17"/>
      <c r="AO850" s="27"/>
      <c r="AS850" s="49"/>
      <c r="AT850" s="25"/>
      <c r="AU850" s="17"/>
      <c r="AV850" s="17"/>
      <c r="AW850" s="17"/>
      <c r="AX850" s="27"/>
      <c r="BB850" s="17"/>
    </row>
    <row r="851" spans="1:54" x14ac:dyDescent="0.2">
      <c r="A851" s="17" t="s">
        <v>77</v>
      </c>
      <c r="B851" s="17" t="s">
        <v>78</v>
      </c>
      <c r="C851" s="17" t="str">
        <f t="shared" si="276"/>
        <v>HER42PB1I</v>
      </c>
      <c r="D851" s="17" t="str">
        <f t="shared" si="277"/>
        <v>HER42PB1I_320</v>
      </c>
      <c r="E851" s="27" t="s">
        <v>87</v>
      </c>
      <c r="F851" s="17">
        <v>320</v>
      </c>
      <c r="G851" s="20">
        <v>2.2999999999999998</v>
      </c>
      <c r="H851" s="20">
        <v>2.2999999999999998</v>
      </c>
      <c r="I851" s="20">
        <v>1.3</v>
      </c>
      <c r="J851" s="22">
        <f t="shared" si="274"/>
        <v>5.3984449999999997</v>
      </c>
      <c r="K851" s="53">
        <v>0.13571428571428532</v>
      </c>
      <c r="L851" s="45">
        <f t="shared" si="298"/>
        <v>38.250000000000014</v>
      </c>
      <c r="M851" s="45">
        <f t="shared" si="299"/>
        <v>39.550000000000011</v>
      </c>
      <c r="N851" s="46">
        <f t="shared" si="300"/>
        <v>38.900000000000013</v>
      </c>
      <c r="O851" s="20">
        <f t="shared" si="297"/>
        <v>358.25000000000045</v>
      </c>
      <c r="P851" s="20">
        <f t="shared" si="291"/>
        <v>359.55000000000047</v>
      </c>
      <c r="Q851" s="20">
        <f t="shared" si="301"/>
        <v>358.90000000000043</v>
      </c>
      <c r="R851" s="20">
        <f t="shared" si="282"/>
        <v>358.25000000000045</v>
      </c>
      <c r="S851" s="20">
        <f t="shared" si="283"/>
        <v>358.90000000000043</v>
      </c>
      <c r="T851" s="20">
        <f t="shared" si="284"/>
        <v>358.90000000000043</v>
      </c>
      <c r="U851" s="20">
        <f t="shared" si="285"/>
        <v>358.90000000000043</v>
      </c>
      <c r="V851" s="22">
        <v>7.4824000000000002</v>
      </c>
      <c r="W851" s="22">
        <v>2.4291</v>
      </c>
      <c r="X851" s="23">
        <v>1.1476266666666668</v>
      </c>
      <c r="Y851" s="23">
        <f t="shared" si="292"/>
        <v>6.3347733333333336</v>
      </c>
      <c r="Z851" s="23">
        <f t="shared" si="293"/>
        <v>1.2814733333333332</v>
      </c>
      <c r="AA851" s="22">
        <f t="shared" si="294"/>
        <v>79.770810005304057</v>
      </c>
      <c r="AB851" s="22">
        <f t="shared" si="295"/>
        <v>20.229189994695943</v>
      </c>
      <c r="AC851" s="22">
        <f t="shared" si="286"/>
        <v>1.1734440812740212</v>
      </c>
      <c r="AD851" s="22">
        <f t="shared" si="287"/>
        <v>0.23737823268243602</v>
      </c>
      <c r="AE851" s="27">
        <v>10.293900000000001</v>
      </c>
      <c r="AF851" s="27">
        <v>10.4962</v>
      </c>
      <c r="AG851" s="27">
        <v>10.392200000000001</v>
      </c>
      <c r="AH851" s="26">
        <v>9.8299999999999998E-2</v>
      </c>
      <c r="AI851" s="26">
        <v>51.40879881</v>
      </c>
      <c r="AJ851" s="26">
        <f t="shared" si="288"/>
        <v>2.5704399405</v>
      </c>
      <c r="AK851" s="26">
        <f t="shared" si="289"/>
        <v>29.71606867630058</v>
      </c>
      <c r="AL851" s="26">
        <f t="shared" si="290"/>
        <v>2.5720150636646051</v>
      </c>
      <c r="AM851" s="17">
        <f t="shared" si="296"/>
        <v>0.5780346820809249</v>
      </c>
      <c r="AN851" s="17"/>
      <c r="AO851" s="27"/>
      <c r="AS851" s="49"/>
      <c r="AT851" s="25"/>
      <c r="AU851" s="17"/>
      <c r="AV851" s="17"/>
      <c r="AW851" s="17"/>
      <c r="AX851" s="27"/>
      <c r="BB851" s="17"/>
    </row>
    <row r="852" spans="1:54" x14ac:dyDescent="0.2">
      <c r="A852" s="17" t="s">
        <v>77</v>
      </c>
      <c r="B852" s="17" t="s">
        <v>78</v>
      </c>
      <c r="C852" s="17" t="str">
        <f t="shared" si="276"/>
        <v>HER42PB1I</v>
      </c>
      <c r="D852" s="17" t="str">
        <f t="shared" si="277"/>
        <v>HER42PB1I_321</v>
      </c>
      <c r="E852" s="27" t="s">
        <v>87</v>
      </c>
      <c r="F852" s="17">
        <v>321</v>
      </c>
      <c r="G852" s="20">
        <v>2.25</v>
      </c>
      <c r="H852" s="20">
        <v>2.35</v>
      </c>
      <c r="I852" s="20">
        <v>1.1499999999999999</v>
      </c>
      <c r="J852" s="22">
        <f t="shared" ref="J852:J894" si="302">(AVERAGE(G852:H852)*(AVERAGE(G852:H852)*3.14/4*I852))</f>
        <v>4.7755474999999992</v>
      </c>
      <c r="K852" s="53">
        <v>0.13571428571428532</v>
      </c>
      <c r="L852" s="45">
        <f t="shared" si="298"/>
        <v>39.685714285714297</v>
      </c>
      <c r="M852" s="45">
        <f t="shared" si="299"/>
        <v>40.835714285714296</v>
      </c>
      <c r="N852" s="46">
        <f t="shared" si="300"/>
        <v>40.2607142857143</v>
      </c>
      <c r="O852" s="20">
        <f t="shared" si="297"/>
        <v>359.68571428571477</v>
      </c>
      <c r="P852" s="20">
        <f t="shared" si="291"/>
        <v>360.83571428571474</v>
      </c>
      <c r="Q852" s="20">
        <f t="shared" si="301"/>
        <v>360.26071428571476</v>
      </c>
      <c r="R852" s="20">
        <f t="shared" si="282"/>
        <v>359.68571428571477</v>
      </c>
      <c r="S852" s="20">
        <f t="shared" si="283"/>
        <v>360.26071428571476</v>
      </c>
      <c r="T852" s="20">
        <f t="shared" si="284"/>
        <v>360.26071428571476</v>
      </c>
      <c r="U852" s="20">
        <f t="shared" si="285"/>
        <v>360.26071428571476</v>
      </c>
      <c r="V852" s="22">
        <v>7.8261000000000003</v>
      </c>
      <c r="W852" s="22">
        <v>2.7749999999999999</v>
      </c>
      <c r="X852" s="23">
        <v>1.1476266666666668</v>
      </c>
      <c r="Y852" s="23">
        <f t="shared" si="292"/>
        <v>6.6784733333333337</v>
      </c>
      <c r="Z852" s="23">
        <f t="shared" si="293"/>
        <v>1.6273733333333331</v>
      </c>
      <c r="AA852" s="22">
        <f t="shared" si="294"/>
        <v>75.632554745545647</v>
      </c>
      <c r="AB852" s="22">
        <f t="shared" si="295"/>
        <v>24.367445254454353</v>
      </c>
      <c r="AC852" s="22">
        <f t="shared" si="286"/>
        <v>1.3984728103601387</v>
      </c>
      <c r="AD852" s="22">
        <f t="shared" si="287"/>
        <v>0.3407720964629361</v>
      </c>
      <c r="AE852" s="27">
        <v>14.077299999999999</v>
      </c>
      <c r="AF852" s="27">
        <v>14.179500000000001</v>
      </c>
      <c r="AG852" s="27">
        <v>14.1326</v>
      </c>
      <c r="AH852" s="26">
        <v>5.5300000000000002E-2</v>
      </c>
      <c r="AI852" s="26">
        <v>45.890410959999997</v>
      </c>
      <c r="AJ852" s="26">
        <f t="shared" si="288"/>
        <v>2.2945205479999999</v>
      </c>
      <c r="AK852" s="26">
        <f t="shared" si="289"/>
        <v>26.52624910982659</v>
      </c>
      <c r="AL852" s="26">
        <f t="shared" si="290"/>
        <v>2.2962849442510875</v>
      </c>
      <c r="AM852" s="17">
        <f t="shared" si="296"/>
        <v>0.5780346820809249</v>
      </c>
      <c r="AN852" s="17"/>
      <c r="AO852" s="27"/>
      <c r="AS852" s="49"/>
      <c r="AT852" s="25"/>
      <c r="AU852" s="17"/>
      <c r="AV852" s="17"/>
      <c r="AW852" s="17"/>
      <c r="AX852" s="27"/>
      <c r="BB852" s="17"/>
    </row>
    <row r="853" spans="1:54" x14ac:dyDescent="0.2">
      <c r="A853" s="17" t="s">
        <v>77</v>
      </c>
      <c r="B853" s="17" t="s">
        <v>78</v>
      </c>
      <c r="C853" s="17" t="str">
        <f t="shared" ref="C853:C894" si="303">"HER42PB1"&amp;E853</f>
        <v>HER42PB1I</v>
      </c>
      <c r="D853" s="17" t="str">
        <f t="shared" ref="D853:D894" si="304">C853&amp;"_"&amp;F853</f>
        <v>HER42PB1I_322</v>
      </c>
      <c r="E853" s="27" t="s">
        <v>87</v>
      </c>
      <c r="F853" s="17">
        <v>322</v>
      </c>
      <c r="G853" s="20">
        <v>2.4</v>
      </c>
      <c r="H853" s="20">
        <v>2.4</v>
      </c>
      <c r="I853" s="20">
        <v>1.2</v>
      </c>
      <c r="J853" s="22">
        <f t="shared" si="302"/>
        <v>5.4259199999999987</v>
      </c>
      <c r="K853" s="53">
        <v>0.13571428571428532</v>
      </c>
      <c r="L853" s="45">
        <f t="shared" si="298"/>
        <v>40.971428571428582</v>
      </c>
      <c r="M853" s="45">
        <f t="shared" si="299"/>
        <v>42.171428571428585</v>
      </c>
      <c r="N853" s="46">
        <f t="shared" si="300"/>
        <v>41.571428571428584</v>
      </c>
      <c r="O853" s="20">
        <f t="shared" si="297"/>
        <v>360.97142857142904</v>
      </c>
      <c r="P853" s="20">
        <f t="shared" si="291"/>
        <v>362.17142857142903</v>
      </c>
      <c r="Q853" s="20">
        <f t="shared" si="301"/>
        <v>361.57142857142901</v>
      </c>
      <c r="R853" s="20">
        <f t="shared" ref="R853:R894" si="305">O853</f>
        <v>360.97142857142904</v>
      </c>
      <c r="S853" s="20">
        <f t="shared" ref="S853:S894" si="306">Q853</f>
        <v>361.57142857142901</v>
      </c>
      <c r="T853" s="20">
        <f t="shared" ref="T853:T894" si="307">Q853</f>
        <v>361.57142857142901</v>
      </c>
      <c r="U853" s="20">
        <f t="shared" ref="U853:U894" si="308">T853</f>
        <v>361.57142857142901</v>
      </c>
      <c r="V853" s="22">
        <v>8.8842999999999996</v>
      </c>
      <c r="W853" s="22">
        <v>3.89</v>
      </c>
      <c r="X853" s="23">
        <v>1.1476266666666668</v>
      </c>
      <c r="Y853" s="23">
        <f t="shared" si="292"/>
        <v>7.7366733333333331</v>
      </c>
      <c r="Z853" s="23">
        <f t="shared" si="293"/>
        <v>2.7423733333333331</v>
      </c>
      <c r="AA853" s="22">
        <f t="shared" si="294"/>
        <v>64.55358504645838</v>
      </c>
      <c r="AB853" s="22">
        <f t="shared" si="295"/>
        <v>35.44641495354162</v>
      </c>
      <c r="AC853" s="22">
        <f t="shared" ref="AC853:AC894" si="309">(V853-X853)/J853</f>
        <v>1.4258730931037198</v>
      </c>
      <c r="AD853" s="22">
        <f t="shared" ref="AD853:AD894" si="310">(W853-X853)/J853</f>
        <v>0.50542089329244322</v>
      </c>
      <c r="AE853" s="27">
        <v>13.819599999999999</v>
      </c>
      <c r="AF853" s="27">
        <v>14.0627</v>
      </c>
      <c r="AG853" s="27">
        <v>13.9693</v>
      </c>
      <c r="AH853" s="26">
        <v>0.1497</v>
      </c>
      <c r="AI853" s="26">
        <v>38.420403129999997</v>
      </c>
      <c r="AJ853" s="26">
        <f t="shared" ref="AJ853:AJ894" si="311">AI853*0.05</f>
        <v>1.9210201565</v>
      </c>
      <c r="AK853" s="26">
        <f t="shared" ref="AK853:AK894" si="312">AI853*AM853</f>
        <v>22.208325508670519</v>
      </c>
      <c r="AL853" s="26">
        <f t="shared" ref="AL853:AL894" si="313">(AJ853^2+0.09^2)^0.5</f>
        <v>1.9231272557163983</v>
      </c>
      <c r="AM853" s="17">
        <f t="shared" si="296"/>
        <v>0.5780346820809249</v>
      </c>
      <c r="AN853" s="17"/>
      <c r="AO853" s="27"/>
      <c r="AS853" s="49"/>
      <c r="AT853" s="25"/>
      <c r="AU853" s="17"/>
      <c r="AV853" s="17"/>
      <c r="AW853" s="17"/>
      <c r="AX853" s="27"/>
      <c r="BB853" s="17"/>
    </row>
    <row r="854" spans="1:54" x14ac:dyDescent="0.2">
      <c r="A854" s="17" t="s">
        <v>77</v>
      </c>
      <c r="B854" s="17" t="s">
        <v>78</v>
      </c>
      <c r="C854" s="17" t="str">
        <f t="shared" si="303"/>
        <v>HER42PB1I</v>
      </c>
      <c r="D854" s="17" t="str">
        <f t="shared" si="304"/>
        <v>HER42PB1I_323</v>
      </c>
      <c r="E854" s="27" t="s">
        <v>87</v>
      </c>
      <c r="F854" s="17">
        <v>323</v>
      </c>
      <c r="G854" s="20">
        <v>2.25</v>
      </c>
      <c r="H854" s="20">
        <v>2.2999999999999998</v>
      </c>
      <c r="I854" s="20">
        <v>1.2</v>
      </c>
      <c r="J854" s="22">
        <f t="shared" si="302"/>
        <v>4.8754387499999998</v>
      </c>
      <c r="K854" s="53">
        <v>0.13571428571428532</v>
      </c>
      <c r="L854" s="45">
        <f t="shared" si="298"/>
        <v>42.307142857142871</v>
      </c>
      <c r="M854" s="45">
        <f t="shared" si="299"/>
        <v>43.507142857142874</v>
      </c>
      <c r="N854" s="46">
        <f t="shared" si="300"/>
        <v>42.907142857142873</v>
      </c>
      <c r="O854" s="20">
        <f t="shared" si="297"/>
        <v>362.30714285714333</v>
      </c>
      <c r="P854" s="20">
        <f t="shared" ref="P854:P894" si="314">O854+I854</f>
        <v>363.50714285714332</v>
      </c>
      <c r="Q854" s="20">
        <f t="shared" si="301"/>
        <v>362.9071428571433</v>
      </c>
      <c r="R854" s="20">
        <f t="shared" si="305"/>
        <v>362.30714285714333</v>
      </c>
      <c r="S854" s="20">
        <f t="shared" si="306"/>
        <v>362.9071428571433</v>
      </c>
      <c r="T854" s="20">
        <f t="shared" si="307"/>
        <v>362.9071428571433</v>
      </c>
      <c r="U854" s="20">
        <f t="shared" si="308"/>
        <v>362.9071428571433</v>
      </c>
      <c r="V854" s="22">
        <v>8.6227</v>
      </c>
      <c r="W854" s="22">
        <v>3.5508999999999999</v>
      </c>
      <c r="X854" s="23">
        <v>1.1476266666666668</v>
      </c>
      <c r="Y854" s="23">
        <f t="shared" ref="Y854:Y894" si="315">V854-X854</f>
        <v>7.4750733333333335</v>
      </c>
      <c r="Z854" s="23">
        <f t="shared" ref="Z854:Z894" si="316">W854-X854</f>
        <v>2.4032733333333329</v>
      </c>
      <c r="AA854" s="22">
        <f t="shared" ref="AA854:AA894" si="317">((Y854-Z854)/Y854)*100</f>
        <v>67.849501587944289</v>
      </c>
      <c r="AB854" s="22">
        <f t="shared" ref="AB854:AB894" si="318">100-AA854</f>
        <v>32.150498412055711</v>
      </c>
      <c r="AC854" s="22">
        <f t="shared" si="309"/>
        <v>1.5332103871335341</v>
      </c>
      <c r="AD854" s="22">
        <f t="shared" si="310"/>
        <v>0.49293478116884004</v>
      </c>
      <c r="AE854" s="27">
        <v>16.9968</v>
      </c>
      <c r="AF854" s="27">
        <v>17.243300000000001</v>
      </c>
      <c r="AG854" s="27">
        <v>17.179300000000001</v>
      </c>
      <c r="AH854" s="26">
        <v>0.1825</v>
      </c>
      <c r="AI854" s="26">
        <v>25.96348884</v>
      </c>
      <c r="AJ854" s="26">
        <f t="shared" si="311"/>
        <v>1.2981744420000001</v>
      </c>
      <c r="AK854" s="26">
        <f t="shared" si="312"/>
        <v>15.007797017341042</v>
      </c>
      <c r="AL854" s="26">
        <f t="shared" si="313"/>
        <v>1.3012904679056139</v>
      </c>
      <c r="AM854" s="17">
        <f t="shared" ref="AM854:AM894" si="319">1/1.73</f>
        <v>0.5780346820809249</v>
      </c>
      <c r="AN854" s="17"/>
      <c r="AO854" s="27"/>
      <c r="AS854" s="49"/>
      <c r="AT854" s="25"/>
      <c r="AU854" s="17"/>
      <c r="AV854" s="17"/>
      <c r="AW854" s="17"/>
      <c r="AX854" s="27"/>
      <c r="BB854" s="17"/>
    </row>
    <row r="855" spans="1:54" x14ac:dyDescent="0.2">
      <c r="A855" s="17" t="s">
        <v>77</v>
      </c>
      <c r="B855" s="17" t="s">
        <v>78</v>
      </c>
      <c r="C855" s="17" t="str">
        <f t="shared" si="303"/>
        <v>HER42PB1I</v>
      </c>
      <c r="D855" s="17" t="str">
        <f t="shared" si="304"/>
        <v>HER42PB1I_324</v>
      </c>
      <c r="E855" s="27" t="s">
        <v>87</v>
      </c>
      <c r="F855" s="17">
        <v>324</v>
      </c>
      <c r="G855" s="20">
        <v>2.2999999999999998</v>
      </c>
      <c r="H855" s="20">
        <v>2.2999999999999998</v>
      </c>
      <c r="I855" s="20">
        <v>1.1000000000000001</v>
      </c>
      <c r="J855" s="22">
        <f t="shared" si="302"/>
        <v>4.5679150000000002</v>
      </c>
      <c r="K855" s="53">
        <v>0.13571428571428532</v>
      </c>
      <c r="L855" s="45">
        <f t="shared" si="298"/>
        <v>43.64285714285716</v>
      </c>
      <c r="M855" s="45">
        <f t="shared" si="299"/>
        <v>44.742857142857162</v>
      </c>
      <c r="N855" s="46">
        <f t="shared" si="300"/>
        <v>44.192857142857164</v>
      </c>
      <c r="O855" s="20">
        <f t="shared" si="297"/>
        <v>363.64285714285762</v>
      </c>
      <c r="P855" s="20">
        <f t="shared" si="314"/>
        <v>364.74285714285764</v>
      </c>
      <c r="Q855" s="20">
        <f t="shared" si="301"/>
        <v>364.19285714285763</v>
      </c>
      <c r="R855" s="20">
        <f t="shared" si="305"/>
        <v>363.64285714285762</v>
      </c>
      <c r="S855" s="20">
        <f t="shared" si="306"/>
        <v>364.19285714285763</v>
      </c>
      <c r="T855" s="20">
        <f t="shared" si="307"/>
        <v>364.19285714285763</v>
      </c>
      <c r="U855" s="20">
        <f t="shared" si="308"/>
        <v>364.19285714285763</v>
      </c>
      <c r="V855" s="22">
        <v>8.2871000000000006</v>
      </c>
      <c r="W855" s="22">
        <v>3.6720999999999999</v>
      </c>
      <c r="X855" s="23">
        <v>1.1476266666666668</v>
      </c>
      <c r="Y855" s="23">
        <f t="shared" si="315"/>
        <v>7.139473333333334</v>
      </c>
      <c r="Z855" s="23">
        <f t="shared" si="316"/>
        <v>2.5244733333333329</v>
      </c>
      <c r="AA855" s="22">
        <f t="shared" si="317"/>
        <v>64.6406224175266</v>
      </c>
      <c r="AB855" s="22">
        <f t="shared" si="318"/>
        <v>35.3593775824734</v>
      </c>
      <c r="AC855" s="22">
        <f t="shared" si="309"/>
        <v>1.562961073779467</v>
      </c>
      <c r="AD855" s="22">
        <f t="shared" si="310"/>
        <v>0.55265330754476227</v>
      </c>
      <c r="AE855" s="27">
        <v>16.5046</v>
      </c>
      <c r="AF855" s="27">
        <v>16.691199999999998</v>
      </c>
      <c r="AG855" s="27">
        <v>16.640499999999999</v>
      </c>
      <c r="AH855" s="26">
        <v>0.13589999999999999</v>
      </c>
      <c r="AI855" s="26">
        <v>27.170418009999999</v>
      </c>
      <c r="AJ855" s="26">
        <f t="shared" si="311"/>
        <v>1.3585209005000001</v>
      </c>
      <c r="AK855" s="26">
        <f t="shared" si="312"/>
        <v>15.705443936416186</v>
      </c>
      <c r="AL855" s="26">
        <f t="shared" si="313"/>
        <v>1.3614988200859122</v>
      </c>
      <c r="AM855" s="17">
        <f t="shared" si="319"/>
        <v>0.5780346820809249</v>
      </c>
      <c r="AN855" s="17"/>
      <c r="AO855" s="27"/>
      <c r="AS855" s="49"/>
      <c r="AT855" s="25"/>
      <c r="AU855" s="17"/>
      <c r="AV855" s="17"/>
      <c r="AW855" s="17"/>
      <c r="AX855" s="27"/>
      <c r="BB855" s="17"/>
    </row>
    <row r="856" spans="1:54" x14ac:dyDescent="0.2">
      <c r="A856" s="17" t="s">
        <v>77</v>
      </c>
      <c r="B856" s="17" t="s">
        <v>78</v>
      </c>
      <c r="C856" s="17" t="str">
        <f t="shared" si="303"/>
        <v>HER42PB1I</v>
      </c>
      <c r="D856" s="17" t="str">
        <f t="shared" si="304"/>
        <v>HER42PB1I_325</v>
      </c>
      <c r="E856" s="27" t="s">
        <v>87</v>
      </c>
      <c r="F856" s="17">
        <v>325</v>
      </c>
      <c r="G856" s="20">
        <v>2.2000000000000002</v>
      </c>
      <c r="H856" s="20">
        <v>2.4500000000000002</v>
      </c>
      <c r="I856" s="20">
        <v>1.1000000000000001</v>
      </c>
      <c r="J856" s="22">
        <f t="shared" si="302"/>
        <v>4.6677571875000012</v>
      </c>
      <c r="K856" s="53">
        <v>0.13571428571428532</v>
      </c>
      <c r="L856" s="45">
        <f t="shared" si="298"/>
        <v>44.878571428571448</v>
      </c>
      <c r="M856" s="45">
        <f t="shared" si="299"/>
        <v>45.978571428571449</v>
      </c>
      <c r="N856" s="46">
        <f t="shared" si="300"/>
        <v>45.428571428571445</v>
      </c>
      <c r="O856" s="20">
        <f t="shared" si="297"/>
        <v>364.87857142857195</v>
      </c>
      <c r="P856" s="20">
        <f t="shared" si="314"/>
        <v>365.97857142857197</v>
      </c>
      <c r="Q856" s="20">
        <f t="shared" si="301"/>
        <v>365.42857142857196</v>
      </c>
      <c r="R856" s="20">
        <f t="shared" si="305"/>
        <v>364.87857142857195</v>
      </c>
      <c r="S856" s="20">
        <f t="shared" si="306"/>
        <v>365.42857142857196</v>
      </c>
      <c r="T856" s="20">
        <f t="shared" si="307"/>
        <v>365.42857142857196</v>
      </c>
      <c r="U856" s="20">
        <f t="shared" si="308"/>
        <v>365.42857142857196</v>
      </c>
      <c r="V856" s="22">
        <v>8.3271999999999995</v>
      </c>
      <c r="W856" s="22">
        <v>3.3254999999999999</v>
      </c>
      <c r="X856" s="23">
        <v>1.1476266666666668</v>
      </c>
      <c r="Y856" s="23">
        <f t="shared" si="315"/>
        <v>7.1795733333333329</v>
      </c>
      <c r="Z856" s="23">
        <f t="shared" si="316"/>
        <v>2.1778733333333333</v>
      </c>
      <c r="AA856" s="22">
        <f t="shared" si="317"/>
        <v>69.665699725888999</v>
      </c>
      <c r="AB856" s="22">
        <f t="shared" si="318"/>
        <v>30.334300274111001</v>
      </c>
      <c r="AC856" s="22">
        <f t="shared" si="309"/>
        <v>1.5381205673165343</v>
      </c>
      <c r="AD856" s="22">
        <f t="shared" si="310"/>
        <v>0.46657811146765715</v>
      </c>
      <c r="AE856" s="27">
        <v>6.4452999999999996</v>
      </c>
      <c r="AF856" s="27">
        <v>6.6298000000000004</v>
      </c>
      <c r="AG856" s="27">
        <v>6.5777999999999999</v>
      </c>
      <c r="AH856" s="26">
        <v>0.13250000000000001</v>
      </c>
      <c r="AI856" s="26">
        <v>28.184281840000001</v>
      </c>
      <c r="AJ856" s="26">
        <f t="shared" si="311"/>
        <v>1.409214092</v>
      </c>
      <c r="AK856" s="26">
        <f t="shared" si="312"/>
        <v>16.291492393063585</v>
      </c>
      <c r="AL856" s="26">
        <f t="shared" si="313"/>
        <v>1.4120851097194476</v>
      </c>
      <c r="AM856" s="17">
        <f t="shared" si="319"/>
        <v>0.5780346820809249</v>
      </c>
      <c r="AN856" s="17"/>
      <c r="AO856" s="27"/>
      <c r="AS856" s="49"/>
      <c r="AT856" s="25"/>
      <c r="AU856" s="17"/>
      <c r="AV856" s="17"/>
      <c r="AW856" s="17"/>
      <c r="AX856" s="27"/>
      <c r="BB856" s="17"/>
    </row>
    <row r="857" spans="1:54" x14ac:dyDescent="0.2">
      <c r="A857" s="17" t="s">
        <v>77</v>
      </c>
      <c r="B857" s="17" t="s">
        <v>78</v>
      </c>
      <c r="C857" s="17" t="str">
        <f t="shared" si="303"/>
        <v>HER42PB1I</v>
      </c>
      <c r="D857" s="17" t="str">
        <f t="shared" si="304"/>
        <v>HER42PB1I_326</v>
      </c>
      <c r="E857" s="27" t="s">
        <v>87</v>
      </c>
      <c r="F857" s="17">
        <v>326</v>
      </c>
      <c r="G857" s="20">
        <v>2.15</v>
      </c>
      <c r="H857" s="20">
        <v>2.1</v>
      </c>
      <c r="I857" s="20">
        <v>1</v>
      </c>
      <c r="J857" s="22">
        <f t="shared" si="302"/>
        <v>3.5447656250000001</v>
      </c>
      <c r="K857" s="53">
        <v>0.13571428571428532</v>
      </c>
      <c r="L857" s="45">
        <f t="shared" si="298"/>
        <v>46.114285714285735</v>
      </c>
      <c r="M857" s="45">
        <f t="shared" si="299"/>
        <v>47.114285714285735</v>
      </c>
      <c r="N857" s="46">
        <f t="shared" si="300"/>
        <v>46.614285714285735</v>
      </c>
      <c r="O857" s="20">
        <f t="shared" si="297"/>
        <v>366.11428571428627</v>
      </c>
      <c r="P857" s="20">
        <f t="shared" si="314"/>
        <v>367.11428571428627</v>
      </c>
      <c r="Q857" s="20">
        <f t="shared" si="301"/>
        <v>366.61428571428627</v>
      </c>
      <c r="R857" s="20">
        <f t="shared" si="305"/>
        <v>366.11428571428627</v>
      </c>
      <c r="S857" s="20">
        <f t="shared" si="306"/>
        <v>366.61428571428627</v>
      </c>
      <c r="T857" s="20">
        <f t="shared" si="307"/>
        <v>366.61428571428627</v>
      </c>
      <c r="U857" s="20">
        <f t="shared" si="308"/>
        <v>366.61428571428627</v>
      </c>
      <c r="V857" s="22">
        <v>7.3357000000000001</v>
      </c>
      <c r="W857" s="22">
        <v>3.0282</v>
      </c>
      <c r="X857" s="23">
        <v>1.1476266666666668</v>
      </c>
      <c r="Y857" s="23">
        <f t="shared" si="315"/>
        <v>6.1880733333333335</v>
      </c>
      <c r="Z857" s="23">
        <f t="shared" si="316"/>
        <v>1.8805733333333332</v>
      </c>
      <c r="AA857" s="22">
        <f t="shared" si="317"/>
        <v>69.609711584973681</v>
      </c>
      <c r="AB857" s="22">
        <f t="shared" si="318"/>
        <v>30.390288415026319</v>
      </c>
      <c r="AC857" s="22">
        <f t="shared" si="309"/>
        <v>1.7456932243110808</v>
      </c>
      <c r="AD857" s="22">
        <f t="shared" si="310"/>
        <v>0.53052120570970984</v>
      </c>
      <c r="AE857" s="27">
        <v>6.6186999999999996</v>
      </c>
      <c r="AF857" s="27">
        <v>6.8604000000000003</v>
      </c>
      <c r="AG857" s="27">
        <v>6.7834000000000003</v>
      </c>
      <c r="AH857" s="26">
        <v>0.16470000000000001</v>
      </c>
      <c r="AI857" s="26">
        <v>31.857674800000002</v>
      </c>
      <c r="AJ857" s="26">
        <f t="shared" si="311"/>
        <v>1.5928837400000002</v>
      </c>
      <c r="AK857" s="26">
        <f t="shared" si="312"/>
        <v>18.414840924855493</v>
      </c>
      <c r="AL857" s="26">
        <f t="shared" si="313"/>
        <v>1.5954242724605854</v>
      </c>
      <c r="AM857" s="17">
        <f t="shared" si="319"/>
        <v>0.5780346820809249</v>
      </c>
      <c r="AN857" s="17"/>
      <c r="AO857" s="27"/>
      <c r="AS857" s="49"/>
      <c r="AT857" s="25"/>
      <c r="AU857" s="17"/>
      <c r="AV857" s="17"/>
      <c r="AW857" s="17"/>
      <c r="AX857" s="27"/>
      <c r="BB857" s="17"/>
    </row>
    <row r="858" spans="1:54" x14ac:dyDescent="0.2">
      <c r="A858" s="17" t="s">
        <v>77</v>
      </c>
      <c r="B858" s="17" t="s">
        <v>78</v>
      </c>
      <c r="C858" s="17" t="str">
        <f t="shared" si="303"/>
        <v>HER42PB1I</v>
      </c>
      <c r="D858" s="17" t="str">
        <f t="shared" si="304"/>
        <v>HER42PB1I_327</v>
      </c>
      <c r="E858" s="27" t="s">
        <v>87</v>
      </c>
      <c r="F858" s="17">
        <v>327</v>
      </c>
      <c r="G858" s="20">
        <v>2</v>
      </c>
      <c r="H858" s="20">
        <v>2.2999999999999998</v>
      </c>
      <c r="I858" s="20">
        <v>1.25</v>
      </c>
      <c r="J858" s="22">
        <f t="shared" si="302"/>
        <v>4.5358281250000001</v>
      </c>
      <c r="K858" s="53">
        <v>0.13571428571428532</v>
      </c>
      <c r="L858" s="45">
        <f t="shared" si="298"/>
        <v>47.250000000000021</v>
      </c>
      <c r="M858" s="45">
        <f t="shared" si="299"/>
        <v>48.500000000000021</v>
      </c>
      <c r="N858" s="46">
        <f t="shared" si="300"/>
        <v>47.875000000000021</v>
      </c>
      <c r="O858" s="20">
        <f t="shared" si="297"/>
        <v>367.25000000000057</v>
      </c>
      <c r="P858" s="20">
        <f t="shared" si="314"/>
        <v>368.50000000000057</v>
      </c>
      <c r="Q858" s="20">
        <f t="shared" si="301"/>
        <v>367.87500000000057</v>
      </c>
      <c r="R858" s="20">
        <f t="shared" si="305"/>
        <v>367.25000000000057</v>
      </c>
      <c r="S858" s="20">
        <f t="shared" si="306"/>
        <v>367.87500000000057</v>
      </c>
      <c r="T858" s="20">
        <f t="shared" si="307"/>
        <v>367.87500000000057</v>
      </c>
      <c r="U858" s="20">
        <f t="shared" si="308"/>
        <v>367.87500000000057</v>
      </c>
      <c r="V858" s="22">
        <v>8.0602</v>
      </c>
      <c r="W858" s="22">
        <v>3.4967999999999999</v>
      </c>
      <c r="X858" s="23">
        <v>1.1476266666666668</v>
      </c>
      <c r="Y858" s="23">
        <f t="shared" si="315"/>
        <v>6.9125733333333335</v>
      </c>
      <c r="Z858" s="23">
        <f t="shared" si="316"/>
        <v>2.3491733333333329</v>
      </c>
      <c r="AA858" s="22">
        <f t="shared" si="317"/>
        <v>66.015936178133387</v>
      </c>
      <c r="AB858" s="22">
        <f t="shared" si="318"/>
        <v>33.984063821866613</v>
      </c>
      <c r="AC858" s="22">
        <f t="shared" si="309"/>
        <v>1.523993666169468</v>
      </c>
      <c r="AD858" s="22">
        <f t="shared" si="310"/>
        <v>0.51791498015223691</v>
      </c>
      <c r="AE858" s="27">
        <v>6.3949999999999996</v>
      </c>
      <c r="AF858" s="27">
        <v>6.7095000000000002</v>
      </c>
      <c r="AG858" s="27">
        <v>6.6025</v>
      </c>
      <c r="AH858" s="26">
        <v>0.20749999999999999</v>
      </c>
      <c r="AI858" s="26">
        <v>34.022257549999999</v>
      </c>
      <c r="AJ858" s="26">
        <f t="shared" si="311"/>
        <v>1.7011128775</v>
      </c>
      <c r="AK858" s="26">
        <f t="shared" si="312"/>
        <v>19.666044826589598</v>
      </c>
      <c r="AL858" s="26">
        <f t="shared" si="313"/>
        <v>1.7034920081985505</v>
      </c>
      <c r="AM858" s="17">
        <f t="shared" si="319"/>
        <v>0.5780346820809249</v>
      </c>
      <c r="AN858" s="17"/>
      <c r="AO858" s="27"/>
      <c r="AS858" s="49"/>
      <c r="AT858" s="25"/>
      <c r="AU858" s="17"/>
      <c r="AV858" s="17"/>
      <c r="AW858" s="17"/>
      <c r="AX858" s="27"/>
      <c r="BB858" s="17"/>
    </row>
    <row r="859" spans="1:54" x14ac:dyDescent="0.2">
      <c r="A859" s="17" t="s">
        <v>77</v>
      </c>
      <c r="B859" s="17" t="s">
        <v>78</v>
      </c>
      <c r="C859" s="17" t="str">
        <f t="shared" si="303"/>
        <v>HER42PB1J</v>
      </c>
      <c r="D859" s="17" t="str">
        <f t="shared" si="304"/>
        <v>HER42PB1J_328</v>
      </c>
      <c r="E859" s="27" t="s">
        <v>88</v>
      </c>
      <c r="F859" s="17">
        <v>328</v>
      </c>
      <c r="G859" s="20">
        <v>2.25</v>
      </c>
      <c r="H859" s="20">
        <v>2.25</v>
      </c>
      <c r="I859" s="20">
        <v>1.1000000000000001</v>
      </c>
      <c r="J859" s="22">
        <f t="shared" si="302"/>
        <v>4.3714687500000009</v>
      </c>
      <c r="K859" s="53">
        <v>0.21764705882352917</v>
      </c>
      <c r="L859" s="39">
        <v>0</v>
      </c>
      <c r="M859" s="45">
        <f>L859+I859</f>
        <v>1.1000000000000001</v>
      </c>
      <c r="N859" s="46">
        <f>L859+((M859-L859)/2)</f>
        <v>0.55000000000000004</v>
      </c>
      <c r="O859" s="20">
        <v>360</v>
      </c>
      <c r="P859" s="20">
        <f t="shared" si="314"/>
        <v>361.1</v>
      </c>
      <c r="Q859" s="20">
        <f>O859+((P859-O859)/2)</f>
        <v>360.55</v>
      </c>
      <c r="R859" s="20">
        <f t="shared" si="305"/>
        <v>360</v>
      </c>
      <c r="S859" s="20">
        <f t="shared" si="306"/>
        <v>360.55</v>
      </c>
      <c r="T859" s="20">
        <f t="shared" si="307"/>
        <v>360.55</v>
      </c>
      <c r="U859" s="20">
        <f t="shared" si="308"/>
        <v>360.55</v>
      </c>
      <c r="V859" s="22">
        <v>6.3090999999999999</v>
      </c>
      <c r="W859" s="22">
        <v>2.2887</v>
      </c>
      <c r="X859" s="23">
        <v>1.1476266666666668</v>
      </c>
      <c r="Y859" s="23">
        <f t="shared" si="315"/>
        <v>5.1614733333333334</v>
      </c>
      <c r="Z859" s="23">
        <f t="shared" si="316"/>
        <v>1.1410733333333332</v>
      </c>
      <c r="AA859" s="22">
        <f t="shared" si="317"/>
        <v>77.892488062194133</v>
      </c>
      <c r="AB859" s="22">
        <f t="shared" si="318"/>
        <v>22.107511937805867</v>
      </c>
      <c r="AC859" s="22">
        <f t="shared" si="309"/>
        <v>1.1807183417091411</v>
      </c>
      <c r="AD859" s="22">
        <f t="shared" si="310"/>
        <v>0.26102744834521185</v>
      </c>
      <c r="AE859" s="27">
        <v>16.9026</v>
      </c>
      <c r="AF859" s="27">
        <v>16.959</v>
      </c>
      <c r="AG859" s="27">
        <v>16.936299999999999</v>
      </c>
      <c r="AH859" s="26">
        <v>3.3700000000000001E-2</v>
      </c>
      <c r="AI859" s="26">
        <v>40.248226950000003</v>
      </c>
      <c r="AJ859" s="26">
        <f t="shared" si="311"/>
        <v>2.0124113475000001</v>
      </c>
      <c r="AK859" s="26">
        <f t="shared" si="312"/>
        <v>23.264871069364165</v>
      </c>
      <c r="AL859" s="26">
        <f t="shared" si="313"/>
        <v>2.0144228532129906</v>
      </c>
      <c r="AM859" s="17">
        <f t="shared" si="319"/>
        <v>0.5780346820809249</v>
      </c>
      <c r="AN859" s="28" t="s">
        <v>43</v>
      </c>
      <c r="AO859" s="27">
        <v>49</v>
      </c>
      <c r="AS859" s="49"/>
      <c r="AT859" s="25"/>
      <c r="AU859" s="17"/>
      <c r="AV859" s="17"/>
      <c r="AW859" s="17"/>
      <c r="AX859" s="27"/>
      <c r="BB859" s="17"/>
    </row>
    <row r="860" spans="1:54" x14ac:dyDescent="0.2">
      <c r="A860" s="17" t="s">
        <v>77</v>
      </c>
      <c r="B860" s="17" t="s">
        <v>78</v>
      </c>
      <c r="C860" s="17" t="str">
        <f t="shared" si="303"/>
        <v>HER42PB1J</v>
      </c>
      <c r="D860" s="17" t="str">
        <f t="shared" si="304"/>
        <v>HER42PB1J_329</v>
      </c>
      <c r="E860" s="27" t="s">
        <v>88</v>
      </c>
      <c r="F860" s="17">
        <v>329</v>
      </c>
      <c r="G860" s="20">
        <v>2.4</v>
      </c>
      <c r="H860" s="20">
        <v>2.4</v>
      </c>
      <c r="I860" s="20">
        <v>1.2</v>
      </c>
      <c r="J860" s="22">
        <f t="shared" si="302"/>
        <v>5.4259199999999987</v>
      </c>
      <c r="K860" s="53">
        <v>0.21764705882352917</v>
      </c>
      <c r="L860" s="45">
        <f>M859+K860</f>
        <v>1.3176470588235292</v>
      </c>
      <c r="M860" s="45">
        <f>L860+I860</f>
        <v>2.5176470588235293</v>
      </c>
      <c r="N860" s="46">
        <f>L860+((M860-L860)/2)</f>
        <v>1.9176470588235293</v>
      </c>
      <c r="O860" s="20">
        <f t="shared" ref="O860:O894" si="320">P859+K860</f>
        <v>361.31764705882352</v>
      </c>
      <c r="P860" s="20">
        <f t="shared" si="314"/>
        <v>362.51764705882351</v>
      </c>
      <c r="Q860" s="20">
        <f>O860+((P860-O860)/2)</f>
        <v>361.91764705882349</v>
      </c>
      <c r="R860" s="20">
        <f t="shared" si="305"/>
        <v>361.31764705882352</v>
      </c>
      <c r="S860" s="20">
        <f t="shared" si="306"/>
        <v>361.91764705882349</v>
      </c>
      <c r="T860" s="20">
        <f t="shared" si="307"/>
        <v>361.91764705882349</v>
      </c>
      <c r="U860" s="20">
        <f t="shared" si="308"/>
        <v>361.91764705882349</v>
      </c>
      <c r="V860" s="22">
        <v>8.7018000000000004</v>
      </c>
      <c r="W860" s="22">
        <v>3.6692999999999998</v>
      </c>
      <c r="X860" s="23">
        <v>1.1476266666666668</v>
      </c>
      <c r="Y860" s="23">
        <f t="shared" si="315"/>
        <v>7.5541733333333339</v>
      </c>
      <c r="Z860" s="23">
        <f t="shared" si="316"/>
        <v>2.5216733333333332</v>
      </c>
      <c r="AA860" s="22">
        <f t="shared" si="317"/>
        <v>66.618804969615027</v>
      </c>
      <c r="AB860" s="22">
        <f t="shared" si="318"/>
        <v>33.381195030384973</v>
      </c>
      <c r="AC860" s="22">
        <f t="shared" si="309"/>
        <v>1.3922382440827243</v>
      </c>
      <c r="AD860" s="22">
        <f t="shared" si="310"/>
        <v>0.4647457635448613</v>
      </c>
      <c r="AE860" s="27">
        <v>18.714400000000001</v>
      </c>
      <c r="AF860" s="27">
        <v>18.852399999999999</v>
      </c>
      <c r="AG860" s="27">
        <v>18.8155</v>
      </c>
      <c r="AH860" s="26">
        <v>0.1011</v>
      </c>
      <c r="AI860" s="26">
        <v>26.739130429999999</v>
      </c>
      <c r="AJ860" s="26">
        <f t="shared" si="311"/>
        <v>1.3369565215000001</v>
      </c>
      <c r="AK860" s="26">
        <f t="shared" si="312"/>
        <v>15.456144757225434</v>
      </c>
      <c r="AL860" s="26">
        <f t="shared" si="313"/>
        <v>1.3399823656979148</v>
      </c>
      <c r="AM860" s="17">
        <f t="shared" si="319"/>
        <v>0.5780346820809249</v>
      </c>
      <c r="AN860" s="28" t="s">
        <v>44</v>
      </c>
      <c r="AO860" s="27" t="s">
        <v>62</v>
      </c>
      <c r="AS860" s="49"/>
      <c r="AT860" s="25"/>
      <c r="AU860" s="17"/>
      <c r="AV860" s="17"/>
      <c r="AW860" s="17"/>
      <c r="AX860" s="27"/>
      <c r="BB860" s="17"/>
    </row>
    <row r="861" spans="1:54" x14ac:dyDescent="0.2">
      <c r="A861" s="17" t="s">
        <v>77</v>
      </c>
      <c r="B861" s="17" t="s">
        <v>78</v>
      </c>
      <c r="C861" s="17" t="str">
        <f t="shared" si="303"/>
        <v>HER42PB1J</v>
      </c>
      <c r="D861" s="17" t="str">
        <f t="shared" si="304"/>
        <v>HER42PB1J_330</v>
      </c>
      <c r="E861" s="27" t="s">
        <v>88</v>
      </c>
      <c r="F861" s="17">
        <v>330</v>
      </c>
      <c r="G861" s="20">
        <v>2.4</v>
      </c>
      <c r="H861" s="20">
        <v>2.5</v>
      </c>
      <c r="I861" s="20">
        <v>1.2</v>
      </c>
      <c r="J861" s="22">
        <f t="shared" si="302"/>
        <v>5.6543550000000007</v>
      </c>
      <c r="K861" s="53">
        <v>0.21764705882352917</v>
      </c>
      <c r="L861" s="45">
        <f t="shared" ref="L861:L894" si="321">M860+K861</f>
        <v>2.7352941176470584</v>
      </c>
      <c r="M861" s="45">
        <f t="shared" ref="M861:M894" si="322">L861+I861</f>
        <v>3.9352941176470582</v>
      </c>
      <c r="N861" s="46">
        <f t="shared" ref="N861:N894" si="323">L861+((M861-L861)/2)</f>
        <v>3.3352941176470585</v>
      </c>
      <c r="O861" s="20">
        <f t="shared" si="320"/>
        <v>362.73529411764702</v>
      </c>
      <c r="P861" s="20">
        <f t="shared" si="314"/>
        <v>363.935294117647</v>
      </c>
      <c r="Q861" s="20">
        <f t="shared" ref="Q861:Q894" si="324">O861+((P861-O861)/2)</f>
        <v>363.33529411764698</v>
      </c>
      <c r="R861" s="20">
        <f t="shared" si="305"/>
        <v>362.73529411764702</v>
      </c>
      <c r="S861" s="20">
        <f t="shared" si="306"/>
        <v>363.33529411764698</v>
      </c>
      <c r="T861" s="20">
        <f t="shared" si="307"/>
        <v>363.33529411764698</v>
      </c>
      <c r="U861" s="20">
        <f t="shared" si="308"/>
        <v>363.33529411764698</v>
      </c>
      <c r="V861" s="22">
        <v>8.6864000000000008</v>
      </c>
      <c r="W861" s="22">
        <v>3.6215999999999999</v>
      </c>
      <c r="X861" s="23">
        <v>1.1476266666666668</v>
      </c>
      <c r="Y861" s="23">
        <f t="shared" si="315"/>
        <v>7.5387733333333342</v>
      </c>
      <c r="Z861" s="23">
        <f t="shared" si="316"/>
        <v>2.4739733333333334</v>
      </c>
      <c r="AA861" s="22">
        <f t="shared" si="317"/>
        <v>67.18334370932142</v>
      </c>
      <c r="AB861" s="22">
        <f t="shared" si="318"/>
        <v>32.81665629067858</v>
      </c>
      <c r="AC861" s="22">
        <f t="shared" si="309"/>
        <v>1.3332684865618329</v>
      </c>
      <c r="AD861" s="22">
        <f t="shared" si="310"/>
        <v>0.43753413666692897</v>
      </c>
      <c r="AE861" s="27">
        <v>13.141</v>
      </c>
      <c r="AF861" s="27">
        <v>13.3764</v>
      </c>
      <c r="AG861" s="27">
        <v>13.335599999999999</v>
      </c>
      <c r="AH861" s="26">
        <v>0.1946</v>
      </c>
      <c r="AI861" s="26">
        <v>17.33220051</v>
      </c>
      <c r="AJ861" s="26">
        <f t="shared" si="311"/>
        <v>0.86661002549999999</v>
      </c>
      <c r="AK861" s="26">
        <f t="shared" si="312"/>
        <v>10.018613011560694</v>
      </c>
      <c r="AL861" s="26">
        <f t="shared" si="313"/>
        <v>0.87127087423895366</v>
      </c>
      <c r="AM861" s="17">
        <f t="shared" si="319"/>
        <v>0.5780346820809249</v>
      </c>
      <c r="AN861" s="28" t="s">
        <v>46</v>
      </c>
      <c r="AO861" s="29">
        <f>SUM(I860:I894)</f>
        <v>41.600000000000009</v>
      </c>
      <c r="AS861" s="49"/>
      <c r="AT861" s="25"/>
      <c r="AU861" s="17"/>
      <c r="AV861" s="17"/>
      <c r="AW861" s="17"/>
      <c r="AX861" s="27"/>
      <c r="BB861" s="17"/>
    </row>
    <row r="862" spans="1:54" x14ac:dyDescent="0.2">
      <c r="A862" s="17" t="s">
        <v>77</v>
      </c>
      <c r="B862" s="17" t="s">
        <v>78</v>
      </c>
      <c r="C862" s="17" t="str">
        <f t="shared" si="303"/>
        <v>HER42PB1J</v>
      </c>
      <c r="D862" s="17" t="str">
        <f t="shared" si="304"/>
        <v>HER42PB1J_331</v>
      </c>
      <c r="E862" s="27" t="s">
        <v>88</v>
      </c>
      <c r="F862" s="17">
        <v>331</v>
      </c>
      <c r="G862" s="20">
        <v>2.4</v>
      </c>
      <c r="H862" s="20">
        <v>2.4</v>
      </c>
      <c r="I862" s="20">
        <v>1.2</v>
      </c>
      <c r="J862" s="22">
        <f t="shared" si="302"/>
        <v>5.4259199999999987</v>
      </c>
      <c r="K862" s="53">
        <v>0.21764705882352917</v>
      </c>
      <c r="L862" s="45">
        <f t="shared" si="321"/>
        <v>4.1529411764705877</v>
      </c>
      <c r="M862" s="45">
        <f t="shared" si="322"/>
        <v>5.3529411764705879</v>
      </c>
      <c r="N862" s="46">
        <f t="shared" si="323"/>
        <v>4.7529411764705873</v>
      </c>
      <c r="O862" s="20">
        <f t="shared" si="320"/>
        <v>364.15294117647051</v>
      </c>
      <c r="P862" s="20">
        <f t="shared" si="314"/>
        <v>365.35294117647049</v>
      </c>
      <c r="Q862" s="20">
        <f t="shared" si="324"/>
        <v>364.75294117647047</v>
      </c>
      <c r="R862" s="20">
        <f t="shared" si="305"/>
        <v>364.15294117647051</v>
      </c>
      <c r="S862" s="20">
        <f t="shared" si="306"/>
        <v>364.75294117647047</v>
      </c>
      <c r="T862" s="20">
        <f t="shared" si="307"/>
        <v>364.75294117647047</v>
      </c>
      <c r="U862" s="20">
        <f t="shared" si="308"/>
        <v>364.75294117647047</v>
      </c>
      <c r="V862" s="22">
        <v>7.9505999999999997</v>
      </c>
      <c r="W862" s="22">
        <v>3.1659999999999999</v>
      </c>
      <c r="X862" s="23">
        <v>1.1476266666666668</v>
      </c>
      <c r="Y862" s="23">
        <f t="shared" si="315"/>
        <v>6.8029733333333331</v>
      </c>
      <c r="Z862" s="23">
        <f t="shared" si="316"/>
        <v>2.0183733333333329</v>
      </c>
      <c r="AA862" s="22">
        <f t="shared" si="317"/>
        <v>70.331012126070362</v>
      </c>
      <c r="AB862" s="22">
        <f t="shared" si="318"/>
        <v>29.668987873929638</v>
      </c>
      <c r="AC862" s="22">
        <f t="shared" si="309"/>
        <v>1.2537916764960293</v>
      </c>
      <c r="AD862" s="22">
        <f t="shared" si="310"/>
        <v>0.3719873004639459</v>
      </c>
      <c r="AE862" s="27">
        <v>10.348699999999999</v>
      </c>
      <c r="AF862" s="27">
        <v>10.5387</v>
      </c>
      <c r="AG862" s="27">
        <v>10.4811</v>
      </c>
      <c r="AH862" s="26">
        <v>0.13239999999999999</v>
      </c>
      <c r="AI862" s="26">
        <v>30.315789469999999</v>
      </c>
      <c r="AJ862" s="26">
        <f t="shared" si="311"/>
        <v>1.5157894734999999</v>
      </c>
      <c r="AK862" s="26">
        <f t="shared" si="312"/>
        <v>17.523577728323701</v>
      </c>
      <c r="AL862" s="26">
        <f t="shared" si="313"/>
        <v>1.5184589977913159</v>
      </c>
      <c r="AM862" s="17">
        <f t="shared" si="319"/>
        <v>0.5780346820809249</v>
      </c>
      <c r="AN862" s="28" t="s">
        <v>47</v>
      </c>
      <c r="AO862" s="29">
        <f>AO859-AO861</f>
        <v>7.3999999999999915</v>
      </c>
      <c r="AS862" s="49"/>
      <c r="AT862" s="25"/>
      <c r="AU862" s="17"/>
      <c r="AV862" s="17"/>
      <c r="AW862" s="17"/>
      <c r="AX862" s="27"/>
      <c r="BB862" s="17"/>
    </row>
    <row r="863" spans="1:54" x14ac:dyDescent="0.2">
      <c r="A863" s="17" t="s">
        <v>77</v>
      </c>
      <c r="B863" s="17" t="s">
        <v>78</v>
      </c>
      <c r="C863" s="17" t="str">
        <f t="shared" si="303"/>
        <v>HER42PB1J</v>
      </c>
      <c r="D863" s="17" t="str">
        <f t="shared" si="304"/>
        <v>HER42PB1J_332</v>
      </c>
      <c r="E863" s="27" t="s">
        <v>88</v>
      </c>
      <c r="F863" s="17">
        <v>332</v>
      </c>
      <c r="G863" s="20">
        <v>2.2999999999999998</v>
      </c>
      <c r="H863" s="20">
        <v>2.5</v>
      </c>
      <c r="I863" s="20">
        <v>1.1499999999999999</v>
      </c>
      <c r="J863" s="22">
        <f t="shared" si="302"/>
        <v>5.1998399999999991</v>
      </c>
      <c r="K863" s="53">
        <v>0.21764705882352917</v>
      </c>
      <c r="L863" s="45">
        <f t="shared" si="321"/>
        <v>5.5705882352941174</v>
      </c>
      <c r="M863" s="45">
        <f t="shared" si="322"/>
        <v>6.7205882352941178</v>
      </c>
      <c r="N863" s="46">
        <f t="shared" si="323"/>
        <v>6.1455882352941176</v>
      </c>
      <c r="O863" s="20">
        <f t="shared" si="320"/>
        <v>365.570588235294</v>
      </c>
      <c r="P863" s="20">
        <f t="shared" si="314"/>
        <v>366.72058823529397</v>
      </c>
      <c r="Q863" s="20">
        <f t="shared" si="324"/>
        <v>366.14558823529399</v>
      </c>
      <c r="R863" s="20">
        <f t="shared" si="305"/>
        <v>365.570588235294</v>
      </c>
      <c r="S863" s="20">
        <f t="shared" si="306"/>
        <v>366.14558823529399</v>
      </c>
      <c r="T863" s="20">
        <f t="shared" si="307"/>
        <v>366.14558823529399</v>
      </c>
      <c r="U863" s="20">
        <f t="shared" si="308"/>
        <v>366.14558823529399</v>
      </c>
      <c r="V863" s="22">
        <v>7.5369000000000002</v>
      </c>
      <c r="W863" s="22">
        <v>2.6936</v>
      </c>
      <c r="X863" s="23">
        <v>1.1476266666666668</v>
      </c>
      <c r="Y863" s="23">
        <f t="shared" si="315"/>
        <v>6.3892733333333336</v>
      </c>
      <c r="Z863" s="23">
        <f t="shared" si="316"/>
        <v>1.5459733333333332</v>
      </c>
      <c r="AA863" s="22">
        <f t="shared" si="317"/>
        <v>75.803612513055739</v>
      </c>
      <c r="AB863" s="22">
        <f t="shared" si="318"/>
        <v>24.196387486944261</v>
      </c>
      <c r="AC863" s="22">
        <f t="shared" si="309"/>
        <v>1.2287442177708034</v>
      </c>
      <c r="AD863" s="22">
        <f t="shared" si="310"/>
        <v>0.29731171215524582</v>
      </c>
      <c r="AE863" s="27">
        <v>10.753299999999999</v>
      </c>
      <c r="AF863" s="27">
        <v>10.8756</v>
      </c>
      <c r="AG863" s="27">
        <v>10.821999999999999</v>
      </c>
      <c r="AH863" s="26">
        <v>6.8699999999999997E-2</v>
      </c>
      <c r="AI863" s="26">
        <v>43.826655760000001</v>
      </c>
      <c r="AJ863" s="26">
        <f t="shared" si="311"/>
        <v>2.191332788</v>
      </c>
      <c r="AK863" s="26">
        <f t="shared" si="312"/>
        <v>25.333327028901738</v>
      </c>
      <c r="AL863" s="26">
        <f t="shared" si="313"/>
        <v>2.1931801995649725</v>
      </c>
      <c r="AM863" s="17">
        <f t="shared" si="319"/>
        <v>0.5780346820809249</v>
      </c>
      <c r="AN863" s="28" t="s">
        <v>48</v>
      </c>
      <c r="AO863" s="27">
        <v>34</v>
      </c>
      <c r="AS863" s="49"/>
      <c r="AT863" s="25"/>
      <c r="AU863" s="17"/>
      <c r="AV863" s="17"/>
      <c r="AW863" s="17"/>
      <c r="AX863" s="27"/>
      <c r="BB863" s="17"/>
    </row>
    <row r="864" spans="1:54" x14ac:dyDescent="0.2">
      <c r="A864" s="17" t="s">
        <v>77</v>
      </c>
      <c r="B864" s="17" t="s">
        <v>78</v>
      </c>
      <c r="C864" s="17" t="str">
        <f t="shared" si="303"/>
        <v>HER42PB1J</v>
      </c>
      <c r="D864" s="17" t="str">
        <f t="shared" si="304"/>
        <v>HER42PB1J_333</v>
      </c>
      <c r="E864" s="27" t="s">
        <v>88</v>
      </c>
      <c r="F864" s="17">
        <v>333</v>
      </c>
      <c r="G864" s="20">
        <v>2.35</v>
      </c>
      <c r="H864" s="20">
        <v>2.25</v>
      </c>
      <c r="I864" s="20">
        <v>1.2</v>
      </c>
      <c r="J864" s="22">
        <f t="shared" si="302"/>
        <v>4.9831799999999991</v>
      </c>
      <c r="K864" s="53">
        <v>0.21764705882352917</v>
      </c>
      <c r="L864" s="45">
        <f t="shared" si="321"/>
        <v>6.9382352941176473</v>
      </c>
      <c r="M864" s="45">
        <f t="shared" si="322"/>
        <v>8.1382352941176475</v>
      </c>
      <c r="N864" s="46">
        <f t="shared" si="323"/>
        <v>7.5382352941176478</v>
      </c>
      <c r="O864" s="20">
        <f t="shared" si="320"/>
        <v>366.93823529411748</v>
      </c>
      <c r="P864" s="20">
        <f t="shared" si="314"/>
        <v>368.13823529411746</v>
      </c>
      <c r="Q864" s="20">
        <f t="shared" si="324"/>
        <v>367.5382352941175</v>
      </c>
      <c r="R864" s="20">
        <f t="shared" si="305"/>
        <v>366.93823529411748</v>
      </c>
      <c r="S864" s="20">
        <f t="shared" si="306"/>
        <v>367.5382352941175</v>
      </c>
      <c r="T864" s="20">
        <f t="shared" si="307"/>
        <v>367.5382352941175</v>
      </c>
      <c r="U864" s="20">
        <f t="shared" si="308"/>
        <v>367.5382352941175</v>
      </c>
      <c r="V864" s="22">
        <v>8.1684999999999999</v>
      </c>
      <c r="W864" s="22">
        <v>3.3856999999999999</v>
      </c>
      <c r="X864" s="23">
        <v>1.1476266666666668</v>
      </c>
      <c r="Y864" s="23">
        <f t="shared" si="315"/>
        <v>7.0208733333333333</v>
      </c>
      <c r="Z864" s="23">
        <f t="shared" si="316"/>
        <v>2.2380733333333334</v>
      </c>
      <c r="AA864" s="22">
        <f t="shared" si="317"/>
        <v>68.122579242278505</v>
      </c>
      <c r="AB864" s="22">
        <f t="shared" si="318"/>
        <v>31.877420757721495</v>
      </c>
      <c r="AC864" s="22">
        <f t="shared" si="309"/>
        <v>1.4089142542178559</v>
      </c>
      <c r="AD864" s="22">
        <f t="shared" si="310"/>
        <v>0.44912552493253982</v>
      </c>
      <c r="AE864" s="27">
        <v>9.5376999999999992</v>
      </c>
      <c r="AF864" s="27">
        <v>9.7813999999999997</v>
      </c>
      <c r="AG864" s="27">
        <v>9.7286999999999999</v>
      </c>
      <c r="AH864" s="26">
        <v>0.191</v>
      </c>
      <c r="AI864" s="26">
        <v>21.624948710000002</v>
      </c>
      <c r="AJ864" s="26">
        <f t="shared" si="311"/>
        <v>1.0812474355000001</v>
      </c>
      <c r="AK864" s="26">
        <f t="shared" si="312"/>
        <v>12.499970352601158</v>
      </c>
      <c r="AL864" s="26">
        <f t="shared" si="313"/>
        <v>1.0849866435930569</v>
      </c>
      <c r="AM864" s="17">
        <f t="shared" si="319"/>
        <v>0.5780346820809249</v>
      </c>
      <c r="AN864" s="28" t="s">
        <v>49</v>
      </c>
      <c r="AO864" s="30">
        <f>AO862/AO863</f>
        <v>0.21764705882352917</v>
      </c>
      <c r="AS864" s="49"/>
      <c r="AT864" s="25"/>
      <c r="AU864" s="17"/>
      <c r="AV864" s="17"/>
      <c r="AW864" s="17"/>
      <c r="AX864" s="27"/>
      <c r="BB864" s="17"/>
    </row>
    <row r="865" spans="1:54" x14ac:dyDescent="0.2">
      <c r="A865" s="17" t="s">
        <v>77</v>
      </c>
      <c r="B865" s="17" t="s">
        <v>78</v>
      </c>
      <c r="C865" s="17" t="str">
        <f t="shared" si="303"/>
        <v>HER42PB1J</v>
      </c>
      <c r="D865" s="17" t="str">
        <f t="shared" si="304"/>
        <v>HER42PB1J_334</v>
      </c>
      <c r="E865" s="27" t="s">
        <v>88</v>
      </c>
      <c r="F865" s="17">
        <v>334</v>
      </c>
      <c r="G865" s="20">
        <v>2.1</v>
      </c>
      <c r="H865" s="20">
        <v>2.35</v>
      </c>
      <c r="I865" s="20">
        <v>1.1000000000000001</v>
      </c>
      <c r="J865" s="22">
        <f t="shared" si="302"/>
        <v>4.2748646875000009</v>
      </c>
      <c r="K865" s="53">
        <v>0.21764705882352917</v>
      </c>
      <c r="L865" s="45">
        <f t="shared" si="321"/>
        <v>8.3558823529411761</v>
      </c>
      <c r="M865" s="45">
        <f t="shared" si="322"/>
        <v>9.4558823529411757</v>
      </c>
      <c r="N865" s="46">
        <f t="shared" si="323"/>
        <v>8.9058823529411768</v>
      </c>
      <c r="O865" s="20">
        <f t="shared" si="320"/>
        <v>368.35588235294097</v>
      </c>
      <c r="P865" s="20">
        <f t="shared" si="314"/>
        <v>369.45588235294099</v>
      </c>
      <c r="Q865" s="20">
        <f t="shared" si="324"/>
        <v>368.90588235294098</v>
      </c>
      <c r="R865" s="20">
        <f t="shared" si="305"/>
        <v>368.35588235294097</v>
      </c>
      <c r="S865" s="20">
        <f t="shared" si="306"/>
        <v>368.90588235294098</v>
      </c>
      <c r="T865" s="20">
        <f t="shared" si="307"/>
        <v>368.90588235294098</v>
      </c>
      <c r="U865" s="20">
        <f t="shared" si="308"/>
        <v>368.90588235294098</v>
      </c>
      <c r="V865" s="22">
        <v>7.4490999999999996</v>
      </c>
      <c r="W865" s="22">
        <v>3.5600999999999998</v>
      </c>
      <c r="X865" s="23">
        <v>1.1476266666666668</v>
      </c>
      <c r="Y865" s="23">
        <f t="shared" si="315"/>
        <v>6.301473333333333</v>
      </c>
      <c r="Z865" s="23">
        <f t="shared" si="316"/>
        <v>2.4124733333333328</v>
      </c>
      <c r="AA865" s="22">
        <f t="shared" si="317"/>
        <v>61.715725740329518</v>
      </c>
      <c r="AB865" s="22">
        <f t="shared" si="318"/>
        <v>38.284274259670482</v>
      </c>
      <c r="AC865" s="22">
        <f t="shared" si="309"/>
        <v>1.4740755074094569</v>
      </c>
      <c r="AD865" s="22">
        <f t="shared" si="310"/>
        <v>0.5643391100512658</v>
      </c>
      <c r="AE865" s="27">
        <v>16.2027</v>
      </c>
      <c r="AF865" s="27">
        <v>16.3202</v>
      </c>
      <c r="AG865" s="27">
        <v>16.293700000000001</v>
      </c>
      <c r="AH865" s="26">
        <v>9.0999999999999998E-2</v>
      </c>
      <c r="AI865" s="26">
        <v>22.55319149</v>
      </c>
      <c r="AJ865" s="26">
        <f t="shared" si="311"/>
        <v>1.1276595745</v>
      </c>
      <c r="AK865" s="26">
        <f t="shared" si="312"/>
        <v>13.03652687283237</v>
      </c>
      <c r="AL865" s="26">
        <f t="shared" si="313"/>
        <v>1.1312453827360007</v>
      </c>
      <c r="AM865" s="17">
        <f t="shared" si="319"/>
        <v>0.5780346820809249</v>
      </c>
      <c r="AN865" s="17"/>
      <c r="AO865" s="27"/>
      <c r="AS865" s="49"/>
      <c r="AT865" s="25"/>
      <c r="AU865" s="17"/>
      <c r="AV865" s="17"/>
      <c r="AW865" s="17"/>
      <c r="AX865" s="27"/>
      <c r="BB865" s="17"/>
    </row>
    <row r="866" spans="1:54" x14ac:dyDescent="0.2">
      <c r="A866" s="17" t="s">
        <v>77</v>
      </c>
      <c r="B866" s="17" t="s">
        <v>78</v>
      </c>
      <c r="C866" s="17" t="str">
        <f t="shared" si="303"/>
        <v>HER42PB1J</v>
      </c>
      <c r="D866" s="17" t="str">
        <f t="shared" si="304"/>
        <v>HER42PB1J_335</v>
      </c>
      <c r="E866" s="27" t="s">
        <v>88</v>
      </c>
      <c r="F866" s="17">
        <v>335</v>
      </c>
      <c r="G866" s="20">
        <v>2.15</v>
      </c>
      <c r="H866" s="20">
        <v>2.4</v>
      </c>
      <c r="I866" s="20">
        <v>1.1000000000000001</v>
      </c>
      <c r="J866" s="22">
        <f t="shared" si="302"/>
        <v>4.4691521875000007</v>
      </c>
      <c r="K866" s="53">
        <v>0.21764705882352917</v>
      </c>
      <c r="L866" s="45">
        <f t="shared" si="321"/>
        <v>9.6735294117647044</v>
      </c>
      <c r="M866" s="45">
        <f t="shared" si="322"/>
        <v>10.773529411764704</v>
      </c>
      <c r="N866" s="46">
        <f t="shared" si="323"/>
        <v>10.223529411764705</v>
      </c>
      <c r="O866" s="20">
        <f t="shared" si="320"/>
        <v>369.67352941176449</v>
      </c>
      <c r="P866" s="20">
        <f t="shared" si="314"/>
        <v>370.77352941176451</v>
      </c>
      <c r="Q866" s="20">
        <f t="shared" si="324"/>
        <v>370.2235294117645</v>
      </c>
      <c r="R866" s="20">
        <f t="shared" si="305"/>
        <v>369.67352941176449</v>
      </c>
      <c r="S866" s="20">
        <f t="shared" si="306"/>
        <v>370.2235294117645</v>
      </c>
      <c r="T866" s="20">
        <f t="shared" si="307"/>
        <v>370.2235294117645</v>
      </c>
      <c r="U866" s="20">
        <f t="shared" si="308"/>
        <v>370.2235294117645</v>
      </c>
      <c r="V866" s="22">
        <v>8.41</v>
      </c>
      <c r="W866" s="22">
        <v>3.7103000000000002</v>
      </c>
      <c r="X866" s="23">
        <v>1.1476266666666668</v>
      </c>
      <c r="Y866" s="23">
        <f t="shared" si="315"/>
        <v>7.2623733333333336</v>
      </c>
      <c r="Z866" s="23">
        <f t="shared" si="316"/>
        <v>2.5626733333333336</v>
      </c>
      <c r="AA866" s="22">
        <f t="shared" si="317"/>
        <v>64.713004747759229</v>
      </c>
      <c r="AB866" s="22">
        <f t="shared" si="318"/>
        <v>35.286995252240771</v>
      </c>
      <c r="AC866" s="22">
        <f t="shared" si="309"/>
        <v>1.6250002301657651</v>
      </c>
      <c r="AD866" s="22">
        <f t="shared" si="310"/>
        <v>0.57341375406749517</v>
      </c>
      <c r="AE866" s="27">
        <v>12.417899999999999</v>
      </c>
      <c r="AF866" s="27">
        <v>12.603199999999999</v>
      </c>
      <c r="AG866" s="27">
        <v>12.565200000000001</v>
      </c>
      <c r="AH866" s="26">
        <v>0.14729999999999999</v>
      </c>
      <c r="AI866" s="26">
        <v>20.50728548</v>
      </c>
      <c r="AJ866" s="26">
        <f t="shared" si="311"/>
        <v>1.025364274</v>
      </c>
      <c r="AK866" s="26">
        <f t="shared" si="312"/>
        <v>11.853922242774567</v>
      </c>
      <c r="AL866" s="26">
        <f t="shared" si="313"/>
        <v>1.0293065113927664</v>
      </c>
      <c r="AM866" s="17">
        <f t="shared" si="319"/>
        <v>0.5780346820809249</v>
      </c>
      <c r="AN866" s="17"/>
      <c r="AO866" s="27"/>
      <c r="AS866" s="49"/>
      <c r="AT866" s="25"/>
      <c r="AU866" s="17"/>
      <c r="AV866" s="17"/>
      <c r="AW866" s="17"/>
      <c r="AX866" s="27"/>
      <c r="BB866" s="17"/>
    </row>
    <row r="867" spans="1:54" x14ac:dyDescent="0.2">
      <c r="A867" s="17" t="s">
        <v>77</v>
      </c>
      <c r="B867" s="17" t="s">
        <v>78</v>
      </c>
      <c r="C867" s="17" t="str">
        <f t="shared" si="303"/>
        <v>HER42PB1J</v>
      </c>
      <c r="D867" s="17" t="str">
        <f t="shared" si="304"/>
        <v>HER42PB1J_336</v>
      </c>
      <c r="E867" s="27" t="s">
        <v>88</v>
      </c>
      <c r="F867" s="17">
        <v>336</v>
      </c>
      <c r="G867" s="20">
        <v>2.2000000000000002</v>
      </c>
      <c r="H867" s="20">
        <v>2.2000000000000002</v>
      </c>
      <c r="I867" s="20">
        <v>1.2</v>
      </c>
      <c r="J867" s="22">
        <f t="shared" si="302"/>
        <v>4.5592800000000011</v>
      </c>
      <c r="K867" s="53">
        <v>0.21764705882352917</v>
      </c>
      <c r="L867" s="45">
        <f t="shared" si="321"/>
        <v>10.991176470588233</v>
      </c>
      <c r="M867" s="45">
        <f t="shared" si="322"/>
        <v>12.191176470588232</v>
      </c>
      <c r="N867" s="46">
        <f t="shared" si="323"/>
        <v>11.591176470588232</v>
      </c>
      <c r="O867" s="20">
        <f t="shared" si="320"/>
        <v>370.99117647058802</v>
      </c>
      <c r="P867" s="20">
        <f t="shared" si="314"/>
        <v>372.191176470588</v>
      </c>
      <c r="Q867" s="20">
        <f t="shared" si="324"/>
        <v>371.59117647058804</v>
      </c>
      <c r="R867" s="20">
        <f t="shared" si="305"/>
        <v>370.99117647058802</v>
      </c>
      <c r="S867" s="20">
        <f t="shared" si="306"/>
        <v>371.59117647058804</v>
      </c>
      <c r="T867" s="20">
        <f t="shared" si="307"/>
        <v>371.59117647058804</v>
      </c>
      <c r="U867" s="20">
        <f t="shared" si="308"/>
        <v>371.59117647058804</v>
      </c>
      <c r="V867" s="22">
        <v>7.3525</v>
      </c>
      <c r="W867" s="22">
        <v>3.2012</v>
      </c>
      <c r="X867" s="23">
        <v>1.1476266666666668</v>
      </c>
      <c r="Y867" s="23">
        <f t="shared" si="315"/>
        <v>6.2048733333333335</v>
      </c>
      <c r="Z867" s="23">
        <f t="shared" si="316"/>
        <v>2.0535733333333335</v>
      </c>
      <c r="AA867" s="22">
        <f t="shared" si="317"/>
        <v>66.903863737213015</v>
      </c>
      <c r="AB867" s="22">
        <f t="shared" si="318"/>
        <v>33.096136262786985</v>
      </c>
      <c r="AC867" s="22">
        <f t="shared" si="309"/>
        <v>1.3609327203710524</v>
      </c>
      <c r="AD867" s="22">
        <f t="shared" si="310"/>
        <v>0.4504161475788574</v>
      </c>
      <c r="AE867" s="27">
        <v>16.216200000000001</v>
      </c>
      <c r="AF867" s="27">
        <v>16.572500000000002</v>
      </c>
      <c r="AG867" s="27">
        <v>16.493200000000002</v>
      </c>
      <c r="AH867" s="26">
        <v>0.27700000000000002</v>
      </c>
      <c r="AI867" s="26">
        <v>22.256525400000001</v>
      </c>
      <c r="AJ867" s="26">
        <f t="shared" si="311"/>
        <v>1.11282627</v>
      </c>
      <c r="AK867" s="26">
        <f t="shared" si="312"/>
        <v>12.86504358381503</v>
      </c>
      <c r="AL867" s="26">
        <f t="shared" si="313"/>
        <v>1.1164597203670685</v>
      </c>
      <c r="AM867" s="17">
        <f t="shared" si="319"/>
        <v>0.5780346820809249</v>
      </c>
      <c r="AN867" s="17"/>
      <c r="AO867" s="27"/>
      <c r="AS867" s="49"/>
      <c r="AT867" s="25"/>
      <c r="AU867" s="17"/>
      <c r="AV867" s="17"/>
      <c r="AW867" s="17"/>
      <c r="AX867" s="27"/>
      <c r="BB867" s="17"/>
    </row>
    <row r="868" spans="1:54" x14ac:dyDescent="0.2">
      <c r="A868" s="17" t="s">
        <v>77</v>
      </c>
      <c r="B868" s="17" t="s">
        <v>78</v>
      </c>
      <c r="C868" s="17" t="str">
        <f t="shared" si="303"/>
        <v>HER42PB1J</v>
      </c>
      <c r="D868" s="17" t="str">
        <f t="shared" si="304"/>
        <v>HER42PB1J_337</v>
      </c>
      <c r="E868" s="27" t="s">
        <v>88</v>
      </c>
      <c r="F868" s="17">
        <v>337</v>
      </c>
      <c r="G868" s="20">
        <v>2.15</v>
      </c>
      <c r="H868" s="20">
        <v>2.15</v>
      </c>
      <c r="I868" s="20">
        <v>1.25</v>
      </c>
      <c r="J868" s="22">
        <f t="shared" si="302"/>
        <v>4.5358281250000001</v>
      </c>
      <c r="K868" s="53">
        <v>0.21764705882352917</v>
      </c>
      <c r="L868" s="45">
        <f t="shared" si="321"/>
        <v>12.408823529411761</v>
      </c>
      <c r="M868" s="45">
        <f t="shared" si="322"/>
        <v>13.658823529411761</v>
      </c>
      <c r="N868" s="46">
        <f t="shared" si="323"/>
        <v>13.033823529411761</v>
      </c>
      <c r="O868" s="20">
        <f t="shared" si="320"/>
        <v>372.40882352941151</v>
      </c>
      <c r="P868" s="20">
        <f t="shared" si="314"/>
        <v>373.65882352941151</v>
      </c>
      <c r="Q868" s="20">
        <f t="shared" si="324"/>
        <v>373.03382352941151</v>
      </c>
      <c r="R868" s="20">
        <f t="shared" si="305"/>
        <v>372.40882352941151</v>
      </c>
      <c r="S868" s="20">
        <f t="shared" si="306"/>
        <v>373.03382352941151</v>
      </c>
      <c r="T868" s="20">
        <f t="shared" si="307"/>
        <v>373.03382352941151</v>
      </c>
      <c r="U868" s="20">
        <f t="shared" si="308"/>
        <v>373.03382352941151</v>
      </c>
      <c r="V868" s="22">
        <v>7.7388000000000003</v>
      </c>
      <c r="W868" s="22">
        <v>3.5335000000000001</v>
      </c>
      <c r="X868" s="23">
        <v>1.1476266666666668</v>
      </c>
      <c r="Y868" s="23">
        <f t="shared" si="315"/>
        <v>6.5911733333333338</v>
      </c>
      <c r="Z868" s="23">
        <f t="shared" si="316"/>
        <v>2.3858733333333335</v>
      </c>
      <c r="AA868" s="22">
        <f t="shared" si="317"/>
        <v>63.801993777536822</v>
      </c>
      <c r="AB868" s="22">
        <f t="shared" si="318"/>
        <v>36.198006222463178</v>
      </c>
      <c r="AC868" s="22">
        <f t="shared" si="309"/>
        <v>1.4531356020756041</v>
      </c>
      <c r="AD868" s="22">
        <f t="shared" si="310"/>
        <v>0.52600611566015487</v>
      </c>
      <c r="AE868" s="27">
        <v>13.2074</v>
      </c>
      <c r="AF868" s="27">
        <v>13.479900000000001</v>
      </c>
      <c r="AG868" s="27">
        <v>13.416</v>
      </c>
      <c r="AH868" s="26">
        <v>0.20860000000000001</v>
      </c>
      <c r="AI868" s="26">
        <v>23.449541279999998</v>
      </c>
      <c r="AJ868" s="26">
        <f t="shared" si="311"/>
        <v>1.172477064</v>
      </c>
      <c r="AK868" s="26">
        <f t="shared" si="312"/>
        <v>13.554648138728323</v>
      </c>
      <c r="AL868" s="26">
        <f t="shared" si="313"/>
        <v>1.1759262160552677</v>
      </c>
      <c r="AM868" s="17">
        <f t="shared" si="319"/>
        <v>0.5780346820809249</v>
      </c>
      <c r="AN868" s="17"/>
      <c r="AO868" s="27"/>
      <c r="AS868" s="49"/>
      <c r="AT868" s="25"/>
      <c r="AU868" s="17"/>
      <c r="AV868" s="17"/>
      <c r="AW868" s="17"/>
      <c r="AX868" s="27"/>
      <c r="BB868" s="17"/>
    </row>
    <row r="869" spans="1:54" x14ac:dyDescent="0.2">
      <c r="A869" s="17" t="s">
        <v>77</v>
      </c>
      <c r="B869" s="17" t="s">
        <v>78</v>
      </c>
      <c r="C869" s="17" t="str">
        <f t="shared" si="303"/>
        <v>HER42PB1J</v>
      </c>
      <c r="D869" s="17" t="str">
        <f t="shared" si="304"/>
        <v>HER42PB1J_338</v>
      </c>
      <c r="E869" s="27" t="s">
        <v>88</v>
      </c>
      <c r="F869" s="17">
        <v>338</v>
      </c>
      <c r="G869" s="20">
        <v>2.1</v>
      </c>
      <c r="H869" s="20">
        <v>2.4500000000000002</v>
      </c>
      <c r="I869" s="20">
        <v>1.1499999999999999</v>
      </c>
      <c r="J869" s="22">
        <f t="shared" si="302"/>
        <v>4.6722954687500007</v>
      </c>
      <c r="K869" s="53">
        <v>0.21764705882352917</v>
      </c>
      <c r="L869" s="45">
        <f t="shared" si="321"/>
        <v>13.876470588235289</v>
      </c>
      <c r="M869" s="45">
        <f t="shared" si="322"/>
        <v>15.02647058823529</v>
      </c>
      <c r="N869" s="46">
        <f t="shared" si="323"/>
        <v>14.451470588235289</v>
      </c>
      <c r="O869" s="20">
        <f t="shared" si="320"/>
        <v>373.87647058823501</v>
      </c>
      <c r="P869" s="20">
        <f t="shared" si="314"/>
        <v>375.02647058823499</v>
      </c>
      <c r="Q869" s="20">
        <f t="shared" si="324"/>
        <v>374.451470588235</v>
      </c>
      <c r="R869" s="20">
        <f t="shared" si="305"/>
        <v>373.87647058823501</v>
      </c>
      <c r="S869" s="20">
        <f t="shared" si="306"/>
        <v>374.451470588235</v>
      </c>
      <c r="T869" s="20">
        <f t="shared" si="307"/>
        <v>374.451470588235</v>
      </c>
      <c r="U869" s="20">
        <f t="shared" si="308"/>
        <v>374.451470588235</v>
      </c>
      <c r="V869" s="22">
        <v>8.2090999999999994</v>
      </c>
      <c r="W869" s="22">
        <v>3.73</v>
      </c>
      <c r="X869" s="23">
        <v>1.1476266666666668</v>
      </c>
      <c r="Y869" s="23">
        <f t="shared" si="315"/>
        <v>7.0614733333333328</v>
      </c>
      <c r="Z869" s="23">
        <f t="shared" si="316"/>
        <v>2.582373333333333</v>
      </c>
      <c r="AA869" s="22">
        <f t="shared" si="317"/>
        <v>63.430105709762174</v>
      </c>
      <c r="AB869" s="22">
        <f t="shared" si="318"/>
        <v>36.569894290237826</v>
      </c>
      <c r="AC869" s="22">
        <f t="shared" si="309"/>
        <v>1.5113499093888683</v>
      </c>
      <c r="AD869" s="22">
        <f t="shared" si="310"/>
        <v>0.55269906421911419</v>
      </c>
      <c r="AE869" s="27">
        <v>12.641999999999999</v>
      </c>
      <c r="AF869" s="27">
        <v>12.7963</v>
      </c>
      <c r="AG869" s="27">
        <v>12.758800000000001</v>
      </c>
      <c r="AH869" s="26">
        <v>0.1168</v>
      </c>
      <c r="AI869" s="26">
        <v>24.303305250000001</v>
      </c>
      <c r="AJ869" s="26">
        <f t="shared" si="311"/>
        <v>1.2151652625000002</v>
      </c>
      <c r="AK869" s="26">
        <f t="shared" si="312"/>
        <v>14.048153323699424</v>
      </c>
      <c r="AL869" s="26">
        <f t="shared" si="313"/>
        <v>1.2184935843847085</v>
      </c>
      <c r="AM869" s="17">
        <f t="shared" si="319"/>
        <v>0.5780346820809249</v>
      </c>
      <c r="AN869" s="17"/>
      <c r="AO869" s="27"/>
      <c r="AS869" s="49"/>
      <c r="AT869" s="25"/>
      <c r="AU869" s="17"/>
      <c r="AV869" s="17"/>
      <c r="AW869" s="17"/>
      <c r="AX869" s="27"/>
      <c r="BB869" s="17"/>
    </row>
    <row r="870" spans="1:54" x14ac:dyDescent="0.2">
      <c r="A870" s="17" t="s">
        <v>77</v>
      </c>
      <c r="B870" s="17" t="s">
        <v>78</v>
      </c>
      <c r="C870" s="17" t="str">
        <f t="shared" si="303"/>
        <v>HER42PB1J</v>
      </c>
      <c r="D870" s="17" t="str">
        <f t="shared" si="304"/>
        <v>HER42PB1J_339</v>
      </c>
      <c r="E870" s="27" t="s">
        <v>88</v>
      </c>
      <c r="F870" s="17">
        <v>339</v>
      </c>
      <c r="G870" s="20">
        <v>2.2000000000000002</v>
      </c>
      <c r="H870" s="20">
        <v>2.2000000000000002</v>
      </c>
      <c r="I870" s="20">
        <v>1.2</v>
      </c>
      <c r="J870" s="22">
        <f t="shared" si="302"/>
        <v>4.5592800000000011</v>
      </c>
      <c r="K870" s="53">
        <v>0.21764705882352917</v>
      </c>
      <c r="L870" s="45">
        <f t="shared" si="321"/>
        <v>15.244117647058818</v>
      </c>
      <c r="M870" s="45">
        <f t="shared" si="322"/>
        <v>16.444117647058818</v>
      </c>
      <c r="N870" s="46">
        <f t="shared" si="323"/>
        <v>15.844117647058818</v>
      </c>
      <c r="O870" s="20">
        <f t="shared" si="320"/>
        <v>375.24411764705849</v>
      </c>
      <c r="P870" s="20">
        <f t="shared" si="314"/>
        <v>376.44411764705848</v>
      </c>
      <c r="Q870" s="20">
        <f t="shared" si="324"/>
        <v>375.84411764705851</v>
      </c>
      <c r="R870" s="20">
        <f t="shared" si="305"/>
        <v>375.24411764705849</v>
      </c>
      <c r="S870" s="20">
        <f t="shared" si="306"/>
        <v>375.84411764705851</v>
      </c>
      <c r="T870" s="20">
        <f t="shared" si="307"/>
        <v>375.84411764705851</v>
      </c>
      <c r="U870" s="20">
        <f t="shared" si="308"/>
        <v>375.84411764705851</v>
      </c>
      <c r="V870" s="22">
        <v>7.4241000000000001</v>
      </c>
      <c r="W870" s="22">
        <v>3.2054999999999998</v>
      </c>
      <c r="X870" s="23">
        <v>1.1476266666666668</v>
      </c>
      <c r="Y870" s="23">
        <f t="shared" si="315"/>
        <v>6.2764733333333336</v>
      </c>
      <c r="Z870" s="23">
        <f t="shared" si="316"/>
        <v>2.0578733333333332</v>
      </c>
      <c r="AA870" s="22">
        <f t="shared" si="317"/>
        <v>67.212904061835161</v>
      </c>
      <c r="AB870" s="22">
        <f t="shared" si="318"/>
        <v>32.787095938164839</v>
      </c>
      <c r="AC870" s="22">
        <f t="shared" si="309"/>
        <v>1.3766369543729124</v>
      </c>
      <c r="AD870" s="22">
        <f t="shared" si="310"/>
        <v>0.45135927895047745</v>
      </c>
      <c r="AE870" s="27">
        <v>17.423400000000001</v>
      </c>
      <c r="AF870" s="27">
        <v>17.6401</v>
      </c>
      <c r="AG870" s="27">
        <v>17.577200000000001</v>
      </c>
      <c r="AH870" s="26">
        <v>0.15379999999999999</v>
      </c>
      <c r="AI870" s="26">
        <v>29.026303649999999</v>
      </c>
      <c r="AJ870" s="26">
        <f t="shared" si="311"/>
        <v>1.4513151825000001</v>
      </c>
      <c r="AK870" s="26">
        <f t="shared" si="312"/>
        <v>16.778210202312138</v>
      </c>
      <c r="AL870" s="26">
        <f t="shared" si="313"/>
        <v>1.4541030771424042</v>
      </c>
      <c r="AM870" s="17">
        <f t="shared" si="319"/>
        <v>0.5780346820809249</v>
      </c>
      <c r="AN870" s="17"/>
      <c r="AO870" s="27"/>
      <c r="AS870" s="49"/>
      <c r="AT870" s="25"/>
      <c r="AU870" s="17"/>
      <c r="AV870" s="17"/>
      <c r="AW870" s="17"/>
      <c r="AX870" s="27"/>
      <c r="BB870" s="17"/>
    </row>
    <row r="871" spans="1:54" x14ac:dyDescent="0.2">
      <c r="A871" s="17" t="s">
        <v>77</v>
      </c>
      <c r="B871" s="17" t="s">
        <v>78</v>
      </c>
      <c r="C871" s="17" t="str">
        <f t="shared" si="303"/>
        <v>HER42PB1J</v>
      </c>
      <c r="D871" s="17" t="str">
        <f t="shared" si="304"/>
        <v>HER42PB1J_340</v>
      </c>
      <c r="E871" s="27" t="s">
        <v>88</v>
      </c>
      <c r="F871" s="17">
        <v>340</v>
      </c>
      <c r="G871" s="20">
        <v>2.15</v>
      </c>
      <c r="H871" s="20">
        <v>2.2000000000000002</v>
      </c>
      <c r="I871" s="20">
        <v>1.25</v>
      </c>
      <c r="J871" s="22">
        <f t="shared" si="302"/>
        <v>4.6419257812499986</v>
      </c>
      <c r="K871" s="53">
        <v>0.21764705882352917</v>
      </c>
      <c r="L871" s="45">
        <f t="shared" si="321"/>
        <v>16.661764705882348</v>
      </c>
      <c r="M871" s="45">
        <f t="shared" si="322"/>
        <v>17.911764705882348</v>
      </c>
      <c r="N871" s="46">
        <f t="shared" si="323"/>
        <v>17.286764705882348</v>
      </c>
      <c r="O871" s="20">
        <f t="shared" si="320"/>
        <v>376.66176470588198</v>
      </c>
      <c r="P871" s="20">
        <f t="shared" si="314"/>
        <v>377.91176470588198</v>
      </c>
      <c r="Q871" s="20">
        <f t="shared" si="324"/>
        <v>377.28676470588198</v>
      </c>
      <c r="R871" s="20">
        <f t="shared" si="305"/>
        <v>376.66176470588198</v>
      </c>
      <c r="S871" s="20">
        <f t="shared" si="306"/>
        <v>377.28676470588198</v>
      </c>
      <c r="T871" s="20">
        <f t="shared" si="307"/>
        <v>377.28676470588198</v>
      </c>
      <c r="U871" s="20">
        <f t="shared" si="308"/>
        <v>377.28676470588198</v>
      </c>
      <c r="V871" s="22">
        <v>7.7969999999999997</v>
      </c>
      <c r="W871" s="22">
        <v>2.9104000000000001</v>
      </c>
      <c r="X871" s="23">
        <v>1.1476266666666668</v>
      </c>
      <c r="Y871" s="23">
        <f t="shared" si="315"/>
        <v>6.6493733333333331</v>
      </c>
      <c r="Z871" s="23">
        <f t="shared" si="316"/>
        <v>1.7627733333333333</v>
      </c>
      <c r="AA871" s="22">
        <f t="shared" si="317"/>
        <v>73.489632105682134</v>
      </c>
      <c r="AB871" s="22">
        <f t="shared" si="318"/>
        <v>26.510367894317866</v>
      </c>
      <c r="AC871" s="22">
        <f t="shared" si="309"/>
        <v>1.4324600708162896</v>
      </c>
      <c r="AD871" s="22">
        <f t="shared" si="310"/>
        <v>0.3797504347126045</v>
      </c>
      <c r="AE871" s="27">
        <v>14.791600000000001</v>
      </c>
      <c r="AF871" s="27">
        <v>15.005599999999999</v>
      </c>
      <c r="AG871" s="27">
        <v>14.9404</v>
      </c>
      <c r="AH871" s="26">
        <v>0.14879999999999999</v>
      </c>
      <c r="AI871" s="26">
        <v>30.46728972</v>
      </c>
      <c r="AJ871" s="26">
        <f t="shared" si="311"/>
        <v>1.5233644860000002</v>
      </c>
      <c r="AK871" s="26">
        <f t="shared" si="312"/>
        <v>17.611150127167633</v>
      </c>
      <c r="AL871" s="26">
        <f t="shared" si="313"/>
        <v>1.5260207591006241</v>
      </c>
      <c r="AM871" s="17">
        <f t="shared" si="319"/>
        <v>0.5780346820809249</v>
      </c>
      <c r="AN871" s="17"/>
      <c r="AO871" s="27"/>
      <c r="AS871" s="49"/>
      <c r="AT871" s="25"/>
      <c r="AU871" s="17"/>
      <c r="AV871" s="17"/>
      <c r="AW871" s="17"/>
      <c r="AX871" s="27"/>
      <c r="BB871" s="17"/>
    </row>
    <row r="872" spans="1:54" x14ac:dyDescent="0.2">
      <c r="A872" s="17" t="s">
        <v>77</v>
      </c>
      <c r="B872" s="17" t="s">
        <v>78</v>
      </c>
      <c r="C872" s="17" t="str">
        <f t="shared" si="303"/>
        <v>HER42PB1J</v>
      </c>
      <c r="D872" s="17" t="str">
        <f t="shared" si="304"/>
        <v>HER42PB1J_341</v>
      </c>
      <c r="E872" s="27" t="s">
        <v>88</v>
      </c>
      <c r="F872" s="17">
        <v>341</v>
      </c>
      <c r="G872" s="20">
        <v>2.2000000000000002</v>
      </c>
      <c r="H872" s="20">
        <v>2</v>
      </c>
      <c r="I872" s="20">
        <v>1.3</v>
      </c>
      <c r="J872" s="22">
        <f t="shared" si="302"/>
        <v>4.5004050000000007</v>
      </c>
      <c r="K872" s="53">
        <v>0.21764705882352917</v>
      </c>
      <c r="L872" s="45">
        <f t="shared" si="321"/>
        <v>18.129411764705878</v>
      </c>
      <c r="M872" s="45">
        <f t="shared" si="322"/>
        <v>19.429411764705879</v>
      </c>
      <c r="N872" s="46">
        <f t="shared" si="323"/>
        <v>18.779411764705877</v>
      </c>
      <c r="O872" s="20">
        <f t="shared" si="320"/>
        <v>378.12941176470548</v>
      </c>
      <c r="P872" s="20">
        <f t="shared" si="314"/>
        <v>379.42941176470549</v>
      </c>
      <c r="Q872" s="20">
        <f t="shared" si="324"/>
        <v>378.77941176470551</v>
      </c>
      <c r="R872" s="20">
        <f t="shared" si="305"/>
        <v>378.12941176470548</v>
      </c>
      <c r="S872" s="20">
        <f t="shared" si="306"/>
        <v>378.77941176470551</v>
      </c>
      <c r="T872" s="20">
        <f t="shared" si="307"/>
        <v>378.77941176470551</v>
      </c>
      <c r="U872" s="20">
        <f t="shared" si="308"/>
        <v>378.77941176470551</v>
      </c>
      <c r="V872" s="22">
        <v>7.5048000000000004</v>
      </c>
      <c r="W872" s="22">
        <v>3.6320999999999999</v>
      </c>
      <c r="X872" s="23">
        <v>1.1476266666666668</v>
      </c>
      <c r="Y872" s="23">
        <f t="shared" si="315"/>
        <v>6.3571733333333338</v>
      </c>
      <c r="Z872" s="23">
        <f t="shared" si="316"/>
        <v>2.4844733333333329</v>
      </c>
      <c r="AA872" s="22">
        <f t="shared" si="317"/>
        <v>60.918584360344653</v>
      </c>
      <c r="AB872" s="22">
        <f t="shared" si="318"/>
        <v>39.081415639655347</v>
      </c>
      <c r="AC872" s="22">
        <f t="shared" si="309"/>
        <v>1.4125780531604006</v>
      </c>
      <c r="AD872" s="22">
        <f t="shared" si="310"/>
        <v>0.55205550019016791</v>
      </c>
      <c r="AE872" s="27">
        <v>16.773299999999999</v>
      </c>
      <c r="AF872" s="27">
        <v>17.045500000000001</v>
      </c>
      <c r="AG872" s="27">
        <v>16.9666</v>
      </c>
      <c r="AH872" s="26">
        <v>0.1933</v>
      </c>
      <c r="AI872" s="26">
        <v>28.986039680000001</v>
      </c>
      <c r="AJ872" s="26">
        <f t="shared" si="311"/>
        <v>1.4493019840000001</v>
      </c>
      <c r="AK872" s="26">
        <f t="shared" si="312"/>
        <v>16.754936231213875</v>
      </c>
      <c r="AL872" s="26">
        <f t="shared" si="313"/>
        <v>1.4520937438148878</v>
      </c>
      <c r="AM872" s="17">
        <f t="shared" si="319"/>
        <v>0.5780346820809249</v>
      </c>
      <c r="AN872" s="17"/>
      <c r="AO872" s="27"/>
      <c r="AS872" s="49"/>
      <c r="AT872" s="25"/>
      <c r="AU872" s="17"/>
      <c r="AV872" s="17"/>
      <c r="AW872" s="17"/>
      <c r="AX872" s="27"/>
      <c r="BB872" s="17"/>
    </row>
    <row r="873" spans="1:54" x14ac:dyDescent="0.2">
      <c r="A873" s="17" t="s">
        <v>77</v>
      </c>
      <c r="B873" s="17" t="s">
        <v>78</v>
      </c>
      <c r="C873" s="17" t="str">
        <f t="shared" si="303"/>
        <v>HER42PB1J</v>
      </c>
      <c r="D873" s="17" t="str">
        <f t="shared" si="304"/>
        <v>HER42PB1J_342</v>
      </c>
      <c r="E873" s="27" t="s">
        <v>88</v>
      </c>
      <c r="F873" s="17">
        <v>342</v>
      </c>
      <c r="G873" s="20">
        <v>2.15</v>
      </c>
      <c r="H873" s="20">
        <v>2.1</v>
      </c>
      <c r="I873" s="20">
        <v>1.25</v>
      </c>
      <c r="J873" s="22">
        <f t="shared" si="302"/>
        <v>4.4309570312500002</v>
      </c>
      <c r="K873" s="53">
        <v>0.21764705882352917</v>
      </c>
      <c r="L873" s="45">
        <f t="shared" si="321"/>
        <v>19.647058823529409</v>
      </c>
      <c r="M873" s="45">
        <f t="shared" si="322"/>
        <v>20.897058823529409</v>
      </c>
      <c r="N873" s="46">
        <f t="shared" si="323"/>
        <v>20.272058823529409</v>
      </c>
      <c r="O873" s="20">
        <f t="shared" si="320"/>
        <v>379.64705882352899</v>
      </c>
      <c r="P873" s="20">
        <f t="shared" si="314"/>
        <v>380.89705882352899</v>
      </c>
      <c r="Q873" s="20">
        <f t="shared" si="324"/>
        <v>380.27205882352899</v>
      </c>
      <c r="R873" s="20">
        <f t="shared" si="305"/>
        <v>379.64705882352899</v>
      </c>
      <c r="S873" s="20">
        <f t="shared" si="306"/>
        <v>380.27205882352899</v>
      </c>
      <c r="T873" s="20">
        <f t="shared" si="307"/>
        <v>380.27205882352899</v>
      </c>
      <c r="U873" s="20">
        <f t="shared" si="308"/>
        <v>380.27205882352899</v>
      </c>
      <c r="V873" s="22">
        <v>7.7896999999999998</v>
      </c>
      <c r="W873" s="22">
        <v>3.7273000000000001</v>
      </c>
      <c r="X873" s="23">
        <v>1.1476266666666668</v>
      </c>
      <c r="Y873" s="23">
        <f t="shared" si="315"/>
        <v>6.6420733333333333</v>
      </c>
      <c r="Z873" s="23">
        <f t="shared" si="316"/>
        <v>2.579673333333333</v>
      </c>
      <c r="AA873" s="22">
        <f t="shared" si="317"/>
        <v>61.161625235493744</v>
      </c>
      <c r="AB873" s="22">
        <f t="shared" si="318"/>
        <v>38.838374764506256</v>
      </c>
      <c r="AC873" s="22">
        <f t="shared" si="309"/>
        <v>1.4990155143661061</v>
      </c>
      <c r="AD873" s="22">
        <f t="shared" si="310"/>
        <v>0.58219326324759946</v>
      </c>
      <c r="AE873" s="27">
        <v>16.819600000000001</v>
      </c>
      <c r="AF873" s="27">
        <v>17.338699999999999</v>
      </c>
      <c r="AG873" s="27">
        <v>17.2517</v>
      </c>
      <c r="AH873" s="26">
        <v>0.43209999999999998</v>
      </c>
      <c r="AI873" s="26">
        <v>16.759776540000001</v>
      </c>
      <c r="AJ873" s="26">
        <f t="shared" si="311"/>
        <v>0.8379888270000001</v>
      </c>
      <c r="AK873" s="26">
        <f t="shared" si="312"/>
        <v>9.6877321040462441</v>
      </c>
      <c r="AL873" s="26">
        <f t="shared" si="313"/>
        <v>0.84280796992958962</v>
      </c>
      <c r="AM873" s="17">
        <f t="shared" si="319"/>
        <v>0.5780346820809249</v>
      </c>
      <c r="AN873" s="17"/>
      <c r="AO873" s="27"/>
      <c r="AS873" s="49"/>
      <c r="AT873" s="25"/>
      <c r="AU873" s="17"/>
      <c r="AV873" s="17"/>
      <c r="AW873" s="17"/>
      <c r="AX873" s="27"/>
      <c r="BB873" s="17"/>
    </row>
    <row r="874" spans="1:54" x14ac:dyDescent="0.2">
      <c r="A874" s="17" t="s">
        <v>77</v>
      </c>
      <c r="B874" s="17" t="s">
        <v>78</v>
      </c>
      <c r="C874" s="17" t="str">
        <f t="shared" si="303"/>
        <v>HER42PB1J</v>
      </c>
      <c r="D874" s="17" t="str">
        <f t="shared" si="304"/>
        <v>HER42PB1J_343</v>
      </c>
      <c r="E874" s="27" t="s">
        <v>88</v>
      </c>
      <c r="F874" s="17">
        <v>343</v>
      </c>
      <c r="G874" s="20">
        <v>2.1</v>
      </c>
      <c r="H874" s="20">
        <v>2.1</v>
      </c>
      <c r="I874" s="20">
        <v>1.2</v>
      </c>
      <c r="J874" s="22">
        <f t="shared" si="302"/>
        <v>4.1542200000000005</v>
      </c>
      <c r="K874" s="53">
        <v>0.21764705882352917</v>
      </c>
      <c r="L874" s="45">
        <f t="shared" si="321"/>
        <v>21.11470588235294</v>
      </c>
      <c r="M874" s="45">
        <f t="shared" si="322"/>
        <v>22.314705882352939</v>
      </c>
      <c r="N874" s="46">
        <f t="shared" si="323"/>
        <v>21.714705882352938</v>
      </c>
      <c r="O874" s="20">
        <f t="shared" si="320"/>
        <v>381.1147058823525</v>
      </c>
      <c r="P874" s="20">
        <f t="shared" si="314"/>
        <v>382.31470588235248</v>
      </c>
      <c r="Q874" s="20">
        <f t="shared" si="324"/>
        <v>381.71470588235252</v>
      </c>
      <c r="R874" s="20">
        <f t="shared" si="305"/>
        <v>381.1147058823525</v>
      </c>
      <c r="S874" s="20">
        <f t="shared" si="306"/>
        <v>381.71470588235252</v>
      </c>
      <c r="T874" s="20">
        <f t="shared" si="307"/>
        <v>381.71470588235252</v>
      </c>
      <c r="U874" s="20">
        <f t="shared" si="308"/>
        <v>381.71470588235252</v>
      </c>
      <c r="V874" s="22">
        <v>6.5850999999999997</v>
      </c>
      <c r="W874" s="22">
        <v>2.9201999999999999</v>
      </c>
      <c r="X874" s="23">
        <v>1.1476266666666668</v>
      </c>
      <c r="Y874" s="23">
        <f t="shared" si="315"/>
        <v>5.4374733333333332</v>
      </c>
      <c r="Z874" s="23">
        <f t="shared" si="316"/>
        <v>1.7725733333333331</v>
      </c>
      <c r="AA874" s="22">
        <f t="shared" si="317"/>
        <v>67.400790318052145</v>
      </c>
      <c r="AB874" s="22">
        <f t="shared" si="318"/>
        <v>32.599209681947855</v>
      </c>
      <c r="AC874" s="22">
        <f t="shared" si="309"/>
        <v>1.3089035567045877</v>
      </c>
      <c r="AD874" s="22">
        <f t="shared" si="310"/>
        <v>0.42669221498460191</v>
      </c>
      <c r="AE874" s="27">
        <v>16.201799999999999</v>
      </c>
      <c r="AF874" s="27">
        <v>16.383400000000002</v>
      </c>
      <c r="AG874" s="27">
        <v>16.334099999999999</v>
      </c>
      <c r="AH874" s="26">
        <v>0.1323</v>
      </c>
      <c r="AI874" s="26">
        <v>27.147577089999999</v>
      </c>
      <c r="AJ874" s="26">
        <f t="shared" si="311"/>
        <v>1.3573788545000001</v>
      </c>
      <c r="AK874" s="26">
        <f t="shared" si="312"/>
        <v>15.692241092485549</v>
      </c>
      <c r="AL874" s="26">
        <f t="shared" si="313"/>
        <v>1.3603592741050918</v>
      </c>
      <c r="AM874" s="17">
        <f t="shared" si="319"/>
        <v>0.5780346820809249</v>
      </c>
      <c r="AN874" s="17"/>
      <c r="AO874" s="27"/>
      <c r="AS874" s="49"/>
      <c r="AT874" s="25"/>
      <c r="AU874" s="17"/>
      <c r="AV874" s="17"/>
      <c r="AW874" s="17"/>
      <c r="AX874" s="27"/>
      <c r="BB874" s="17"/>
    </row>
    <row r="875" spans="1:54" x14ac:dyDescent="0.2">
      <c r="A875" s="17" t="s">
        <v>77</v>
      </c>
      <c r="B875" s="17" t="s">
        <v>78</v>
      </c>
      <c r="C875" s="17" t="str">
        <f t="shared" si="303"/>
        <v>HER42PB1J</v>
      </c>
      <c r="D875" s="17" t="str">
        <f t="shared" si="304"/>
        <v>HER42PB1J_344</v>
      </c>
      <c r="E875" s="27" t="s">
        <v>88</v>
      </c>
      <c r="F875" s="17">
        <v>344</v>
      </c>
      <c r="G875" s="20">
        <v>1.95</v>
      </c>
      <c r="H875" s="20">
        <v>2.1</v>
      </c>
      <c r="I875" s="20">
        <v>1.1000000000000001</v>
      </c>
      <c r="J875" s="22">
        <f t="shared" si="302"/>
        <v>3.5408896875000004</v>
      </c>
      <c r="K875" s="53">
        <v>0.21764705882352917</v>
      </c>
      <c r="L875" s="45">
        <f t="shared" si="321"/>
        <v>22.53235294117647</v>
      </c>
      <c r="M875" s="45">
        <f t="shared" si="322"/>
        <v>23.632352941176471</v>
      </c>
      <c r="N875" s="46">
        <f t="shared" si="323"/>
        <v>23.08235294117647</v>
      </c>
      <c r="O875" s="20">
        <f t="shared" si="320"/>
        <v>382.53235294117599</v>
      </c>
      <c r="P875" s="20">
        <f t="shared" si="314"/>
        <v>383.63235294117601</v>
      </c>
      <c r="Q875" s="20">
        <f t="shared" si="324"/>
        <v>383.082352941176</v>
      </c>
      <c r="R875" s="20">
        <f t="shared" si="305"/>
        <v>382.53235294117599</v>
      </c>
      <c r="S875" s="20">
        <f t="shared" si="306"/>
        <v>383.082352941176</v>
      </c>
      <c r="T875" s="20">
        <f t="shared" si="307"/>
        <v>383.082352941176</v>
      </c>
      <c r="U875" s="20">
        <f t="shared" si="308"/>
        <v>383.082352941176</v>
      </c>
      <c r="V875" s="22">
        <v>5.5350000000000001</v>
      </c>
      <c r="W875" s="22">
        <v>1.9509000000000001</v>
      </c>
      <c r="X875" s="23">
        <v>1.1476266666666668</v>
      </c>
      <c r="Y875" s="23">
        <f t="shared" si="315"/>
        <v>4.3873733333333336</v>
      </c>
      <c r="Z875" s="23">
        <f t="shared" si="316"/>
        <v>0.80327333333333328</v>
      </c>
      <c r="AA875" s="22">
        <f t="shared" si="317"/>
        <v>81.691247306664877</v>
      </c>
      <c r="AB875" s="22">
        <f t="shared" si="318"/>
        <v>18.308752693335123</v>
      </c>
      <c r="AC875" s="22">
        <f t="shared" si="309"/>
        <v>1.2390595925147225</v>
      </c>
      <c r="AD875" s="22">
        <f t="shared" si="310"/>
        <v>0.22685635651656635</v>
      </c>
      <c r="AE875" s="27">
        <v>17.456499999999998</v>
      </c>
      <c r="AF875" s="27">
        <v>17.555299999999999</v>
      </c>
      <c r="AG875" s="27">
        <v>17.4925</v>
      </c>
      <c r="AH875" s="26">
        <v>3.5999999999999997E-2</v>
      </c>
      <c r="AI875" s="26">
        <v>63.562753039999997</v>
      </c>
      <c r="AJ875" s="26">
        <f t="shared" si="311"/>
        <v>3.1781376520000002</v>
      </c>
      <c r="AK875" s="26">
        <f t="shared" si="312"/>
        <v>36.741475745664744</v>
      </c>
      <c r="AL875" s="26">
        <f t="shared" si="313"/>
        <v>3.1794117278295486</v>
      </c>
      <c r="AM875" s="17">
        <f t="shared" si="319"/>
        <v>0.5780346820809249</v>
      </c>
      <c r="AN875" s="17"/>
      <c r="AO875" s="27"/>
      <c r="AS875" s="49"/>
      <c r="AT875" s="25"/>
      <c r="AU875" s="17"/>
      <c r="AV875" s="17"/>
      <c r="AW875" s="17"/>
      <c r="AX875" s="27"/>
      <c r="BB875" s="17"/>
    </row>
    <row r="876" spans="1:54" x14ac:dyDescent="0.2">
      <c r="A876" s="17" t="s">
        <v>77</v>
      </c>
      <c r="B876" s="17" t="s">
        <v>78</v>
      </c>
      <c r="C876" s="17" t="str">
        <f t="shared" si="303"/>
        <v>HER42PB1J</v>
      </c>
      <c r="D876" s="17" t="str">
        <f t="shared" si="304"/>
        <v>HER42PB1J_345</v>
      </c>
      <c r="E876" s="27" t="s">
        <v>88</v>
      </c>
      <c r="F876" s="17">
        <v>345</v>
      </c>
      <c r="G876" s="20">
        <v>2.2000000000000002</v>
      </c>
      <c r="H876" s="20">
        <v>2.2000000000000002</v>
      </c>
      <c r="I876" s="20">
        <v>1.2</v>
      </c>
      <c r="J876" s="22">
        <f t="shared" si="302"/>
        <v>4.5592800000000011</v>
      </c>
      <c r="K876" s="53">
        <v>0.21764705882352917</v>
      </c>
      <c r="L876" s="45">
        <f t="shared" si="321"/>
        <v>23.85</v>
      </c>
      <c r="M876" s="45">
        <f t="shared" si="322"/>
        <v>25.05</v>
      </c>
      <c r="N876" s="46">
        <f t="shared" si="323"/>
        <v>24.450000000000003</v>
      </c>
      <c r="O876" s="20">
        <f t="shared" si="320"/>
        <v>383.84999999999951</v>
      </c>
      <c r="P876" s="20">
        <f t="shared" si="314"/>
        <v>385.0499999999995</v>
      </c>
      <c r="Q876" s="20">
        <f t="shared" si="324"/>
        <v>384.44999999999948</v>
      </c>
      <c r="R876" s="20">
        <f t="shared" si="305"/>
        <v>383.84999999999951</v>
      </c>
      <c r="S876" s="20">
        <f t="shared" si="306"/>
        <v>384.44999999999948</v>
      </c>
      <c r="T876" s="20">
        <f t="shared" si="307"/>
        <v>384.44999999999948</v>
      </c>
      <c r="U876" s="20">
        <f t="shared" si="308"/>
        <v>384.44999999999948</v>
      </c>
      <c r="V876" s="22">
        <v>6.6718999999999999</v>
      </c>
      <c r="W876" s="22">
        <v>2.0032000000000001</v>
      </c>
      <c r="X876" s="23">
        <v>1.1476266666666668</v>
      </c>
      <c r="Y876" s="23">
        <f t="shared" si="315"/>
        <v>5.5242733333333334</v>
      </c>
      <c r="Z876" s="23">
        <f t="shared" si="316"/>
        <v>0.8555733333333333</v>
      </c>
      <c r="AA876" s="22">
        <f t="shared" si="317"/>
        <v>84.512472832022553</v>
      </c>
      <c r="AB876" s="22">
        <f t="shared" si="318"/>
        <v>15.487527167977447</v>
      </c>
      <c r="AC876" s="22">
        <f t="shared" si="309"/>
        <v>1.2116547642025346</v>
      </c>
      <c r="AD876" s="22">
        <f t="shared" si="310"/>
        <v>0.18765536078796061</v>
      </c>
      <c r="AE876" s="27">
        <v>13.194699999999999</v>
      </c>
      <c r="AF876" s="27">
        <v>13.291399999999999</v>
      </c>
      <c r="AG876" s="27">
        <v>13.218999999999999</v>
      </c>
      <c r="AH876" s="26">
        <v>2.4299999999999999E-2</v>
      </c>
      <c r="AI876" s="26">
        <v>74.870734229999997</v>
      </c>
      <c r="AJ876" s="26">
        <f t="shared" si="311"/>
        <v>3.7435367115</v>
      </c>
      <c r="AK876" s="26">
        <f t="shared" si="312"/>
        <v>43.277881057803469</v>
      </c>
      <c r="AL876" s="26">
        <f t="shared" si="313"/>
        <v>3.744618419859123</v>
      </c>
      <c r="AM876" s="17">
        <f t="shared" si="319"/>
        <v>0.5780346820809249</v>
      </c>
      <c r="AN876" s="17"/>
      <c r="AO876" s="27"/>
      <c r="AS876" s="49"/>
      <c r="AT876" s="25"/>
      <c r="AU876" s="17"/>
      <c r="AV876" s="17"/>
      <c r="AW876" s="17"/>
      <c r="AX876" s="27"/>
      <c r="BB876" s="17"/>
    </row>
    <row r="877" spans="1:54" x14ac:dyDescent="0.2">
      <c r="A877" s="17" t="s">
        <v>77</v>
      </c>
      <c r="B877" s="17" t="s">
        <v>78</v>
      </c>
      <c r="C877" s="17" t="str">
        <f t="shared" si="303"/>
        <v>HER42PB1J</v>
      </c>
      <c r="D877" s="17" t="str">
        <f t="shared" si="304"/>
        <v>HER42PB1J_346</v>
      </c>
      <c r="E877" s="27" t="s">
        <v>88</v>
      </c>
      <c r="F877" s="17">
        <v>346</v>
      </c>
      <c r="G877" s="20">
        <v>2.2000000000000002</v>
      </c>
      <c r="H877" s="20">
        <v>2.1</v>
      </c>
      <c r="I877" s="20">
        <v>1.2</v>
      </c>
      <c r="J877" s="22">
        <f t="shared" si="302"/>
        <v>4.3543950000000011</v>
      </c>
      <c r="K877" s="53">
        <v>0.21764705882352917</v>
      </c>
      <c r="L877" s="45">
        <f t="shared" si="321"/>
        <v>25.267647058823531</v>
      </c>
      <c r="M877" s="45">
        <f t="shared" si="322"/>
        <v>26.46764705882353</v>
      </c>
      <c r="N877" s="46">
        <f t="shared" si="323"/>
        <v>25.867647058823529</v>
      </c>
      <c r="O877" s="20">
        <f t="shared" si="320"/>
        <v>385.267647058823</v>
      </c>
      <c r="P877" s="20">
        <f t="shared" si="314"/>
        <v>386.46764705882299</v>
      </c>
      <c r="Q877" s="20">
        <f t="shared" si="324"/>
        <v>385.86764705882297</v>
      </c>
      <c r="R877" s="20">
        <f t="shared" si="305"/>
        <v>385.267647058823</v>
      </c>
      <c r="S877" s="20">
        <f t="shared" si="306"/>
        <v>385.86764705882297</v>
      </c>
      <c r="T877" s="20">
        <f t="shared" si="307"/>
        <v>385.86764705882297</v>
      </c>
      <c r="U877" s="20">
        <f t="shared" si="308"/>
        <v>385.86764705882297</v>
      </c>
      <c r="V877" s="22">
        <v>6.3879999999999999</v>
      </c>
      <c r="W877" s="22">
        <v>1.9453</v>
      </c>
      <c r="X877" s="23">
        <v>1.1476266666666668</v>
      </c>
      <c r="Y877" s="23">
        <f t="shared" si="315"/>
        <v>5.2403733333333333</v>
      </c>
      <c r="Z877" s="23">
        <f t="shared" si="316"/>
        <v>0.79767333333333323</v>
      </c>
      <c r="AA877" s="22">
        <f t="shared" si="317"/>
        <v>84.778310960033394</v>
      </c>
      <c r="AB877" s="22">
        <f t="shared" si="318"/>
        <v>15.221689039966606</v>
      </c>
      <c r="AC877" s="22">
        <f t="shared" si="309"/>
        <v>1.2034676076316759</v>
      </c>
      <c r="AD877" s="22">
        <f t="shared" si="310"/>
        <v>0.18318809693041926</v>
      </c>
      <c r="AE877" s="27">
        <v>16.087599999999998</v>
      </c>
      <c r="AF877" s="27">
        <v>16.180599999999998</v>
      </c>
      <c r="AG877" s="27">
        <v>16.1128</v>
      </c>
      <c r="AH877" s="26">
        <v>2.52E-2</v>
      </c>
      <c r="AI877" s="26">
        <v>72.903225809999995</v>
      </c>
      <c r="AJ877" s="26">
        <f t="shared" si="311"/>
        <v>3.6451612904999999</v>
      </c>
      <c r="AK877" s="26">
        <f t="shared" si="312"/>
        <v>42.140592953757228</v>
      </c>
      <c r="AL877" s="26">
        <f t="shared" si="313"/>
        <v>3.6462721831700424</v>
      </c>
      <c r="AM877" s="17">
        <f t="shared" si="319"/>
        <v>0.5780346820809249</v>
      </c>
      <c r="AN877" s="17"/>
      <c r="AO877" s="27"/>
      <c r="AS877" s="49"/>
      <c r="AT877" s="25"/>
      <c r="AU877" s="17"/>
      <c r="AV877" s="17"/>
      <c r="AW877" s="17"/>
      <c r="AX877" s="27"/>
      <c r="BB877" s="17"/>
    </row>
    <row r="878" spans="1:54" x14ac:dyDescent="0.2">
      <c r="A878" s="17" t="s">
        <v>77</v>
      </c>
      <c r="B878" s="17" t="s">
        <v>78</v>
      </c>
      <c r="C878" s="17" t="str">
        <f t="shared" si="303"/>
        <v>HER42PB1J</v>
      </c>
      <c r="D878" s="17" t="str">
        <f t="shared" si="304"/>
        <v>HER42PB1J_347</v>
      </c>
      <c r="E878" s="27" t="s">
        <v>88</v>
      </c>
      <c r="F878" s="17">
        <v>347</v>
      </c>
      <c r="G878" s="20">
        <v>2.1</v>
      </c>
      <c r="H878" s="20">
        <v>2.1</v>
      </c>
      <c r="I878" s="20">
        <v>1.2</v>
      </c>
      <c r="J878" s="22">
        <f t="shared" si="302"/>
        <v>4.1542200000000005</v>
      </c>
      <c r="K878" s="53">
        <v>0.21764705882352917</v>
      </c>
      <c r="L878" s="45">
        <f t="shared" si="321"/>
        <v>26.685294117647061</v>
      </c>
      <c r="M878" s="45">
        <f t="shared" si="322"/>
        <v>27.88529411764706</v>
      </c>
      <c r="N878" s="46">
        <f t="shared" si="323"/>
        <v>27.285294117647062</v>
      </c>
      <c r="O878" s="20">
        <f t="shared" si="320"/>
        <v>386.68529411764649</v>
      </c>
      <c r="P878" s="20">
        <f t="shared" si="314"/>
        <v>387.88529411764648</v>
      </c>
      <c r="Q878" s="20">
        <f t="shared" si="324"/>
        <v>387.28529411764646</v>
      </c>
      <c r="R878" s="20">
        <f t="shared" si="305"/>
        <v>386.68529411764649</v>
      </c>
      <c r="S878" s="20">
        <f t="shared" si="306"/>
        <v>387.28529411764646</v>
      </c>
      <c r="T878" s="20">
        <f t="shared" si="307"/>
        <v>387.28529411764646</v>
      </c>
      <c r="U878" s="20">
        <f t="shared" si="308"/>
        <v>387.28529411764646</v>
      </c>
      <c r="V878" s="22">
        <v>6.2782</v>
      </c>
      <c r="W878" s="22">
        <v>2.0009000000000001</v>
      </c>
      <c r="X878" s="23">
        <v>1.1476266666666668</v>
      </c>
      <c r="Y878" s="23">
        <f t="shared" si="315"/>
        <v>5.1305733333333334</v>
      </c>
      <c r="Z878" s="23">
        <f t="shared" si="316"/>
        <v>0.85327333333333333</v>
      </c>
      <c r="AA878" s="22">
        <f t="shared" si="317"/>
        <v>83.368850264947653</v>
      </c>
      <c r="AB878" s="22">
        <f t="shared" si="318"/>
        <v>16.631149735052347</v>
      </c>
      <c r="AC878" s="22">
        <f t="shared" si="309"/>
        <v>1.2350268722728535</v>
      </c>
      <c r="AD878" s="22">
        <f t="shared" si="310"/>
        <v>0.205399168395832</v>
      </c>
      <c r="AE878" s="27">
        <v>16.717600000000001</v>
      </c>
      <c r="AF878" s="27">
        <v>16.805299999999999</v>
      </c>
      <c r="AG878" s="27">
        <v>16.744</v>
      </c>
      <c r="AH878" s="26">
        <v>2.64E-2</v>
      </c>
      <c r="AI878" s="26">
        <v>69.897377419999998</v>
      </c>
      <c r="AJ878" s="26">
        <f t="shared" si="311"/>
        <v>3.494868871</v>
      </c>
      <c r="AK878" s="26">
        <f t="shared" si="312"/>
        <v>40.403108335260114</v>
      </c>
      <c r="AL878" s="26">
        <f t="shared" si="313"/>
        <v>3.4960275206990028</v>
      </c>
      <c r="AM878" s="17">
        <f t="shared" si="319"/>
        <v>0.5780346820809249</v>
      </c>
      <c r="AN878" s="17"/>
      <c r="AO878" s="27"/>
      <c r="AS878" s="49"/>
      <c r="AT878" s="25"/>
      <c r="AU878" s="17"/>
      <c r="AV878" s="17"/>
      <c r="AW878" s="17"/>
      <c r="AX878" s="27"/>
      <c r="BB878" s="17"/>
    </row>
    <row r="879" spans="1:54" x14ac:dyDescent="0.2">
      <c r="A879" s="17" t="s">
        <v>77</v>
      </c>
      <c r="B879" s="17" t="s">
        <v>78</v>
      </c>
      <c r="C879" s="17" t="str">
        <f t="shared" si="303"/>
        <v>HER42PB1J</v>
      </c>
      <c r="D879" s="17" t="str">
        <f t="shared" si="304"/>
        <v>HER42PB1J_348</v>
      </c>
      <c r="E879" s="27" t="s">
        <v>88</v>
      </c>
      <c r="F879" s="17">
        <v>348</v>
      </c>
      <c r="G879" s="20">
        <v>2.15</v>
      </c>
      <c r="H879" s="20">
        <v>2.2999999999999998</v>
      </c>
      <c r="I879" s="20">
        <v>1.3</v>
      </c>
      <c r="J879" s="22">
        <f t="shared" si="302"/>
        <v>5.052112812499999</v>
      </c>
      <c r="K879" s="53">
        <v>0.21764705882352917</v>
      </c>
      <c r="L879" s="45">
        <f t="shared" si="321"/>
        <v>28.102941176470591</v>
      </c>
      <c r="M879" s="45">
        <f t="shared" si="322"/>
        <v>29.402941176470591</v>
      </c>
      <c r="N879" s="46">
        <f t="shared" si="323"/>
        <v>28.752941176470593</v>
      </c>
      <c r="O879" s="20">
        <f t="shared" si="320"/>
        <v>388.10294117646998</v>
      </c>
      <c r="P879" s="20">
        <f t="shared" si="314"/>
        <v>389.40294117646999</v>
      </c>
      <c r="Q879" s="20">
        <f t="shared" si="324"/>
        <v>388.75294117647002</v>
      </c>
      <c r="R879" s="20">
        <f t="shared" si="305"/>
        <v>388.10294117646998</v>
      </c>
      <c r="S879" s="20">
        <f t="shared" si="306"/>
        <v>388.75294117647002</v>
      </c>
      <c r="T879" s="20">
        <f t="shared" si="307"/>
        <v>388.75294117647002</v>
      </c>
      <c r="U879" s="20">
        <f t="shared" si="308"/>
        <v>388.75294117647002</v>
      </c>
      <c r="V879" s="22">
        <v>7.0716999999999999</v>
      </c>
      <c r="W879" s="22">
        <v>2.2587999999999999</v>
      </c>
      <c r="X879" s="23">
        <v>1.1476266666666668</v>
      </c>
      <c r="Y879" s="23">
        <f t="shared" si="315"/>
        <v>5.9240733333333333</v>
      </c>
      <c r="Z879" s="23">
        <f t="shared" si="316"/>
        <v>1.1111733333333331</v>
      </c>
      <c r="AA879" s="22">
        <f t="shared" si="317"/>
        <v>81.243086119798207</v>
      </c>
      <c r="AB879" s="22">
        <f t="shared" si="318"/>
        <v>18.756913880201793</v>
      </c>
      <c r="AC879" s="22">
        <f t="shared" si="309"/>
        <v>1.1725932403322268</v>
      </c>
      <c r="AD879" s="22">
        <f t="shared" si="310"/>
        <v>0.21994230425418343</v>
      </c>
      <c r="AE879" s="27">
        <v>16.917400000000001</v>
      </c>
      <c r="AF879" s="27">
        <v>17.0352</v>
      </c>
      <c r="AG879" s="27">
        <v>16.980499999999999</v>
      </c>
      <c r="AH879" s="26">
        <v>6.3100000000000003E-2</v>
      </c>
      <c r="AI879" s="26">
        <v>46.434634969999998</v>
      </c>
      <c r="AJ879" s="26">
        <f t="shared" si="311"/>
        <v>2.3217317485</v>
      </c>
      <c r="AK879" s="26">
        <f t="shared" si="312"/>
        <v>26.840829462427745</v>
      </c>
      <c r="AL879" s="26">
        <f t="shared" si="313"/>
        <v>2.3234754812549383</v>
      </c>
      <c r="AM879" s="17">
        <f t="shared" si="319"/>
        <v>0.5780346820809249</v>
      </c>
      <c r="AN879" s="17"/>
      <c r="AO879" s="27"/>
      <c r="AS879" s="49"/>
      <c r="AT879" s="25"/>
      <c r="AU879" s="17"/>
      <c r="AV879" s="17"/>
      <c r="AW879" s="17"/>
      <c r="AX879" s="27"/>
      <c r="BB879" s="17"/>
    </row>
    <row r="880" spans="1:54" x14ac:dyDescent="0.2">
      <c r="A880" s="17" t="s">
        <v>77</v>
      </c>
      <c r="B880" s="17" t="s">
        <v>78</v>
      </c>
      <c r="C880" s="17" t="str">
        <f t="shared" si="303"/>
        <v>HER42PB1J</v>
      </c>
      <c r="D880" s="17" t="str">
        <f t="shared" si="304"/>
        <v>HER42PB1J_349</v>
      </c>
      <c r="E880" s="27" t="s">
        <v>88</v>
      </c>
      <c r="F880" s="17">
        <v>349</v>
      </c>
      <c r="G880" s="20">
        <v>2.2000000000000002</v>
      </c>
      <c r="H880" s="20">
        <v>2.15</v>
      </c>
      <c r="I880" s="20">
        <v>1.25</v>
      </c>
      <c r="J880" s="22">
        <f t="shared" si="302"/>
        <v>4.6419257812499986</v>
      </c>
      <c r="K880" s="53">
        <v>0.21764705882352917</v>
      </c>
      <c r="L880" s="45">
        <f t="shared" si="321"/>
        <v>29.620588235294122</v>
      </c>
      <c r="M880" s="45">
        <f t="shared" si="322"/>
        <v>30.870588235294122</v>
      </c>
      <c r="N880" s="46">
        <f t="shared" si="323"/>
        <v>30.245588235294122</v>
      </c>
      <c r="O880" s="20">
        <f t="shared" si="320"/>
        <v>389.6205882352935</v>
      </c>
      <c r="P880" s="20">
        <f t="shared" si="314"/>
        <v>390.8705882352935</v>
      </c>
      <c r="Q880" s="20">
        <f t="shared" si="324"/>
        <v>390.2455882352935</v>
      </c>
      <c r="R880" s="20">
        <f t="shared" si="305"/>
        <v>389.6205882352935</v>
      </c>
      <c r="S880" s="20">
        <f t="shared" si="306"/>
        <v>390.2455882352935</v>
      </c>
      <c r="T880" s="20">
        <f t="shared" si="307"/>
        <v>390.2455882352935</v>
      </c>
      <c r="U880" s="20">
        <f t="shared" si="308"/>
        <v>390.2455882352935</v>
      </c>
      <c r="V880" s="22">
        <v>7.1592000000000002</v>
      </c>
      <c r="W880" s="22">
        <v>2.5091000000000001</v>
      </c>
      <c r="X880" s="23">
        <v>1.1476266666666668</v>
      </c>
      <c r="Y880" s="23">
        <f t="shared" si="315"/>
        <v>6.0115733333333337</v>
      </c>
      <c r="Z880" s="23">
        <f t="shared" si="316"/>
        <v>1.3614733333333333</v>
      </c>
      <c r="AA880" s="22">
        <f t="shared" si="317"/>
        <v>77.352462361489387</v>
      </c>
      <c r="AB880" s="22">
        <f t="shared" si="318"/>
        <v>22.647537638510613</v>
      </c>
      <c r="AC880" s="22">
        <f t="shared" si="309"/>
        <v>1.2950602005778968</v>
      </c>
      <c r="AD880" s="22">
        <f t="shared" si="310"/>
        <v>0.29329924636725013</v>
      </c>
      <c r="AE880" s="27">
        <v>14.0373</v>
      </c>
      <c r="AF880" s="27">
        <v>14.1831</v>
      </c>
      <c r="AG880" s="27">
        <v>14.097300000000001</v>
      </c>
      <c r="AH880" s="26">
        <v>0.06</v>
      </c>
      <c r="AI880" s="26">
        <v>58.84773663</v>
      </c>
      <c r="AJ880" s="26">
        <f t="shared" si="311"/>
        <v>2.9423868315000004</v>
      </c>
      <c r="AK880" s="26">
        <f t="shared" si="312"/>
        <v>34.016032734104051</v>
      </c>
      <c r="AL880" s="26">
        <f t="shared" si="313"/>
        <v>2.9437629432725405</v>
      </c>
      <c r="AM880" s="17">
        <f t="shared" si="319"/>
        <v>0.5780346820809249</v>
      </c>
      <c r="AN880" s="17"/>
      <c r="AO880" s="27"/>
      <c r="AS880" s="49"/>
      <c r="AT880" s="25"/>
      <c r="AU880" s="17"/>
      <c r="AV880" s="17"/>
      <c r="AW880" s="17"/>
      <c r="AX880" s="27"/>
      <c r="BB880" s="17"/>
    </row>
    <row r="881" spans="1:54" x14ac:dyDescent="0.2">
      <c r="A881" s="17" t="s">
        <v>77</v>
      </c>
      <c r="B881" s="17" t="s">
        <v>78</v>
      </c>
      <c r="C881" s="17" t="str">
        <f t="shared" si="303"/>
        <v>HER42PB1J</v>
      </c>
      <c r="D881" s="17" t="str">
        <f t="shared" si="304"/>
        <v>HER42PB1J_350</v>
      </c>
      <c r="E881" s="27" t="s">
        <v>88</v>
      </c>
      <c r="F881" s="17">
        <v>350</v>
      </c>
      <c r="G881" s="20">
        <v>1.95</v>
      </c>
      <c r="H881" s="20">
        <v>2.15</v>
      </c>
      <c r="I881" s="20">
        <v>1.25</v>
      </c>
      <c r="J881" s="22">
        <f t="shared" si="302"/>
        <v>4.1237031249999987</v>
      </c>
      <c r="K881" s="53">
        <v>0.21764705882352917</v>
      </c>
      <c r="L881" s="45">
        <f t="shared" si="321"/>
        <v>31.088235294117652</v>
      </c>
      <c r="M881" s="45">
        <f t="shared" si="322"/>
        <v>32.338235294117652</v>
      </c>
      <c r="N881" s="46">
        <f t="shared" si="323"/>
        <v>31.713235294117652</v>
      </c>
      <c r="O881" s="20">
        <f t="shared" si="320"/>
        <v>391.088235294117</v>
      </c>
      <c r="P881" s="20">
        <f t="shared" si="314"/>
        <v>392.338235294117</v>
      </c>
      <c r="Q881" s="20">
        <f t="shared" si="324"/>
        <v>391.713235294117</v>
      </c>
      <c r="R881" s="20">
        <f t="shared" si="305"/>
        <v>391.088235294117</v>
      </c>
      <c r="S881" s="20">
        <f t="shared" si="306"/>
        <v>391.713235294117</v>
      </c>
      <c r="T881" s="20">
        <f t="shared" si="307"/>
        <v>391.713235294117</v>
      </c>
      <c r="U881" s="20">
        <f t="shared" si="308"/>
        <v>391.713235294117</v>
      </c>
      <c r="V881" s="22">
        <v>6.6802000000000001</v>
      </c>
      <c r="W881" s="22">
        <v>2.2744</v>
      </c>
      <c r="X881" s="23">
        <v>1.1476266666666668</v>
      </c>
      <c r="Y881" s="23">
        <f t="shared" si="315"/>
        <v>5.5325733333333336</v>
      </c>
      <c r="Z881" s="23">
        <f t="shared" si="316"/>
        <v>1.1267733333333332</v>
      </c>
      <c r="AA881" s="22">
        <f t="shared" si="317"/>
        <v>79.6338292247369</v>
      </c>
      <c r="AB881" s="22">
        <f t="shared" si="318"/>
        <v>20.3661707752631</v>
      </c>
      <c r="AC881" s="22">
        <f t="shared" si="309"/>
        <v>1.3416517061550921</v>
      </c>
      <c r="AD881" s="22">
        <f t="shared" si="310"/>
        <v>0.27324307768477724</v>
      </c>
      <c r="AE881" s="27">
        <v>13.074299999999999</v>
      </c>
      <c r="AF881" s="27">
        <v>13.198</v>
      </c>
      <c r="AG881" s="27">
        <v>13.119300000000001</v>
      </c>
      <c r="AH881" s="26">
        <v>4.4999999999999998E-2</v>
      </c>
      <c r="AI881" s="26">
        <v>63.621665319999998</v>
      </c>
      <c r="AJ881" s="26">
        <f t="shared" si="311"/>
        <v>3.1810832659999999</v>
      </c>
      <c r="AK881" s="26">
        <f t="shared" si="312"/>
        <v>36.775529086705205</v>
      </c>
      <c r="AL881" s="26">
        <f t="shared" si="313"/>
        <v>3.1823561625351156</v>
      </c>
      <c r="AM881" s="17">
        <f t="shared" si="319"/>
        <v>0.5780346820809249</v>
      </c>
      <c r="AN881" s="17"/>
      <c r="AO881" s="27"/>
      <c r="AS881" s="49"/>
      <c r="AT881" s="25"/>
      <c r="AU881" s="17"/>
      <c r="AV881" s="17"/>
      <c r="AW881" s="17"/>
      <c r="AX881" s="27"/>
      <c r="BB881" s="17"/>
    </row>
    <row r="882" spans="1:54" x14ac:dyDescent="0.2">
      <c r="A882" s="17" t="s">
        <v>77</v>
      </c>
      <c r="B882" s="17" t="s">
        <v>78</v>
      </c>
      <c r="C882" s="17" t="str">
        <f t="shared" si="303"/>
        <v>HER42PB1J</v>
      </c>
      <c r="D882" s="17" t="str">
        <f t="shared" si="304"/>
        <v>HER42PB1J_351</v>
      </c>
      <c r="E882" s="27" t="s">
        <v>88</v>
      </c>
      <c r="F882" s="17">
        <v>351</v>
      </c>
      <c r="G882" s="20">
        <v>2</v>
      </c>
      <c r="H882" s="20">
        <v>2.2000000000000002</v>
      </c>
      <c r="I882" s="20">
        <v>1.2</v>
      </c>
      <c r="J882" s="22">
        <f t="shared" si="302"/>
        <v>4.1542200000000005</v>
      </c>
      <c r="K882" s="53">
        <v>0.21764705882352917</v>
      </c>
      <c r="L882" s="45">
        <f t="shared" si="321"/>
        <v>32.555882352941182</v>
      </c>
      <c r="M882" s="45">
        <f t="shared" si="322"/>
        <v>33.755882352941185</v>
      </c>
      <c r="N882" s="46">
        <f t="shared" si="323"/>
        <v>33.155882352941184</v>
      </c>
      <c r="O882" s="20">
        <f t="shared" si="320"/>
        <v>392.5558823529405</v>
      </c>
      <c r="P882" s="20">
        <f t="shared" si="314"/>
        <v>393.75588235294049</v>
      </c>
      <c r="Q882" s="20">
        <f t="shared" si="324"/>
        <v>393.15588235294047</v>
      </c>
      <c r="R882" s="20">
        <f t="shared" si="305"/>
        <v>392.5558823529405</v>
      </c>
      <c r="S882" s="20">
        <f t="shared" si="306"/>
        <v>393.15588235294047</v>
      </c>
      <c r="T882" s="20">
        <f t="shared" si="307"/>
        <v>393.15588235294047</v>
      </c>
      <c r="U882" s="20">
        <f t="shared" si="308"/>
        <v>393.15588235294047</v>
      </c>
      <c r="V882" s="22">
        <v>6.9272</v>
      </c>
      <c r="W882" s="22">
        <v>2.3212000000000002</v>
      </c>
      <c r="X882" s="23">
        <v>1.1476266666666668</v>
      </c>
      <c r="Y882" s="23">
        <f t="shared" si="315"/>
        <v>5.7795733333333335</v>
      </c>
      <c r="Z882" s="23">
        <f t="shared" si="316"/>
        <v>1.1735733333333334</v>
      </c>
      <c r="AA882" s="22">
        <f t="shared" si="317"/>
        <v>79.694464181900386</v>
      </c>
      <c r="AB882" s="22">
        <f t="shared" si="318"/>
        <v>20.305535818099614</v>
      </c>
      <c r="AC882" s="22">
        <f t="shared" si="309"/>
        <v>1.3912535526123635</v>
      </c>
      <c r="AD882" s="22">
        <f t="shared" si="310"/>
        <v>0.2825014884462867</v>
      </c>
      <c r="AE882" s="27">
        <v>13.900600000000001</v>
      </c>
      <c r="AF882" s="27">
        <v>14.0695</v>
      </c>
      <c r="AG882" s="27">
        <v>13.9903</v>
      </c>
      <c r="AH882" s="26">
        <v>8.9700000000000002E-2</v>
      </c>
      <c r="AI882" s="26">
        <v>46.891651869999997</v>
      </c>
      <c r="AJ882" s="26">
        <f t="shared" si="311"/>
        <v>2.3445825934999998</v>
      </c>
      <c r="AK882" s="26">
        <f t="shared" si="312"/>
        <v>27.105001080924854</v>
      </c>
      <c r="AL882" s="26">
        <f t="shared" si="313"/>
        <v>2.3463093440003142</v>
      </c>
      <c r="AM882" s="17">
        <f t="shared" si="319"/>
        <v>0.5780346820809249</v>
      </c>
      <c r="AN882" s="17"/>
      <c r="AO882" s="27"/>
      <c r="AS882" s="49"/>
      <c r="AT882" s="25"/>
      <c r="AU882" s="17"/>
      <c r="AV882" s="17"/>
      <c r="AW882" s="17"/>
      <c r="AX882" s="27"/>
      <c r="BB882" s="17"/>
    </row>
    <row r="883" spans="1:54" x14ac:dyDescent="0.2">
      <c r="A883" s="17" t="s">
        <v>77</v>
      </c>
      <c r="B883" s="17" t="s">
        <v>78</v>
      </c>
      <c r="C883" s="17" t="str">
        <f t="shared" si="303"/>
        <v>HER42PB1J</v>
      </c>
      <c r="D883" s="17" t="str">
        <f t="shared" si="304"/>
        <v>HER42PB1J_352</v>
      </c>
      <c r="E883" s="27" t="s">
        <v>88</v>
      </c>
      <c r="F883" s="17">
        <v>352</v>
      </c>
      <c r="G883" s="20">
        <v>2</v>
      </c>
      <c r="H883" s="20">
        <v>2.25</v>
      </c>
      <c r="I883" s="20">
        <v>1.2</v>
      </c>
      <c r="J883" s="22">
        <f t="shared" si="302"/>
        <v>4.25371875</v>
      </c>
      <c r="K883" s="53">
        <v>0.21764705882352917</v>
      </c>
      <c r="L883" s="45">
        <f t="shared" si="321"/>
        <v>33.973529411764716</v>
      </c>
      <c r="M883" s="45">
        <f t="shared" si="322"/>
        <v>35.173529411764719</v>
      </c>
      <c r="N883" s="46">
        <f t="shared" si="323"/>
        <v>34.573529411764717</v>
      </c>
      <c r="O883" s="20">
        <f t="shared" si="320"/>
        <v>393.97352941176399</v>
      </c>
      <c r="P883" s="20">
        <f t="shared" si="314"/>
        <v>395.17352941176398</v>
      </c>
      <c r="Q883" s="20">
        <f t="shared" si="324"/>
        <v>394.57352941176396</v>
      </c>
      <c r="R883" s="20">
        <f t="shared" si="305"/>
        <v>393.97352941176399</v>
      </c>
      <c r="S883" s="20">
        <f t="shared" si="306"/>
        <v>394.57352941176396</v>
      </c>
      <c r="T883" s="20">
        <f t="shared" si="307"/>
        <v>394.57352941176396</v>
      </c>
      <c r="U883" s="20">
        <f t="shared" si="308"/>
        <v>394.57352941176396</v>
      </c>
      <c r="V883" s="22">
        <v>6.4029999999999996</v>
      </c>
      <c r="W883" s="22">
        <v>2.1274999999999999</v>
      </c>
      <c r="X883" s="23">
        <v>1.1476266666666668</v>
      </c>
      <c r="Y883" s="23">
        <f t="shared" si="315"/>
        <v>5.255373333333333</v>
      </c>
      <c r="Z883" s="23">
        <f t="shared" si="316"/>
        <v>0.97987333333333315</v>
      </c>
      <c r="AA883" s="22">
        <f t="shared" si="317"/>
        <v>81.354829216065852</v>
      </c>
      <c r="AB883" s="22">
        <f t="shared" si="318"/>
        <v>18.645170783934148</v>
      </c>
      <c r="AC883" s="22">
        <f t="shared" si="309"/>
        <v>1.2354773886574737</v>
      </c>
      <c r="AD883" s="22">
        <f t="shared" si="310"/>
        <v>0.23035686911207592</v>
      </c>
      <c r="AE883" s="27">
        <v>13.6463</v>
      </c>
      <c r="AF883" s="27">
        <v>13.7089</v>
      </c>
      <c r="AG883" s="27">
        <v>13.6723</v>
      </c>
      <c r="AH883" s="26">
        <v>2.5999999999999999E-2</v>
      </c>
      <c r="AI883" s="26">
        <v>58.46645367</v>
      </c>
      <c r="AJ883" s="26">
        <f t="shared" si="311"/>
        <v>2.9233226835000004</v>
      </c>
      <c r="AK883" s="26">
        <f t="shared" si="312"/>
        <v>33.795637959537572</v>
      </c>
      <c r="AL883" s="26">
        <f t="shared" si="313"/>
        <v>2.9247077652076015</v>
      </c>
      <c r="AM883" s="17">
        <f t="shared" si="319"/>
        <v>0.5780346820809249</v>
      </c>
      <c r="AN883" s="17"/>
      <c r="AO883" s="27"/>
      <c r="AS883" s="49"/>
      <c r="AT883" s="25"/>
      <c r="AU883" s="17"/>
      <c r="AV883" s="17"/>
      <c r="AW883" s="17"/>
      <c r="AX883" s="27"/>
      <c r="BB883" s="17"/>
    </row>
    <row r="884" spans="1:54" x14ac:dyDescent="0.2">
      <c r="A884" s="17" t="s">
        <v>77</v>
      </c>
      <c r="B884" s="17" t="s">
        <v>78</v>
      </c>
      <c r="C884" s="17" t="str">
        <f t="shared" si="303"/>
        <v>HER42PB1J</v>
      </c>
      <c r="D884" s="17" t="str">
        <f t="shared" si="304"/>
        <v>HER42PB1J_353</v>
      </c>
      <c r="E884" s="27" t="s">
        <v>88</v>
      </c>
      <c r="F884" s="17">
        <v>353</v>
      </c>
      <c r="G884" s="20">
        <v>2.1</v>
      </c>
      <c r="H884" s="20">
        <v>1.9</v>
      </c>
      <c r="I884" s="20">
        <v>1.2</v>
      </c>
      <c r="J884" s="22">
        <f t="shared" si="302"/>
        <v>3.7679999999999998</v>
      </c>
      <c r="K884" s="53">
        <v>0.21764705882352917</v>
      </c>
      <c r="L884" s="45">
        <f t="shared" si="321"/>
        <v>35.391176470588249</v>
      </c>
      <c r="M884" s="45">
        <f t="shared" si="322"/>
        <v>36.591176470588252</v>
      </c>
      <c r="N884" s="46">
        <f t="shared" si="323"/>
        <v>35.99117647058825</v>
      </c>
      <c r="O884" s="20">
        <f t="shared" si="320"/>
        <v>395.39117647058748</v>
      </c>
      <c r="P884" s="20">
        <f t="shared" si="314"/>
        <v>396.59117647058747</v>
      </c>
      <c r="Q884" s="20">
        <f t="shared" si="324"/>
        <v>395.99117647058745</v>
      </c>
      <c r="R884" s="20">
        <f t="shared" si="305"/>
        <v>395.39117647058748</v>
      </c>
      <c r="S884" s="20">
        <f t="shared" si="306"/>
        <v>395.99117647058745</v>
      </c>
      <c r="T884" s="20">
        <f t="shared" si="307"/>
        <v>395.99117647058745</v>
      </c>
      <c r="U884" s="20">
        <f t="shared" si="308"/>
        <v>395.99117647058745</v>
      </c>
      <c r="V884" s="22">
        <v>6.6203000000000003</v>
      </c>
      <c r="W884" s="22">
        <v>2.9323999999999999</v>
      </c>
      <c r="X884" s="23">
        <v>1.1476266666666668</v>
      </c>
      <c r="Y884" s="23">
        <f t="shared" si="315"/>
        <v>5.4726733333333337</v>
      </c>
      <c r="Z884" s="23">
        <f t="shared" si="316"/>
        <v>1.7847733333333331</v>
      </c>
      <c r="AA884" s="22">
        <f t="shared" si="317"/>
        <v>67.387541250406585</v>
      </c>
      <c r="AB884" s="22">
        <f t="shared" si="318"/>
        <v>32.612458749593415</v>
      </c>
      <c r="AC884" s="22">
        <f t="shared" si="309"/>
        <v>1.4524079971691439</v>
      </c>
      <c r="AD884" s="22">
        <f t="shared" si="310"/>
        <v>0.47366595895258312</v>
      </c>
      <c r="AE884" s="27">
        <v>17.389199999999999</v>
      </c>
      <c r="AF884" s="27">
        <v>17.5063</v>
      </c>
      <c r="AG884" s="27">
        <v>17.449100000000001</v>
      </c>
      <c r="AH884" s="26">
        <v>5.9900000000000002E-2</v>
      </c>
      <c r="AI884" s="26">
        <v>48.847139200000001</v>
      </c>
      <c r="AJ884" s="26">
        <f t="shared" si="311"/>
        <v>2.4423569600000001</v>
      </c>
      <c r="AK884" s="26">
        <f t="shared" si="312"/>
        <v>28.235340578034684</v>
      </c>
      <c r="AL884" s="26">
        <f t="shared" si="313"/>
        <v>2.4440146317197944</v>
      </c>
      <c r="AM884" s="17">
        <f t="shared" si="319"/>
        <v>0.5780346820809249</v>
      </c>
      <c r="AN884" s="17"/>
      <c r="AO884" s="27"/>
      <c r="AS884" s="49"/>
      <c r="AT884" s="25"/>
      <c r="AU884" s="17"/>
      <c r="AV884" s="17"/>
      <c r="AW884" s="17"/>
      <c r="AX884" s="27"/>
      <c r="BB884" s="17"/>
    </row>
    <row r="885" spans="1:54" x14ac:dyDescent="0.2">
      <c r="A885" s="17" t="s">
        <v>77</v>
      </c>
      <c r="B885" s="17" t="s">
        <v>78</v>
      </c>
      <c r="C885" s="17" t="str">
        <f t="shared" si="303"/>
        <v>HER42PB1J</v>
      </c>
      <c r="D885" s="17" t="str">
        <f t="shared" si="304"/>
        <v>HER42PB1J_354</v>
      </c>
      <c r="E885" s="27" t="s">
        <v>88</v>
      </c>
      <c r="F885" s="17">
        <v>354</v>
      </c>
      <c r="G885" s="20">
        <v>2</v>
      </c>
      <c r="H885" s="20">
        <v>2.15</v>
      </c>
      <c r="I885" s="20">
        <v>1.2</v>
      </c>
      <c r="J885" s="22">
        <f t="shared" si="302"/>
        <v>4.0558987500000008</v>
      </c>
      <c r="K885" s="53">
        <v>0.21764705882352917</v>
      </c>
      <c r="L885" s="45">
        <f t="shared" si="321"/>
        <v>36.808823529411782</v>
      </c>
      <c r="M885" s="45">
        <f t="shared" si="322"/>
        <v>38.008823529411785</v>
      </c>
      <c r="N885" s="46">
        <f t="shared" si="323"/>
        <v>37.408823529411784</v>
      </c>
      <c r="O885" s="20">
        <f t="shared" si="320"/>
        <v>396.80882352941097</v>
      </c>
      <c r="P885" s="20">
        <f t="shared" si="314"/>
        <v>398.00882352941096</v>
      </c>
      <c r="Q885" s="20">
        <f t="shared" si="324"/>
        <v>397.40882352941094</v>
      </c>
      <c r="R885" s="20">
        <f t="shared" si="305"/>
        <v>396.80882352941097</v>
      </c>
      <c r="S885" s="20">
        <f t="shared" si="306"/>
        <v>397.40882352941094</v>
      </c>
      <c r="T885" s="20">
        <f t="shared" si="307"/>
        <v>397.40882352941094</v>
      </c>
      <c r="U885" s="20">
        <f t="shared" si="308"/>
        <v>397.40882352941094</v>
      </c>
      <c r="V885" s="22">
        <v>6.7990000000000004</v>
      </c>
      <c r="W885" s="22">
        <v>2.8035999999999999</v>
      </c>
      <c r="X885" s="23">
        <v>1.1476266666666668</v>
      </c>
      <c r="Y885" s="23">
        <f t="shared" si="315"/>
        <v>5.6513733333333338</v>
      </c>
      <c r="Z885" s="23">
        <f t="shared" si="316"/>
        <v>1.6559733333333331</v>
      </c>
      <c r="AA885" s="22">
        <f t="shared" si="317"/>
        <v>70.697859871228957</v>
      </c>
      <c r="AB885" s="22">
        <f t="shared" si="318"/>
        <v>29.302140128771043</v>
      </c>
      <c r="AC885" s="22">
        <f t="shared" si="309"/>
        <v>1.3933714033993903</v>
      </c>
      <c r="AD885" s="22">
        <f t="shared" si="310"/>
        <v>0.40828764113831312</v>
      </c>
      <c r="AE885" s="27">
        <v>14.774100000000001</v>
      </c>
      <c r="AF885" s="27">
        <v>14.9755</v>
      </c>
      <c r="AG885" s="27">
        <v>14.9102</v>
      </c>
      <c r="AH885" s="26">
        <v>0.1361</v>
      </c>
      <c r="AI885" s="26">
        <v>32.423038730000002</v>
      </c>
      <c r="AJ885" s="26">
        <f t="shared" si="311"/>
        <v>1.6211519365000002</v>
      </c>
      <c r="AK885" s="26">
        <f t="shared" si="312"/>
        <v>18.741640884393068</v>
      </c>
      <c r="AL885" s="26">
        <f t="shared" si="313"/>
        <v>1.6236482381407928</v>
      </c>
      <c r="AM885" s="17">
        <f t="shared" si="319"/>
        <v>0.5780346820809249</v>
      </c>
      <c r="AN885" s="17"/>
      <c r="AO885" s="27"/>
      <c r="AS885" s="49"/>
      <c r="AT885" s="25"/>
      <c r="AU885" s="17"/>
      <c r="AV885" s="17"/>
      <c r="AW885" s="17"/>
      <c r="AX885" s="27"/>
      <c r="BB885" s="17"/>
    </row>
    <row r="886" spans="1:54" x14ac:dyDescent="0.2">
      <c r="A886" s="17" t="s">
        <v>77</v>
      </c>
      <c r="B886" s="17" t="s">
        <v>78</v>
      </c>
      <c r="C886" s="17" t="str">
        <f t="shared" si="303"/>
        <v>HER42PB1J</v>
      </c>
      <c r="D886" s="17" t="str">
        <f t="shared" si="304"/>
        <v>HER42PB1J_355</v>
      </c>
      <c r="E886" s="27" t="s">
        <v>88</v>
      </c>
      <c r="F886" s="17">
        <v>355</v>
      </c>
      <c r="G886" s="20">
        <v>1.95</v>
      </c>
      <c r="H886" s="20">
        <v>2</v>
      </c>
      <c r="I886" s="20">
        <v>1.25</v>
      </c>
      <c r="J886" s="22">
        <f t="shared" si="302"/>
        <v>3.8274882812500004</v>
      </c>
      <c r="K886" s="53">
        <v>0.21764705882352917</v>
      </c>
      <c r="L886" s="45">
        <f t="shared" si="321"/>
        <v>38.226470588235316</v>
      </c>
      <c r="M886" s="45">
        <f t="shared" si="322"/>
        <v>39.476470588235316</v>
      </c>
      <c r="N886" s="46">
        <f t="shared" si="323"/>
        <v>38.851470588235316</v>
      </c>
      <c r="O886" s="20">
        <f t="shared" si="320"/>
        <v>398.22647058823446</v>
      </c>
      <c r="P886" s="20">
        <f t="shared" si="314"/>
        <v>399.47647058823446</v>
      </c>
      <c r="Q886" s="20">
        <f t="shared" si="324"/>
        <v>398.85147058823446</v>
      </c>
      <c r="R886" s="20">
        <f t="shared" si="305"/>
        <v>398.22647058823446</v>
      </c>
      <c r="S886" s="20">
        <f t="shared" si="306"/>
        <v>398.85147058823446</v>
      </c>
      <c r="T886" s="20">
        <f t="shared" si="307"/>
        <v>398.85147058823446</v>
      </c>
      <c r="U886" s="20">
        <f t="shared" si="308"/>
        <v>398.85147058823446</v>
      </c>
      <c r="V886" s="22">
        <v>6.8941999999999997</v>
      </c>
      <c r="W886" s="22">
        <v>2.7894999999999999</v>
      </c>
      <c r="X886" s="23">
        <v>1.1476266666666668</v>
      </c>
      <c r="Y886" s="23">
        <f t="shared" si="315"/>
        <v>5.7465733333333331</v>
      </c>
      <c r="Z886" s="23">
        <f t="shared" si="316"/>
        <v>1.6418733333333331</v>
      </c>
      <c r="AA886" s="22">
        <f t="shared" si="317"/>
        <v>71.428654293689235</v>
      </c>
      <c r="AB886" s="22">
        <f t="shared" si="318"/>
        <v>28.571345706310765</v>
      </c>
      <c r="AC886" s="22">
        <f t="shared" si="309"/>
        <v>1.5013954089642798</v>
      </c>
      <c r="AD886" s="22">
        <f t="shared" si="310"/>
        <v>0.42896887271386286</v>
      </c>
      <c r="AE886" s="27">
        <v>13.504300000000001</v>
      </c>
      <c r="AF886" s="27">
        <v>13.713900000000001</v>
      </c>
      <c r="AG886" s="27">
        <v>13.647600000000001</v>
      </c>
      <c r="AH886" s="26">
        <v>0.14330000000000001</v>
      </c>
      <c r="AI886" s="26">
        <v>31.631679389999999</v>
      </c>
      <c r="AJ886" s="26">
        <f t="shared" si="311"/>
        <v>1.5815839695</v>
      </c>
      <c r="AK886" s="26">
        <f t="shared" si="312"/>
        <v>18.284207739884394</v>
      </c>
      <c r="AL886" s="26">
        <f t="shared" si="313"/>
        <v>1.5841426238124448</v>
      </c>
      <c r="AM886" s="17">
        <f t="shared" si="319"/>
        <v>0.5780346820809249</v>
      </c>
      <c r="AN886" s="17"/>
      <c r="AO886" s="27"/>
      <c r="AS886" s="49"/>
      <c r="AT886" s="25"/>
      <c r="AU886" s="17"/>
      <c r="AV886" s="17"/>
      <c r="AW886" s="17"/>
      <c r="AX886" s="27"/>
      <c r="BB886" s="17"/>
    </row>
    <row r="887" spans="1:54" x14ac:dyDescent="0.2">
      <c r="A887" s="17" t="s">
        <v>77</v>
      </c>
      <c r="B887" s="17" t="s">
        <v>78</v>
      </c>
      <c r="C887" s="17" t="str">
        <f t="shared" si="303"/>
        <v>HER42PB1J</v>
      </c>
      <c r="D887" s="17" t="str">
        <f t="shared" si="304"/>
        <v>HER42PB1J_356</v>
      </c>
      <c r="E887" s="27" t="s">
        <v>88</v>
      </c>
      <c r="F887" s="17">
        <v>356</v>
      </c>
      <c r="G887" s="20">
        <v>1.9</v>
      </c>
      <c r="H887" s="20">
        <v>2</v>
      </c>
      <c r="I887" s="20">
        <v>0.95</v>
      </c>
      <c r="J887" s="22">
        <f t="shared" si="302"/>
        <v>2.8357143749999998</v>
      </c>
      <c r="K887" s="53">
        <v>0.21764705882352917</v>
      </c>
      <c r="L887" s="45">
        <f t="shared" si="321"/>
        <v>39.694117647058846</v>
      </c>
      <c r="M887" s="45">
        <f t="shared" si="322"/>
        <v>40.644117647058849</v>
      </c>
      <c r="N887" s="46">
        <f t="shared" si="323"/>
        <v>40.169117647058847</v>
      </c>
      <c r="O887" s="20">
        <f t="shared" si="320"/>
        <v>399.69411764705796</v>
      </c>
      <c r="P887" s="20">
        <f t="shared" si="314"/>
        <v>400.64411764705795</v>
      </c>
      <c r="Q887" s="20">
        <f t="shared" si="324"/>
        <v>400.16911764705799</v>
      </c>
      <c r="R887" s="20">
        <f t="shared" si="305"/>
        <v>399.69411764705796</v>
      </c>
      <c r="S887" s="20">
        <f t="shared" si="306"/>
        <v>400.16911764705799</v>
      </c>
      <c r="T887" s="20">
        <f t="shared" si="307"/>
        <v>400.16911764705799</v>
      </c>
      <c r="U887" s="20">
        <f t="shared" si="308"/>
        <v>400.16911764705799</v>
      </c>
      <c r="V887" s="22">
        <v>5.7462</v>
      </c>
      <c r="W887" s="22">
        <v>2.2765</v>
      </c>
      <c r="X887" s="23">
        <v>1.1476266666666668</v>
      </c>
      <c r="Y887" s="23">
        <f t="shared" si="315"/>
        <v>4.5985733333333334</v>
      </c>
      <c r="Z887" s="23">
        <f t="shared" si="316"/>
        <v>1.1288733333333332</v>
      </c>
      <c r="AA887" s="22">
        <f t="shared" si="317"/>
        <v>75.4516618197528</v>
      </c>
      <c r="AB887" s="22">
        <f t="shared" si="318"/>
        <v>24.5483381802472</v>
      </c>
      <c r="AC887" s="22">
        <f t="shared" si="309"/>
        <v>1.6216630891583832</v>
      </c>
      <c r="AD887" s="22">
        <f t="shared" si="310"/>
        <v>0.39809133927084361</v>
      </c>
      <c r="AE887" s="27">
        <v>10.293799999999999</v>
      </c>
      <c r="AF887" s="27">
        <v>10.483700000000001</v>
      </c>
      <c r="AG887" s="27">
        <v>10.4002</v>
      </c>
      <c r="AH887" s="26">
        <v>0.10639999999999999</v>
      </c>
      <c r="AI887" s="26">
        <v>43.9705108</v>
      </c>
      <c r="AJ887" s="26">
        <f t="shared" si="311"/>
        <v>2.1985255399999999</v>
      </c>
      <c r="AK887" s="26">
        <f t="shared" si="312"/>
        <v>25.416480231213875</v>
      </c>
      <c r="AL887" s="26">
        <f t="shared" si="313"/>
        <v>2.2003669125926</v>
      </c>
      <c r="AM887" s="17">
        <f t="shared" si="319"/>
        <v>0.5780346820809249</v>
      </c>
      <c r="AN887" s="17"/>
      <c r="AO887" s="27"/>
      <c r="AS887" s="49"/>
      <c r="AT887" s="25"/>
      <c r="AU887" s="17"/>
      <c r="AV887" s="17"/>
      <c r="AW887" s="17"/>
      <c r="AX887" s="27"/>
      <c r="BB887" s="17"/>
    </row>
    <row r="888" spans="1:54" x14ac:dyDescent="0.2">
      <c r="A888" s="17" t="s">
        <v>77</v>
      </c>
      <c r="B888" s="17" t="s">
        <v>78</v>
      </c>
      <c r="C888" s="17" t="str">
        <f t="shared" si="303"/>
        <v>HER42PB1J</v>
      </c>
      <c r="D888" s="17" t="str">
        <f t="shared" si="304"/>
        <v>HER42PB1J_357</v>
      </c>
      <c r="E888" s="27" t="s">
        <v>88</v>
      </c>
      <c r="F888" s="17">
        <v>357</v>
      </c>
      <c r="G888" s="20">
        <v>2</v>
      </c>
      <c r="H888" s="20">
        <v>2</v>
      </c>
      <c r="I888" s="20">
        <v>1.2</v>
      </c>
      <c r="J888" s="22">
        <f t="shared" si="302"/>
        <v>3.7679999999999998</v>
      </c>
      <c r="K888" s="53">
        <v>0.21764705882352917</v>
      </c>
      <c r="L888" s="45">
        <f t="shared" si="321"/>
        <v>40.861764705882379</v>
      </c>
      <c r="M888" s="45">
        <f t="shared" si="322"/>
        <v>42.061764705882382</v>
      </c>
      <c r="N888" s="46">
        <f t="shared" si="323"/>
        <v>41.461764705882381</v>
      </c>
      <c r="O888" s="20">
        <f t="shared" si="320"/>
        <v>400.86176470588146</v>
      </c>
      <c r="P888" s="20">
        <f t="shared" si="314"/>
        <v>402.06176470588144</v>
      </c>
      <c r="Q888" s="20">
        <f t="shared" si="324"/>
        <v>401.46176470588148</v>
      </c>
      <c r="R888" s="20">
        <f t="shared" si="305"/>
        <v>400.86176470588146</v>
      </c>
      <c r="S888" s="20">
        <f t="shared" si="306"/>
        <v>401.46176470588148</v>
      </c>
      <c r="T888" s="20">
        <f t="shared" si="307"/>
        <v>401.46176470588148</v>
      </c>
      <c r="U888" s="20">
        <f t="shared" si="308"/>
        <v>401.46176470588148</v>
      </c>
      <c r="V888" s="22">
        <v>6.4497999999999998</v>
      </c>
      <c r="W888" s="22">
        <v>2.3452999999999999</v>
      </c>
      <c r="X888" s="23">
        <v>1.1476266666666668</v>
      </c>
      <c r="Y888" s="23">
        <f t="shared" si="315"/>
        <v>5.3021733333333332</v>
      </c>
      <c r="Z888" s="23">
        <f t="shared" si="316"/>
        <v>1.1976733333333331</v>
      </c>
      <c r="AA888" s="22">
        <f t="shared" si="317"/>
        <v>77.411652580199814</v>
      </c>
      <c r="AB888" s="22">
        <f t="shared" si="318"/>
        <v>22.588347419800186</v>
      </c>
      <c r="AC888" s="22">
        <f t="shared" si="309"/>
        <v>1.4071585279547063</v>
      </c>
      <c r="AD888" s="22">
        <f t="shared" si="310"/>
        <v>0.31785385704175512</v>
      </c>
      <c r="AE888" s="27">
        <v>14.077</v>
      </c>
      <c r="AF888" s="27">
        <v>14.179399999999999</v>
      </c>
      <c r="AG888" s="27">
        <v>14.1281</v>
      </c>
      <c r="AH888" s="26">
        <v>5.11E-2</v>
      </c>
      <c r="AI888" s="26">
        <v>50.09765625</v>
      </c>
      <c r="AJ888" s="26">
        <f t="shared" si="311"/>
        <v>2.5048828125</v>
      </c>
      <c r="AK888" s="26">
        <f t="shared" si="312"/>
        <v>28.958182803468212</v>
      </c>
      <c r="AL888" s="26">
        <f t="shared" si="313"/>
        <v>2.5064991331253057</v>
      </c>
      <c r="AM888" s="17">
        <f t="shared" si="319"/>
        <v>0.5780346820809249</v>
      </c>
      <c r="AN888" s="17"/>
      <c r="AO888" s="27"/>
      <c r="AS888" s="49"/>
      <c r="AT888" s="25"/>
      <c r="AU888" s="17"/>
      <c r="AV888" s="17"/>
      <c r="AW888" s="17"/>
      <c r="AX888" s="27"/>
      <c r="BB888" s="17"/>
    </row>
    <row r="889" spans="1:54" x14ac:dyDescent="0.2">
      <c r="A889" s="17" t="s">
        <v>77</v>
      </c>
      <c r="B889" s="17" t="s">
        <v>78</v>
      </c>
      <c r="C889" s="17" t="str">
        <f t="shared" si="303"/>
        <v>HER42PB1J</v>
      </c>
      <c r="D889" s="17" t="str">
        <f t="shared" si="304"/>
        <v>HER42PB1J_358</v>
      </c>
      <c r="E889" s="27" t="s">
        <v>88</v>
      </c>
      <c r="F889" s="17">
        <v>358</v>
      </c>
      <c r="G889" s="20">
        <v>2.1</v>
      </c>
      <c r="H889" s="20">
        <v>2.1</v>
      </c>
      <c r="I889" s="20">
        <v>1.3</v>
      </c>
      <c r="J889" s="22">
        <f t="shared" si="302"/>
        <v>4.5004050000000007</v>
      </c>
      <c r="K889" s="53">
        <v>0.21764705882352917</v>
      </c>
      <c r="L889" s="45">
        <f t="shared" si="321"/>
        <v>42.279411764705912</v>
      </c>
      <c r="M889" s="45">
        <f t="shared" si="322"/>
        <v>43.57941176470591</v>
      </c>
      <c r="N889" s="46">
        <f t="shared" si="323"/>
        <v>42.929411764705911</v>
      </c>
      <c r="O889" s="20">
        <f t="shared" si="320"/>
        <v>402.27941176470495</v>
      </c>
      <c r="P889" s="20">
        <f t="shared" si="314"/>
        <v>403.57941176470496</v>
      </c>
      <c r="Q889" s="20">
        <f t="shared" si="324"/>
        <v>402.92941176470492</v>
      </c>
      <c r="R889" s="20">
        <f t="shared" si="305"/>
        <v>402.27941176470495</v>
      </c>
      <c r="S889" s="20">
        <f t="shared" si="306"/>
        <v>402.92941176470492</v>
      </c>
      <c r="T889" s="20">
        <f t="shared" si="307"/>
        <v>402.92941176470492</v>
      </c>
      <c r="U889" s="20">
        <f t="shared" si="308"/>
        <v>402.92941176470492</v>
      </c>
      <c r="V889" s="22">
        <v>6.9489000000000001</v>
      </c>
      <c r="W889" s="22">
        <v>2.3993000000000002</v>
      </c>
      <c r="X889" s="23">
        <v>1.1476266666666668</v>
      </c>
      <c r="Y889" s="23">
        <f t="shared" si="315"/>
        <v>5.8012733333333335</v>
      </c>
      <c r="Z889" s="23">
        <f t="shared" si="316"/>
        <v>1.2516733333333334</v>
      </c>
      <c r="AA889" s="22">
        <f t="shared" si="317"/>
        <v>78.424162051779433</v>
      </c>
      <c r="AB889" s="22">
        <f t="shared" si="318"/>
        <v>21.575837948220567</v>
      </c>
      <c r="AC889" s="22">
        <f t="shared" si="309"/>
        <v>1.2890558368265372</v>
      </c>
      <c r="AD889" s="22">
        <f t="shared" si="310"/>
        <v>0.2781245984157722</v>
      </c>
      <c r="AE889" s="27">
        <v>13.8188</v>
      </c>
      <c r="AF889" s="27">
        <v>13.9862</v>
      </c>
      <c r="AG889" s="27">
        <v>13.903499999999999</v>
      </c>
      <c r="AH889" s="26">
        <v>8.4699999999999998E-2</v>
      </c>
      <c r="AI889" s="26">
        <v>49.40262843</v>
      </c>
      <c r="AJ889" s="26">
        <f t="shared" si="311"/>
        <v>2.4701314215000001</v>
      </c>
      <c r="AK889" s="26">
        <f t="shared" si="312"/>
        <v>28.556432618497112</v>
      </c>
      <c r="AL889" s="26">
        <f t="shared" si="313"/>
        <v>2.4717704665849558</v>
      </c>
      <c r="AM889" s="17">
        <f t="shared" si="319"/>
        <v>0.5780346820809249</v>
      </c>
      <c r="AN889" s="17"/>
      <c r="AO889" s="27"/>
      <c r="AS889" s="49"/>
      <c r="AT889" s="25"/>
      <c r="AU889" s="17"/>
      <c r="AV889" s="17"/>
      <c r="AW889" s="17"/>
      <c r="AX889" s="27"/>
      <c r="BB889" s="17"/>
    </row>
    <row r="890" spans="1:54" x14ac:dyDescent="0.2">
      <c r="A890" s="17" t="s">
        <v>77</v>
      </c>
      <c r="B890" s="17" t="s">
        <v>78</v>
      </c>
      <c r="C890" s="17" t="str">
        <f t="shared" si="303"/>
        <v>HER42PB1J</v>
      </c>
      <c r="D890" s="17" t="str">
        <f t="shared" si="304"/>
        <v>HER42PB1J_359</v>
      </c>
      <c r="E890" s="27" t="s">
        <v>88</v>
      </c>
      <c r="F890" s="17">
        <v>359</v>
      </c>
      <c r="G890" s="20">
        <v>2.1</v>
      </c>
      <c r="H890" s="20">
        <v>1.95</v>
      </c>
      <c r="I890" s="20">
        <v>1.3</v>
      </c>
      <c r="J890" s="22">
        <f t="shared" si="302"/>
        <v>4.1846878125</v>
      </c>
      <c r="K890" s="53">
        <v>0.21764705882352917</v>
      </c>
      <c r="L890" s="45">
        <f t="shared" si="321"/>
        <v>43.79705882352944</v>
      </c>
      <c r="M890" s="45">
        <f t="shared" si="322"/>
        <v>45.097058823529437</v>
      </c>
      <c r="N890" s="46">
        <f t="shared" si="323"/>
        <v>44.447058823529439</v>
      </c>
      <c r="O890" s="20">
        <f t="shared" si="320"/>
        <v>403.79705882352846</v>
      </c>
      <c r="P890" s="20">
        <f t="shared" si="314"/>
        <v>405.09705882352847</v>
      </c>
      <c r="Q890" s="20">
        <f t="shared" si="324"/>
        <v>404.44705882352844</v>
      </c>
      <c r="R890" s="20">
        <f t="shared" si="305"/>
        <v>403.79705882352846</v>
      </c>
      <c r="S890" s="20">
        <f t="shared" si="306"/>
        <v>404.44705882352844</v>
      </c>
      <c r="T890" s="20">
        <f t="shared" si="307"/>
        <v>404.44705882352844</v>
      </c>
      <c r="U890" s="20">
        <f t="shared" si="308"/>
        <v>404.44705882352844</v>
      </c>
      <c r="V890" s="22">
        <v>7.4922000000000004</v>
      </c>
      <c r="W890" s="22">
        <v>2.4613</v>
      </c>
      <c r="X890" s="23">
        <v>1.1476266666666668</v>
      </c>
      <c r="Y890" s="23">
        <f t="shared" si="315"/>
        <v>6.3445733333333338</v>
      </c>
      <c r="Z890" s="23">
        <f t="shared" si="316"/>
        <v>1.3136733333333332</v>
      </c>
      <c r="AA890" s="22">
        <f t="shared" si="317"/>
        <v>79.294536223081991</v>
      </c>
      <c r="AB890" s="22">
        <f t="shared" si="318"/>
        <v>20.705463776918009</v>
      </c>
      <c r="AC890" s="22">
        <f t="shared" si="309"/>
        <v>1.5161401800109393</v>
      </c>
      <c r="AD890" s="22">
        <f t="shared" si="310"/>
        <v>0.31392385577946463</v>
      </c>
      <c r="AE890" s="27">
        <v>15.994400000000001</v>
      </c>
      <c r="AF890" s="27">
        <v>16.0763</v>
      </c>
      <c r="AG890" s="27">
        <v>16.033200000000001</v>
      </c>
      <c r="AH890" s="26">
        <v>3.8800000000000001E-2</v>
      </c>
      <c r="AI890" s="26">
        <v>52.625152630000002</v>
      </c>
      <c r="AJ890" s="26">
        <f t="shared" si="311"/>
        <v>2.6312576315000005</v>
      </c>
      <c r="AK890" s="26">
        <f t="shared" si="312"/>
        <v>30.419163369942201</v>
      </c>
      <c r="AL890" s="26">
        <f t="shared" si="313"/>
        <v>2.6327963695141698</v>
      </c>
      <c r="AM890" s="17">
        <f t="shared" si="319"/>
        <v>0.5780346820809249</v>
      </c>
      <c r="AN890" s="17"/>
      <c r="AO890" s="27"/>
      <c r="AS890" s="49"/>
      <c r="AT890" s="25"/>
      <c r="AU890" s="17"/>
      <c r="AV890" s="17"/>
      <c r="AW890" s="17"/>
      <c r="AX890" s="27"/>
      <c r="BB890" s="17"/>
    </row>
    <row r="891" spans="1:54" x14ac:dyDescent="0.2">
      <c r="A891" s="17" t="s">
        <v>77</v>
      </c>
      <c r="B891" s="17" t="s">
        <v>78</v>
      </c>
      <c r="C891" s="17" t="str">
        <f t="shared" si="303"/>
        <v>HER42PB1J</v>
      </c>
      <c r="D891" s="17" t="str">
        <f t="shared" si="304"/>
        <v>HER42PB1J_360</v>
      </c>
      <c r="E891" s="27" t="s">
        <v>88</v>
      </c>
      <c r="F891" s="17">
        <v>360</v>
      </c>
      <c r="G891" s="20">
        <v>2.15</v>
      </c>
      <c r="H891" s="20">
        <v>2.2000000000000002</v>
      </c>
      <c r="I891" s="20">
        <v>1.2</v>
      </c>
      <c r="J891" s="22">
        <f t="shared" si="302"/>
        <v>4.4562487499999994</v>
      </c>
      <c r="K891" s="53">
        <v>0.21764705882352917</v>
      </c>
      <c r="L891" s="45">
        <f t="shared" si="321"/>
        <v>45.314705882352968</v>
      </c>
      <c r="M891" s="45">
        <f t="shared" si="322"/>
        <v>46.51470588235297</v>
      </c>
      <c r="N891" s="46">
        <f t="shared" si="323"/>
        <v>45.914705882352969</v>
      </c>
      <c r="O891" s="20">
        <f t="shared" si="320"/>
        <v>405.31470588235197</v>
      </c>
      <c r="P891" s="20">
        <f t="shared" si="314"/>
        <v>406.51470588235196</v>
      </c>
      <c r="Q891" s="20">
        <f t="shared" si="324"/>
        <v>405.914705882352</v>
      </c>
      <c r="R891" s="20">
        <f t="shared" si="305"/>
        <v>405.31470588235197</v>
      </c>
      <c r="S891" s="20">
        <f t="shared" si="306"/>
        <v>405.914705882352</v>
      </c>
      <c r="T891" s="20">
        <f t="shared" si="307"/>
        <v>405.914705882352</v>
      </c>
      <c r="U891" s="20">
        <f t="shared" si="308"/>
        <v>405.914705882352</v>
      </c>
      <c r="V891" s="22">
        <v>7.2461000000000002</v>
      </c>
      <c r="W891" s="22">
        <v>2.2138</v>
      </c>
      <c r="X891" s="23">
        <v>1.1476266666666668</v>
      </c>
      <c r="Y891" s="23">
        <f t="shared" si="315"/>
        <v>6.0984733333333336</v>
      </c>
      <c r="Z891" s="23">
        <f t="shared" si="316"/>
        <v>1.0661733333333332</v>
      </c>
      <c r="AA891" s="22">
        <f t="shared" si="317"/>
        <v>82.517373200505915</v>
      </c>
      <c r="AB891" s="22">
        <f t="shared" si="318"/>
        <v>17.482626799494085</v>
      </c>
      <c r="AC891" s="22">
        <f t="shared" si="309"/>
        <v>1.3685217490009585</v>
      </c>
      <c r="AD891" s="22">
        <f t="shared" si="310"/>
        <v>0.23925355004774662</v>
      </c>
      <c r="AE891" s="27">
        <v>16.5044</v>
      </c>
      <c r="AF891" s="27">
        <v>16.628299999999999</v>
      </c>
      <c r="AG891" s="27">
        <v>16.553899999999999</v>
      </c>
      <c r="AH891" s="26">
        <v>4.9500000000000002E-2</v>
      </c>
      <c r="AI891" s="26">
        <v>60.048426149999997</v>
      </c>
      <c r="AJ891" s="26">
        <f t="shared" si="311"/>
        <v>3.0024213075000001</v>
      </c>
      <c r="AK891" s="26">
        <f t="shared" si="312"/>
        <v>34.710072919075145</v>
      </c>
      <c r="AL891" s="26">
        <f t="shared" si="313"/>
        <v>3.0037699159106728</v>
      </c>
      <c r="AM891" s="17">
        <f t="shared" si="319"/>
        <v>0.5780346820809249</v>
      </c>
      <c r="AN891" s="17"/>
      <c r="AO891" s="27"/>
      <c r="AS891" s="49"/>
      <c r="AT891" s="25"/>
      <c r="AU891" s="17"/>
      <c r="AV891" s="17"/>
      <c r="AW891" s="17"/>
      <c r="AX891" s="27"/>
      <c r="BB891" s="17"/>
    </row>
    <row r="892" spans="1:54" x14ac:dyDescent="0.2">
      <c r="A892" s="17" t="s">
        <v>77</v>
      </c>
      <c r="B892" s="17" t="s">
        <v>78</v>
      </c>
      <c r="C892" s="17" t="str">
        <f t="shared" si="303"/>
        <v>HER42PB1J</v>
      </c>
      <c r="D892" s="17" t="str">
        <f t="shared" si="304"/>
        <v>HER42PB1J_361</v>
      </c>
      <c r="E892" s="27" t="s">
        <v>88</v>
      </c>
      <c r="F892" s="17">
        <v>361</v>
      </c>
      <c r="G892" s="20">
        <v>2</v>
      </c>
      <c r="H892" s="20">
        <v>2</v>
      </c>
      <c r="I892" s="20">
        <v>1.25</v>
      </c>
      <c r="J892" s="22">
        <f t="shared" si="302"/>
        <v>3.9250000000000003</v>
      </c>
      <c r="K892" s="53">
        <v>0.21764705882352917</v>
      </c>
      <c r="L892" s="45">
        <f t="shared" si="321"/>
        <v>46.732352941176501</v>
      </c>
      <c r="M892" s="45">
        <f t="shared" si="322"/>
        <v>47.982352941176501</v>
      </c>
      <c r="N892" s="46">
        <f t="shared" si="323"/>
        <v>47.357352941176501</v>
      </c>
      <c r="O892" s="20">
        <f t="shared" si="320"/>
        <v>406.73235294117546</v>
      </c>
      <c r="P892" s="20">
        <f t="shared" si="314"/>
        <v>407.98235294117546</v>
      </c>
      <c r="Q892" s="20">
        <f t="shared" si="324"/>
        <v>407.35735294117546</v>
      </c>
      <c r="R892" s="20">
        <f t="shared" si="305"/>
        <v>406.73235294117546</v>
      </c>
      <c r="S892" s="20">
        <f t="shared" si="306"/>
        <v>407.35735294117546</v>
      </c>
      <c r="T892" s="20">
        <f t="shared" si="307"/>
        <v>407.35735294117546</v>
      </c>
      <c r="U892" s="20">
        <f t="shared" si="308"/>
        <v>407.35735294117546</v>
      </c>
      <c r="V892" s="22">
        <v>6.8198999999999996</v>
      </c>
      <c r="W892" s="22">
        <v>2.4380000000000002</v>
      </c>
      <c r="X892" s="23">
        <v>1.1476266666666668</v>
      </c>
      <c r="Y892" s="23">
        <f t="shared" si="315"/>
        <v>5.6722733333333331</v>
      </c>
      <c r="Z892" s="23">
        <f t="shared" si="316"/>
        <v>1.2903733333333334</v>
      </c>
      <c r="AA892" s="22">
        <f t="shared" si="317"/>
        <v>77.251213799052948</v>
      </c>
      <c r="AB892" s="22">
        <f t="shared" si="318"/>
        <v>22.748786200947052</v>
      </c>
      <c r="AC892" s="22">
        <f t="shared" si="309"/>
        <v>1.4451651804670911</v>
      </c>
      <c r="AD892" s="22">
        <f t="shared" si="310"/>
        <v>0.3287575371549894</v>
      </c>
      <c r="AE892" s="27">
        <v>10.427199999999999</v>
      </c>
      <c r="AF892" s="27">
        <v>10.570399999999999</v>
      </c>
      <c r="AG892" s="27">
        <v>10.500999999999999</v>
      </c>
      <c r="AH892" s="26">
        <v>7.3800000000000004E-2</v>
      </c>
      <c r="AI892" s="26">
        <v>48.463687149999998</v>
      </c>
      <c r="AJ892" s="26">
        <f t="shared" si="311"/>
        <v>2.4231843575000003</v>
      </c>
      <c r="AK892" s="26">
        <f t="shared" si="312"/>
        <v>28.013691994219656</v>
      </c>
      <c r="AL892" s="26">
        <f t="shared" si="313"/>
        <v>2.4248551359684747</v>
      </c>
      <c r="AM892" s="17">
        <f t="shared" si="319"/>
        <v>0.5780346820809249</v>
      </c>
      <c r="AN892" s="17"/>
      <c r="AO892" s="27"/>
      <c r="AS892" s="49"/>
      <c r="AT892" s="25"/>
      <c r="AU892" s="17"/>
      <c r="AV892" s="17"/>
      <c r="AW892" s="17"/>
      <c r="AX892" s="27"/>
      <c r="BB892" s="17"/>
    </row>
    <row r="893" spans="1:54" x14ac:dyDescent="0.2">
      <c r="A893" s="17" t="s">
        <v>77</v>
      </c>
      <c r="B893" s="17" t="s">
        <v>78</v>
      </c>
      <c r="C893" s="17" t="str">
        <f t="shared" si="303"/>
        <v>HER42PB1J</v>
      </c>
      <c r="D893" s="17" t="str">
        <f t="shared" si="304"/>
        <v>HER42PB1J_362</v>
      </c>
      <c r="E893" s="27" t="s">
        <v>88</v>
      </c>
      <c r="F893" s="17">
        <v>362</v>
      </c>
      <c r="G893" s="20">
        <v>2</v>
      </c>
      <c r="H893" s="20">
        <v>2</v>
      </c>
      <c r="I893" s="20">
        <v>1.2</v>
      </c>
      <c r="J893" s="22">
        <f t="shared" si="302"/>
        <v>3.7679999999999998</v>
      </c>
      <c r="K893" s="53">
        <v>0.21764705882352917</v>
      </c>
      <c r="L893" s="45">
        <f t="shared" si="321"/>
        <v>48.200000000000031</v>
      </c>
      <c r="M893" s="45">
        <f t="shared" si="322"/>
        <v>49.400000000000034</v>
      </c>
      <c r="N893" s="46">
        <f t="shared" si="323"/>
        <v>48.800000000000033</v>
      </c>
      <c r="O893" s="20">
        <f t="shared" si="320"/>
        <v>408.19999999999897</v>
      </c>
      <c r="P893" s="20">
        <f t="shared" si="314"/>
        <v>409.39999999999895</v>
      </c>
      <c r="Q893" s="20">
        <f t="shared" si="324"/>
        <v>408.79999999999893</v>
      </c>
      <c r="R893" s="20">
        <f t="shared" si="305"/>
        <v>408.19999999999897</v>
      </c>
      <c r="S893" s="20">
        <f t="shared" si="306"/>
        <v>408.79999999999893</v>
      </c>
      <c r="T893" s="20">
        <f t="shared" si="307"/>
        <v>408.79999999999893</v>
      </c>
      <c r="U893" s="20">
        <f t="shared" si="308"/>
        <v>408.79999999999893</v>
      </c>
      <c r="V893" s="22">
        <v>6.024</v>
      </c>
      <c r="W893" s="22">
        <v>2.0819999999999999</v>
      </c>
      <c r="X893" s="23">
        <v>1.1476266666666668</v>
      </c>
      <c r="Y893" s="23">
        <f t="shared" si="315"/>
        <v>4.8763733333333334</v>
      </c>
      <c r="Z893" s="23">
        <f t="shared" si="316"/>
        <v>0.93437333333333306</v>
      </c>
      <c r="AA893" s="22">
        <f t="shared" si="317"/>
        <v>80.838765421296699</v>
      </c>
      <c r="AB893" s="22">
        <f t="shared" si="318"/>
        <v>19.161234578703301</v>
      </c>
      <c r="AC893" s="22">
        <f t="shared" si="309"/>
        <v>1.2941542816702054</v>
      </c>
      <c r="AD893" s="22">
        <f t="shared" si="310"/>
        <v>0.24797593772116058</v>
      </c>
      <c r="AE893" s="27">
        <v>6.4450000000000003</v>
      </c>
      <c r="AF893" s="27">
        <v>6.5509000000000004</v>
      </c>
      <c r="AG893" s="27">
        <v>6.4992000000000001</v>
      </c>
      <c r="AH893" s="26">
        <v>5.4199999999999998E-2</v>
      </c>
      <c r="AI893" s="26">
        <v>48.819641169999997</v>
      </c>
      <c r="AJ893" s="26">
        <f t="shared" si="311"/>
        <v>2.4409820584999999</v>
      </c>
      <c r="AK893" s="26">
        <f t="shared" si="312"/>
        <v>28.21944576300578</v>
      </c>
      <c r="AL893" s="26">
        <f t="shared" si="313"/>
        <v>2.4426406632820346</v>
      </c>
      <c r="AM893" s="17">
        <f t="shared" si="319"/>
        <v>0.5780346820809249</v>
      </c>
      <c r="AN893" s="17"/>
      <c r="AO893" s="27"/>
      <c r="AS893" s="49"/>
      <c r="AT893" s="25"/>
      <c r="AU893" s="17"/>
      <c r="AV893" s="17"/>
      <c r="AW893" s="17"/>
      <c r="AX893" s="27"/>
      <c r="BB893" s="17"/>
    </row>
    <row r="894" spans="1:54" x14ac:dyDescent="0.2">
      <c r="A894" s="17" t="s">
        <v>77</v>
      </c>
      <c r="B894" s="17" t="s">
        <v>78</v>
      </c>
      <c r="C894" s="17" t="str">
        <f t="shared" si="303"/>
        <v>HER42PB1J</v>
      </c>
      <c r="D894" s="17" t="str">
        <f t="shared" si="304"/>
        <v>HER42PB1J_363</v>
      </c>
      <c r="E894" s="27" t="s">
        <v>88</v>
      </c>
      <c r="F894" s="17">
        <v>363</v>
      </c>
      <c r="G894" s="20">
        <v>1.9</v>
      </c>
      <c r="H894" s="20">
        <v>1.2</v>
      </c>
      <c r="I894" s="20">
        <v>0.7</v>
      </c>
      <c r="J894" s="22">
        <f t="shared" si="302"/>
        <v>1.3201737499999997</v>
      </c>
      <c r="K894" s="53">
        <v>0.21764705882352917</v>
      </c>
      <c r="L894" s="45">
        <f t="shared" si="321"/>
        <v>49.617647058823565</v>
      </c>
      <c r="M894" s="45">
        <f t="shared" si="322"/>
        <v>50.317647058823567</v>
      </c>
      <c r="N894" s="46">
        <f t="shared" si="323"/>
        <v>49.967647058823566</v>
      </c>
      <c r="O894" s="20">
        <f t="shared" si="320"/>
        <v>409.61764705882246</v>
      </c>
      <c r="P894" s="20">
        <f t="shared" si="314"/>
        <v>410.31764705882244</v>
      </c>
      <c r="Q894" s="20">
        <f t="shared" si="324"/>
        <v>409.96764705882242</v>
      </c>
      <c r="R894" s="20">
        <f t="shared" si="305"/>
        <v>409.61764705882246</v>
      </c>
      <c r="S894" s="20">
        <f t="shared" si="306"/>
        <v>409.96764705882242</v>
      </c>
      <c r="T894" s="20">
        <f t="shared" si="307"/>
        <v>409.96764705882242</v>
      </c>
      <c r="U894" s="20">
        <f t="shared" si="308"/>
        <v>409.96764705882242</v>
      </c>
      <c r="V894" s="22">
        <v>4.1040999999999999</v>
      </c>
      <c r="W894" s="22">
        <v>1.8107</v>
      </c>
      <c r="X894" s="23">
        <v>1.1476266666666668</v>
      </c>
      <c r="Y894" s="23">
        <f t="shared" si="315"/>
        <v>2.9564733333333333</v>
      </c>
      <c r="Z894" s="23">
        <f t="shared" si="316"/>
        <v>0.66307333333333318</v>
      </c>
      <c r="AA894" s="22">
        <f t="shared" si="317"/>
        <v>77.57215240680901</v>
      </c>
      <c r="AB894" s="22">
        <f t="shared" si="318"/>
        <v>22.42784759319099</v>
      </c>
      <c r="AC894" s="22">
        <f t="shared" si="309"/>
        <v>2.2394577481436317</v>
      </c>
      <c r="AD894" s="22">
        <f t="shared" si="310"/>
        <v>0.50226217066756051</v>
      </c>
      <c r="AE894" s="27">
        <v>6.6186999999999996</v>
      </c>
      <c r="AF894" s="27">
        <v>6.6516999999999999</v>
      </c>
      <c r="AG894" s="27">
        <v>6.6341999999999999</v>
      </c>
      <c r="AH894" s="26">
        <v>1.55E-2</v>
      </c>
      <c r="AI894" s="26">
        <v>53.030303029999999</v>
      </c>
      <c r="AJ894" s="26">
        <f t="shared" si="311"/>
        <v>2.6515151514999999</v>
      </c>
      <c r="AK894" s="26">
        <f t="shared" si="312"/>
        <v>30.653354352601159</v>
      </c>
      <c r="AL894" s="26">
        <f t="shared" si="313"/>
        <v>2.6530421403803723</v>
      </c>
      <c r="AM894" s="17">
        <f t="shared" si="319"/>
        <v>0.5780346820809249</v>
      </c>
      <c r="AN894" s="17"/>
      <c r="AO894" s="27"/>
      <c r="AS894" s="49"/>
      <c r="AT894" s="25"/>
      <c r="AU894" s="17"/>
      <c r="AV894" s="17"/>
      <c r="AW894" s="17"/>
      <c r="AX894" s="27"/>
      <c r="BB894" s="17"/>
    </row>
    <row r="895" spans="1:54" x14ac:dyDescent="0.2">
      <c r="A895" s="18" t="s">
        <v>90</v>
      </c>
      <c r="B895" s="18" t="s">
        <v>91</v>
      </c>
      <c r="C895" s="18" t="s">
        <v>92</v>
      </c>
      <c r="D895" s="18" t="str">
        <f>C895&amp;"_"&amp;F895</f>
        <v>CAT1.1A_1</v>
      </c>
      <c r="E895" s="55" t="s">
        <v>79</v>
      </c>
      <c r="F895" s="18">
        <v>1</v>
      </c>
      <c r="G895" s="46">
        <v>2.1</v>
      </c>
      <c r="H895" s="46">
        <v>1.9</v>
      </c>
      <c r="I895" s="46">
        <v>1.4</v>
      </c>
      <c r="J895" s="23">
        <f>(AVERAGE(G895:H895)^2*I895*(PI()/4))</f>
        <v>4.3982297150257104</v>
      </c>
      <c r="K895" s="56">
        <v>9.5000000000000279E-2</v>
      </c>
      <c r="L895" s="39">
        <v>0</v>
      </c>
      <c r="M895" s="45">
        <f t="shared" ref="M895:M958" si="325">L895+I895</f>
        <v>1.4</v>
      </c>
      <c r="N895" s="46">
        <f>L895+((M895-L895)/2)</f>
        <v>0.7</v>
      </c>
      <c r="O895" s="46">
        <v>0</v>
      </c>
      <c r="P895" s="46">
        <f t="shared" ref="P895:P958" si="326">O895+I895</f>
        <v>1.4</v>
      </c>
      <c r="Q895" s="46">
        <f>O895+((P895-O895)/2)</f>
        <v>0.7</v>
      </c>
      <c r="R895" s="46">
        <v>0</v>
      </c>
      <c r="S895" s="46">
        <v>1.4</v>
      </c>
      <c r="T895" s="54">
        <v>0.7</v>
      </c>
      <c r="U895" s="46">
        <f>T895</f>
        <v>0.7</v>
      </c>
      <c r="V895" s="18">
        <v>4.6087999999999996</v>
      </c>
      <c r="W895" s="18">
        <v>2.0457000000000001</v>
      </c>
      <c r="X895" s="23">
        <v>1.1476266666666668</v>
      </c>
      <c r="Y895" s="23">
        <f>V895-X895</f>
        <v>3.461173333333333</v>
      </c>
      <c r="Z895" s="23">
        <f>W895-X895</f>
        <v>0.89807333333333328</v>
      </c>
      <c r="AA895" s="21">
        <f>((Y895-Z895)/(Y895))*100</f>
        <v>74.052922323065772</v>
      </c>
      <c r="AB895" s="21">
        <f>100-AA895</f>
        <v>25.947077676934228</v>
      </c>
      <c r="AC895" s="23">
        <f>Y895/J895</f>
        <v>0.78694692128264621</v>
      </c>
      <c r="AD895" s="23">
        <f>Z895/J895</f>
        <v>0.2041897289414506</v>
      </c>
      <c r="AE895" s="57">
        <v>10.6</v>
      </c>
      <c r="AF895" s="57">
        <v>10.702999999999999</v>
      </c>
      <c r="AG895" s="57">
        <v>10.65</v>
      </c>
      <c r="AH895" s="58">
        <f>AG895-AE895</f>
        <v>5.0000000000000711E-2</v>
      </c>
      <c r="AI895" s="59">
        <f>((AF895-AG895)/(AF895-AE895))*100</f>
        <v>51.456310679610851</v>
      </c>
      <c r="AJ895" s="26">
        <f>AI895*0.05</f>
        <v>2.5728155339805427</v>
      </c>
      <c r="AK895" s="26">
        <f>AI895*AM895</f>
        <v>29.743532184746158</v>
      </c>
      <c r="AL895" s="26">
        <f>(AJ895^2+0.09^2)^0.5</f>
        <v>2.5743892036542544</v>
      </c>
      <c r="AM895" s="17">
        <f t="shared" ref="AM895:AM958" si="327">1/1.73</f>
        <v>0.5780346820809249</v>
      </c>
      <c r="AN895" s="60" t="s">
        <v>43</v>
      </c>
      <c r="AO895" s="39">
        <v>46</v>
      </c>
      <c r="AP895" s="52" t="s">
        <v>35</v>
      </c>
      <c r="AQ895" s="17"/>
      <c r="AR895" s="17"/>
      <c r="AS895" s="27"/>
      <c r="AT895" s="17"/>
      <c r="AU895" s="17"/>
      <c r="AV895" s="17"/>
      <c r="AW895" s="17"/>
      <c r="AX895" s="17"/>
      <c r="BB895" s="17"/>
    </row>
    <row r="896" spans="1:54" x14ac:dyDescent="0.2">
      <c r="A896" s="18" t="s">
        <v>90</v>
      </c>
      <c r="B896" s="18" t="s">
        <v>91</v>
      </c>
      <c r="C896" s="18" t="s">
        <v>92</v>
      </c>
      <c r="D896" s="18" t="str">
        <f t="shared" ref="D896:D959" si="328">C896&amp;"_"&amp;F896</f>
        <v>CAT1.1A_2</v>
      </c>
      <c r="E896" s="55" t="s">
        <v>79</v>
      </c>
      <c r="F896" s="18">
        <v>2</v>
      </c>
      <c r="G896" s="46">
        <v>2.1</v>
      </c>
      <c r="H896" s="46">
        <v>2.0499999999999998</v>
      </c>
      <c r="I896" s="46">
        <v>1.5</v>
      </c>
      <c r="J896" s="23">
        <f t="shared" ref="J896:J959" si="329">(AVERAGE(G896:H896)*(AVERAGE(G896:H896)*3.14/4*I896))</f>
        <v>5.069873437500001</v>
      </c>
      <c r="K896" s="56">
        <v>9.5000000000000279E-2</v>
      </c>
      <c r="L896" s="45">
        <f t="shared" ref="L896:L925" si="330">M895+K896</f>
        <v>1.4950000000000001</v>
      </c>
      <c r="M896" s="45">
        <f t="shared" si="325"/>
        <v>2.9950000000000001</v>
      </c>
      <c r="N896" s="46">
        <f>L896+((M896-L896)/2)</f>
        <v>2.2450000000000001</v>
      </c>
      <c r="O896" s="46">
        <f t="shared" ref="O896:O925" si="331">P895+K896</f>
        <v>1.4950000000000001</v>
      </c>
      <c r="P896" s="46">
        <f t="shared" si="326"/>
        <v>2.9950000000000001</v>
      </c>
      <c r="Q896" s="46">
        <f>O896+((P896-O896)/2)</f>
        <v>2.2450000000000001</v>
      </c>
      <c r="R896" s="46">
        <v>1.4950000000000001</v>
      </c>
      <c r="S896" s="46">
        <v>2.9950000000000001</v>
      </c>
      <c r="T896" s="54">
        <v>2.2000000000000002</v>
      </c>
      <c r="U896" s="46">
        <f t="shared" ref="U896:U959" si="332">T896</f>
        <v>2.2000000000000002</v>
      </c>
      <c r="V896" s="18">
        <v>7.8879999999999999</v>
      </c>
      <c r="W896" s="18">
        <v>2.9447999999999999</v>
      </c>
      <c r="X896" s="23">
        <v>1.1476266666666668</v>
      </c>
      <c r="Y896" s="23">
        <f t="shared" ref="Y896:Y959" si="333">V896-X896</f>
        <v>6.7403733333333333</v>
      </c>
      <c r="Z896" s="23">
        <f t="shared" ref="Z896:Z959" si="334">W896-X896</f>
        <v>1.7971733333333331</v>
      </c>
      <c r="AA896" s="21">
        <f t="shared" ref="AA896:AA959" si="335">((Y896-Z896)/Y896)*100</f>
        <v>73.337184092671421</v>
      </c>
      <c r="AB896" s="21">
        <f t="shared" ref="AB896:AB959" si="336">100-AA896</f>
        <v>26.662815907328579</v>
      </c>
      <c r="AC896" s="23">
        <f>Y896/J896</f>
        <v>1.329495384140609</v>
      </c>
      <c r="AD896" s="23">
        <f>Z896/J896</f>
        <v>0.3544809067698414</v>
      </c>
      <c r="AE896" s="57">
        <v>10.221</v>
      </c>
      <c r="AF896" s="57">
        <v>10.88</v>
      </c>
      <c r="AG896" s="57">
        <v>10.734</v>
      </c>
      <c r="AH896" s="58">
        <f>AG896-AE896</f>
        <v>0.5129999999999999</v>
      </c>
      <c r="AI896" s="59">
        <f>((AF896-AG896)/(AF896-AE896))*100</f>
        <v>22.154779969651084</v>
      </c>
      <c r="AJ896" s="26">
        <f t="shared" ref="AJ896:AJ959" si="337">AI896*0.05</f>
        <v>1.1077389984825543</v>
      </c>
      <c r="AK896" s="26">
        <f t="shared" ref="AK896:AK959" si="338">AI896*AM896</f>
        <v>12.806231196330108</v>
      </c>
      <c r="AL896" s="26">
        <f t="shared" ref="AL896:AL959" si="339">(AJ896^2+0.09^2)^0.5</f>
        <v>1.1113890807269668</v>
      </c>
      <c r="AM896" s="17">
        <f t="shared" si="327"/>
        <v>0.5780346820809249</v>
      </c>
      <c r="AN896" s="60" t="s">
        <v>44</v>
      </c>
      <c r="AO896" s="39" t="s">
        <v>45</v>
      </c>
      <c r="AP896" s="18" t="s">
        <v>35</v>
      </c>
      <c r="AQ896" s="17"/>
      <c r="AR896" s="17"/>
      <c r="AS896" s="27"/>
      <c r="AT896" s="17"/>
      <c r="AU896" s="17"/>
      <c r="AV896" s="17"/>
      <c r="AW896" s="17"/>
      <c r="AX896" s="17"/>
      <c r="BB896" s="17"/>
    </row>
    <row r="897" spans="1:54" x14ac:dyDescent="0.2">
      <c r="A897" s="18" t="s">
        <v>90</v>
      </c>
      <c r="B897" s="18" t="s">
        <v>91</v>
      </c>
      <c r="C897" s="18" t="s">
        <v>92</v>
      </c>
      <c r="D897" s="18" t="str">
        <f t="shared" si="328"/>
        <v>CAT1.1A_3</v>
      </c>
      <c r="E897" s="55" t="s">
        <v>79</v>
      </c>
      <c r="F897" s="18">
        <v>3</v>
      </c>
      <c r="G897" s="46">
        <v>1.9</v>
      </c>
      <c r="H897" s="46">
        <v>1.9</v>
      </c>
      <c r="I897" s="46">
        <v>1.6</v>
      </c>
      <c r="J897" s="23">
        <f t="shared" si="329"/>
        <v>4.53416</v>
      </c>
      <c r="K897" s="56">
        <v>9.5000000000000279E-2</v>
      </c>
      <c r="L897" s="45">
        <f t="shared" si="330"/>
        <v>3.0900000000000003</v>
      </c>
      <c r="M897" s="45">
        <f t="shared" si="325"/>
        <v>4.6900000000000004</v>
      </c>
      <c r="N897" s="46">
        <f t="shared" ref="N897:N925" si="340">L897+((M897-L897)/2)</f>
        <v>3.8900000000000006</v>
      </c>
      <c r="O897" s="46">
        <f t="shared" si="331"/>
        <v>3.0900000000000003</v>
      </c>
      <c r="P897" s="46">
        <f t="shared" si="326"/>
        <v>4.6900000000000004</v>
      </c>
      <c r="Q897" s="46">
        <f t="shared" ref="Q897:Q925" si="341">O897+((P897-O897)/2)</f>
        <v>3.8900000000000006</v>
      </c>
      <c r="R897" s="46">
        <v>3.0900000000000003</v>
      </c>
      <c r="S897" s="46">
        <v>4.6900000000000004</v>
      </c>
      <c r="T897" s="54">
        <v>3.9</v>
      </c>
      <c r="U897" s="46">
        <f t="shared" si="332"/>
        <v>3.9</v>
      </c>
      <c r="V897" s="18">
        <v>5.6898</v>
      </c>
      <c r="W897" s="18">
        <v>2.6175999999999999</v>
      </c>
      <c r="X897" s="23">
        <v>1.1476266666666699</v>
      </c>
      <c r="Y897" s="23">
        <f t="shared" si="333"/>
        <v>4.5421733333333298</v>
      </c>
      <c r="Z897" s="23">
        <f t="shared" si="334"/>
        <v>1.46997333333333</v>
      </c>
      <c r="AA897" s="21">
        <f t="shared" si="335"/>
        <v>67.637225058195384</v>
      </c>
      <c r="AB897" s="21">
        <f t="shared" si="336"/>
        <v>32.362774941804616</v>
      </c>
      <c r="AC897" s="23">
        <f>Y897/J897</f>
        <v>1.0017673247819507</v>
      </c>
      <c r="AD897" s="23">
        <f>Z897/J897</f>
        <v>0.32419970475971954</v>
      </c>
      <c r="AE897" s="57">
        <v>10.127000000000001</v>
      </c>
      <c r="AF897" s="57">
        <v>10.733000000000001</v>
      </c>
      <c r="AG897" s="57">
        <v>10.547000000000001</v>
      </c>
      <c r="AH897" s="58">
        <f>AG897-AE897</f>
        <v>0.41999999999999993</v>
      </c>
      <c r="AI897" s="59">
        <f>((AF897-AG897)/(AF897-AE897))*100</f>
        <v>30.693069306930692</v>
      </c>
      <c r="AJ897" s="26">
        <f t="shared" si="337"/>
        <v>1.5346534653465347</v>
      </c>
      <c r="AK897" s="26">
        <f t="shared" si="338"/>
        <v>17.741658558919475</v>
      </c>
      <c r="AL897" s="26">
        <f t="shared" si="339"/>
        <v>1.5372902324220132</v>
      </c>
      <c r="AM897" s="17">
        <f t="shared" si="327"/>
        <v>0.5780346820809249</v>
      </c>
      <c r="AN897" s="60" t="s">
        <v>46</v>
      </c>
      <c r="AO897" s="45">
        <f>SUM(I895:I925)</f>
        <v>43.149999999999991</v>
      </c>
      <c r="AP897" s="52" t="s">
        <v>35</v>
      </c>
      <c r="AQ897" s="17"/>
      <c r="AR897" s="17"/>
      <c r="AS897" s="27"/>
      <c r="AT897" s="17"/>
      <c r="AU897" s="17"/>
      <c r="AV897" s="17"/>
      <c r="AW897" s="17"/>
      <c r="AX897" s="17"/>
      <c r="BB897" s="17"/>
    </row>
    <row r="898" spans="1:54" x14ac:dyDescent="0.2">
      <c r="A898" s="18" t="s">
        <v>90</v>
      </c>
      <c r="B898" s="18" t="s">
        <v>91</v>
      </c>
      <c r="C898" s="18" t="s">
        <v>92</v>
      </c>
      <c r="D898" s="18" t="str">
        <f t="shared" si="328"/>
        <v>CAT1.1A_4</v>
      </c>
      <c r="E898" s="55" t="s">
        <v>79</v>
      </c>
      <c r="F898" s="18">
        <v>4</v>
      </c>
      <c r="G898" s="46">
        <v>2.1</v>
      </c>
      <c r="H898" s="46">
        <v>2.1</v>
      </c>
      <c r="I898" s="46">
        <v>1.5</v>
      </c>
      <c r="J898" s="23">
        <f t="shared" si="329"/>
        <v>5.1927750000000001</v>
      </c>
      <c r="K898" s="56">
        <v>9.5000000000000279E-2</v>
      </c>
      <c r="L898" s="45">
        <f t="shared" si="330"/>
        <v>4.785000000000001</v>
      </c>
      <c r="M898" s="45">
        <f t="shared" si="325"/>
        <v>6.285000000000001</v>
      </c>
      <c r="N898" s="46">
        <f t="shared" si="340"/>
        <v>5.535000000000001</v>
      </c>
      <c r="O898" s="46">
        <f t="shared" si="331"/>
        <v>4.785000000000001</v>
      </c>
      <c r="P898" s="46">
        <f t="shared" si="326"/>
        <v>6.285000000000001</v>
      </c>
      <c r="Q898" s="46">
        <f t="shared" si="341"/>
        <v>5.535000000000001</v>
      </c>
      <c r="R898" s="46">
        <v>4.785000000000001</v>
      </c>
      <c r="S898" s="46">
        <v>6.285000000000001</v>
      </c>
      <c r="T898" s="54">
        <v>5.5</v>
      </c>
      <c r="U898" s="46">
        <f t="shared" si="332"/>
        <v>5.5</v>
      </c>
      <c r="V898" s="18">
        <v>6.9221000000000004</v>
      </c>
      <c r="W898" s="18">
        <v>3.7143000000000002</v>
      </c>
      <c r="X898" s="23">
        <v>1.1476266666666699</v>
      </c>
      <c r="Y898" s="23">
        <f t="shared" si="333"/>
        <v>5.7744733333333302</v>
      </c>
      <c r="Z898" s="23">
        <f t="shared" si="334"/>
        <v>2.5666733333333305</v>
      </c>
      <c r="AA898" s="21">
        <f t="shared" si="335"/>
        <v>55.551386504512415</v>
      </c>
      <c r="AB898" s="21">
        <f t="shared" si="336"/>
        <v>44.448613495487585</v>
      </c>
      <c r="AC898" s="23">
        <f>Y898/J898</f>
        <v>1.1120207082597129</v>
      </c>
      <c r="AD898" s="23">
        <f>Z898/J898</f>
        <v>0.49427778660414334</v>
      </c>
      <c r="AE898" s="57">
        <v>12.992000000000001</v>
      </c>
      <c r="AF898" s="57">
        <v>13.503</v>
      </c>
      <c r="AG898" s="57">
        <v>13.394</v>
      </c>
      <c r="AH898" s="58">
        <f>AG898-AE898</f>
        <v>0.40199999999999925</v>
      </c>
      <c r="AI898" s="59">
        <f>((AF898-AG898)/(AF898-AE898))*100</f>
        <v>21.330724070450128</v>
      </c>
      <c r="AJ898" s="26">
        <f t="shared" si="337"/>
        <v>1.0665362035225063</v>
      </c>
      <c r="AK898" s="26">
        <f t="shared" si="338"/>
        <v>12.329898306618572</v>
      </c>
      <c r="AL898" s="26">
        <f t="shared" si="339"/>
        <v>1.0703268068324745</v>
      </c>
      <c r="AM898" s="17">
        <f t="shared" si="327"/>
        <v>0.5780346820809249</v>
      </c>
      <c r="AN898" s="60" t="s">
        <v>47</v>
      </c>
      <c r="AO898" s="45">
        <f>AO895-AO897</f>
        <v>2.8500000000000085</v>
      </c>
      <c r="AP898" s="52"/>
      <c r="AQ898" s="17"/>
      <c r="AR898" s="17"/>
      <c r="AS898" s="27"/>
      <c r="AT898" s="17"/>
      <c r="AU898" s="17"/>
      <c r="AV898" s="17"/>
      <c r="AW898" s="17"/>
      <c r="AX898" s="17"/>
      <c r="BB898" s="17"/>
    </row>
    <row r="899" spans="1:54" x14ac:dyDescent="0.2">
      <c r="A899" s="18" t="s">
        <v>90</v>
      </c>
      <c r="B899" s="18" t="s">
        <v>91</v>
      </c>
      <c r="C899" s="18" t="s">
        <v>92</v>
      </c>
      <c r="D899" s="18" t="str">
        <f t="shared" si="328"/>
        <v>CAT1.1A_5</v>
      </c>
      <c r="E899" s="55" t="s">
        <v>79</v>
      </c>
      <c r="F899" s="18">
        <v>5</v>
      </c>
      <c r="G899" s="46">
        <v>1.7</v>
      </c>
      <c r="H899" s="46">
        <v>1.9</v>
      </c>
      <c r="I899" s="46">
        <v>1.4</v>
      </c>
      <c r="J899" s="23">
        <f t="shared" si="329"/>
        <v>3.5607599999999988</v>
      </c>
      <c r="K899" s="56">
        <v>9.5000000000000279E-2</v>
      </c>
      <c r="L899" s="45">
        <f t="shared" si="330"/>
        <v>6.3800000000000017</v>
      </c>
      <c r="M899" s="45">
        <f t="shared" si="325"/>
        <v>7.7800000000000011</v>
      </c>
      <c r="N899" s="46">
        <f t="shared" si="340"/>
        <v>7.0800000000000018</v>
      </c>
      <c r="O899" s="46">
        <f t="shared" si="331"/>
        <v>6.3800000000000017</v>
      </c>
      <c r="P899" s="46">
        <f t="shared" si="326"/>
        <v>7.7800000000000011</v>
      </c>
      <c r="Q899" s="46">
        <f t="shared" si="341"/>
        <v>7.0800000000000018</v>
      </c>
      <c r="R899" s="46">
        <v>6.3800000000000017</v>
      </c>
      <c r="S899" s="46">
        <v>7.7800000000000011</v>
      </c>
      <c r="T899" s="54">
        <v>7.1</v>
      </c>
      <c r="U899" s="46">
        <f t="shared" si="332"/>
        <v>7.1</v>
      </c>
      <c r="V899" s="18">
        <v>7.0015000000000001</v>
      </c>
      <c r="W899" s="18">
        <v>4.5777999999999999</v>
      </c>
      <c r="X899" s="23">
        <v>1.1476266666666699</v>
      </c>
      <c r="Y899" s="23">
        <f t="shared" si="333"/>
        <v>5.8538733333333299</v>
      </c>
      <c r="Z899" s="23">
        <f t="shared" si="334"/>
        <v>3.4301733333333297</v>
      </c>
      <c r="AA899" s="21">
        <f t="shared" si="335"/>
        <v>41.403355726863495</v>
      </c>
      <c r="AB899" s="21">
        <f t="shared" si="336"/>
        <v>58.596644273136505</v>
      </c>
      <c r="AC899" s="23">
        <f>Y899/J899</f>
        <v>1.6439954766210954</v>
      </c>
      <c r="AD899" s="23">
        <f>Z899/J899</f>
        <v>0.96332618130211833</v>
      </c>
      <c r="AE899" s="57">
        <v>10.332000000000001</v>
      </c>
      <c r="AF899" s="57">
        <v>11.257</v>
      </c>
      <c r="AG899" s="57">
        <v>11.106</v>
      </c>
      <c r="AH899" s="58">
        <f>AG899-AE899</f>
        <v>0.77399999999999913</v>
      </c>
      <c r="AI899" s="59">
        <f>((AF899-AG899)/(AF899-AE899))*100</f>
        <v>16.324324324324323</v>
      </c>
      <c r="AJ899" s="26">
        <f t="shared" si="337"/>
        <v>0.81621621621621621</v>
      </c>
      <c r="AK899" s="26">
        <f t="shared" si="338"/>
        <v>9.4360256209967197</v>
      </c>
      <c r="AL899" s="26">
        <f t="shared" si="339"/>
        <v>0.82116314555289016</v>
      </c>
      <c r="AM899" s="17">
        <f t="shared" si="327"/>
        <v>0.5780346820809249</v>
      </c>
      <c r="AN899" s="60" t="s">
        <v>48</v>
      </c>
      <c r="AO899" s="39">
        <v>30</v>
      </c>
      <c r="AP899" s="52"/>
      <c r="AQ899" s="17"/>
      <c r="AR899" s="17"/>
      <c r="AS899" s="27"/>
      <c r="AT899" s="17"/>
      <c r="AU899" s="17"/>
      <c r="AV899" s="17"/>
      <c r="AW899" s="17"/>
      <c r="AX899" s="17"/>
      <c r="BB899" s="17"/>
    </row>
    <row r="900" spans="1:54" x14ac:dyDescent="0.2">
      <c r="A900" s="18" t="s">
        <v>90</v>
      </c>
      <c r="B900" s="18" t="s">
        <v>91</v>
      </c>
      <c r="C900" s="18" t="s">
        <v>92</v>
      </c>
      <c r="D900" s="18" t="str">
        <f t="shared" si="328"/>
        <v>CAT1.1A_6</v>
      </c>
      <c r="E900" s="55" t="s">
        <v>79</v>
      </c>
      <c r="F900" s="18">
        <v>6</v>
      </c>
      <c r="G900" s="46">
        <v>1.9</v>
      </c>
      <c r="H900" s="46">
        <v>1.8</v>
      </c>
      <c r="I900" s="46">
        <v>1.3</v>
      </c>
      <c r="J900" s="23">
        <f t="shared" si="329"/>
        <v>3.4926612500000003</v>
      </c>
      <c r="K900" s="56">
        <v>9.5000000000000279E-2</v>
      </c>
      <c r="L900" s="45">
        <f t="shared" si="330"/>
        <v>7.8750000000000018</v>
      </c>
      <c r="M900" s="45">
        <f t="shared" si="325"/>
        <v>9.1750000000000025</v>
      </c>
      <c r="N900" s="46">
        <f t="shared" si="340"/>
        <v>8.5250000000000021</v>
      </c>
      <c r="O900" s="46">
        <f t="shared" si="331"/>
        <v>7.8750000000000018</v>
      </c>
      <c r="P900" s="46">
        <f t="shared" si="326"/>
        <v>9.1750000000000025</v>
      </c>
      <c r="Q900" s="46">
        <f t="shared" si="341"/>
        <v>8.5250000000000021</v>
      </c>
      <c r="R900" s="46">
        <v>7.8750000000000018</v>
      </c>
      <c r="S900" s="46">
        <v>9.1750000000000025</v>
      </c>
      <c r="T900" s="54">
        <v>8.5</v>
      </c>
      <c r="U900" s="46">
        <f t="shared" si="332"/>
        <v>8.5</v>
      </c>
      <c r="V900" s="18">
        <v>5.0145999999999997</v>
      </c>
      <c r="W900" s="18">
        <v>2.0884999999999998</v>
      </c>
      <c r="X900" s="23">
        <v>1.1476266666666699</v>
      </c>
      <c r="Y900" s="23">
        <f t="shared" si="333"/>
        <v>3.8669733333333296</v>
      </c>
      <c r="Z900" s="23">
        <f t="shared" si="334"/>
        <v>0.9408733333333299</v>
      </c>
      <c r="AA900" s="21">
        <f t="shared" si="335"/>
        <v>75.66899866562315</v>
      </c>
      <c r="AB900" s="21">
        <f t="shared" si="336"/>
        <v>24.33100133437685</v>
      </c>
      <c r="AC900" s="23">
        <f>Y900/J900</f>
        <v>1.1071710241963286</v>
      </c>
      <c r="AD900" s="23">
        <f>Z900/J900</f>
        <v>0.26938579667104268</v>
      </c>
      <c r="AE900" s="57">
        <v>9.5210000000000008</v>
      </c>
      <c r="AF900" s="57">
        <v>9.6579999999999995</v>
      </c>
      <c r="AG900" s="57">
        <v>9.5909999999999993</v>
      </c>
      <c r="AH900" s="58">
        <f>AG900-AE900</f>
        <v>6.9999999999998508E-2</v>
      </c>
      <c r="AI900" s="59">
        <f>((AF900-AG900)/(AF900-AE900))*100</f>
        <v>48.905109489051689</v>
      </c>
      <c r="AJ900" s="26">
        <f t="shared" si="337"/>
        <v>2.4452554744525847</v>
      </c>
      <c r="AK900" s="26">
        <f t="shared" si="338"/>
        <v>28.268849415636815</v>
      </c>
      <c r="AL900" s="26">
        <f t="shared" si="339"/>
        <v>2.4469111825606453</v>
      </c>
      <c r="AM900" s="17">
        <f t="shared" si="327"/>
        <v>0.5780346820809249</v>
      </c>
      <c r="AN900" s="60" t="s">
        <v>49</v>
      </c>
      <c r="AO900" s="50">
        <f>AO898/AO899</f>
        <v>9.5000000000000279E-2</v>
      </c>
      <c r="AP900" s="52" t="s">
        <v>35</v>
      </c>
      <c r="AQ900" s="17"/>
      <c r="AR900" s="17"/>
      <c r="AS900" s="27"/>
      <c r="AT900" s="17"/>
      <c r="AU900" s="17"/>
      <c r="AV900" s="17"/>
      <c r="AW900" s="17"/>
      <c r="AX900" s="17"/>
      <c r="BB900" s="17"/>
    </row>
    <row r="901" spans="1:54" x14ac:dyDescent="0.2">
      <c r="A901" s="18" t="s">
        <v>90</v>
      </c>
      <c r="B901" s="18" t="s">
        <v>91</v>
      </c>
      <c r="C901" s="18" t="s">
        <v>92</v>
      </c>
      <c r="D901" s="18" t="str">
        <f t="shared" si="328"/>
        <v>CAT1.1A_7</v>
      </c>
      <c r="E901" s="55" t="s">
        <v>79</v>
      </c>
      <c r="F901" s="18">
        <v>7</v>
      </c>
      <c r="G901" s="46">
        <v>2.1</v>
      </c>
      <c r="H901" s="46">
        <v>2.1</v>
      </c>
      <c r="I901" s="46">
        <v>1.35</v>
      </c>
      <c r="J901" s="23">
        <f t="shared" si="329"/>
        <v>4.6734975000000007</v>
      </c>
      <c r="K901" s="56">
        <v>9.5000000000000279E-2</v>
      </c>
      <c r="L901" s="45">
        <f t="shared" si="330"/>
        <v>9.2700000000000031</v>
      </c>
      <c r="M901" s="45">
        <f t="shared" si="325"/>
        <v>10.620000000000003</v>
      </c>
      <c r="N901" s="46">
        <f t="shared" si="340"/>
        <v>9.9450000000000038</v>
      </c>
      <c r="O901" s="46">
        <f t="shared" si="331"/>
        <v>9.2700000000000031</v>
      </c>
      <c r="P901" s="46">
        <f t="shared" si="326"/>
        <v>10.620000000000003</v>
      </c>
      <c r="Q901" s="46">
        <f t="shared" si="341"/>
        <v>9.9450000000000038</v>
      </c>
      <c r="R901" s="46">
        <v>9.2700000000000031</v>
      </c>
      <c r="S901" s="46">
        <v>10.620000000000003</v>
      </c>
      <c r="T901" s="54">
        <v>9.9</v>
      </c>
      <c r="U901" s="46">
        <f t="shared" si="332"/>
        <v>9.9</v>
      </c>
      <c r="V901" s="18">
        <v>5.7507000000000001</v>
      </c>
      <c r="W901" s="18">
        <v>1.9525999999999999</v>
      </c>
      <c r="X901" s="23">
        <v>1.1476266666666699</v>
      </c>
      <c r="Y901" s="23">
        <f t="shared" si="333"/>
        <v>4.60307333333333</v>
      </c>
      <c r="Z901" s="23">
        <f t="shared" si="334"/>
        <v>0.80497333333332999</v>
      </c>
      <c r="AA901" s="21">
        <f t="shared" si="335"/>
        <v>82.512263545660119</v>
      </c>
      <c r="AB901" s="21">
        <f t="shared" si="336"/>
        <v>17.487736454339881</v>
      </c>
      <c r="AC901" s="23">
        <f>Y901/J901</f>
        <v>0.98493116415132975</v>
      </c>
      <c r="AD901" s="23">
        <f>Z901/J901</f>
        <v>0.17224216624344613</v>
      </c>
      <c r="AE901" s="57">
        <v>10.673</v>
      </c>
      <c r="AF901" s="57">
        <v>10.798999999999999</v>
      </c>
      <c r="AG901" s="57">
        <v>10.734999999999999</v>
      </c>
      <c r="AH901" s="58">
        <f>AG901-AE901</f>
        <v>6.1999999999999389E-2</v>
      </c>
      <c r="AI901" s="59">
        <f>((AF901-AG901)/(AF901-AE901))*100</f>
        <v>50.793650793651054</v>
      </c>
      <c r="AJ901" s="26">
        <f t="shared" si="337"/>
        <v>2.5396825396825529</v>
      </c>
      <c r="AK901" s="26">
        <f t="shared" si="338"/>
        <v>29.360491788237606</v>
      </c>
      <c r="AL901" s="26">
        <f t="shared" si="339"/>
        <v>2.5412767268379928</v>
      </c>
      <c r="AM901" s="17">
        <f t="shared" si="327"/>
        <v>0.5780346820809249</v>
      </c>
      <c r="AN901" s="52"/>
      <c r="AO901" s="39"/>
      <c r="AP901" s="18"/>
      <c r="AQ901" s="17"/>
      <c r="AR901" s="17"/>
      <c r="AS901" s="27"/>
      <c r="AT901" s="17"/>
      <c r="AU901" s="17"/>
      <c r="AV901" s="17"/>
      <c r="AW901" s="17"/>
      <c r="AX901" s="17"/>
      <c r="BB901" s="17"/>
    </row>
    <row r="902" spans="1:54" x14ac:dyDescent="0.2">
      <c r="A902" s="18" t="s">
        <v>90</v>
      </c>
      <c r="B902" s="18" t="s">
        <v>91</v>
      </c>
      <c r="C902" s="18" t="s">
        <v>92</v>
      </c>
      <c r="D902" s="18" t="str">
        <f t="shared" si="328"/>
        <v>CAT1.1A_8</v>
      </c>
      <c r="E902" s="55" t="s">
        <v>79</v>
      </c>
      <c r="F902" s="18">
        <v>8</v>
      </c>
      <c r="G902" s="46">
        <v>2.1</v>
      </c>
      <c r="H902" s="46">
        <v>2</v>
      </c>
      <c r="I902" s="46">
        <v>1.3</v>
      </c>
      <c r="J902" s="23">
        <f t="shared" si="329"/>
        <v>4.28865125</v>
      </c>
      <c r="K902" s="56">
        <v>9.5000000000000279E-2</v>
      </c>
      <c r="L902" s="45">
        <f t="shared" si="330"/>
        <v>10.715000000000003</v>
      </c>
      <c r="M902" s="45">
        <f t="shared" si="325"/>
        <v>12.015000000000004</v>
      </c>
      <c r="N902" s="46">
        <f t="shared" si="340"/>
        <v>11.365000000000004</v>
      </c>
      <c r="O902" s="46">
        <f t="shared" si="331"/>
        <v>10.715000000000003</v>
      </c>
      <c r="P902" s="46">
        <f t="shared" si="326"/>
        <v>12.015000000000004</v>
      </c>
      <c r="Q902" s="46">
        <f t="shared" si="341"/>
        <v>11.365000000000004</v>
      </c>
      <c r="R902" s="46">
        <v>10.715000000000003</v>
      </c>
      <c r="S902" s="46">
        <v>12.015000000000004</v>
      </c>
      <c r="T902" s="54">
        <v>11.4</v>
      </c>
      <c r="U902" s="46">
        <f t="shared" si="332"/>
        <v>11.4</v>
      </c>
      <c r="V902" s="18">
        <v>5.9104999999999999</v>
      </c>
      <c r="W902" s="18">
        <v>2.4906999999999999</v>
      </c>
      <c r="X902" s="23">
        <v>1.1476266666666699</v>
      </c>
      <c r="Y902" s="23">
        <f t="shared" si="333"/>
        <v>4.7628733333333297</v>
      </c>
      <c r="Z902" s="23">
        <f t="shared" si="334"/>
        <v>1.34307333333333</v>
      </c>
      <c r="AA902" s="21">
        <f t="shared" si="335"/>
        <v>71.801195636807506</v>
      </c>
      <c r="AB902" s="21">
        <f t="shared" si="336"/>
        <v>28.198804363192494</v>
      </c>
      <c r="AC902" s="23">
        <f>Y902/J902</f>
        <v>1.1105760426039142</v>
      </c>
      <c r="AD902" s="23">
        <f>Z902/J902</f>
        <v>0.31316916555836288</v>
      </c>
      <c r="AE902" s="57">
        <v>10.194000000000001</v>
      </c>
      <c r="AF902" s="57">
        <v>10.55</v>
      </c>
      <c r="AG902" s="57">
        <v>10.446999999999999</v>
      </c>
      <c r="AH902" s="58">
        <f>AG902-AE902</f>
        <v>0.25299999999999834</v>
      </c>
      <c r="AI902" s="59">
        <f>((AF902-AG902)/(AF902-AE902))*100</f>
        <v>28.932584269663366</v>
      </c>
      <c r="AJ902" s="26">
        <f t="shared" si="337"/>
        <v>1.4466292134831684</v>
      </c>
      <c r="AK902" s="26">
        <f t="shared" si="338"/>
        <v>16.724037150094432</v>
      </c>
      <c r="AL902" s="26">
        <f t="shared" si="339"/>
        <v>1.4494261213676711</v>
      </c>
      <c r="AM902" s="17">
        <f t="shared" si="327"/>
        <v>0.5780346820809249</v>
      </c>
      <c r="AN902" s="52"/>
      <c r="AO902" s="39"/>
      <c r="AP902" s="18"/>
      <c r="AQ902" s="17"/>
      <c r="AR902" s="17"/>
      <c r="AS902" s="27"/>
      <c r="AT902" s="17"/>
      <c r="AU902" s="17"/>
      <c r="AV902" s="17"/>
      <c r="AW902" s="17"/>
      <c r="AX902" s="17"/>
      <c r="BB902" s="17"/>
    </row>
    <row r="903" spans="1:54" x14ac:dyDescent="0.2">
      <c r="A903" s="18" t="s">
        <v>90</v>
      </c>
      <c r="B903" s="18" t="s">
        <v>91</v>
      </c>
      <c r="C903" s="18" t="s">
        <v>92</v>
      </c>
      <c r="D903" s="18" t="str">
        <f t="shared" si="328"/>
        <v>CAT1.1A_9</v>
      </c>
      <c r="E903" s="55" t="s">
        <v>79</v>
      </c>
      <c r="F903" s="18">
        <v>9</v>
      </c>
      <c r="G903" s="46">
        <v>2.1</v>
      </c>
      <c r="H903" s="46">
        <v>2.1</v>
      </c>
      <c r="I903" s="46">
        <v>1.45</v>
      </c>
      <c r="J903" s="23">
        <f t="shared" si="329"/>
        <v>5.0196825000000009</v>
      </c>
      <c r="K903" s="56">
        <v>9.5000000000000279E-2</v>
      </c>
      <c r="L903" s="45">
        <f t="shared" si="330"/>
        <v>12.110000000000005</v>
      </c>
      <c r="M903" s="45">
        <f t="shared" si="325"/>
        <v>13.560000000000004</v>
      </c>
      <c r="N903" s="46">
        <f t="shared" si="340"/>
        <v>12.835000000000004</v>
      </c>
      <c r="O903" s="46">
        <f t="shared" si="331"/>
        <v>12.110000000000005</v>
      </c>
      <c r="P903" s="46">
        <f t="shared" si="326"/>
        <v>13.560000000000004</v>
      </c>
      <c r="Q903" s="46">
        <f t="shared" si="341"/>
        <v>12.835000000000004</v>
      </c>
      <c r="R903" s="46">
        <v>12.110000000000005</v>
      </c>
      <c r="S903" s="46">
        <v>13.560000000000004</v>
      </c>
      <c r="T903" s="54">
        <v>12.8</v>
      </c>
      <c r="U903" s="46">
        <f t="shared" si="332"/>
        <v>12.8</v>
      </c>
      <c r="V903" s="18">
        <v>5.9550000000000001</v>
      </c>
      <c r="W903" s="18">
        <v>2.0678999999999998</v>
      </c>
      <c r="X903" s="23">
        <v>1.1476266666666699</v>
      </c>
      <c r="Y903" s="23">
        <f t="shared" si="333"/>
        <v>4.8073733333333299</v>
      </c>
      <c r="Z903" s="23">
        <f t="shared" si="334"/>
        <v>0.92027333333332995</v>
      </c>
      <c r="AA903" s="21">
        <f t="shared" si="335"/>
        <v>80.857044595385489</v>
      </c>
      <c r="AB903" s="21">
        <f t="shared" si="336"/>
        <v>19.142955404614511</v>
      </c>
      <c r="AC903" s="23">
        <f>Y903/J903</f>
        <v>0.95770466226366491</v>
      </c>
      <c r="AD903" s="23">
        <f>Z903/J903</f>
        <v>0.18333297640504748</v>
      </c>
      <c r="AE903" s="57">
        <v>9.2509999999999994</v>
      </c>
      <c r="AF903" s="57">
        <v>9.4710000000000001</v>
      </c>
      <c r="AG903" s="57">
        <v>9.3580000000000005</v>
      </c>
      <c r="AH903" s="58">
        <f>AG903-AE903</f>
        <v>0.10700000000000109</v>
      </c>
      <c r="AI903" s="59">
        <f>((AF903-AG903)/(AF903-AE903))*100</f>
        <v>51.363636363636012</v>
      </c>
      <c r="AJ903" s="26">
        <f t="shared" si="337"/>
        <v>2.5681818181818006</v>
      </c>
      <c r="AK903" s="26">
        <f t="shared" si="338"/>
        <v>29.689963215974576</v>
      </c>
      <c r="AL903" s="26">
        <f t="shared" si="339"/>
        <v>2.5697583254538894</v>
      </c>
      <c r="AM903" s="17">
        <f t="shared" si="327"/>
        <v>0.5780346820809249</v>
      </c>
      <c r="AN903" s="52" t="s">
        <v>50</v>
      </c>
      <c r="AO903" s="39">
        <v>68.857600000000005</v>
      </c>
      <c r="AP903" s="18" t="s">
        <v>36</v>
      </c>
      <c r="AQ903" s="17"/>
      <c r="AR903" s="17"/>
      <c r="AS903" s="27"/>
      <c r="AT903" s="17"/>
      <c r="AU903" s="17"/>
      <c r="AV903" s="17"/>
      <c r="AW903" s="17"/>
      <c r="AX903" s="17"/>
      <c r="BB903" s="17"/>
    </row>
    <row r="904" spans="1:54" x14ac:dyDescent="0.2">
      <c r="A904" s="18" t="s">
        <v>90</v>
      </c>
      <c r="B904" s="18" t="s">
        <v>91</v>
      </c>
      <c r="C904" s="18" t="s">
        <v>92</v>
      </c>
      <c r="D904" s="18" t="str">
        <f t="shared" si="328"/>
        <v>CAT1.1A_10</v>
      </c>
      <c r="E904" s="55" t="s">
        <v>79</v>
      </c>
      <c r="F904" s="18">
        <v>10</v>
      </c>
      <c r="G904" s="46">
        <v>2.2000000000000002</v>
      </c>
      <c r="H904" s="46">
        <v>2.2999999999999998</v>
      </c>
      <c r="I904" s="46">
        <v>1.3</v>
      </c>
      <c r="J904" s="23">
        <f t="shared" si="329"/>
        <v>5.1662812500000008</v>
      </c>
      <c r="K904" s="56">
        <v>9.5000000000000279E-2</v>
      </c>
      <c r="L904" s="45">
        <f t="shared" si="330"/>
        <v>13.655000000000005</v>
      </c>
      <c r="M904" s="45">
        <f t="shared" si="325"/>
        <v>14.955000000000005</v>
      </c>
      <c r="N904" s="46">
        <f t="shared" si="340"/>
        <v>14.305000000000005</v>
      </c>
      <c r="O904" s="46">
        <f t="shared" si="331"/>
        <v>13.655000000000005</v>
      </c>
      <c r="P904" s="46">
        <f t="shared" si="326"/>
        <v>14.955000000000005</v>
      </c>
      <c r="Q904" s="46">
        <f t="shared" si="341"/>
        <v>14.305000000000005</v>
      </c>
      <c r="R904" s="46">
        <v>13.655000000000005</v>
      </c>
      <c r="S904" s="46">
        <v>14.955000000000005</v>
      </c>
      <c r="T904" s="54">
        <v>14.3</v>
      </c>
      <c r="U904" s="46">
        <f t="shared" si="332"/>
        <v>14.3</v>
      </c>
      <c r="V904" s="18">
        <v>7.1006999999999998</v>
      </c>
      <c r="W904" s="18">
        <v>2.3353000000000002</v>
      </c>
      <c r="X904" s="23">
        <v>1.1476266666666699</v>
      </c>
      <c r="Y904" s="23">
        <f t="shared" si="333"/>
        <v>5.9530733333333297</v>
      </c>
      <c r="Z904" s="23">
        <f t="shared" si="334"/>
        <v>1.1876733333333303</v>
      </c>
      <c r="AA904" s="21">
        <f t="shared" si="335"/>
        <v>80.049408652785544</v>
      </c>
      <c r="AB904" s="21">
        <f t="shared" si="336"/>
        <v>19.950591347214456</v>
      </c>
      <c r="AC904" s="23">
        <f>Y904/J904</f>
        <v>1.1522936993283763</v>
      </c>
      <c r="AD904" s="23">
        <f>Z904/J904</f>
        <v>0.22988940707270439</v>
      </c>
      <c r="AE904" s="57">
        <v>9.3719999999999999</v>
      </c>
      <c r="AF904" s="57">
        <v>9.7449999999999992</v>
      </c>
      <c r="AG904" s="57">
        <v>9.5920000000000005</v>
      </c>
      <c r="AH904" s="58">
        <f>AG904-AE904</f>
        <v>0.22000000000000064</v>
      </c>
      <c r="AI904" s="59">
        <f>((AF904-AG904)/(AF904-AE904))*100</f>
        <v>41.018766756031894</v>
      </c>
      <c r="AJ904" s="26">
        <f t="shared" si="337"/>
        <v>2.0509383378015946</v>
      </c>
      <c r="AK904" s="26">
        <f t="shared" si="338"/>
        <v>23.710269801174508</v>
      </c>
      <c r="AL904" s="26">
        <f t="shared" si="339"/>
        <v>2.052912093944689</v>
      </c>
      <c r="AM904" s="17">
        <f t="shared" si="327"/>
        <v>0.5780346820809249</v>
      </c>
      <c r="AN904" s="52" t="s">
        <v>51</v>
      </c>
      <c r="AO904" s="39">
        <f>AO903/60</f>
        <v>1.1476266666666668</v>
      </c>
      <c r="AP904" s="18" t="s">
        <v>36</v>
      </c>
      <c r="AQ904" s="17"/>
      <c r="AR904" s="17"/>
      <c r="AS904" s="27"/>
      <c r="AT904" s="17"/>
      <c r="AU904" s="17"/>
      <c r="AV904" s="17"/>
      <c r="AW904" s="17"/>
      <c r="AX904" s="17"/>
      <c r="BB904" s="17"/>
    </row>
    <row r="905" spans="1:54" x14ac:dyDescent="0.2">
      <c r="A905" s="18" t="s">
        <v>90</v>
      </c>
      <c r="B905" s="18" t="s">
        <v>91</v>
      </c>
      <c r="C905" s="18" t="s">
        <v>92</v>
      </c>
      <c r="D905" s="18" t="str">
        <f t="shared" si="328"/>
        <v>CAT1.1A_11</v>
      </c>
      <c r="E905" s="55" t="s">
        <v>79</v>
      </c>
      <c r="F905" s="18">
        <v>11</v>
      </c>
      <c r="G905" s="46">
        <v>2.2000000000000002</v>
      </c>
      <c r="H905" s="46">
        <v>2.1</v>
      </c>
      <c r="I905" s="46">
        <v>1.4</v>
      </c>
      <c r="J905" s="23">
        <f t="shared" si="329"/>
        <v>5.0801275000000015</v>
      </c>
      <c r="K905" s="56">
        <v>9.5000000000000279E-2</v>
      </c>
      <c r="L905" s="45">
        <f t="shared" si="330"/>
        <v>15.050000000000006</v>
      </c>
      <c r="M905" s="45">
        <f t="shared" si="325"/>
        <v>16.450000000000006</v>
      </c>
      <c r="N905" s="46">
        <f t="shared" si="340"/>
        <v>15.750000000000007</v>
      </c>
      <c r="O905" s="46">
        <f t="shared" si="331"/>
        <v>15.050000000000006</v>
      </c>
      <c r="P905" s="46">
        <f t="shared" si="326"/>
        <v>16.450000000000006</v>
      </c>
      <c r="Q905" s="46">
        <f>O905+((P905-O905)/2)</f>
        <v>15.750000000000007</v>
      </c>
      <c r="R905" s="46">
        <v>15.050000000000006</v>
      </c>
      <c r="S905" s="46">
        <v>16.450000000000006</v>
      </c>
      <c r="T905" s="54">
        <v>15.8</v>
      </c>
      <c r="U905" s="46">
        <f t="shared" si="332"/>
        <v>15.8</v>
      </c>
      <c r="V905" s="18">
        <v>7.0083000000000002</v>
      </c>
      <c r="W905" s="18">
        <v>2.3062999999999998</v>
      </c>
      <c r="X905" s="23">
        <v>1.1476266666666699</v>
      </c>
      <c r="Y905" s="23">
        <f t="shared" si="333"/>
        <v>5.8606733333333301</v>
      </c>
      <c r="Z905" s="23">
        <f t="shared" si="334"/>
        <v>1.1586733333333299</v>
      </c>
      <c r="AA905" s="21">
        <f t="shared" si="335"/>
        <v>80.229689193846937</v>
      </c>
      <c r="AB905" s="21">
        <f t="shared" si="336"/>
        <v>19.770310806153063</v>
      </c>
      <c r="AC905" s="23">
        <f>Y905/J905</f>
        <v>1.1536468982979913</v>
      </c>
      <c r="AD905" s="23">
        <f>Z905/J905</f>
        <v>0.22807957739905732</v>
      </c>
      <c r="AE905" s="57">
        <v>10.276</v>
      </c>
      <c r="AF905" s="57">
        <v>10.545999999999999</v>
      </c>
      <c r="AG905" s="57">
        <v>10.382999999999999</v>
      </c>
      <c r="AH905" s="58">
        <f>AG905-AE905</f>
        <v>0.10699999999999932</v>
      </c>
      <c r="AI905" s="59">
        <f>((AF905-AG905)/(AF905-AE905))*100</f>
        <v>60.370370370370566</v>
      </c>
      <c r="AJ905" s="26">
        <f t="shared" si="337"/>
        <v>3.0185185185185284</v>
      </c>
      <c r="AK905" s="26">
        <f t="shared" si="338"/>
        <v>34.896167844144841</v>
      </c>
      <c r="AL905" s="26">
        <f t="shared" si="339"/>
        <v>3.019859938248675</v>
      </c>
      <c r="AM905" s="17">
        <f t="shared" si="327"/>
        <v>0.5780346820809249</v>
      </c>
      <c r="AN905" s="52"/>
      <c r="AO905" s="39"/>
      <c r="AP905" s="18"/>
      <c r="AQ905" s="17"/>
      <c r="AR905" s="17"/>
      <c r="AS905" s="27"/>
      <c r="AT905" s="17"/>
      <c r="AU905" s="17"/>
      <c r="AV905" s="17"/>
      <c r="AW905" s="17"/>
      <c r="AX905" s="17"/>
      <c r="BB905" s="17"/>
    </row>
    <row r="906" spans="1:54" x14ac:dyDescent="0.2">
      <c r="A906" s="18" t="s">
        <v>90</v>
      </c>
      <c r="B906" s="18" t="s">
        <v>91</v>
      </c>
      <c r="C906" s="18" t="s">
        <v>92</v>
      </c>
      <c r="D906" s="18" t="str">
        <f t="shared" si="328"/>
        <v>CAT1.1A_12</v>
      </c>
      <c r="E906" s="55" t="s">
        <v>79</v>
      </c>
      <c r="F906" s="18">
        <v>12</v>
      </c>
      <c r="G906" s="46">
        <v>2.5</v>
      </c>
      <c r="H906" s="46">
        <v>2.15</v>
      </c>
      <c r="I906" s="46">
        <v>1.4</v>
      </c>
      <c r="J906" s="23">
        <f t="shared" si="329"/>
        <v>5.9407818750000008</v>
      </c>
      <c r="K906" s="56">
        <v>9.5000000000000279E-2</v>
      </c>
      <c r="L906" s="45">
        <f t="shared" si="330"/>
        <v>16.545000000000005</v>
      </c>
      <c r="M906" s="45">
        <f t="shared" si="325"/>
        <v>17.945000000000004</v>
      </c>
      <c r="N906" s="46">
        <f t="shared" si="340"/>
        <v>17.245000000000005</v>
      </c>
      <c r="O906" s="46">
        <f t="shared" si="331"/>
        <v>16.545000000000005</v>
      </c>
      <c r="P906" s="46">
        <f t="shared" si="326"/>
        <v>17.945000000000004</v>
      </c>
      <c r="Q906" s="46">
        <f t="shared" si="341"/>
        <v>17.245000000000005</v>
      </c>
      <c r="R906" s="46">
        <v>16.545000000000005</v>
      </c>
      <c r="S906" s="46">
        <v>17.945000000000004</v>
      </c>
      <c r="T906" s="54">
        <v>17.2</v>
      </c>
      <c r="U906" s="46">
        <f t="shared" si="332"/>
        <v>17.2</v>
      </c>
      <c r="V906" s="18">
        <v>8.0769000000000002</v>
      </c>
      <c r="W906" s="18">
        <v>2.3864999999999998</v>
      </c>
      <c r="X906" s="23">
        <v>1.1476266666666699</v>
      </c>
      <c r="Y906" s="23">
        <f t="shared" si="333"/>
        <v>6.9292733333333301</v>
      </c>
      <c r="Z906" s="23">
        <f t="shared" si="334"/>
        <v>1.2388733333333299</v>
      </c>
      <c r="AA906" s="21">
        <f t="shared" si="335"/>
        <v>82.121165182303912</v>
      </c>
      <c r="AB906" s="21">
        <f t="shared" si="336"/>
        <v>17.878834817696088</v>
      </c>
      <c r="AC906" s="23">
        <f>Y906/J906</f>
        <v>1.1663908016035902</v>
      </c>
      <c r="AD906" s="23">
        <f>Z906/J906</f>
        <v>0.20853708474750721</v>
      </c>
      <c r="AE906" s="57">
        <v>9.5670000000000002</v>
      </c>
      <c r="AF906" s="57">
        <v>9.8140000000000001</v>
      </c>
      <c r="AG906" s="57">
        <v>9.6199999999999992</v>
      </c>
      <c r="AH906" s="58">
        <f>AG906-AE906</f>
        <v>5.2999999999999048E-2</v>
      </c>
      <c r="AI906" s="59">
        <f>((AF906-AG906)/(AF906-AE906))*100</f>
        <v>78.542510121457866</v>
      </c>
      <c r="AJ906" s="26">
        <f t="shared" si="337"/>
        <v>3.9271255060728936</v>
      </c>
      <c r="AK906" s="26">
        <f t="shared" si="338"/>
        <v>45.400294867894722</v>
      </c>
      <c r="AL906" s="26">
        <f t="shared" si="339"/>
        <v>3.9281566593566861</v>
      </c>
      <c r="AM906" s="17">
        <f t="shared" si="327"/>
        <v>0.5780346820809249</v>
      </c>
      <c r="AN906" s="17" t="s">
        <v>52</v>
      </c>
      <c r="AO906" s="17">
        <f>1/2.05</f>
        <v>0.48780487804878053</v>
      </c>
      <c r="AP906" s="18"/>
      <c r="AQ906" s="17"/>
      <c r="AR906" s="17"/>
      <c r="AS906" s="27"/>
      <c r="AT906" s="17"/>
      <c r="AU906" s="17"/>
      <c r="AV906" s="17"/>
      <c r="AW906" s="17"/>
      <c r="AX906" s="17"/>
      <c r="BB906" s="17"/>
    </row>
    <row r="907" spans="1:54" x14ac:dyDescent="0.2">
      <c r="A907" s="18" t="s">
        <v>90</v>
      </c>
      <c r="B907" s="18" t="s">
        <v>91</v>
      </c>
      <c r="C907" s="18" t="s">
        <v>92</v>
      </c>
      <c r="D907" s="18" t="str">
        <f t="shared" si="328"/>
        <v>CAT1.1A_13</v>
      </c>
      <c r="E907" s="55" t="s">
        <v>79</v>
      </c>
      <c r="F907" s="18">
        <v>13</v>
      </c>
      <c r="G907" s="46">
        <v>2.5</v>
      </c>
      <c r="H907" s="46">
        <v>2.2999999999999998</v>
      </c>
      <c r="I907" s="46">
        <v>1.4</v>
      </c>
      <c r="J907" s="23">
        <f t="shared" si="329"/>
        <v>6.330239999999999</v>
      </c>
      <c r="K907" s="56">
        <v>9.5000000000000279E-2</v>
      </c>
      <c r="L907" s="45">
        <f t="shared" si="330"/>
        <v>18.040000000000003</v>
      </c>
      <c r="M907" s="45">
        <f t="shared" si="325"/>
        <v>19.440000000000001</v>
      </c>
      <c r="N907" s="46">
        <f t="shared" si="340"/>
        <v>18.740000000000002</v>
      </c>
      <c r="O907" s="46">
        <f t="shared" si="331"/>
        <v>18.040000000000003</v>
      </c>
      <c r="P907" s="46">
        <f t="shared" si="326"/>
        <v>19.440000000000001</v>
      </c>
      <c r="Q907" s="46">
        <f t="shared" si="341"/>
        <v>18.740000000000002</v>
      </c>
      <c r="R907" s="46">
        <v>18.040000000000003</v>
      </c>
      <c r="S907" s="46">
        <v>19.440000000000001</v>
      </c>
      <c r="T907" s="54">
        <v>18.7</v>
      </c>
      <c r="U907" s="46">
        <f t="shared" si="332"/>
        <v>18.7</v>
      </c>
      <c r="V907" s="18">
        <v>7.5000999999999998</v>
      </c>
      <c r="W907" s="18">
        <v>2.1617000000000002</v>
      </c>
      <c r="X907" s="23">
        <v>1.1476266666666699</v>
      </c>
      <c r="Y907" s="23">
        <f t="shared" si="333"/>
        <v>6.3524733333333296</v>
      </c>
      <c r="Z907" s="23">
        <f t="shared" si="334"/>
        <v>1.0140733333333303</v>
      </c>
      <c r="AA907" s="21">
        <f t="shared" si="335"/>
        <v>84.036558988572466</v>
      </c>
      <c r="AB907" s="21">
        <f t="shared" si="336"/>
        <v>15.963441011427534</v>
      </c>
      <c r="AC907" s="23">
        <f>Y907/J907</f>
        <v>1.0035122417686109</v>
      </c>
      <c r="AD907" s="23">
        <f>Z907/J907</f>
        <v>0.16019508475718622</v>
      </c>
      <c r="AE907" s="57">
        <v>12.013999999999999</v>
      </c>
      <c r="AF907" s="57">
        <v>12.272</v>
      </c>
      <c r="AG907" s="57">
        <v>12.048</v>
      </c>
      <c r="AH907" s="58">
        <f>AG907-AE907</f>
        <v>3.4000000000000696E-2</v>
      </c>
      <c r="AI907" s="59">
        <f>((AF907-AG907)/(AF907-AE907))*100</f>
        <v>86.82170542635636</v>
      </c>
      <c r="AJ907" s="26">
        <f t="shared" si="337"/>
        <v>4.3410852713178185</v>
      </c>
      <c r="AK907" s="26">
        <f t="shared" si="338"/>
        <v>50.18595689384761</v>
      </c>
      <c r="AL907" s="26">
        <f t="shared" si="339"/>
        <v>4.342018117517763</v>
      </c>
      <c r="AM907" s="17">
        <f t="shared" si="327"/>
        <v>0.5780346820809249</v>
      </c>
      <c r="AN907" s="17" t="s">
        <v>53</v>
      </c>
      <c r="AO907" s="17">
        <f>1/1.73</f>
        <v>0.5780346820809249</v>
      </c>
      <c r="AP907" s="18"/>
      <c r="AQ907" s="17"/>
      <c r="AR907" s="17"/>
      <c r="AS907" s="27"/>
      <c r="AT907" s="17"/>
      <c r="AU907" s="17"/>
      <c r="AV907" s="17"/>
      <c r="AW907" s="17"/>
      <c r="AX907" s="17"/>
      <c r="BB907" s="17"/>
    </row>
    <row r="908" spans="1:54" x14ac:dyDescent="0.2">
      <c r="A908" s="18" t="s">
        <v>90</v>
      </c>
      <c r="B908" s="18" t="s">
        <v>91</v>
      </c>
      <c r="C908" s="18" t="s">
        <v>92</v>
      </c>
      <c r="D908" s="18" t="str">
        <f t="shared" si="328"/>
        <v>CAT1.1A_14</v>
      </c>
      <c r="E908" s="55" t="s">
        <v>79</v>
      </c>
      <c r="F908" s="18">
        <v>14</v>
      </c>
      <c r="G908" s="46">
        <v>2.4</v>
      </c>
      <c r="H908" s="46">
        <v>2.35</v>
      </c>
      <c r="I908" s="46">
        <v>1.4</v>
      </c>
      <c r="J908" s="23">
        <f t="shared" si="329"/>
        <v>6.1990468750000005</v>
      </c>
      <c r="K908" s="56">
        <v>9.5000000000000279E-2</v>
      </c>
      <c r="L908" s="45">
        <f t="shared" si="330"/>
        <v>19.535</v>
      </c>
      <c r="M908" s="45">
        <f t="shared" si="325"/>
        <v>20.934999999999999</v>
      </c>
      <c r="N908" s="46">
        <f t="shared" si="340"/>
        <v>20.234999999999999</v>
      </c>
      <c r="O908" s="46">
        <f t="shared" si="331"/>
        <v>19.535</v>
      </c>
      <c r="P908" s="46">
        <f t="shared" si="326"/>
        <v>20.934999999999999</v>
      </c>
      <c r="Q908" s="46">
        <f t="shared" si="341"/>
        <v>20.234999999999999</v>
      </c>
      <c r="R908" s="46">
        <v>19.535</v>
      </c>
      <c r="S908" s="46">
        <v>20.934999999999999</v>
      </c>
      <c r="T908" s="54">
        <v>20.2</v>
      </c>
      <c r="U908" s="46">
        <f t="shared" si="332"/>
        <v>20.2</v>
      </c>
      <c r="V908" s="18">
        <v>7.8217999999999996</v>
      </c>
      <c r="W908" s="18">
        <v>2.2130000000000001</v>
      </c>
      <c r="X908" s="23">
        <v>1.1476266666666699</v>
      </c>
      <c r="Y908" s="23">
        <f t="shared" si="333"/>
        <v>6.6741733333333295</v>
      </c>
      <c r="Z908" s="23">
        <f t="shared" si="334"/>
        <v>1.0653733333333302</v>
      </c>
      <c r="AA908" s="21">
        <f t="shared" si="335"/>
        <v>84.037373916969543</v>
      </c>
      <c r="AB908" s="21">
        <f t="shared" si="336"/>
        <v>15.962626083030457</v>
      </c>
      <c r="AC908" s="23">
        <f>Y908/J908</f>
        <v>1.0766450823673324</v>
      </c>
      <c r="AD908" s="23">
        <f>Z908/J908</f>
        <v>0.17186082873963268</v>
      </c>
      <c r="AE908" s="57">
        <v>12.151999999999999</v>
      </c>
      <c r="AF908" s="57">
        <v>12.327999999999999</v>
      </c>
      <c r="AG908" s="57">
        <v>12.173999999999999</v>
      </c>
      <c r="AH908" s="58">
        <f>AG908-AE908</f>
        <v>2.2000000000000242E-2</v>
      </c>
      <c r="AI908" s="59">
        <f>((AF908-AG908)/(AF908-AE908))*100</f>
        <v>87.499999999999872</v>
      </c>
      <c r="AJ908" s="26">
        <f t="shared" si="337"/>
        <v>4.3749999999999938</v>
      </c>
      <c r="AK908" s="26">
        <f t="shared" si="338"/>
        <v>50.578034682080855</v>
      </c>
      <c r="AL908" s="26">
        <f t="shared" si="339"/>
        <v>4.3759256163696323</v>
      </c>
      <c r="AM908" s="17">
        <f t="shared" si="327"/>
        <v>0.5780346820809249</v>
      </c>
      <c r="AN908" s="52"/>
      <c r="AO908" s="18"/>
      <c r="AP908" s="18"/>
      <c r="AQ908" s="17"/>
      <c r="AR908" s="17"/>
      <c r="AS908" s="27"/>
      <c r="AT908" s="17"/>
      <c r="AU908" s="17"/>
      <c r="AV908" s="17"/>
      <c r="AW908" s="17"/>
      <c r="AX908" s="17"/>
      <c r="BB908" s="17"/>
    </row>
    <row r="909" spans="1:54" x14ac:dyDescent="0.2">
      <c r="A909" s="18" t="s">
        <v>90</v>
      </c>
      <c r="B909" s="18" t="s">
        <v>91</v>
      </c>
      <c r="C909" s="18" t="s">
        <v>92</v>
      </c>
      <c r="D909" s="18" t="str">
        <f t="shared" si="328"/>
        <v>CAT1.1A_15</v>
      </c>
      <c r="E909" s="55" t="s">
        <v>79</v>
      </c>
      <c r="F909" s="18">
        <v>15</v>
      </c>
      <c r="G909" s="46">
        <v>2.4</v>
      </c>
      <c r="H909" s="46">
        <v>2.4</v>
      </c>
      <c r="I909" s="46">
        <v>1.4</v>
      </c>
      <c r="J909" s="23">
        <f t="shared" si="329"/>
        <v>6.330239999999999</v>
      </c>
      <c r="K909" s="56">
        <v>9.5000000000000279E-2</v>
      </c>
      <c r="L909" s="45">
        <f t="shared" si="330"/>
        <v>21.029999999999998</v>
      </c>
      <c r="M909" s="45">
        <f t="shared" si="325"/>
        <v>22.429999999999996</v>
      </c>
      <c r="N909" s="46">
        <f t="shared" si="340"/>
        <v>21.729999999999997</v>
      </c>
      <c r="O909" s="46">
        <f t="shared" si="331"/>
        <v>21.029999999999998</v>
      </c>
      <c r="P909" s="46">
        <f t="shared" si="326"/>
        <v>22.429999999999996</v>
      </c>
      <c r="Q909" s="46">
        <f t="shared" si="341"/>
        <v>21.729999999999997</v>
      </c>
      <c r="R909" s="46">
        <v>21.029999999999998</v>
      </c>
      <c r="S909" s="46">
        <v>22.429999999999996</v>
      </c>
      <c r="T909" s="54">
        <v>21.7</v>
      </c>
      <c r="U909" s="46">
        <f t="shared" si="332"/>
        <v>21.7</v>
      </c>
      <c r="V909" s="18">
        <v>7.4737</v>
      </c>
      <c r="W909" s="18">
        <v>2.5602999999999998</v>
      </c>
      <c r="X909" s="23">
        <v>1.1476266666666699</v>
      </c>
      <c r="Y909" s="23">
        <f t="shared" si="333"/>
        <v>6.3260733333333299</v>
      </c>
      <c r="Z909" s="23">
        <f t="shared" si="334"/>
        <v>1.4126733333333299</v>
      </c>
      <c r="AA909" s="21">
        <f t="shared" si="335"/>
        <v>77.669033239155254</v>
      </c>
      <c r="AB909" s="21">
        <f t="shared" si="336"/>
        <v>22.330966760844746</v>
      </c>
      <c r="AC909" s="23">
        <f>Y909/J909</f>
        <v>0.99934178377649674</v>
      </c>
      <c r="AD909" s="23">
        <f>Z909/J909</f>
        <v>0.22316268156236257</v>
      </c>
      <c r="AE909" s="57">
        <v>13.227</v>
      </c>
      <c r="AF909" s="57">
        <v>13.478999999999999</v>
      </c>
      <c r="AG909" s="57">
        <v>13.29</v>
      </c>
      <c r="AH909" s="58">
        <f>AG909-AE909</f>
        <v>6.2999999999998835E-2</v>
      </c>
      <c r="AI909" s="59">
        <f>((AF909-AG909)/(AF909-AE909))*100</f>
        <v>75.000000000000355</v>
      </c>
      <c r="AJ909" s="26">
        <f t="shared" si="337"/>
        <v>3.7500000000000178</v>
      </c>
      <c r="AK909" s="26">
        <f t="shared" si="338"/>
        <v>43.352601156069575</v>
      </c>
      <c r="AL909" s="26">
        <f t="shared" si="339"/>
        <v>3.7510798445247917</v>
      </c>
      <c r="AM909" s="17">
        <f t="shared" si="327"/>
        <v>0.5780346820809249</v>
      </c>
      <c r="AN909" s="52"/>
      <c r="AO909" s="18"/>
      <c r="AP909" s="18"/>
      <c r="AQ909" s="17"/>
      <c r="AR909" s="17"/>
      <c r="AS909" s="27"/>
      <c r="AT909" s="17"/>
      <c r="AU909" s="17"/>
      <c r="AV909" s="17"/>
      <c r="AW909" s="17"/>
      <c r="AX909" s="17"/>
      <c r="BB909" s="17"/>
    </row>
    <row r="910" spans="1:54" x14ac:dyDescent="0.2">
      <c r="A910" s="18" t="s">
        <v>90</v>
      </c>
      <c r="B910" s="18" t="s">
        <v>91</v>
      </c>
      <c r="C910" s="18" t="s">
        <v>92</v>
      </c>
      <c r="D910" s="18" t="str">
        <f t="shared" si="328"/>
        <v>CAT1.1A_16</v>
      </c>
      <c r="E910" s="55" t="s">
        <v>79</v>
      </c>
      <c r="F910" s="18">
        <v>16</v>
      </c>
      <c r="G910" s="46">
        <v>2.5</v>
      </c>
      <c r="H910" s="46">
        <v>2.4500000000000002</v>
      </c>
      <c r="I910" s="46">
        <v>1.4</v>
      </c>
      <c r="J910" s="23">
        <f t="shared" si="329"/>
        <v>6.7320618750000003</v>
      </c>
      <c r="K910" s="56">
        <v>9.5000000000000279E-2</v>
      </c>
      <c r="L910" s="45">
        <f t="shared" si="330"/>
        <v>22.524999999999995</v>
      </c>
      <c r="M910" s="45">
        <f t="shared" si="325"/>
        <v>23.924999999999994</v>
      </c>
      <c r="N910" s="46">
        <f t="shared" si="340"/>
        <v>23.224999999999994</v>
      </c>
      <c r="O910" s="46">
        <f t="shared" si="331"/>
        <v>22.524999999999995</v>
      </c>
      <c r="P910" s="46">
        <f t="shared" si="326"/>
        <v>23.924999999999994</v>
      </c>
      <c r="Q910" s="46">
        <f t="shared" si="341"/>
        <v>23.224999999999994</v>
      </c>
      <c r="R910" s="46">
        <v>22.524999999999995</v>
      </c>
      <c r="S910" s="46">
        <v>23.924999999999994</v>
      </c>
      <c r="T910" s="54">
        <v>23.2</v>
      </c>
      <c r="U910" s="46">
        <f t="shared" si="332"/>
        <v>23.2</v>
      </c>
      <c r="V910" s="18">
        <v>7.4100999999999999</v>
      </c>
      <c r="W910" s="18">
        <v>2.6271</v>
      </c>
      <c r="X910" s="23">
        <v>1.1476266666666699</v>
      </c>
      <c r="Y910" s="23">
        <f t="shared" si="333"/>
        <v>6.2624733333333298</v>
      </c>
      <c r="Z910" s="23">
        <f t="shared" si="334"/>
        <v>1.4794733333333301</v>
      </c>
      <c r="AA910" s="21">
        <f t="shared" si="335"/>
        <v>76.375574719679491</v>
      </c>
      <c r="AB910" s="21">
        <f t="shared" si="336"/>
        <v>23.624425280320509</v>
      </c>
      <c r="AC910" s="23">
        <f>Y910/J910</f>
        <v>0.93024595578799985</v>
      </c>
      <c r="AD910" s="23">
        <f>Z910/J910</f>
        <v>0.21976526074833946</v>
      </c>
      <c r="AE910" s="57">
        <v>10.608000000000001</v>
      </c>
      <c r="AF910" s="57">
        <v>10.922000000000001</v>
      </c>
      <c r="AG910" s="57">
        <v>10.717000000000001</v>
      </c>
      <c r="AH910" s="58">
        <f>AG910-AE910</f>
        <v>0.10899999999999999</v>
      </c>
      <c r="AI910" s="59">
        <f>((AF910-AG910)/(AF910-AE910))*100</f>
        <v>65.28662420382166</v>
      </c>
      <c r="AJ910" s="26">
        <f t="shared" si="337"/>
        <v>3.2643312101910831</v>
      </c>
      <c r="AK910" s="26">
        <f t="shared" si="338"/>
        <v>37.737933065792873</v>
      </c>
      <c r="AL910" s="26">
        <f t="shared" si="339"/>
        <v>3.2655716574326741</v>
      </c>
      <c r="AM910" s="17">
        <f t="shared" si="327"/>
        <v>0.5780346820809249</v>
      </c>
      <c r="AN910" s="52"/>
      <c r="AO910" s="39"/>
      <c r="AP910" s="18"/>
      <c r="AQ910" s="17"/>
      <c r="AR910" s="17"/>
      <c r="AS910" s="27"/>
      <c r="AT910" s="17"/>
      <c r="AU910" s="17"/>
      <c r="AV910" s="17"/>
      <c r="AW910" s="17"/>
      <c r="AX910" s="17"/>
      <c r="BB910" s="17"/>
    </row>
    <row r="911" spans="1:54" x14ac:dyDescent="0.2">
      <c r="A911" s="18" t="s">
        <v>90</v>
      </c>
      <c r="B911" s="18" t="s">
        <v>91</v>
      </c>
      <c r="C911" s="18" t="s">
        <v>92</v>
      </c>
      <c r="D911" s="18" t="str">
        <f t="shared" si="328"/>
        <v>CAT1.1A_17</v>
      </c>
      <c r="E911" s="55" t="s">
        <v>79</v>
      </c>
      <c r="F911" s="18">
        <v>17</v>
      </c>
      <c r="G911" s="46">
        <v>2.4</v>
      </c>
      <c r="H911" s="46">
        <v>2.2000000000000002</v>
      </c>
      <c r="I911" s="46">
        <v>1.45</v>
      </c>
      <c r="J911" s="23">
        <f t="shared" si="329"/>
        <v>6.0213424999999994</v>
      </c>
      <c r="K911" s="56">
        <v>9.5000000000000279E-2</v>
      </c>
      <c r="L911" s="45">
        <f t="shared" si="330"/>
        <v>24.019999999999992</v>
      </c>
      <c r="M911" s="45">
        <f t="shared" si="325"/>
        <v>25.469999999999992</v>
      </c>
      <c r="N911" s="46">
        <f t="shared" si="340"/>
        <v>24.74499999999999</v>
      </c>
      <c r="O911" s="46">
        <f t="shared" si="331"/>
        <v>24.019999999999992</v>
      </c>
      <c r="P911" s="46">
        <f t="shared" si="326"/>
        <v>25.469999999999992</v>
      </c>
      <c r="Q911" s="46">
        <f t="shared" si="341"/>
        <v>24.74499999999999</v>
      </c>
      <c r="R911" s="46">
        <v>24.019999999999992</v>
      </c>
      <c r="S911" s="46">
        <v>25.469999999999992</v>
      </c>
      <c r="T911" s="54">
        <v>24.7</v>
      </c>
      <c r="U911" s="46">
        <f t="shared" si="332"/>
        <v>24.7</v>
      </c>
      <c r="V911" s="18">
        <v>7.1280999999999999</v>
      </c>
      <c r="W911" s="18">
        <v>3.0406</v>
      </c>
      <c r="X911" s="23">
        <v>1.1476266666666699</v>
      </c>
      <c r="Y911" s="23">
        <f t="shared" si="333"/>
        <v>5.9804733333333298</v>
      </c>
      <c r="Z911" s="23">
        <f t="shared" si="334"/>
        <v>1.8929733333333301</v>
      </c>
      <c r="AA911" s="21">
        <f t="shared" si="335"/>
        <v>68.347432923369539</v>
      </c>
      <c r="AB911" s="21">
        <f t="shared" si="336"/>
        <v>31.652567076630461</v>
      </c>
      <c r="AC911" s="23">
        <f>Y911/J911</f>
        <v>0.99321261551445217</v>
      </c>
      <c r="AD911" s="23">
        <f>Z911/J911</f>
        <v>0.31437728933926784</v>
      </c>
      <c r="AE911" s="57">
        <v>12.015000000000001</v>
      </c>
      <c r="AF911" s="57">
        <v>12.516999999999999</v>
      </c>
      <c r="AG911" s="57">
        <v>12.355</v>
      </c>
      <c r="AH911" s="58">
        <f>AG911-AE911</f>
        <v>0.33999999999999986</v>
      </c>
      <c r="AI911" s="59">
        <f>((AF911-AG911)/(AF911-AE911))*100</f>
        <v>32.27091633466123</v>
      </c>
      <c r="AJ911" s="26">
        <f t="shared" si="337"/>
        <v>1.6135458167330616</v>
      </c>
      <c r="AK911" s="26">
        <f t="shared" si="338"/>
        <v>18.653708863966031</v>
      </c>
      <c r="AL911" s="26">
        <f t="shared" si="339"/>
        <v>1.616053867510846</v>
      </c>
      <c r="AM911" s="17">
        <f t="shared" si="327"/>
        <v>0.5780346820809249</v>
      </c>
      <c r="AN911" s="52"/>
      <c r="AO911" s="39"/>
      <c r="AP911" s="18"/>
      <c r="AQ911" s="17"/>
      <c r="AR911" s="17"/>
      <c r="AS911" s="27"/>
      <c r="AT911" s="17"/>
      <c r="AU911" s="17"/>
      <c r="AV911" s="17"/>
      <c r="AW911" s="17"/>
      <c r="AX911" s="17"/>
      <c r="BB911" s="17"/>
    </row>
    <row r="912" spans="1:54" x14ac:dyDescent="0.2">
      <c r="A912" s="18" t="s">
        <v>90</v>
      </c>
      <c r="B912" s="18" t="s">
        <v>91</v>
      </c>
      <c r="C912" s="18" t="s">
        <v>92</v>
      </c>
      <c r="D912" s="18" t="str">
        <f t="shared" si="328"/>
        <v>CAT1.1A_18</v>
      </c>
      <c r="E912" s="55" t="s">
        <v>79</v>
      </c>
      <c r="F912" s="18">
        <v>18</v>
      </c>
      <c r="G912" s="46">
        <v>2.2000000000000002</v>
      </c>
      <c r="H912" s="46">
        <v>2.5</v>
      </c>
      <c r="I912" s="46">
        <v>1.4</v>
      </c>
      <c r="J912" s="23">
        <f t="shared" si="329"/>
        <v>6.0692275000000002</v>
      </c>
      <c r="K912" s="56">
        <v>9.5000000000000279E-2</v>
      </c>
      <c r="L912" s="45">
        <f t="shared" si="330"/>
        <v>25.564999999999991</v>
      </c>
      <c r="M912" s="45">
        <f t="shared" si="325"/>
        <v>26.964999999999989</v>
      </c>
      <c r="N912" s="46">
        <f t="shared" si="340"/>
        <v>26.26499999999999</v>
      </c>
      <c r="O912" s="46">
        <f t="shared" si="331"/>
        <v>25.564999999999991</v>
      </c>
      <c r="P912" s="46">
        <f t="shared" si="326"/>
        <v>26.964999999999989</v>
      </c>
      <c r="Q912" s="46">
        <f t="shared" si="341"/>
        <v>26.26499999999999</v>
      </c>
      <c r="R912" s="46">
        <v>25.564999999999991</v>
      </c>
      <c r="S912" s="46">
        <v>26.964999999999989</v>
      </c>
      <c r="T912" s="54">
        <v>26.3</v>
      </c>
      <c r="U912" s="46">
        <f t="shared" si="332"/>
        <v>26.3</v>
      </c>
      <c r="V912" s="18">
        <v>7.7240000000000002</v>
      </c>
      <c r="W912" s="18">
        <v>2.6812999999999998</v>
      </c>
      <c r="X912" s="23">
        <v>1.1476266666666699</v>
      </c>
      <c r="Y912" s="23">
        <f t="shared" si="333"/>
        <v>6.5763733333333301</v>
      </c>
      <c r="Z912" s="23">
        <f t="shared" si="334"/>
        <v>1.5336733333333299</v>
      </c>
      <c r="AA912" s="21">
        <f t="shared" si="335"/>
        <v>76.679040930360841</v>
      </c>
      <c r="AB912" s="21">
        <f t="shared" si="336"/>
        <v>23.320959069639159</v>
      </c>
      <c r="AC912" s="23">
        <f>Y912/J912</f>
        <v>1.08356019498912</v>
      </c>
      <c r="AD912" s="23">
        <f>Z912/J912</f>
        <v>0.2526966295683149</v>
      </c>
      <c r="AE912" s="57">
        <v>12.28</v>
      </c>
      <c r="AF912" s="57">
        <v>12.835000000000001</v>
      </c>
      <c r="AG912" s="57">
        <v>12.581</v>
      </c>
      <c r="AH912" s="58">
        <f>AG912-AE912</f>
        <v>0.30100000000000016</v>
      </c>
      <c r="AI912" s="59">
        <f>((AF912-AG912)/(AF912-AE912))*100</f>
        <v>45.765765765765885</v>
      </c>
      <c r="AJ912" s="26">
        <f t="shared" si="337"/>
        <v>2.2882882882882942</v>
      </c>
      <c r="AK912" s="26">
        <f t="shared" si="338"/>
        <v>26.454199864604561</v>
      </c>
      <c r="AL912" s="26">
        <f t="shared" si="339"/>
        <v>2.2900574862473149</v>
      </c>
      <c r="AM912" s="17">
        <f t="shared" si="327"/>
        <v>0.5780346820809249</v>
      </c>
      <c r="AN912" s="52"/>
      <c r="AO912" s="39"/>
      <c r="AP912" s="18"/>
      <c r="AQ912" s="17"/>
      <c r="AR912" s="17"/>
      <c r="AS912" s="27"/>
      <c r="AT912" s="17"/>
      <c r="AU912" s="17"/>
      <c r="AV912" s="17"/>
      <c r="AW912" s="17"/>
      <c r="AX912" s="17"/>
      <c r="BB912" s="17"/>
    </row>
    <row r="913" spans="1:54" x14ac:dyDescent="0.2">
      <c r="A913" s="18" t="s">
        <v>90</v>
      </c>
      <c r="B913" s="18" t="s">
        <v>91</v>
      </c>
      <c r="C913" s="18" t="s">
        <v>92</v>
      </c>
      <c r="D913" s="18" t="str">
        <f t="shared" si="328"/>
        <v>CAT1.1A_19</v>
      </c>
      <c r="E913" s="55" t="s">
        <v>79</v>
      </c>
      <c r="F913" s="18">
        <v>19</v>
      </c>
      <c r="G913" s="46">
        <v>2.5</v>
      </c>
      <c r="H913" s="46">
        <v>2.2999999999999998</v>
      </c>
      <c r="I913" s="46">
        <v>1.4</v>
      </c>
      <c r="J913" s="23">
        <f t="shared" si="329"/>
        <v>6.330239999999999</v>
      </c>
      <c r="K913" s="56">
        <v>9.5000000000000279E-2</v>
      </c>
      <c r="L913" s="45">
        <f t="shared" si="330"/>
        <v>27.059999999999988</v>
      </c>
      <c r="M913" s="45">
        <f t="shared" si="325"/>
        <v>28.459999999999987</v>
      </c>
      <c r="N913" s="46">
        <f t="shared" si="340"/>
        <v>27.759999999999987</v>
      </c>
      <c r="O913" s="46">
        <f t="shared" si="331"/>
        <v>27.059999999999988</v>
      </c>
      <c r="P913" s="46">
        <f t="shared" si="326"/>
        <v>28.459999999999987</v>
      </c>
      <c r="Q913" s="46">
        <f t="shared" si="341"/>
        <v>27.759999999999987</v>
      </c>
      <c r="R913" s="46">
        <v>27.059999999999988</v>
      </c>
      <c r="S913" s="46">
        <v>28.459999999999987</v>
      </c>
      <c r="T913" s="54">
        <v>27.8</v>
      </c>
      <c r="U913" s="46">
        <f t="shared" si="332"/>
        <v>27.8</v>
      </c>
      <c r="V913" s="18">
        <v>8.3336000000000006</v>
      </c>
      <c r="W913" s="18">
        <v>2.5600999999999998</v>
      </c>
      <c r="X913" s="23">
        <v>1.1476266666666699</v>
      </c>
      <c r="Y913" s="23">
        <f t="shared" si="333"/>
        <v>7.1859733333333304</v>
      </c>
      <c r="Z913" s="23">
        <f t="shared" si="334"/>
        <v>1.4124733333333299</v>
      </c>
      <c r="AA913" s="21">
        <f t="shared" si="335"/>
        <v>80.344022057786688</v>
      </c>
      <c r="AB913" s="21">
        <f t="shared" si="336"/>
        <v>19.655977942213312</v>
      </c>
      <c r="AC913" s="23">
        <f>Y913/J913</f>
        <v>1.1351818151181206</v>
      </c>
      <c r="AD913" s="23">
        <f>Z913/J913</f>
        <v>0.22313108718363445</v>
      </c>
      <c r="AE913" s="57">
        <v>10.026999999999999</v>
      </c>
      <c r="AF913" s="57">
        <v>10.25</v>
      </c>
      <c r="AG913" s="57">
        <v>10.081</v>
      </c>
      <c r="AH913" s="58">
        <f>AG913-AE913</f>
        <v>5.400000000000027E-2</v>
      </c>
      <c r="AI913" s="59">
        <f>((AF913-AG913)/(AF913-AE913))*100</f>
        <v>75.78475336322866</v>
      </c>
      <c r="AJ913" s="26">
        <f t="shared" si="337"/>
        <v>3.7892376681614333</v>
      </c>
      <c r="AK913" s="26">
        <f t="shared" si="338"/>
        <v>43.806215816895183</v>
      </c>
      <c r="AL913" s="26">
        <f t="shared" si="339"/>
        <v>3.7903063340333718</v>
      </c>
      <c r="AM913" s="17">
        <f t="shared" si="327"/>
        <v>0.5780346820809249</v>
      </c>
      <c r="AN913" s="52"/>
      <c r="AO913" s="39"/>
      <c r="AP913" s="18"/>
      <c r="AQ913" s="17"/>
      <c r="AR913" s="17"/>
      <c r="AS913" s="27"/>
      <c r="AT913" s="17"/>
      <c r="AU913" s="17"/>
      <c r="AV913" s="17"/>
      <c r="AW913" s="17"/>
      <c r="AX913" s="17"/>
      <c r="BB913" s="17"/>
    </row>
    <row r="914" spans="1:54" x14ac:dyDescent="0.2">
      <c r="A914" s="18" t="s">
        <v>90</v>
      </c>
      <c r="B914" s="18" t="s">
        <v>91</v>
      </c>
      <c r="C914" s="18" t="s">
        <v>92</v>
      </c>
      <c r="D914" s="18" t="str">
        <f t="shared" si="328"/>
        <v>CAT1.1A_20</v>
      </c>
      <c r="E914" s="55" t="s">
        <v>79</v>
      </c>
      <c r="F914" s="18">
        <v>20</v>
      </c>
      <c r="G914" s="46">
        <v>2.5</v>
      </c>
      <c r="H914" s="46">
        <v>2.2999999999999998</v>
      </c>
      <c r="I914" s="46">
        <v>1.4</v>
      </c>
      <c r="J914" s="23">
        <f t="shared" si="329"/>
        <v>6.330239999999999</v>
      </c>
      <c r="K914" s="56">
        <v>9.5000000000000279E-2</v>
      </c>
      <c r="L914" s="45">
        <f t="shared" si="330"/>
        <v>28.554999999999986</v>
      </c>
      <c r="M914" s="45">
        <f t="shared" si="325"/>
        <v>29.954999999999984</v>
      </c>
      <c r="N914" s="46">
        <f t="shared" si="340"/>
        <v>29.254999999999985</v>
      </c>
      <c r="O914" s="46">
        <f t="shared" si="331"/>
        <v>28.554999999999986</v>
      </c>
      <c r="P914" s="46">
        <f t="shared" si="326"/>
        <v>29.954999999999984</v>
      </c>
      <c r="Q914" s="46">
        <f t="shared" si="341"/>
        <v>29.254999999999985</v>
      </c>
      <c r="R914" s="46">
        <v>28.554999999999986</v>
      </c>
      <c r="S914" s="46">
        <v>29.954999999999984</v>
      </c>
      <c r="T914" s="54">
        <v>29.3</v>
      </c>
      <c r="U914" s="46">
        <f t="shared" si="332"/>
        <v>29.3</v>
      </c>
      <c r="V914" s="18">
        <v>7.7694000000000001</v>
      </c>
      <c r="W914" s="18">
        <v>2.3506</v>
      </c>
      <c r="X914" s="23">
        <v>1.1476266666666699</v>
      </c>
      <c r="Y914" s="23">
        <f t="shared" si="333"/>
        <v>6.62177333333333</v>
      </c>
      <c r="Z914" s="23">
        <f t="shared" si="334"/>
        <v>1.2029733333333301</v>
      </c>
      <c r="AA914" s="21">
        <f t="shared" si="335"/>
        <v>81.833063851979276</v>
      </c>
      <c r="AB914" s="21">
        <f t="shared" si="336"/>
        <v>18.166936148020724</v>
      </c>
      <c r="AC914" s="23">
        <f>Y914/J914</f>
        <v>1.0460540727260468</v>
      </c>
      <c r="AD914" s="23">
        <f>Z914/J914</f>
        <v>0.19003597546591131</v>
      </c>
      <c r="AE914" s="57">
        <v>12.744999999999999</v>
      </c>
      <c r="AF914" s="57">
        <v>12.967000000000001</v>
      </c>
      <c r="AG914" s="57">
        <v>12.785</v>
      </c>
      <c r="AH914" s="58">
        <f>AG914-AE914</f>
        <v>4.0000000000000924E-2</v>
      </c>
      <c r="AI914" s="59">
        <f>((AF914-AG914)/(AF914-AE914))*100</f>
        <v>81.981981981981676</v>
      </c>
      <c r="AJ914" s="26">
        <f t="shared" si="337"/>
        <v>4.0990990990990843</v>
      </c>
      <c r="AK914" s="26">
        <f t="shared" si="338"/>
        <v>47.388428891318888</v>
      </c>
      <c r="AL914" s="26">
        <f t="shared" si="339"/>
        <v>4.1000870020323861</v>
      </c>
      <c r="AM914" s="17">
        <f t="shared" si="327"/>
        <v>0.5780346820809249</v>
      </c>
      <c r="AN914" s="52"/>
      <c r="AO914" s="39"/>
      <c r="AP914" s="18"/>
      <c r="AQ914" s="17"/>
      <c r="AR914" s="17"/>
      <c r="AS914" s="27"/>
      <c r="AT914" s="17"/>
      <c r="AU914" s="17"/>
      <c r="AV914" s="17"/>
      <c r="AW914" s="17"/>
      <c r="AX914" s="17"/>
      <c r="BB914" s="17"/>
    </row>
    <row r="915" spans="1:54" x14ac:dyDescent="0.2">
      <c r="A915" s="18" t="s">
        <v>90</v>
      </c>
      <c r="B915" s="18" t="s">
        <v>91</v>
      </c>
      <c r="C915" s="18" t="s">
        <v>92</v>
      </c>
      <c r="D915" s="18" t="str">
        <f t="shared" si="328"/>
        <v>CAT1.1A_21</v>
      </c>
      <c r="E915" s="55" t="s">
        <v>79</v>
      </c>
      <c r="F915" s="18">
        <v>21</v>
      </c>
      <c r="G915" s="46">
        <v>2.4</v>
      </c>
      <c r="H915" s="46">
        <v>2.4500000000000002</v>
      </c>
      <c r="I915" s="46">
        <v>1.4</v>
      </c>
      <c r="J915" s="23">
        <f t="shared" si="329"/>
        <v>6.4628068749999992</v>
      </c>
      <c r="K915" s="56">
        <v>9.5000000000000279E-2</v>
      </c>
      <c r="L915" s="45">
        <f t="shared" si="330"/>
        <v>30.049999999999983</v>
      </c>
      <c r="M915" s="45">
        <f t="shared" si="325"/>
        <v>31.449999999999982</v>
      </c>
      <c r="N915" s="46">
        <f t="shared" si="340"/>
        <v>30.749999999999982</v>
      </c>
      <c r="O915" s="46">
        <f t="shared" si="331"/>
        <v>30.049999999999983</v>
      </c>
      <c r="P915" s="46">
        <f t="shared" si="326"/>
        <v>31.449999999999982</v>
      </c>
      <c r="Q915" s="46">
        <f t="shared" si="341"/>
        <v>30.749999999999982</v>
      </c>
      <c r="R915" s="46">
        <v>30.049999999999983</v>
      </c>
      <c r="S915" s="46">
        <v>31.449999999999982</v>
      </c>
      <c r="T915" s="54">
        <v>30.8</v>
      </c>
      <c r="U915" s="46">
        <f t="shared" si="332"/>
        <v>30.8</v>
      </c>
      <c r="V915" s="18">
        <v>8.5629000000000008</v>
      </c>
      <c r="W915" s="18">
        <v>2.5182000000000002</v>
      </c>
      <c r="X915" s="23">
        <v>1.1476266666666699</v>
      </c>
      <c r="Y915" s="23">
        <f t="shared" si="333"/>
        <v>7.4152733333333307</v>
      </c>
      <c r="Z915" s="23">
        <f t="shared" si="334"/>
        <v>1.3705733333333303</v>
      </c>
      <c r="AA915" s="21">
        <f t="shared" si="335"/>
        <v>81.516887217463804</v>
      </c>
      <c r="AB915" s="21">
        <f t="shared" si="336"/>
        <v>18.483112782536196</v>
      </c>
      <c r="AC915" s="23">
        <f>Y915/J915</f>
        <v>1.1473765929812549</v>
      </c>
      <c r="AD915" s="23">
        <f>Z915/J915</f>
        <v>0.21207090972114659</v>
      </c>
      <c r="AE915" s="57">
        <v>12.406000000000001</v>
      </c>
      <c r="AF915" s="57">
        <v>12.717000000000001</v>
      </c>
      <c r="AG915" s="57">
        <v>12.516999999999999</v>
      </c>
      <c r="AH915" s="58">
        <f>AG915-AE915</f>
        <v>0.11099999999999888</v>
      </c>
      <c r="AI915" s="59">
        <f>((AF915-AG915)/(AF915-AE915))*100</f>
        <v>64.308681672026083</v>
      </c>
      <c r="AJ915" s="26">
        <f t="shared" si="337"/>
        <v>3.2154340836013042</v>
      </c>
      <c r="AK915" s="26">
        <f t="shared" si="338"/>
        <v>37.172648365332996</v>
      </c>
      <c r="AL915" s="26">
        <f t="shared" si="339"/>
        <v>3.2166933870023979</v>
      </c>
      <c r="AM915" s="17">
        <f t="shared" si="327"/>
        <v>0.5780346820809249</v>
      </c>
      <c r="AN915" s="52"/>
      <c r="AO915" s="39"/>
      <c r="AP915" s="18"/>
      <c r="AQ915" s="17"/>
      <c r="AR915" s="17"/>
      <c r="AS915" s="27"/>
      <c r="AT915" s="17"/>
      <c r="AU915" s="17"/>
      <c r="AV915" s="17"/>
      <c r="AW915" s="17"/>
      <c r="AX915" s="17"/>
      <c r="BB915" s="17"/>
    </row>
    <row r="916" spans="1:54" x14ac:dyDescent="0.2">
      <c r="A916" s="18" t="s">
        <v>90</v>
      </c>
      <c r="B916" s="18" t="s">
        <v>91</v>
      </c>
      <c r="C916" s="18" t="s">
        <v>92</v>
      </c>
      <c r="D916" s="18" t="str">
        <f t="shared" si="328"/>
        <v>CAT1.1A_22</v>
      </c>
      <c r="E916" s="55" t="s">
        <v>79</v>
      </c>
      <c r="F916" s="18">
        <v>22</v>
      </c>
      <c r="G916" s="46">
        <v>2.2000000000000002</v>
      </c>
      <c r="H916" s="46">
        <v>2.2999999999999998</v>
      </c>
      <c r="I916" s="46">
        <v>1.4</v>
      </c>
      <c r="J916" s="23">
        <f t="shared" si="329"/>
        <v>5.5636875000000003</v>
      </c>
      <c r="K916" s="56">
        <v>9.5000000000000279E-2</v>
      </c>
      <c r="L916" s="45">
        <f t="shared" si="330"/>
        <v>31.54499999999998</v>
      </c>
      <c r="M916" s="45">
        <f t="shared" si="325"/>
        <v>32.944999999999979</v>
      </c>
      <c r="N916" s="46">
        <f t="shared" si="340"/>
        <v>32.244999999999976</v>
      </c>
      <c r="O916" s="46">
        <f t="shared" si="331"/>
        <v>31.54499999999998</v>
      </c>
      <c r="P916" s="46">
        <f t="shared" si="326"/>
        <v>32.944999999999979</v>
      </c>
      <c r="Q916" s="46">
        <f t="shared" si="341"/>
        <v>32.244999999999976</v>
      </c>
      <c r="R916" s="46">
        <v>31.54499999999998</v>
      </c>
      <c r="S916" s="46">
        <v>32.944999999999979</v>
      </c>
      <c r="T916" s="54">
        <v>32.200000000000003</v>
      </c>
      <c r="U916" s="46">
        <f t="shared" si="332"/>
        <v>32.200000000000003</v>
      </c>
      <c r="V916" s="18">
        <v>7.4545000000000003</v>
      </c>
      <c r="W916" s="18">
        <v>2.9872999999999998</v>
      </c>
      <c r="X916" s="23">
        <v>1.1476266666666699</v>
      </c>
      <c r="Y916" s="23">
        <f t="shared" si="333"/>
        <v>6.3068733333333302</v>
      </c>
      <c r="Z916" s="23">
        <f t="shared" si="334"/>
        <v>1.8396733333333299</v>
      </c>
      <c r="AA916" s="21">
        <f t="shared" si="335"/>
        <v>70.830659883238539</v>
      </c>
      <c r="AB916" s="21">
        <f t="shared" si="336"/>
        <v>29.169340116761461</v>
      </c>
      <c r="AC916" s="23">
        <f>Y916/J916</f>
        <v>1.1335779253118241</v>
      </c>
      <c r="AD916" s="23">
        <f>Z916/J916</f>
        <v>0.33065720052273423</v>
      </c>
      <c r="AE916" s="57">
        <v>13.118</v>
      </c>
      <c r="AF916" s="57">
        <v>13.692</v>
      </c>
      <c r="AG916" s="57">
        <v>13.534000000000001</v>
      </c>
      <c r="AH916" s="58">
        <f>AG916-AE916</f>
        <v>0.41600000000000037</v>
      </c>
      <c r="AI916" s="59">
        <f>((AF916-AG916)/(AF916-AE916))*100</f>
        <v>27.526132404181102</v>
      </c>
      <c r="AJ916" s="26">
        <f t="shared" si="337"/>
        <v>1.3763066202090553</v>
      </c>
      <c r="AK916" s="26">
        <f t="shared" si="338"/>
        <v>15.911059193168269</v>
      </c>
      <c r="AL916" s="26">
        <f t="shared" si="339"/>
        <v>1.3792461393207787</v>
      </c>
      <c r="AM916" s="17">
        <f t="shared" si="327"/>
        <v>0.5780346820809249</v>
      </c>
      <c r="AN916" s="52"/>
      <c r="AO916" s="39"/>
      <c r="AP916" s="18"/>
      <c r="AQ916" s="17"/>
      <c r="AR916" s="17"/>
      <c r="AS916" s="27"/>
      <c r="AT916" s="17"/>
      <c r="AU916" s="17"/>
      <c r="AV916" s="17"/>
      <c r="AW916" s="17"/>
      <c r="AX916" s="17"/>
      <c r="BB916" s="17"/>
    </row>
    <row r="917" spans="1:54" x14ac:dyDescent="0.2">
      <c r="A917" s="18" t="s">
        <v>90</v>
      </c>
      <c r="B917" s="18" t="s">
        <v>91</v>
      </c>
      <c r="C917" s="18" t="s">
        <v>92</v>
      </c>
      <c r="D917" s="18" t="str">
        <f t="shared" si="328"/>
        <v>CAT1.1A_23</v>
      </c>
      <c r="E917" s="55" t="s">
        <v>79</v>
      </c>
      <c r="F917" s="18">
        <v>23</v>
      </c>
      <c r="G917" s="46">
        <v>2.2000000000000002</v>
      </c>
      <c r="H917" s="46">
        <v>2.2999999999999998</v>
      </c>
      <c r="I917" s="46">
        <v>1.35</v>
      </c>
      <c r="J917" s="23">
        <f t="shared" si="329"/>
        <v>5.3649843750000006</v>
      </c>
      <c r="K917" s="56">
        <v>9.5000000000000279E-2</v>
      </c>
      <c r="L917" s="45">
        <f t="shared" si="330"/>
        <v>33.039999999999978</v>
      </c>
      <c r="M917" s="45">
        <f t="shared" si="325"/>
        <v>34.389999999999979</v>
      </c>
      <c r="N917" s="46">
        <f t="shared" si="340"/>
        <v>33.714999999999975</v>
      </c>
      <c r="O917" s="46">
        <f t="shared" si="331"/>
        <v>33.039999999999978</v>
      </c>
      <c r="P917" s="46">
        <f t="shared" si="326"/>
        <v>34.389999999999979</v>
      </c>
      <c r="Q917" s="46">
        <f t="shared" si="341"/>
        <v>33.714999999999975</v>
      </c>
      <c r="R917" s="46">
        <v>33.039999999999978</v>
      </c>
      <c r="S917" s="46">
        <v>34.389999999999979</v>
      </c>
      <c r="T917" s="54">
        <v>33.700000000000003</v>
      </c>
      <c r="U917" s="46">
        <f t="shared" si="332"/>
        <v>33.700000000000003</v>
      </c>
      <c r="V917" s="18">
        <v>7.9233000000000002</v>
      </c>
      <c r="W917" s="18">
        <v>4.0075000000000003</v>
      </c>
      <c r="X917" s="23">
        <v>1.1476266666666699</v>
      </c>
      <c r="Y917" s="23">
        <f t="shared" si="333"/>
        <v>6.7756733333333301</v>
      </c>
      <c r="Z917" s="23">
        <f t="shared" si="334"/>
        <v>2.8598733333333302</v>
      </c>
      <c r="AA917" s="21">
        <f t="shared" si="335"/>
        <v>57.792042316089642</v>
      </c>
      <c r="AB917" s="21">
        <f t="shared" si="336"/>
        <v>42.207957683910358</v>
      </c>
      <c r="AC917" s="23">
        <f>Y917/J917</f>
        <v>1.2629437216829413</v>
      </c>
      <c r="AD917" s="23">
        <f>Z917/J917</f>
        <v>0.53306275161953842</v>
      </c>
      <c r="AE917" s="57">
        <v>14.561</v>
      </c>
      <c r="AF917" s="57">
        <v>15.56</v>
      </c>
      <c r="AG917" s="57">
        <v>15.414999999999999</v>
      </c>
      <c r="AH917" s="58">
        <f>AG917-AE917</f>
        <v>0.8539999999999992</v>
      </c>
      <c r="AI917" s="59">
        <f>((AF917-AG917)/(AF917-AE917))*100</f>
        <v>14.514514514514643</v>
      </c>
      <c r="AJ917" s="26">
        <f t="shared" si="337"/>
        <v>0.72572572572573213</v>
      </c>
      <c r="AK917" s="26">
        <f t="shared" si="338"/>
        <v>8.3898927829564407</v>
      </c>
      <c r="AL917" s="26">
        <f t="shared" si="339"/>
        <v>0.73128505316336156</v>
      </c>
      <c r="AM917" s="17">
        <f t="shared" si="327"/>
        <v>0.5780346820809249</v>
      </c>
      <c r="AN917" s="52"/>
      <c r="AO917" s="39"/>
      <c r="AP917" s="18"/>
      <c r="AQ917" s="17"/>
      <c r="AR917" s="17"/>
      <c r="AS917" s="27"/>
      <c r="AT917" s="17"/>
      <c r="AU917" s="17"/>
      <c r="AV917" s="17"/>
      <c r="AW917" s="17"/>
      <c r="AX917" s="17"/>
      <c r="BB917" s="17"/>
    </row>
    <row r="918" spans="1:54" x14ac:dyDescent="0.2">
      <c r="A918" s="18" t="s">
        <v>90</v>
      </c>
      <c r="B918" s="18" t="s">
        <v>91</v>
      </c>
      <c r="C918" s="18" t="s">
        <v>92</v>
      </c>
      <c r="D918" s="18" t="str">
        <f t="shared" si="328"/>
        <v>CAT1.1A_24</v>
      </c>
      <c r="E918" s="55" t="s">
        <v>79</v>
      </c>
      <c r="F918" s="18">
        <v>24</v>
      </c>
      <c r="G918" s="46">
        <v>2.35</v>
      </c>
      <c r="H918" s="46">
        <v>2.2000000000000002</v>
      </c>
      <c r="I918" s="46">
        <v>1.35</v>
      </c>
      <c r="J918" s="23">
        <f t="shared" si="329"/>
        <v>5.4848685937500017</v>
      </c>
      <c r="K918" s="56">
        <v>9.5000000000000279E-2</v>
      </c>
      <c r="L918" s="45">
        <f t="shared" si="330"/>
        <v>34.484999999999978</v>
      </c>
      <c r="M918" s="45">
        <f t="shared" si="325"/>
        <v>35.83499999999998</v>
      </c>
      <c r="N918" s="46">
        <f t="shared" si="340"/>
        <v>35.159999999999982</v>
      </c>
      <c r="O918" s="46">
        <f t="shared" si="331"/>
        <v>34.484999999999978</v>
      </c>
      <c r="P918" s="46">
        <f t="shared" si="326"/>
        <v>35.83499999999998</v>
      </c>
      <c r="Q918" s="46">
        <f t="shared" si="341"/>
        <v>35.159999999999982</v>
      </c>
      <c r="R918" s="46">
        <v>34.484999999999978</v>
      </c>
      <c r="S918" s="46">
        <v>35.83499999999998</v>
      </c>
      <c r="T918" s="54">
        <v>35.200000000000003</v>
      </c>
      <c r="U918" s="46">
        <f t="shared" si="332"/>
        <v>35.200000000000003</v>
      </c>
      <c r="V918" s="18">
        <v>8.3547999999999991</v>
      </c>
      <c r="W918" s="18">
        <v>3.7942</v>
      </c>
      <c r="X918" s="23">
        <v>1.1476266666666699</v>
      </c>
      <c r="Y918" s="23">
        <f t="shared" si="333"/>
        <v>7.207173333333329</v>
      </c>
      <c r="Z918" s="23">
        <f t="shared" si="334"/>
        <v>2.6465733333333299</v>
      </c>
      <c r="AA918" s="21">
        <f t="shared" si="335"/>
        <v>63.278622409525354</v>
      </c>
      <c r="AB918" s="21">
        <f t="shared" si="336"/>
        <v>36.721377590474646</v>
      </c>
      <c r="AC918" s="23">
        <f>Y918/J918</f>
        <v>1.3140102101162261</v>
      </c>
      <c r="AD918" s="23">
        <f>Z918/J918</f>
        <v>0.48252265083416868</v>
      </c>
      <c r="AE918" s="57">
        <v>13.172000000000001</v>
      </c>
      <c r="AF918" s="57">
        <v>13.875999999999999</v>
      </c>
      <c r="AG918" s="57">
        <v>13.698</v>
      </c>
      <c r="AH918" s="58">
        <f>AG918-AE918</f>
        <v>0.5259999999999998</v>
      </c>
      <c r="AI918" s="59">
        <f>((AF918-AG918)/(AF918-AE918))*100</f>
        <v>25.284090909090818</v>
      </c>
      <c r="AJ918" s="26">
        <f t="shared" si="337"/>
        <v>1.264204545454541</v>
      </c>
      <c r="AK918" s="26">
        <f t="shared" si="338"/>
        <v>14.615081450341513</v>
      </c>
      <c r="AL918" s="26">
        <f t="shared" si="339"/>
        <v>1.2674040921300209</v>
      </c>
      <c r="AM918" s="17">
        <f t="shared" si="327"/>
        <v>0.5780346820809249</v>
      </c>
      <c r="AN918" s="52"/>
      <c r="AO918" s="39"/>
      <c r="AP918" s="18"/>
      <c r="AQ918" s="17"/>
      <c r="AR918" s="17"/>
      <c r="AS918" s="27"/>
      <c r="AT918" s="17"/>
      <c r="AU918" s="17"/>
      <c r="AV918" s="17"/>
      <c r="AW918" s="17"/>
      <c r="AX918" s="17"/>
      <c r="BB918" s="17"/>
    </row>
    <row r="919" spans="1:54" x14ac:dyDescent="0.2">
      <c r="A919" s="18" t="s">
        <v>90</v>
      </c>
      <c r="B919" s="18" t="s">
        <v>91</v>
      </c>
      <c r="C919" s="18" t="s">
        <v>92</v>
      </c>
      <c r="D919" s="18" t="str">
        <f t="shared" si="328"/>
        <v>CAT1.1A_25</v>
      </c>
      <c r="E919" s="55" t="s">
        <v>79</v>
      </c>
      <c r="F919" s="18">
        <v>25</v>
      </c>
      <c r="G919" s="46">
        <v>2.2000000000000002</v>
      </c>
      <c r="H919" s="46">
        <v>2.2000000000000002</v>
      </c>
      <c r="I919" s="46">
        <v>1.25</v>
      </c>
      <c r="J919" s="23">
        <f t="shared" si="329"/>
        <v>4.7492500000000009</v>
      </c>
      <c r="K919" s="56">
        <v>9.5000000000000279E-2</v>
      </c>
      <c r="L919" s="45">
        <f t="shared" si="330"/>
        <v>35.929999999999978</v>
      </c>
      <c r="M919" s="45">
        <f t="shared" si="325"/>
        <v>37.179999999999978</v>
      </c>
      <c r="N919" s="46">
        <f t="shared" si="340"/>
        <v>36.554999999999978</v>
      </c>
      <c r="O919" s="46">
        <f t="shared" si="331"/>
        <v>35.929999999999978</v>
      </c>
      <c r="P919" s="46">
        <f t="shared" si="326"/>
        <v>37.179999999999978</v>
      </c>
      <c r="Q919" s="46">
        <f t="shared" si="341"/>
        <v>36.554999999999978</v>
      </c>
      <c r="R919" s="46">
        <v>35.929999999999978</v>
      </c>
      <c r="S919" s="46">
        <v>37.179999999999978</v>
      </c>
      <c r="T919" s="54">
        <v>36.6</v>
      </c>
      <c r="U919" s="46">
        <f t="shared" si="332"/>
        <v>36.6</v>
      </c>
      <c r="V919" s="18">
        <v>7.6696999999999997</v>
      </c>
      <c r="W919" s="18">
        <v>3.1610999999999998</v>
      </c>
      <c r="X919" s="23">
        <v>1.1476266666666699</v>
      </c>
      <c r="Y919" s="23">
        <f t="shared" si="333"/>
        <v>6.5220733333333296</v>
      </c>
      <c r="Z919" s="23">
        <f t="shared" si="334"/>
        <v>2.0134733333333301</v>
      </c>
      <c r="AA919" s="21">
        <f t="shared" si="335"/>
        <v>69.12832422409646</v>
      </c>
      <c r="AB919" s="21">
        <f t="shared" si="336"/>
        <v>30.87167577590354</v>
      </c>
      <c r="AC919" s="23">
        <f>Y919/J919</f>
        <v>1.3732849046340641</v>
      </c>
      <c r="AD919" s="23">
        <f>Z919/J919</f>
        <v>0.4239560632380544</v>
      </c>
      <c r="AE919" s="57">
        <v>13.603</v>
      </c>
      <c r="AF919" s="57">
        <v>14.03</v>
      </c>
      <c r="AG919" s="57">
        <v>13.909000000000001</v>
      </c>
      <c r="AH919" s="58">
        <f>AG919-AE919</f>
        <v>0.30600000000000094</v>
      </c>
      <c r="AI919" s="59">
        <f>((AF919-AG919)/(AF919-AE919))*100</f>
        <v>28.337236533957562</v>
      </c>
      <c r="AJ919" s="26">
        <f t="shared" si="337"/>
        <v>1.4168618266978781</v>
      </c>
      <c r="AK919" s="26">
        <f t="shared" si="338"/>
        <v>16.379905510958128</v>
      </c>
      <c r="AL919" s="26">
        <f t="shared" si="339"/>
        <v>1.4197173789010431</v>
      </c>
      <c r="AM919" s="17">
        <f t="shared" si="327"/>
        <v>0.5780346820809249</v>
      </c>
      <c r="AN919" s="52"/>
      <c r="AO919" s="39"/>
      <c r="AP919" s="18"/>
      <c r="AQ919" s="17"/>
      <c r="AR919" s="17"/>
      <c r="AS919" s="27"/>
      <c r="AT919" s="17"/>
      <c r="AU919" s="17"/>
      <c r="AV919" s="17"/>
      <c r="AW919" s="17"/>
      <c r="AX919" s="17"/>
      <c r="BB919" s="17"/>
    </row>
    <row r="920" spans="1:54" x14ac:dyDescent="0.2">
      <c r="A920" s="18" t="s">
        <v>90</v>
      </c>
      <c r="B920" s="18" t="s">
        <v>91</v>
      </c>
      <c r="C920" s="18" t="s">
        <v>92</v>
      </c>
      <c r="D920" s="18" t="str">
        <f t="shared" si="328"/>
        <v>CAT1.1A_26</v>
      </c>
      <c r="E920" s="55" t="s">
        <v>79</v>
      </c>
      <c r="F920" s="18">
        <v>26</v>
      </c>
      <c r="G920" s="46">
        <v>2.2000000000000002</v>
      </c>
      <c r="H920" s="46">
        <v>2.25</v>
      </c>
      <c r="I920" s="46">
        <v>1.4</v>
      </c>
      <c r="J920" s="23">
        <f t="shared" si="329"/>
        <v>5.4407368750000007</v>
      </c>
      <c r="K920" s="56">
        <v>9.5000000000000279E-2</v>
      </c>
      <c r="L920" s="45">
        <f t="shared" si="330"/>
        <v>37.274999999999977</v>
      </c>
      <c r="M920" s="45">
        <f t="shared" si="325"/>
        <v>38.674999999999976</v>
      </c>
      <c r="N920" s="46">
        <f t="shared" si="340"/>
        <v>37.97499999999998</v>
      </c>
      <c r="O920" s="46">
        <f t="shared" si="331"/>
        <v>37.274999999999977</v>
      </c>
      <c r="P920" s="46">
        <f t="shared" si="326"/>
        <v>38.674999999999976</v>
      </c>
      <c r="Q920" s="46">
        <f t="shared" si="341"/>
        <v>37.97499999999998</v>
      </c>
      <c r="R920" s="46">
        <v>37.274999999999977</v>
      </c>
      <c r="S920" s="46">
        <v>38.674999999999976</v>
      </c>
      <c r="T920" s="54">
        <v>38</v>
      </c>
      <c r="U920" s="46">
        <f t="shared" si="332"/>
        <v>38</v>
      </c>
      <c r="V920" s="18">
        <v>8.4410000000000007</v>
      </c>
      <c r="W920" s="18">
        <v>4.4970999999999997</v>
      </c>
      <c r="X920" s="23">
        <v>1.1476266666666699</v>
      </c>
      <c r="Y920" s="23">
        <f t="shared" si="333"/>
        <v>7.2933733333333306</v>
      </c>
      <c r="Z920" s="23">
        <f t="shared" si="334"/>
        <v>3.3494733333333295</v>
      </c>
      <c r="AA920" s="21">
        <f t="shared" si="335"/>
        <v>54.075114761710665</v>
      </c>
      <c r="AB920" s="21">
        <f t="shared" si="336"/>
        <v>45.924885238289335</v>
      </c>
      <c r="AC920" s="23">
        <f>Y920/J920</f>
        <v>1.3405120484407418</v>
      </c>
      <c r="AD920" s="23">
        <f>Z920/J920</f>
        <v>0.61562861985185213</v>
      </c>
      <c r="AE920" s="57">
        <v>14.398</v>
      </c>
      <c r="AF920" s="57">
        <v>15.002000000000001</v>
      </c>
      <c r="AG920" s="57">
        <v>14.885999999999999</v>
      </c>
      <c r="AH920" s="58">
        <f>AG920-AE920</f>
        <v>0.48799999999999955</v>
      </c>
      <c r="AI920" s="59">
        <f>((AF920-AG920)/(AF920-AE920))*100</f>
        <v>19.20529801324524</v>
      </c>
      <c r="AJ920" s="26">
        <f t="shared" si="337"/>
        <v>0.96026490066226211</v>
      </c>
      <c r="AK920" s="26">
        <f t="shared" si="338"/>
        <v>11.101328331355631</v>
      </c>
      <c r="AL920" s="26">
        <f t="shared" si="339"/>
        <v>0.96447326528209376</v>
      </c>
      <c r="AM920" s="17">
        <f t="shared" si="327"/>
        <v>0.5780346820809249</v>
      </c>
      <c r="AN920" s="52"/>
      <c r="AO920" s="39"/>
      <c r="AP920" s="18"/>
      <c r="AQ920" s="17"/>
      <c r="AR920" s="17"/>
      <c r="AS920" s="27"/>
      <c r="AT920" s="17"/>
      <c r="AU920" s="17"/>
      <c r="AV920" s="17"/>
      <c r="AW920" s="17"/>
      <c r="AX920" s="17"/>
      <c r="BB920" s="17"/>
    </row>
    <row r="921" spans="1:54" x14ac:dyDescent="0.2">
      <c r="A921" s="18" t="s">
        <v>90</v>
      </c>
      <c r="B921" s="18" t="s">
        <v>91</v>
      </c>
      <c r="C921" s="18" t="s">
        <v>92</v>
      </c>
      <c r="D921" s="18" t="str">
        <f t="shared" si="328"/>
        <v>CAT1.1A_27</v>
      </c>
      <c r="E921" s="55" t="s">
        <v>79</v>
      </c>
      <c r="F921" s="18">
        <v>27</v>
      </c>
      <c r="G921" s="46">
        <v>2.1</v>
      </c>
      <c r="H921" s="46">
        <v>2.1</v>
      </c>
      <c r="I921" s="46">
        <v>1.35</v>
      </c>
      <c r="J921" s="23">
        <f t="shared" si="329"/>
        <v>4.6734975000000007</v>
      </c>
      <c r="K921" s="56">
        <v>9.5000000000000279E-2</v>
      </c>
      <c r="L921" s="45">
        <f t="shared" si="330"/>
        <v>38.769999999999975</v>
      </c>
      <c r="M921" s="45">
        <f t="shared" si="325"/>
        <v>40.119999999999976</v>
      </c>
      <c r="N921" s="46">
        <f t="shared" si="340"/>
        <v>39.444999999999979</v>
      </c>
      <c r="O921" s="46">
        <f t="shared" si="331"/>
        <v>38.769999999999975</v>
      </c>
      <c r="P921" s="46">
        <f t="shared" si="326"/>
        <v>40.119999999999976</v>
      </c>
      <c r="Q921" s="46">
        <f t="shared" si="341"/>
        <v>39.444999999999979</v>
      </c>
      <c r="R921" s="46">
        <v>38.769999999999975</v>
      </c>
      <c r="S921" s="46">
        <v>40.119999999999976</v>
      </c>
      <c r="T921" s="54">
        <v>39.4</v>
      </c>
      <c r="U921" s="46">
        <f t="shared" si="332"/>
        <v>39.4</v>
      </c>
      <c r="V921" s="18">
        <v>7.2549000000000001</v>
      </c>
      <c r="W921" s="18">
        <v>3.4247000000000001</v>
      </c>
      <c r="X921" s="23">
        <v>1.1476266666666699</v>
      </c>
      <c r="Y921" s="23">
        <f t="shared" si="333"/>
        <v>6.10727333333333</v>
      </c>
      <c r="Z921" s="23">
        <f t="shared" si="334"/>
        <v>2.2770733333333304</v>
      </c>
      <c r="AA921" s="21">
        <f t="shared" si="335"/>
        <v>62.715385261944533</v>
      </c>
      <c r="AB921" s="21">
        <f t="shared" si="336"/>
        <v>37.284614738055467</v>
      </c>
      <c r="AC921" s="23">
        <f>Y921/J921</f>
        <v>1.3067886167336837</v>
      </c>
      <c r="AD921" s="23">
        <f>Z921/J921</f>
        <v>0.48723110118991825</v>
      </c>
      <c r="AE921" s="57">
        <v>14.013999999999999</v>
      </c>
      <c r="AF921" s="57">
        <v>14.606</v>
      </c>
      <c r="AG921" s="57">
        <v>14.484</v>
      </c>
      <c r="AH921" s="58">
        <f>AG921-AE921</f>
        <v>0.47000000000000064</v>
      </c>
      <c r="AI921" s="59">
        <f>((AF921-AG921)/(AF921-AE921))*100</f>
        <v>20.60810810810807</v>
      </c>
      <c r="AJ921" s="26">
        <f t="shared" si="337"/>
        <v>1.0304054054054035</v>
      </c>
      <c r="AK921" s="26">
        <f t="shared" si="338"/>
        <v>11.912201218559579</v>
      </c>
      <c r="AL921" s="26">
        <f t="shared" si="339"/>
        <v>1.0343284292180477</v>
      </c>
      <c r="AM921" s="17">
        <f t="shared" si="327"/>
        <v>0.5780346820809249</v>
      </c>
      <c r="AN921" s="52"/>
      <c r="AO921" s="39"/>
      <c r="AP921" s="18"/>
      <c r="AQ921" s="17"/>
      <c r="AR921" s="17"/>
      <c r="AS921" s="27"/>
      <c r="AT921" s="17"/>
      <c r="AU921" s="17"/>
      <c r="AV921" s="17"/>
      <c r="AW921" s="17"/>
      <c r="AX921" s="17"/>
      <c r="BB921" s="17"/>
    </row>
    <row r="922" spans="1:54" x14ac:dyDescent="0.2">
      <c r="A922" s="18" t="s">
        <v>90</v>
      </c>
      <c r="B922" s="18" t="s">
        <v>91</v>
      </c>
      <c r="C922" s="18" t="s">
        <v>92</v>
      </c>
      <c r="D922" s="18" t="str">
        <f t="shared" si="328"/>
        <v>CAT1.1A_28</v>
      </c>
      <c r="E922" s="55" t="s">
        <v>79</v>
      </c>
      <c r="F922" s="18">
        <v>28</v>
      </c>
      <c r="G922" s="46">
        <v>2</v>
      </c>
      <c r="H922" s="46">
        <v>2.0499999999999998</v>
      </c>
      <c r="I922" s="46">
        <v>1.35</v>
      </c>
      <c r="J922" s="23">
        <f t="shared" si="329"/>
        <v>4.34563734375</v>
      </c>
      <c r="K922" s="56">
        <v>9.5000000000000279E-2</v>
      </c>
      <c r="L922" s="45">
        <f t="shared" si="330"/>
        <v>40.214999999999975</v>
      </c>
      <c r="M922" s="45">
        <f t="shared" si="325"/>
        <v>41.564999999999976</v>
      </c>
      <c r="N922" s="46">
        <f t="shared" si="340"/>
        <v>40.889999999999972</v>
      </c>
      <c r="O922" s="46">
        <f t="shared" si="331"/>
        <v>40.214999999999975</v>
      </c>
      <c r="P922" s="46">
        <f t="shared" si="326"/>
        <v>41.564999999999976</v>
      </c>
      <c r="Q922" s="46">
        <f t="shared" si="341"/>
        <v>40.889999999999972</v>
      </c>
      <c r="R922" s="46">
        <v>40.214999999999975</v>
      </c>
      <c r="S922" s="46">
        <v>41.564999999999976</v>
      </c>
      <c r="T922" s="54">
        <v>40.9</v>
      </c>
      <c r="U922" s="46">
        <f t="shared" si="332"/>
        <v>40.9</v>
      </c>
      <c r="V922" s="18">
        <v>7.7907999999999999</v>
      </c>
      <c r="W922" s="18">
        <v>4.7782999999999998</v>
      </c>
      <c r="X922" s="23">
        <v>1.1476266666666699</v>
      </c>
      <c r="Y922" s="23">
        <f t="shared" si="333"/>
        <v>6.6431733333333298</v>
      </c>
      <c r="Z922" s="23">
        <f t="shared" si="334"/>
        <v>3.6306733333333296</v>
      </c>
      <c r="AA922" s="21">
        <f t="shared" si="335"/>
        <v>45.347303898939892</v>
      </c>
      <c r="AB922" s="21">
        <f t="shared" si="336"/>
        <v>54.652696101060108</v>
      </c>
      <c r="AC922" s="23">
        <f>Y922/J922</f>
        <v>1.5286994306802204</v>
      </c>
      <c r="AD922" s="23">
        <f>Z922/J922</f>
        <v>0.83547545414829683</v>
      </c>
      <c r="AE922" s="57">
        <v>13.052</v>
      </c>
      <c r="AF922" s="57">
        <v>14.006</v>
      </c>
      <c r="AG922" s="57">
        <v>13.917999999999999</v>
      </c>
      <c r="AH922" s="58">
        <f>AG922-AE922</f>
        <v>0.86599999999999966</v>
      </c>
      <c r="AI922" s="59">
        <f>((AF922-AG922)/(AF922-AE922))*100</f>
        <v>9.2243186582810175</v>
      </c>
      <c r="AJ922" s="26">
        <f t="shared" si="337"/>
        <v>0.46121593291405089</v>
      </c>
      <c r="AK922" s="26">
        <f t="shared" si="338"/>
        <v>5.3319761030526118</v>
      </c>
      <c r="AL922" s="26">
        <f t="shared" si="339"/>
        <v>0.46991503144055552</v>
      </c>
      <c r="AM922" s="17">
        <f t="shared" si="327"/>
        <v>0.5780346820809249</v>
      </c>
      <c r="AN922" s="52"/>
      <c r="AO922" s="39"/>
      <c r="AP922" s="18"/>
      <c r="AQ922" s="17"/>
      <c r="AR922" s="17"/>
      <c r="AS922" s="27"/>
      <c r="AT922" s="17"/>
      <c r="AU922" s="17"/>
      <c r="AV922" s="17"/>
      <c r="AW922" s="17"/>
      <c r="AX922" s="17"/>
      <c r="BB922" s="17"/>
    </row>
    <row r="923" spans="1:54" x14ac:dyDescent="0.2">
      <c r="A923" s="18" t="s">
        <v>90</v>
      </c>
      <c r="B923" s="18" t="s">
        <v>91</v>
      </c>
      <c r="C923" s="18" t="s">
        <v>92</v>
      </c>
      <c r="D923" s="18" t="str">
        <f t="shared" si="328"/>
        <v>CAT1.1A_29</v>
      </c>
      <c r="E923" s="55" t="s">
        <v>79</v>
      </c>
      <c r="F923" s="18">
        <v>29</v>
      </c>
      <c r="G923" s="46">
        <v>2</v>
      </c>
      <c r="H923" s="46">
        <v>2.1</v>
      </c>
      <c r="I923" s="46">
        <v>1.4</v>
      </c>
      <c r="J923" s="23">
        <f t="shared" si="329"/>
        <v>4.6185474999999991</v>
      </c>
      <c r="K923" s="56">
        <v>9.5000000000000279E-2</v>
      </c>
      <c r="L923" s="45">
        <f t="shared" si="330"/>
        <v>41.659999999999975</v>
      </c>
      <c r="M923" s="45">
        <f t="shared" si="325"/>
        <v>43.059999999999974</v>
      </c>
      <c r="N923" s="46">
        <f t="shared" si="340"/>
        <v>42.359999999999971</v>
      </c>
      <c r="O923" s="46">
        <f t="shared" si="331"/>
        <v>41.659999999999975</v>
      </c>
      <c r="P923" s="46">
        <f t="shared" si="326"/>
        <v>43.059999999999974</v>
      </c>
      <c r="Q923" s="46">
        <f t="shared" si="341"/>
        <v>42.359999999999971</v>
      </c>
      <c r="R923" s="46">
        <v>41.659999999999975</v>
      </c>
      <c r="S923" s="46">
        <v>43.059999999999974</v>
      </c>
      <c r="T923" s="54">
        <v>42.4</v>
      </c>
      <c r="U923" s="46">
        <f t="shared" si="332"/>
        <v>42.4</v>
      </c>
      <c r="V923" s="18">
        <v>8.3291000000000004</v>
      </c>
      <c r="W923" s="18">
        <v>4.8101000000000003</v>
      </c>
      <c r="X923" s="23">
        <v>1.1476266666666699</v>
      </c>
      <c r="Y923" s="23">
        <f t="shared" si="333"/>
        <v>7.1814733333333303</v>
      </c>
      <c r="Z923" s="23">
        <f t="shared" si="334"/>
        <v>3.6624733333333301</v>
      </c>
      <c r="AA923" s="21">
        <f t="shared" si="335"/>
        <v>49.001087056416488</v>
      </c>
      <c r="AB923" s="21">
        <f t="shared" si="336"/>
        <v>50.998912943583512</v>
      </c>
      <c r="AC923" s="23">
        <f>Y923/J923</f>
        <v>1.5549203149547193</v>
      </c>
      <c r="AD923" s="23">
        <f>Z923/J923</f>
        <v>0.79299245776585192</v>
      </c>
      <c r="AE923" s="57">
        <v>13.875999999999999</v>
      </c>
      <c r="AF923" s="57">
        <v>14.663</v>
      </c>
      <c r="AG923" s="57">
        <v>14.579000000000001</v>
      </c>
      <c r="AH923" s="58">
        <f>AG923-AE923</f>
        <v>0.70300000000000118</v>
      </c>
      <c r="AI923" s="59">
        <f>((AF923-AG923)/(AF923-AE923))*100</f>
        <v>10.673443456162584</v>
      </c>
      <c r="AJ923" s="26">
        <f t="shared" si="337"/>
        <v>0.53367217280812917</v>
      </c>
      <c r="AK923" s="26">
        <f t="shared" si="338"/>
        <v>6.1696204948916673</v>
      </c>
      <c r="AL923" s="26">
        <f t="shared" si="339"/>
        <v>0.54120789723520268</v>
      </c>
      <c r="AM923" s="17">
        <f t="shared" si="327"/>
        <v>0.5780346820809249</v>
      </c>
      <c r="AN923" s="52"/>
      <c r="AO923" s="39"/>
      <c r="AP923" s="18"/>
      <c r="AQ923" s="17"/>
      <c r="AR923" s="17"/>
      <c r="AS923" s="27"/>
      <c r="AT923" s="17"/>
      <c r="AU923" s="17"/>
      <c r="AV923" s="17"/>
      <c r="AW923" s="17"/>
      <c r="AX923" s="17"/>
      <c r="BB923" s="17"/>
    </row>
    <row r="924" spans="1:54" x14ac:dyDescent="0.2">
      <c r="A924" s="18" t="s">
        <v>90</v>
      </c>
      <c r="B924" s="18" t="s">
        <v>91</v>
      </c>
      <c r="C924" s="18" t="s">
        <v>92</v>
      </c>
      <c r="D924" s="18" t="str">
        <f t="shared" si="328"/>
        <v>CAT1.1A_30</v>
      </c>
      <c r="E924" s="55" t="s">
        <v>79</v>
      </c>
      <c r="F924" s="18">
        <v>30</v>
      </c>
      <c r="G924" s="46">
        <v>1.8</v>
      </c>
      <c r="H924" s="46">
        <v>2</v>
      </c>
      <c r="I924" s="46">
        <v>1.35</v>
      </c>
      <c r="J924" s="23">
        <f t="shared" si="329"/>
        <v>3.8256975</v>
      </c>
      <c r="K924" s="56">
        <v>9.5000000000000279E-2</v>
      </c>
      <c r="L924" s="45">
        <f t="shared" si="330"/>
        <v>43.154999999999973</v>
      </c>
      <c r="M924" s="45">
        <f t="shared" si="325"/>
        <v>44.504999999999974</v>
      </c>
      <c r="N924" s="46">
        <f t="shared" si="340"/>
        <v>43.82999999999997</v>
      </c>
      <c r="O924" s="46">
        <f t="shared" si="331"/>
        <v>43.154999999999973</v>
      </c>
      <c r="P924" s="46">
        <f t="shared" si="326"/>
        <v>44.504999999999974</v>
      </c>
      <c r="Q924" s="46">
        <f t="shared" si="341"/>
        <v>43.82999999999997</v>
      </c>
      <c r="R924" s="46">
        <v>43.154999999999973</v>
      </c>
      <c r="S924" s="46">
        <v>44.504999999999974</v>
      </c>
      <c r="T924" s="54">
        <v>43.8</v>
      </c>
      <c r="U924" s="46">
        <f t="shared" si="332"/>
        <v>43.8</v>
      </c>
      <c r="V924" s="18">
        <v>6.8895999999999997</v>
      </c>
      <c r="W924" s="18">
        <v>4.0342000000000002</v>
      </c>
      <c r="X924" s="23">
        <v>1.1476266666666699</v>
      </c>
      <c r="Y924" s="23">
        <f t="shared" si="333"/>
        <v>5.7419733333333296</v>
      </c>
      <c r="Z924" s="23">
        <f t="shared" si="334"/>
        <v>2.8865733333333301</v>
      </c>
      <c r="AA924" s="21">
        <f t="shared" si="335"/>
        <v>49.728548605821949</v>
      </c>
      <c r="AB924" s="21">
        <f t="shared" si="336"/>
        <v>50.271451394178051</v>
      </c>
      <c r="AC924" s="23">
        <f>Y924/J924</f>
        <v>1.5008958061460242</v>
      </c>
      <c r="AD924" s="23">
        <f>Z924/J924</f>
        <v>0.75452210566395539</v>
      </c>
      <c r="AE924" s="57">
        <v>13.622999999999999</v>
      </c>
      <c r="AF924" s="57">
        <v>14.36</v>
      </c>
      <c r="AG924" s="57">
        <v>14.295</v>
      </c>
      <c r="AH924" s="58">
        <f>AG924-AE924</f>
        <v>0.6720000000000006</v>
      </c>
      <c r="AI924" s="59">
        <f>((AF924-AG924)/(AF924-AE924))*100</f>
        <v>8.819538670284869</v>
      </c>
      <c r="AJ924" s="26">
        <f t="shared" si="337"/>
        <v>0.4409769335142435</v>
      </c>
      <c r="AK924" s="26">
        <f t="shared" si="338"/>
        <v>5.0979992313785374</v>
      </c>
      <c r="AL924" s="26">
        <f t="shared" si="339"/>
        <v>0.45006739038906779</v>
      </c>
      <c r="AM924" s="17">
        <f t="shared" si="327"/>
        <v>0.5780346820809249</v>
      </c>
      <c r="AN924" s="52"/>
      <c r="AO924" s="39"/>
      <c r="AP924" s="18"/>
      <c r="AQ924" s="17"/>
      <c r="AR924" s="17"/>
      <c r="AS924" s="27"/>
      <c r="AT924" s="17"/>
      <c r="AU924" s="17"/>
      <c r="AV924" s="17"/>
      <c r="AW924" s="17"/>
      <c r="AX924" s="17"/>
      <c r="BB924" s="17"/>
    </row>
    <row r="925" spans="1:54" x14ac:dyDescent="0.2">
      <c r="A925" s="18" t="s">
        <v>90</v>
      </c>
      <c r="B925" s="18" t="s">
        <v>91</v>
      </c>
      <c r="C925" s="18" t="s">
        <v>92</v>
      </c>
      <c r="D925" s="18" t="str">
        <f t="shared" si="328"/>
        <v>CAT1.1A_31</v>
      </c>
      <c r="E925" s="55" t="s">
        <v>79</v>
      </c>
      <c r="F925" s="18">
        <v>31</v>
      </c>
      <c r="G925" s="46">
        <v>1.9</v>
      </c>
      <c r="H925" s="46">
        <v>2.1</v>
      </c>
      <c r="I925" s="46">
        <v>1.4</v>
      </c>
      <c r="J925" s="23">
        <f t="shared" si="329"/>
        <v>4.3959999999999999</v>
      </c>
      <c r="K925" s="56">
        <v>9.5000000000000279E-2</v>
      </c>
      <c r="L925" s="45">
        <f t="shared" si="330"/>
        <v>44.599999999999973</v>
      </c>
      <c r="M925" s="45">
        <f t="shared" si="325"/>
        <v>45.999999999999972</v>
      </c>
      <c r="N925" s="46">
        <f t="shared" si="340"/>
        <v>45.299999999999969</v>
      </c>
      <c r="O925" s="46">
        <f t="shared" si="331"/>
        <v>44.599999999999973</v>
      </c>
      <c r="P925" s="46">
        <f t="shared" si="326"/>
        <v>45.999999999999972</v>
      </c>
      <c r="Q925" s="46">
        <f t="shared" si="341"/>
        <v>45.299999999999969</v>
      </c>
      <c r="R925" s="46">
        <v>44.599999999999973</v>
      </c>
      <c r="S925" s="46">
        <v>45.999999999999972</v>
      </c>
      <c r="T925" s="54">
        <v>45.3</v>
      </c>
      <c r="U925" s="46">
        <f t="shared" si="332"/>
        <v>45.3</v>
      </c>
      <c r="V925" s="18">
        <v>6.5082000000000004</v>
      </c>
      <c r="W925" s="18">
        <v>2.6154000000000002</v>
      </c>
      <c r="X925" s="23">
        <v>1.1476266666666699</v>
      </c>
      <c r="Y925" s="23">
        <f t="shared" si="333"/>
        <v>5.3605733333333303</v>
      </c>
      <c r="Z925" s="23">
        <f t="shared" si="334"/>
        <v>1.4677733333333303</v>
      </c>
      <c r="AA925" s="21">
        <f t="shared" si="335"/>
        <v>72.619097957183726</v>
      </c>
      <c r="AB925" s="21">
        <f t="shared" si="336"/>
        <v>27.380902042816274</v>
      </c>
      <c r="AC925" s="23">
        <f>Y925/J925</f>
        <v>1.2194206854716403</v>
      </c>
      <c r="AD925" s="23">
        <f>Z925/J925</f>
        <v>0.33388838337882853</v>
      </c>
      <c r="AE925" s="57">
        <v>13.481</v>
      </c>
      <c r="AF925" s="57">
        <v>13.834</v>
      </c>
      <c r="AG925" s="57">
        <v>13.708</v>
      </c>
      <c r="AH925" s="58">
        <f>AG925-AE925</f>
        <v>0.22700000000000031</v>
      </c>
      <c r="AI925" s="59">
        <f>((AF925-AG925)/(AF925-AE925))*100</f>
        <v>35.694050991501285</v>
      </c>
      <c r="AJ925" s="26">
        <f t="shared" si="337"/>
        <v>1.7847025495750644</v>
      </c>
      <c r="AK925" s="26">
        <f t="shared" si="338"/>
        <v>20.632399417052767</v>
      </c>
      <c r="AL925" s="26">
        <f t="shared" si="339"/>
        <v>1.7869703943993407</v>
      </c>
      <c r="AM925" s="17">
        <f t="shared" si="327"/>
        <v>0.5780346820809249</v>
      </c>
      <c r="AN925" s="52"/>
      <c r="AO925" s="39"/>
      <c r="AP925" s="18"/>
      <c r="AQ925" s="17"/>
      <c r="AR925" s="17"/>
      <c r="AS925" s="27"/>
      <c r="AT925" s="17"/>
      <c r="AU925" s="17"/>
      <c r="AV925" s="17"/>
      <c r="AW925" s="17"/>
      <c r="AX925" s="17"/>
      <c r="BB925" s="17"/>
    </row>
    <row r="926" spans="1:54" x14ac:dyDescent="0.2">
      <c r="A926" s="18" t="s">
        <v>90</v>
      </c>
      <c r="B926" s="18" t="s">
        <v>91</v>
      </c>
      <c r="C926" s="18" t="s">
        <v>94</v>
      </c>
      <c r="D926" s="18" t="str">
        <f t="shared" si="328"/>
        <v>CAT1.1B_32</v>
      </c>
      <c r="E926" s="55" t="s">
        <v>80</v>
      </c>
      <c r="F926" s="18">
        <v>32</v>
      </c>
      <c r="G926" s="46">
        <v>1.95</v>
      </c>
      <c r="H926" s="46">
        <v>1.5</v>
      </c>
      <c r="I926" s="46">
        <v>0.95</v>
      </c>
      <c r="J926" s="23">
        <f t="shared" si="329"/>
        <v>2.2190723437500002</v>
      </c>
      <c r="K926" s="61">
        <v>0.19062500000000027</v>
      </c>
      <c r="L926" s="39">
        <v>0</v>
      </c>
      <c r="M926" s="45">
        <f t="shared" si="325"/>
        <v>0.95</v>
      </c>
      <c r="N926" s="46">
        <f>L926+((M926-L926)/2)</f>
        <v>0.47499999999999998</v>
      </c>
      <c r="O926" s="46">
        <v>40</v>
      </c>
      <c r="P926" s="46">
        <f t="shared" si="326"/>
        <v>40.950000000000003</v>
      </c>
      <c r="Q926" s="46">
        <f>O926+((P926-O926)/2)</f>
        <v>40.475000000000001</v>
      </c>
      <c r="R926" s="46">
        <v>40</v>
      </c>
      <c r="S926" s="46">
        <v>40.950000000000003</v>
      </c>
      <c r="T926" s="54">
        <v>40.5</v>
      </c>
      <c r="U926" s="46">
        <f t="shared" si="332"/>
        <v>40.5</v>
      </c>
      <c r="V926" s="18">
        <v>5.2007000000000003</v>
      </c>
      <c r="W926" s="18">
        <v>2.6221000000000001</v>
      </c>
      <c r="X926" s="23">
        <v>1.1476266666666699</v>
      </c>
      <c r="Y926" s="23">
        <f t="shared" si="333"/>
        <v>4.0530733333333302</v>
      </c>
      <c r="Z926" s="23">
        <f t="shared" si="334"/>
        <v>1.4744733333333302</v>
      </c>
      <c r="AA926" s="21">
        <f t="shared" si="335"/>
        <v>63.620857258936056</v>
      </c>
      <c r="AB926" s="21">
        <f t="shared" si="336"/>
        <v>36.379142741063944</v>
      </c>
      <c r="AC926" s="23">
        <f>Y926/J926</f>
        <v>1.8264719240671803</v>
      </c>
      <c r="AD926" s="23">
        <f>Z926/J926</f>
        <v>0.66445482838185643</v>
      </c>
      <c r="AE926" s="57">
        <v>13.166</v>
      </c>
      <c r="AF926" s="57">
        <v>13.558999999999999</v>
      </c>
      <c r="AG926" s="57">
        <v>13.484999999999999</v>
      </c>
      <c r="AH926" s="58">
        <f>AG926-AE926</f>
        <v>0.31899999999999906</v>
      </c>
      <c r="AI926" s="59">
        <f>((AF926-AG926)/(AF926-AE926))*100</f>
        <v>18.829516539440217</v>
      </c>
      <c r="AJ926" s="26">
        <f t="shared" si="337"/>
        <v>0.94147582697201093</v>
      </c>
      <c r="AK926" s="26">
        <f t="shared" si="338"/>
        <v>10.884113606612843</v>
      </c>
      <c r="AL926" s="26">
        <f t="shared" si="339"/>
        <v>0.94576780066390076</v>
      </c>
      <c r="AM926" s="17">
        <f t="shared" si="327"/>
        <v>0.5780346820809249</v>
      </c>
      <c r="AN926" s="60" t="s">
        <v>43</v>
      </c>
      <c r="AO926" s="39">
        <v>49</v>
      </c>
      <c r="AP926" s="52" t="s">
        <v>35</v>
      </c>
      <c r="AQ926" s="17"/>
      <c r="AR926" s="17"/>
      <c r="AS926" s="27"/>
      <c r="AT926" s="17"/>
      <c r="AU926" s="17"/>
      <c r="AV926" s="17"/>
      <c r="AW926" s="17"/>
      <c r="AX926" s="17"/>
      <c r="BB926" s="17"/>
    </row>
    <row r="927" spans="1:54" x14ac:dyDescent="0.2">
      <c r="A927" s="18" t="s">
        <v>90</v>
      </c>
      <c r="B927" s="18" t="s">
        <v>91</v>
      </c>
      <c r="C927" s="18" t="s">
        <v>94</v>
      </c>
      <c r="D927" s="18" t="str">
        <f t="shared" si="328"/>
        <v>CAT1.1B_33</v>
      </c>
      <c r="E927" s="55" t="s">
        <v>80</v>
      </c>
      <c r="F927" s="18">
        <v>33</v>
      </c>
      <c r="G927" s="46">
        <v>1.95</v>
      </c>
      <c r="H927" s="46">
        <v>1.85</v>
      </c>
      <c r="I927" s="46">
        <v>1.05</v>
      </c>
      <c r="J927" s="23">
        <f t="shared" si="329"/>
        <v>2.9755425</v>
      </c>
      <c r="K927" s="61">
        <v>0.19062500000000027</v>
      </c>
      <c r="L927" s="45">
        <f t="shared" ref="L927:L958" si="342">M926+K927</f>
        <v>1.1406250000000002</v>
      </c>
      <c r="M927" s="45">
        <f t="shared" si="325"/>
        <v>2.1906250000000003</v>
      </c>
      <c r="N927" s="46">
        <f>L927+((M927-L927)/2)</f>
        <v>1.6656250000000004</v>
      </c>
      <c r="O927" s="46">
        <f t="shared" ref="O927:O958" si="343">P926+K927</f>
        <v>41.140625</v>
      </c>
      <c r="P927" s="46">
        <f t="shared" si="326"/>
        <v>42.190624999999997</v>
      </c>
      <c r="Q927" s="46">
        <f t="shared" ref="Q927:Q990" si="344">O927+((P927-O927)/2)</f>
        <v>41.665624999999999</v>
      </c>
      <c r="R927" s="46">
        <v>41.140625</v>
      </c>
      <c r="S927" s="46">
        <v>42.190624999999997</v>
      </c>
      <c r="T927" s="54">
        <v>41.7</v>
      </c>
      <c r="U927" s="46">
        <f t="shared" si="332"/>
        <v>41.7</v>
      </c>
      <c r="V927" s="18">
        <v>7.5583999999999998</v>
      </c>
      <c r="W927" s="18">
        <v>4.0521000000000003</v>
      </c>
      <c r="X927" s="23">
        <v>1.1476266666666699</v>
      </c>
      <c r="Y927" s="23">
        <f t="shared" si="333"/>
        <v>6.4107733333333297</v>
      </c>
      <c r="Z927" s="23">
        <f t="shared" si="334"/>
        <v>2.9044733333333301</v>
      </c>
      <c r="AA927" s="21">
        <f t="shared" si="335"/>
        <v>54.69386948636464</v>
      </c>
      <c r="AB927" s="21">
        <f t="shared" si="336"/>
        <v>45.30613051363536</v>
      </c>
      <c r="AC927" s="23">
        <f>Y927/J927</f>
        <v>2.1544889153266435</v>
      </c>
      <c r="AD927" s="23">
        <f>Z927/J927</f>
        <v>0.97611555987969589</v>
      </c>
      <c r="AE927" s="57">
        <v>13.452</v>
      </c>
      <c r="AF927" s="57">
        <v>14.099</v>
      </c>
      <c r="AG927" s="57">
        <v>13.974</v>
      </c>
      <c r="AH927" s="58">
        <f>AG927-AE927</f>
        <v>0.52200000000000024</v>
      </c>
      <c r="AI927" s="59">
        <f>((AF927-AG927)/(AF927-AE927))*100</f>
        <v>19.31993817619783</v>
      </c>
      <c r="AJ927" s="26">
        <f t="shared" si="337"/>
        <v>0.96599690880989153</v>
      </c>
      <c r="AK927" s="26">
        <f t="shared" si="338"/>
        <v>11.167594321501637</v>
      </c>
      <c r="AL927" s="26">
        <f t="shared" si="339"/>
        <v>0.9701804099394431</v>
      </c>
      <c r="AM927" s="17">
        <f t="shared" si="327"/>
        <v>0.5780346820809249</v>
      </c>
      <c r="AN927" s="60" t="s">
        <v>44</v>
      </c>
      <c r="AO927" s="39" t="s">
        <v>54</v>
      </c>
      <c r="AP927" s="18" t="s">
        <v>35</v>
      </c>
      <c r="AQ927" s="17"/>
      <c r="AR927" s="17"/>
      <c r="AS927" s="27"/>
      <c r="AT927" s="17"/>
      <c r="AU927" s="17"/>
      <c r="AV927" s="17"/>
      <c r="AW927" s="17"/>
      <c r="AX927" s="17"/>
      <c r="BB927" s="17"/>
    </row>
    <row r="928" spans="1:54" x14ac:dyDescent="0.2">
      <c r="A928" s="18" t="s">
        <v>90</v>
      </c>
      <c r="B928" s="18" t="s">
        <v>91</v>
      </c>
      <c r="C928" s="18" t="s">
        <v>94</v>
      </c>
      <c r="D928" s="18" t="str">
        <f t="shared" si="328"/>
        <v>CAT1.1B_34</v>
      </c>
      <c r="E928" s="55" t="s">
        <v>80</v>
      </c>
      <c r="F928" s="18">
        <v>34</v>
      </c>
      <c r="G928" s="46">
        <v>1.9</v>
      </c>
      <c r="H928" s="46">
        <v>2.2000000000000002</v>
      </c>
      <c r="I928" s="46">
        <v>1.1000000000000001</v>
      </c>
      <c r="J928" s="23">
        <f t="shared" si="329"/>
        <v>3.6288587499999996</v>
      </c>
      <c r="K928" s="61">
        <v>0.19062500000000027</v>
      </c>
      <c r="L928" s="45">
        <f t="shared" si="342"/>
        <v>2.3812500000000005</v>
      </c>
      <c r="M928" s="45">
        <f t="shared" si="325"/>
        <v>3.4812500000000006</v>
      </c>
      <c r="N928" s="46">
        <f t="shared" ref="N928:N958" si="345">L928+((M928-L928)/2)</f>
        <v>2.9312500000000004</v>
      </c>
      <c r="O928" s="46">
        <f t="shared" si="343"/>
        <v>42.381249999999994</v>
      </c>
      <c r="P928" s="46">
        <f t="shared" si="326"/>
        <v>43.481249999999996</v>
      </c>
      <c r="Q928" s="46">
        <f t="shared" si="344"/>
        <v>42.931249999999991</v>
      </c>
      <c r="R928" s="46">
        <v>42.381249999999994</v>
      </c>
      <c r="S928" s="46">
        <v>43.481249999999996</v>
      </c>
      <c r="T928" s="54">
        <v>42.9</v>
      </c>
      <c r="U928" s="46">
        <f t="shared" si="332"/>
        <v>42.9</v>
      </c>
      <c r="V928" s="18">
        <v>8.3788</v>
      </c>
      <c r="W928" s="18">
        <v>4.6452</v>
      </c>
      <c r="X928" s="23">
        <v>1.1476266666666699</v>
      </c>
      <c r="Y928" s="23">
        <f t="shared" si="333"/>
        <v>7.2311733333333299</v>
      </c>
      <c r="Z928" s="23">
        <f t="shared" si="334"/>
        <v>3.4975733333333299</v>
      </c>
      <c r="AA928" s="21">
        <f t="shared" si="335"/>
        <v>51.632008083519899</v>
      </c>
      <c r="AB928" s="21">
        <f t="shared" si="336"/>
        <v>48.367991916480101</v>
      </c>
      <c r="AC928" s="23">
        <f>Y928/J928</f>
        <v>1.9926852576814489</v>
      </c>
      <c r="AD928" s="23">
        <f>Z928/J928</f>
        <v>0.96382184435625395</v>
      </c>
      <c r="AE928" s="57">
        <v>12.271000000000001</v>
      </c>
      <c r="AF928" s="57">
        <v>13.13</v>
      </c>
      <c r="AG928" s="57">
        <v>13.025</v>
      </c>
      <c r="AH928" s="58">
        <f>AG928-AE928</f>
        <v>0.75399999999999956</v>
      </c>
      <c r="AI928" s="59">
        <f>((AF928-AG928)/(AF928-AE928))*100</f>
        <v>12.223515715948828</v>
      </c>
      <c r="AJ928" s="26">
        <f t="shared" si="337"/>
        <v>0.61117578579744147</v>
      </c>
      <c r="AK928" s="26">
        <f t="shared" si="338"/>
        <v>7.0656160207796699</v>
      </c>
      <c r="AL928" s="26">
        <f t="shared" si="339"/>
        <v>0.61776681777602793</v>
      </c>
      <c r="AM928" s="17">
        <f t="shared" si="327"/>
        <v>0.5780346820809249</v>
      </c>
      <c r="AN928" s="60" t="s">
        <v>46</v>
      </c>
      <c r="AO928" s="45">
        <f>SUM(I926:I958)</f>
        <v>42.899999999999991</v>
      </c>
      <c r="AP928" s="52" t="s">
        <v>35</v>
      </c>
      <c r="AQ928" s="17"/>
      <c r="AR928" s="17"/>
      <c r="AS928" s="27"/>
      <c r="AT928" s="17"/>
      <c r="AU928" s="17"/>
      <c r="AV928" s="17"/>
      <c r="AW928" s="17"/>
      <c r="AX928" s="17"/>
      <c r="BB928" s="17"/>
    </row>
    <row r="929" spans="1:54" x14ac:dyDescent="0.2">
      <c r="A929" s="18" t="s">
        <v>90</v>
      </c>
      <c r="B929" s="18" t="s">
        <v>91</v>
      </c>
      <c r="C929" s="18" t="s">
        <v>94</v>
      </c>
      <c r="D929" s="18" t="str">
        <f t="shared" si="328"/>
        <v>CAT1.1B_35</v>
      </c>
      <c r="E929" s="55" t="s">
        <v>80</v>
      </c>
      <c r="F929" s="18">
        <v>35</v>
      </c>
      <c r="G929" s="46">
        <v>2.2000000000000002</v>
      </c>
      <c r="H929" s="46">
        <v>2.0499999999999998</v>
      </c>
      <c r="I929" s="46">
        <v>1.2</v>
      </c>
      <c r="J929" s="23">
        <f t="shared" si="329"/>
        <v>4.25371875</v>
      </c>
      <c r="K929" s="61">
        <v>0.19062500000000027</v>
      </c>
      <c r="L929" s="45">
        <f t="shared" si="342"/>
        <v>3.6718750000000009</v>
      </c>
      <c r="M929" s="45">
        <f t="shared" si="325"/>
        <v>4.8718750000000011</v>
      </c>
      <c r="N929" s="46">
        <f t="shared" si="345"/>
        <v>4.2718750000000014</v>
      </c>
      <c r="O929" s="46">
        <f t="shared" si="343"/>
        <v>43.671874999999993</v>
      </c>
      <c r="P929" s="46">
        <f t="shared" si="326"/>
        <v>44.871874999999996</v>
      </c>
      <c r="Q929" s="46">
        <f t="shared" si="344"/>
        <v>44.271874999999994</v>
      </c>
      <c r="R929" s="46">
        <v>43.671874999999993</v>
      </c>
      <c r="S929" s="46">
        <v>44.871874999999996</v>
      </c>
      <c r="T929" s="54">
        <v>44.3</v>
      </c>
      <c r="U929" s="46">
        <f t="shared" si="332"/>
        <v>44.3</v>
      </c>
      <c r="V929" s="18">
        <v>8.9128000000000007</v>
      </c>
      <c r="W929" s="18">
        <v>4.3723000000000001</v>
      </c>
      <c r="X929" s="23">
        <v>1.1476266666666699</v>
      </c>
      <c r="Y929" s="23">
        <f t="shared" si="333"/>
        <v>7.7651733333333306</v>
      </c>
      <c r="Z929" s="23">
        <f t="shared" si="334"/>
        <v>3.2246733333333299</v>
      </c>
      <c r="AA929" s="21">
        <f t="shared" si="335"/>
        <v>58.472616194015018</v>
      </c>
      <c r="AB929" s="21">
        <f t="shared" si="336"/>
        <v>41.527383805984982</v>
      </c>
      <c r="AC929" s="23">
        <f>Y929/J929</f>
        <v>1.8255022933364673</v>
      </c>
      <c r="AD929" s="23">
        <f>Z929/J929</f>
        <v>0.75808334374089259</v>
      </c>
      <c r="AE929" s="57">
        <v>12.164999999999999</v>
      </c>
      <c r="AF929" s="57">
        <v>12.673</v>
      </c>
      <c r="AG929" s="57">
        <v>12.592000000000001</v>
      </c>
      <c r="AH929" s="58">
        <f>AG929-AE929</f>
        <v>0.42700000000000138</v>
      </c>
      <c r="AI929" s="59">
        <f>((AF929-AG929)/(AF929-AE929))*100</f>
        <v>15.944881889763657</v>
      </c>
      <c r="AJ929" s="26">
        <f t="shared" si="337"/>
        <v>0.7972440944881829</v>
      </c>
      <c r="AK929" s="26">
        <f t="shared" si="338"/>
        <v>9.216694733967433</v>
      </c>
      <c r="AL929" s="26">
        <f t="shared" si="339"/>
        <v>0.80230801204791835</v>
      </c>
      <c r="AM929" s="17">
        <f t="shared" si="327"/>
        <v>0.5780346820809249</v>
      </c>
      <c r="AN929" s="60" t="s">
        <v>47</v>
      </c>
      <c r="AO929" s="45">
        <f>AO926-AO928</f>
        <v>6.1000000000000085</v>
      </c>
      <c r="AP929" s="52"/>
      <c r="AQ929" s="17"/>
      <c r="AR929" s="17"/>
      <c r="AS929" s="27"/>
      <c r="AT929" s="17"/>
      <c r="AU929" s="17"/>
      <c r="AV929" s="17"/>
      <c r="AW929" s="17"/>
      <c r="AX929" s="17"/>
      <c r="BB929" s="17"/>
    </row>
    <row r="930" spans="1:54" x14ac:dyDescent="0.2">
      <c r="A930" s="18" t="s">
        <v>90</v>
      </c>
      <c r="B930" s="18" t="s">
        <v>91</v>
      </c>
      <c r="C930" s="18" t="s">
        <v>94</v>
      </c>
      <c r="D930" s="18" t="str">
        <f t="shared" si="328"/>
        <v>CAT1.1B_36</v>
      </c>
      <c r="E930" s="55" t="s">
        <v>80</v>
      </c>
      <c r="F930" s="18">
        <v>36</v>
      </c>
      <c r="G930" s="46">
        <v>2</v>
      </c>
      <c r="H930" s="46">
        <v>2</v>
      </c>
      <c r="I930" s="46">
        <v>1.1000000000000001</v>
      </c>
      <c r="J930" s="23">
        <f t="shared" si="329"/>
        <v>3.4540000000000006</v>
      </c>
      <c r="K930" s="61">
        <v>0.19062500000000027</v>
      </c>
      <c r="L930" s="45">
        <f t="shared" si="342"/>
        <v>5.0625000000000018</v>
      </c>
      <c r="M930" s="45">
        <f t="shared" si="325"/>
        <v>6.1625000000000014</v>
      </c>
      <c r="N930" s="46">
        <f t="shared" si="345"/>
        <v>5.6125000000000016</v>
      </c>
      <c r="O930" s="46">
        <f t="shared" si="343"/>
        <v>45.062499999999993</v>
      </c>
      <c r="P930" s="46">
        <f t="shared" si="326"/>
        <v>46.162499999999994</v>
      </c>
      <c r="Q930" s="46">
        <f t="shared" si="344"/>
        <v>45.612499999999997</v>
      </c>
      <c r="R930" s="46">
        <v>45.062499999999993</v>
      </c>
      <c r="S930" s="46">
        <v>46.162499999999994</v>
      </c>
      <c r="T930" s="54">
        <v>45.6</v>
      </c>
      <c r="U930" s="46">
        <f t="shared" si="332"/>
        <v>45.6</v>
      </c>
      <c r="V930" s="18">
        <v>8.9708000000000006</v>
      </c>
      <c r="W930" s="18">
        <v>5.4494999999999996</v>
      </c>
      <c r="X930" s="23">
        <v>1.1476266666666699</v>
      </c>
      <c r="Y930" s="23">
        <f t="shared" si="333"/>
        <v>7.8231733333333304</v>
      </c>
      <c r="Z930" s="23">
        <f t="shared" si="334"/>
        <v>4.3018733333333294</v>
      </c>
      <c r="AA930" s="21">
        <f t="shared" si="335"/>
        <v>45.011146371975251</v>
      </c>
      <c r="AB930" s="21">
        <f t="shared" si="336"/>
        <v>54.988853628024749</v>
      </c>
      <c r="AC930" s="23">
        <f>Y930/J930</f>
        <v>2.2649604323489663</v>
      </c>
      <c r="AD930" s="23">
        <f>Z930/J930</f>
        <v>1.2454757768770495</v>
      </c>
      <c r="AE930" s="57">
        <v>10.41</v>
      </c>
      <c r="AF930" s="57">
        <v>11.423999999999999</v>
      </c>
      <c r="AG930" s="57">
        <v>11.319000000000001</v>
      </c>
      <c r="AH930" s="58">
        <f>AG930-AE930</f>
        <v>0.9090000000000007</v>
      </c>
      <c r="AI930" s="59">
        <f>((AF930-AG930)/(AF930-AE930))*100</f>
        <v>10.35502958579869</v>
      </c>
      <c r="AJ930" s="26">
        <f t="shared" si="337"/>
        <v>0.51775147928993448</v>
      </c>
      <c r="AK930" s="26">
        <f t="shared" si="338"/>
        <v>5.9855662345657166</v>
      </c>
      <c r="AL930" s="26">
        <f t="shared" si="339"/>
        <v>0.52551555096582581</v>
      </c>
      <c r="AM930" s="17">
        <f t="shared" si="327"/>
        <v>0.5780346820809249</v>
      </c>
      <c r="AN930" s="60" t="s">
        <v>48</v>
      </c>
      <c r="AO930" s="39">
        <v>32</v>
      </c>
      <c r="AP930" s="52"/>
      <c r="AQ930" s="17"/>
      <c r="AR930" s="17"/>
      <c r="AS930" s="27"/>
      <c r="AT930" s="17"/>
      <c r="AU930" s="17"/>
      <c r="AV930" s="17"/>
      <c r="AW930" s="17"/>
      <c r="AX930" s="17"/>
      <c r="BB930" s="17"/>
    </row>
    <row r="931" spans="1:54" x14ac:dyDescent="0.2">
      <c r="A931" s="18" t="s">
        <v>90</v>
      </c>
      <c r="B931" s="18" t="s">
        <v>91</v>
      </c>
      <c r="C931" s="18" t="s">
        <v>94</v>
      </c>
      <c r="D931" s="18" t="str">
        <f t="shared" si="328"/>
        <v>CAT1.1B_37</v>
      </c>
      <c r="E931" s="55" t="s">
        <v>80</v>
      </c>
      <c r="F931" s="18">
        <v>37</v>
      </c>
      <c r="G931" s="46">
        <v>1.9</v>
      </c>
      <c r="H931" s="46">
        <v>2</v>
      </c>
      <c r="I931" s="46">
        <v>1.1000000000000001</v>
      </c>
      <c r="J931" s="23">
        <f t="shared" si="329"/>
        <v>3.2834587500000003</v>
      </c>
      <c r="K931" s="61">
        <v>0.19062500000000027</v>
      </c>
      <c r="L931" s="45">
        <f t="shared" si="342"/>
        <v>6.3531250000000021</v>
      </c>
      <c r="M931" s="45">
        <f t="shared" si="325"/>
        <v>7.4531250000000018</v>
      </c>
      <c r="N931" s="46">
        <f t="shared" si="345"/>
        <v>6.903125000000002</v>
      </c>
      <c r="O931" s="46">
        <f t="shared" si="343"/>
        <v>46.353124999999991</v>
      </c>
      <c r="P931" s="46">
        <f t="shared" si="326"/>
        <v>47.453124999999993</v>
      </c>
      <c r="Q931" s="46">
        <f t="shared" si="344"/>
        <v>46.903124999999989</v>
      </c>
      <c r="R931" s="46">
        <v>46.353124999999991</v>
      </c>
      <c r="S931" s="46">
        <v>47.453124999999993</v>
      </c>
      <c r="T931" s="54">
        <v>46.9</v>
      </c>
      <c r="U931" s="46">
        <f t="shared" si="332"/>
        <v>46.9</v>
      </c>
      <c r="V931" s="18">
        <v>8.1239000000000008</v>
      </c>
      <c r="W931" s="18">
        <v>3.5158999999999998</v>
      </c>
      <c r="X931" s="23">
        <v>1.1476266666666699</v>
      </c>
      <c r="Y931" s="23">
        <f t="shared" si="333"/>
        <v>6.9762733333333307</v>
      </c>
      <c r="Z931" s="23">
        <f t="shared" si="334"/>
        <v>2.3682733333333301</v>
      </c>
      <c r="AA931" s="21">
        <f t="shared" si="335"/>
        <v>66.052457806985814</v>
      </c>
      <c r="AB931" s="21">
        <f t="shared" si="336"/>
        <v>33.947542193014186</v>
      </c>
      <c r="AC931" s="23">
        <f>Y931/J931</f>
        <v>2.1246721413306409</v>
      </c>
      <c r="AD931" s="23">
        <f>Z931/J931</f>
        <v>0.72127397164143747</v>
      </c>
      <c r="AE931" s="57">
        <v>9.3670000000000009</v>
      </c>
      <c r="AF931" s="57">
        <v>9.7919999999999998</v>
      </c>
      <c r="AG931" s="57">
        <v>9.6679999999999993</v>
      </c>
      <c r="AH931" s="58">
        <f>AG931-AE931</f>
        <v>0.30099999999999838</v>
      </c>
      <c r="AI931" s="59">
        <f>((AF931-AG931)/(AF931-AE931))*100</f>
        <v>29.1764705882355</v>
      </c>
      <c r="AJ931" s="26">
        <f t="shared" si="337"/>
        <v>1.4588235294117751</v>
      </c>
      <c r="AK931" s="26">
        <f t="shared" si="338"/>
        <v>16.865011900714162</v>
      </c>
      <c r="AL931" s="26">
        <f t="shared" si="339"/>
        <v>1.4615971024757228</v>
      </c>
      <c r="AM931" s="17">
        <f t="shared" si="327"/>
        <v>0.5780346820809249</v>
      </c>
      <c r="AN931" s="60" t="s">
        <v>49</v>
      </c>
      <c r="AO931" s="50">
        <f>AO929/AO930</f>
        <v>0.19062500000000027</v>
      </c>
      <c r="AP931" s="52" t="s">
        <v>35</v>
      </c>
      <c r="AQ931" s="17"/>
      <c r="AR931" s="17"/>
      <c r="AS931" s="27"/>
      <c r="AT931" s="17"/>
      <c r="AU931" s="17"/>
      <c r="AV931" s="17"/>
      <c r="AW931" s="17"/>
      <c r="AX931" s="17"/>
      <c r="BB931" s="17"/>
    </row>
    <row r="932" spans="1:54" x14ac:dyDescent="0.2">
      <c r="A932" s="18" t="s">
        <v>90</v>
      </c>
      <c r="B932" s="18" t="s">
        <v>91</v>
      </c>
      <c r="C932" s="18" t="s">
        <v>94</v>
      </c>
      <c r="D932" s="18" t="str">
        <f t="shared" si="328"/>
        <v>CAT1.1B_38</v>
      </c>
      <c r="E932" s="55" t="s">
        <v>80</v>
      </c>
      <c r="F932" s="18">
        <v>38</v>
      </c>
      <c r="G932" s="46">
        <v>2</v>
      </c>
      <c r="H932" s="46">
        <v>2.2000000000000002</v>
      </c>
      <c r="I932" s="46">
        <v>1.2</v>
      </c>
      <c r="J932" s="23">
        <f t="shared" si="329"/>
        <v>4.1542200000000005</v>
      </c>
      <c r="K932" s="61">
        <v>0.19062500000000027</v>
      </c>
      <c r="L932" s="45">
        <f t="shared" si="342"/>
        <v>7.6437500000000025</v>
      </c>
      <c r="M932" s="45">
        <f t="shared" si="325"/>
        <v>8.8437500000000018</v>
      </c>
      <c r="N932" s="46">
        <f t="shared" si="345"/>
        <v>8.2437500000000021</v>
      </c>
      <c r="O932" s="46">
        <f t="shared" si="343"/>
        <v>47.64374999999999</v>
      </c>
      <c r="P932" s="46">
        <f t="shared" si="326"/>
        <v>48.843749999999993</v>
      </c>
      <c r="Q932" s="46">
        <f t="shared" si="344"/>
        <v>48.243749999999991</v>
      </c>
      <c r="R932" s="46">
        <v>47.64374999999999</v>
      </c>
      <c r="S932" s="46">
        <v>48.843749999999993</v>
      </c>
      <c r="T932" s="54">
        <v>48.2</v>
      </c>
      <c r="U932" s="46">
        <f t="shared" si="332"/>
        <v>48.2</v>
      </c>
      <c r="V932" s="18">
        <v>8.3292000000000002</v>
      </c>
      <c r="W932" s="18">
        <v>4.0646000000000004</v>
      </c>
      <c r="X932" s="23">
        <v>1.1476266666666699</v>
      </c>
      <c r="Y932" s="23">
        <f t="shared" si="333"/>
        <v>7.18157333333333</v>
      </c>
      <c r="Z932" s="23">
        <f t="shared" si="334"/>
        <v>2.9169733333333303</v>
      </c>
      <c r="AA932" s="21">
        <f t="shared" si="335"/>
        <v>59.382530847465198</v>
      </c>
      <c r="AB932" s="21">
        <f t="shared" si="336"/>
        <v>40.617469152534802</v>
      </c>
      <c r="AC932" s="23">
        <f>Y932/J932</f>
        <v>1.7287416971978684</v>
      </c>
      <c r="AD932" s="23">
        <f>Z932/J932</f>
        <v>0.70217112558635075</v>
      </c>
      <c r="AE932" s="57">
        <v>23.096</v>
      </c>
      <c r="AF932" s="57">
        <v>23.809000000000001</v>
      </c>
      <c r="AG932" s="57">
        <v>23.640999999999998</v>
      </c>
      <c r="AH932" s="58">
        <f>AG932-AE932</f>
        <v>0.54499999999999815</v>
      </c>
      <c r="AI932" s="59">
        <f>((AF932-AG932)/(AF932-AE932))*100</f>
        <v>23.562412342216351</v>
      </c>
      <c r="AJ932" s="26">
        <f t="shared" si="337"/>
        <v>1.1781206171108176</v>
      </c>
      <c r="AK932" s="26">
        <f t="shared" si="338"/>
        <v>13.61989152729269</v>
      </c>
      <c r="AL932" s="26">
        <f t="shared" si="339"/>
        <v>1.1815532948037399</v>
      </c>
      <c r="AM932" s="17">
        <f t="shared" si="327"/>
        <v>0.5780346820809249</v>
      </c>
      <c r="AN932" s="52"/>
      <c r="AO932" s="39"/>
      <c r="AP932" s="18"/>
      <c r="AQ932" s="17"/>
      <c r="AR932" s="17"/>
      <c r="AS932" s="27"/>
      <c r="AT932" s="17"/>
      <c r="AU932" s="17"/>
      <c r="AV932" s="17"/>
      <c r="AW932" s="17"/>
      <c r="AX932" s="17"/>
      <c r="BB932" s="17"/>
    </row>
    <row r="933" spans="1:54" x14ac:dyDescent="0.2">
      <c r="A933" s="18" t="s">
        <v>90</v>
      </c>
      <c r="B933" s="18" t="s">
        <v>91</v>
      </c>
      <c r="C933" s="18" t="s">
        <v>94</v>
      </c>
      <c r="D933" s="18" t="str">
        <f t="shared" si="328"/>
        <v>CAT1.1B_39</v>
      </c>
      <c r="E933" s="55" t="s">
        <v>80</v>
      </c>
      <c r="F933" s="18">
        <v>39</v>
      </c>
      <c r="G933" s="46">
        <v>2.2000000000000002</v>
      </c>
      <c r="H933" s="46">
        <v>2.5</v>
      </c>
      <c r="I933" s="46">
        <v>1.5</v>
      </c>
      <c r="J933" s="23">
        <f t="shared" si="329"/>
        <v>6.5027437500000005</v>
      </c>
      <c r="K933" s="61">
        <v>0.19062500000000027</v>
      </c>
      <c r="L933" s="45">
        <f t="shared" si="342"/>
        <v>9.0343750000000025</v>
      </c>
      <c r="M933" s="45">
        <f t="shared" si="325"/>
        <v>10.534375000000002</v>
      </c>
      <c r="N933" s="46">
        <f t="shared" si="345"/>
        <v>9.7843750000000025</v>
      </c>
      <c r="O933" s="46">
        <f t="shared" si="343"/>
        <v>49.03437499999999</v>
      </c>
      <c r="P933" s="46">
        <f t="shared" si="326"/>
        <v>50.53437499999999</v>
      </c>
      <c r="Q933" s="46">
        <f t="shared" si="344"/>
        <v>49.78437499999999</v>
      </c>
      <c r="R933" s="46">
        <v>49.03437499999999</v>
      </c>
      <c r="S933" s="46">
        <v>50.53437499999999</v>
      </c>
      <c r="T933" s="54">
        <v>49.8</v>
      </c>
      <c r="U933" s="46">
        <f t="shared" si="332"/>
        <v>49.8</v>
      </c>
      <c r="V933" s="18">
        <v>8.9315999999999995</v>
      </c>
      <c r="W933" s="18">
        <v>4.766</v>
      </c>
      <c r="X933" s="23">
        <v>1.1476266666666699</v>
      </c>
      <c r="Y933" s="23">
        <f t="shared" si="333"/>
        <v>7.7839733333333294</v>
      </c>
      <c r="Z933" s="23">
        <f t="shared" si="334"/>
        <v>3.6183733333333299</v>
      </c>
      <c r="AA933" s="21">
        <f t="shared" si="335"/>
        <v>53.515085697450168</v>
      </c>
      <c r="AB933" s="21">
        <f t="shared" si="336"/>
        <v>46.484914302549832</v>
      </c>
      <c r="AC933" s="23">
        <f>Y933/J933</f>
        <v>1.1970290745861436</v>
      </c>
      <c r="AD933" s="23">
        <f>Z933/J933</f>
        <v>0.55643793949797415</v>
      </c>
      <c r="AE933" s="57">
        <v>22.863</v>
      </c>
      <c r="AF933" s="57">
        <v>23.841000000000001</v>
      </c>
      <c r="AG933" s="57">
        <v>23.721</v>
      </c>
      <c r="AH933" s="58">
        <f>AG933-AE933</f>
        <v>0.85800000000000054</v>
      </c>
      <c r="AI933" s="59">
        <f>((AF933-AG933)/(AF933-AE933))*100</f>
        <v>12.26993865030683</v>
      </c>
      <c r="AJ933" s="26">
        <f t="shared" si="337"/>
        <v>0.61349693251534154</v>
      </c>
      <c r="AK933" s="26">
        <f t="shared" si="338"/>
        <v>7.0924500868825611</v>
      </c>
      <c r="AL933" s="26">
        <f t="shared" si="339"/>
        <v>0.62006329209664846</v>
      </c>
      <c r="AM933" s="17">
        <f t="shared" si="327"/>
        <v>0.5780346820809249</v>
      </c>
      <c r="AN933" s="52"/>
      <c r="AO933" s="39"/>
      <c r="AP933" s="18"/>
      <c r="AQ933" s="17"/>
      <c r="AR933" s="17"/>
      <c r="AS933" s="27"/>
      <c r="AT933" s="17"/>
      <c r="AU933" s="17"/>
      <c r="AV933" s="17"/>
      <c r="AW933" s="17"/>
      <c r="AX933" s="17"/>
      <c r="BB933" s="17"/>
    </row>
    <row r="934" spans="1:54" x14ac:dyDescent="0.2">
      <c r="A934" s="18" t="s">
        <v>90</v>
      </c>
      <c r="B934" s="18" t="s">
        <v>91</v>
      </c>
      <c r="C934" s="18" t="s">
        <v>94</v>
      </c>
      <c r="D934" s="18" t="str">
        <f t="shared" si="328"/>
        <v>CAT1.1B_40</v>
      </c>
      <c r="E934" s="55" t="s">
        <v>80</v>
      </c>
      <c r="F934" s="18">
        <v>40</v>
      </c>
      <c r="G934" s="46">
        <v>2.4000000000000004</v>
      </c>
      <c r="H934" s="46">
        <v>2.4000000000000004</v>
      </c>
      <c r="I934" s="46">
        <v>1.4</v>
      </c>
      <c r="J934" s="23">
        <f t="shared" si="329"/>
        <v>6.3302400000000016</v>
      </c>
      <c r="K934" s="61">
        <v>0.19062500000000027</v>
      </c>
      <c r="L934" s="45">
        <f t="shared" si="342"/>
        <v>10.725000000000003</v>
      </c>
      <c r="M934" s="45">
        <f t="shared" si="325"/>
        <v>12.125000000000004</v>
      </c>
      <c r="N934" s="46">
        <f t="shared" si="345"/>
        <v>11.425000000000004</v>
      </c>
      <c r="O934" s="46">
        <f t="shared" si="343"/>
        <v>50.724999999999987</v>
      </c>
      <c r="P934" s="46">
        <f t="shared" si="326"/>
        <v>52.124999999999986</v>
      </c>
      <c r="Q934" s="46">
        <f t="shared" si="344"/>
        <v>51.424999999999983</v>
      </c>
      <c r="R934" s="46">
        <v>50.724999999999987</v>
      </c>
      <c r="S934" s="46">
        <v>52.124999999999986</v>
      </c>
      <c r="T934" s="54">
        <v>51.4</v>
      </c>
      <c r="U934" s="46">
        <f t="shared" si="332"/>
        <v>51.4</v>
      </c>
      <c r="V934" s="18">
        <v>8.9735999999999994</v>
      </c>
      <c r="W934" s="18">
        <v>4.2937000000000003</v>
      </c>
      <c r="X934" s="23">
        <v>1.1476266666666699</v>
      </c>
      <c r="Y934" s="23">
        <f t="shared" si="333"/>
        <v>7.8259733333333292</v>
      </c>
      <c r="Z934" s="23">
        <f t="shared" si="334"/>
        <v>3.1460733333333302</v>
      </c>
      <c r="AA934" s="21">
        <f t="shared" si="335"/>
        <v>59.799590423683199</v>
      </c>
      <c r="AB934" s="21">
        <f t="shared" si="336"/>
        <v>40.200409576316801</v>
      </c>
      <c r="AC934" s="23">
        <f>Y934/J934</f>
        <v>1.2362838270481573</v>
      </c>
      <c r="AD934" s="23">
        <f>Z934/J934</f>
        <v>0.49699116199912313</v>
      </c>
      <c r="AE934" s="57">
        <v>14.749000000000001</v>
      </c>
      <c r="AF934" s="57">
        <v>15.375999999999999</v>
      </c>
      <c r="AG934" s="57">
        <v>15.24</v>
      </c>
      <c r="AH934" s="58">
        <f>AG934-AE934</f>
        <v>0.49099999999999966</v>
      </c>
      <c r="AI934" s="59">
        <f>((AF934-AG934)/(AF934-AE934))*100</f>
        <v>21.69059011164266</v>
      </c>
      <c r="AJ934" s="26">
        <f t="shared" si="337"/>
        <v>1.0845295055821331</v>
      </c>
      <c r="AK934" s="26">
        <f t="shared" si="338"/>
        <v>12.537913359331018</v>
      </c>
      <c r="AL934" s="26">
        <f t="shared" si="339"/>
        <v>1.0882574366749009</v>
      </c>
      <c r="AM934" s="17">
        <f t="shared" si="327"/>
        <v>0.5780346820809249</v>
      </c>
      <c r="AN934" s="52"/>
      <c r="AO934" s="39"/>
      <c r="AP934" s="18"/>
      <c r="AQ934" s="17"/>
      <c r="AR934" s="17"/>
      <c r="AS934" s="27"/>
      <c r="AT934" s="17"/>
      <c r="AU934" s="17"/>
      <c r="AV934" s="17"/>
      <c r="AW934" s="17"/>
      <c r="AX934" s="17"/>
      <c r="BB934" s="17"/>
    </row>
    <row r="935" spans="1:54" x14ac:dyDescent="0.2">
      <c r="A935" s="18" t="s">
        <v>90</v>
      </c>
      <c r="B935" s="18" t="s">
        <v>91</v>
      </c>
      <c r="C935" s="18" t="s">
        <v>94</v>
      </c>
      <c r="D935" s="18" t="str">
        <f t="shared" si="328"/>
        <v>CAT1.1B_41</v>
      </c>
      <c r="E935" s="55" t="s">
        <v>80</v>
      </c>
      <c r="F935" s="18">
        <v>41</v>
      </c>
      <c r="G935" s="46">
        <v>2.3000000000000003</v>
      </c>
      <c r="H935" s="46">
        <v>2.5</v>
      </c>
      <c r="I935" s="46">
        <v>1.3</v>
      </c>
      <c r="J935" s="23">
        <f t="shared" si="329"/>
        <v>5.8780800000000024</v>
      </c>
      <c r="K935" s="61">
        <v>0.19062500000000027</v>
      </c>
      <c r="L935" s="45">
        <f t="shared" si="342"/>
        <v>12.315625000000004</v>
      </c>
      <c r="M935" s="45">
        <f t="shared" si="325"/>
        <v>13.615625000000005</v>
      </c>
      <c r="N935" s="46">
        <f t="shared" si="345"/>
        <v>12.965625000000005</v>
      </c>
      <c r="O935" s="46">
        <f t="shared" si="343"/>
        <v>52.315624999999983</v>
      </c>
      <c r="P935" s="46">
        <f t="shared" si="326"/>
        <v>53.61562499999998</v>
      </c>
      <c r="Q935" s="46">
        <f t="shared" si="344"/>
        <v>52.965624999999982</v>
      </c>
      <c r="R935" s="46">
        <v>52.315624999999983</v>
      </c>
      <c r="S935" s="46">
        <v>53.61562499999998</v>
      </c>
      <c r="T935" s="54">
        <v>53</v>
      </c>
      <c r="U935" s="46">
        <f t="shared" si="332"/>
        <v>53</v>
      </c>
      <c r="V935" s="18">
        <v>9.8369</v>
      </c>
      <c r="W935" s="18">
        <v>5.6723999999999997</v>
      </c>
      <c r="X935" s="23">
        <v>1.1476266666666699</v>
      </c>
      <c r="Y935" s="23">
        <f t="shared" si="333"/>
        <v>8.6892733333333307</v>
      </c>
      <c r="Z935" s="23">
        <f t="shared" si="334"/>
        <v>4.5247733333333295</v>
      </c>
      <c r="AA935" s="21">
        <f t="shared" si="335"/>
        <v>47.926907581838478</v>
      </c>
      <c r="AB935" s="21">
        <f t="shared" si="336"/>
        <v>52.073092418161522</v>
      </c>
      <c r="AC935" s="23">
        <f>Y935/J935</f>
        <v>1.4782502676610947</v>
      </c>
      <c r="AD935" s="23">
        <f>Z935/J935</f>
        <v>0.76977062805088181</v>
      </c>
      <c r="AE935" s="57">
        <v>15.163</v>
      </c>
      <c r="AF935" s="57">
        <v>15.878</v>
      </c>
      <c r="AG935" s="57">
        <v>15.795</v>
      </c>
      <c r="AH935" s="58">
        <f>AG935-AE935</f>
        <v>0.63199999999999967</v>
      </c>
      <c r="AI935" s="59">
        <f>((AF935-AG935)/(AF935-AE935))*100</f>
        <v>11.608391608391637</v>
      </c>
      <c r="AJ935" s="26">
        <f t="shared" si="337"/>
        <v>0.58041958041958186</v>
      </c>
      <c r="AK935" s="26">
        <f t="shared" si="338"/>
        <v>6.7100529528275361</v>
      </c>
      <c r="AL935" s="26">
        <f t="shared" si="339"/>
        <v>0.58735584557782639</v>
      </c>
      <c r="AM935" s="17">
        <f t="shared" si="327"/>
        <v>0.5780346820809249</v>
      </c>
      <c r="AN935" s="52"/>
      <c r="AO935" s="39"/>
      <c r="AP935" s="18"/>
      <c r="AQ935" s="17"/>
      <c r="AR935" s="17"/>
      <c r="AS935" s="27"/>
      <c r="AT935" s="17"/>
      <c r="AU935" s="17"/>
      <c r="AV935" s="17"/>
      <c r="AW935" s="17"/>
      <c r="AX935" s="17"/>
      <c r="BB935" s="17"/>
    </row>
    <row r="936" spans="1:54" x14ac:dyDescent="0.2">
      <c r="A936" s="18" t="s">
        <v>90</v>
      </c>
      <c r="B936" s="18" t="s">
        <v>91</v>
      </c>
      <c r="C936" s="18" t="s">
        <v>94</v>
      </c>
      <c r="D936" s="18" t="str">
        <f t="shared" si="328"/>
        <v>CAT1.1B_42</v>
      </c>
      <c r="E936" s="55" t="s">
        <v>80</v>
      </c>
      <c r="F936" s="18">
        <v>42</v>
      </c>
      <c r="G936" s="46">
        <v>2.2000000000000002</v>
      </c>
      <c r="H936" s="46">
        <v>2.2000000000000002</v>
      </c>
      <c r="I936" s="46">
        <v>1.3</v>
      </c>
      <c r="J936" s="23">
        <f t="shared" si="329"/>
        <v>4.9392200000000015</v>
      </c>
      <c r="K936" s="61">
        <v>0.19062500000000027</v>
      </c>
      <c r="L936" s="45">
        <f t="shared" si="342"/>
        <v>13.806250000000006</v>
      </c>
      <c r="M936" s="45">
        <f t="shared" si="325"/>
        <v>15.106250000000006</v>
      </c>
      <c r="N936" s="46">
        <f t="shared" si="345"/>
        <v>14.456250000000006</v>
      </c>
      <c r="O936" s="46">
        <f t="shared" si="343"/>
        <v>53.806249999999977</v>
      </c>
      <c r="P936" s="46">
        <f t="shared" si="326"/>
        <v>55.106249999999974</v>
      </c>
      <c r="Q936" s="46">
        <f t="shared" si="344"/>
        <v>54.456249999999976</v>
      </c>
      <c r="R936" s="46">
        <v>53.806249999999977</v>
      </c>
      <c r="S936" s="46">
        <v>55.106249999999974</v>
      </c>
      <c r="T936" s="54">
        <v>54.5</v>
      </c>
      <c r="U936" s="46">
        <f t="shared" si="332"/>
        <v>54.5</v>
      </c>
      <c r="V936" s="18">
        <v>8.2741000000000007</v>
      </c>
      <c r="W936" s="18">
        <v>4.3605999999999998</v>
      </c>
      <c r="X936" s="23">
        <v>1.1476266666666699</v>
      </c>
      <c r="Y936" s="23">
        <f t="shared" si="333"/>
        <v>7.1264733333333306</v>
      </c>
      <c r="Z936" s="23">
        <f t="shared" si="334"/>
        <v>3.2129733333333297</v>
      </c>
      <c r="AA936" s="21">
        <f t="shared" si="335"/>
        <v>54.91496027488121</v>
      </c>
      <c r="AB936" s="21">
        <f t="shared" si="336"/>
        <v>45.08503972511879</v>
      </c>
      <c r="AC936" s="23">
        <f>Y936/J936</f>
        <v>1.4428337537775859</v>
      </c>
      <c r="AD936" s="23">
        <f>Z936/J936</f>
        <v>0.65050217105804742</v>
      </c>
      <c r="AE936" s="57">
        <v>16.876000000000001</v>
      </c>
      <c r="AF936" s="57">
        <v>17.829999999999998</v>
      </c>
      <c r="AG936" s="57">
        <v>17.687999999999999</v>
      </c>
      <c r="AH936" s="58">
        <f>AG936-AE936</f>
        <v>0.81199999999999761</v>
      </c>
      <c r="AI936" s="59">
        <f>((AF936-AG936)/(AF936-AE936))*100</f>
        <v>14.884696016771478</v>
      </c>
      <c r="AJ936" s="26">
        <f t="shared" si="337"/>
        <v>0.74423480083857396</v>
      </c>
      <c r="AK936" s="26">
        <f t="shared" si="338"/>
        <v>8.603870529925711</v>
      </c>
      <c r="AL936" s="26">
        <f t="shared" si="339"/>
        <v>0.749656880698918</v>
      </c>
      <c r="AM936" s="17">
        <f t="shared" si="327"/>
        <v>0.5780346820809249</v>
      </c>
      <c r="AN936" s="52"/>
      <c r="AO936" s="39"/>
      <c r="AP936" s="18"/>
      <c r="AQ936" s="17"/>
      <c r="AR936" s="17"/>
      <c r="AS936" s="27"/>
      <c r="AT936" s="17"/>
      <c r="AU936" s="17"/>
      <c r="AV936" s="17"/>
      <c r="AW936" s="17"/>
      <c r="AX936" s="17"/>
      <c r="BB936" s="17"/>
    </row>
    <row r="937" spans="1:54" x14ac:dyDescent="0.2">
      <c r="A937" s="18" t="s">
        <v>90</v>
      </c>
      <c r="B937" s="18" t="s">
        <v>91</v>
      </c>
      <c r="C937" s="18" t="s">
        <v>94</v>
      </c>
      <c r="D937" s="18" t="str">
        <f t="shared" si="328"/>
        <v>CAT1.1B_43</v>
      </c>
      <c r="E937" s="55" t="s">
        <v>80</v>
      </c>
      <c r="F937" s="18">
        <v>43</v>
      </c>
      <c r="G937" s="46">
        <v>2.35</v>
      </c>
      <c r="H937" s="46">
        <v>2.4000000000000004</v>
      </c>
      <c r="I937" s="46">
        <v>1.4</v>
      </c>
      <c r="J937" s="23">
        <f t="shared" si="329"/>
        <v>6.1990468750000005</v>
      </c>
      <c r="K937" s="61">
        <v>0.19062500000000027</v>
      </c>
      <c r="L937" s="45">
        <f t="shared" si="342"/>
        <v>15.296875000000007</v>
      </c>
      <c r="M937" s="45">
        <f t="shared" si="325"/>
        <v>16.696875000000006</v>
      </c>
      <c r="N937" s="46">
        <f t="shared" si="345"/>
        <v>15.996875000000006</v>
      </c>
      <c r="O937" s="46">
        <f t="shared" si="343"/>
        <v>55.296874999999972</v>
      </c>
      <c r="P937" s="46">
        <f t="shared" si="326"/>
        <v>56.69687499999997</v>
      </c>
      <c r="Q937" s="46">
        <f t="shared" si="344"/>
        <v>55.996874999999974</v>
      </c>
      <c r="R937" s="46">
        <v>55.296874999999972</v>
      </c>
      <c r="S937" s="46">
        <v>56.69687499999997</v>
      </c>
      <c r="T937" s="54">
        <v>56</v>
      </c>
      <c r="U937" s="46">
        <f t="shared" si="332"/>
        <v>56</v>
      </c>
      <c r="V937" s="18">
        <v>8.6617999999999995</v>
      </c>
      <c r="W937" s="18">
        <v>3.6423999999999999</v>
      </c>
      <c r="X937" s="23">
        <v>1.1476266666666699</v>
      </c>
      <c r="Y937" s="23">
        <f t="shared" si="333"/>
        <v>7.5141733333333294</v>
      </c>
      <c r="Z937" s="23">
        <f t="shared" si="334"/>
        <v>2.4947733333333302</v>
      </c>
      <c r="AA937" s="21">
        <f t="shared" si="335"/>
        <v>66.799097882579261</v>
      </c>
      <c r="AB937" s="21">
        <f t="shared" si="336"/>
        <v>33.200902117420739</v>
      </c>
      <c r="AC937" s="23">
        <f>Y937/J937</f>
        <v>1.21214978445107</v>
      </c>
      <c r="AD937" s="23">
        <f>Z937/J937</f>
        <v>0.40244466345212626</v>
      </c>
      <c r="AE937" s="57">
        <v>15.04</v>
      </c>
      <c r="AF937" s="57">
        <v>15.555</v>
      </c>
      <c r="AG937" s="57">
        <v>15.404999999999999</v>
      </c>
      <c r="AH937" s="58">
        <f>AG937-AE937</f>
        <v>0.36500000000000021</v>
      </c>
      <c r="AI937" s="59">
        <f>((AF937-AG937)/(AF937-AE937))*100</f>
        <v>29.126213592233047</v>
      </c>
      <c r="AJ937" s="26">
        <f t="shared" si="337"/>
        <v>1.4563106796116525</v>
      </c>
      <c r="AK937" s="26">
        <f t="shared" si="338"/>
        <v>16.835961614007541</v>
      </c>
      <c r="AL937" s="26">
        <f t="shared" si="339"/>
        <v>1.4590890293436358</v>
      </c>
      <c r="AM937" s="17">
        <f t="shared" si="327"/>
        <v>0.5780346820809249</v>
      </c>
      <c r="AN937" s="52"/>
      <c r="AO937" s="39"/>
      <c r="AP937" s="18"/>
      <c r="AQ937" s="17"/>
      <c r="AR937" s="17"/>
      <c r="AS937" s="27"/>
      <c r="AT937" s="17"/>
      <c r="AU937" s="17"/>
      <c r="AV937" s="17"/>
      <c r="AW937" s="17"/>
      <c r="AX937" s="17"/>
      <c r="BB937" s="17"/>
    </row>
    <row r="938" spans="1:54" x14ac:dyDescent="0.2">
      <c r="A938" s="18" t="s">
        <v>90</v>
      </c>
      <c r="B938" s="18" t="s">
        <v>91</v>
      </c>
      <c r="C938" s="18" t="s">
        <v>94</v>
      </c>
      <c r="D938" s="18" t="str">
        <f t="shared" si="328"/>
        <v>CAT1.1B_44</v>
      </c>
      <c r="E938" s="55" t="s">
        <v>80</v>
      </c>
      <c r="F938" s="18">
        <v>44</v>
      </c>
      <c r="G938" s="46">
        <v>2.3000000000000003</v>
      </c>
      <c r="H938" s="46">
        <v>2.3000000000000003</v>
      </c>
      <c r="I938" s="46">
        <v>1.3</v>
      </c>
      <c r="J938" s="23">
        <f t="shared" si="329"/>
        <v>5.3984450000000015</v>
      </c>
      <c r="K938" s="61">
        <v>0.19062500000000027</v>
      </c>
      <c r="L938" s="45">
        <f t="shared" si="342"/>
        <v>16.887500000000006</v>
      </c>
      <c r="M938" s="45">
        <f t="shared" si="325"/>
        <v>18.187500000000007</v>
      </c>
      <c r="N938" s="46">
        <f t="shared" si="345"/>
        <v>17.537500000000009</v>
      </c>
      <c r="O938" s="46">
        <f t="shared" si="343"/>
        <v>56.887499999999967</v>
      </c>
      <c r="P938" s="46">
        <f t="shared" si="326"/>
        <v>58.187499999999964</v>
      </c>
      <c r="Q938" s="46">
        <f t="shared" si="344"/>
        <v>57.537499999999966</v>
      </c>
      <c r="R938" s="46">
        <v>56.887499999999967</v>
      </c>
      <c r="S938" s="46">
        <v>58.187499999999964</v>
      </c>
      <c r="T938" s="54">
        <v>57.5</v>
      </c>
      <c r="U938" s="46">
        <f t="shared" si="332"/>
        <v>57.5</v>
      </c>
      <c r="V938" s="18">
        <v>7.8085000000000004</v>
      </c>
      <c r="W938" s="18">
        <v>3.2757000000000001</v>
      </c>
      <c r="X938" s="23">
        <v>1.1476266666666699</v>
      </c>
      <c r="Y938" s="23">
        <f t="shared" si="333"/>
        <v>6.6608733333333303</v>
      </c>
      <c r="Z938" s="23">
        <f t="shared" si="334"/>
        <v>2.1280733333333304</v>
      </c>
      <c r="AA938" s="21">
        <f t="shared" si="335"/>
        <v>68.051136437564281</v>
      </c>
      <c r="AB938" s="21">
        <f t="shared" si="336"/>
        <v>31.948863562435719</v>
      </c>
      <c r="AC938" s="23">
        <f>Y938/J938</f>
        <v>1.2338503649353338</v>
      </c>
      <c r="AD938" s="23">
        <f>Z938/J938</f>
        <v>0.39420116965780511</v>
      </c>
      <c r="AE938" s="57">
        <v>15.37</v>
      </c>
      <c r="AF938" s="57">
        <v>15.851000000000001</v>
      </c>
      <c r="AG938" s="57">
        <v>15.69</v>
      </c>
      <c r="AH938" s="58">
        <f>AG938-AE938</f>
        <v>0.32000000000000028</v>
      </c>
      <c r="AI938" s="59">
        <f>((AF938-AG938)/(AF938-AE938))*100</f>
        <v>33.471933471933639</v>
      </c>
      <c r="AJ938" s="26">
        <f t="shared" si="337"/>
        <v>1.6735966735966821</v>
      </c>
      <c r="AK938" s="26">
        <f t="shared" si="338"/>
        <v>19.347938423083029</v>
      </c>
      <c r="AL938" s="26">
        <f t="shared" si="339"/>
        <v>1.6760148644549306</v>
      </c>
      <c r="AM938" s="17">
        <f t="shared" si="327"/>
        <v>0.5780346820809249</v>
      </c>
      <c r="AN938" s="52"/>
      <c r="AO938" s="39"/>
      <c r="AP938" s="18"/>
      <c r="AQ938" s="17"/>
      <c r="AR938" s="17"/>
      <c r="AS938" s="27"/>
      <c r="AT938" s="17"/>
      <c r="AU938" s="17"/>
      <c r="AV938" s="17"/>
      <c r="AW938" s="17"/>
      <c r="AX938" s="17"/>
      <c r="BB938" s="17"/>
    </row>
    <row r="939" spans="1:54" x14ac:dyDescent="0.2">
      <c r="A939" s="18" t="s">
        <v>90</v>
      </c>
      <c r="B939" s="18" t="s">
        <v>91</v>
      </c>
      <c r="C939" s="18" t="s">
        <v>94</v>
      </c>
      <c r="D939" s="18" t="str">
        <f t="shared" si="328"/>
        <v>CAT1.1B_45</v>
      </c>
      <c r="E939" s="55" t="s">
        <v>80</v>
      </c>
      <c r="F939" s="18">
        <v>45</v>
      </c>
      <c r="G939" s="46">
        <v>2.2000000000000002</v>
      </c>
      <c r="H939" s="46">
        <v>2.35</v>
      </c>
      <c r="I939" s="46">
        <v>1.3</v>
      </c>
      <c r="J939" s="23">
        <f t="shared" si="329"/>
        <v>5.2817253125000017</v>
      </c>
      <c r="K939" s="61">
        <v>0.19062500000000027</v>
      </c>
      <c r="L939" s="45">
        <f t="shared" si="342"/>
        <v>18.378125000000008</v>
      </c>
      <c r="M939" s="45">
        <f t="shared" si="325"/>
        <v>19.678125000000009</v>
      </c>
      <c r="N939" s="46">
        <f t="shared" si="345"/>
        <v>19.02812500000001</v>
      </c>
      <c r="O939" s="46">
        <f t="shared" si="343"/>
        <v>58.378124999999962</v>
      </c>
      <c r="P939" s="46">
        <f t="shared" si="326"/>
        <v>59.678124999999959</v>
      </c>
      <c r="Q939" s="46">
        <f t="shared" si="344"/>
        <v>59.02812499999996</v>
      </c>
      <c r="R939" s="46">
        <v>58.378124999999962</v>
      </c>
      <c r="S939" s="46">
        <v>59.678124999999959</v>
      </c>
      <c r="T939" s="54">
        <v>59</v>
      </c>
      <c r="U939" s="46">
        <f t="shared" si="332"/>
        <v>59</v>
      </c>
      <c r="V939" s="18">
        <v>7.0335999999999999</v>
      </c>
      <c r="W939" s="18">
        <v>2.5430000000000001</v>
      </c>
      <c r="X939" s="23">
        <v>1.1476266666666699</v>
      </c>
      <c r="Y939" s="23">
        <f t="shared" si="333"/>
        <v>5.8859733333333297</v>
      </c>
      <c r="Z939" s="23">
        <f t="shared" si="334"/>
        <v>1.3953733333333302</v>
      </c>
      <c r="AA939" s="21">
        <f t="shared" si="335"/>
        <v>76.293244051394552</v>
      </c>
      <c r="AB939" s="21">
        <f t="shared" si="336"/>
        <v>23.706755948605448</v>
      </c>
      <c r="AC939" s="23">
        <f>Y939/J939</f>
        <v>1.1144035301122692</v>
      </c>
      <c r="AD939" s="23">
        <f>Z939/J939</f>
        <v>0.26418892516635961</v>
      </c>
      <c r="AE939" s="57">
        <v>16.774999999999999</v>
      </c>
      <c r="AF939" s="57">
        <v>17.103999999999999</v>
      </c>
      <c r="AG939" s="57">
        <v>16.922000000000001</v>
      </c>
      <c r="AH939" s="58">
        <f>AG939-AE939</f>
        <v>0.14700000000000202</v>
      </c>
      <c r="AI939" s="59">
        <f>((AF939-AG939)/(AF939-AE939))*100</f>
        <v>55.319148936169682</v>
      </c>
      <c r="AJ939" s="26">
        <f t="shared" si="337"/>
        <v>2.7659574468084842</v>
      </c>
      <c r="AK939" s="26">
        <f t="shared" si="338"/>
        <v>31.976386668306176</v>
      </c>
      <c r="AL939" s="26">
        <f t="shared" si="339"/>
        <v>2.767421290218623</v>
      </c>
      <c r="AM939" s="17">
        <f t="shared" si="327"/>
        <v>0.5780346820809249</v>
      </c>
      <c r="AN939" s="52"/>
      <c r="AO939" s="39"/>
      <c r="AP939" s="18"/>
      <c r="AQ939" s="17"/>
      <c r="AR939" s="17"/>
      <c r="AS939" s="27"/>
      <c r="AT939" s="17"/>
      <c r="AU939" s="17"/>
      <c r="AV939" s="17"/>
      <c r="AW939" s="17"/>
      <c r="AX939" s="17"/>
      <c r="BB939" s="17"/>
    </row>
    <row r="940" spans="1:54" x14ac:dyDescent="0.2">
      <c r="A940" s="18" t="s">
        <v>90</v>
      </c>
      <c r="B940" s="18" t="s">
        <v>91</v>
      </c>
      <c r="C940" s="18" t="s">
        <v>94</v>
      </c>
      <c r="D940" s="18" t="str">
        <f t="shared" si="328"/>
        <v>CAT1.1B_46</v>
      </c>
      <c r="E940" s="55" t="s">
        <v>80</v>
      </c>
      <c r="F940" s="18">
        <v>46</v>
      </c>
      <c r="G940" s="46">
        <v>2.3000000000000003</v>
      </c>
      <c r="H940" s="46">
        <v>2.3000000000000003</v>
      </c>
      <c r="I940" s="46">
        <v>1.3</v>
      </c>
      <c r="J940" s="23">
        <f t="shared" si="329"/>
        <v>5.3984450000000015</v>
      </c>
      <c r="K940" s="61">
        <v>0.19062500000000027</v>
      </c>
      <c r="L940" s="45">
        <f t="shared" si="342"/>
        <v>19.868750000000009</v>
      </c>
      <c r="M940" s="45">
        <f t="shared" si="325"/>
        <v>21.16875000000001</v>
      </c>
      <c r="N940" s="46">
        <f t="shared" si="345"/>
        <v>20.518750000000011</v>
      </c>
      <c r="O940" s="46">
        <f t="shared" si="343"/>
        <v>59.868749999999956</v>
      </c>
      <c r="P940" s="46">
        <f t="shared" si="326"/>
        <v>61.168749999999953</v>
      </c>
      <c r="Q940" s="46">
        <f t="shared" si="344"/>
        <v>60.518749999999955</v>
      </c>
      <c r="R940" s="46">
        <v>59.868749999999956</v>
      </c>
      <c r="S940" s="46">
        <v>61.168749999999953</v>
      </c>
      <c r="T940" s="54">
        <v>60.5</v>
      </c>
      <c r="U940" s="46">
        <f t="shared" si="332"/>
        <v>60.5</v>
      </c>
      <c r="V940" s="18">
        <v>7.0678999999999998</v>
      </c>
      <c r="W940" s="18">
        <v>2.4131999999999998</v>
      </c>
      <c r="X940" s="23">
        <v>1.1476266666666699</v>
      </c>
      <c r="Y940" s="23">
        <f t="shared" si="333"/>
        <v>5.9202733333333297</v>
      </c>
      <c r="Z940" s="23">
        <f t="shared" si="334"/>
        <v>1.2655733333333299</v>
      </c>
      <c r="AA940" s="21">
        <f t="shared" si="335"/>
        <v>78.623059070470887</v>
      </c>
      <c r="AB940" s="21">
        <f t="shared" si="336"/>
        <v>21.376940929529113</v>
      </c>
      <c r="AC940" s="23">
        <f>Y940/J940</f>
        <v>1.0966627118241139</v>
      </c>
      <c r="AD940" s="23">
        <f>Z940/J940</f>
        <v>0.23443294010281285</v>
      </c>
      <c r="AE940" s="57">
        <v>15.3</v>
      </c>
      <c r="AF940" s="57">
        <v>15.62</v>
      </c>
      <c r="AG940" s="57">
        <v>15.426</v>
      </c>
      <c r="AH940" s="58">
        <f>AG940-AE940</f>
        <v>0.12599999999999945</v>
      </c>
      <c r="AI940" s="59">
        <f>((AF940-AG940)/(AF940-AE940))*100</f>
        <v>60.624999999999986</v>
      </c>
      <c r="AJ940" s="26">
        <f t="shared" si="337"/>
        <v>3.0312499999999996</v>
      </c>
      <c r="AK940" s="26">
        <f t="shared" si="338"/>
        <v>35.043352601156066</v>
      </c>
      <c r="AL940" s="26">
        <f t="shared" si="339"/>
        <v>3.0325857881517542</v>
      </c>
      <c r="AM940" s="17">
        <f t="shared" si="327"/>
        <v>0.5780346820809249</v>
      </c>
      <c r="AN940" s="52"/>
      <c r="AO940" s="39"/>
      <c r="AP940" s="18"/>
      <c r="AQ940" s="17"/>
      <c r="AR940" s="17"/>
      <c r="AS940" s="27"/>
      <c r="AT940" s="17"/>
      <c r="AU940" s="17"/>
      <c r="AV940" s="17"/>
      <c r="AW940" s="17"/>
      <c r="AX940" s="17"/>
      <c r="BB940" s="17"/>
    </row>
    <row r="941" spans="1:54" x14ac:dyDescent="0.2">
      <c r="A941" s="18" t="s">
        <v>90</v>
      </c>
      <c r="B941" s="18" t="s">
        <v>91</v>
      </c>
      <c r="C941" s="18" t="s">
        <v>94</v>
      </c>
      <c r="D941" s="18" t="str">
        <f t="shared" si="328"/>
        <v>CAT1.1B_47</v>
      </c>
      <c r="E941" s="55" t="s">
        <v>80</v>
      </c>
      <c r="F941" s="18">
        <v>47</v>
      </c>
      <c r="G941" s="46">
        <v>2.2000000000000002</v>
      </c>
      <c r="H941" s="46">
        <v>2.1</v>
      </c>
      <c r="I941" s="46">
        <v>1.3</v>
      </c>
      <c r="J941" s="23">
        <f t="shared" si="329"/>
        <v>4.7172612500000026</v>
      </c>
      <c r="K941" s="61">
        <v>0.19062500000000027</v>
      </c>
      <c r="L941" s="45">
        <f t="shared" si="342"/>
        <v>21.359375000000011</v>
      </c>
      <c r="M941" s="45">
        <f t="shared" si="325"/>
        <v>22.659375000000011</v>
      </c>
      <c r="N941" s="46">
        <f t="shared" si="345"/>
        <v>22.009375000000013</v>
      </c>
      <c r="O941" s="46">
        <f t="shared" si="343"/>
        <v>61.35937499999995</v>
      </c>
      <c r="P941" s="46">
        <f t="shared" si="326"/>
        <v>62.659374999999947</v>
      </c>
      <c r="Q941" s="46">
        <f t="shared" si="344"/>
        <v>62.009374999999949</v>
      </c>
      <c r="R941" s="46">
        <v>61.35937499999995</v>
      </c>
      <c r="S941" s="46">
        <v>62.659374999999947</v>
      </c>
      <c r="T941" s="54">
        <v>62</v>
      </c>
      <c r="U941" s="46">
        <f t="shared" si="332"/>
        <v>62</v>
      </c>
      <c r="V941" s="18">
        <v>6.8487999999999998</v>
      </c>
      <c r="W941" s="18">
        <v>2.4853999999999998</v>
      </c>
      <c r="X941" s="23">
        <v>1.1476266666666699</v>
      </c>
      <c r="Y941" s="23">
        <f t="shared" si="333"/>
        <v>5.7011733333333297</v>
      </c>
      <c r="Z941" s="23">
        <f t="shared" si="334"/>
        <v>1.3377733333333299</v>
      </c>
      <c r="AA941" s="21">
        <f t="shared" si="335"/>
        <v>76.53512259464722</v>
      </c>
      <c r="AB941" s="21">
        <f t="shared" si="336"/>
        <v>23.46487740535278</v>
      </c>
      <c r="AC941" s="23">
        <f>Y941/J941</f>
        <v>1.2085769753229856</v>
      </c>
      <c r="AD941" s="23">
        <f>Z941/J941</f>
        <v>0.2835911056088592</v>
      </c>
      <c r="AE941" s="57">
        <v>17.802</v>
      </c>
      <c r="AF941" s="57">
        <v>18.146999999999998</v>
      </c>
      <c r="AG941" s="57">
        <v>17.960999999999999</v>
      </c>
      <c r="AH941" s="58">
        <f>AG941-AE941</f>
        <v>0.15899999999999892</v>
      </c>
      <c r="AI941" s="59">
        <f>((AF941-AG941)/(AF941-AE941))*100</f>
        <v>53.913043478261038</v>
      </c>
      <c r="AJ941" s="26">
        <f t="shared" si="337"/>
        <v>2.6956521739130519</v>
      </c>
      <c r="AK941" s="26">
        <f t="shared" si="338"/>
        <v>31.163608946971699</v>
      </c>
      <c r="AL941" s="26">
        <f t="shared" si="339"/>
        <v>2.6971541748150329</v>
      </c>
      <c r="AM941" s="17">
        <f t="shared" si="327"/>
        <v>0.5780346820809249</v>
      </c>
      <c r="AN941" s="52"/>
      <c r="AO941" s="39"/>
      <c r="AP941" s="18"/>
      <c r="AQ941" s="17"/>
      <c r="AR941" s="17"/>
      <c r="AS941" s="27"/>
      <c r="AT941" s="17"/>
      <c r="AU941" s="17"/>
      <c r="AV941" s="17"/>
      <c r="AW941" s="17"/>
      <c r="AX941" s="17"/>
      <c r="BB941" s="17"/>
    </row>
    <row r="942" spans="1:54" x14ac:dyDescent="0.2">
      <c r="A942" s="18" t="s">
        <v>90</v>
      </c>
      <c r="B942" s="18" t="s">
        <v>91</v>
      </c>
      <c r="C942" s="18" t="s">
        <v>94</v>
      </c>
      <c r="D942" s="18" t="str">
        <f t="shared" si="328"/>
        <v>CAT1.1B_48</v>
      </c>
      <c r="E942" s="55" t="s">
        <v>80</v>
      </c>
      <c r="F942" s="18">
        <v>48</v>
      </c>
      <c r="G942" s="46">
        <v>2.2000000000000002</v>
      </c>
      <c r="H942" s="46">
        <v>2.4000000000000004</v>
      </c>
      <c r="I942" s="46">
        <v>1.4</v>
      </c>
      <c r="J942" s="23">
        <f t="shared" si="329"/>
        <v>5.8137100000000013</v>
      </c>
      <c r="K942" s="61">
        <v>0.19062500000000027</v>
      </c>
      <c r="L942" s="45">
        <f t="shared" si="342"/>
        <v>22.850000000000012</v>
      </c>
      <c r="M942" s="45">
        <f t="shared" si="325"/>
        <v>24.250000000000011</v>
      </c>
      <c r="N942" s="46">
        <f t="shared" si="345"/>
        <v>23.550000000000011</v>
      </c>
      <c r="O942" s="46">
        <f t="shared" si="343"/>
        <v>62.849999999999945</v>
      </c>
      <c r="P942" s="46">
        <f t="shared" si="326"/>
        <v>64.249999999999943</v>
      </c>
      <c r="Q942" s="46">
        <f t="shared" si="344"/>
        <v>63.54999999999994</v>
      </c>
      <c r="R942" s="46">
        <v>62.849999999999945</v>
      </c>
      <c r="S942" s="46">
        <v>64.249999999999943</v>
      </c>
      <c r="T942" s="54">
        <v>63.5</v>
      </c>
      <c r="U942" s="46">
        <f t="shared" si="332"/>
        <v>63.5</v>
      </c>
      <c r="V942" s="18">
        <v>6.8922999999999996</v>
      </c>
      <c r="W942" s="18">
        <v>2.2307000000000001</v>
      </c>
      <c r="X942" s="23">
        <v>1.1476266666666699</v>
      </c>
      <c r="Y942" s="23">
        <f t="shared" si="333"/>
        <v>5.7446733333333295</v>
      </c>
      <c r="Z942" s="23">
        <f t="shared" si="334"/>
        <v>1.0830733333333302</v>
      </c>
      <c r="AA942" s="21">
        <f t="shared" si="335"/>
        <v>81.146476562055781</v>
      </c>
      <c r="AB942" s="21">
        <f t="shared" si="336"/>
        <v>18.853523437944219</v>
      </c>
      <c r="AC942" s="23">
        <f>Y942/J942</f>
        <v>0.98812519601654158</v>
      </c>
      <c r="AD942" s="23">
        <f>Z942/J942</f>
        <v>0.18629641542721084</v>
      </c>
      <c r="AE942" s="57">
        <v>16.175000000000001</v>
      </c>
      <c r="AF942" s="57">
        <v>16.37</v>
      </c>
      <c r="AG942" s="57">
        <v>16.242000000000001</v>
      </c>
      <c r="AH942" s="58">
        <f>AG942-AE942</f>
        <v>6.7000000000000171E-2</v>
      </c>
      <c r="AI942" s="59">
        <f>((AF942-AG942)/(AF942-AE942))*100</f>
        <v>65.641025641025607</v>
      </c>
      <c r="AJ942" s="26">
        <f t="shared" si="337"/>
        <v>3.2820512820512806</v>
      </c>
      <c r="AK942" s="26">
        <f t="shared" si="338"/>
        <v>37.942789387876076</v>
      </c>
      <c r="AL942" s="26">
        <f t="shared" si="339"/>
        <v>3.2832850345369735</v>
      </c>
      <c r="AM942" s="17">
        <f t="shared" si="327"/>
        <v>0.5780346820809249</v>
      </c>
      <c r="AN942" s="52"/>
      <c r="AO942" s="39"/>
      <c r="AP942" s="18"/>
      <c r="AQ942" s="17"/>
      <c r="AR942" s="17"/>
      <c r="AS942" s="27"/>
      <c r="AT942" s="17"/>
      <c r="AU942" s="17"/>
      <c r="AV942" s="17"/>
      <c r="AW942" s="17"/>
      <c r="AX942" s="17"/>
      <c r="BB942" s="17"/>
    </row>
    <row r="943" spans="1:54" x14ac:dyDescent="0.2">
      <c r="A943" s="18" t="s">
        <v>90</v>
      </c>
      <c r="B943" s="18" t="s">
        <v>91</v>
      </c>
      <c r="C943" s="18" t="s">
        <v>94</v>
      </c>
      <c r="D943" s="18" t="str">
        <f t="shared" si="328"/>
        <v>CAT1.1B_49</v>
      </c>
      <c r="E943" s="55" t="s">
        <v>80</v>
      </c>
      <c r="F943" s="18">
        <v>49</v>
      </c>
      <c r="G943" s="46">
        <v>2.15</v>
      </c>
      <c r="H943" s="46">
        <v>2.15</v>
      </c>
      <c r="I943" s="46">
        <v>1.4</v>
      </c>
      <c r="J943" s="23">
        <f t="shared" si="329"/>
        <v>5.0801274999999997</v>
      </c>
      <c r="K943" s="61">
        <v>0.19062500000000027</v>
      </c>
      <c r="L943" s="45">
        <f t="shared" si="342"/>
        <v>24.440625000000011</v>
      </c>
      <c r="M943" s="45">
        <f t="shared" si="325"/>
        <v>25.84062500000001</v>
      </c>
      <c r="N943" s="46">
        <f t="shared" si="345"/>
        <v>25.140625000000011</v>
      </c>
      <c r="O943" s="46">
        <f t="shared" si="343"/>
        <v>64.44062499999994</v>
      </c>
      <c r="P943" s="46">
        <f t="shared" si="326"/>
        <v>65.840624999999946</v>
      </c>
      <c r="Q943" s="46">
        <f t="shared" si="344"/>
        <v>65.140624999999943</v>
      </c>
      <c r="R943" s="46">
        <v>64.44062499999994</v>
      </c>
      <c r="S943" s="46">
        <v>65.840624999999946</v>
      </c>
      <c r="T943" s="54">
        <v>65.099999999999994</v>
      </c>
      <c r="U943" s="46">
        <f t="shared" si="332"/>
        <v>65.099999999999994</v>
      </c>
      <c r="V943" s="18">
        <v>6.8707000000000003</v>
      </c>
      <c r="W943" s="18">
        <v>2.7355</v>
      </c>
      <c r="X943" s="23">
        <v>1.1476266666666699</v>
      </c>
      <c r="Y943" s="23">
        <f t="shared" si="333"/>
        <v>5.7230733333333301</v>
      </c>
      <c r="Z943" s="23">
        <f t="shared" si="334"/>
        <v>1.5878733333333301</v>
      </c>
      <c r="AA943" s="21">
        <f t="shared" si="335"/>
        <v>72.254884030841282</v>
      </c>
      <c r="AB943" s="21">
        <f t="shared" si="336"/>
        <v>27.745115969158718</v>
      </c>
      <c r="AC943" s="23">
        <f>Y943/J943</f>
        <v>1.1265609639390606</v>
      </c>
      <c r="AD943" s="23">
        <f>Z943/J943</f>
        <v>0.31256564590816477</v>
      </c>
      <c r="AE943" s="57">
        <v>16.588999999999999</v>
      </c>
      <c r="AF943" s="57">
        <v>17.010000000000002</v>
      </c>
      <c r="AG943" s="57">
        <v>16.824999999999999</v>
      </c>
      <c r="AH943" s="58">
        <f>AG943-AE943</f>
        <v>0.23600000000000065</v>
      </c>
      <c r="AI943" s="59">
        <f>((AF943-AG943)/(AF943-AE943))*100</f>
        <v>43.9429928741095</v>
      </c>
      <c r="AJ943" s="26">
        <f t="shared" si="337"/>
        <v>2.1971496437054752</v>
      </c>
      <c r="AK943" s="26">
        <f t="shared" si="338"/>
        <v>25.400573915670233</v>
      </c>
      <c r="AL943" s="26">
        <f t="shared" si="339"/>
        <v>2.1989921684342342</v>
      </c>
      <c r="AM943" s="17">
        <f t="shared" si="327"/>
        <v>0.5780346820809249</v>
      </c>
      <c r="AN943" s="52"/>
      <c r="AO943" s="39"/>
      <c r="AP943" s="18"/>
      <c r="AQ943" s="17"/>
      <c r="AR943" s="17"/>
      <c r="AS943" s="27"/>
      <c r="AT943" s="17"/>
      <c r="AU943" s="17"/>
      <c r="AV943" s="17"/>
      <c r="AW943" s="17"/>
      <c r="AX943" s="17"/>
      <c r="BB943" s="17"/>
    </row>
    <row r="944" spans="1:54" x14ac:dyDescent="0.2">
      <c r="A944" s="18" t="s">
        <v>90</v>
      </c>
      <c r="B944" s="18" t="s">
        <v>91</v>
      </c>
      <c r="C944" s="18" t="s">
        <v>94</v>
      </c>
      <c r="D944" s="18" t="str">
        <f t="shared" si="328"/>
        <v>CAT1.1B_50</v>
      </c>
      <c r="E944" s="55" t="s">
        <v>80</v>
      </c>
      <c r="F944" s="18">
        <v>50</v>
      </c>
      <c r="G944" s="46">
        <v>2.2000000000000002</v>
      </c>
      <c r="H944" s="46">
        <v>2.3000000000000003</v>
      </c>
      <c r="I944" s="46">
        <v>1.4</v>
      </c>
      <c r="J944" s="23">
        <f t="shared" si="329"/>
        <v>5.5636875000000003</v>
      </c>
      <c r="K944" s="61">
        <v>0.19062500000000027</v>
      </c>
      <c r="L944" s="45">
        <f t="shared" si="342"/>
        <v>26.031250000000011</v>
      </c>
      <c r="M944" s="45">
        <f t="shared" si="325"/>
        <v>27.431250000000009</v>
      </c>
      <c r="N944" s="46">
        <f t="shared" si="345"/>
        <v>26.73125000000001</v>
      </c>
      <c r="O944" s="46">
        <f t="shared" si="343"/>
        <v>66.031249999999943</v>
      </c>
      <c r="P944" s="46">
        <f t="shared" si="326"/>
        <v>67.431249999999949</v>
      </c>
      <c r="Q944" s="46">
        <f t="shared" si="344"/>
        <v>66.731249999999946</v>
      </c>
      <c r="R944" s="46">
        <v>66.031249999999943</v>
      </c>
      <c r="S944" s="46">
        <v>67.431249999999949</v>
      </c>
      <c r="T944" s="54">
        <v>66.7</v>
      </c>
      <c r="U944" s="46">
        <f t="shared" si="332"/>
        <v>66.7</v>
      </c>
      <c r="V944" s="18">
        <v>6.4920999999999998</v>
      </c>
      <c r="W944" s="18">
        <v>2.2157</v>
      </c>
      <c r="X944" s="23">
        <v>1.1476266666666699</v>
      </c>
      <c r="Y944" s="23">
        <f t="shared" si="333"/>
        <v>5.3444733333333296</v>
      </c>
      <c r="Z944" s="23">
        <f t="shared" si="334"/>
        <v>1.0680733333333301</v>
      </c>
      <c r="AA944" s="21">
        <f t="shared" si="335"/>
        <v>80.015367900298301</v>
      </c>
      <c r="AB944" s="21">
        <f t="shared" si="336"/>
        <v>19.984632099701699</v>
      </c>
      <c r="AC944" s="23">
        <f>Y944/J944</f>
        <v>0.9605991230336588</v>
      </c>
      <c r="AD944" s="23">
        <f>Z944/J944</f>
        <v>0.1919722006912376</v>
      </c>
      <c r="AE944" s="57">
        <v>16.189</v>
      </c>
      <c r="AF944" s="57">
        <v>16.463999999999999</v>
      </c>
      <c r="AG944" s="57">
        <v>16.262</v>
      </c>
      <c r="AH944" s="58">
        <f>AG944-AE944</f>
        <v>7.3000000000000398E-2</v>
      </c>
      <c r="AI944" s="59">
        <f>((AF944-AG944)/(AF944-AE944))*100</f>
        <v>73.454545454545169</v>
      </c>
      <c r="AJ944" s="26">
        <f t="shared" si="337"/>
        <v>3.6727272727272586</v>
      </c>
      <c r="AK944" s="26">
        <f t="shared" si="338"/>
        <v>42.459274829216866</v>
      </c>
      <c r="AL944" s="26">
        <f t="shared" si="339"/>
        <v>3.6738298300050056</v>
      </c>
      <c r="AM944" s="17">
        <f t="shared" si="327"/>
        <v>0.5780346820809249</v>
      </c>
      <c r="AN944" s="52"/>
      <c r="AO944" s="39"/>
      <c r="AP944" s="18"/>
      <c r="AQ944" s="17"/>
      <c r="AR944" s="17"/>
      <c r="AS944" s="27"/>
      <c r="AT944" s="17"/>
      <c r="AU944" s="17"/>
      <c r="AV944" s="17"/>
      <c r="AW944" s="17"/>
      <c r="AX944" s="17"/>
      <c r="BB944" s="17"/>
    </row>
    <row r="945" spans="1:54" x14ac:dyDescent="0.2">
      <c r="A945" s="18" t="s">
        <v>90</v>
      </c>
      <c r="B945" s="18" t="s">
        <v>91</v>
      </c>
      <c r="C945" s="18" t="s">
        <v>94</v>
      </c>
      <c r="D945" s="18" t="str">
        <f t="shared" si="328"/>
        <v>CAT1.1B_51</v>
      </c>
      <c r="E945" s="55" t="s">
        <v>80</v>
      </c>
      <c r="F945" s="18">
        <v>51</v>
      </c>
      <c r="G945" s="46">
        <v>2.3000000000000003</v>
      </c>
      <c r="H945" s="46">
        <v>2.2000000000000002</v>
      </c>
      <c r="I945" s="46">
        <v>1.3</v>
      </c>
      <c r="J945" s="23">
        <f t="shared" si="329"/>
        <v>5.1662812500000008</v>
      </c>
      <c r="K945" s="61">
        <v>0.19062500000000027</v>
      </c>
      <c r="L945" s="45">
        <f t="shared" si="342"/>
        <v>27.62187500000001</v>
      </c>
      <c r="M945" s="45">
        <f t="shared" si="325"/>
        <v>28.921875000000011</v>
      </c>
      <c r="N945" s="46">
        <f t="shared" si="345"/>
        <v>28.271875000000009</v>
      </c>
      <c r="O945" s="46">
        <f t="shared" si="343"/>
        <v>67.621874999999946</v>
      </c>
      <c r="P945" s="46">
        <f t="shared" si="326"/>
        <v>68.921874999999943</v>
      </c>
      <c r="Q945" s="46">
        <f t="shared" si="344"/>
        <v>68.271874999999937</v>
      </c>
      <c r="R945" s="46">
        <v>67.621874999999946</v>
      </c>
      <c r="S945" s="46">
        <v>68.921874999999943</v>
      </c>
      <c r="T945" s="54">
        <v>68.3</v>
      </c>
      <c r="U945" s="46">
        <f t="shared" si="332"/>
        <v>68.3</v>
      </c>
      <c r="V945" s="18">
        <v>6.2691999999999997</v>
      </c>
      <c r="W945" s="18">
        <v>2.0686</v>
      </c>
      <c r="X945" s="23">
        <v>1.1476266666666699</v>
      </c>
      <c r="Y945" s="23">
        <f t="shared" si="333"/>
        <v>5.1215733333333295</v>
      </c>
      <c r="Z945" s="23">
        <f t="shared" si="334"/>
        <v>0.92097333333333009</v>
      </c>
      <c r="AA945" s="21">
        <f t="shared" si="335"/>
        <v>82.017765374181948</v>
      </c>
      <c r="AB945" s="21">
        <f t="shared" si="336"/>
        <v>17.982234625818052</v>
      </c>
      <c r="AC945" s="23">
        <f>Y945/J945</f>
        <v>0.99134620929383754</v>
      </c>
      <c r="AD945" s="23">
        <f>Z945/J945</f>
        <v>0.17826620130937121</v>
      </c>
      <c r="AE945" s="57">
        <v>14.494999999999999</v>
      </c>
      <c r="AF945" s="57">
        <v>14.721</v>
      </c>
      <c r="AG945" s="57">
        <v>14.521000000000001</v>
      </c>
      <c r="AH945" s="58">
        <f>AG945-AE945</f>
        <v>2.6000000000001577E-2</v>
      </c>
      <c r="AI945" s="59">
        <f>((AF945-AG945)/(AF945-AE945))*100</f>
        <v>88.495575221238283</v>
      </c>
      <c r="AJ945" s="26">
        <f t="shared" si="337"/>
        <v>4.4247787610619147</v>
      </c>
      <c r="AK945" s="26">
        <f t="shared" si="338"/>
        <v>51.153511688577048</v>
      </c>
      <c r="AL945" s="26">
        <f t="shared" si="339"/>
        <v>4.4256939664130206</v>
      </c>
      <c r="AM945" s="17">
        <f t="shared" si="327"/>
        <v>0.5780346820809249</v>
      </c>
      <c r="AN945" s="52"/>
      <c r="AO945" s="39"/>
      <c r="AP945" s="18"/>
      <c r="AQ945" s="17"/>
      <c r="AR945" s="17"/>
      <c r="AS945" s="27"/>
      <c r="AT945" s="17"/>
      <c r="AU945" s="17"/>
      <c r="AV945" s="17"/>
      <c r="AW945" s="17"/>
      <c r="AX945" s="17"/>
      <c r="BB945" s="17"/>
    </row>
    <row r="946" spans="1:54" x14ac:dyDescent="0.2">
      <c r="A946" s="18" t="s">
        <v>90</v>
      </c>
      <c r="B946" s="18" t="s">
        <v>91</v>
      </c>
      <c r="C946" s="18" t="s">
        <v>94</v>
      </c>
      <c r="D946" s="18" t="str">
        <f t="shared" si="328"/>
        <v>CAT1.1B_52</v>
      </c>
      <c r="E946" s="55" t="s">
        <v>80</v>
      </c>
      <c r="F946" s="18">
        <v>52</v>
      </c>
      <c r="G946" s="46">
        <v>2</v>
      </c>
      <c r="H946" s="46">
        <v>2</v>
      </c>
      <c r="I946" s="46">
        <v>1.2</v>
      </c>
      <c r="J946" s="23">
        <f t="shared" si="329"/>
        <v>3.7679999999999998</v>
      </c>
      <c r="K946" s="61">
        <v>0.19062500000000027</v>
      </c>
      <c r="L946" s="45">
        <f t="shared" si="342"/>
        <v>29.112500000000011</v>
      </c>
      <c r="M946" s="45">
        <f t="shared" si="325"/>
        <v>30.312500000000011</v>
      </c>
      <c r="N946" s="46">
        <f t="shared" si="345"/>
        <v>29.712500000000013</v>
      </c>
      <c r="O946" s="46">
        <f t="shared" si="343"/>
        <v>69.11249999999994</v>
      </c>
      <c r="P946" s="46">
        <f t="shared" si="326"/>
        <v>70.312499999999943</v>
      </c>
      <c r="Q946" s="46">
        <f t="shared" si="344"/>
        <v>69.712499999999949</v>
      </c>
      <c r="R946" s="46">
        <v>69.11249999999994</v>
      </c>
      <c r="S946" s="46">
        <v>70.312499999999943</v>
      </c>
      <c r="T946" s="54">
        <v>69.7</v>
      </c>
      <c r="U946" s="46">
        <f t="shared" si="332"/>
        <v>69.7</v>
      </c>
      <c r="V946" s="18">
        <v>5.9870000000000001</v>
      </c>
      <c r="W946" s="18">
        <v>2.0983999999999998</v>
      </c>
      <c r="X946" s="23">
        <v>1.1476266666666699</v>
      </c>
      <c r="Y946" s="23">
        <f t="shared" si="333"/>
        <v>4.83937333333333</v>
      </c>
      <c r="Z946" s="23">
        <f t="shared" si="334"/>
        <v>0.95077333333332992</v>
      </c>
      <c r="AA946" s="21">
        <f t="shared" si="335"/>
        <v>80.353379087650538</v>
      </c>
      <c r="AB946" s="21">
        <f t="shared" si="336"/>
        <v>19.646620912349462</v>
      </c>
      <c r="AC946" s="23">
        <f>Y946/J946</f>
        <v>1.2843347487614996</v>
      </c>
      <c r="AD946" s="23">
        <f>Z946/J946</f>
        <v>0.25232837933474789</v>
      </c>
      <c r="AE946" s="57">
        <v>17.026</v>
      </c>
      <c r="AF946" s="57">
        <v>17.298999999999999</v>
      </c>
      <c r="AG946" s="57">
        <v>17.068000000000001</v>
      </c>
      <c r="AH946" s="58">
        <f>AG946-AE946</f>
        <v>4.2000000000001592E-2</v>
      </c>
      <c r="AI946" s="59">
        <f>((AF946-AG946)/(AF946-AE946))*100</f>
        <v>84.615384615384016</v>
      </c>
      <c r="AJ946" s="26">
        <f t="shared" si="337"/>
        <v>4.2307692307692006</v>
      </c>
      <c r="AK946" s="26">
        <f t="shared" si="338"/>
        <v>48.910626945308685</v>
      </c>
      <c r="AL946" s="26">
        <f t="shared" si="339"/>
        <v>4.2317263952225703</v>
      </c>
      <c r="AM946" s="17">
        <f t="shared" si="327"/>
        <v>0.5780346820809249</v>
      </c>
      <c r="AN946" s="52"/>
      <c r="AO946" s="39"/>
      <c r="AP946" s="18"/>
      <c r="AQ946" s="17"/>
      <c r="AR946" s="17"/>
      <c r="AS946" s="27"/>
      <c r="AT946" s="17"/>
      <c r="AU946" s="17"/>
      <c r="AV946" s="17"/>
      <c r="AW946" s="17"/>
      <c r="AX946" s="17"/>
      <c r="BB946" s="17"/>
    </row>
    <row r="947" spans="1:54" x14ac:dyDescent="0.2">
      <c r="A947" s="18" t="s">
        <v>90</v>
      </c>
      <c r="B947" s="18" t="s">
        <v>91</v>
      </c>
      <c r="C947" s="18" t="s">
        <v>94</v>
      </c>
      <c r="D947" s="18" t="str">
        <f t="shared" si="328"/>
        <v>CAT1.1B_53</v>
      </c>
      <c r="E947" s="55" t="s">
        <v>80</v>
      </c>
      <c r="F947" s="18">
        <v>53</v>
      </c>
      <c r="G947" s="46">
        <v>2.1</v>
      </c>
      <c r="H947" s="46">
        <v>2.2000000000000002</v>
      </c>
      <c r="I947" s="46">
        <v>1.3</v>
      </c>
      <c r="J947" s="23">
        <f t="shared" si="329"/>
        <v>4.7172612500000026</v>
      </c>
      <c r="K947" s="61">
        <v>0.19062500000000027</v>
      </c>
      <c r="L947" s="45">
        <f t="shared" si="342"/>
        <v>30.503125000000011</v>
      </c>
      <c r="M947" s="45">
        <f t="shared" si="325"/>
        <v>31.803125000000012</v>
      </c>
      <c r="N947" s="46">
        <f t="shared" si="345"/>
        <v>31.15312500000001</v>
      </c>
      <c r="O947" s="46">
        <f t="shared" si="343"/>
        <v>70.50312499999994</v>
      </c>
      <c r="P947" s="46">
        <f t="shared" si="326"/>
        <v>71.803124999999937</v>
      </c>
      <c r="Q947" s="46">
        <f t="shared" si="344"/>
        <v>71.153124999999932</v>
      </c>
      <c r="R947" s="46">
        <v>70.50312499999994</v>
      </c>
      <c r="S947" s="46">
        <v>71.803124999999937</v>
      </c>
      <c r="T947" s="54">
        <v>71.2</v>
      </c>
      <c r="U947" s="46">
        <f t="shared" si="332"/>
        <v>71.2</v>
      </c>
      <c r="V947" s="18">
        <v>6.3049999999999997</v>
      </c>
      <c r="W947" s="18">
        <v>2.1236000000000002</v>
      </c>
      <c r="X947" s="23">
        <v>1.1476266666666699</v>
      </c>
      <c r="Y947" s="23">
        <f t="shared" si="333"/>
        <v>5.1573733333333296</v>
      </c>
      <c r="Z947" s="23">
        <f t="shared" si="334"/>
        <v>0.97597333333333025</v>
      </c>
      <c r="AA947" s="21">
        <f t="shared" si="335"/>
        <v>81.076155045333195</v>
      </c>
      <c r="AB947" s="21">
        <f t="shared" si="336"/>
        <v>18.923844954666805</v>
      </c>
      <c r="AC947" s="23">
        <f>Y947/J947</f>
        <v>1.0932982211518021</v>
      </c>
      <c r="AD947" s="23">
        <f>Z947/J947</f>
        <v>0.20689406026289719</v>
      </c>
      <c r="AE947" s="57">
        <v>17.05</v>
      </c>
      <c r="AF947" s="57">
        <v>17.23</v>
      </c>
      <c r="AG947" s="57">
        <v>17.065999999999999</v>
      </c>
      <c r="AH947" s="58">
        <f>AG947-AE947</f>
        <v>1.5999999999998238E-2</v>
      </c>
      <c r="AI947" s="59">
        <f>((AF947-AG947)/(AF947-AE947))*100</f>
        <v>91.111111111112081</v>
      </c>
      <c r="AJ947" s="26">
        <f t="shared" si="337"/>
        <v>4.5555555555556042</v>
      </c>
      <c r="AK947" s="26">
        <f t="shared" si="338"/>
        <v>52.665382145151497</v>
      </c>
      <c r="AL947" s="26">
        <f t="shared" si="339"/>
        <v>4.556444493215464</v>
      </c>
      <c r="AM947" s="17">
        <f t="shared" si="327"/>
        <v>0.5780346820809249</v>
      </c>
      <c r="AN947" s="52"/>
      <c r="AO947" s="39"/>
      <c r="AP947" s="18"/>
      <c r="AQ947" s="17"/>
      <c r="AR947" s="17"/>
      <c r="AS947" s="27"/>
      <c r="AT947" s="17"/>
      <c r="AU947" s="17"/>
      <c r="AV947" s="17"/>
      <c r="AW947" s="17"/>
      <c r="AX947" s="17"/>
      <c r="BB947" s="17"/>
    </row>
    <row r="948" spans="1:54" x14ac:dyDescent="0.2">
      <c r="A948" s="18" t="s">
        <v>90</v>
      </c>
      <c r="B948" s="18" t="s">
        <v>91</v>
      </c>
      <c r="C948" s="18" t="s">
        <v>94</v>
      </c>
      <c r="D948" s="18" t="str">
        <f t="shared" si="328"/>
        <v>CAT1.1B_54</v>
      </c>
      <c r="E948" s="55" t="s">
        <v>80</v>
      </c>
      <c r="F948" s="18">
        <v>54</v>
      </c>
      <c r="G948" s="46">
        <v>2.3000000000000003</v>
      </c>
      <c r="H948" s="46">
        <v>2.1</v>
      </c>
      <c r="I948" s="46">
        <v>1.3</v>
      </c>
      <c r="J948" s="23">
        <f t="shared" si="329"/>
        <v>4.9392200000000015</v>
      </c>
      <c r="K948" s="61">
        <v>0.19062500000000027</v>
      </c>
      <c r="L948" s="45">
        <f t="shared" si="342"/>
        <v>31.993750000000013</v>
      </c>
      <c r="M948" s="45">
        <f t="shared" si="325"/>
        <v>33.29375000000001</v>
      </c>
      <c r="N948" s="46">
        <f t="shared" si="345"/>
        <v>32.643750000000011</v>
      </c>
      <c r="O948" s="46">
        <f t="shared" si="343"/>
        <v>71.993749999999935</v>
      </c>
      <c r="P948" s="46">
        <f t="shared" si="326"/>
        <v>73.293749999999932</v>
      </c>
      <c r="Q948" s="46">
        <f t="shared" si="344"/>
        <v>72.643749999999926</v>
      </c>
      <c r="R948" s="46">
        <v>71.993749999999935</v>
      </c>
      <c r="S948" s="46">
        <v>73.293749999999932</v>
      </c>
      <c r="T948" s="54">
        <v>72.599999999999994</v>
      </c>
      <c r="U948" s="46">
        <f t="shared" si="332"/>
        <v>72.599999999999994</v>
      </c>
      <c r="V948" s="18">
        <v>6.6958000000000002</v>
      </c>
      <c r="W948" s="18">
        <v>2.0960999999999999</v>
      </c>
      <c r="X948" s="23">
        <v>1.1476266666666699</v>
      </c>
      <c r="Y948" s="23">
        <f t="shared" si="333"/>
        <v>5.5481733333333301</v>
      </c>
      <c r="Z948" s="23">
        <f t="shared" si="334"/>
        <v>0.94847333333332995</v>
      </c>
      <c r="AA948" s="21">
        <f t="shared" si="335"/>
        <v>82.904763850204205</v>
      </c>
      <c r="AB948" s="21">
        <f t="shared" si="336"/>
        <v>17.095236149795795</v>
      </c>
      <c r="AC948" s="23">
        <f>Y948/J948</f>
        <v>1.1232893722760533</v>
      </c>
      <c r="AD948" s="23">
        <f>Z948/J948</f>
        <v>0.19202897083615017</v>
      </c>
      <c r="AE948" s="57">
        <v>14.595000000000001</v>
      </c>
      <c r="AF948" s="57">
        <v>14.792999999999999</v>
      </c>
      <c r="AG948" s="57">
        <v>14.606</v>
      </c>
      <c r="AH948" s="58">
        <f>AG948-AE948</f>
        <v>1.0999999999999233E-2</v>
      </c>
      <c r="AI948" s="59">
        <f>((AF948-AG948)/(AF948-AE948))*100</f>
        <v>94.444444444444798</v>
      </c>
      <c r="AJ948" s="26">
        <f t="shared" si="337"/>
        <v>4.7222222222222401</v>
      </c>
      <c r="AK948" s="26">
        <f t="shared" si="338"/>
        <v>54.592164418754223</v>
      </c>
      <c r="AL948" s="26">
        <f t="shared" si="339"/>
        <v>4.7230797914125429</v>
      </c>
      <c r="AM948" s="17">
        <f t="shared" si="327"/>
        <v>0.5780346820809249</v>
      </c>
      <c r="AN948" s="52"/>
      <c r="AO948" s="39"/>
      <c r="AP948" s="18"/>
      <c r="AQ948" s="17"/>
      <c r="AR948" s="17"/>
      <c r="AS948" s="27"/>
      <c r="AT948" s="17"/>
      <c r="AU948" s="17"/>
      <c r="AV948" s="17"/>
      <c r="AW948" s="17"/>
      <c r="AX948" s="17"/>
      <c r="BB948" s="17"/>
    </row>
    <row r="949" spans="1:54" x14ac:dyDescent="0.2">
      <c r="A949" s="18" t="s">
        <v>90</v>
      </c>
      <c r="B949" s="18" t="s">
        <v>91</v>
      </c>
      <c r="C949" s="18" t="s">
        <v>94</v>
      </c>
      <c r="D949" s="18" t="str">
        <f t="shared" si="328"/>
        <v>CAT1.1B_55</v>
      </c>
      <c r="E949" s="55" t="s">
        <v>80</v>
      </c>
      <c r="F949" s="18">
        <v>55</v>
      </c>
      <c r="G949" s="46">
        <v>2.1</v>
      </c>
      <c r="H949" s="46">
        <v>2</v>
      </c>
      <c r="I949" s="46">
        <v>1.3</v>
      </c>
      <c r="J949" s="23">
        <f t="shared" si="329"/>
        <v>4.28865125</v>
      </c>
      <c r="K949" s="61">
        <v>0.19062500000000027</v>
      </c>
      <c r="L949" s="45">
        <f t="shared" si="342"/>
        <v>33.484375000000007</v>
      </c>
      <c r="M949" s="45">
        <f t="shared" si="325"/>
        <v>34.784375000000004</v>
      </c>
      <c r="N949" s="46">
        <f t="shared" si="345"/>
        <v>34.134375000000006</v>
      </c>
      <c r="O949" s="46">
        <f t="shared" si="343"/>
        <v>73.484374999999929</v>
      </c>
      <c r="P949" s="46">
        <f t="shared" si="326"/>
        <v>74.784374999999926</v>
      </c>
      <c r="Q949" s="46">
        <f t="shared" si="344"/>
        <v>74.13437499999992</v>
      </c>
      <c r="R949" s="46">
        <v>73.484374999999929</v>
      </c>
      <c r="S949" s="46">
        <v>74.784374999999926</v>
      </c>
      <c r="T949" s="54">
        <v>74.099999999999994</v>
      </c>
      <c r="U949" s="46">
        <f t="shared" si="332"/>
        <v>74.099999999999994</v>
      </c>
      <c r="V949" s="18">
        <v>6.2081</v>
      </c>
      <c r="W949" s="18">
        <v>1.9367000000000001</v>
      </c>
      <c r="X949" s="23">
        <v>1.1476266666666699</v>
      </c>
      <c r="Y949" s="23">
        <f t="shared" si="333"/>
        <v>5.0604733333333298</v>
      </c>
      <c r="Z949" s="23">
        <f t="shared" si="334"/>
        <v>0.78907333333333018</v>
      </c>
      <c r="AA949" s="21">
        <f t="shared" si="335"/>
        <v>84.407123971275468</v>
      </c>
      <c r="AB949" s="21">
        <f t="shared" si="336"/>
        <v>15.592876028724532</v>
      </c>
      <c r="AC949" s="23">
        <f>Y949/J949</f>
        <v>1.1799684885389852</v>
      </c>
      <c r="AD949" s="23">
        <f>Z949/J949</f>
        <v>0.18399102359589864</v>
      </c>
      <c r="AE949" s="57">
        <v>15.227</v>
      </c>
      <c r="AF949" s="57">
        <v>15.403</v>
      </c>
      <c r="AG949" s="57">
        <v>15.234999999999999</v>
      </c>
      <c r="AH949" s="58">
        <f>AG949-AE949</f>
        <v>7.9999999999991189E-3</v>
      </c>
      <c r="AI949" s="59">
        <f>((AF949-AG949)/(AF949-AE949))*100</f>
        <v>95.454545454545965</v>
      </c>
      <c r="AJ949" s="26">
        <f t="shared" si="337"/>
        <v>4.7727272727272982</v>
      </c>
      <c r="AK949" s="26">
        <f t="shared" si="338"/>
        <v>55.176037834997672</v>
      </c>
      <c r="AL949" s="26">
        <f t="shared" si="339"/>
        <v>4.7735757687330107</v>
      </c>
      <c r="AM949" s="17">
        <f t="shared" si="327"/>
        <v>0.5780346820809249</v>
      </c>
      <c r="AN949" s="52"/>
      <c r="AO949" s="39"/>
      <c r="AP949" s="18"/>
      <c r="AQ949" s="17"/>
      <c r="AR949" s="17"/>
      <c r="AS949" s="27"/>
      <c r="AT949" s="17"/>
      <c r="AU949" s="17"/>
      <c r="AV949" s="17"/>
      <c r="AW949" s="17"/>
      <c r="AX949" s="17"/>
      <c r="BB949" s="17"/>
    </row>
    <row r="950" spans="1:54" x14ac:dyDescent="0.2">
      <c r="A950" s="18" t="s">
        <v>90</v>
      </c>
      <c r="B950" s="18" t="s">
        <v>91</v>
      </c>
      <c r="C950" s="18" t="s">
        <v>94</v>
      </c>
      <c r="D950" s="18" t="str">
        <f t="shared" si="328"/>
        <v>CAT1.1B_56</v>
      </c>
      <c r="E950" s="55" t="s">
        <v>80</v>
      </c>
      <c r="F950" s="18">
        <v>56</v>
      </c>
      <c r="G950" s="46">
        <v>2.1</v>
      </c>
      <c r="H950" s="46">
        <v>2</v>
      </c>
      <c r="I950" s="46">
        <v>1.3</v>
      </c>
      <c r="J950" s="23">
        <f t="shared" si="329"/>
        <v>4.28865125</v>
      </c>
      <c r="K950" s="61">
        <v>0.19062500000000027</v>
      </c>
      <c r="L950" s="45">
        <f t="shared" si="342"/>
        <v>34.975000000000001</v>
      </c>
      <c r="M950" s="45">
        <f t="shared" si="325"/>
        <v>36.274999999999999</v>
      </c>
      <c r="N950" s="46">
        <f t="shared" si="345"/>
        <v>35.625</v>
      </c>
      <c r="O950" s="46">
        <f t="shared" si="343"/>
        <v>74.974999999999923</v>
      </c>
      <c r="P950" s="46">
        <f t="shared" si="326"/>
        <v>76.27499999999992</v>
      </c>
      <c r="Q950" s="46">
        <f t="shared" si="344"/>
        <v>75.624999999999915</v>
      </c>
      <c r="R950" s="46">
        <v>74.974999999999923</v>
      </c>
      <c r="S950" s="46">
        <v>76.27499999999992</v>
      </c>
      <c r="T950" s="54">
        <v>75.599999999999994</v>
      </c>
      <c r="U950" s="46">
        <f t="shared" si="332"/>
        <v>75.599999999999994</v>
      </c>
      <c r="V950" s="18">
        <v>6.2332999999999998</v>
      </c>
      <c r="W950" s="18">
        <v>1.8517999999999999</v>
      </c>
      <c r="X950" s="23">
        <v>1.1476266666666699</v>
      </c>
      <c r="Y950" s="23">
        <f t="shared" si="333"/>
        <v>5.0856733333333297</v>
      </c>
      <c r="Z950" s="23">
        <f t="shared" si="334"/>
        <v>0.70417333333332999</v>
      </c>
      <c r="AA950" s="21">
        <f t="shared" si="335"/>
        <v>86.153783635336438</v>
      </c>
      <c r="AB950" s="21">
        <f t="shared" si="336"/>
        <v>13.846216364663562</v>
      </c>
      <c r="AC950" s="23">
        <f>Y950/J950</f>
        <v>1.1858444617834871</v>
      </c>
      <c r="AD950" s="23">
        <f>Z950/J950</f>
        <v>0.16419458992692165</v>
      </c>
      <c r="AE950" s="57">
        <v>16.149000000000001</v>
      </c>
      <c r="AF950" s="57">
        <v>16.300999999999998</v>
      </c>
      <c r="AG950" s="57">
        <v>16.155000000000001</v>
      </c>
      <c r="AH950" s="58">
        <f>AG950-AE950</f>
        <v>6.0000000000002274E-3</v>
      </c>
      <c r="AI950" s="59">
        <f>((AF950-AG950)/(AF950-AE950))*100</f>
        <v>96.052631578947157</v>
      </c>
      <c r="AJ950" s="26">
        <f t="shared" si="337"/>
        <v>4.8026315789473584</v>
      </c>
      <c r="AK950" s="26">
        <f t="shared" si="338"/>
        <v>55.521752357772925</v>
      </c>
      <c r="AL950" s="26">
        <f t="shared" si="339"/>
        <v>4.8034747925957095</v>
      </c>
      <c r="AM950" s="17">
        <f t="shared" si="327"/>
        <v>0.5780346820809249</v>
      </c>
      <c r="AN950" s="52"/>
      <c r="AO950" s="39"/>
      <c r="AP950" s="18"/>
      <c r="AQ950" s="17"/>
      <c r="AR950" s="17"/>
      <c r="AS950" s="27"/>
      <c r="AT950" s="17"/>
      <c r="AU950" s="17"/>
      <c r="AV950" s="17"/>
      <c r="AW950" s="17"/>
      <c r="AX950" s="17"/>
      <c r="BB950" s="17"/>
    </row>
    <row r="951" spans="1:54" x14ac:dyDescent="0.2">
      <c r="A951" s="18" t="s">
        <v>90</v>
      </c>
      <c r="B951" s="18" t="s">
        <v>91</v>
      </c>
      <c r="C951" s="18" t="s">
        <v>94</v>
      </c>
      <c r="D951" s="18" t="str">
        <f t="shared" si="328"/>
        <v>CAT1.1B_57</v>
      </c>
      <c r="E951" s="55" t="s">
        <v>80</v>
      </c>
      <c r="F951" s="18">
        <v>57</v>
      </c>
      <c r="G951" s="46">
        <v>2.2000000000000002</v>
      </c>
      <c r="H951" s="46">
        <v>2.1</v>
      </c>
      <c r="I951" s="46">
        <v>1.4</v>
      </c>
      <c r="J951" s="23">
        <f t="shared" si="329"/>
        <v>5.0801275000000015</v>
      </c>
      <c r="K951" s="61">
        <v>0.19062500000000027</v>
      </c>
      <c r="L951" s="45">
        <f t="shared" si="342"/>
        <v>36.465624999999996</v>
      </c>
      <c r="M951" s="45">
        <f t="shared" si="325"/>
        <v>37.865624999999994</v>
      </c>
      <c r="N951" s="46">
        <f t="shared" si="345"/>
        <v>37.165624999999991</v>
      </c>
      <c r="O951" s="46">
        <f t="shared" si="343"/>
        <v>76.465624999999918</v>
      </c>
      <c r="P951" s="46">
        <f t="shared" si="326"/>
        <v>77.865624999999923</v>
      </c>
      <c r="Q951" s="46">
        <f t="shared" si="344"/>
        <v>77.16562499999992</v>
      </c>
      <c r="R951" s="46">
        <v>76.465624999999918</v>
      </c>
      <c r="S951" s="46">
        <v>77.865624999999923</v>
      </c>
      <c r="T951" s="54">
        <v>77.2</v>
      </c>
      <c r="U951" s="46">
        <f t="shared" si="332"/>
        <v>77.2</v>
      </c>
      <c r="V951" s="18">
        <v>6.6481000000000003</v>
      </c>
      <c r="W951" s="18">
        <v>1.8695999999999999</v>
      </c>
      <c r="X951" s="23">
        <v>1.1476266666666699</v>
      </c>
      <c r="Y951" s="23">
        <f t="shared" si="333"/>
        <v>5.5004733333333302</v>
      </c>
      <c r="Z951" s="23">
        <f t="shared" si="334"/>
        <v>0.72197333333333003</v>
      </c>
      <c r="AA951" s="21">
        <f t="shared" si="335"/>
        <v>86.874341723318409</v>
      </c>
      <c r="AB951" s="21">
        <f t="shared" si="336"/>
        <v>13.125658276681591</v>
      </c>
      <c r="AC951" s="23">
        <f>Y951/J951</f>
        <v>1.0827431660589875</v>
      </c>
      <c r="AD951" s="23">
        <f>Z951/J951</f>
        <v>0.14211716799102578</v>
      </c>
      <c r="AE951" s="57">
        <v>16.744</v>
      </c>
      <c r="AF951" s="57">
        <v>16.922000000000001</v>
      </c>
      <c r="AG951" s="57">
        <v>16.753</v>
      </c>
      <c r="AH951" s="58">
        <f>AG951-AE951</f>
        <v>9.0000000000003411E-3</v>
      </c>
      <c r="AI951" s="59">
        <f>((AF951-AG951)/(AF951-AE951))*100</f>
        <v>94.943820224718934</v>
      </c>
      <c r="AJ951" s="26">
        <f t="shared" si="337"/>
        <v>4.7471910112359472</v>
      </c>
      <c r="AK951" s="26">
        <f t="shared" si="338"/>
        <v>54.880820939143895</v>
      </c>
      <c r="AL951" s="26">
        <f t="shared" si="339"/>
        <v>4.7480440706841982</v>
      </c>
      <c r="AM951" s="17">
        <f t="shared" si="327"/>
        <v>0.5780346820809249</v>
      </c>
      <c r="AN951" s="52"/>
      <c r="AO951" s="39"/>
      <c r="AP951" s="18"/>
      <c r="AQ951" s="17"/>
      <c r="AR951" s="17"/>
      <c r="AS951" s="27"/>
      <c r="AT951" s="17"/>
      <c r="AU951" s="17"/>
      <c r="AV951" s="17"/>
      <c r="AW951" s="17"/>
      <c r="AX951" s="17"/>
      <c r="BB951" s="17"/>
    </row>
    <row r="952" spans="1:54" x14ac:dyDescent="0.2">
      <c r="A952" s="18" t="s">
        <v>90</v>
      </c>
      <c r="B952" s="18" t="s">
        <v>91</v>
      </c>
      <c r="C952" s="18" t="s">
        <v>94</v>
      </c>
      <c r="D952" s="18" t="str">
        <f t="shared" si="328"/>
        <v>CAT1.1B_58</v>
      </c>
      <c r="E952" s="55" t="s">
        <v>80</v>
      </c>
      <c r="F952" s="18">
        <v>58</v>
      </c>
      <c r="G952" s="46">
        <v>2.1</v>
      </c>
      <c r="H952" s="46">
        <v>2.0500000000000003</v>
      </c>
      <c r="I952" s="46">
        <v>1.4</v>
      </c>
      <c r="J952" s="23">
        <f t="shared" si="329"/>
        <v>4.7318818750000009</v>
      </c>
      <c r="K952" s="61">
        <v>0.19062500000000027</v>
      </c>
      <c r="L952" s="45">
        <f t="shared" si="342"/>
        <v>38.056249999999991</v>
      </c>
      <c r="M952" s="45">
        <f t="shared" si="325"/>
        <v>39.45624999999999</v>
      </c>
      <c r="N952" s="46">
        <f t="shared" si="345"/>
        <v>38.756249999999994</v>
      </c>
      <c r="O952" s="46">
        <f t="shared" si="343"/>
        <v>78.05624999999992</v>
      </c>
      <c r="P952" s="46">
        <f t="shared" si="326"/>
        <v>79.456249999999926</v>
      </c>
      <c r="Q952" s="46">
        <f t="shared" si="344"/>
        <v>78.756249999999923</v>
      </c>
      <c r="R952" s="46">
        <v>78.05624999999992</v>
      </c>
      <c r="S952" s="46">
        <v>79.456249999999926</v>
      </c>
      <c r="T952" s="54">
        <v>78.8</v>
      </c>
      <c r="U952" s="46">
        <f t="shared" si="332"/>
        <v>78.8</v>
      </c>
      <c r="V952" s="18">
        <v>6.2873000000000001</v>
      </c>
      <c r="W952" s="18">
        <v>1.8274999999999999</v>
      </c>
      <c r="X952" s="23">
        <v>1.1476266666666699</v>
      </c>
      <c r="Y952" s="23">
        <f t="shared" si="333"/>
        <v>5.13967333333333</v>
      </c>
      <c r="Z952" s="23">
        <f t="shared" si="334"/>
        <v>0.67987333333333</v>
      </c>
      <c r="AA952" s="21">
        <f t="shared" si="335"/>
        <v>86.772051660870844</v>
      </c>
      <c r="AB952" s="21">
        <f t="shared" si="336"/>
        <v>13.227948339129156</v>
      </c>
      <c r="AC952" s="23">
        <f>Y952/J952</f>
        <v>1.0861795516257111</v>
      </c>
      <c r="AD952" s="23">
        <f>Z952/J952</f>
        <v>0.14367926995923369</v>
      </c>
      <c r="AE952" s="57">
        <v>10.601000000000001</v>
      </c>
      <c r="AF952" s="57">
        <v>10.757999999999999</v>
      </c>
      <c r="AG952" s="57">
        <v>10.612</v>
      </c>
      <c r="AH952" s="58">
        <f>AG952-AE952</f>
        <v>1.0999999999999233E-2</v>
      </c>
      <c r="AI952" s="59">
        <f>((AF952-AG952)/(AF952-AE952))*100</f>
        <v>92.993630573248822</v>
      </c>
      <c r="AJ952" s="26">
        <f t="shared" si="337"/>
        <v>4.6496815286624411</v>
      </c>
      <c r="AK952" s="26">
        <f t="shared" si="338"/>
        <v>53.75354368395886</v>
      </c>
      <c r="AL952" s="26">
        <f t="shared" si="339"/>
        <v>4.6505524744899605</v>
      </c>
      <c r="AM952" s="17">
        <f t="shared" si="327"/>
        <v>0.5780346820809249</v>
      </c>
      <c r="AN952" s="52"/>
      <c r="AO952" s="39"/>
      <c r="AP952" s="18"/>
      <c r="AQ952" s="17"/>
      <c r="AR952" s="17"/>
      <c r="AS952" s="27"/>
      <c r="AT952" s="17"/>
      <c r="AU952" s="17"/>
      <c r="AV952" s="17"/>
      <c r="AW952" s="17"/>
      <c r="AX952" s="17"/>
      <c r="BB952" s="17"/>
    </row>
    <row r="953" spans="1:54" x14ac:dyDescent="0.2">
      <c r="A953" s="18" t="s">
        <v>90</v>
      </c>
      <c r="B953" s="18" t="s">
        <v>91</v>
      </c>
      <c r="C953" s="18" t="s">
        <v>94</v>
      </c>
      <c r="D953" s="18" t="str">
        <f t="shared" si="328"/>
        <v>CAT1.1B_59</v>
      </c>
      <c r="E953" s="55" t="s">
        <v>80</v>
      </c>
      <c r="F953" s="18">
        <v>59</v>
      </c>
      <c r="G953" s="46">
        <v>2.1</v>
      </c>
      <c r="H953" s="46">
        <v>2.3000000000000003</v>
      </c>
      <c r="I953" s="46">
        <v>1.4</v>
      </c>
      <c r="J953" s="23">
        <f t="shared" si="329"/>
        <v>5.319160000000001</v>
      </c>
      <c r="K953" s="61">
        <v>0.19062500000000027</v>
      </c>
      <c r="L953" s="45">
        <f t="shared" si="342"/>
        <v>39.646874999999987</v>
      </c>
      <c r="M953" s="45">
        <f t="shared" si="325"/>
        <v>41.046874999999986</v>
      </c>
      <c r="N953" s="46">
        <f t="shared" si="345"/>
        <v>40.346874999999983</v>
      </c>
      <c r="O953" s="46">
        <f t="shared" si="343"/>
        <v>79.646874999999923</v>
      </c>
      <c r="P953" s="46">
        <f t="shared" si="326"/>
        <v>81.046874999999929</v>
      </c>
      <c r="Q953" s="46">
        <f t="shared" si="344"/>
        <v>80.346874999999926</v>
      </c>
      <c r="R953" s="46">
        <v>79.646874999999923</v>
      </c>
      <c r="S953" s="46">
        <v>81.046874999999929</v>
      </c>
      <c r="T953" s="54">
        <v>80.3</v>
      </c>
      <c r="U953" s="46">
        <f t="shared" si="332"/>
        <v>80.3</v>
      </c>
      <c r="V953" s="18">
        <v>6.1059999999999999</v>
      </c>
      <c r="W953" s="18">
        <v>1.7972999999999999</v>
      </c>
      <c r="X953" s="23">
        <v>1.1476266666666699</v>
      </c>
      <c r="Y953" s="23">
        <f t="shared" si="333"/>
        <v>4.9583733333333297</v>
      </c>
      <c r="Z953" s="23">
        <f t="shared" si="334"/>
        <v>0.64967333333332999</v>
      </c>
      <c r="AA953" s="21">
        <f t="shared" si="335"/>
        <v>86.897450239056965</v>
      </c>
      <c r="AB953" s="21">
        <f t="shared" si="336"/>
        <v>13.102549760943035</v>
      </c>
      <c r="AC953" s="23">
        <f>Y953/J953</f>
        <v>0.93217224774839047</v>
      </c>
      <c r="AD953" s="23">
        <f>Z953/J953</f>
        <v>0.12213833261893417</v>
      </c>
      <c r="AE953" s="57">
        <v>10.221</v>
      </c>
      <c r="AF953" s="57">
        <v>10.346</v>
      </c>
      <c r="AG953" s="57">
        <v>10.231999999999999</v>
      </c>
      <c r="AH953" s="58">
        <f>AG953-AE953</f>
        <v>1.0999999999999233E-2</v>
      </c>
      <c r="AI953" s="59">
        <f>((AF953-AG953)/(AF953-AE953))*100</f>
        <v>91.200000000000614</v>
      </c>
      <c r="AJ953" s="26">
        <f t="shared" si="337"/>
        <v>4.5600000000000307</v>
      </c>
      <c r="AK953" s="26">
        <f t="shared" si="338"/>
        <v>52.716763005780706</v>
      </c>
      <c r="AL953" s="26">
        <f t="shared" si="339"/>
        <v>4.5608880714177014</v>
      </c>
      <c r="AM953" s="17">
        <f t="shared" si="327"/>
        <v>0.5780346820809249</v>
      </c>
      <c r="AN953" s="52"/>
      <c r="AO953" s="39"/>
      <c r="AP953" s="18"/>
      <c r="AQ953" s="17"/>
      <c r="AR953" s="17"/>
      <c r="AS953" s="27"/>
      <c r="AT953" s="17"/>
      <c r="AU953" s="17"/>
      <c r="AV953" s="17"/>
      <c r="AW953" s="17"/>
      <c r="AX953" s="17"/>
      <c r="BB953" s="17"/>
    </row>
    <row r="954" spans="1:54" x14ac:dyDescent="0.2">
      <c r="A954" s="18" t="s">
        <v>90</v>
      </c>
      <c r="B954" s="18" t="s">
        <v>91</v>
      </c>
      <c r="C954" s="18" t="s">
        <v>94</v>
      </c>
      <c r="D954" s="18" t="str">
        <f t="shared" si="328"/>
        <v>CAT1.1B_60</v>
      </c>
      <c r="E954" s="55" t="s">
        <v>80</v>
      </c>
      <c r="F954" s="18">
        <v>60</v>
      </c>
      <c r="G954" s="46">
        <v>2.1</v>
      </c>
      <c r="H954" s="46">
        <v>2.1</v>
      </c>
      <c r="I954" s="46">
        <v>1.4</v>
      </c>
      <c r="J954" s="23">
        <f t="shared" si="329"/>
        <v>4.84659</v>
      </c>
      <c r="K954" s="61">
        <v>0.19062500000000027</v>
      </c>
      <c r="L954" s="45">
        <f t="shared" si="342"/>
        <v>41.237499999999983</v>
      </c>
      <c r="M954" s="45">
        <f t="shared" si="325"/>
        <v>42.637499999999982</v>
      </c>
      <c r="N954" s="46">
        <f t="shared" si="345"/>
        <v>41.937499999999986</v>
      </c>
      <c r="O954" s="46">
        <f t="shared" si="343"/>
        <v>81.237499999999926</v>
      </c>
      <c r="P954" s="46">
        <f t="shared" si="326"/>
        <v>82.637499999999932</v>
      </c>
      <c r="Q954" s="46">
        <f t="shared" si="344"/>
        <v>81.937499999999929</v>
      </c>
      <c r="R954" s="46">
        <v>81.237499999999926</v>
      </c>
      <c r="S954" s="46">
        <v>82.637499999999932</v>
      </c>
      <c r="T954" s="54">
        <v>81.900000000000006</v>
      </c>
      <c r="U954" s="46">
        <f t="shared" si="332"/>
        <v>81.900000000000006</v>
      </c>
      <c r="V954" s="18">
        <v>6.0129999999999999</v>
      </c>
      <c r="W954" s="18">
        <v>1.6859</v>
      </c>
      <c r="X954" s="23">
        <v>1.1476266666666699</v>
      </c>
      <c r="Y954" s="23">
        <f t="shared" si="333"/>
        <v>4.8653733333333298</v>
      </c>
      <c r="Z954" s="23">
        <f t="shared" si="334"/>
        <v>0.53827333333333005</v>
      </c>
      <c r="AA954" s="21">
        <f t="shared" si="335"/>
        <v>88.936648917657621</v>
      </c>
      <c r="AB954" s="21">
        <f t="shared" si="336"/>
        <v>11.063351082342379</v>
      </c>
      <c r="AC954" s="23">
        <f>Y954/J954</f>
        <v>1.003875577123984</v>
      </c>
      <c r="AD954" s="23">
        <f>Z954/J954</f>
        <v>0.11106227952711702</v>
      </c>
      <c r="AE954" s="57">
        <v>10.129</v>
      </c>
      <c r="AF954" s="57">
        <v>10.257999999999999</v>
      </c>
      <c r="AG954" s="57">
        <v>10.138</v>
      </c>
      <c r="AH954" s="58">
        <f>AG954-AE954</f>
        <v>9.0000000000003411E-3</v>
      </c>
      <c r="AI954" s="59">
        <f>((AF954-AG954)/(AF954-AE954))*100</f>
        <v>93.023255813953199</v>
      </c>
      <c r="AJ954" s="26">
        <f t="shared" si="337"/>
        <v>4.6511627906976605</v>
      </c>
      <c r="AK954" s="26">
        <f t="shared" si="338"/>
        <v>53.770668100550985</v>
      </c>
      <c r="AL954" s="26">
        <f t="shared" si="339"/>
        <v>4.6520334592058177</v>
      </c>
      <c r="AM954" s="17">
        <f t="shared" si="327"/>
        <v>0.5780346820809249</v>
      </c>
      <c r="AN954" s="52"/>
      <c r="AO954" s="39"/>
      <c r="AP954" s="18"/>
      <c r="AQ954" s="17"/>
      <c r="AR954" s="17"/>
      <c r="AS954" s="27"/>
      <c r="AT954" s="17"/>
      <c r="AU954" s="17"/>
      <c r="AV954" s="17"/>
      <c r="AW954" s="17"/>
      <c r="AX954" s="17"/>
      <c r="BB954" s="17"/>
    </row>
    <row r="955" spans="1:54" x14ac:dyDescent="0.2">
      <c r="A955" s="18" t="s">
        <v>90</v>
      </c>
      <c r="B955" s="18" t="s">
        <v>91</v>
      </c>
      <c r="C955" s="18" t="s">
        <v>94</v>
      </c>
      <c r="D955" s="18" t="str">
        <f t="shared" si="328"/>
        <v>CAT1.1B_61</v>
      </c>
      <c r="E955" s="55" t="s">
        <v>80</v>
      </c>
      <c r="F955" s="18">
        <v>61</v>
      </c>
      <c r="G955" s="46">
        <v>2.0500000000000003</v>
      </c>
      <c r="H955" s="46">
        <v>2.2000000000000002</v>
      </c>
      <c r="I955" s="46">
        <v>1.4</v>
      </c>
      <c r="J955" s="23">
        <f t="shared" si="329"/>
        <v>4.9626718749999998</v>
      </c>
      <c r="K955" s="61">
        <v>0.19062500000000027</v>
      </c>
      <c r="L955" s="45">
        <f t="shared" si="342"/>
        <v>42.828124999999979</v>
      </c>
      <c r="M955" s="45">
        <f t="shared" si="325"/>
        <v>44.228124999999977</v>
      </c>
      <c r="N955" s="46">
        <f t="shared" si="345"/>
        <v>43.528124999999974</v>
      </c>
      <c r="O955" s="46">
        <f t="shared" si="343"/>
        <v>82.828124999999929</v>
      </c>
      <c r="P955" s="46">
        <f t="shared" si="326"/>
        <v>84.228124999999935</v>
      </c>
      <c r="Q955" s="46">
        <f t="shared" si="344"/>
        <v>83.528124999999932</v>
      </c>
      <c r="R955" s="46">
        <v>82.828124999999929</v>
      </c>
      <c r="S955" s="46">
        <v>84.228124999999935</v>
      </c>
      <c r="T955" s="54">
        <v>83.5</v>
      </c>
      <c r="U955" s="46">
        <f t="shared" si="332"/>
        <v>83.5</v>
      </c>
      <c r="V955" s="18">
        <v>6.3297999999999996</v>
      </c>
      <c r="W955" s="18">
        <v>1.7951999999999999</v>
      </c>
      <c r="X955" s="23">
        <v>1.1476266666666699</v>
      </c>
      <c r="Y955" s="23">
        <f t="shared" si="333"/>
        <v>5.1821733333333295</v>
      </c>
      <c r="Z955" s="23">
        <f t="shared" si="334"/>
        <v>0.64757333333333</v>
      </c>
      <c r="AA955" s="21">
        <f t="shared" si="335"/>
        <v>87.503827223069905</v>
      </c>
      <c r="AB955" s="21">
        <f t="shared" si="336"/>
        <v>12.496172776930095</v>
      </c>
      <c r="AC955" s="23">
        <f>Y955/J955</f>
        <v>1.0442304999931775</v>
      </c>
      <c r="AD955" s="23">
        <f>Z955/J955</f>
        <v>0.13048884746854839</v>
      </c>
      <c r="AE955" s="57">
        <v>12.993</v>
      </c>
      <c r="AF955" s="57">
        <v>13.101000000000001</v>
      </c>
      <c r="AG955" s="57">
        <v>13.000999999999999</v>
      </c>
      <c r="AH955" s="58">
        <f>AG955-AE955</f>
        <v>7.9999999999991189E-3</v>
      </c>
      <c r="AI955" s="59">
        <f>((AF955-AG955)/(AF955-AE955))*100</f>
        <v>92.592592592593448</v>
      </c>
      <c r="AJ955" s="26">
        <f t="shared" si="337"/>
        <v>4.6296296296296724</v>
      </c>
      <c r="AK955" s="26">
        <f t="shared" si="338"/>
        <v>53.521729822308359</v>
      </c>
      <c r="AL955" s="26">
        <f t="shared" si="339"/>
        <v>4.6305043469955818</v>
      </c>
      <c r="AM955" s="17">
        <f t="shared" si="327"/>
        <v>0.5780346820809249</v>
      </c>
      <c r="AN955" s="52"/>
      <c r="AO955" s="39"/>
      <c r="AP955" s="18"/>
      <c r="AQ955" s="17"/>
      <c r="AR955" s="17"/>
      <c r="AS955" s="27"/>
      <c r="AT955" s="17"/>
      <c r="AU955" s="17"/>
      <c r="AV955" s="17"/>
      <c r="AW955" s="17"/>
      <c r="AX955" s="17"/>
      <c r="BB955" s="17"/>
    </row>
    <row r="956" spans="1:54" x14ac:dyDescent="0.2">
      <c r="A956" s="18" t="s">
        <v>90</v>
      </c>
      <c r="B956" s="18" t="s">
        <v>91</v>
      </c>
      <c r="C956" s="18" t="s">
        <v>94</v>
      </c>
      <c r="D956" s="18" t="str">
        <f t="shared" si="328"/>
        <v>CAT1.1B_62</v>
      </c>
      <c r="E956" s="55" t="s">
        <v>80</v>
      </c>
      <c r="F956" s="18">
        <v>62</v>
      </c>
      <c r="G956" s="46">
        <v>2.2000000000000002</v>
      </c>
      <c r="H956" s="46">
        <v>2.2000000000000002</v>
      </c>
      <c r="I956" s="46">
        <v>1.4</v>
      </c>
      <c r="J956" s="23">
        <f t="shared" si="329"/>
        <v>5.319160000000001</v>
      </c>
      <c r="K956" s="61">
        <v>0.19062500000000027</v>
      </c>
      <c r="L956" s="45">
        <f t="shared" si="342"/>
        <v>44.418749999999974</v>
      </c>
      <c r="M956" s="45">
        <f t="shared" si="325"/>
        <v>45.818749999999973</v>
      </c>
      <c r="N956" s="46">
        <f t="shared" si="345"/>
        <v>45.118749999999977</v>
      </c>
      <c r="O956" s="46">
        <f t="shared" si="343"/>
        <v>84.418749999999932</v>
      </c>
      <c r="P956" s="46">
        <f t="shared" si="326"/>
        <v>85.818749999999937</v>
      </c>
      <c r="Q956" s="46">
        <f t="shared" si="344"/>
        <v>85.118749999999935</v>
      </c>
      <c r="R956" s="46">
        <v>84.418749999999932</v>
      </c>
      <c r="S956" s="46">
        <v>85.818749999999937</v>
      </c>
      <c r="T956" s="54">
        <v>85.1</v>
      </c>
      <c r="U956" s="46">
        <f t="shared" si="332"/>
        <v>85.1</v>
      </c>
      <c r="V956" s="18">
        <v>6.0731999999999999</v>
      </c>
      <c r="W956" s="18">
        <v>1.7419</v>
      </c>
      <c r="X956" s="23">
        <v>1.1476266666666699</v>
      </c>
      <c r="Y956" s="23">
        <f t="shared" si="333"/>
        <v>4.9255733333333298</v>
      </c>
      <c r="Z956" s="23">
        <f t="shared" si="334"/>
        <v>0.5942733333333301</v>
      </c>
      <c r="AA956" s="21">
        <f t="shared" si="335"/>
        <v>87.934940907048443</v>
      </c>
      <c r="AB956" s="21">
        <f t="shared" si="336"/>
        <v>12.065059092951557</v>
      </c>
      <c r="AC956" s="23">
        <f>Y956/J956</f>
        <v>0.92600586057447587</v>
      </c>
      <c r="AD956" s="23">
        <f>Z956/J956</f>
        <v>0.11172315428250514</v>
      </c>
      <c r="AE956" s="57">
        <v>10.332000000000001</v>
      </c>
      <c r="AF956" s="57">
        <v>10.48</v>
      </c>
      <c r="AG956" s="57">
        <v>10.343</v>
      </c>
      <c r="AH956" s="58">
        <f>AG956-AE956</f>
        <v>1.0999999999999233E-2</v>
      </c>
      <c r="AI956" s="59">
        <f>((AF956-AG956)/(AF956-AE956))*100</f>
        <v>92.567567567568062</v>
      </c>
      <c r="AJ956" s="26">
        <f t="shared" si="337"/>
        <v>4.6283783783784029</v>
      </c>
      <c r="AK956" s="26">
        <f t="shared" si="338"/>
        <v>53.507264489923742</v>
      </c>
      <c r="AL956" s="26">
        <f t="shared" si="339"/>
        <v>4.6292533321736338</v>
      </c>
      <c r="AM956" s="17">
        <f t="shared" si="327"/>
        <v>0.5780346820809249</v>
      </c>
      <c r="AN956" s="52"/>
      <c r="AO956" s="39"/>
      <c r="AP956" s="18"/>
      <c r="AQ956" s="17"/>
      <c r="AR956" s="17"/>
      <c r="AS956" s="27"/>
      <c r="AT956" s="17"/>
      <c r="AU956" s="17"/>
      <c r="AV956" s="17"/>
      <c r="AW956" s="17"/>
      <c r="AX956" s="17"/>
      <c r="BB956" s="17"/>
    </row>
    <row r="957" spans="1:54" x14ac:dyDescent="0.2">
      <c r="A957" s="18" t="s">
        <v>90</v>
      </c>
      <c r="B957" s="18" t="s">
        <v>91</v>
      </c>
      <c r="C957" s="18" t="s">
        <v>94</v>
      </c>
      <c r="D957" s="18" t="str">
        <f t="shared" si="328"/>
        <v>CAT1.1B_63</v>
      </c>
      <c r="E957" s="55" t="s">
        <v>80</v>
      </c>
      <c r="F957" s="18">
        <v>63</v>
      </c>
      <c r="G957" s="46">
        <v>2.3000000000000003</v>
      </c>
      <c r="H957" s="46">
        <v>2.3000000000000003</v>
      </c>
      <c r="I957" s="46">
        <v>1.4</v>
      </c>
      <c r="J957" s="23">
        <f t="shared" si="329"/>
        <v>5.8137100000000013</v>
      </c>
      <c r="K957" s="61">
        <v>0.19062500000000027</v>
      </c>
      <c r="L957" s="45">
        <f t="shared" si="342"/>
        <v>46.00937499999997</v>
      </c>
      <c r="M957" s="45">
        <f t="shared" si="325"/>
        <v>47.409374999999969</v>
      </c>
      <c r="N957" s="46">
        <f t="shared" si="345"/>
        <v>46.709374999999966</v>
      </c>
      <c r="O957" s="46">
        <f t="shared" si="343"/>
        <v>86.009374999999935</v>
      </c>
      <c r="P957" s="46">
        <f t="shared" si="326"/>
        <v>87.40937499999994</v>
      </c>
      <c r="Q957" s="46">
        <f t="shared" si="344"/>
        <v>86.709374999999937</v>
      </c>
      <c r="R957" s="46">
        <v>86.009374999999935</v>
      </c>
      <c r="S957" s="46">
        <v>87.40937499999994</v>
      </c>
      <c r="T957" s="54">
        <v>86.7</v>
      </c>
      <c r="U957" s="46">
        <f t="shared" si="332"/>
        <v>86.7</v>
      </c>
      <c r="V957" s="18">
        <v>6.5057</v>
      </c>
      <c r="W957" s="18">
        <v>1.7928999999999999</v>
      </c>
      <c r="X957" s="23">
        <v>1.1476266666666699</v>
      </c>
      <c r="Y957" s="23">
        <f t="shared" si="333"/>
        <v>5.3580733333333299</v>
      </c>
      <c r="Z957" s="23">
        <f t="shared" si="334"/>
        <v>0.64527333333333003</v>
      </c>
      <c r="AA957" s="21">
        <f t="shared" si="335"/>
        <v>87.956989514887866</v>
      </c>
      <c r="AB957" s="21">
        <f t="shared" si="336"/>
        <v>12.043010485112134</v>
      </c>
      <c r="AC957" s="23">
        <f>Y957/J957</f>
        <v>0.9216272110809326</v>
      </c>
      <c r="AD957" s="23">
        <f>Z957/J957</f>
        <v>0.11099166166412323</v>
      </c>
      <c r="AE957" s="57">
        <v>9.5220000000000002</v>
      </c>
      <c r="AF957" s="57">
        <v>9.66</v>
      </c>
      <c r="AG957" s="57">
        <v>9.5329999999999995</v>
      </c>
      <c r="AH957" s="58">
        <f>AG957-AE957</f>
        <v>1.0999999999999233E-2</v>
      </c>
      <c r="AI957" s="59">
        <f>((AF957-AG957)/(AF957-AE957))*100</f>
        <v>92.028985507246929</v>
      </c>
      <c r="AJ957" s="26">
        <f t="shared" si="337"/>
        <v>4.6014492753623468</v>
      </c>
      <c r="AK957" s="26">
        <f t="shared" si="338"/>
        <v>53.195945379911521</v>
      </c>
      <c r="AL957" s="26">
        <f t="shared" si="339"/>
        <v>4.6023293486812378</v>
      </c>
      <c r="AM957" s="17">
        <f t="shared" si="327"/>
        <v>0.5780346820809249</v>
      </c>
      <c r="AN957" s="52"/>
      <c r="AO957" s="39"/>
      <c r="AP957" s="18"/>
      <c r="AQ957" s="17"/>
      <c r="AR957" s="17"/>
      <c r="AS957" s="27"/>
      <c r="AT957" s="17"/>
      <c r="AU957" s="17"/>
      <c r="AV957" s="17"/>
      <c r="AW957" s="17"/>
      <c r="AX957" s="17"/>
      <c r="BB957" s="17"/>
    </row>
    <row r="958" spans="1:54" x14ac:dyDescent="0.2">
      <c r="A958" s="18" t="s">
        <v>90</v>
      </c>
      <c r="B958" s="18" t="s">
        <v>91</v>
      </c>
      <c r="C958" s="18" t="s">
        <v>94</v>
      </c>
      <c r="D958" s="18" t="str">
        <f t="shared" si="328"/>
        <v>CAT1.1B_64</v>
      </c>
      <c r="E958" s="55" t="s">
        <v>80</v>
      </c>
      <c r="F958" s="18">
        <v>64</v>
      </c>
      <c r="G958" s="46">
        <v>2.1</v>
      </c>
      <c r="H958" s="46">
        <v>2</v>
      </c>
      <c r="I958" s="46">
        <v>1.4</v>
      </c>
      <c r="J958" s="23">
        <f t="shared" si="329"/>
        <v>4.6185474999999991</v>
      </c>
      <c r="K958" s="61">
        <v>0.19062500000000027</v>
      </c>
      <c r="L958" s="45">
        <f t="shared" si="342"/>
        <v>47.599999999999966</v>
      </c>
      <c r="M958" s="45">
        <f t="shared" si="325"/>
        <v>48.999999999999964</v>
      </c>
      <c r="N958" s="46">
        <f t="shared" si="345"/>
        <v>48.299999999999969</v>
      </c>
      <c r="O958" s="46">
        <f t="shared" si="343"/>
        <v>87.599999999999937</v>
      </c>
      <c r="P958" s="46">
        <f t="shared" si="326"/>
        <v>88.999999999999943</v>
      </c>
      <c r="Q958" s="46">
        <f t="shared" si="344"/>
        <v>88.29999999999994</v>
      </c>
      <c r="R958" s="46">
        <v>87.599999999999937</v>
      </c>
      <c r="S958" s="46">
        <v>88.999999999999943</v>
      </c>
      <c r="T958" s="54">
        <v>88.3</v>
      </c>
      <c r="U958" s="46">
        <f t="shared" si="332"/>
        <v>88.3</v>
      </c>
      <c r="V958" s="18">
        <v>6.0891000000000002</v>
      </c>
      <c r="W958" s="18">
        <v>1.7138</v>
      </c>
      <c r="X958" s="23">
        <v>1.1476266666666699</v>
      </c>
      <c r="Y958" s="23">
        <f t="shared" si="333"/>
        <v>4.9414733333333301</v>
      </c>
      <c r="Z958" s="23">
        <f t="shared" si="334"/>
        <v>0.56617333333333009</v>
      </c>
      <c r="AA958" s="21">
        <f t="shared" si="335"/>
        <v>88.542418522950712</v>
      </c>
      <c r="AB958" s="21">
        <f t="shared" si="336"/>
        <v>11.457581477049288</v>
      </c>
      <c r="AC958" s="23">
        <f>Y958/J958</f>
        <v>1.0699193487418568</v>
      </c>
      <c r="AD958" s="23">
        <f>Z958/J958</f>
        <v>0.12258688112081345</v>
      </c>
      <c r="AE958" s="57">
        <v>10.673</v>
      </c>
      <c r="AF958" s="57">
        <v>10.831</v>
      </c>
      <c r="AG958" s="57">
        <v>10.682</v>
      </c>
      <c r="AH958" s="58">
        <f>AG958-AE958</f>
        <v>9.0000000000003411E-3</v>
      </c>
      <c r="AI958" s="59">
        <f>((AF958-AG958)/(AF958-AE958))*100</f>
        <v>94.303797468354205</v>
      </c>
      <c r="AJ958" s="26">
        <f t="shared" si="337"/>
        <v>4.7151898734177102</v>
      </c>
      <c r="AK958" s="26">
        <f t="shared" si="338"/>
        <v>54.510865588644052</v>
      </c>
      <c r="AL958" s="26">
        <f t="shared" si="339"/>
        <v>4.7160487213748041</v>
      </c>
      <c r="AM958" s="17">
        <f t="shared" si="327"/>
        <v>0.5780346820809249</v>
      </c>
      <c r="AN958" s="52"/>
      <c r="AO958" s="39"/>
      <c r="AP958" s="18"/>
      <c r="AQ958" s="17"/>
      <c r="AR958" s="17"/>
      <c r="AS958" s="27"/>
      <c r="AT958" s="17"/>
      <c r="AU958" s="17"/>
      <c r="AV958" s="17"/>
      <c r="AW958" s="17"/>
      <c r="AX958" s="17"/>
      <c r="BB958" s="17"/>
    </row>
    <row r="959" spans="1:54" x14ac:dyDescent="0.2">
      <c r="A959" s="18" t="s">
        <v>90</v>
      </c>
      <c r="B959" s="18" t="s">
        <v>91</v>
      </c>
      <c r="C959" s="18" t="s">
        <v>96</v>
      </c>
      <c r="D959" s="18" t="str">
        <f t="shared" si="328"/>
        <v>CAT1.1C_65</v>
      </c>
      <c r="E959" s="55" t="s">
        <v>81</v>
      </c>
      <c r="F959" s="18">
        <v>65</v>
      </c>
      <c r="G959" s="46">
        <v>2.2999999999999998</v>
      </c>
      <c r="H959" s="46">
        <v>1.8</v>
      </c>
      <c r="I959" s="46">
        <v>1.3</v>
      </c>
      <c r="J959" s="23">
        <f t="shared" si="329"/>
        <v>4.28865125</v>
      </c>
      <c r="K959" s="61">
        <v>0.1921875000000004</v>
      </c>
      <c r="L959" s="39">
        <v>0</v>
      </c>
      <c r="M959" s="45">
        <f t="shared" ref="M959:M1022" si="346">L959+I959</f>
        <v>1.3</v>
      </c>
      <c r="N959" s="46">
        <f>L959+((M959-L959)/2)</f>
        <v>0.65</v>
      </c>
      <c r="O959" s="46">
        <v>80</v>
      </c>
      <c r="P959" s="46">
        <f t="shared" ref="P959:P1022" si="347">O959+I959</f>
        <v>81.3</v>
      </c>
      <c r="Q959" s="46">
        <f t="shared" si="344"/>
        <v>80.650000000000006</v>
      </c>
      <c r="R959" s="46">
        <v>80</v>
      </c>
      <c r="S959" s="46">
        <v>81.3</v>
      </c>
      <c r="T959" s="54">
        <v>80.7</v>
      </c>
      <c r="U959" s="46">
        <f t="shared" si="332"/>
        <v>80.7</v>
      </c>
      <c r="V959" s="18">
        <v>5.2603</v>
      </c>
      <c r="W959" s="18">
        <v>2.1259999999999999</v>
      </c>
      <c r="X959" s="23">
        <v>1.1476266666666699</v>
      </c>
      <c r="Y959" s="23">
        <f t="shared" si="333"/>
        <v>4.1126733333333299</v>
      </c>
      <c r="Z959" s="23">
        <f t="shared" si="334"/>
        <v>0.97837333333332999</v>
      </c>
      <c r="AA959" s="21">
        <f t="shared" si="335"/>
        <v>76.210769637267632</v>
      </c>
      <c r="AB959" s="21">
        <f t="shared" si="336"/>
        <v>23.789230362732368</v>
      </c>
      <c r="AC959" s="23">
        <f>Y959/J959</f>
        <v>0.95896660595410499</v>
      </c>
      <c r="AD959" s="23">
        <f>Z959/J959</f>
        <v>0.22813077499209802</v>
      </c>
      <c r="AE959" s="57">
        <v>10.195</v>
      </c>
      <c r="AF959" s="57">
        <v>10.452999999999999</v>
      </c>
      <c r="AG959" s="57">
        <v>10.256</v>
      </c>
      <c r="AH959" s="58">
        <f>AG959-AE959</f>
        <v>6.0999999999999943E-2</v>
      </c>
      <c r="AI959" s="59">
        <f>((AF959-AG959)/(AF959-AE959))*100</f>
        <v>76.356589147286755</v>
      </c>
      <c r="AJ959" s="26">
        <f t="shared" si="337"/>
        <v>3.8178294573643381</v>
      </c>
      <c r="AK959" s="26">
        <f t="shared" si="338"/>
        <v>44.136756732535702</v>
      </c>
      <c r="AL959" s="26">
        <f t="shared" si="339"/>
        <v>3.8188901222107554</v>
      </c>
      <c r="AM959" s="17">
        <f t="shared" ref="AM959:AM1022" si="348">1/1.73</f>
        <v>0.5780346820809249</v>
      </c>
      <c r="AN959" s="60" t="s">
        <v>43</v>
      </c>
      <c r="AO959" s="39">
        <v>50</v>
      </c>
      <c r="AP959" s="52" t="s">
        <v>35</v>
      </c>
      <c r="AQ959" s="17"/>
      <c r="AR959" s="17"/>
      <c r="AS959" s="27"/>
      <c r="AT959" s="17"/>
      <c r="AU959" s="17"/>
      <c r="AV959" s="17"/>
      <c r="AW959" s="17"/>
      <c r="AX959" s="17"/>
      <c r="BB959" s="17"/>
    </row>
    <row r="960" spans="1:54" x14ac:dyDescent="0.2">
      <c r="A960" s="18" t="s">
        <v>90</v>
      </c>
      <c r="B960" s="18" t="s">
        <v>91</v>
      </c>
      <c r="C960" s="18" t="s">
        <v>96</v>
      </c>
      <c r="D960" s="18" t="str">
        <f t="shared" ref="D960:D1023" si="349">C960&amp;"_"&amp;F960</f>
        <v>CAT1.1C_66</v>
      </c>
      <c r="E960" s="55" t="s">
        <v>81</v>
      </c>
      <c r="F960" s="18">
        <v>66</v>
      </c>
      <c r="G960" s="46">
        <v>2.5</v>
      </c>
      <c r="H960" s="46">
        <v>2.1</v>
      </c>
      <c r="I960" s="46">
        <v>1.3</v>
      </c>
      <c r="J960" s="23">
        <f t="shared" ref="J960:J1023" si="350">(AVERAGE(G960:H960)*(AVERAGE(G960:H960)*3.14/4*I960))</f>
        <v>5.3984449999999997</v>
      </c>
      <c r="K960" s="61">
        <v>0.1921875000000004</v>
      </c>
      <c r="L960" s="45">
        <f t="shared" ref="L960:L991" si="351">M959+K960</f>
        <v>1.4921875000000004</v>
      </c>
      <c r="M960" s="45">
        <f t="shared" si="346"/>
        <v>2.7921875000000007</v>
      </c>
      <c r="N960" s="46">
        <f>L960+((M960-L960)/2)</f>
        <v>2.1421875000000004</v>
      </c>
      <c r="O960" s="46">
        <f t="shared" ref="O960:O991" si="352">P959+K960</f>
        <v>81.4921875</v>
      </c>
      <c r="P960" s="46">
        <f t="shared" si="347"/>
        <v>82.792187499999997</v>
      </c>
      <c r="Q960" s="46">
        <f t="shared" si="344"/>
        <v>82.142187500000006</v>
      </c>
      <c r="R960" s="46">
        <v>81.4921875</v>
      </c>
      <c r="S960" s="46">
        <v>82.792187499999997</v>
      </c>
      <c r="T960" s="54">
        <v>82.1</v>
      </c>
      <c r="U960" s="46">
        <f t="shared" ref="U960:U1023" si="353">T960</f>
        <v>82.1</v>
      </c>
      <c r="V960" s="18">
        <v>6.4530000000000003</v>
      </c>
      <c r="W960" s="18">
        <v>1.9550000000000001</v>
      </c>
      <c r="X960" s="23">
        <v>1.1476266666666699</v>
      </c>
      <c r="Y960" s="23">
        <f t="shared" ref="Y960:Y1023" si="354">V960-X960</f>
        <v>5.3053733333333302</v>
      </c>
      <c r="Z960" s="23">
        <f t="shared" ref="Z960:Z1023" si="355">W960-X960</f>
        <v>0.80737333333333017</v>
      </c>
      <c r="AA960" s="21">
        <f t="shared" ref="AA960:AA1023" si="356">((Y960-Z960)/Y960)*100</f>
        <v>84.781969474972598</v>
      </c>
      <c r="AB960" s="21">
        <f t="shared" ref="AB960:AB1023" si="357">100-AA960</f>
        <v>15.218030525027402</v>
      </c>
      <c r="AC960" s="23">
        <f>Y960/J960</f>
        <v>0.98275954155934353</v>
      </c>
      <c r="AD960" s="23">
        <f>Z960/J960</f>
        <v>0.14955664702212029</v>
      </c>
      <c r="AE960" s="57">
        <v>9.2509999999999994</v>
      </c>
      <c r="AF960" s="57">
        <v>9.4269999999999996</v>
      </c>
      <c r="AG960" s="57">
        <v>9.27</v>
      </c>
      <c r="AH960" s="58">
        <f>AG960-AE960</f>
        <v>1.9000000000000128E-2</v>
      </c>
      <c r="AI960" s="59">
        <f>((AF960-AG960)/(AF960-AE960))*100</f>
        <v>89.204545454545396</v>
      </c>
      <c r="AJ960" s="26">
        <f t="shared" ref="AJ960:AJ1023" si="358">AI960*0.05</f>
        <v>4.4602272727272698</v>
      </c>
      <c r="AK960" s="26">
        <f t="shared" ref="AK960:AK1023" si="359">AI960*AM960</f>
        <v>51.56332107199156</v>
      </c>
      <c r="AL960" s="26">
        <f t="shared" ref="AL960:AL1023" si="360">(AJ960^2+0.09^2)^0.5</f>
        <v>4.4611352057946121</v>
      </c>
      <c r="AM960" s="17">
        <f t="shared" si="348"/>
        <v>0.5780346820809249</v>
      </c>
      <c r="AN960" s="60" t="s">
        <v>44</v>
      </c>
      <c r="AO960" s="39" t="s">
        <v>55</v>
      </c>
      <c r="AP960" s="18" t="s">
        <v>35</v>
      </c>
      <c r="AQ960" s="17"/>
      <c r="AR960" s="17"/>
      <c r="AS960" s="27"/>
      <c r="AT960" s="17"/>
      <c r="AU960" s="17"/>
      <c r="AV960" s="17"/>
      <c r="AW960" s="17"/>
      <c r="AX960" s="17"/>
      <c r="BB960" s="17"/>
    </row>
    <row r="961" spans="1:54" x14ac:dyDescent="0.2">
      <c r="A961" s="18" t="s">
        <v>90</v>
      </c>
      <c r="B961" s="18" t="s">
        <v>91</v>
      </c>
      <c r="C961" s="18" t="s">
        <v>96</v>
      </c>
      <c r="D961" s="18" t="str">
        <f t="shared" si="349"/>
        <v>CAT1.1C_67</v>
      </c>
      <c r="E961" s="55" t="s">
        <v>81</v>
      </c>
      <c r="F961" s="18">
        <v>67</v>
      </c>
      <c r="G961" s="46">
        <v>2.0499999999999998</v>
      </c>
      <c r="H961" s="46">
        <v>2.4</v>
      </c>
      <c r="I961" s="46">
        <v>1.35</v>
      </c>
      <c r="J961" s="23">
        <f t="shared" si="350"/>
        <v>5.246424843749999</v>
      </c>
      <c r="K961" s="61">
        <v>0.1921875000000004</v>
      </c>
      <c r="L961" s="45">
        <f t="shared" si="351"/>
        <v>2.9843750000000009</v>
      </c>
      <c r="M961" s="45">
        <f t="shared" si="346"/>
        <v>4.3343750000000014</v>
      </c>
      <c r="N961" s="46">
        <f t="shared" ref="N961:N991" si="361">L961+((M961-L961)/2)</f>
        <v>3.6593750000000012</v>
      </c>
      <c r="O961" s="46">
        <f t="shared" si="352"/>
        <v>82.984375</v>
      </c>
      <c r="P961" s="46">
        <f t="shared" si="347"/>
        <v>84.334374999999994</v>
      </c>
      <c r="Q961" s="46">
        <f t="shared" si="344"/>
        <v>83.659374999999997</v>
      </c>
      <c r="R961" s="46">
        <v>82.984375</v>
      </c>
      <c r="S961" s="46">
        <v>84.334374999999994</v>
      </c>
      <c r="T961" s="54">
        <v>83.7</v>
      </c>
      <c r="U961" s="46">
        <f t="shared" si="353"/>
        <v>83.7</v>
      </c>
      <c r="V961" s="18">
        <v>6.2869999999999999</v>
      </c>
      <c r="W961" s="18">
        <v>1.8926000000000001</v>
      </c>
      <c r="X961" s="23">
        <v>1.1476266666666699</v>
      </c>
      <c r="Y961" s="23">
        <f t="shared" si="354"/>
        <v>5.1393733333333298</v>
      </c>
      <c r="Z961" s="23">
        <f t="shared" si="355"/>
        <v>0.74497333333333016</v>
      </c>
      <c r="AA961" s="21">
        <f t="shared" si="356"/>
        <v>85.504588108018396</v>
      </c>
      <c r="AB961" s="21">
        <f t="shared" si="357"/>
        <v>14.495411891981604</v>
      </c>
      <c r="AC961" s="23">
        <f>Y961/J961</f>
        <v>0.97959534090263423</v>
      </c>
      <c r="AD961" s="23">
        <f>Z961/J961</f>
        <v>0.14199637953849806</v>
      </c>
      <c r="AE961" s="57">
        <v>9.3729999999999993</v>
      </c>
      <c r="AF961" s="57">
        <v>9.5169999999999995</v>
      </c>
      <c r="AG961" s="57">
        <v>9.3870000000000005</v>
      </c>
      <c r="AH961" s="58">
        <f>AG961-AE961</f>
        <v>1.4000000000001123E-2</v>
      </c>
      <c r="AI961" s="59">
        <f>((AF961-AG961)/(AF961-AE961))*100</f>
        <v>90.277777777777004</v>
      </c>
      <c r="AJ961" s="26">
        <f t="shared" si="358"/>
        <v>4.5138888888888502</v>
      </c>
      <c r="AK961" s="26">
        <f t="shared" si="359"/>
        <v>52.183686576749714</v>
      </c>
      <c r="AL961" s="26">
        <f t="shared" si="360"/>
        <v>4.5147860305040171</v>
      </c>
      <c r="AM961" s="17">
        <f t="shared" si="348"/>
        <v>0.5780346820809249</v>
      </c>
      <c r="AN961" s="60" t="s">
        <v>46</v>
      </c>
      <c r="AO961" s="45">
        <f>SUM(I959:I991)</f>
        <v>43.849999999999987</v>
      </c>
      <c r="AP961" s="52" t="s">
        <v>35</v>
      </c>
      <c r="AQ961" s="17"/>
      <c r="AR961" s="17"/>
      <c r="AS961" s="27"/>
      <c r="AT961" s="17"/>
      <c r="AU961" s="17"/>
      <c r="AV961" s="17"/>
      <c r="AW961" s="17"/>
      <c r="AX961" s="17"/>
      <c r="BB961" s="17"/>
    </row>
    <row r="962" spans="1:54" x14ac:dyDescent="0.2">
      <c r="A962" s="18" t="s">
        <v>90</v>
      </c>
      <c r="B962" s="18" t="s">
        <v>91</v>
      </c>
      <c r="C962" s="18" t="s">
        <v>96</v>
      </c>
      <c r="D962" s="18" t="str">
        <f t="shared" si="349"/>
        <v>CAT1.1C_68</v>
      </c>
      <c r="E962" s="55" t="s">
        <v>81</v>
      </c>
      <c r="F962" s="18">
        <v>68</v>
      </c>
      <c r="G962" s="46">
        <v>2.5</v>
      </c>
      <c r="H962" s="46">
        <v>2.1</v>
      </c>
      <c r="I962" s="46">
        <v>1.4</v>
      </c>
      <c r="J962" s="23">
        <f t="shared" si="350"/>
        <v>5.8137099999999995</v>
      </c>
      <c r="K962" s="61">
        <v>0.1921875000000004</v>
      </c>
      <c r="L962" s="45">
        <f t="shared" si="351"/>
        <v>4.5265625000000016</v>
      </c>
      <c r="M962" s="45">
        <f t="shared" si="346"/>
        <v>5.9265625000000011</v>
      </c>
      <c r="N962" s="46">
        <f t="shared" si="361"/>
        <v>5.2265625000000018</v>
      </c>
      <c r="O962" s="46">
        <f t="shared" si="352"/>
        <v>84.526562499999997</v>
      </c>
      <c r="P962" s="46">
        <f t="shared" si="347"/>
        <v>85.926562500000003</v>
      </c>
      <c r="Q962" s="46">
        <f t="shared" si="344"/>
        <v>85.2265625</v>
      </c>
      <c r="R962" s="46">
        <v>84.526562499999997</v>
      </c>
      <c r="S962" s="46">
        <v>85.926562500000003</v>
      </c>
      <c r="T962" s="54">
        <v>85.2</v>
      </c>
      <c r="U962" s="46">
        <f t="shared" si="353"/>
        <v>85.2</v>
      </c>
      <c r="V962" s="18">
        <v>6.7454999999999998</v>
      </c>
      <c r="W962" s="18">
        <v>1.8704000000000001</v>
      </c>
      <c r="X962" s="23">
        <v>1.1476266666666699</v>
      </c>
      <c r="Y962" s="23">
        <f t="shared" si="354"/>
        <v>5.5978733333333297</v>
      </c>
      <c r="Z962" s="23">
        <f t="shared" si="355"/>
        <v>0.72277333333333016</v>
      </c>
      <c r="AA962" s="21">
        <f t="shared" si="356"/>
        <v>87.088430010920874</v>
      </c>
      <c r="AB962" s="21">
        <f t="shared" si="357"/>
        <v>12.911569989079126</v>
      </c>
      <c r="AC962" s="23">
        <f>Y962/J962</f>
        <v>0.96287453851900595</v>
      </c>
      <c r="AD962" s="23">
        <f>Z962/J962</f>
        <v>0.12432221994790421</v>
      </c>
      <c r="AE962" s="57">
        <v>10.276999999999999</v>
      </c>
      <c r="AF962" s="57">
        <v>10.404999999999999</v>
      </c>
      <c r="AG962" s="57">
        <v>10.286</v>
      </c>
      <c r="AH962" s="58">
        <f>AG962-AE962</f>
        <v>9.0000000000003411E-3</v>
      </c>
      <c r="AI962" s="59">
        <f>((AF962-AG962)/(AF962-AE962))*100</f>
        <v>92.968749999999744</v>
      </c>
      <c r="AJ962" s="26">
        <f t="shared" si="358"/>
        <v>4.6484374999999876</v>
      </c>
      <c r="AK962" s="26">
        <f t="shared" si="359"/>
        <v>53.73916184971084</v>
      </c>
      <c r="AL962" s="26">
        <f t="shared" si="360"/>
        <v>4.6493086788689491</v>
      </c>
      <c r="AM962" s="17">
        <f t="shared" si="348"/>
        <v>0.5780346820809249</v>
      </c>
      <c r="AN962" s="60" t="s">
        <v>47</v>
      </c>
      <c r="AO962" s="45">
        <f>AO959-AO961</f>
        <v>6.1500000000000128</v>
      </c>
      <c r="AP962" s="52"/>
      <c r="AQ962" s="17"/>
      <c r="AR962" s="17"/>
      <c r="AS962" s="27"/>
      <c r="AT962" s="17"/>
      <c r="AU962" s="17"/>
      <c r="AV962" s="17"/>
      <c r="AW962" s="17"/>
      <c r="AX962" s="17"/>
      <c r="BB962" s="17"/>
    </row>
    <row r="963" spans="1:54" x14ac:dyDescent="0.2">
      <c r="A963" s="18" t="s">
        <v>90</v>
      </c>
      <c r="B963" s="18" t="s">
        <v>91</v>
      </c>
      <c r="C963" s="18" t="s">
        <v>96</v>
      </c>
      <c r="D963" s="18" t="str">
        <f t="shared" si="349"/>
        <v>CAT1.1C_69</v>
      </c>
      <c r="E963" s="55" t="s">
        <v>81</v>
      </c>
      <c r="F963" s="18">
        <v>69</v>
      </c>
      <c r="G963" s="46">
        <v>2.4</v>
      </c>
      <c r="H963" s="46">
        <v>2.0499999999999998</v>
      </c>
      <c r="I963" s="46">
        <v>1.4</v>
      </c>
      <c r="J963" s="23">
        <f t="shared" si="350"/>
        <v>5.440736874999998</v>
      </c>
      <c r="K963" s="61">
        <v>0.1921875000000004</v>
      </c>
      <c r="L963" s="45">
        <f t="shared" si="351"/>
        <v>6.1187500000000012</v>
      </c>
      <c r="M963" s="45">
        <f t="shared" si="346"/>
        <v>7.5187500000000007</v>
      </c>
      <c r="N963" s="46">
        <f t="shared" si="361"/>
        <v>6.8187500000000014</v>
      </c>
      <c r="O963" s="46">
        <f t="shared" si="352"/>
        <v>86.118750000000006</v>
      </c>
      <c r="P963" s="46">
        <f t="shared" si="347"/>
        <v>87.518750000000011</v>
      </c>
      <c r="Q963" s="46">
        <f t="shared" si="344"/>
        <v>86.818750000000009</v>
      </c>
      <c r="R963" s="46">
        <v>86.118750000000006</v>
      </c>
      <c r="S963" s="46">
        <v>87.518750000000011</v>
      </c>
      <c r="T963" s="54">
        <v>86.8</v>
      </c>
      <c r="U963" s="46">
        <f t="shared" si="353"/>
        <v>86.8</v>
      </c>
      <c r="V963" s="18">
        <v>6.0997000000000003</v>
      </c>
      <c r="W963" s="18">
        <v>1.77</v>
      </c>
      <c r="X963" s="23">
        <v>1.1476266666666699</v>
      </c>
      <c r="Y963" s="23">
        <f t="shared" si="354"/>
        <v>4.9520733333333302</v>
      </c>
      <c r="Z963" s="23">
        <f t="shared" si="355"/>
        <v>0.62237333333333011</v>
      </c>
      <c r="AA963" s="21">
        <f t="shared" si="356"/>
        <v>87.432065491760397</v>
      </c>
      <c r="AB963" s="21">
        <f t="shared" si="357"/>
        <v>12.567934508239603</v>
      </c>
      <c r="AC963" s="23">
        <f>Y963/J963</f>
        <v>0.9101843090570948</v>
      </c>
      <c r="AD963" s="23">
        <f>Z963/J963</f>
        <v>0.11439136786656869</v>
      </c>
      <c r="AE963" s="57">
        <v>9.5670000000000002</v>
      </c>
      <c r="AF963" s="57">
        <v>9.7650000000000006</v>
      </c>
      <c r="AG963" s="57">
        <v>9.5809999999999995</v>
      </c>
      <c r="AH963" s="58">
        <f>AG963-AE963</f>
        <v>1.3999999999999346E-2</v>
      </c>
      <c r="AI963" s="59">
        <f>((AF963-AG963)/(AF963-AE963))*100</f>
        <v>92.929292929293268</v>
      </c>
      <c r="AJ963" s="26">
        <f t="shared" si="358"/>
        <v>4.646464646464664</v>
      </c>
      <c r="AK963" s="26">
        <f t="shared" si="359"/>
        <v>53.716354294389177</v>
      </c>
      <c r="AL963" s="26">
        <f t="shared" si="360"/>
        <v>4.6473361951601904</v>
      </c>
      <c r="AM963" s="17">
        <f t="shared" si="348"/>
        <v>0.5780346820809249</v>
      </c>
      <c r="AN963" s="60" t="s">
        <v>48</v>
      </c>
      <c r="AO963" s="39">
        <v>32</v>
      </c>
      <c r="AP963" s="52"/>
      <c r="AQ963" s="17"/>
      <c r="AR963" s="17"/>
      <c r="AS963" s="27"/>
      <c r="AT963" s="17"/>
      <c r="AU963" s="17"/>
      <c r="AV963" s="17"/>
      <c r="AW963" s="17"/>
      <c r="AX963" s="17"/>
      <c r="BB963" s="17"/>
    </row>
    <row r="964" spans="1:54" x14ac:dyDescent="0.2">
      <c r="A964" s="18" t="s">
        <v>90</v>
      </c>
      <c r="B964" s="18" t="s">
        <v>91</v>
      </c>
      <c r="C964" s="18" t="s">
        <v>96</v>
      </c>
      <c r="D964" s="18" t="str">
        <f t="shared" si="349"/>
        <v>CAT1.1C_70</v>
      </c>
      <c r="E964" s="55" t="s">
        <v>81</v>
      </c>
      <c r="F964" s="18">
        <v>70</v>
      </c>
      <c r="G964" s="46">
        <v>2.4</v>
      </c>
      <c r="H964" s="46">
        <v>2.1</v>
      </c>
      <c r="I964" s="46">
        <v>1.4</v>
      </c>
      <c r="J964" s="23">
        <f t="shared" si="350"/>
        <v>5.5636875000000003</v>
      </c>
      <c r="K964" s="61">
        <v>0.1921875000000004</v>
      </c>
      <c r="L964" s="45">
        <f t="shared" si="351"/>
        <v>7.7109375000000009</v>
      </c>
      <c r="M964" s="45">
        <f t="shared" si="346"/>
        <v>9.1109375000000004</v>
      </c>
      <c r="N964" s="46">
        <f t="shared" si="361"/>
        <v>8.4109375000000011</v>
      </c>
      <c r="O964" s="46">
        <f t="shared" si="352"/>
        <v>87.710937500000014</v>
      </c>
      <c r="P964" s="46">
        <f t="shared" si="347"/>
        <v>89.11093750000002</v>
      </c>
      <c r="Q964" s="46">
        <f t="shared" si="344"/>
        <v>88.410937500000017</v>
      </c>
      <c r="R964" s="46">
        <v>87.710937500000014</v>
      </c>
      <c r="S964" s="46">
        <v>89.11093750000002</v>
      </c>
      <c r="T964" s="54">
        <v>88.4</v>
      </c>
      <c r="U964" s="46">
        <f t="shared" si="353"/>
        <v>88.4</v>
      </c>
      <c r="V964" s="18">
        <v>6.5583</v>
      </c>
      <c r="W964" s="18">
        <v>1.8128</v>
      </c>
      <c r="X964" s="23">
        <v>1.1476266666666699</v>
      </c>
      <c r="Y964" s="23">
        <f t="shared" si="354"/>
        <v>5.4106733333333299</v>
      </c>
      <c r="Z964" s="23">
        <f t="shared" si="355"/>
        <v>0.66517333333333006</v>
      </c>
      <c r="AA964" s="21">
        <f t="shared" si="356"/>
        <v>87.706274388523468</v>
      </c>
      <c r="AB964" s="21">
        <f t="shared" si="357"/>
        <v>12.293725611476532</v>
      </c>
      <c r="AC964" s="23">
        <f>Y964/J964</f>
        <v>0.97249770648213607</v>
      </c>
      <c r="AD964" s="23">
        <f>Z964/J964</f>
        <v>0.11955619961281615</v>
      </c>
      <c r="AE964" s="57">
        <v>12.015000000000001</v>
      </c>
      <c r="AF964" s="57">
        <v>12.144</v>
      </c>
      <c r="AG964" s="57">
        <v>12.023999999999999</v>
      </c>
      <c r="AH964" s="58">
        <f>AG964-AE964</f>
        <v>8.9999999999985647E-3</v>
      </c>
      <c r="AI964" s="59">
        <f>((AF964-AG964)/(AF964-AE964))*100</f>
        <v>93.023255813954577</v>
      </c>
      <c r="AJ964" s="26">
        <f t="shared" si="358"/>
        <v>4.6511627906977289</v>
      </c>
      <c r="AK964" s="26">
        <f t="shared" si="359"/>
        <v>53.770668100551781</v>
      </c>
      <c r="AL964" s="26">
        <f t="shared" si="360"/>
        <v>4.6520334592058861</v>
      </c>
      <c r="AM964" s="17">
        <f t="shared" si="348"/>
        <v>0.5780346820809249</v>
      </c>
      <c r="AN964" s="60" t="s">
        <v>49</v>
      </c>
      <c r="AO964" s="50">
        <f>AO962/AO963</f>
        <v>0.1921875000000004</v>
      </c>
      <c r="AP964" s="52" t="s">
        <v>35</v>
      </c>
      <c r="AQ964" s="17"/>
      <c r="AR964" s="17"/>
      <c r="AS964" s="27"/>
      <c r="AT964" s="17"/>
      <c r="AU964" s="17"/>
      <c r="AV964" s="17"/>
      <c r="AW964" s="17"/>
      <c r="AX964" s="17"/>
      <c r="BB964" s="17"/>
    </row>
    <row r="965" spans="1:54" x14ac:dyDescent="0.2">
      <c r="A965" s="18" t="s">
        <v>90</v>
      </c>
      <c r="B965" s="18" t="s">
        <v>91</v>
      </c>
      <c r="C965" s="18" t="s">
        <v>96</v>
      </c>
      <c r="D965" s="18" t="str">
        <f t="shared" si="349"/>
        <v>CAT1.1C_71</v>
      </c>
      <c r="E965" s="55" t="s">
        <v>81</v>
      </c>
      <c r="F965" s="18">
        <v>71</v>
      </c>
      <c r="G965" s="46">
        <v>2.1</v>
      </c>
      <c r="H965" s="46">
        <v>2.1</v>
      </c>
      <c r="I965" s="46">
        <v>1.35</v>
      </c>
      <c r="J965" s="23">
        <f t="shared" si="350"/>
        <v>4.6734975000000007</v>
      </c>
      <c r="K965" s="61">
        <v>0.1921875000000004</v>
      </c>
      <c r="L965" s="45">
        <f t="shared" si="351"/>
        <v>9.3031250000000014</v>
      </c>
      <c r="M965" s="45">
        <f t="shared" si="346"/>
        <v>10.653125000000001</v>
      </c>
      <c r="N965" s="46">
        <f t="shared" si="361"/>
        <v>9.9781250000000021</v>
      </c>
      <c r="O965" s="46">
        <f t="shared" si="352"/>
        <v>89.303125000000023</v>
      </c>
      <c r="P965" s="46">
        <f t="shared" si="347"/>
        <v>90.653125000000017</v>
      </c>
      <c r="Q965" s="46">
        <f t="shared" si="344"/>
        <v>89.97812500000002</v>
      </c>
      <c r="R965" s="46">
        <v>89.303125000000023</v>
      </c>
      <c r="S965" s="46">
        <v>90.653125000000017</v>
      </c>
      <c r="T965" s="54">
        <v>90</v>
      </c>
      <c r="U965" s="46">
        <f t="shared" si="353"/>
        <v>90</v>
      </c>
      <c r="V965" s="18">
        <v>6.1798999999999999</v>
      </c>
      <c r="W965" s="18">
        <v>1.7708999999999999</v>
      </c>
      <c r="X965" s="23">
        <v>1.1476266666666699</v>
      </c>
      <c r="Y965" s="23">
        <f t="shared" si="354"/>
        <v>5.0322733333333298</v>
      </c>
      <c r="Z965" s="23">
        <f t="shared" si="355"/>
        <v>0.62327333333333002</v>
      </c>
      <c r="AA965" s="21">
        <f t="shared" si="356"/>
        <v>87.614477750943635</v>
      </c>
      <c r="AB965" s="21">
        <f t="shared" si="357"/>
        <v>12.385522249056365</v>
      </c>
      <c r="AC965" s="23">
        <f>Y965/J965</f>
        <v>1.0767681663108473</v>
      </c>
      <c r="AD965" s="23">
        <f>Z965/J965</f>
        <v>0.13336336080918626</v>
      </c>
      <c r="AE965" s="57">
        <v>12.153</v>
      </c>
      <c r="AF965" s="57">
        <v>12.311999999999999</v>
      </c>
      <c r="AG965" s="57">
        <v>12.163</v>
      </c>
      <c r="AH965" s="58">
        <f>AG965-AE965</f>
        <v>9.9999999999997868E-3</v>
      </c>
      <c r="AI965" s="59">
        <f>((AF965-AG965)/(AF965-AE965))*100</f>
        <v>93.710691823899467</v>
      </c>
      <c r="AJ965" s="26">
        <f t="shared" si="358"/>
        <v>4.6855345911949735</v>
      </c>
      <c r="AK965" s="26">
        <f t="shared" si="359"/>
        <v>54.168029956011253</v>
      </c>
      <c r="AL965" s="26">
        <f t="shared" si="360"/>
        <v>4.6863988738993019</v>
      </c>
      <c r="AM965" s="17">
        <f t="shared" si="348"/>
        <v>0.5780346820809249</v>
      </c>
      <c r="AN965" s="52"/>
      <c r="AO965" s="39"/>
      <c r="AP965" s="18"/>
      <c r="AQ965" s="17"/>
      <c r="AR965" s="17"/>
      <c r="AS965" s="27"/>
      <c r="AT965" s="17"/>
      <c r="AU965" s="17"/>
      <c r="AV965" s="17"/>
      <c r="AW965" s="17"/>
      <c r="AX965" s="17"/>
      <c r="BB965" s="17"/>
    </row>
    <row r="966" spans="1:54" x14ac:dyDescent="0.2">
      <c r="A966" s="18" t="s">
        <v>90</v>
      </c>
      <c r="B966" s="18" t="s">
        <v>91</v>
      </c>
      <c r="C966" s="18" t="s">
        <v>96</v>
      </c>
      <c r="D966" s="18" t="str">
        <f t="shared" si="349"/>
        <v>CAT1.1C_72</v>
      </c>
      <c r="E966" s="55" t="s">
        <v>81</v>
      </c>
      <c r="F966" s="18">
        <v>72</v>
      </c>
      <c r="G966" s="46">
        <v>2.2000000000000002</v>
      </c>
      <c r="H966" s="46">
        <v>2.2999999999999998</v>
      </c>
      <c r="I966" s="46">
        <v>1.4</v>
      </c>
      <c r="J966" s="23">
        <f t="shared" si="350"/>
        <v>5.5636875000000003</v>
      </c>
      <c r="K966" s="61">
        <v>0.1921875000000004</v>
      </c>
      <c r="L966" s="45">
        <f t="shared" si="351"/>
        <v>10.845312500000002</v>
      </c>
      <c r="M966" s="45">
        <f t="shared" si="346"/>
        <v>12.245312500000002</v>
      </c>
      <c r="N966" s="46">
        <f t="shared" si="361"/>
        <v>11.545312500000001</v>
      </c>
      <c r="O966" s="46">
        <f t="shared" si="352"/>
        <v>90.84531250000002</v>
      </c>
      <c r="P966" s="46">
        <f t="shared" si="347"/>
        <v>92.245312500000026</v>
      </c>
      <c r="Q966" s="46">
        <f t="shared" si="344"/>
        <v>91.545312500000023</v>
      </c>
      <c r="R966" s="46">
        <v>90.84531250000002</v>
      </c>
      <c r="S966" s="46">
        <v>92.245312500000026</v>
      </c>
      <c r="T966" s="54">
        <v>91.5</v>
      </c>
      <c r="U966" s="46">
        <f t="shared" si="353"/>
        <v>91.5</v>
      </c>
      <c r="V966" s="18">
        <v>7.1555</v>
      </c>
      <c r="W966" s="18">
        <v>1.9389000000000001</v>
      </c>
      <c r="X966" s="23">
        <v>1.1476266666666699</v>
      </c>
      <c r="Y966" s="23">
        <f t="shared" si="354"/>
        <v>6.0078733333333298</v>
      </c>
      <c r="Z966" s="23">
        <f t="shared" si="355"/>
        <v>0.79127333333333016</v>
      </c>
      <c r="AA966" s="21">
        <f t="shared" si="356"/>
        <v>86.829393873150934</v>
      </c>
      <c r="AB966" s="21">
        <f t="shared" si="357"/>
        <v>13.170606126849066</v>
      </c>
      <c r="AC966" s="23">
        <f>Y966/J966</f>
        <v>1.0798365891925688</v>
      </c>
      <c r="AD966" s="23">
        <f>Z966/J966</f>
        <v>0.14222102397615433</v>
      </c>
      <c r="AE966" s="57">
        <v>13.228</v>
      </c>
      <c r="AF966" s="57">
        <v>13.382999999999999</v>
      </c>
      <c r="AG966" s="57">
        <v>13.239000000000001</v>
      </c>
      <c r="AH966" s="58">
        <f>AG966-AE966</f>
        <v>1.1000000000001009E-2</v>
      </c>
      <c r="AI966" s="59">
        <f>((AF966-AG966)/(AF966-AE966))*100</f>
        <v>92.903225806450934</v>
      </c>
      <c r="AJ966" s="26">
        <f t="shared" si="358"/>
        <v>4.6451612903225472</v>
      </c>
      <c r="AK966" s="26">
        <f t="shared" si="359"/>
        <v>53.701286593324241</v>
      </c>
      <c r="AL966" s="26">
        <f t="shared" si="360"/>
        <v>4.6460330835144763</v>
      </c>
      <c r="AM966" s="17">
        <f t="shared" si="348"/>
        <v>0.5780346820809249</v>
      </c>
      <c r="AN966" s="52"/>
      <c r="AO966" s="39"/>
      <c r="AP966" s="18"/>
      <c r="AQ966" s="17"/>
      <c r="AR966" s="17"/>
      <c r="AS966" s="27"/>
      <c r="AT966" s="17"/>
      <c r="AU966" s="17"/>
      <c r="AV966" s="17"/>
      <c r="AW966" s="17"/>
      <c r="AX966" s="17"/>
      <c r="BB966" s="17"/>
    </row>
    <row r="967" spans="1:54" x14ac:dyDescent="0.2">
      <c r="A967" s="18" t="s">
        <v>90</v>
      </c>
      <c r="B967" s="18" t="s">
        <v>91</v>
      </c>
      <c r="C967" s="18" t="s">
        <v>96</v>
      </c>
      <c r="D967" s="18" t="str">
        <f t="shared" si="349"/>
        <v>CAT1.1C_73</v>
      </c>
      <c r="E967" s="55" t="s">
        <v>81</v>
      </c>
      <c r="F967" s="18">
        <v>73</v>
      </c>
      <c r="G967" s="46">
        <v>2.2999999999999998</v>
      </c>
      <c r="H967" s="46">
        <v>2.2999999999999998</v>
      </c>
      <c r="I967" s="46">
        <v>1.3</v>
      </c>
      <c r="J967" s="23">
        <f t="shared" si="350"/>
        <v>5.3984449999999997</v>
      </c>
      <c r="K967" s="61">
        <v>0.1921875000000004</v>
      </c>
      <c r="L967" s="45">
        <f t="shared" si="351"/>
        <v>12.437500000000004</v>
      </c>
      <c r="M967" s="45">
        <f t="shared" si="346"/>
        <v>13.737500000000004</v>
      </c>
      <c r="N967" s="46">
        <f t="shared" si="361"/>
        <v>13.087500000000004</v>
      </c>
      <c r="O967" s="46">
        <f t="shared" si="352"/>
        <v>92.437500000000028</v>
      </c>
      <c r="P967" s="46">
        <f t="shared" si="347"/>
        <v>93.737500000000026</v>
      </c>
      <c r="Q967" s="46">
        <f t="shared" si="344"/>
        <v>93.087500000000034</v>
      </c>
      <c r="R967" s="46">
        <v>92.437500000000028</v>
      </c>
      <c r="S967" s="46">
        <v>93.737500000000026</v>
      </c>
      <c r="T967" s="54">
        <v>93.1</v>
      </c>
      <c r="U967" s="46">
        <f t="shared" si="353"/>
        <v>93.1</v>
      </c>
      <c r="V967" s="18">
        <v>7.1120000000000001</v>
      </c>
      <c r="W967" s="18">
        <v>1.9509000000000001</v>
      </c>
      <c r="X967" s="23">
        <v>1.1476266666666699</v>
      </c>
      <c r="Y967" s="23">
        <f t="shared" si="354"/>
        <v>5.96437333333333</v>
      </c>
      <c r="Z967" s="23">
        <f t="shared" si="355"/>
        <v>0.80327333333333018</v>
      </c>
      <c r="AA967" s="21">
        <f t="shared" si="356"/>
        <v>86.532141962944451</v>
      </c>
      <c r="AB967" s="21">
        <f t="shared" si="357"/>
        <v>13.467858037055549</v>
      </c>
      <c r="AC967" s="23">
        <f>Y967/J967</f>
        <v>1.1048317308657085</v>
      </c>
      <c r="AD967" s="23">
        <f>Z967/J967</f>
        <v>0.14879716906133714</v>
      </c>
      <c r="AE967" s="57">
        <v>10.609</v>
      </c>
      <c r="AF967" s="57">
        <v>10.765000000000001</v>
      </c>
      <c r="AG967" s="57">
        <v>10.619</v>
      </c>
      <c r="AH967" s="58">
        <f>AG967-AE967</f>
        <v>9.9999999999997868E-3</v>
      </c>
      <c r="AI967" s="59">
        <f>((AF967-AG967)/(AF967-AE967))*100</f>
        <v>93.589743589743748</v>
      </c>
      <c r="AJ967" s="26">
        <f t="shared" si="358"/>
        <v>4.6794871794871877</v>
      </c>
      <c r="AK967" s="26">
        <f t="shared" si="359"/>
        <v>54.098117681932806</v>
      </c>
      <c r="AL967" s="26">
        <f t="shared" si="360"/>
        <v>4.680352578918062</v>
      </c>
      <c r="AM967" s="17">
        <f t="shared" si="348"/>
        <v>0.5780346820809249</v>
      </c>
      <c r="AN967" s="52"/>
      <c r="AO967" s="39"/>
      <c r="AP967" s="18"/>
      <c r="AQ967" s="17"/>
      <c r="AR967" s="17"/>
      <c r="AS967" s="27"/>
      <c r="AT967" s="17"/>
      <c r="AU967" s="17"/>
      <c r="AV967" s="17"/>
      <c r="AW967" s="17"/>
      <c r="AX967" s="17"/>
      <c r="BB967" s="17"/>
    </row>
    <row r="968" spans="1:54" x14ac:dyDescent="0.2">
      <c r="A968" s="18" t="s">
        <v>90</v>
      </c>
      <c r="B968" s="18" t="s">
        <v>91</v>
      </c>
      <c r="C968" s="18" t="s">
        <v>96</v>
      </c>
      <c r="D968" s="18" t="str">
        <f t="shared" si="349"/>
        <v>CAT1.1C_74</v>
      </c>
      <c r="E968" s="55" t="s">
        <v>81</v>
      </c>
      <c r="F968" s="18">
        <v>74</v>
      </c>
      <c r="G968" s="46">
        <v>2.2000000000000002</v>
      </c>
      <c r="H968" s="46">
        <v>2.25</v>
      </c>
      <c r="I968" s="46">
        <v>1.3</v>
      </c>
      <c r="J968" s="23">
        <f t="shared" si="350"/>
        <v>5.0521128125000008</v>
      </c>
      <c r="K968" s="61">
        <v>0.1921875000000004</v>
      </c>
      <c r="L968" s="45">
        <f t="shared" si="351"/>
        <v>13.929687500000005</v>
      </c>
      <c r="M968" s="45">
        <f t="shared" si="346"/>
        <v>15.229687500000006</v>
      </c>
      <c r="N968" s="46">
        <f t="shared" si="361"/>
        <v>14.579687500000006</v>
      </c>
      <c r="O968" s="46">
        <f t="shared" si="352"/>
        <v>93.929687500000028</v>
      </c>
      <c r="P968" s="46">
        <f t="shared" si="347"/>
        <v>95.229687500000026</v>
      </c>
      <c r="Q968" s="46">
        <f t="shared" si="344"/>
        <v>94.579687500000034</v>
      </c>
      <c r="R968" s="46">
        <v>93.929687500000028</v>
      </c>
      <c r="S968" s="46">
        <v>95.229687500000026</v>
      </c>
      <c r="T968" s="54">
        <v>94.6</v>
      </c>
      <c r="U968" s="46">
        <f t="shared" si="353"/>
        <v>94.6</v>
      </c>
      <c r="V968" s="18">
        <v>6.6360000000000001</v>
      </c>
      <c r="W968" s="18">
        <v>1.8353999999999999</v>
      </c>
      <c r="X968" s="23">
        <v>1.1476266666666699</v>
      </c>
      <c r="Y968" s="23">
        <f t="shared" si="354"/>
        <v>5.48837333333333</v>
      </c>
      <c r="Z968" s="23">
        <f t="shared" si="355"/>
        <v>0.68777333333333002</v>
      </c>
      <c r="AA968" s="21">
        <f t="shared" si="356"/>
        <v>87.468539555132367</v>
      </c>
      <c r="AB968" s="21">
        <f t="shared" si="357"/>
        <v>12.531460444867633</v>
      </c>
      <c r="AC968" s="23">
        <f>Y968/J968</f>
        <v>1.0863520940692235</v>
      </c>
      <c r="AD968" s="23">
        <f>Z968/J968</f>
        <v>0.13613578296027606</v>
      </c>
      <c r="AE968" s="57">
        <v>12.013999999999999</v>
      </c>
      <c r="AF968" s="57">
        <v>12.154</v>
      </c>
      <c r="AG968" s="57">
        <v>12.023</v>
      </c>
      <c r="AH968" s="58">
        <f>AG968-AE968</f>
        <v>9.0000000000003411E-3</v>
      </c>
      <c r="AI968" s="59">
        <f>((AF968-AG968)/(AF968-AE968))*100</f>
        <v>93.571428571428356</v>
      </c>
      <c r="AJ968" s="26">
        <f t="shared" si="358"/>
        <v>4.6785714285714182</v>
      </c>
      <c r="AK968" s="26">
        <f t="shared" si="359"/>
        <v>54.087530966143561</v>
      </c>
      <c r="AL968" s="26">
        <f t="shared" si="360"/>
        <v>4.6794369973582075</v>
      </c>
      <c r="AM968" s="17">
        <f t="shared" si="348"/>
        <v>0.5780346820809249</v>
      </c>
      <c r="AN968" s="52"/>
      <c r="AO968" s="39"/>
      <c r="AP968" s="18"/>
      <c r="AQ968" s="17"/>
      <c r="AR968" s="17"/>
      <c r="AS968" s="27"/>
      <c r="AT968" s="17"/>
      <c r="AU968" s="17"/>
      <c r="AV968" s="17"/>
      <c r="AW968" s="17"/>
      <c r="AX968" s="17"/>
      <c r="BB968" s="17"/>
    </row>
    <row r="969" spans="1:54" x14ac:dyDescent="0.2">
      <c r="A969" s="18" t="s">
        <v>90</v>
      </c>
      <c r="B969" s="18" t="s">
        <v>91</v>
      </c>
      <c r="C969" s="18" t="s">
        <v>96</v>
      </c>
      <c r="D969" s="18" t="str">
        <f t="shared" si="349"/>
        <v>CAT1.1C_75</v>
      </c>
      <c r="E969" s="55" t="s">
        <v>81</v>
      </c>
      <c r="F969" s="18">
        <v>75</v>
      </c>
      <c r="G969" s="46">
        <v>2.2999999999999998</v>
      </c>
      <c r="H969" s="46">
        <v>2.2000000000000002</v>
      </c>
      <c r="I969" s="46">
        <v>1.3</v>
      </c>
      <c r="J969" s="23">
        <f t="shared" si="350"/>
        <v>5.1662812500000008</v>
      </c>
      <c r="K969" s="61">
        <v>0.1921875000000004</v>
      </c>
      <c r="L969" s="45">
        <f t="shared" si="351"/>
        <v>15.421875000000007</v>
      </c>
      <c r="M969" s="45">
        <f t="shared" si="346"/>
        <v>16.721875000000008</v>
      </c>
      <c r="N969" s="46">
        <f t="shared" si="361"/>
        <v>16.071875000000006</v>
      </c>
      <c r="O969" s="46">
        <f t="shared" si="352"/>
        <v>95.421875000000028</v>
      </c>
      <c r="P969" s="46">
        <f t="shared" si="347"/>
        <v>96.721875000000026</v>
      </c>
      <c r="Q969" s="46">
        <f t="shared" si="344"/>
        <v>96.071875000000034</v>
      </c>
      <c r="R969" s="46">
        <v>95.421875000000028</v>
      </c>
      <c r="S969" s="46">
        <v>96.721875000000026</v>
      </c>
      <c r="T969" s="54">
        <v>96.1</v>
      </c>
      <c r="U969" s="46">
        <f t="shared" si="353"/>
        <v>96.1</v>
      </c>
      <c r="V969" s="18">
        <v>6.774</v>
      </c>
      <c r="W969" s="18">
        <v>1.8119000000000001</v>
      </c>
      <c r="X969" s="23">
        <v>1.1476266666666699</v>
      </c>
      <c r="Y969" s="23">
        <f t="shared" si="354"/>
        <v>5.6263733333333299</v>
      </c>
      <c r="Z969" s="23">
        <f t="shared" si="355"/>
        <v>0.66427333333333016</v>
      </c>
      <c r="AA969" s="21">
        <f t="shared" si="356"/>
        <v>88.193578812165612</v>
      </c>
      <c r="AB969" s="21">
        <f t="shared" si="357"/>
        <v>11.806421187834388</v>
      </c>
      <c r="AC969" s="23">
        <f>Y969/J969</f>
        <v>1.0890567239894904</v>
      </c>
      <c r="AD969" s="23">
        <f>Z969/J969</f>
        <v>0.12857862380863025</v>
      </c>
      <c r="AE969" s="57">
        <v>12.281000000000001</v>
      </c>
      <c r="AF969" s="57">
        <v>12.475</v>
      </c>
      <c r="AG969" s="57">
        <v>12.291</v>
      </c>
      <c r="AH969" s="58">
        <f>AG969-AE969</f>
        <v>9.9999999999997868E-3</v>
      </c>
      <c r="AI969" s="59">
        <f>((AF969-AG969)/(AF969-AE969))*100</f>
        <v>94.845360824742357</v>
      </c>
      <c r="AJ969" s="26">
        <f t="shared" si="358"/>
        <v>4.7422680412371179</v>
      </c>
      <c r="AK969" s="26">
        <f t="shared" si="359"/>
        <v>54.823907991180555</v>
      </c>
      <c r="AL969" s="26">
        <f t="shared" si="360"/>
        <v>4.7431219860909053</v>
      </c>
      <c r="AM969" s="17">
        <f t="shared" si="348"/>
        <v>0.5780346820809249</v>
      </c>
      <c r="AN969" s="52"/>
      <c r="AO969" s="39"/>
      <c r="AP969" s="18"/>
      <c r="AQ969" s="17"/>
      <c r="AR969" s="17"/>
      <c r="AS969" s="27"/>
      <c r="AT969" s="17"/>
      <c r="AU969" s="17"/>
      <c r="AV969" s="17"/>
      <c r="AW969" s="17"/>
      <c r="AX969" s="17"/>
      <c r="BB969" s="17"/>
    </row>
    <row r="970" spans="1:54" x14ac:dyDescent="0.2">
      <c r="A970" s="18" t="s">
        <v>90</v>
      </c>
      <c r="B970" s="18" t="s">
        <v>91</v>
      </c>
      <c r="C970" s="18" t="s">
        <v>96</v>
      </c>
      <c r="D970" s="18" t="str">
        <f t="shared" si="349"/>
        <v>CAT1.1C_76</v>
      </c>
      <c r="E970" s="55" t="s">
        <v>81</v>
      </c>
      <c r="F970" s="18">
        <v>76</v>
      </c>
      <c r="G970" s="46">
        <v>2.25</v>
      </c>
      <c r="H970" s="46">
        <v>2.2999999999999998</v>
      </c>
      <c r="I970" s="46">
        <v>1.4</v>
      </c>
      <c r="J970" s="23">
        <f t="shared" si="350"/>
        <v>5.6880118749999999</v>
      </c>
      <c r="K970" s="61">
        <v>0.1921875000000004</v>
      </c>
      <c r="L970" s="45">
        <f t="shared" si="351"/>
        <v>16.914062500000007</v>
      </c>
      <c r="M970" s="45">
        <f t="shared" si="346"/>
        <v>18.314062500000006</v>
      </c>
      <c r="N970" s="46">
        <f t="shared" si="361"/>
        <v>17.614062500000006</v>
      </c>
      <c r="O970" s="46">
        <f t="shared" si="352"/>
        <v>96.914062500000028</v>
      </c>
      <c r="P970" s="46">
        <f t="shared" si="347"/>
        <v>98.314062500000034</v>
      </c>
      <c r="Q970" s="46">
        <f t="shared" si="344"/>
        <v>97.614062500000031</v>
      </c>
      <c r="R970" s="46">
        <v>96.914062500000028</v>
      </c>
      <c r="S970" s="46">
        <v>98.314062500000034</v>
      </c>
      <c r="T970" s="54">
        <v>97.6</v>
      </c>
      <c r="U970" s="46">
        <f t="shared" si="353"/>
        <v>97.6</v>
      </c>
      <c r="V970" s="18">
        <v>6.8392999999999997</v>
      </c>
      <c r="W970" s="18">
        <v>1.8368</v>
      </c>
      <c r="X970" s="23">
        <v>1.1476266666666699</v>
      </c>
      <c r="Y970" s="23">
        <f t="shared" si="354"/>
        <v>5.6916733333333296</v>
      </c>
      <c r="Z970" s="23">
        <f t="shared" si="355"/>
        <v>0.68917333333333008</v>
      </c>
      <c r="AA970" s="21">
        <f t="shared" si="356"/>
        <v>87.8915515179485</v>
      </c>
      <c r="AB970" s="21">
        <f t="shared" si="357"/>
        <v>12.1084484820515</v>
      </c>
      <c r="AC970" s="23">
        <f>Y970/J970</f>
        <v>1.0006437149594258</v>
      </c>
      <c r="AD970" s="23">
        <f>Z970/J970</f>
        <v>0.12116242871474843</v>
      </c>
      <c r="AE970" s="57">
        <v>10.026999999999999</v>
      </c>
      <c r="AF970" s="57">
        <v>10.172000000000001</v>
      </c>
      <c r="AG970" s="57">
        <v>10.036</v>
      </c>
      <c r="AH970" s="58">
        <f>AG970-AE970</f>
        <v>9.0000000000003411E-3</v>
      </c>
      <c r="AI970" s="59">
        <f>((AF970-AG970)/(AF970-AE970))*100</f>
        <v>93.793103448275687</v>
      </c>
      <c r="AJ970" s="26">
        <f t="shared" si="358"/>
        <v>4.6896551724137847</v>
      </c>
      <c r="AK970" s="26">
        <f t="shared" si="359"/>
        <v>54.215666733107341</v>
      </c>
      <c r="AL970" s="26">
        <f t="shared" si="360"/>
        <v>4.6905186958530889</v>
      </c>
      <c r="AM970" s="17">
        <f t="shared" si="348"/>
        <v>0.5780346820809249</v>
      </c>
      <c r="AN970" s="52"/>
      <c r="AO970" s="39"/>
      <c r="AP970" s="18"/>
      <c r="AQ970" s="17"/>
      <c r="AR970" s="17"/>
      <c r="AS970" s="27"/>
      <c r="AT970" s="17"/>
      <c r="AU970" s="17"/>
      <c r="AV970" s="17"/>
      <c r="AW970" s="17"/>
      <c r="AX970" s="17"/>
      <c r="BB970" s="17"/>
    </row>
    <row r="971" spans="1:54" x14ac:dyDescent="0.2">
      <c r="A971" s="18" t="s">
        <v>90</v>
      </c>
      <c r="B971" s="18" t="s">
        <v>91</v>
      </c>
      <c r="C971" s="18" t="s">
        <v>96</v>
      </c>
      <c r="D971" s="18" t="str">
        <f t="shared" si="349"/>
        <v>CAT1.1C_77</v>
      </c>
      <c r="E971" s="55" t="s">
        <v>81</v>
      </c>
      <c r="F971" s="18">
        <v>77</v>
      </c>
      <c r="G971" s="46">
        <v>2.2999999999999998</v>
      </c>
      <c r="H971" s="46">
        <v>2.2999999999999998</v>
      </c>
      <c r="I971" s="46">
        <v>1.4</v>
      </c>
      <c r="J971" s="23">
        <f t="shared" si="350"/>
        <v>5.8137099999999995</v>
      </c>
      <c r="K971" s="61">
        <v>0.1921875000000004</v>
      </c>
      <c r="L971" s="45">
        <f t="shared" si="351"/>
        <v>18.506250000000005</v>
      </c>
      <c r="M971" s="45">
        <f t="shared" si="346"/>
        <v>19.906250000000004</v>
      </c>
      <c r="N971" s="46">
        <f t="shared" si="361"/>
        <v>19.206250000000004</v>
      </c>
      <c r="O971" s="46">
        <f t="shared" si="352"/>
        <v>98.506250000000037</v>
      </c>
      <c r="P971" s="46">
        <f t="shared" si="347"/>
        <v>99.906250000000043</v>
      </c>
      <c r="Q971" s="46">
        <f t="shared" si="344"/>
        <v>99.20625000000004</v>
      </c>
      <c r="R971" s="46">
        <v>98.506250000000037</v>
      </c>
      <c r="S971" s="46">
        <v>99.906250000000043</v>
      </c>
      <c r="T971" s="54">
        <v>99.2</v>
      </c>
      <c r="U971" s="46">
        <f t="shared" si="353"/>
        <v>99.2</v>
      </c>
      <c r="V971" s="18">
        <v>7.0087000000000002</v>
      </c>
      <c r="W971" s="18">
        <v>1.9067000000000001</v>
      </c>
      <c r="X971" s="23">
        <v>1.1476266666666699</v>
      </c>
      <c r="Y971" s="23">
        <f t="shared" si="354"/>
        <v>5.86107333333333</v>
      </c>
      <c r="Z971" s="23">
        <f t="shared" si="355"/>
        <v>0.75907333333333016</v>
      </c>
      <c r="AA971" s="21">
        <f t="shared" si="356"/>
        <v>87.048902305721072</v>
      </c>
      <c r="AB971" s="21">
        <f t="shared" si="357"/>
        <v>12.951097694278928</v>
      </c>
      <c r="AC971" s="23">
        <f>Y971/J971</f>
        <v>1.0081468345227627</v>
      </c>
      <c r="AD971" s="23">
        <f>Z971/J971</f>
        <v>0.13056608144082354</v>
      </c>
      <c r="AE971" s="57">
        <v>12.744999999999999</v>
      </c>
      <c r="AF971" s="57">
        <v>12.916</v>
      </c>
      <c r="AG971" s="57">
        <v>12.756</v>
      </c>
      <c r="AH971" s="58">
        <f>AG971-AE971</f>
        <v>1.1000000000001009E-2</v>
      </c>
      <c r="AI971" s="59">
        <f>((AF971-AG971)/(AF971-AE971))*100</f>
        <v>93.567251461987752</v>
      </c>
      <c r="AJ971" s="26">
        <f t="shared" si="358"/>
        <v>4.6783625730993874</v>
      </c>
      <c r="AK971" s="26">
        <f t="shared" si="359"/>
        <v>54.085116452016045</v>
      </c>
      <c r="AL971" s="26">
        <f t="shared" si="360"/>
        <v>4.6792281805204929</v>
      </c>
      <c r="AM971" s="17">
        <f t="shared" si="348"/>
        <v>0.5780346820809249</v>
      </c>
      <c r="AN971" s="52"/>
      <c r="AO971" s="39"/>
      <c r="AP971" s="18"/>
      <c r="AQ971" s="17"/>
      <c r="AR971" s="17"/>
      <c r="AS971" s="27"/>
      <c r="AT971" s="17"/>
      <c r="AU971" s="17"/>
      <c r="AV971" s="17"/>
      <c r="AW971" s="17"/>
      <c r="AX971" s="17"/>
      <c r="BB971" s="17"/>
    </row>
    <row r="972" spans="1:54" x14ac:dyDescent="0.2">
      <c r="A972" s="18" t="s">
        <v>90</v>
      </c>
      <c r="B972" s="18" t="s">
        <v>91</v>
      </c>
      <c r="C972" s="18" t="s">
        <v>96</v>
      </c>
      <c r="D972" s="18" t="str">
        <f t="shared" si="349"/>
        <v>CAT1.1C_78</v>
      </c>
      <c r="E972" s="55" t="s">
        <v>81</v>
      </c>
      <c r="F972" s="18">
        <v>78</v>
      </c>
      <c r="G972" s="46">
        <v>2.25</v>
      </c>
      <c r="H972" s="46">
        <v>2.35</v>
      </c>
      <c r="I972" s="46">
        <v>1.3</v>
      </c>
      <c r="J972" s="23">
        <f t="shared" si="350"/>
        <v>5.3984449999999997</v>
      </c>
      <c r="K972" s="61">
        <v>0.1921875000000004</v>
      </c>
      <c r="L972" s="45">
        <f t="shared" si="351"/>
        <v>20.098437500000003</v>
      </c>
      <c r="M972" s="45">
        <f t="shared" si="346"/>
        <v>21.398437500000004</v>
      </c>
      <c r="N972" s="46">
        <f t="shared" si="361"/>
        <v>20.748437500000001</v>
      </c>
      <c r="O972" s="46">
        <f t="shared" si="352"/>
        <v>100.09843750000005</v>
      </c>
      <c r="P972" s="46">
        <f t="shared" si="347"/>
        <v>101.39843750000004</v>
      </c>
      <c r="Q972" s="46">
        <f t="shared" si="344"/>
        <v>100.74843750000005</v>
      </c>
      <c r="R972" s="46">
        <v>100.09843750000005</v>
      </c>
      <c r="S972" s="46">
        <v>101.39843750000004</v>
      </c>
      <c r="T972" s="54">
        <v>100.7</v>
      </c>
      <c r="U972" s="46">
        <f t="shared" si="353"/>
        <v>100.7</v>
      </c>
      <c r="V972" s="18">
        <v>6.6280999999999999</v>
      </c>
      <c r="W972" s="18">
        <v>1.8568</v>
      </c>
      <c r="X972" s="23">
        <v>1.1476266666666699</v>
      </c>
      <c r="Y972" s="23">
        <f t="shared" si="354"/>
        <v>5.4804733333333298</v>
      </c>
      <c r="Z972" s="23">
        <f t="shared" si="355"/>
        <v>0.7091733333333301</v>
      </c>
      <c r="AA972" s="21">
        <f t="shared" si="356"/>
        <v>87.059998467285723</v>
      </c>
      <c r="AB972" s="21">
        <f t="shared" si="357"/>
        <v>12.940001532714277</v>
      </c>
      <c r="AC972" s="23">
        <f>Y972/J972</f>
        <v>1.0151948076405946</v>
      </c>
      <c r="AD972" s="23">
        <f>Z972/J972</f>
        <v>0.13136622366872872</v>
      </c>
      <c r="AE972" s="57">
        <v>12.407</v>
      </c>
      <c r="AF972" s="57">
        <v>12.58</v>
      </c>
      <c r="AG972" s="57">
        <v>12.417</v>
      </c>
      <c r="AH972" s="58">
        <f>AG972-AE972</f>
        <v>9.9999999999997868E-3</v>
      </c>
      <c r="AI972" s="59">
        <f>((AF972-AG972)/(AF972-AE972))*100</f>
        <v>94.219653179190871</v>
      </c>
      <c r="AJ972" s="26">
        <f t="shared" si="358"/>
        <v>4.7109826589595434</v>
      </c>
      <c r="AK972" s="26">
        <f t="shared" si="359"/>
        <v>54.462227271208597</v>
      </c>
      <c r="AL972" s="26">
        <f t="shared" si="360"/>
        <v>4.7118422737839527</v>
      </c>
      <c r="AM972" s="17">
        <f t="shared" si="348"/>
        <v>0.5780346820809249</v>
      </c>
      <c r="AN972" s="52"/>
      <c r="AO972" s="39"/>
      <c r="AP972" s="18"/>
      <c r="AQ972" s="17"/>
      <c r="AR972" s="17"/>
      <c r="AS972" s="27"/>
      <c r="AT972" s="17"/>
      <c r="AU972" s="17"/>
      <c r="AV972" s="17"/>
      <c r="AW972" s="17"/>
      <c r="AX972" s="17"/>
      <c r="BB972" s="17"/>
    </row>
    <row r="973" spans="1:54" x14ac:dyDescent="0.2">
      <c r="A973" s="18" t="s">
        <v>90</v>
      </c>
      <c r="B973" s="18" t="s">
        <v>91</v>
      </c>
      <c r="C973" s="18" t="s">
        <v>96</v>
      </c>
      <c r="D973" s="18" t="str">
        <f t="shared" si="349"/>
        <v>CAT1.1C_79</v>
      </c>
      <c r="E973" s="55" t="s">
        <v>81</v>
      </c>
      <c r="F973" s="18">
        <v>79</v>
      </c>
      <c r="G973" s="46">
        <v>2.2999999999999998</v>
      </c>
      <c r="H973" s="46">
        <v>2.4</v>
      </c>
      <c r="I973" s="46">
        <v>1.3</v>
      </c>
      <c r="J973" s="23">
        <f t="shared" si="350"/>
        <v>5.6357112499999982</v>
      </c>
      <c r="K973" s="61">
        <v>0.1921875000000004</v>
      </c>
      <c r="L973" s="45">
        <f t="shared" si="351"/>
        <v>21.590625000000003</v>
      </c>
      <c r="M973" s="45">
        <f t="shared" si="346"/>
        <v>22.890625000000004</v>
      </c>
      <c r="N973" s="46">
        <f t="shared" si="361"/>
        <v>22.240625000000001</v>
      </c>
      <c r="O973" s="46">
        <f t="shared" si="352"/>
        <v>101.59062500000005</v>
      </c>
      <c r="P973" s="46">
        <f t="shared" si="347"/>
        <v>102.89062500000004</v>
      </c>
      <c r="Q973" s="46">
        <f t="shared" si="344"/>
        <v>102.24062500000005</v>
      </c>
      <c r="R973" s="46">
        <v>101.59062500000005</v>
      </c>
      <c r="S973" s="46">
        <v>102.89062500000004</v>
      </c>
      <c r="T973" s="54">
        <v>102.2</v>
      </c>
      <c r="U973" s="46">
        <f t="shared" si="353"/>
        <v>102.2</v>
      </c>
      <c r="V973" s="18">
        <v>7.1455000000000002</v>
      </c>
      <c r="W973" s="18">
        <v>1.9221999999999999</v>
      </c>
      <c r="X973" s="23">
        <v>1.1476266666666699</v>
      </c>
      <c r="Y973" s="23">
        <f t="shared" si="354"/>
        <v>5.9978733333333301</v>
      </c>
      <c r="Z973" s="23">
        <f t="shared" si="355"/>
        <v>0.77457333333333001</v>
      </c>
      <c r="AA973" s="21">
        <f t="shared" si="356"/>
        <v>87.085867101783904</v>
      </c>
      <c r="AB973" s="21">
        <f t="shared" si="357"/>
        <v>12.914132898216096</v>
      </c>
      <c r="AC973" s="23">
        <f>Y973/J973</f>
        <v>1.0642620012395654</v>
      </c>
      <c r="AD973" s="23">
        <f>Z973/J973</f>
        <v>0.13744020922529171</v>
      </c>
      <c r="AE973" s="57">
        <v>13.121</v>
      </c>
      <c r="AF973" s="57">
        <v>13.276999999999999</v>
      </c>
      <c r="AG973" s="57">
        <v>13.129</v>
      </c>
      <c r="AH973" s="58">
        <f>AG973-AE973</f>
        <v>7.9999999999991189E-3</v>
      </c>
      <c r="AI973" s="59">
        <f>((AF973-AG973)/(AF973-AE973))*100</f>
        <v>94.871794871795402</v>
      </c>
      <c r="AJ973" s="26">
        <f t="shared" si="358"/>
        <v>4.7435897435897703</v>
      </c>
      <c r="AK973" s="26">
        <f t="shared" si="359"/>
        <v>54.839187787164974</v>
      </c>
      <c r="AL973" s="26">
        <f t="shared" si="360"/>
        <v>4.7444434505524526</v>
      </c>
      <c r="AM973" s="17">
        <f t="shared" si="348"/>
        <v>0.5780346820809249</v>
      </c>
      <c r="AN973" s="52"/>
      <c r="AO973" s="39"/>
      <c r="AP973" s="18"/>
      <c r="AQ973" s="17"/>
      <c r="AR973" s="17"/>
      <c r="AS973" s="27"/>
      <c r="AT973" s="17"/>
      <c r="AU973" s="17"/>
      <c r="AV973" s="17"/>
      <c r="AW973" s="17"/>
      <c r="AX973" s="17"/>
      <c r="BB973" s="17"/>
    </row>
    <row r="974" spans="1:54" x14ac:dyDescent="0.2">
      <c r="A974" s="18" t="s">
        <v>90</v>
      </c>
      <c r="B974" s="18" t="s">
        <v>91</v>
      </c>
      <c r="C974" s="18" t="s">
        <v>96</v>
      </c>
      <c r="D974" s="18" t="str">
        <f t="shared" si="349"/>
        <v>CAT1.1C_80</v>
      </c>
      <c r="E974" s="55" t="s">
        <v>81</v>
      </c>
      <c r="F974" s="18">
        <v>80</v>
      </c>
      <c r="G974" s="46">
        <v>2.2999999999999998</v>
      </c>
      <c r="H974" s="46">
        <v>2.4</v>
      </c>
      <c r="I974" s="46">
        <v>1.4</v>
      </c>
      <c r="J974" s="23">
        <f t="shared" si="350"/>
        <v>6.0692274999999984</v>
      </c>
      <c r="K974" s="61">
        <v>0.1921875000000004</v>
      </c>
      <c r="L974" s="45">
        <f t="shared" si="351"/>
        <v>23.082812500000003</v>
      </c>
      <c r="M974" s="45">
        <f t="shared" si="346"/>
        <v>24.482812500000001</v>
      </c>
      <c r="N974" s="46">
        <f t="shared" si="361"/>
        <v>23.782812500000002</v>
      </c>
      <c r="O974" s="46">
        <f t="shared" si="352"/>
        <v>103.08281250000005</v>
      </c>
      <c r="P974" s="46">
        <f t="shared" si="347"/>
        <v>104.48281250000005</v>
      </c>
      <c r="Q974" s="46">
        <f t="shared" si="344"/>
        <v>103.78281250000005</v>
      </c>
      <c r="R974" s="46">
        <v>103.08281250000005</v>
      </c>
      <c r="S974" s="46">
        <v>104.48281250000005</v>
      </c>
      <c r="T974" s="54">
        <v>103.8</v>
      </c>
      <c r="U974" s="46">
        <f t="shared" si="353"/>
        <v>103.8</v>
      </c>
      <c r="V974" s="18">
        <v>6.9824999999999999</v>
      </c>
      <c r="W974" s="18">
        <v>1.8628</v>
      </c>
      <c r="X974" s="23">
        <v>1.1476266666666699</v>
      </c>
      <c r="Y974" s="23">
        <f t="shared" si="354"/>
        <v>5.8348733333333298</v>
      </c>
      <c r="Z974" s="23">
        <f t="shared" si="355"/>
        <v>0.71517333333333011</v>
      </c>
      <c r="AA974" s="21">
        <f t="shared" si="356"/>
        <v>87.74312153020179</v>
      </c>
      <c r="AB974" s="21">
        <f t="shared" si="357"/>
        <v>12.25687846979821</v>
      </c>
      <c r="AC974" s="23">
        <f>Y974/J974</f>
        <v>0.96138649166361478</v>
      </c>
      <c r="AD974" s="23">
        <f>Z974/J974</f>
        <v>0.11783597390826597</v>
      </c>
      <c r="AE974" s="57">
        <v>14.563000000000001</v>
      </c>
      <c r="AF974" s="57">
        <v>14.707000000000001</v>
      </c>
      <c r="AG974" s="57">
        <v>14.571</v>
      </c>
      <c r="AH974" s="58">
        <f>AG974-AE974</f>
        <v>7.9999999999991189E-3</v>
      </c>
      <c r="AI974" s="59">
        <f>((AF974-AG974)/(AF974-AE974))*100</f>
        <v>94.444444444445068</v>
      </c>
      <c r="AJ974" s="26">
        <f t="shared" si="358"/>
        <v>4.7222222222222534</v>
      </c>
      <c r="AK974" s="26">
        <f t="shared" si="359"/>
        <v>54.592164418754379</v>
      </c>
      <c r="AL974" s="26">
        <f t="shared" si="360"/>
        <v>4.7230797914125562</v>
      </c>
      <c r="AM974" s="17">
        <f t="shared" si="348"/>
        <v>0.5780346820809249</v>
      </c>
      <c r="AN974" s="52"/>
      <c r="AO974" s="39"/>
      <c r="AP974" s="18"/>
      <c r="AQ974" s="17"/>
      <c r="AR974" s="17"/>
      <c r="AS974" s="27"/>
      <c r="AT974" s="17"/>
      <c r="AU974" s="17"/>
      <c r="AV974" s="17"/>
      <c r="AW974" s="17"/>
      <c r="AX974" s="17"/>
      <c r="BB974" s="17"/>
    </row>
    <row r="975" spans="1:54" x14ac:dyDescent="0.2">
      <c r="A975" s="18" t="s">
        <v>90</v>
      </c>
      <c r="B975" s="18" t="s">
        <v>91</v>
      </c>
      <c r="C975" s="18" t="s">
        <v>96</v>
      </c>
      <c r="D975" s="18" t="str">
        <f t="shared" si="349"/>
        <v>CAT1.1C_81</v>
      </c>
      <c r="E975" s="55" t="s">
        <v>81</v>
      </c>
      <c r="F975" s="18">
        <v>81</v>
      </c>
      <c r="G975" s="46">
        <v>2.35</v>
      </c>
      <c r="H975" s="46">
        <v>2.2000000000000002</v>
      </c>
      <c r="I975" s="46">
        <v>1.4</v>
      </c>
      <c r="J975" s="23">
        <f t="shared" si="350"/>
        <v>5.6880118750000017</v>
      </c>
      <c r="K975" s="61">
        <v>0.1921875000000004</v>
      </c>
      <c r="L975" s="45">
        <f t="shared" si="351"/>
        <v>24.675000000000001</v>
      </c>
      <c r="M975" s="45">
        <f t="shared" si="346"/>
        <v>26.074999999999999</v>
      </c>
      <c r="N975" s="46">
        <f t="shared" si="361"/>
        <v>25.375</v>
      </c>
      <c r="O975" s="46">
        <f t="shared" si="352"/>
        <v>104.67500000000005</v>
      </c>
      <c r="P975" s="46">
        <f t="shared" si="347"/>
        <v>106.07500000000006</v>
      </c>
      <c r="Q975" s="46">
        <f t="shared" si="344"/>
        <v>105.37500000000006</v>
      </c>
      <c r="R975" s="46">
        <v>104.67500000000005</v>
      </c>
      <c r="S975" s="46">
        <v>106.07500000000006</v>
      </c>
      <c r="T975" s="54">
        <v>105.4</v>
      </c>
      <c r="U975" s="46">
        <f t="shared" si="353"/>
        <v>105.4</v>
      </c>
      <c r="V975" s="18">
        <v>7.5877999999999997</v>
      </c>
      <c r="W975" s="18">
        <v>1.9104000000000001</v>
      </c>
      <c r="X975" s="23">
        <v>1.1476266666666699</v>
      </c>
      <c r="Y975" s="23">
        <f t="shared" si="354"/>
        <v>6.4401733333333295</v>
      </c>
      <c r="Z975" s="23">
        <f t="shared" si="355"/>
        <v>0.76277333333333019</v>
      </c>
      <c r="AA975" s="21">
        <f t="shared" si="356"/>
        <v>88.156012364056508</v>
      </c>
      <c r="AB975" s="21">
        <f t="shared" si="357"/>
        <v>11.843987635943492</v>
      </c>
      <c r="AC975" s="23">
        <f>Y975/J975</f>
        <v>1.1322362672341164</v>
      </c>
      <c r="AD975" s="23">
        <f>Z975/J975</f>
        <v>0.13410192350087699</v>
      </c>
      <c r="AE975" s="57">
        <v>13.173</v>
      </c>
      <c r="AF975" s="57">
        <v>13.346</v>
      </c>
      <c r="AG975" s="57">
        <v>13.186</v>
      </c>
      <c r="AH975" s="58">
        <f>AG975-AE975</f>
        <v>1.2999999999999901E-2</v>
      </c>
      <c r="AI975" s="59">
        <f>((AF975-AG975)/(AF975-AE975))*100</f>
        <v>92.485549132948037</v>
      </c>
      <c r="AJ975" s="26">
        <f t="shared" si="358"/>
        <v>4.6242774566474019</v>
      </c>
      <c r="AK975" s="26">
        <f t="shared" si="359"/>
        <v>53.459854990143377</v>
      </c>
      <c r="AL975" s="26">
        <f t="shared" si="360"/>
        <v>4.6251531862260906</v>
      </c>
      <c r="AM975" s="17">
        <f t="shared" si="348"/>
        <v>0.5780346820809249</v>
      </c>
      <c r="AN975" s="52"/>
      <c r="AO975" s="39"/>
      <c r="AP975" s="18"/>
      <c r="AQ975" s="17"/>
      <c r="AR975" s="17"/>
      <c r="AS975" s="27"/>
      <c r="AT975" s="17"/>
      <c r="AU975" s="17"/>
      <c r="AV975" s="17"/>
      <c r="AW975" s="17"/>
      <c r="AX975" s="17"/>
      <c r="BB975" s="17"/>
    </row>
    <row r="976" spans="1:54" x14ac:dyDescent="0.2">
      <c r="A976" s="18" t="s">
        <v>90</v>
      </c>
      <c r="B976" s="18" t="s">
        <v>91</v>
      </c>
      <c r="C976" s="18" t="s">
        <v>96</v>
      </c>
      <c r="D976" s="18" t="str">
        <f t="shared" si="349"/>
        <v>CAT1.1C_82</v>
      </c>
      <c r="E976" s="55" t="s">
        <v>81</v>
      </c>
      <c r="F976" s="18">
        <v>82</v>
      </c>
      <c r="G976" s="46">
        <v>2.25</v>
      </c>
      <c r="H976" s="46">
        <v>2.2999999999999998</v>
      </c>
      <c r="I976" s="46">
        <v>1.2</v>
      </c>
      <c r="J976" s="23">
        <f t="shared" si="350"/>
        <v>4.8754387499999998</v>
      </c>
      <c r="K976" s="61">
        <v>0.1921875000000004</v>
      </c>
      <c r="L976" s="45">
        <f t="shared" si="351"/>
        <v>26.267187499999999</v>
      </c>
      <c r="M976" s="45">
        <f t="shared" si="346"/>
        <v>27.467187499999998</v>
      </c>
      <c r="N976" s="46">
        <f t="shared" si="361"/>
        <v>26.8671875</v>
      </c>
      <c r="O976" s="46">
        <f t="shared" si="352"/>
        <v>106.26718750000006</v>
      </c>
      <c r="P976" s="46">
        <f t="shared" si="347"/>
        <v>107.46718750000007</v>
      </c>
      <c r="Q976" s="46">
        <f t="shared" si="344"/>
        <v>106.86718750000006</v>
      </c>
      <c r="R976" s="46">
        <v>106.26718750000006</v>
      </c>
      <c r="S976" s="46">
        <v>107.46718750000007</v>
      </c>
      <c r="T976" s="54">
        <v>106.9</v>
      </c>
      <c r="U976" s="46">
        <f t="shared" si="353"/>
        <v>106.9</v>
      </c>
      <c r="V976" s="18">
        <v>6.6959999999999997</v>
      </c>
      <c r="W976" s="18">
        <v>1.8389</v>
      </c>
      <c r="X976" s="23">
        <v>1.1476266666666699</v>
      </c>
      <c r="Y976" s="23">
        <f t="shared" si="354"/>
        <v>5.5483733333333296</v>
      </c>
      <c r="Z976" s="23">
        <f t="shared" si="355"/>
        <v>0.69127333333333008</v>
      </c>
      <c r="AA976" s="21">
        <f t="shared" si="356"/>
        <v>87.540972969855474</v>
      </c>
      <c r="AB976" s="21">
        <f t="shared" si="357"/>
        <v>12.459027030144526</v>
      </c>
      <c r="AC976" s="23">
        <f>Y976/J976</f>
        <v>1.1380254409581763</v>
      </c>
      <c r="AD976" s="23">
        <f>Z976/J976</f>
        <v>0.14178689729890057</v>
      </c>
      <c r="AE976" s="57">
        <v>13.603</v>
      </c>
      <c r="AF976" s="57">
        <v>13.715</v>
      </c>
      <c r="AG976" s="57">
        <v>13.609</v>
      </c>
      <c r="AH976" s="58">
        <f>AG976-AE976</f>
        <v>6.0000000000002274E-3</v>
      </c>
      <c r="AI976" s="59">
        <f>((AF976-AG976)/(AF976-AE976))*100</f>
        <v>94.64285714285694</v>
      </c>
      <c r="AJ976" s="26">
        <f t="shared" si="358"/>
        <v>4.732142857142847</v>
      </c>
      <c r="AK976" s="26">
        <f t="shared" si="359"/>
        <v>54.706853839801703</v>
      </c>
      <c r="AL976" s="26">
        <f t="shared" si="360"/>
        <v>4.7329986288195842</v>
      </c>
      <c r="AM976" s="17">
        <f t="shared" si="348"/>
        <v>0.5780346820809249</v>
      </c>
      <c r="AN976" s="52"/>
      <c r="AO976" s="39"/>
      <c r="AP976" s="18"/>
      <c r="AQ976" s="17"/>
      <c r="AR976" s="17"/>
      <c r="AS976" s="27"/>
      <c r="AT976" s="17"/>
      <c r="AU976" s="17"/>
      <c r="AV976" s="17"/>
      <c r="AW976" s="17"/>
      <c r="AX976" s="17"/>
      <c r="BB976" s="17"/>
    </row>
    <row r="977" spans="1:54" x14ac:dyDescent="0.2">
      <c r="A977" s="18" t="s">
        <v>90</v>
      </c>
      <c r="B977" s="18" t="s">
        <v>91</v>
      </c>
      <c r="C977" s="18" t="s">
        <v>96</v>
      </c>
      <c r="D977" s="18" t="str">
        <f t="shared" si="349"/>
        <v>CAT1.1C_83</v>
      </c>
      <c r="E977" s="55" t="s">
        <v>81</v>
      </c>
      <c r="F977" s="18">
        <v>83</v>
      </c>
      <c r="G977" s="46">
        <v>2.35</v>
      </c>
      <c r="H977" s="46">
        <v>2.2000000000000002</v>
      </c>
      <c r="I977" s="46">
        <v>1.4</v>
      </c>
      <c r="J977" s="23">
        <f t="shared" si="350"/>
        <v>5.6880118750000017</v>
      </c>
      <c r="K977" s="61">
        <v>0.1921875000000004</v>
      </c>
      <c r="L977" s="45">
        <f t="shared" si="351"/>
        <v>27.659374999999997</v>
      </c>
      <c r="M977" s="45">
        <f t="shared" si="346"/>
        <v>29.059374999999996</v>
      </c>
      <c r="N977" s="46">
        <f t="shared" si="361"/>
        <v>28.359374999999996</v>
      </c>
      <c r="O977" s="46">
        <f t="shared" si="352"/>
        <v>107.65937500000007</v>
      </c>
      <c r="P977" s="46">
        <f t="shared" si="347"/>
        <v>109.05937500000007</v>
      </c>
      <c r="Q977" s="46">
        <f t="shared" si="344"/>
        <v>108.35937500000007</v>
      </c>
      <c r="R977" s="46">
        <v>107.65937500000007</v>
      </c>
      <c r="S977" s="46">
        <v>109.05937500000007</v>
      </c>
      <c r="T977" s="54">
        <v>108.4</v>
      </c>
      <c r="U977" s="46">
        <f t="shared" si="353"/>
        <v>108.4</v>
      </c>
      <c r="V977" s="18">
        <v>7.7337999999999996</v>
      </c>
      <c r="W977" s="18">
        <v>1.9588000000000001</v>
      </c>
      <c r="X977" s="23">
        <v>1.1476266666666699</v>
      </c>
      <c r="Y977" s="23">
        <f t="shared" si="354"/>
        <v>6.5861733333333294</v>
      </c>
      <c r="Z977" s="23">
        <f t="shared" si="355"/>
        <v>0.81117333333333019</v>
      </c>
      <c r="AA977" s="21">
        <f t="shared" si="356"/>
        <v>87.683692908173327</v>
      </c>
      <c r="AB977" s="21">
        <f t="shared" si="357"/>
        <v>12.316307091826673</v>
      </c>
      <c r="AC977" s="23">
        <f>Y977/J977</f>
        <v>1.1579042867826868</v>
      </c>
      <c r="AD977" s="23">
        <f>Z977/J977</f>
        <v>0.14261104778958111</v>
      </c>
      <c r="AE977" s="57">
        <v>14.398999999999999</v>
      </c>
      <c r="AF977" s="57">
        <v>14.545999999999999</v>
      </c>
      <c r="AG977" s="57">
        <v>14.409000000000001</v>
      </c>
      <c r="AH977" s="58">
        <f>AG977-AE977</f>
        <v>1.0000000000001563E-2</v>
      </c>
      <c r="AI977" s="59">
        <f>((AF977-AG977)/(AF977-AE977))*100</f>
        <v>93.197278911563572</v>
      </c>
      <c r="AJ977" s="26">
        <f t="shared" si="358"/>
        <v>4.659863945578179</v>
      </c>
      <c r="AK977" s="26">
        <f t="shared" si="359"/>
        <v>53.871259486452935</v>
      </c>
      <c r="AL977" s="26">
        <f t="shared" si="360"/>
        <v>4.6607329886295172</v>
      </c>
      <c r="AM977" s="17">
        <f t="shared" si="348"/>
        <v>0.5780346820809249</v>
      </c>
      <c r="AN977" s="52"/>
      <c r="AO977" s="39"/>
      <c r="AP977" s="18"/>
      <c r="AQ977" s="17"/>
      <c r="AR977" s="17"/>
      <c r="AS977" s="27"/>
      <c r="AT977" s="17"/>
      <c r="AU977" s="17"/>
      <c r="AV977" s="17"/>
      <c r="AW977" s="17"/>
      <c r="AX977" s="17"/>
      <c r="BB977" s="17"/>
    </row>
    <row r="978" spans="1:54" x14ac:dyDescent="0.2">
      <c r="A978" s="18" t="s">
        <v>90</v>
      </c>
      <c r="B978" s="18" t="s">
        <v>91</v>
      </c>
      <c r="C978" s="18" t="s">
        <v>96</v>
      </c>
      <c r="D978" s="18" t="str">
        <f t="shared" si="349"/>
        <v>CAT1.1C_84</v>
      </c>
      <c r="E978" s="55" t="s">
        <v>81</v>
      </c>
      <c r="F978" s="18">
        <v>84</v>
      </c>
      <c r="G978" s="46">
        <v>2.2999999999999998</v>
      </c>
      <c r="H978" s="46">
        <v>2.2000000000000002</v>
      </c>
      <c r="I978" s="46">
        <v>1.4</v>
      </c>
      <c r="J978" s="23">
        <f t="shared" si="350"/>
        <v>5.5636875000000003</v>
      </c>
      <c r="K978" s="61">
        <v>0.1921875000000004</v>
      </c>
      <c r="L978" s="45">
        <f t="shared" si="351"/>
        <v>29.251562499999995</v>
      </c>
      <c r="M978" s="45">
        <f t="shared" si="346"/>
        <v>30.651562499999994</v>
      </c>
      <c r="N978" s="46">
        <f t="shared" si="361"/>
        <v>29.951562499999994</v>
      </c>
      <c r="O978" s="46">
        <f t="shared" si="352"/>
        <v>109.25156250000008</v>
      </c>
      <c r="P978" s="46">
        <f t="shared" si="347"/>
        <v>110.65156250000008</v>
      </c>
      <c r="Q978" s="46">
        <f t="shared" si="344"/>
        <v>109.95156250000008</v>
      </c>
      <c r="R978" s="46">
        <v>109.25156250000008</v>
      </c>
      <c r="S978" s="46">
        <v>110.65156250000008</v>
      </c>
      <c r="T978" s="54">
        <v>110</v>
      </c>
      <c r="U978" s="46">
        <f t="shared" si="353"/>
        <v>110</v>
      </c>
      <c r="V978" s="18">
        <v>7.4188000000000001</v>
      </c>
      <c r="W978" s="18">
        <v>1.9517</v>
      </c>
      <c r="X978" s="23">
        <v>1.1476266666666699</v>
      </c>
      <c r="Y978" s="23">
        <f t="shared" si="354"/>
        <v>6.2711733333333299</v>
      </c>
      <c r="Z978" s="23">
        <f t="shared" si="355"/>
        <v>0.80407333333333009</v>
      </c>
      <c r="AA978" s="21">
        <f t="shared" si="356"/>
        <v>87.178263291505303</v>
      </c>
      <c r="AB978" s="21">
        <f t="shared" si="357"/>
        <v>12.821736708494697</v>
      </c>
      <c r="AC978" s="23">
        <f>Y978/J978</f>
        <v>1.1271613176213311</v>
      </c>
      <c r="AD978" s="23">
        <f>Z978/J978</f>
        <v>0.14452165642540671</v>
      </c>
      <c r="AE978" s="57">
        <v>14.013999999999999</v>
      </c>
      <c r="AF978" s="57">
        <v>14.162000000000001</v>
      </c>
      <c r="AG978" s="57">
        <v>14.021000000000001</v>
      </c>
      <c r="AH978" s="58">
        <f>AG978-AE978</f>
        <v>7.0000000000014495E-3</v>
      </c>
      <c r="AI978" s="59">
        <f>((AF978-AG978)/(AF978-AE978))*100</f>
        <v>95.270270270269336</v>
      </c>
      <c r="AJ978" s="26">
        <f t="shared" si="358"/>
        <v>4.763513513513467</v>
      </c>
      <c r="AK978" s="26">
        <f t="shared" si="359"/>
        <v>55.069520387438928</v>
      </c>
      <c r="AL978" s="26">
        <f t="shared" si="360"/>
        <v>4.7643636504181135</v>
      </c>
      <c r="AM978" s="17">
        <f t="shared" si="348"/>
        <v>0.5780346820809249</v>
      </c>
      <c r="AN978" s="52"/>
      <c r="AO978" s="39"/>
      <c r="AP978" s="18"/>
      <c r="AQ978" s="17"/>
      <c r="AR978" s="17"/>
      <c r="AS978" s="27"/>
      <c r="AT978" s="17"/>
      <c r="AU978" s="17"/>
      <c r="AV978" s="17"/>
      <c r="AW978" s="17"/>
      <c r="AX978" s="17"/>
      <c r="BB978" s="17"/>
    </row>
    <row r="979" spans="1:54" x14ac:dyDescent="0.2">
      <c r="A979" s="18" t="s">
        <v>90</v>
      </c>
      <c r="B979" s="18" t="s">
        <v>91</v>
      </c>
      <c r="C979" s="18" t="s">
        <v>96</v>
      </c>
      <c r="D979" s="18" t="str">
        <f t="shared" si="349"/>
        <v>CAT1.1C_85</v>
      </c>
      <c r="E979" s="55" t="s">
        <v>81</v>
      </c>
      <c r="F979" s="18">
        <v>85</v>
      </c>
      <c r="G979" s="46">
        <v>2.2999999999999998</v>
      </c>
      <c r="H979" s="46">
        <v>2.2000000000000002</v>
      </c>
      <c r="I979" s="46">
        <v>1.2</v>
      </c>
      <c r="J979" s="23">
        <f t="shared" si="350"/>
        <v>4.7688749999999995</v>
      </c>
      <c r="K979" s="61">
        <v>0.1921875000000004</v>
      </c>
      <c r="L979" s="45">
        <f t="shared" si="351"/>
        <v>30.843749999999993</v>
      </c>
      <c r="M979" s="45">
        <f t="shared" si="346"/>
        <v>32.043749999999996</v>
      </c>
      <c r="N979" s="46">
        <f t="shared" si="361"/>
        <v>31.443749999999994</v>
      </c>
      <c r="O979" s="46">
        <f t="shared" si="352"/>
        <v>110.84375000000009</v>
      </c>
      <c r="P979" s="46">
        <f t="shared" si="347"/>
        <v>112.04375000000009</v>
      </c>
      <c r="Q979" s="46">
        <f t="shared" si="344"/>
        <v>111.44375000000008</v>
      </c>
      <c r="R979" s="46">
        <v>110.84375000000009</v>
      </c>
      <c r="S979" s="46">
        <v>112.04375000000009</v>
      </c>
      <c r="T979" s="54">
        <v>111.4</v>
      </c>
      <c r="U979" s="46">
        <f t="shared" si="353"/>
        <v>111.4</v>
      </c>
      <c r="V979" s="18">
        <v>6.5164</v>
      </c>
      <c r="W979" s="18">
        <v>1.8498000000000001</v>
      </c>
      <c r="X979" s="23">
        <v>1.1476266666666699</v>
      </c>
      <c r="Y979" s="23">
        <f t="shared" si="354"/>
        <v>5.3687733333333298</v>
      </c>
      <c r="Z979" s="23">
        <f t="shared" si="355"/>
        <v>0.70217333333333021</v>
      </c>
      <c r="AA979" s="21">
        <f t="shared" si="356"/>
        <v>86.92115889911544</v>
      </c>
      <c r="AB979" s="21">
        <f t="shared" si="357"/>
        <v>13.07884110088456</v>
      </c>
      <c r="AC979" s="23">
        <f>Y979/J979</f>
        <v>1.125794518273876</v>
      </c>
      <c r="AD979" s="23">
        <f>Z979/J979</f>
        <v>0.14724087616750917</v>
      </c>
      <c r="AE979" s="57">
        <v>13.052</v>
      </c>
      <c r="AF979" s="57">
        <v>13.228</v>
      </c>
      <c r="AG979" s="57">
        <v>13.063000000000001</v>
      </c>
      <c r="AH979" s="58">
        <f>AG979-AE979</f>
        <v>1.1000000000001009E-2</v>
      </c>
      <c r="AI979" s="59">
        <f>((AF979-AG979)/(AF979-AE979))*100</f>
        <v>93.749999999999432</v>
      </c>
      <c r="AJ979" s="26">
        <f t="shared" si="358"/>
        <v>4.6874999999999716</v>
      </c>
      <c r="AK979" s="26">
        <f t="shared" si="359"/>
        <v>54.190751445086384</v>
      </c>
      <c r="AL979" s="26">
        <f t="shared" si="360"/>
        <v>4.6883639203884044</v>
      </c>
      <c r="AM979" s="17">
        <f t="shared" si="348"/>
        <v>0.5780346820809249</v>
      </c>
      <c r="AN979" s="52"/>
      <c r="AO979" s="39"/>
      <c r="AP979" s="18"/>
      <c r="AQ979" s="17"/>
      <c r="AR979" s="17"/>
      <c r="AS979" s="27"/>
      <c r="AT979" s="17"/>
      <c r="AU979" s="17"/>
      <c r="AV979" s="17"/>
      <c r="AW979" s="17"/>
      <c r="AX979" s="17"/>
      <c r="BB979" s="17"/>
    </row>
    <row r="980" spans="1:54" x14ac:dyDescent="0.2">
      <c r="A980" s="18" t="s">
        <v>90</v>
      </c>
      <c r="B980" s="18" t="s">
        <v>91</v>
      </c>
      <c r="C980" s="18" t="s">
        <v>96</v>
      </c>
      <c r="D980" s="18" t="str">
        <f t="shared" si="349"/>
        <v>CAT1.1C_86</v>
      </c>
      <c r="E980" s="55" t="s">
        <v>81</v>
      </c>
      <c r="F980" s="18">
        <v>86</v>
      </c>
      <c r="G980" s="46">
        <v>2.25</v>
      </c>
      <c r="H980" s="46">
        <v>2.25</v>
      </c>
      <c r="I980" s="46">
        <v>1.4</v>
      </c>
      <c r="J980" s="23">
        <f t="shared" si="350"/>
        <v>5.5636875000000003</v>
      </c>
      <c r="K980" s="61">
        <v>0.1921875000000004</v>
      </c>
      <c r="L980" s="45">
        <f t="shared" si="351"/>
        <v>32.235937499999999</v>
      </c>
      <c r="M980" s="45">
        <f t="shared" si="346"/>
        <v>33.635937499999997</v>
      </c>
      <c r="N980" s="46">
        <f t="shared" si="361"/>
        <v>32.935937499999994</v>
      </c>
      <c r="O980" s="46">
        <f t="shared" si="352"/>
        <v>112.23593750000009</v>
      </c>
      <c r="P980" s="46">
        <f t="shared" si="347"/>
        <v>113.6359375000001</v>
      </c>
      <c r="Q980" s="46">
        <f t="shared" si="344"/>
        <v>112.93593750000009</v>
      </c>
      <c r="R980" s="46">
        <v>112.23593750000009</v>
      </c>
      <c r="S980" s="46">
        <v>113.6359375000001</v>
      </c>
      <c r="T980" s="54">
        <v>112.9</v>
      </c>
      <c r="U980" s="46">
        <f t="shared" si="353"/>
        <v>112.9</v>
      </c>
      <c r="V980" s="18">
        <v>7.3558000000000003</v>
      </c>
      <c r="W980" s="18">
        <v>2.0124</v>
      </c>
      <c r="X980" s="23">
        <v>1.1476266666666699</v>
      </c>
      <c r="Y980" s="23">
        <f t="shared" si="354"/>
        <v>6.2081733333333302</v>
      </c>
      <c r="Z980" s="23">
        <f t="shared" si="355"/>
        <v>0.86477333333333006</v>
      </c>
      <c r="AA980" s="21">
        <f t="shared" si="356"/>
        <v>86.070406109795087</v>
      </c>
      <c r="AB980" s="21">
        <f t="shared" si="357"/>
        <v>13.929593890204913</v>
      </c>
      <c r="AC980" s="23">
        <f>Y980/J980</f>
        <v>1.1158378922851671</v>
      </c>
      <c r="AD980" s="23">
        <f>Z980/J980</f>
        <v>0.15543168686834585</v>
      </c>
      <c r="AE980" s="57">
        <v>13.877000000000001</v>
      </c>
      <c r="AF980" s="57">
        <v>14.005000000000001</v>
      </c>
      <c r="AG980" s="57">
        <v>13.884</v>
      </c>
      <c r="AH980" s="58">
        <f>AG980-AE980</f>
        <v>6.9999999999996732E-3</v>
      </c>
      <c r="AI980" s="59">
        <f>((AF980-AG980)/(AF980-AE980))*100</f>
        <v>94.531250000000256</v>
      </c>
      <c r="AJ980" s="26">
        <f t="shared" si="358"/>
        <v>4.7265625000000133</v>
      </c>
      <c r="AK980" s="26">
        <f t="shared" si="359"/>
        <v>54.642341040462583</v>
      </c>
      <c r="AL980" s="26">
        <f t="shared" si="360"/>
        <v>4.7274192818499161</v>
      </c>
      <c r="AM980" s="17">
        <f t="shared" si="348"/>
        <v>0.5780346820809249</v>
      </c>
      <c r="AN980" s="52"/>
      <c r="AO980" s="39"/>
      <c r="AP980" s="18"/>
      <c r="AQ980" s="17"/>
      <c r="AR980" s="17"/>
      <c r="AS980" s="27"/>
      <c r="AT980" s="17"/>
      <c r="AU980" s="17"/>
      <c r="AV980" s="17"/>
      <c r="AW980" s="17"/>
      <c r="AX980" s="17"/>
      <c r="BB980" s="17"/>
    </row>
    <row r="981" spans="1:54" x14ac:dyDescent="0.2">
      <c r="A981" s="18" t="s">
        <v>90</v>
      </c>
      <c r="B981" s="18" t="s">
        <v>91</v>
      </c>
      <c r="C981" s="18" t="s">
        <v>96</v>
      </c>
      <c r="D981" s="18" t="str">
        <f t="shared" si="349"/>
        <v>CAT1.1C_87</v>
      </c>
      <c r="E981" s="55" t="s">
        <v>81</v>
      </c>
      <c r="F981" s="18">
        <v>87</v>
      </c>
      <c r="G981" s="46">
        <v>2.2000000000000002</v>
      </c>
      <c r="H981" s="46">
        <v>2.5</v>
      </c>
      <c r="I981" s="46">
        <v>1.35</v>
      </c>
      <c r="J981" s="23">
        <f t="shared" si="350"/>
        <v>5.852469375000001</v>
      </c>
      <c r="K981" s="61">
        <v>0.1921875000000004</v>
      </c>
      <c r="L981" s="45">
        <f t="shared" si="351"/>
        <v>33.828125</v>
      </c>
      <c r="M981" s="45">
        <f t="shared" si="346"/>
        <v>35.178125000000001</v>
      </c>
      <c r="N981" s="46">
        <f t="shared" si="361"/>
        <v>34.503124999999997</v>
      </c>
      <c r="O981" s="46">
        <f t="shared" si="352"/>
        <v>113.8281250000001</v>
      </c>
      <c r="P981" s="46">
        <f t="shared" si="347"/>
        <v>115.17812500000009</v>
      </c>
      <c r="Q981" s="46">
        <f t="shared" si="344"/>
        <v>114.5031250000001</v>
      </c>
      <c r="R981" s="46">
        <v>113.8281250000001</v>
      </c>
      <c r="S981" s="46">
        <v>115.17812500000009</v>
      </c>
      <c r="T981" s="54">
        <v>114.5</v>
      </c>
      <c r="U981" s="46">
        <f t="shared" si="353"/>
        <v>114.5</v>
      </c>
      <c r="V981" s="18">
        <v>7.2586000000000004</v>
      </c>
      <c r="W981" s="18">
        <v>1.8764000000000001</v>
      </c>
      <c r="X981" s="23">
        <v>1.1476266666666699</v>
      </c>
      <c r="Y981" s="23">
        <f t="shared" si="354"/>
        <v>6.1109733333333303</v>
      </c>
      <c r="Z981" s="23">
        <f t="shared" si="355"/>
        <v>0.72877333333333016</v>
      </c>
      <c r="AA981" s="21">
        <f t="shared" si="356"/>
        <v>88.074349312602735</v>
      </c>
      <c r="AB981" s="21">
        <f t="shared" si="357"/>
        <v>11.925650687397265</v>
      </c>
      <c r="AC981" s="23">
        <f>Y981/J981</f>
        <v>1.0441700659618283</v>
      </c>
      <c r="AD981" s="23">
        <f>Z981/J981</f>
        <v>0.12452407464897329</v>
      </c>
      <c r="AE981" s="57">
        <v>13.622999999999999</v>
      </c>
      <c r="AF981" s="57">
        <v>13.73</v>
      </c>
      <c r="AG981" s="57">
        <v>13.622999999999999</v>
      </c>
      <c r="AH981" s="58">
        <f>AG981-AE981</f>
        <v>0</v>
      </c>
      <c r="AI981" s="59">
        <f>((AF981-AG981)/(AF981-AE981))*100</f>
        <v>100</v>
      </c>
      <c r="AJ981" s="26">
        <f t="shared" si="358"/>
        <v>5</v>
      </c>
      <c r="AK981" s="26">
        <f t="shared" si="359"/>
        <v>57.80346820809249</v>
      </c>
      <c r="AL981" s="26">
        <f t="shared" si="360"/>
        <v>5.0008099344006265</v>
      </c>
      <c r="AM981" s="17">
        <f t="shared" si="348"/>
        <v>0.5780346820809249</v>
      </c>
      <c r="AN981" s="52"/>
      <c r="AO981" s="39"/>
      <c r="AP981" s="18"/>
      <c r="AQ981" s="17"/>
      <c r="AR981" s="17"/>
      <c r="AS981" s="27"/>
      <c r="AT981" s="17"/>
      <c r="AU981" s="17"/>
      <c r="AV981" s="17"/>
      <c r="AW981" s="17"/>
      <c r="AX981" s="17"/>
      <c r="BB981" s="17"/>
    </row>
    <row r="982" spans="1:54" x14ac:dyDescent="0.2">
      <c r="A982" s="18" t="s">
        <v>90</v>
      </c>
      <c r="B982" s="18" t="s">
        <v>91</v>
      </c>
      <c r="C982" s="18" t="s">
        <v>96</v>
      </c>
      <c r="D982" s="18" t="str">
        <f t="shared" si="349"/>
        <v>CAT1.1C_88</v>
      </c>
      <c r="E982" s="55" t="s">
        <v>81</v>
      </c>
      <c r="F982" s="18">
        <v>88</v>
      </c>
      <c r="G982" s="46">
        <v>2.1</v>
      </c>
      <c r="H982" s="46">
        <v>2.1</v>
      </c>
      <c r="I982" s="46">
        <v>1.3</v>
      </c>
      <c r="J982" s="23">
        <f t="shared" si="350"/>
        <v>4.5004050000000007</v>
      </c>
      <c r="K982" s="61">
        <v>0.1921875000000004</v>
      </c>
      <c r="L982" s="45">
        <f t="shared" si="351"/>
        <v>35.370312500000004</v>
      </c>
      <c r="M982" s="45">
        <f t="shared" si="346"/>
        <v>36.670312500000001</v>
      </c>
      <c r="N982" s="46">
        <f t="shared" si="361"/>
        <v>36.020312500000003</v>
      </c>
      <c r="O982" s="46">
        <f t="shared" si="352"/>
        <v>115.3703125000001</v>
      </c>
      <c r="P982" s="46">
        <f t="shared" si="347"/>
        <v>116.67031250000009</v>
      </c>
      <c r="Q982" s="46">
        <f t="shared" si="344"/>
        <v>116.0203125000001</v>
      </c>
      <c r="R982" s="46">
        <v>115.3703125000001</v>
      </c>
      <c r="S982" s="46">
        <v>116.67031250000009</v>
      </c>
      <c r="T982" s="54">
        <v>116</v>
      </c>
      <c r="U982" s="46">
        <f t="shared" si="353"/>
        <v>116</v>
      </c>
      <c r="V982" s="18">
        <v>6.8282999999999996</v>
      </c>
      <c r="W982" s="18">
        <v>1.7681</v>
      </c>
      <c r="X982" s="23">
        <v>1.1476266666666699</v>
      </c>
      <c r="Y982" s="23">
        <f t="shared" si="354"/>
        <v>5.6806733333333295</v>
      </c>
      <c r="Z982" s="23">
        <f t="shared" si="355"/>
        <v>0.6204733333333301</v>
      </c>
      <c r="AA982" s="21">
        <f t="shared" si="356"/>
        <v>89.077468516056243</v>
      </c>
      <c r="AB982" s="21">
        <f t="shared" si="357"/>
        <v>10.922531483943757</v>
      </c>
      <c r="AC982" s="23">
        <f>Y982/J982</f>
        <v>1.262258248609476</v>
      </c>
      <c r="AD982" s="23">
        <f>Z982/J982</f>
        <v>0.13787055461304706</v>
      </c>
      <c r="AE982" s="57">
        <v>13.481999999999999</v>
      </c>
      <c r="AF982" s="57">
        <v>13.627000000000001</v>
      </c>
      <c r="AG982" s="57">
        <v>13.481999999999999</v>
      </c>
      <c r="AH982" s="58">
        <f>AG982-AE982</f>
        <v>0</v>
      </c>
      <c r="AI982" s="59">
        <f>((AF982-AG982)/(AF982-AE982))*100</f>
        <v>100</v>
      </c>
      <c r="AJ982" s="26">
        <f t="shared" si="358"/>
        <v>5</v>
      </c>
      <c r="AK982" s="26">
        <f t="shared" si="359"/>
        <v>57.80346820809249</v>
      </c>
      <c r="AL982" s="26">
        <f t="shared" si="360"/>
        <v>5.0008099344006265</v>
      </c>
      <c r="AM982" s="17">
        <f t="shared" si="348"/>
        <v>0.5780346820809249</v>
      </c>
      <c r="AN982" s="52"/>
      <c r="AO982" s="39"/>
      <c r="AP982" s="18"/>
      <c r="AQ982" s="17"/>
      <c r="AR982" s="17"/>
      <c r="AS982" s="27"/>
      <c r="AT982" s="17"/>
      <c r="AU982" s="17"/>
      <c r="AV982" s="17"/>
      <c r="AW982" s="17"/>
      <c r="AX982" s="17"/>
      <c r="BB982" s="17"/>
    </row>
    <row r="983" spans="1:54" x14ac:dyDescent="0.2">
      <c r="A983" s="18" t="s">
        <v>90</v>
      </c>
      <c r="B983" s="18" t="s">
        <v>91</v>
      </c>
      <c r="C983" s="18" t="s">
        <v>96</v>
      </c>
      <c r="D983" s="18" t="str">
        <f t="shared" si="349"/>
        <v>CAT1.1C_89</v>
      </c>
      <c r="E983" s="55" t="s">
        <v>81</v>
      </c>
      <c r="F983" s="18">
        <v>89</v>
      </c>
      <c r="G983" s="46">
        <v>2.1</v>
      </c>
      <c r="H983" s="46">
        <v>2.1</v>
      </c>
      <c r="I983" s="46">
        <v>1.3</v>
      </c>
      <c r="J983" s="23">
        <f t="shared" si="350"/>
        <v>4.5004050000000007</v>
      </c>
      <c r="K983" s="61">
        <v>0.1921875000000004</v>
      </c>
      <c r="L983" s="45">
        <f t="shared" si="351"/>
        <v>36.862500000000004</v>
      </c>
      <c r="M983" s="45">
        <f t="shared" si="346"/>
        <v>38.162500000000001</v>
      </c>
      <c r="N983" s="46">
        <f t="shared" si="361"/>
        <v>37.512500000000003</v>
      </c>
      <c r="O983" s="46">
        <f t="shared" si="352"/>
        <v>116.8625000000001</v>
      </c>
      <c r="P983" s="46">
        <f t="shared" si="347"/>
        <v>118.16250000000009</v>
      </c>
      <c r="Q983" s="46">
        <f t="shared" si="344"/>
        <v>117.5125000000001</v>
      </c>
      <c r="R983" s="46">
        <v>116.8625000000001</v>
      </c>
      <c r="S983" s="46">
        <v>118.16250000000009</v>
      </c>
      <c r="T983" s="54">
        <v>117.5</v>
      </c>
      <c r="U983" s="46">
        <f t="shared" si="353"/>
        <v>117.5</v>
      </c>
      <c r="V983" s="18">
        <v>6.1714000000000002</v>
      </c>
      <c r="W983" s="18">
        <v>1.7096</v>
      </c>
      <c r="X983" s="23">
        <v>1.1476266666666699</v>
      </c>
      <c r="Y983" s="23">
        <f t="shared" si="354"/>
        <v>5.0237733333333301</v>
      </c>
      <c r="Z983" s="23">
        <f t="shared" si="355"/>
        <v>0.56197333333333011</v>
      </c>
      <c r="AA983" s="21">
        <f t="shared" si="356"/>
        <v>88.813720364241547</v>
      </c>
      <c r="AB983" s="21">
        <f t="shared" si="357"/>
        <v>11.186279635758453</v>
      </c>
      <c r="AC983" s="23">
        <f>Y983/J983</f>
        <v>1.1162936076493848</v>
      </c>
      <c r="AD983" s="23">
        <f>Z983/J983</f>
        <v>0.12487172450775653</v>
      </c>
      <c r="AE983" s="57">
        <v>13.167</v>
      </c>
      <c r="AF983" s="57">
        <v>13.298999999999999</v>
      </c>
      <c r="AG983" s="57">
        <v>13.173</v>
      </c>
      <c r="AH983" s="58">
        <f>AG983-AE983</f>
        <v>6.0000000000002274E-3</v>
      </c>
      <c r="AI983" s="59">
        <f>((AF983-AG983)/(AF983-AE983))*100</f>
        <v>95.454545454545269</v>
      </c>
      <c r="AJ983" s="26">
        <f t="shared" si="358"/>
        <v>4.7727272727272636</v>
      </c>
      <c r="AK983" s="26">
        <f t="shared" si="359"/>
        <v>55.176037834997267</v>
      </c>
      <c r="AL983" s="26">
        <f t="shared" si="360"/>
        <v>4.7735757687329761</v>
      </c>
      <c r="AM983" s="17">
        <f t="shared" si="348"/>
        <v>0.5780346820809249</v>
      </c>
      <c r="AN983" s="52"/>
      <c r="AO983" s="39"/>
      <c r="AP983" s="18"/>
      <c r="AQ983" s="17"/>
      <c r="AR983" s="17"/>
      <c r="AS983" s="27"/>
      <c r="AT983" s="17"/>
      <c r="AU983" s="17"/>
      <c r="AV983" s="17"/>
      <c r="AW983" s="17"/>
      <c r="AX983" s="17"/>
      <c r="BB983" s="17"/>
    </row>
    <row r="984" spans="1:54" x14ac:dyDescent="0.2">
      <c r="A984" s="18" t="s">
        <v>90</v>
      </c>
      <c r="B984" s="18" t="s">
        <v>91</v>
      </c>
      <c r="C984" s="18" t="s">
        <v>96</v>
      </c>
      <c r="D984" s="18" t="str">
        <f t="shared" si="349"/>
        <v>CAT1.1C_90</v>
      </c>
      <c r="E984" s="55" t="s">
        <v>81</v>
      </c>
      <c r="F984" s="18">
        <v>90</v>
      </c>
      <c r="G984" s="46">
        <v>2.2000000000000002</v>
      </c>
      <c r="H984" s="46">
        <v>2.15</v>
      </c>
      <c r="I984" s="46">
        <v>1.3</v>
      </c>
      <c r="J984" s="23">
        <f t="shared" si="350"/>
        <v>4.8276028124999995</v>
      </c>
      <c r="K984" s="61">
        <v>0.1921875000000004</v>
      </c>
      <c r="L984" s="45">
        <f t="shared" si="351"/>
        <v>38.354687500000004</v>
      </c>
      <c r="M984" s="45">
        <f t="shared" si="346"/>
        <v>39.654687500000001</v>
      </c>
      <c r="N984" s="46">
        <f t="shared" si="361"/>
        <v>39.004687500000003</v>
      </c>
      <c r="O984" s="46">
        <f t="shared" si="352"/>
        <v>118.3546875000001</v>
      </c>
      <c r="P984" s="46">
        <f t="shared" si="347"/>
        <v>119.65468750000009</v>
      </c>
      <c r="Q984" s="46">
        <f t="shared" si="344"/>
        <v>119.0046875000001</v>
      </c>
      <c r="R984" s="46">
        <v>118.3546875000001</v>
      </c>
      <c r="S984" s="46">
        <v>119.65468750000009</v>
      </c>
      <c r="T984" s="54">
        <v>119</v>
      </c>
      <c r="U984" s="46">
        <f t="shared" si="353"/>
        <v>119</v>
      </c>
      <c r="V984" s="18">
        <v>6.8159000000000001</v>
      </c>
      <c r="W984" s="18">
        <v>1.8487</v>
      </c>
      <c r="X984" s="23">
        <v>1.1476266666666699</v>
      </c>
      <c r="Y984" s="23">
        <f t="shared" si="354"/>
        <v>5.6682733333333299</v>
      </c>
      <c r="Z984" s="23">
        <f t="shared" si="355"/>
        <v>0.70107333333333011</v>
      </c>
      <c r="AA984" s="21">
        <f t="shared" si="356"/>
        <v>87.631624445304396</v>
      </c>
      <c r="AB984" s="21">
        <f t="shared" si="357"/>
        <v>12.368375554695604</v>
      </c>
      <c r="AC984" s="23">
        <f>Y984/J984</f>
        <v>1.1741382946121006</v>
      </c>
      <c r="AD984" s="23">
        <f>Z984/J984</f>
        <v>0.1452218338091231</v>
      </c>
      <c r="AE984" s="57">
        <v>13.452999999999999</v>
      </c>
      <c r="AF984" s="57">
        <v>13.563000000000001</v>
      </c>
      <c r="AG984" s="57">
        <v>13.459</v>
      </c>
      <c r="AH984" s="58">
        <f>AG984-AE984</f>
        <v>6.0000000000002274E-3</v>
      </c>
      <c r="AI984" s="59">
        <f>((AF984-AG984)/(AF984-AE984))*100</f>
        <v>94.545454545454405</v>
      </c>
      <c r="AJ984" s="26">
        <f t="shared" si="358"/>
        <v>4.7272727272727204</v>
      </c>
      <c r="AK984" s="26">
        <f t="shared" si="359"/>
        <v>54.650551760378271</v>
      </c>
      <c r="AL984" s="26">
        <f t="shared" si="360"/>
        <v>4.7281293804227129</v>
      </c>
      <c r="AM984" s="17">
        <f t="shared" si="348"/>
        <v>0.5780346820809249</v>
      </c>
      <c r="AN984" s="52"/>
      <c r="AO984" s="39"/>
      <c r="AP984" s="18"/>
      <c r="AQ984" s="17"/>
      <c r="AR984" s="17"/>
      <c r="AS984" s="27"/>
      <c r="AT984" s="17"/>
      <c r="AU984" s="17"/>
      <c r="AV984" s="17"/>
      <c r="AW984" s="17"/>
      <c r="AX984" s="17"/>
      <c r="BB984" s="17"/>
    </row>
    <row r="985" spans="1:54" x14ac:dyDescent="0.2">
      <c r="A985" s="18" t="s">
        <v>90</v>
      </c>
      <c r="B985" s="18" t="s">
        <v>91</v>
      </c>
      <c r="C985" s="18" t="s">
        <v>96</v>
      </c>
      <c r="D985" s="18" t="str">
        <f t="shared" si="349"/>
        <v>CAT1.1C_91</v>
      </c>
      <c r="E985" s="55" t="s">
        <v>81</v>
      </c>
      <c r="F985" s="18">
        <v>91</v>
      </c>
      <c r="G985" s="46">
        <v>2.1</v>
      </c>
      <c r="H985" s="46">
        <v>2.4</v>
      </c>
      <c r="I985" s="46">
        <v>1.4</v>
      </c>
      <c r="J985" s="23">
        <f t="shared" si="350"/>
        <v>5.5636875000000003</v>
      </c>
      <c r="K985" s="61">
        <v>0.1921875000000004</v>
      </c>
      <c r="L985" s="45">
        <f t="shared" si="351"/>
        <v>39.846875000000004</v>
      </c>
      <c r="M985" s="45">
        <f t="shared" si="346"/>
        <v>41.246875000000003</v>
      </c>
      <c r="N985" s="46">
        <f t="shared" si="361"/>
        <v>40.546875</v>
      </c>
      <c r="O985" s="46">
        <f t="shared" si="352"/>
        <v>119.8468750000001</v>
      </c>
      <c r="P985" s="46">
        <f t="shared" si="347"/>
        <v>121.2468750000001</v>
      </c>
      <c r="Q985" s="46">
        <f t="shared" si="344"/>
        <v>120.5468750000001</v>
      </c>
      <c r="R985" s="46">
        <v>119.8468750000001</v>
      </c>
      <c r="S985" s="46">
        <v>121.2468750000001</v>
      </c>
      <c r="T985" s="54">
        <v>120.5</v>
      </c>
      <c r="U985" s="46">
        <f t="shared" si="353"/>
        <v>120.5</v>
      </c>
      <c r="V985" s="18">
        <v>6.9446000000000003</v>
      </c>
      <c r="W985" s="18">
        <v>1.8002</v>
      </c>
      <c r="X985" s="23">
        <v>1.1476266666666699</v>
      </c>
      <c r="Y985" s="23">
        <f t="shared" si="354"/>
        <v>5.7969733333333302</v>
      </c>
      <c r="Z985" s="23">
        <f t="shared" si="355"/>
        <v>0.65257333333333012</v>
      </c>
      <c r="AA985" s="21">
        <f t="shared" si="356"/>
        <v>88.742861217232942</v>
      </c>
      <c r="AB985" s="21">
        <f t="shared" si="357"/>
        <v>11.257138782767058</v>
      </c>
      <c r="AC985" s="23">
        <f>Y985/J985</f>
        <v>1.0419300748529334</v>
      </c>
      <c r="AD985" s="23">
        <f>Z985/J985</f>
        <v>0.11729151454558331</v>
      </c>
      <c r="AE985" s="57">
        <v>12.27</v>
      </c>
      <c r="AF985" s="57">
        <v>12.382999999999999</v>
      </c>
      <c r="AG985" s="57">
        <v>12.276999999999999</v>
      </c>
      <c r="AH985" s="58">
        <f>AG985-AE985</f>
        <v>6.9999999999996732E-3</v>
      </c>
      <c r="AI985" s="59">
        <f>((AF985-AG985)/(AF985-AE985))*100</f>
        <v>93.805309734513543</v>
      </c>
      <c r="AJ985" s="26">
        <f t="shared" si="358"/>
        <v>4.6902654867256777</v>
      </c>
      <c r="AK985" s="26">
        <f t="shared" si="359"/>
        <v>54.222722389892226</v>
      </c>
      <c r="AL985" s="26">
        <f t="shared" si="360"/>
        <v>4.6911288978208709</v>
      </c>
      <c r="AM985" s="17">
        <f t="shared" si="348"/>
        <v>0.5780346820809249</v>
      </c>
      <c r="AN985" s="52"/>
      <c r="AO985" s="39"/>
      <c r="AP985" s="18"/>
      <c r="AQ985" s="17"/>
      <c r="AR985" s="17"/>
      <c r="AS985" s="27"/>
      <c r="AT985" s="17"/>
      <c r="AU985" s="17"/>
      <c r="AV985" s="17"/>
      <c r="AW985" s="17"/>
      <c r="AX985" s="17"/>
      <c r="BB985" s="17"/>
    </row>
    <row r="986" spans="1:54" x14ac:dyDescent="0.2">
      <c r="A986" s="18" t="s">
        <v>90</v>
      </c>
      <c r="B986" s="18" t="s">
        <v>91</v>
      </c>
      <c r="C986" s="18" t="s">
        <v>96</v>
      </c>
      <c r="D986" s="18" t="str">
        <f t="shared" si="349"/>
        <v>CAT1.1C_92</v>
      </c>
      <c r="E986" s="55" t="s">
        <v>81</v>
      </c>
      <c r="F986" s="18">
        <v>92</v>
      </c>
      <c r="G986" s="46">
        <v>2.2999999999999998</v>
      </c>
      <c r="H986" s="46">
        <v>2.1</v>
      </c>
      <c r="I986" s="46">
        <v>1.3</v>
      </c>
      <c r="J986" s="23">
        <f t="shared" si="350"/>
        <v>4.9392200000000015</v>
      </c>
      <c r="K986" s="61">
        <v>0.1921875000000004</v>
      </c>
      <c r="L986" s="45">
        <f t="shared" si="351"/>
        <v>41.439062500000006</v>
      </c>
      <c r="M986" s="45">
        <f t="shared" si="346"/>
        <v>42.739062500000003</v>
      </c>
      <c r="N986" s="46">
        <f t="shared" si="361"/>
        <v>42.089062500000004</v>
      </c>
      <c r="O986" s="46">
        <f t="shared" si="352"/>
        <v>121.43906250000011</v>
      </c>
      <c r="P986" s="46">
        <f t="shared" si="347"/>
        <v>122.7390625000001</v>
      </c>
      <c r="Q986" s="46">
        <f t="shared" si="344"/>
        <v>122.0890625000001</v>
      </c>
      <c r="R986" s="46">
        <v>121.43906250000011</v>
      </c>
      <c r="S986" s="46">
        <v>122.7390625000001</v>
      </c>
      <c r="T986" s="54">
        <v>122.1</v>
      </c>
      <c r="U986" s="46">
        <f t="shared" si="353"/>
        <v>122.1</v>
      </c>
      <c r="V986" s="18">
        <v>7.0410000000000004</v>
      </c>
      <c r="W986" s="18">
        <v>1.8629</v>
      </c>
      <c r="X986" s="23">
        <v>1.1476266666666699</v>
      </c>
      <c r="Y986" s="23">
        <f t="shared" si="354"/>
        <v>5.8933733333333302</v>
      </c>
      <c r="Z986" s="23">
        <f t="shared" si="355"/>
        <v>0.7152733333333301</v>
      </c>
      <c r="AA986" s="21">
        <f t="shared" si="356"/>
        <v>87.863091426981327</v>
      </c>
      <c r="AB986" s="21">
        <f t="shared" si="357"/>
        <v>12.136908573018673</v>
      </c>
      <c r="AC986" s="23">
        <f>Y986/J986</f>
        <v>1.1931789499826548</v>
      </c>
      <c r="AD986" s="23">
        <f>Z986/J986</f>
        <v>0.14481503827189918</v>
      </c>
      <c r="AE986" s="57">
        <v>12.164999999999999</v>
      </c>
      <c r="AF986" s="57">
        <v>12.294</v>
      </c>
      <c r="AG986" s="57">
        <v>12.173999999999999</v>
      </c>
      <c r="AH986" s="58">
        <f>AG986-AE986</f>
        <v>9.0000000000003411E-3</v>
      </c>
      <c r="AI986" s="59">
        <f>((AF986-AG986)/(AF986-AE986))*100</f>
        <v>93.023255813953298</v>
      </c>
      <c r="AJ986" s="26">
        <f t="shared" si="358"/>
        <v>4.6511627906976649</v>
      </c>
      <c r="AK986" s="26">
        <f t="shared" si="359"/>
        <v>53.770668100551042</v>
      </c>
      <c r="AL986" s="26">
        <f t="shared" si="360"/>
        <v>4.6520334592058221</v>
      </c>
      <c r="AM986" s="17">
        <f t="shared" si="348"/>
        <v>0.5780346820809249</v>
      </c>
      <c r="AN986" s="52"/>
      <c r="AO986" s="39"/>
      <c r="AP986" s="18"/>
      <c r="AQ986" s="17"/>
      <c r="AR986" s="17"/>
      <c r="AS986" s="27"/>
      <c r="AT986" s="17"/>
      <c r="AU986" s="17"/>
      <c r="AV986" s="17"/>
      <c r="AW986" s="17"/>
      <c r="AX986" s="17"/>
      <c r="BB986" s="17"/>
    </row>
    <row r="987" spans="1:54" x14ac:dyDescent="0.2">
      <c r="A987" s="18" t="s">
        <v>90</v>
      </c>
      <c r="B987" s="18" t="s">
        <v>91</v>
      </c>
      <c r="C987" s="18" t="s">
        <v>96</v>
      </c>
      <c r="D987" s="18" t="str">
        <f t="shared" si="349"/>
        <v>CAT1.1C_93</v>
      </c>
      <c r="E987" s="55" t="s">
        <v>81</v>
      </c>
      <c r="F987" s="18">
        <v>93</v>
      </c>
      <c r="G987" s="46">
        <v>2.1</v>
      </c>
      <c r="H987" s="46">
        <v>2.2000000000000002</v>
      </c>
      <c r="I987" s="46">
        <v>1.2</v>
      </c>
      <c r="J987" s="23">
        <f t="shared" si="350"/>
        <v>4.3543950000000011</v>
      </c>
      <c r="K987" s="61">
        <v>0.1921875000000004</v>
      </c>
      <c r="L987" s="45">
        <f t="shared" si="351"/>
        <v>42.931250000000006</v>
      </c>
      <c r="M987" s="45">
        <f t="shared" si="346"/>
        <v>44.131250000000009</v>
      </c>
      <c r="N987" s="46">
        <f t="shared" si="361"/>
        <v>43.531250000000007</v>
      </c>
      <c r="O987" s="46">
        <f t="shared" si="352"/>
        <v>122.93125000000011</v>
      </c>
      <c r="P987" s="46">
        <f t="shared" si="347"/>
        <v>124.13125000000011</v>
      </c>
      <c r="Q987" s="46">
        <f t="shared" si="344"/>
        <v>123.53125000000011</v>
      </c>
      <c r="R987" s="46">
        <v>122.93125000000011</v>
      </c>
      <c r="S987" s="46">
        <v>124.13125000000011</v>
      </c>
      <c r="T987" s="54">
        <v>123.5</v>
      </c>
      <c r="U987" s="46">
        <f t="shared" si="353"/>
        <v>123.5</v>
      </c>
      <c r="V987" s="18">
        <v>6.1936999999999998</v>
      </c>
      <c r="W987" s="18">
        <v>1.7592000000000001</v>
      </c>
      <c r="X987" s="23">
        <v>1.1476266666666699</v>
      </c>
      <c r="Y987" s="23">
        <f t="shared" si="354"/>
        <v>5.0460733333333296</v>
      </c>
      <c r="Z987" s="23">
        <f t="shared" si="355"/>
        <v>0.61157333333333019</v>
      </c>
      <c r="AA987" s="21">
        <f t="shared" si="356"/>
        <v>87.880213129416859</v>
      </c>
      <c r="AB987" s="21">
        <f t="shared" si="357"/>
        <v>12.119786870583141</v>
      </c>
      <c r="AC987" s="23">
        <f>Y987/J987</f>
        <v>1.158846024151077</v>
      </c>
      <c r="AD987" s="23">
        <f>Z987/J987</f>
        <v>0.140449668285337</v>
      </c>
      <c r="AE987" s="57">
        <v>10.41</v>
      </c>
      <c r="AF987" s="57">
        <v>10.542</v>
      </c>
      <c r="AG987" s="57">
        <v>10.419</v>
      </c>
      <c r="AH987" s="58">
        <f>AG987-AE987</f>
        <v>9.0000000000003411E-3</v>
      </c>
      <c r="AI987" s="59">
        <f>((AF987-AG987)/(AF987-AE987))*100</f>
        <v>93.181818181817917</v>
      </c>
      <c r="AJ987" s="26">
        <f t="shared" si="358"/>
        <v>4.6590909090908958</v>
      </c>
      <c r="AK987" s="26">
        <f t="shared" si="359"/>
        <v>53.86232264844967</v>
      </c>
      <c r="AL987" s="26">
        <f t="shared" si="360"/>
        <v>4.659960096306988</v>
      </c>
      <c r="AM987" s="17">
        <f t="shared" si="348"/>
        <v>0.5780346820809249</v>
      </c>
      <c r="AN987" s="52"/>
      <c r="AO987" s="39"/>
      <c r="AP987" s="18"/>
      <c r="AQ987" s="17"/>
      <c r="AR987" s="17"/>
      <c r="AS987" s="27"/>
      <c r="AT987" s="17"/>
      <c r="AU987" s="17"/>
      <c r="AV987" s="17"/>
      <c r="AW987" s="17"/>
      <c r="AX987" s="17"/>
      <c r="BB987" s="17"/>
    </row>
    <row r="988" spans="1:54" x14ac:dyDescent="0.2">
      <c r="A988" s="18" t="s">
        <v>90</v>
      </c>
      <c r="B988" s="18" t="s">
        <v>91</v>
      </c>
      <c r="C988" s="18" t="s">
        <v>96</v>
      </c>
      <c r="D988" s="18" t="str">
        <f t="shared" si="349"/>
        <v>CAT1.1C_94</v>
      </c>
      <c r="E988" s="55" t="s">
        <v>81</v>
      </c>
      <c r="F988" s="18">
        <v>94</v>
      </c>
      <c r="G988" s="46">
        <v>2.1</v>
      </c>
      <c r="H988" s="46">
        <v>2.2999999999999998</v>
      </c>
      <c r="I988" s="46">
        <v>1.25</v>
      </c>
      <c r="J988" s="23">
        <f t="shared" si="350"/>
        <v>4.7492500000000009</v>
      </c>
      <c r="K988" s="61">
        <v>0.1921875000000004</v>
      </c>
      <c r="L988" s="45">
        <f t="shared" si="351"/>
        <v>44.323437500000011</v>
      </c>
      <c r="M988" s="45">
        <f t="shared" si="346"/>
        <v>45.573437500000011</v>
      </c>
      <c r="N988" s="46">
        <f t="shared" si="361"/>
        <v>44.948437500000011</v>
      </c>
      <c r="O988" s="46">
        <f t="shared" si="352"/>
        <v>124.32343750000011</v>
      </c>
      <c r="P988" s="46">
        <f t="shared" si="347"/>
        <v>125.57343750000011</v>
      </c>
      <c r="Q988" s="46">
        <f t="shared" si="344"/>
        <v>124.94843750000011</v>
      </c>
      <c r="R988" s="46">
        <v>124.32343750000011</v>
      </c>
      <c r="S988" s="46">
        <v>125.57343750000011</v>
      </c>
      <c r="T988" s="54">
        <v>124.9</v>
      </c>
      <c r="U988" s="46">
        <f t="shared" si="353"/>
        <v>124.9</v>
      </c>
      <c r="V988" s="18">
        <v>6.74</v>
      </c>
      <c r="W988" s="18">
        <v>1.8439000000000001</v>
      </c>
      <c r="X988" s="23">
        <v>1.1476266666666699</v>
      </c>
      <c r="Y988" s="23">
        <f t="shared" si="354"/>
        <v>5.5923733333333301</v>
      </c>
      <c r="Z988" s="23">
        <f t="shared" si="355"/>
        <v>0.69627333333333019</v>
      </c>
      <c r="AA988" s="21">
        <f t="shared" si="356"/>
        <v>87.549591348217135</v>
      </c>
      <c r="AB988" s="21">
        <f t="shared" si="357"/>
        <v>12.450408651782865</v>
      </c>
      <c r="AC988" s="23">
        <f>Y988/J988</f>
        <v>1.1775276798090917</v>
      </c>
      <c r="AD988" s="23">
        <f>Z988/J988</f>
        <v>0.14660700812408908</v>
      </c>
      <c r="AE988" s="57">
        <v>9.3659999999999997</v>
      </c>
      <c r="AF988" s="57">
        <v>9.4469999999999992</v>
      </c>
      <c r="AG988" s="57">
        <v>9.3699999999999992</v>
      </c>
      <c r="AH988" s="58">
        <f>AG988-AE988</f>
        <v>3.9999999999995595E-3</v>
      </c>
      <c r="AI988" s="59">
        <f>((AF988-AG988)/(AF988-AE988))*100</f>
        <v>95.061728395062232</v>
      </c>
      <c r="AJ988" s="26">
        <f t="shared" si="358"/>
        <v>4.753086419753112</v>
      </c>
      <c r="AK988" s="26">
        <f t="shared" si="359"/>
        <v>54.948975950903026</v>
      </c>
      <c r="AL988" s="26">
        <f t="shared" si="360"/>
        <v>4.7539384213135802</v>
      </c>
      <c r="AM988" s="17">
        <f t="shared" si="348"/>
        <v>0.5780346820809249</v>
      </c>
      <c r="AN988" s="52"/>
      <c r="AO988" s="39"/>
      <c r="AP988" s="18"/>
      <c r="AQ988" s="17"/>
      <c r="AR988" s="17"/>
      <c r="AS988" s="27"/>
      <c r="AT988" s="17"/>
      <c r="AU988" s="17"/>
      <c r="AV988" s="17"/>
      <c r="AW988" s="17"/>
      <c r="AX988" s="17"/>
      <c r="BB988" s="17"/>
    </row>
    <row r="989" spans="1:54" x14ac:dyDescent="0.2">
      <c r="A989" s="18" t="s">
        <v>90</v>
      </c>
      <c r="B989" s="18" t="s">
        <v>91</v>
      </c>
      <c r="C989" s="18" t="s">
        <v>96</v>
      </c>
      <c r="D989" s="18" t="str">
        <f t="shared" si="349"/>
        <v>CAT1.1C_95</v>
      </c>
      <c r="E989" s="55" t="s">
        <v>81</v>
      </c>
      <c r="F989" s="18">
        <v>95</v>
      </c>
      <c r="G989" s="46">
        <v>2</v>
      </c>
      <c r="H989" s="46">
        <v>2.2000000000000002</v>
      </c>
      <c r="I989" s="46">
        <v>1.25</v>
      </c>
      <c r="J989" s="23">
        <f t="shared" si="350"/>
        <v>4.3273124999999997</v>
      </c>
      <c r="K989" s="61">
        <v>0.1921875000000004</v>
      </c>
      <c r="L989" s="45">
        <f t="shared" si="351"/>
        <v>45.765625000000014</v>
      </c>
      <c r="M989" s="45">
        <f t="shared" si="346"/>
        <v>47.015625000000014</v>
      </c>
      <c r="N989" s="46">
        <f t="shared" si="361"/>
        <v>46.390625000000014</v>
      </c>
      <c r="O989" s="46">
        <f t="shared" si="352"/>
        <v>125.76562500000011</v>
      </c>
      <c r="P989" s="46">
        <f t="shared" si="347"/>
        <v>127.01562500000011</v>
      </c>
      <c r="Q989" s="46">
        <f t="shared" si="344"/>
        <v>126.39062500000011</v>
      </c>
      <c r="R989" s="46">
        <v>125.76562500000011</v>
      </c>
      <c r="S989" s="46">
        <v>127.01562500000011</v>
      </c>
      <c r="T989" s="54">
        <v>126.4</v>
      </c>
      <c r="U989" s="46">
        <f t="shared" si="353"/>
        <v>126.4</v>
      </c>
      <c r="V989" s="18">
        <v>6.1108000000000002</v>
      </c>
      <c r="W989" s="18">
        <v>1.7907</v>
      </c>
      <c r="X989" s="23">
        <v>1.1476266666666699</v>
      </c>
      <c r="Y989" s="23">
        <f t="shared" si="354"/>
        <v>4.9631733333333301</v>
      </c>
      <c r="Z989" s="23">
        <f t="shared" si="355"/>
        <v>0.64307333333333005</v>
      </c>
      <c r="AA989" s="21">
        <f t="shared" si="356"/>
        <v>87.043101456595025</v>
      </c>
      <c r="AB989" s="21">
        <f t="shared" si="357"/>
        <v>12.956898543404975</v>
      </c>
      <c r="AC989" s="23">
        <f>Y989/J989</f>
        <v>1.146941278988594</v>
      </c>
      <c r="AD989" s="23">
        <f>Z989/J989</f>
        <v>0.14860801787098346</v>
      </c>
      <c r="AE989" s="57">
        <v>23.097000000000001</v>
      </c>
      <c r="AF989" s="57">
        <v>23.25</v>
      </c>
      <c r="AG989" s="57">
        <v>23.105</v>
      </c>
      <c r="AH989" s="58">
        <f>AG989-AE989</f>
        <v>7.9999999999991189E-3</v>
      </c>
      <c r="AI989" s="59">
        <f>((AF989-AG989)/(AF989-AE989))*100</f>
        <v>94.77124183006589</v>
      </c>
      <c r="AJ989" s="26">
        <f t="shared" si="358"/>
        <v>4.7385620915032947</v>
      </c>
      <c r="AK989" s="26">
        <f t="shared" si="359"/>
        <v>54.781064641656585</v>
      </c>
      <c r="AL989" s="26">
        <f t="shared" si="360"/>
        <v>4.7394167040926121</v>
      </c>
      <c r="AM989" s="17">
        <f t="shared" si="348"/>
        <v>0.5780346820809249</v>
      </c>
      <c r="AN989" s="52"/>
      <c r="AO989" s="39"/>
      <c r="AP989" s="18"/>
      <c r="AQ989" s="17"/>
      <c r="AR989" s="17"/>
      <c r="AS989" s="27"/>
      <c r="AT989" s="17"/>
      <c r="AU989" s="17"/>
      <c r="AV989" s="17"/>
      <c r="AW989" s="17"/>
      <c r="AX989" s="17"/>
      <c r="BB989" s="17"/>
    </row>
    <row r="990" spans="1:54" x14ac:dyDescent="0.2">
      <c r="A990" s="18" t="s">
        <v>90</v>
      </c>
      <c r="B990" s="18" t="s">
        <v>91</v>
      </c>
      <c r="C990" s="18" t="s">
        <v>96</v>
      </c>
      <c r="D990" s="18" t="str">
        <f t="shared" si="349"/>
        <v>CAT1.1C_96</v>
      </c>
      <c r="E990" s="55" t="s">
        <v>81</v>
      </c>
      <c r="F990" s="18">
        <v>96</v>
      </c>
      <c r="G990" s="46">
        <v>1.9</v>
      </c>
      <c r="H990" s="46">
        <v>2.2000000000000002</v>
      </c>
      <c r="I990" s="46">
        <v>1.2</v>
      </c>
      <c r="J990" s="23">
        <f t="shared" si="350"/>
        <v>3.9587549999999991</v>
      </c>
      <c r="K990" s="61">
        <v>0.1921875000000004</v>
      </c>
      <c r="L990" s="45">
        <f t="shared" si="351"/>
        <v>47.207812500000017</v>
      </c>
      <c r="M990" s="45">
        <f t="shared" si="346"/>
        <v>48.40781250000002</v>
      </c>
      <c r="N990" s="46">
        <f t="shared" si="361"/>
        <v>47.807812500000018</v>
      </c>
      <c r="O990" s="46">
        <f t="shared" si="352"/>
        <v>127.20781250000012</v>
      </c>
      <c r="P990" s="46">
        <f t="shared" si="347"/>
        <v>128.40781250000012</v>
      </c>
      <c r="Q990" s="46">
        <f t="shared" si="344"/>
        <v>127.80781250000013</v>
      </c>
      <c r="R990" s="46">
        <v>127.20781250000012</v>
      </c>
      <c r="S990" s="46">
        <v>128.40781250000012</v>
      </c>
      <c r="T990" s="54">
        <v>127.8</v>
      </c>
      <c r="U990" s="46">
        <f t="shared" si="353"/>
        <v>127.8</v>
      </c>
      <c r="V990" s="18">
        <v>5.9809999999999999</v>
      </c>
      <c r="W990" s="18">
        <v>1.8332999999999999</v>
      </c>
      <c r="X990" s="23">
        <v>1.1476266666666699</v>
      </c>
      <c r="Y990" s="23">
        <f t="shared" si="354"/>
        <v>4.8333733333333297</v>
      </c>
      <c r="Z990" s="23">
        <f t="shared" si="355"/>
        <v>0.68567333333333003</v>
      </c>
      <c r="AA990" s="21">
        <f t="shared" si="356"/>
        <v>85.813772575675287</v>
      </c>
      <c r="AB990" s="21">
        <f t="shared" si="357"/>
        <v>14.186227424324713</v>
      </c>
      <c r="AC990" s="23">
        <f>Y990/J990</f>
        <v>1.220932675382369</v>
      </c>
      <c r="AD990" s="23">
        <f>Z990/J990</f>
        <v>0.17320428602763499</v>
      </c>
      <c r="AE990" s="57">
        <v>22.864000000000001</v>
      </c>
      <c r="AF990" s="57">
        <v>23.018999999999998</v>
      </c>
      <c r="AG990" s="57">
        <v>22.882000000000001</v>
      </c>
      <c r="AH990" s="58">
        <f>AG990-AE990</f>
        <v>1.8000000000000682E-2</v>
      </c>
      <c r="AI990" s="59">
        <f>((AF990-AG990)/(AF990-AE990))*100</f>
        <v>88.387096774192926</v>
      </c>
      <c r="AJ990" s="26">
        <f t="shared" si="358"/>
        <v>4.4193548387096468</v>
      </c>
      <c r="AK990" s="26">
        <f t="shared" si="359"/>
        <v>51.090807383926553</v>
      </c>
      <c r="AL990" s="26">
        <f t="shared" si="360"/>
        <v>4.4202711670695463</v>
      </c>
      <c r="AM990" s="17">
        <f t="shared" si="348"/>
        <v>0.5780346820809249</v>
      </c>
      <c r="AN990" s="52"/>
      <c r="AO990" s="39"/>
      <c r="AP990" s="18"/>
      <c r="AQ990" s="17"/>
      <c r="AR990" s="17"/>
      <c r="AS990" s="27"/>
      <c r="AT990" s="17"/>
      <c r="AU990" s="17"/>
      <c r="AV990" s="17"/>
      <c r="AW990" s="17"/>
      <c r="AX990" s="17"/>
      <c r="BB990" s="17"/>
    </row>
    <row r="991" spans="1:54" x14ac:dyDescent="0.2">
      <c r="A991" s="18" t="s">
        <v>90</v>
      </c>
      <c r="B991" s="18" t="s">
        <v>91</v>
      </c>
      <c r="C991" s="18" t="s">
        <v>96</v>
      </c>
      <c r="D991" s="18" t="str">
        <f t="shared" si="349"/>
        <v>CAT1.1C_97</v>
      </c>
      <c r="E991" s="55" t="s">
        <v>81</v>
      </c>
      <c r="F991" s="18">
        <v>97</v>
      </c>
      <c r="G991" s="46">
        <v>1.6</v>
      </c>
      <c r="H991" s="46">
        <v>2.4</v>
      </c>
      <c r="I991" s="46">
        <v>1.4</v>
      </c>
      <c r="J991" s="23">
        <f t="shared" si="350"/>
        <v>4.3959999999999999</v>
      </c>
      <c r="K991" s="61">
        <v>0.1921875000000004</v>
      </c>
      <c r="L991" s="45">
        <f t="shared" si="351"/>
        <v>48.600000000000023</v>
      </c>
      <c r="M991" s="45">
        <f t="shared" si="346"/>
        <v>50.000000000000021</v>
      </c>
      <c r="N991" s="46">
        <f t="shared" si="361"/>
        <v>49.300000000000026</v>
      </c>
      <c r="O991" s="46">
        <f t="shared" si="352"/>
        <v>128.60000000000011</v>
      </c>
      <c r="P991" s="46">
        <f t="shared" si="347"/>
        <v>130.00000000000011</v>
      </c>
      <c r="Q991" s="46">
        <f t="shared" ref="Q991:Q1054" si="362">O991+((P991-O991)/2)</f>
        <v>129.30000000000013</v>
      </c>
      <c r="R991" s="46">
        <v>128.60000000000011</v>
      </c>
      <c r="S991" s="46">
        <v>130.00000000000011</v>
      </c>
      <c r="T991" s="54">
        <v>129.30000000000001</v>
      </c>
      <c r="U991" s="46">
        <f t="shared" si="353"/>
        <v>129.30000000000001</v>
      </c>
      <c r="V991" s="18">
        <v>5.8042999999999996</v>
      </c>
      <c r="W991" s="18">
        <v>1.7905</v>
      </c>
      <c r="X991" s="23">
        <v>1.1476266666666699</v>
      </c>
      <c r="Y991" s="23">
        <f t="shared" si="354"/>
        <v>4.6566733333333294</v>
      </c>
      <c r="Z991" s="23">
        <f t="shared" si="355"/>
        <v>0.64287333333333008</v>
      </c>
      <c r="AA991" s="21">
        <f t="shared" si="356"/>
        <v>86.194579535319278</v>
      </c>
      <c r="AB991" s="21">
        <f t="shared" si="357"/>
        <v>13.805420464680722</v>
      </c>
      <c r="AC991" s="23">
        <f>Y991/J991</f>
        <v>1.059297846527145</v>
      </c>
      <c r="AD991" s="23">
        <f>Z991/J991</f>
        <v>0.14624052168638083</v>
      </c>
      <c r="AE991" s="57">
        <v>14.75</v>
      </c>
      <c r="AF991" s="57">
        <v>14.901</v>
      </c>
      <c r="AG991" s="57">
        <v>14.769</v>
      </c>
      <c r="AH991" s="58">
        <f>AG991-AE991</f>
        <v>1.9000000000000128E-2</v>
      </c>
      <c r="AI991" s="59">
        <f>((AF991-AG991)/(AF991-AE991))*100</f>
        <v>87.41721854304626</v>
      </c>
      <c r="AJ991" s="26">
        <f t="shared" si="358"/>
        <v>4.3708609271523136</v>
      </c>
      <c r="AK991" s="26">
        <f t="shared" si="359"/>
        <v>50.530184128928475</v>
      </c>
      <c r="AL991" s="26">
        <f t="shared" si="360"/>
        <v>4.3717874198669335</v>
      </c>
      <c r="AM991" s="17">
        <f t="shared" si="348"/>
        <v>0.5780346820809249</v>
      </c>
      <c r="AN991" s="52"/>
      <c r="AO991" s="39"/>
      <c r="AP991" s="18"/>
      <c r="AQ991" s="17"/>
      <c r="AR991" s="17"/>
      <c r="AS991" s="27"/>
      <c r="AT991" s="17"/>
      <c r="AU991" s="17"/>
      <c r="AV991" s="17"/>
      <c r="AW991" s="17"/>
      <c r="AX991" s="17"/>
      <c r="BB991" s="17"/>
    </row>
    <row r="992" spans="1:54" x14ac:dyDescent="0.2">
      <c r="A992" s="18" t="s">
        <v>90</v>
      </c>
      <c r="B992" s="18" t="s">
        <v>91</v>
      </c>
      <c r="C992" s="18" t="s">
        <v>97</v>
      </c>
      <c r="D992" s="18" t="str">
        <f t="shared" si="349"/>
        <v>CAT1.1D_98</v>
      </c>
      <c r="E992" s="55" t="s">
        <v>82</v>
      </c>
      <c r="F992" s="18">
        <v>98</v>
      </c>
      <c r="G992" s="46">
        <v>1.9</v>
      </c>
      <c r="H992" s="46">
        <v>2.2999999999999998</v>
      </c>
      <c r="I992" s="18">
        <v>1.2</v>
      </c>
      <c r="J992" s="23">
        <f t="shared" si="350"/>
        <v>4.1542199999999987</v>
      </c>
      <c r="K992" s="61">
        <v>0.296875</v>
      </c>
      <c r="L992" s="39">
        <v>0</v>
      </c>
      <c r="M992" s="45">
        <f t="shared" si="346"/>
        <v>1.2</v>
      </c>
      <c r="N992" s="46">
        <f>L992+((M992-L992)/2)</f>
        <v>0.6</v>
      </c>
      <c r="O992" s="46">
        <v>120</v>
      </c>
      <c r="P992" s="46">
        <f t="shared" si="347"/>
        <v>121.2</v>
      </c>
      <c r="Q992" s="46">
        <f t="shared" si="362"/>
        <v>120.6</v>
      </c>
      <c r="R992" s="46">
        <v>120</v>
      </c>
      <c r="S992" s="46">
        <v>121.2</v>
      </c>
      <c r="T992" s="54">
        <v>120.6</v>
      </c>
      <c r="U992" s="46">
        <f t="shared" si="353"/>
        <v>120.6</v>
      </c>
      <c r="V992" s="18">
        <v>5.4635999999999996</v>
      </c>
      <c r="W992" s="18">
        <v>1.8571</v>
      </c>
      <c r="X992" s="23">
        <v>1.1476266666666699</v>
      </c>
      <c r="Y992" s="23">
        <f t="shared" si="354"/>
        <v>4.3159733333333294</v>
      </c>
      <c r="Z992" s="23">
        <f t="shared" si="355"/>
        <v>0.70947333333333007</v>
      </c>
      <c r="AA992" s="21">
        <f t="shared" si="356"/>
        <v>83.561684038826371</v>
      </c>
      <c r="AB992" s="21">
        <f t="shared" si="357"/>
        <v>16.438315961173629</v>
      </c>
      <c r="AC992" s="23">
        <f>Y992/J992</f>
        <v>1.038937112943785</v>
      </c>
      <c r="AD992" s="23">
        <f>Z992/J992</f>
        <v>0.17078376526359468</v>
      </c>
      <c r="AE992" s="57">
        <v>10.601000000000001</v>
      </c>
      <c r="AF992" s="57">
        <v>10.811999999999999</v>
      </c>
      <c r="AG992" s="57">
        <v>10.714</v>
      </c>
      <c r="AH992" s="58">
        <f>AG992-AE992</f>
        <v>0.11299999999999955</v>
      </c>
      <c r="AI992" s="59">
        <f>((AF992-AG992)/(AF992-AE992))*100</f>
        <v>46.445497630331595</v>
      </c>
      <c r="AJ992" s="26">
        <f t="shared" si="358"/>
        <v>2.3222748815165799</v>
      </c>
      <c r="AK992" s="26">
        <f t="shared" si="359"/>
        <v>26.847108456839074</v>
      </c>
      <c r="AL992" s="26">
        <f t="shared" si="360"/>
        <v>2.3240182067537347</v>
      </c>
      <c r="AM992" s="17">
        <f t="shared" si="348"/>
        <v>0.5780346820809249</v>
      </c>
      <c r="AN992" s="60" t="s">
        <v>43</v>
      </c>
      <c r="AO992" s="39">
        <v>49</v>
      </c>
      <c r="AP992" s="52" t="s">
        <v>35</v>
      </c>
      <c r="AQ992" s="17"/>
      <c r="AR992" s="17"/>
      <c r="AS992" s="27"/>
      <c r="AT992" s="17"/>
      <c r="AU992" s="17"/>
      <c r="AV992" s="17"/>
      <c r="AW992" s="17"/>
      <c r="AX992" s="17"/>
      <c r="BB992" s="17"/>
    </row>
    <row r="993" spans="1:54" x14ac:dyDescent="0.2">
      <c r="A993" s="18" t="s">
        <v>90</v>
      </c>
      <c r="B993" s="18" t="s">
        <v>91</v>
      </c>
      <c r="C993" s="18" t="s">
        <v>97</v>
      </c>
      <c r="D993" s="18" t="str">
        <f t="shared" si="349"/>
        <v>CAT1.1D_99</v>
      </c>
      <c r="E993" s="55" t="s">
        <v>82</v>
      </c>
      <c r="F993" s="18">
        <v>99</v>
      </c>
      <c r="G993" s="46">
        <v>1.9</v>
      </c>
      <c r="H993" s="46">
        <v>2.4</v>
      </c>
      <c r="I993" s="46">
        <v>1.2</v>
      </c>
      <c r="J993" s="23">
        <f t="shared" si="350"/>
        <v>4.3543950000000002</v>
      </c>
      <c r="K993" s="61">
        <v>0.296875</v>
      </c>
      <c r="L993" s="45">
        <f t="shared" ref="L993:L1024" si="363">M992+K993</f>
        <v>1.496875</v>
      </c>
      <c r="M993" s="45">
        <f t="shared" si="346"/>
        <v>2.6968749999999999</v>
      </c>
      <c r="N993" s="46">
        <f>L993+((M993-L993)/2)</f>
        <v>2.0968749999999998</v>
      </c>
      <c r="O993" s="46">
        <f t="shared" ref="O993:O1024" si="364">P992+K993</f>
        <v>121.496875</v>
      </c>
      <c r="P993" s="46">
        <f t="shared" si="347"/>
        <v>122.69687500000001</v>
      </c>
      <c r="Q993" s="46">
        <f t="shared" si="362"/>
        <v>122.09687500000001</v>
      </c>
      <c r="R993" s="46">
        <v>121.496875</v>
      </c>
      <c r="S993" s="46">
        <v>122.69687500000001</v>
      </c>
      <c r="T993" s="54">
        <v>122.1</v>
      </c>
      <c r="U993" s="46">
        <f t="shared" si="353"/>
        <v>122.1</v>
      </c>
      <c r="V993" s="18">
        <v>5.9188000000000001</v>
      </c>
      <c r="W993" s="18">
        <v>1.7664</v>
      </c>
      <c r="X993" s="23">
        <v>1.1476266666666699</v>
      </c>
      <c r="Y993" s="23">
        <f t="shared" si="354"/>
        <v>4.7711733333333299</v>
      </c>
      <c r="Z993" s="23">
        <f t="shared" si="355"/>
        <v>0.61877333333333007</v>
      </c>
      <c r="AA993" s="21">
        <f t="shared" si="356"/>
        <v>87.031002856041056</v>
      </c>
      <c r="AB993" s="21">
        <f t="shared" si="357"/>
        <v>12.968997143958944</v>
      </c>
      <c r="AC993" s="23">
        <f>Y993/J993</f>
        <v>1.0957144065555213</v>
      </c>
      <c r="AD993" s="23">
        <f>Z993/J993</f>
        <v>0.14210317009213222</v>
      </c>
      <c r="AE993" s="57">
        <v>10.222</v>
      </c>
      <c r="AF993" s="57">
        <v>10.326000000000001</v>
      </c>
      <c r="AG993" s="57">
        <v>10.227</v>
      </c>
      <c r="AH993" s="58">
        <f>AG993-AE993</f>
        <v>5.0000000000007816E-3</v>
      </c>
      <c r="AI993" s="59">
        <f>((AF993-AG993)/(AF993-AE993))*100</f>
        <v>95.192307692306983</v>
      </c>
      <c r="AJ993" s="26">
        <f t="shared" si="358"/>
        <v>4.7596153846153495</v>
      </c>
      <c r="AK993" s="26">
        <f t="shared" si="359"/>
        <v>55.024455313472245</v>
      </c>
      <c r="AL993" s="26">
        <f t="shared" si="360"/>
        <v>4.7604662176584265</v>
      </c>
      <c r="AM993" s="17">
        <f t="shared" si="348"/>
        <v>0.5780346820809249</v>
      </c>
      <c r="AN993" s="60" t="s">
        <v>44</v>
      </c>
      <c r="AO993" s="39" t="s">
        <v>56</v>
      </c>
      <c r="AP993" s="18" t="s">
        <v>35</v>
      </c>
      <c r="AQ993" s="17"/>
      <c r="AR993" s="17"/>
      <c r="AS993" s="27"/>
      <c r="AT993" s="17"/>
      <c r="AU993" s="17"/>
      <c r="AV993" s="17"/>
      <c r="AW993" s="17"/>
      <c r="AX993" s="17"/>
      <c r="BB993" s="17"/>
    </row>
    <row r="994" spans="1:54" x14ac:dyDescent="0.2">
      <c r="A994" s="18" t="s">
        <v>90</v>
      </c>
      <c r="B994" s="18" t="s">
        <v>91</v>
      </c>
      <c r="C994" s="18" t="s">
        <v>97</v>
      </c>
      <c r="D994" s="18" t="str">
        <f t="shared" si="349"/>
        <v>CAT1.1D_100</v>
      </c>
      <c r="E994" s="55" t="s">
        <v>82</v>
      </c>
      <c r="F994" s="18">
        <v>100</v>
      </c>
      <c r="G994" s="46">
        <v>1.9</v>
      </c>
      <c r="H994" s="46">
        <v>2.4</v>
      </c>
      <c r="I994" s="46">
        <v>1.1000000000000001</v>
      </c>
      <c r="J994" s="23">
        <f t="shared" si="350"/>
        <v>3.9915287500000001</v>
      </c>
      <c r="K994" s="61">
        <v>0.296875</v>
      </c>
      <c r="L994" s="45">
        <f t="shared" si="363"/>
        <v>2.9937499999999999</v>
      </c>
      <c r="M994" s="45">
        <f t="shared" si="346"/>
        <v>4.09375</v>
      </c>
      <c r="N994" s="46">
        <f t="shared" ref="N994:N1024" si="365">L994+((M994-L994)/2)</f>
        <v>3.5437500000000002</v>
      </c>
      <c r="O994" s="46">
        <f t="shared" si="364"/>
        <v>122.99375000000001</v>
      </c>
      <c r="P994" s="46">
        <f t="shared" si="347"/>
        <v>124.09375</v>
      </c>
      <c r="Q994" s="46">
        <f t="shared" si="362"/>
        <v>123.54375</v>
      </c>
      <c r="R994" s="46">
        <v>122.99375000000001</v>
      </c>
      <c r="S994" s="46">
        <v>124.09375</v>
      </c>
      <c r="T994" s="54">
        <v>123.5</v>
      </c>
      <c r="U994" s="46">
        <f t="shared" si="353"/>
        <v>123.5</v>
      </c>
      <c r="V994" s="18">
        <v>5.8513000000000002</v>
      </c>
      <c r="W994" s="18">
        <v>1.7583</v>
      </c>
      <c r="X994" s="23">
        <v>1.1476266666666699</v>
      </c>
      <c r="Y994" s="23">
        <f t="shared" si="354"/>
        <v>4.70367333333333</v>
      </c>
      <c r="Z994" s="23">
        <f t="shared" si="355"/>
        <v>0.61067333333333007</v>
      </c>
      <c r="AA994" s="21">
        <f t="shared" si="356"/>
        <v>87.017097275746252</v>
      </c>
      <c r="AB994" s="21">
        <f t="shared" si="357"/>
        <v>12.982902724253748</v>
      </c>
      <c r="AC994" s="23">
        <f>Y994/J994</f>
        <v>1.1784139932183453</v>
      </c>
      <c r="AD994" s="23">
        <f>Z994/J994</f>
        <v>0.15299234242853194</v>
      </c>
      <c r="AE994" s="57">
        <v>10.129</v>
      </c>
      <c r="AF994" s="57">
        <v>10.250999999999999</v>
      </c>
      <c r="AG994" s="57">
        <v>10.134</v>
      </c>
      <c r="AH994" s="58">
        <f>AG994-AE994</f>
        <v>5.0000000000007816E-3</v>
      </c>
      <c r="AI994" s="59">
        <f>((AF994-AG994)/(AF994-AE994))*100</f>
        <v>95.901639344261653</v>
      </c>
      <c r="AJ994" s="26">
        <f t="shared" si="358"/>
        <v>4.7950819672130827</v>
      </c>
      <c r="AK994" s="26">
        <f t="shared" si="359"/>
        <v>55.434473609399802</v>
      </c>
      <c r="AL994" s="26">
        <f t="shared" si="360"/>
        <v>4.7959265082246709</v>
      </c>
      <c r="AM994" s="17">
        <f t="shared" si="348"/>
        <v>0.5780346820809249</v>
      </c>
      <c r="AN994" s="60" t="s">
        <v>46</v>
      </c>
      <c r="AO994" s="45">
        <f>SUM(I992:I1024)</f>
        <v>39.5</v>
      </c>
      <c r="AP994" s="52" t="s">
        <v>35</v>
      </c>
      <c r="AQ994" s="17"/>
      <c r="AR994" s="17"/>
      <c r="AS994" s="27"/>
      <c r="AT994" s="17"/>
      <c r="AU994" s="17"/>
      <c r="AV994" s="17"/>
      <c r="AW994" s="17"/>
      <c r="AX994" s="17"/>
      <c r="BB994" s="17"/>
    </row>
    <row r="995" spans="1:54" x14ac:dyDescent="0.2">
      <c r="A995" s="18" t="s">
        <v>90</v>
      </c>
      <c r="B995" s="18" t="s">
        <v>91</v>
      </c>
      <c r="C995" s="18" t="s">
        <v>97</v>
      </c>
      <c r="D995" s="18" t="str">
        <f t="shared" si="349"/>
        <v>CAT1.1D_101</v>
      </c>
      <c r="E995" s="55" t="s">
        <v>82</v>
      </c>
      <c r="F995" s="18">
        <v>101</v>
      </c>
      <c r="G995" s="46">
        <v>2.1</v>
      </c>
      <c r="H995" s="46">
        <v>2</v>
      </c>
      <c r="I995" s="46">
        <v>1.2</v>
      </c>
      <c r="J995" s="23">
        <f t="shared" si="350"/>
        <v>3.9587549999999991</v>
      </c>
      <c r="K995" s="61">
        <v>0.296875</v>
      </c>
      <c r="L995" s="45">
        <f t="shared" si="363"/>
        <v>4.390625</v>
      </c>
      <c r="M995" s="45">
        <f t="shared" si="346"/>
        <v>5.5906250000000002</v>
      </c>
      <c r="N995" s="46">
        <f t="shared" si="365"/>
        <v>4.9906249999999996</v>
      </c>
      <c r="O995" s="46">
        <f t="shared" si="364"/>
        <v>124.390625</v>
      </c>
      <c r="P995" s="46">
        <f t="shared" si="347"/>
        <v>125.590625</v>
      </c>
      <c r="Q995" s="46">
        <f t="shared" si="362"/>
        <v>124.99062499999999</v>
      </c>
      <c r="R995" s="46">
        <v>124.390625</v>
      </c>
      <c r="S995" s="46">
        <v>125.590625</v>
      </c>
      <c r="T995" s="54">
        <v>125</v>
      </c>
      <c r="U995" s="46">
        <f t="shared" si="353"/>
        <v>125</v>
      </c>
      <c r="V995" s="18">
        <v>6.2588999999999997</v>
      </c>
      <c r="W995" s="18">
        <v>1.7726999999999999</v>
      </c>
      <c r="X995" s="23">
        <v>1.1476266666666699</v>
      </c>
      <c r="Y995" s="23">
        <f t="shared" si="354"/>
        <v>5.1112733333333296</v>
      </c>
      <c r="Z995" s="23">
        <f t="shared" si="355"/>
        <v>0.62507333333333004</v>
      </c>
      <c r="AA995" s="21">
        <f t="shared" si="356"/>
        <v>87.770692495412149</v>
      </c>
      <c r="AB995" s="21">
        <f t="shared" si="357"/>
        <v>12.229307504587851</v>
      </c>
      <c r="AC995" s="23">
        <f>Y995/J995</f>
        <v>1.291131513148283</v>
      </c>
      <c r="AD995" s="23">
        <f>Z995/J995</f>
        <v>0.15789644303154152</v>
      </c>
      <c r="AE995" s="57">
        <v>12.992000000000001</v>
      </c>
      <c r="AF995" s="57">
        <v>13.151</v>
      </c>
      <c r="AG995" s="57">
        <v>13.000999999999999</v>
      </c>
      <c r="AH995" s="58">
        <f>AG995-AE995</f>
        <v>8.9999999999985647E-3</v>
      </c>
      <c r="AI995" s="59">
        <f>((AF995-AG995)/(AF995-AE995))*100</f>
        <v>94.339622641510303</v>
      </c>
      <c r="AJ995" s="26">
        <f t="shared" si="358"/>
        <v>4.7169811320755155</v>
      </c>
      <c r="AK995" s="26">
        <f t="shared" si="359"/>
        <v>54.531573781219834</v>
      </c>
      <c r="AL995" s="26">
        <f t="shared" si="360"/>
        <v>4.7178396539471761</v>
      </c>
      <c r="AM995" s="17">
        <f t="shared" si="348"/>
        <v>0.5780346820809249</v>
      </c>
      <c r="AN995" s="60" t="s">
        <v>47</v>
      </c>
      <c r="AO995" s="45">
        <f>AO992-AO994</f>
        <v>9.5</v>
      </c>
      <c r="AP995" s="52"/>
      <c r="AQ995" s="17"/>
      <c r="AR995" s="17"/>
      <c r="AS995" s="27"/>
      <c r="AT995" s="17"/>
      <c r="AU995" s="17"/>
      <c r="AV995" s="17"/>
      <c r="AW995" s="17"/>
      <c r="AX995" s="17"/>
      <c r="BB995" s="17"/>
    </row>
    <row r="996" spans="1:54" x14ac:dyDescent="0.2">
      <c r="A996" s="18" t="s">
        <v>90</v>
      </c>
      <c r="B996" s="18" t="s">
        <v>91</v>
      </c>
      <c r="C996" s="18" t="s">
        <v>97</v>
      </c>
      <c r="D996" s="18" t="str">
        <f t="shared" si="349"/>
        <v>CAT1.1D_102</v>
      </c>
      <c r="E996" s="55" t="s">
        <v>82</v>
      </c>
      <c r="F996" s="18">
        <v>102</v>
      </c>
      <c r="G996" s="46">
        <v>1.9</v>
      </c>
      <c r="H996" s="46">
        <v>2.1</v>
      </c>
      <c r="I996" s="46">
        <v>1.2</v>
      </c>
      <c r="J996" s="23">
        <f t="shared" si="350"/>
        <v>3.7679999999999998</v>
      </c>
      <c r="K996" s="61">
        <v>0.296875</v>
      </c>
      <c r="L996" s="45">
        <f t="shared" si="363"/>
        <v>5.8875000000000002</v>
      </c>
      <c r="M996" s="45">
        <f t="shared" si="346"/>
        <v>7.0875000000000004</v>
      </c>
      <c r="N996" s="46">
        <f t="shared" si="365"/>
        <v>6.4875000000000007</v>
      </c>
      <c r="O996" s="46">
        <f t="shared" si="364"/>
        <v>125.8875</v>
      </c>
      <c r="P996" s="46">
        <f t="shared" si="347"/>
        <v>127.08750000000001</v>
      </c>
      <c r="Q996" s="46">
        <f t="shared" si="362"/>
        <v>126.48750000000001</v>
      </c>
      <c r="R996" s="46">
        <v>125.8875</v>
      </c>
      <c r="S996" s="46">
        <v>127.08750000000001</v>
      </c>
      <c r="T996" s="54">
        <v>126.5</v>
      </c>
      <c r="U996" s="46">
        <f t="shared" si="353"/>
        <v>126.5</v>
      </c>
      <c r="V996" s="18">
        <v>6.0137999999999998</v>
      </c>
      <c r="W996" s="18">
        <v>1.7233000000000001</v>
      </c>
      <c r="X996" s="23">
        <v>1.1476266666666699</v>
      </c>
      <c r="Y996" s="23">
        <f t="shared" si="354"/>
        <v>4.8661733333333297</v>
      </c>
      <c r="Z996" s="23">
        <f t="shared" si="355"/>
        <v>0.57567333333333015</v>
      </c>
      <c r="AA996" s="21">
        <f t="shared" si="356"/>
        <v>88.169896674457476</v>
      </c>
      <c r="AB996" s="21">
        <f t="shared" si="357"/>
        <v>11.830103325542524</v>
      </c>
      <c r="AC996" s="23">
        <f>Y996/J996</f>
        <v>1.2914472753007775</v>
      </c>
      <c r="AD996" s="23">
        <f>Z996/J996</f>
        <v>0.15277954706298572</v>
      </c>
      <c r="AE996" s="57">
        <v>10.333</v>
      </c>
      <c r="AF996" s="57">
        <v>10.47</v>
      </c>
      <c r="AG996" s="57">
        <v>10.339</v>
      </c>
      <c r="AH996" s="58">
        <f>AG996-AE996</f>
        <v>6.0000000000002274E-3</v>
      </c>
      <c r="AI996" s="59">
        <f>((AF996-AG996)/(AF996-AE996))*100</f>
        <v>95.620437956204228</v>
      </c>
      <c r="AJ996" s="26">
        <f t="shared" si="358"/>
        <v>4.7810218978102119</v>
      </c>
      <c r="AK996" s="26">
        <f t="shared" si="359"/>
        <v>55.271929454453314</v>
      </c>
      <c r="AL996" s="26">
        <f t="shared" si="360"/>
        <v>4.7818689220158221</v>
      </c>
      <c r="AM996" s="17">
        <f t="shared" si="348"/>
        <v>0.5780346820809249</v>
      </c>
      <c r="AN996" s="60" t="s">
        <v>48</v>
      </c>
      <c r="AO996" s="39">
        <v>32</v>
      </c>
      <c r="AP996" s="52"/>
      <c r="AQ996" s="17"/>
      <c r="AR996" s="17"/>
      <c r="AS996" s="27"/>
      <c r="AT996" s="17"/>
      <c r="AU996" s="17"/>
      <c r="AV996" s="17"/>
      <c r="AW996" s="17"/>
      <c r="AX996" s="17"/>
      <c r="BB996" s="17"/>
    </row>
    <row r="997" spans="1:54" x14ac:dyDescent="0.2">
      <c r="A997" s="18" t="s">
        <v>90</v>
      </c>
      <c r="B997" s="18" t="s">
        <v>91</v>
      </c>
      <c r="C997" s="18" t="s">
        <v>97</v>
      </c>
      <c r="D997" s="18" t="str">
        <f t="shared" si="349"/>
        <v>CAT1.1D_103</v>
      </c>
      <c r="E997" s="55" t="s">
        <v>82</v>
      </c>
      <c r="F997" s="18">
        <v>103</v>
      </c>
      <c r="G997" s="46">
        <v>1.9</v>
      </c>
      <c r="H997" s="46">
        <v>2.2000000000000002</v>
      </c>
      <c r="I997" s="46">
        <v>1.2</v>
      </c>
      <c r="J997" s="23">
        <f t="shared" si="350"/>
        <v>3.9587549999999991</v>
      </c>
      <c r="K997" s="61">
        <v>0.296875</v>
      </c>
      <c r="L997" s="45">
        <f t="shared" si="363"/>
        <v>7.3843750000000004</v>
      </c>
      <c r="M997" s="45">
        <f t="shared" si="346"/>
        <v>8.5843749999999996</v>
      </c>
      <c r="N997" s="46">
        <f t="shared" si="365"/>
        <v>7.984375</v>
      </c>
      <c r="O997" s="46">
        <f t="shared" si="364"/>
        <v>127.38437500000001</v>
      </c>
      <c r="P997" s="46">
        <f t="shared" si="347"/>
        <v>128.58437499999999</v>
      </c>
      <c r="Q997" s="46">
        <f t="shared" si="362"/>
        <v>127.984375</v>
      </c>
      <c r="R997" s="46">
        <v>127.38437500000001</v>
      </c>
      <c r="S997" s="46">
        <v>128.58437499999999</v>
      </c>
      <c r="T997" s="54">
        <v>128</v>
      </c>
      <c r="U997" s="46">
        <f t="shared" si="353"/>
        <v>128</v>
      </c>
      <c r="V997" s="18">
        <v>6.4283000000000001</v>
      </c>
      <c r="W997" s="18">
        <v>1.8295999999999999</v>
      </c>
      <c r="X997" s="23">
        <v>1.1476266666666699</v>
      </c>
      <c r="Y997" s="23">
        <f t="shared" si="354"/>
        <v>5.28067333333333</v>
      </c>
      <c r="Z997" s="23">
        <f t="shared" si="355"/>
        <v>0.68197333333332999</v>
      </c>
      <c r="AA997" s="21">
        <f t="shared" si="356"/>
        <v>87.085485310585454</v>
      </c>
      <c r="AB997" s="21">
        <f t="shared" si="357"/>
        <v>12.914514689414546</v>
      </c>
      <c r="AC997" s="23">
        <f>Y997/J997</f>
        <v>1.3339227442297721</v>
      </c>
      <c r="AD997" s="23">
        <f>Z997/J997</f>
        <v>0.17226964874899561</v>
      </c>
      <c r="AE997" s="57">
        <v>9.5229999999999997</v>
      </c>
      <c r="AF997" s="57">
        <v>9.641</v>
      </c>
      <c r="AG997" s="57">
        <v>9.5289999999999999</v>
      </c>
      <c r="AH997" s="58">
        <f>AG997-AE997</f>
        <v>6.0000000000002274E-3</v>
      </c>
      <c r="AI997" s="59">
        <f>((AF997-AG997)/(AF997-AE997))*100</f>
        <v>94.915254237287954</v>
      </c>
      <c r="AJ997" s="26">
        <f t="shared" si="358"/>
        <v>4.7457627118643977</v>
      </c>
      <c r="AK997" s="26">
        <f t="shared" si="359"/>
        <v>54.864308807680899</v>
      </c>
      <c r="AL997" s="26">
        <f t="shared" si="360"/>
        <v>4.746616028005902</v>
      </c>
      <c r="AM997" s="17">
        <f t="shared" si="348"/>
        <v>0.5780346820809249</v>
      </c>
      <c r="AN997" s="60" t="s">
        <v>49</v>
      </c>
      <c r="AO997" s="50">
        <f>AO995/AO996</f>
        <v>0.296875</v>
      </c>
      <c r="AP997" s="52" t="s">
        <v>35</v>
      </c>
      <c r="AQ997" s="17"/>
      <c r="AR997" s="17"/>
      <c r="AS997" s="27"/>
      <c r="AT997" s="17"/>
      <c r="AU997" s="17"/>
      <c r="AV997" s="17"/>
      <c r="AW997" s="17"/>
      <c r="AX997" s="17"/>
      <c r="BB997" s="17"/>
    </row>
    <row r="998" spans="1:54" x14ac:dyDescent="0.2">
      <c r="A998" s="18" t="s">
        <v>90</v>
      </c>
      <c r="B998" s="18" t="s">
        <v>91</v>
      </c>
      <c r="C998" s="18" t="s">
        <v>97</v>
      </c>
      <c r="D998" s="18" t="str">
        <f t="shared" si="349"/>
        <v>CAT1.1D_104</v>
      </c>
      <c r="E998" s="55" t="s">
        <v>82</v>
      </c>
      <c r="F998" s="18">
        <v>104</v>
      </c>
      <c r="G998" s="46">
        <v>2</v>
      </c>
      <c r="H998" s="46">
        <v>2.2000000000000002</v>
      </c>
      <c r="I998" s="46">
        <v>1.1000000000000001</v>
      </c>
      <c r="J998" s="23">
        <f t="shared" si="350"/>
        <v>3.8080350000000007</v>
      </c>
      <c r="K998" s="61">
        <v>0.296875</v>
      </c>
      <c r="L998" s="45">
        <f t="shared" si="363"/>
        <v>8.8812499999999996</v>
      </c>
      <c r="M998" s="45">
        <f t="shared" si="346"/>
        <v>9.9812499999999993</v>
      </c>
      <c r="N998" s="46">
        <f t="shared" si="365"/>
        <v>9.4312499999999986</v>
      </c>
      <c r="O998" s="46">
        <f t="shared" si="364"/>
        <v>128.88124999999999</v>
      </c>
      <c r="P998" s="46">
        <f t="shared" si="347"/>
        <v>129.98124999999999</v>
      </c>
      <c r="Q998" s="46">
        <f t="shared" si="362"/>
        <v>129.43124999999998</v>
      </c>
      <c r="R998" s="46">
        <v>128.88124999999999</v>
      </c>
      <c r="S998" s="46">
        <v>129.98124999999999</v>
      </c>
      <c r="T998" s="54">
        <v>129.4</v>
      </c>
      <c r="U998" s="46">
        <f t="shared" si="353"/>
        <v>129.4</v>
      </c>
      <c r="V998" s="18">
        <v>5.8806000000000003</v>
      </c>
      <c r="W998" s="18">
        <v>1.7878000000000001</v>
      </c>
      <c r="X998" s="23">
        <v>1.1476266666666699</v>
      </c>
      <c r="Y998" s="23">
        <f t="shared" si="354"/>
        <v>4.7329733333333301</v>
      </c>
      <c r="Z998" s="23">
        <f t="shared" si="355"/>
        <v>0.64017333333333015</v>
      </c>
      <c r="AA998" s="21">
        <f t="shared" si="356"/>
        <v>86.474182543461126</v>
      </c>
      <c r="AB998" s="21">
        <f t="shared" si="357"/>
        <v>13.525817456538874</v>
      </c>
      <c r="AC998" s="23">
        <f>Y998/J998</f>
        <v>1.2428912374317278</v>
      </c>
      <c r="AD998" s="23">
        <f>Z998/J998</f>
        <v>0.16811119995833285</v>
      </c>
      <c r="AE998" s="57">
        <v>10.673</v>
      </c>
      <c r="AF998" s="57">
        <v>10.794</v>
      </c>
      <c r="AG998" s="57">
        <v>10.679</v>
      </c>
      <c r="AH998" s="58">
        <f>AG998-AE998</f>
        <v>6.0000000000002274E-3</v>
      </c>
      <c r="AI998" s="59">
        <f>((AF998-AG998)/(AF998-AE998))*100</f>
        <v>95.04132231404941</v>
      </c>
      <c r="AJ998" s="26">
        <f t="shared" si="358"/>
        <v>4.7520661157024708</v>
      </c>
      <c r="AK998" s="26">
        <f t="shared" si="359"/>
        <v>54.937180528352265</v>
      </c>
      <c r="AL998" s="26">
        <f t="shared" si="360"/>
        <v>4.7529183001612356</v>
      </c>
      <c r="AM998" s="17">
        <f t="shared" si="348"/>
        <v>0.5780346820809249</v>
      </c>
      <c r="AN998" s="52"/>
      <c r="AO998" s="39"/>
      <c r="AP998" s="18"/>
      <c r="AQ998" s="17"/>
      <c r="AR998" s="17"/>
      <c r="AS998" s="27"/>
      <c r="AT998" s="17"/>
      <c r="AU998" s="17"/>
      <c r="AV998" s="17"/>
      <c r="AW998" s="17"/>
      <c r="AX998" s="17"/>
      <c r="BB998" s="17"/>
    </row>
    <row r="999" spans="1:54" x14ac:dyDescent="0.2">
      <c r="A999" s="18" t="s">
        <v>90</v>
      </c>
      <c r="B999" s="18" t="s">
        <v>91</v>
      </c>
      <c r="C999" s="18" t="s">
        <v>97</v>
      </c>
      <c r="D999" s="18" t="str">
        <f t="shared" si="349"/>
        <v>CAT1.1D_105</v>
      </c>
      <c r="E999" s="55" t="s">
        <v>82</v>
      </c>
      <c r="F999" s="18">
        <v>105</v>
      </c>
      <c r="G999" s="46">
        <v>1.8</v>
      </c>
      <c r="H999" s="46">
        <v>2.4</v>
      </c>
      <c r="I999" s="46">
        <v>1.1000000000000001</v>
      </c>
      <c r="J999" s="23">
        <f t="shared" si="350"/>
        <v>3.8080350000000007</v>
      </c>
      <c r="K999" s="61">
        <v>0.296875</v>
      </c>
      <c r="L999" s="45">
        <f t="shared" si="363"/>
        <v>10.278124999999999</v>
      </c>
      <c r="M999" s="45">
        <f t="shared" si="346"/>
        <v>11.378124999999999</v>
      </c>
      <c r="N999" s="46">
        <f t="shared" si="365"/>
        <v>10.828125</v>
      </c>
      <c r="O999" s="46">
        <f t="shared" si="364"/>
        <v>130.27812499999999</v>
      </c>
      <c r="P999" s="46">
        <f t="shared" si="347"/>
        <v>131.37812499999998</v>
      </c>
      <c r="Q999" s="46">
        <f t="shared" si="362"/>
        <v>130.828125</v>
      </c>
      <c r="R999" s="46">
        <v>130.27812499999999</v>
      </c>
      <c r="S999" s="46">
        <v>131.37812499999998</v>
      </c>
      <c r="T999" s="54">
        <v>130.80000000000001</v>
      </c>
      <c r="U999" s="46">
        <f t="shared" si="353"/>
        <v>130.80000000000001</v>
      </c>
      <c r="V999" s="18">
        <v>6.6798000000000002</v>
      </c>
      <c r="W999" s="18">
        <v>1.8675999999999999</v>
      </c>
      <c r="X999" s="23">
        <v>1.1476266666666699</v>
      </c>
      <c r="Y999" s="23">
        <f t="shared" si="354"/>
        <v>5.5321733333333301</v>
      </c>
      <c r="Z999" s="23">
        <f t="shared" si="355"/>
        <v>0.71997333333333002</v>
      </c>
      <c r="AA999" s="21">
        <f t="shared" si="356"/>
        <v>86.985705437043478</v>
      </c>
      <c r="AB999" s="21">
        <f t="shared" si="357"/>
        <v>13.014294562956522</v>
      </c>
      <c r="AC999" s="23">
        <f>Y999/J999</f>
        <v>1.4527632580407819</v>
      </c>
      <c r="AD999" s="23">
        <f>Z999/J999</f>
        <v>0.18906688970383148</v>
      </c>
      <c r="AE999" s="57">
        <v>10.195</v>
      </c>
      <c r="AF999" s="57">
        <v>10.32</v>
      </c>
      <c r="AG999" s="57">
        <v>10.202</v>
      </c>
      <c r="AH999" s="58">
        <f>AG999-AE999</f>
        <v>6.9999999999996732E-3</v>
      </c>
      <c r="AI999" s="59">
        <f>((AF999-AG999)/(AF999-AE999))*100</f>
        <v>94.400000000000261</v>
      </c>
      <c r="AJ999" s="26">
        <f t="shared" si="358"/>
        <v>4.7200000000000131</v>
      </c>
      <c r="AK999" s="26">
        <f t="shared" si="359"/>
        <v>54.566473988439462</v>
      </c>
      <c r="AL999" s="26">
        <f t="shared" si="360"/>
        <v>4.7208579728689273</v>
      </c>
      <c r="AM999" s="17">
        <f t="shared" si="348"/>
        <v>0.5780346820809249</v>
      </c>
      <c r="AN999" s="52"/>
      <c r="AO999" s="39"/>
      <c r="AP999" s="18"/>
      <c r="AQ999" s="17"/>
      <c r="AR999" s="17"/>
      <c r="AS999" s="27"/>
      <c r="AT999" s="17"/>
      <c r="AU999" s="17"/>
      <c r="AV999" s="17"/>
      <c r="AW999" s="17"/>
      <c r="AX999" s="17"/>
      <c r="BB999" s="17"/>
    </row>
    <row r="1000" spans="1:54" x14ac:dyDescent="0.2">
      <c r="A1000" s="18" t="s">
        <v>90</v>
      </c>
      <c r="B1000" s="18" t="s">
        <v>91</v>
      </c>
      <c r="C1000" s="18" t="s">
        <v>97</v>
      </c>
      <c r="D1000" s="18" t="str">
        <f t="shared" si="349"/>
        <v>CAT1.1D_106</v>
      </c>
      <c r="E1000" s="55" t="s">
        <v>82</v>
      </c>
      <c r="F1000" s="18">
        <v>106</v>
      </c>
      <c r="G1000" s="46">
        <v>1.9</v>
      </c>
      <c r="H1000" s="46">
        <v>2.4</v>
      </c>
      <c r="I1000" s="46">
        <v>1.1000000000000001</v>
      </c>
      <c r="J1000" s="23">
        <f t="shared" si="350"/>
        <v>3.9915287500000001</v>
      </c>
      <c r="K1000" s="61">
        <v>0.296875</v>
      </c>
      <c r="L1000" s="45">
        <f t="shared" si="363"/>
        <v>11.674999999999999</v>
      </c>
      <c r="M1000" s="45">
        <f t="shared" si="346"/>
        <v>12.774999999999999</v>
      </c>
      <c r="N1000" s="46">
        <f t="shared" si="365"/>
        <v>12.224999999999998</v>
      </c>
      <c r="O1000" s="46">
        <f t="shared" si="364"/>
        <v>131.67499999999998</v>
      </c>
      <c r="P1000" s="46">
        <f t="shared" si="347"/>
        <v>132.77499999999998</v>
      </c>
      <c r="Q1000" s="46">
        <f t="shared" si="362"/>
        <v>132.22499999999997</v>
      </c>
      <c r="R1000" s="46">
        <v>131.67499999999998</v>
      </c>
      <c r="S1000" s="46">
        <v>132.77499999999998</v>
      </c>
      <c r="T1000" s="54">
        <v>132.19999999999999</v>
      </c>
      <c r="U1000" s="46">
        <f t="shared" si="353"/>
        <v>132.19999999999999</v>
      </c>
      <c r="V1000" s="18">
        <v>6.5853999999999999</v>
      </c>
      <c r="W1000" s="18">
        <v>1.8301000000000001</v>
      </c>
      <c r="X1000" s="23">
        <v>1.1476266666666699</v>
      </c>
      <c r="Y1000" s="23">
        <f t="shared" si="354"/>
        <v>5.4377733333333298</v>
      </c>
      <c r="Z1000" s="23">
        <f t="shared" si="355"/>
        <v>0.68247333333333016</v>
      </c>
      <c r="AA1000" s="21">
        <f t="shared" si="356"/>
        <v>87.449397179728038</v>
      </c>
      <c r="AB1000" s="21">
        <f t="shared" si="357"/>
        <v>12.550602820271962</v>
      </c>
      <c r="AC1000" s="23">
        <f>Y1000/J1000</f>
        <v>1.3623284896377934</v>
      </c>
      <c r="AD1000" s="23">
        <f>Z1000/J1000</f>
        <v>0.17098043784184946</v>
      </c>
      <c r="AE1000" s="57">
        <v>9.2520000000000007</v>
      </c>
      <c r="AF1000" s="57">
        <v>9.39</v>
      </c>
      <c r="AG1000" s="57">
        <v>9.2609999999999992</v>
      </c>
      <c r="AH1000" s="58">
        <f>AG1000-AE1000</f>
        <v>8.9999999999985647E-3</v>
      </c>
      <c r="AI1000" s="59">
        <f>((AF1000-AG1000)/(AF1000-AE1000))*100</f>
        <v>93.478260869566256</v>
      </c>
      <c r="AJ1000" s="26">
        <f t="shared" si="358"/>
        <v>4.6739130434783132</v>
      </c>
      <c r="AK1000" s="26">
        <f t="shared" si="359"/>
        <v>54.033676803217496</v>
      </c>
      <c r="AL1000" s="26">
        <f t="shared" si="360"/>
        <v>4.6747794747984326</v>
      </c>
      <c r="AM1000" s="17">
        <f t="shared" si="348"/>
        <v>0.5780346820809249</v>
      </c>
      <c r="AN1000" s="52"/>
      <c r="AO1000" s="39"/>
      <c r="AP1000" s="18"/>
      <c r="AQ1000" s="17"/>
      <c r="AR1000" s="17"/>
      <c r="AS1000" s="27"/>
      <c r="AT1000" s="17"/>
      <c r="AU1000" s="17"/>
      <c r="AV1000" s="17"/>
      <c r="AW1000" s="17"/>
      <c r="AX1000" s="17"/>
      <c r="BB1000" s="17"/>
    </row>
    <row r="1001" spans="1:54" x14ac:dyDescent="0.2">
      <c r="A1001" s="18" t="s">
        <v>90</v>
      </c>
      <c r="B1001" s="18" t="s">
        <v>91</v>
      </c>
      <c r="C1001" s="18" t="s">
        <v>97</v>
      </c>
      <c r="D1001" s="18" t="str">
        <f t="shared" si="349"/>
        <v>CAT1.1D_107</v>
      </c>
      <c r="E1001" s="55" t="s">
        <v>82</v>
      </c>
      <c r="F1001" s="18">
        <v>107</v>
      </c>
      <c r="G1001" s="46">
        <v>1.85</v>
      </c>
      <c r="H1001" s="46">
        <v>2.2000000000000002</v>
      </c>
      <c r="I1001" s="46">
        <v>1.2</v>
      </c>
      <c r="J1001" s="23">
        <f t="shared" si="350"/>
        <v>3.8627887500000013</v>
      </c>
      <c r="K1001" s="61">
        <v>0.296875</v>
      </c>
      <c r="L1001" s="45">
        <f t="shared" si="363"/>
        <v>13.071874999999999</v>
      </c>
      <c r="M1001" s="45">
        <f t="shared" si="346"/>
        <v>14.271874999999998</v>
      </c>
      <c r="N1001" s="46">
        <f t="shared" si="365"/>
        <v>13.671874999999998</v>
      </c>
      <c r="O1001" s="46">
        <f t="shared" si="364"/>
        <v>133.07187499999998</v>
      </c>
      <c r="P1001" s="46">
        <f t="shared" si="347"/>
        <v>134.27187499999997</v>
      </c>
      <c r="Q1001" s="46">
        <f t="shared" si="362"/>
        <v>133.67187499999997</v>
      </c>
      <c r="R1001" s="46">
        <v>133.07187499999998</v>
      </c>
      <c r="S1001" s="46">
        <v>134.27187499999997</v>
      </c>
      <c r="T1001" s="54">
        <v>133.69999999999999</v>
      </c>
      <c r="U1001" s="46">
        <f t="shared" si="353"/>
        <v>133.69999999999999</v>
      </c>
      <c r="V1001" s="18">
        <v>6.0065999999999997</v>
      </c>
      <c r="W1001" s="18">
        <v>1.7152000000000001</v>
      </c>
      <c r="X1001" s="23">
        <v>1.1476266666666699</v>
      </c>
      <c r="Y1001" s="23">
        <f t="shared" si="354"/>
        <v>4.8589733333333296</v>
      </c>
      <c r="Z1001" s="23">
        <f t="shared" si="355"/>
        <v>0.56757333333333015</v>
      </c>
      <c r="AA1001" s="21">
        <f t="shared" si="356"/>
        <v>88.319068774473678</v>
      </c>
      <c r="AB1001" s="21">
        <f t="shared" si="357"/>
        <v>11.680931225526322</v>
      </c>
      <c r="AC1001" s="23">
        <f>Y1001/J1001</f>
        <v>1.2578925868864375</v>
      </c>
      <c r="AD1001" s="23">
        <f>Z1001/J1001</f>
        <v>0.14693356796519871</v>
      </c>
      <c r="AE1001" s="57">
        <v>9.3729999999999993</v>
      </c>
      <c r="AF1001" s="57">
        <v>9.4990000000000006</v>
      </c>
      <c r="AG1001" s="57">
        <v>9.3819999999999997</v>
      </c>
      <c r="AH1001" s="58">
        <f>AG1001-AE1001</f>
        <v>9.0000000000003411E-3</v>
      </c>
      <c r="AI1001" s="59">
        <f>((AF1001-AG1001)/(AF1001-AE1001))*100</f>
        <v>92.857142857142662</v>
      </c>
      <c r="AJ1001" s="26">
        <f t="shared" si="358"/>
        <v>4.6428571428571335</v>
      </c>
      <c r="AK1001" s="26">
        <f t="shared" si="359"/>
        <v>53.674649050371485</v>
      </c>
      <c r="AL1001" s="26">
        <f t="shared" si="360"/>
        <v>4.6437293686195265</v>
      </c>
      <c r="AM1001" s="17">
        <f t="shared" si="348"/>
        <v>0.5780346820809249</v>
      </c>
      <c r="AN1001" s="52"/>
      <c r="AO1001" s="39"/>
      <c r="AP1001" s="18"/>
      <c r="AQ1001" s="17"/>
      <c r="AR1001" s="17"/>
      <c r="AS1001" s="27"/>
      <c r="AT1001" s="17"/>
      <c r="AU1001" s="17"/>
      <c r="AV1001" s="17"/>
      <c r="AW1001" s="17"/>
      <c r="AX1001" s="17"/>
      <c r="BB1001" s="17"/>
    </row>
    <row r="1002" spans="1:54" x14ac:dyDescent="0.2">
      <c r="A1002" s="18" t="s">
        <v>90</v>
      </c>
      <c r="B1002" s="18" t="s">
        <v>91</v>
      </c>
      <c r="C1002" s="18" t="s">
        <v>97</v>
      </c>
      <c r="D1002" s="18" t="str">
        <f t="shared" si="349"/>
        <v>CAT1.1D_108</v>
      </c>
      <c r="E1002" s="55" t="s">
        <v>82</v>
      </c>
      <c r="F1002" s="18">
        <v>108</v>
      </c>
      <c r="G1002" s="46">
        <v>2.2999999999999998</v>
      </c>
      <c r="H1002" s="46">
        <v>2.1</v>
      </c>
      <c r="I1002" s="46">
        <v>1.2</v>
      </c>
      <c r="J1002" s="23">
        <f t="shared" si="350"/>
        <v>4.5592800000000011</v>
      </c>
      <c r="K1002" s="61">
        <v>0.296875</v>
      </c>
      <c r="L1002" s="45">
        <f t="shared" si="363"/>
        <v>14.568749999999998</v>
      </c>
      <c r="M1002" s="45">
        <f t="shared" si="346"/>
        <v>15.768749999999997</v>
      </c>
      <c r="N1002" s="46">
        <f t="shared" si="365"/>
        <v>15.168749999999998</v>
      </c>
      <c r="O1002" s="46">
        <f t="shared" si="364"/>
        <v>134.56874999999997</v>
      </c>
      <c r="P1002" s="46">
        <f t="shared" si="347"/>
        <v>135.76874999999995</v>
      </c>
      <c r="Q1002" s="46">
        <f t="shared" si="362"/>
        <v>135.16874999999996</v>
      </c>
      <c r="R1002" s="46">
        <v>134.56874999999997</v>
      </c>
      <c r="S1002" s="46">
        <v>135.76874999999995</v>
      </c>
      <c r="T1002" s="54">
        <v>135.19999999999999</v>
      </c>
      <c r="U1002" s="46">
        <f t="shared" si="353"/>
        <v>135.19999999999999</v>
      </c>
      <c r="V1002" s="18">
        <v>6.5098000000000003</v>
      </c>
      <c r="W1002" s="18">
        <v>1.7701</v>
      </c>
      <c r="X1002" s="23">
        <v>1.1476266666666699</v>
      </c>
      <c r="Y1002" s="23">
        <f t="shared" si="354"/>
        <v>5.3621733333333301</v>
      </c>
      <c r="Z1002" s="23">
        <f t="shared" si="355"/>
        <v>0.6224733333333301</v>
      </c>
      <c r="AA1002" s="21">
        <f t="shared" si="356"/>
        <v>88.391398512543475</v>
      </c>
      <c r="AB1002" s="21">
        <f t="shared" si="357"/>
        <v>11.608601487456525</v>
      </c>
      <c r="AC1002" s="23">
        <f>Y1002/J1002</f>
        <v>1.1761009048212281</v>
      </c>
      <c r="AD1002" s="23">
        <f>Z1002/J1002</f>
        <v>0.13652886713106674</v>
      </c>
      <c r="AE1002" s="57">
        <v>10.276</v>
      </c>
      <c r="AF1002" s="57">
        <v>10.404</v>
      </c>
      <c r="AG1002" s="57">
        <v>10.285</v>
      </c>
      <c r="AH1002" s="58">
        <f>AG1002-AE1002</f>
        <v>9.0000000000003411E-3</v>
      </c>
      <c r="AI1002" s="59">
        <f>((AF1002-AG1002)/(AF1002-AE1002))*100</f>
        <v>92.968749999999744</v>
      </c>
      <c r="AJ1002" s="26">
        <f t="shared" si="358"/>
        <v>4.6484374999999876</v>
      </c>
      <c r="AK1002" s="26">
        <f t="shared" si="359"/>
        <v>53.73916184971084</v>
      </c>
      <c r="AL1002" s="26">
        <f t="shared" si="360"/>
        <v>4.6493086788689491</v>
      </c>
      <c r="AM1002" s="17">
        <f t="shared" si="348"/>
        <v>0.5780346820809249</v>
      </c>
      <c r="AN1002" s="52"/>
      <c r="AO1002" s="39"/>
      <c r="AP1002" s="18"/>
      <c r="AQ1002" s="17"/>
      <c r="AR1002" s="17"/>
      <c r="AS1002" s="27"/>
      <c r="AT1002" s="17"/>
      <c r="AU1002" s="17"/>
      <c r="AV1002" s="17"/>
      <c r="AW1002" s="17"/>
      <c r="AX1002" s="17"/>
      <c r="BB1002" s="17"/>
    </row>
    <row r="1003" spans="1:54" x14ac:dyDescent="0.2">
      <c r="A1003" s="18" t="s">
        <v>90</v>
      </c>
      <c r="B1003" s="18" t="s">
        <v>91</v>
      </c>
      <c r="C1003" s="18" t="s">
        <v>97</v>
      </c>
      <c r="D1003" s="18" t="str">
        <f t="shared" si="349"/>
        <v>CAT1.1D_109</v>
      </c>
      <c r="E1003" s="55" t="s">
        <v>82</v>
      </c>
      <c r="F1003" s="18">
        <v>109</v>
      </c>
      <c r="G1003" s="46">
        <v>2.2999999999999998</v>
      </c>
      <c r="H1003" s="46">
        <v>2</v>
      </c>
      <c r="I1003" s="46">
        <v>1.2</v>
      </c>
      <c r="J1003" s="23">
        <f t="shared" si="350"/>
        <v>4.3543950000000002</v>
      </c>
      <c r="K1003" s="61">
        <v>0.296875</v>
      </c>
      <c r="L1003" s="45">
        <f t="shared" si="363"/>
        <v>16.065624999999997</v>
      </c>
      <c r="M1003" s="45">
        <f t="shared" si="346"/>
        <v>17.265624999999996</v>
      </c>
      <c r="N1003" s="46">
        <f t="shared" si="365"/>
        <v>16.665624999999999</v>
      </c>
      <c r="O1003" s="46">
        <f t="shared" si="364"/>
        <v>136.06562499999995</v>
      </c>
      <c r="P1003" s="46">
        <f t="shared" si="347"/>
        <v>137.26562499999994</v>
      </c>
      <c r="Q1003" s="46">
        <f t="shared" si="362"/>
        <v>136.66562499999995</v>
      </c>
      <c r="R1003" s="46">
        <v>136.06562499999995</v>
      </c>
      <c r="S1003" s="46">
        <v>137.26562499999994</v>
      </c>
      <c r="T1003" s="54">
        <v>136.69999999999999</v>
      </c>
      <c r="U1003" s="46">
        <f t="shared" si="353"/>
        <v>136.69999999999999</v>
      </c>
      <c r="V1003" s="18">
        <v>6.6116999999999999</v>
      </c>
      <c r="W1003" s="18">
        <v>1.8092999999999999</v>
      </c>
      <c r="X1003" s="23">
        <v>1.1476266666666699</v>
      </c>
      <c r="Y1003" s="23">
        <f t="shared" si="354"/>
        <v>5.4640733333333298</v>
      </c>
      <c r="Z1003" s="23">
        <f t="shared" si="355"/>
        <v>0.66167333333333</v>
      </c>
      <c r="AA1003" s="21">
        <f t="shared" si="356"/>
        <v>87.890474871615979</v>
      </c>
      <c r="AB1003" s="21">
        <f t="shared" si="357"/>
        <v>12.109525128384021</v>
      </c>
      <c r="AC1003" s="23">
        <f>Y1003/J1003</f>
        <v>1.2548409901566875</v>
      </c>
      <c r="AD1003" s="23">
        <f>Z1003/J1003</f>
        <v>0.15195528502428696</v>
      </c>
      <c r="AE1003" s="57">
        <v>9.5679999999999996</v>
      </c>
      <c r="AF1003" s="57">
        <v>9.7080000000000002</v>
      </c>
      <c r="AG1003" s="57">
        <v>9.5760000000000005</v>
      </c>
      <c r="AH1003" s="58">
        <f>AG1003-AE1003</f>
        <v>8.0000000000008953E-3</v>
      </c>
      <c r="AI1003" s="59">
        <f>((AF1003-AG1003)/(AF1003-AE1003))*100</f>
        <v>94.285714285713667</v>
      </c>
      <c r="AJ1003" s="26">
        <f t="shared" si="358"/>
        <v>4.7142857142856833</v>
      </c>
      <c r="AK1003" s="26">
        <f t="shared" si="359"/>
        <v>54.500412881915416</v>
      </c>
      <c r="AL1003" s="26">
        <f t="shared" si="360"/>
        <v>4.7151447269323636</v>
      </c>
      <c r="AM1003" s="17">
        <f t="shared" si="348"/>
        <v>0.5780346820809249</v>
      </c>
      <c r="AN1003" s="52"/>
      <c r="AO1003" s="39"/>
      <c r="AP1003" s="18"/>
      <c r="AQ1003" s="17"/>
      <c r="AR1003" s="17"/>
      <c r="AS1003" s="27"/>
      <c r="AT1003" s="17"/>
      <c r="AU1003" s="17"/>
      <c r="AV1003" s="17"/>
      <c r="AW1003" s="17"/>
      <c r="AX1003" s="17"/>
      <c r="BB1003" s="17"/>
    </row>
    <row r="1004" spans="1:54" x14ac:dyDescent="0.2">
      <c r="A1004" s="18" t="s">
        <v>90</v>
      </c>
      <c r="B1004" s="18" t="s">
        <v>91</v>
      </c>
      <c r="C1004" s="18" t="s">
        <v>97</v>
      </c>
      <c r="D1004" s="18" t="str">
        <f t="shared" si="349"/>
        <v>CAT1.1D_110</v>
      </c>
      <c r="E1004" s="55" t="s">
        <v>82</v>
      </c>
      <c r="F1004" s="18">
        <v>110</v>
      </c>
      <c r="G1004" s="46">
        <v>1.8</v>
      </c>
      <c r="H1004" s="46">
        <v>2.1</v>
      </c>
      <c r="I1004" s="46">
        <v>1.2</v>
      </c>
      <c r="J1004" s="23">
        <f t="shared" si="350"/>
        <v>3.5819550000000007</v>
      </c>
      <c r="K1004" s="61">
        <v>0.296875</v>
      </c>
      <c r="L1004" s="45">
        <f t="shared" si="363"/>
        <v>17.562499999999996</v>
      </c>
      <c r="M1004" s="45">
        <f t="shared" si="346"/>
        <v>18.762499999999996</v>
      </c>
      <c r="N1004" s="46">
        <f t="shared" si="365"/>
        <v>18.162499999999994</v>
      </c>
      <c r="O1004" s="46">
        <f t="shared" si="364"/>
        <v>137.56249999999994</v>
      </c>
      <c r="P1004" s="46">
        <f t="shared" si="347"/>
        <v>138.76249999999993</v>
      </c>
      <c r="Q1004" s="46">
        <f t="shared" si="362"/>
        <v>138.16249999999994</v>
      </c>
      <c r="R1004" s="46">
        <v>137.56249999999994</v>
      </c>
      <c r="S1004" s="46">
        <v>138.76249999999993</v>
      </c>
      <c r="T1004" s="54">
        <v>138.19999999999999</v>
      </c>
      <c r="U1004" s="46">
        <f t="shared" si="353"/>
        <v>138.19999999999999</v>
      </c>
      <c r="V1004" s="18">
        <v>6.3746</v>
      </c>
      <c r="W1004" s="18">
        <v>1.7786</v>
      </c>
      <c r="X1004" s="23">
        <v>1.1476266666666699</v>
      </c>
      <c r="Y1004" s="23">
        <f t="shared" si="354"/>
        <v>5.2269733333333299</v>
      </c>
      <c r="Z1004" s="23">
        <f t="shared" si="355"/>
        <v>0.63097333333333006</v>
      </c>
      <c r="AA1004" s="21">
        <f t="shared" si="356"/>
        <v>87.92851439838995</v>
      </c>
      <c r="AB1004" s="21">
        <f t="shared" si="357"/>
        <v>12.07148560161005</v>
      </c>
      <c r="AC1004" s="23">
        <f>Y1004/J1004</f>
        <v>1.459251535358018</v>
      </c>
      <c r="AD1004" s="23">
        <f>Z1004/J1004</f>
        <v>0.17615333898201679</v>
      </c>
      <c r="AE1004" s="57">
        <v>12.015000000000001</v>
      </c>
      <c r="AF1004" s="57">
        <v>12.162000000000001</v>
      </c>
      <c r="AG1004" s="57">
        <v>12.023999999999999</v>
      </c>
      <c r="AH1004" s="58">
        <f>AG1004-AE1004</f>
        <v>8.9999999999985647E-3</v>
      </c>
      <c r="AI1004" s="59">
        <f>((AF1004-AG1004)/(AF1004-AE1004))*100</f>
        <v>93.877551020409143</v>
      </c>
      <c r="AJ1004" s="26">
        <f t="shared" si="358"/>
        <v>4.6938775510204573</v>
      </c>
      <c r="AK1004" s="26">
        <f t="shared" si="359"/>
        <v>54.264480358618009</v>
      </c>
      <c r="AL1004" s="26">
        <f t="shared" si="360"/>
        <v>4.6947402978198705</v>
      </c>
      <c r="AM1004" s="17">
        <f t="shared" si="348"/>
        <v>0.5780346820809249</v>
      </c>
      <c r="AN1004" s="52"/>
      <c r="AO1004" s="39"/>
      <c r="AP1004" s="18"/>
      <c r="AQ1004" s="17"/>
      <c r="AR1004" s="17"/>
      <c r="AS1004" s="27"/>
      <c r="AT1004" s="17"/>
      <c r="AU1004" s="17"/>
      <c r="AV1004" s="17"/>
      <c r="AW1004" s="17"/>
      <c r="AX1004" s="17"/>
      <c r="BB1004" s="17"/>
    </row>
    <row r="1005" spans="1:54" x14ac:dyDescent="0.2">
      <c r="A1005" s="18" t="s">
        <v>90</v>
      </c>
      <c r="B1005" s="18" t="s">
        <v>91</v>
      </c>
      <c r="C1005" s="18" t="s">
        <v>97</v>
      </c>
      <c r="D1005" s="18" t="str">
        <f t="shared" si="349"/>
        <v>CAT1.1D_111</v>
      </c>
      <c r="E1005" s="55" t="s">
        <v>82</v>
      </c>
      <c r="F1005" s="18">
        <v>111</v>
      </c>
      <c r="G1005" s="46">
        <v>1.85</v>
      </c>
      <c r="H1005" s="46">
        <v>2.2000000000000002</v>
      </c>
      <c r="I1005" s="46">
        <v>1.2</v>
      </c>
      <c r="J1005" s="23">
        <f t="shared" si="350"/>
        <v>3.8627887500000013</v>
      </c>
      <c r="K1005" s="61">
        <v>0.296875</v>
      </c>
      <c r="L1005" s="45">
        <f t="shared" si="363"/>
        <v>19.059374999999996</v>
      </c>
      <c r="M1005" s="45">
        <f t="shared" si="346"/>
        <v>20.259374999999995</v>
      </c>
      <c r="N1005" s="46">
        <f t="shared" si="365"/>
        <v>19.659374999999997</v>
      </c>
      <c r="O1005" s="46">
        <f t="shared" si="364"/>
        <v>139.05937499999993</v>
      </c>
      <c r="P1005" s="46">
        <f t="shared" si="347"/>
        <v>140.25937499999992</v>
      </c>
      <c r="Q1005" s="46">
        <f t="shared" si="362"/>
        <v>139.65937499999993</v>
      </c>
      <c r="R1005" s="46">
        <v>139.05937499999993</v>
      </c>
      <c r="S1005" s="46">
        <v>140.25937499999992</v>
      </c>
      <c r="T1005" s="54">
        <v>139.69999999999999</v>
      </c>
      <c r="U1005" s="46">
        <f t="shared" si="353"/>
        <v>139.69999999999999</v>
      </c>
      <c r="V1005" s="18">
        <v>6.5819000000000001</v>
      </c>
      <c r="W1005" s="18">
        <v>1.7718</v>
      </c>
      <c r="X1005" s="23">
        <v>1.1476266666666699</v>
      </c>
      <c r="Y1005" s="23">
        <f t="shared" si="354"/>
        <v>5.43427333333333</v>
      </c>
      <c r="Z1005" s="23">
        <f t="shared" si="355"/>
        <v>0.62417333333333014</v>
      </c>
      <c r="AA1005" s="21">
        <f t="shared" si="356"/>
        <v>88.514134364484249</v>
      </c>
      <c r="AB1005" s="21">
        <f t="shared" si="357"/>
        <v>11.485865635515751</v>
      </c>
      <c r="AC1005" s="23">
        <f>Y1005/J1005</f>
        <v>1.4068264368154557</v>
      </c>
      <c r="AD1005" s="23">
        <f>Z1005/J1005</f>
        <v>0.16158619425753737</v>
      </c>
      <c r="AE1005" s="57">
        <v>12.154</v>
      </c>
      <c r="AF1005" s="57">
        <v>12.263999999999999</v>
      </c>
      <c r="AG1005" s="57">
        <v>12.159000000000001</v>
      </c>
      <c r="AH1005" s="58">
        <f>AG1005-AE1005</f>
        <v>5.0000000000007816E-3</v>
      </c>
      <c r="AI1005" s="59">
        <f>((AF1005-AG1005)/(AF1005-AE1005))*100</f>
        <v>95.454545454544728</v>
      </c>
      <c r="AJ1005" s="26">
        <f t="shared" si="358"/>
        <v>4.772727272727237</v>
      </c>
      <c r="AK1005" s="26">
        <f t="shared" si="359"/>
        <v>55.176037834996954</v>
      </c>
      <c r="AL1005" s="26">
        <f t="shared" si="360"/>
        <v>4.7735757687329494</v>
      </c>
      <c r="AM1005" s="17">
        <f t="shared" si="348"/>
        <v>0.5780346820809249</v>
      </c>
      <c r="AN1005" s="52"/>
      <c r="AO1005" s="39"/>
      <c r="AP1005" s="18"/>
      <c r="AQ1005" s="17"/>
      <c r="AR1005" s="17"/>
      <c r="AS1005" s="27"/>
      <c r="AT1005" s="17"/>
      <c r="AU1005" s="17"/>
      <c r="AV1005" s="17"/>
      <c r="AW1005" s="17"/>
      <c r="AX1005" s="17"/>
      <c r="BB1005" s="17"/>
    </row>
    <row r="1006" spans="1:54" x14ac:dyDescent="0.2">
      <c r="A1006" s="18" t="s">
        <v>90</v>
      </c>
      <c r="B1006" s="18" t="s">
        <v>91</v>
      </c>
      <c r="C1006" s="18" t="s">
        <v>97</v>
      </c>
      <c r="D1006" s="18" t="str">
        <f t="shared" si="349"/>
        <v>CAT1.1D_112</v>
      </c>
      <c r="E1006" s="55" t="s">
        <v>82</v>
      </c>
      <c r="F1006" s="18">
        <v>112</v>
      </c>
      <c r="G1006" s="46">
        <v>1.9</v>
      </c>
      <c r="H1006" s="46">
        <v>2.1</v>
      </c>
      <c r="I1006" s="46">
        <v>1.1000000000000001</v>
      </c>
      <c r="J1006" s="23">
        <f t="shared" si="350"/>
        <v>3.4540000000000006</v>
      </c>
      <c r="K1006" s="61">
        <v>0.296875</v>
      </c>
      <c r="L1006" s="45">
        <f t="shared" si="363"/>
        <v>20.556249999999995</v>
      </c>
      <c r="M1006" s="45">
        <f t="shared" si="346"/>
        <v>21.656249999999996</v>
      </c>
      <c r="N1006" s="46">
        <f t="shared" si="365"/>
        <v>21.106249999999996</v>
      </c>
      <c r="O1006" s="46">
        <f t="shared" si="364"/>
        <v>140.55624999999992</v>
      </c>
      <c r="P1006" s="46">
        <f t="shared" si="347"/>
        <v>141.65624999999991</v>
      </c>
      <c r="Q1006" s="46">
        <f t="shared" si="362"/>
        <v>141.10624999999993</v>
      </c>
      <c r="R1006" s="46">
        <v>140.55624999999992</v>
      </c>
      <c r="S1006" s="46">
        <v>141.65624999999991</v>
      </c>
      <c r="T1006" s="54">
        <v>141.1</v>
      </c>
      <c r="U1006" s="46">
        <f t="shared" si="353"/>
        <v>141.1</v>
      </c>
      <c r="V1006" s="18">
        <v>6.1147999999999998</v>
      </c>
      <c r="W1006" s="18">
        <v>1.7165999999999999</v>
      </c>
      <c r="X1006" s="23">
        <v>1.1476266666666699</v>
      </c>
      <c r="Y1006" s="23">
        <f t="shared" si="354"/>
        <v>4.9671733333333297</v>
      </c>
      <c r="Z1006" s="23">
        <f t="shared" si="355"/>
        <v>0.56897333333333</v>
      </c>
      <c r="AA1006" s="21">
        <f t="shared" si="356"/>
        <v>88.545329603959914</v>
      </c>
      <c r="AB1006" s="21">
        <f t="shared" si="357"/>
        <v>11.454670396040086</v>
      </c>
      <c r="AC1006" s="23">
        <f>Y1006/J1006</f>
        <v>1.4380930322331582</v>
      </c>
      <c r="AD1006" s="23">
        <f>Z1006/J1006</f>
        <v>0.16472881683072665</v>
      </c>
      <c r="AE1006" s="57">
        <v>13.23</v>
      </c>
      <c r="AF1006" s="57">
        <v>13.352</v>
      </c>
      <c r="AG1006" s="57">
        <v>13.236000000000001</v>
      </c>
      <c r="AH1006" s="58">
        <f>AG1006-AE1006</f>
        <v>6.0000000000002274E-3</v>
      </c>
      <c r="AI1006" s="59">
        <f>((AF1006-AG1006)/(AF1006-AE1006))*100</f>
        <v>95.081967213114567</v>
      </c>
      <c r="AJ1006" s="26">
        <f t="shared" si="358"/>
        <v>4.7540983606557283</v>
      </c>
      <c r="AK1006" s="26">
        <f t="shared" si="359"/>
        <v>54.960674689661602</v>
      </c>
      <c r="AL1006" s="26">
        <f t="shared" si="360"/>
        <v>4.7549501808945882</v>
      </c>
      <c r="AM1006" s="17">
        <f t="shared" si="348"/>
        <v>0.5780346820809249</v>
      </c>
      <c r="AN1006" s="52"/>
      <c r="AO1006" s="39"/>
      <c r="AP1006" s="18"/>
      <c r="AQ1006" s="17"/>
      <c r="AR1006" s="17"/>
      <c r="AS1006" s="27"/>
      <c r="AT1006" s="17"/>
      <c r="AU1006" s="17"/>
      <c r="AV1006" s="17"/>
      <c r="AW1006" s="17"/>
      <c r="AX1006" s="17"/>
      <c r="BB1006" s="17"/>
    </row>
    <row r="1007" spans="1:54" x14ac:dyDescent="0.2">
      <c r="A1007" s="18" t="s">
        <v>90</v>
      </c>
      <c r="B1007" s="18" t="s">
        <v>91</v>
      </c>
      <c r="C1007" s="18" t="s">
        <v>97</v>
      </c>
      <c r="D1007" s="18" t="str">
        <f t="shared" si="349"/>
        <v>CAT1.1D_113</v>
      </c>
      <c r="E1007" s="55" t="s">
        <v>82</v>
      </c>
      <c r="F1007" s="18">
        <v>113</v>
      </c>
      <c r="G1007" s="46">
        <v>2.2000000000000002</v>
      </c>
      <c r="H1007" s="46">
        <v>1.9</v>
      </c>
      <c r="I1007" s="46">
        <v>1.1000000000000001</v>
      </c>
      <c r="J1007" s="23">
        <f t="shared" si="350"/>
        <v>3.6288587499999996</v>
      </c>
      <c r="K1007" s="61">
        <v>0.296875</v>
      </c>
      <c r="L1007" s="45">
        <f t="shared" si="363"/>
        <v>21.953124999999996</v>
      </c>
      <c r="M1007" s="45">
        <f t="shared" si="346"/>
        <v>23.053124999999998</v>
      </c>
      <c r="N1007" s="46">
        <f t="shared" si="365"/>
        <v>22.503124999999997</v>
      </c>
      <c r="O1007" s="46">
        <f t="shared" si="364"/>
        <v>141.95312499999991</v>
      </c>
      <c r="P1007" s="46">
        <f t="shared" si="347"/>
        <v>143.05312499999991</v>
      </c>
      <c r="Q1007" s="46">
        <f t="shared" si="362"/>
        <v>142.5031249999999</v>
      </c>
      <c r="R1007" s="46">
        <v>141.95312499999991</v>
      </c>
      <c r="S1007" s="46">
        <v>143.05312499999991</v>
      </c>
      <c r="T1007" s="54">
        <v>142.5</v>
      </c>
      <c r="U1007" s="46">
        <f t="shared" si="353"/>
        <v>142.5</v>
      </c>
      <c r="V1007" s="18">
        <v>6.6645000000000003</v>
      </c>
      <c r="W1007" s="18">
        <v>1.7455000000000001</v>
      </c>
      <c r="X1007" s="23">
        <v>1.1476266666666699</v>
      </c>
      <c r="Y1007" s="23">
        <f t="shared" si="354"/>
        <v>5.5168733333333302</v>
      </c>
      <c r="Z1007" s="23">
        <f t="shared" si="355"/>
        <v>0.59787333333333015</v>
      </c>
      <c r="AA1007" s="21">
        <f t="shared" si="356"/>
        <v>89.162822903311238</v>
      </c>
      <c r="AB1007" s="21">
        <f t="shared" si="357"/>
        <v>10.837177096688762</v>
      </c>
      <c r="AC1007" s="23">
        <f>Y1007/J1007</f>
        <v>1.5202777824662728</v>
      </c>
      <c r="AD1007" s="23">
        <f>Z1007/J1007</f>
        <v>0.16475519564748289</v>
      </c>
      <c r="AE1007" s="57">
        <v>10.61</v>
      </c>
      <c r="AF1007" s="57">
        <v>10.792999999999999</v>
      </c>
      <c r="AG1007" s="57">
        <v>10.621</v>
      </c>
      <c r="AH1007" s="58">
        <f>AG1007-AE1007</f>
        <v>1.1000000000001009E-2</v>
      </c>
      <c r="AI1007" s="59">
        <f>((AF1007-AG1007)/(AF1007-AE1007))*100</f>
        <v>93.989071038250799</v>
      </c>
      <c r="AJ1007" s="26">
        <f t="shared" si="358"/>
        <v>4.6994535519125398</v>
      </c>
      <c r="AK1007" s="26">
        <f t="shared" si="359"/>
        <v>54.328942796676763</v>
      </c>
      <c r="AL1007" s="26">
        <f t="shared" si="360"/>
        <v>4.7003152752324375</v>
      </c>
      <c r="AM1007" s="17">
        <f t="shared" si="348"/>
        <v>0.5780346820809249</v>
      </c>
      <c r="AN1007" s="52"/>
      <c r="AO1007" s="39"/>
      <c r="AP1007" s="18"/>
      <c r="AQ1007" s="17"/>
      <c r="AR1007" s="17"/>
      <c r="AS1007" s="27"/>
      <c r="AT1007" s="17"/>
      <c r="AU1007" s="17"/>
      <c r="AV1007" s="17"/>
      <c r="AW1007" s="17"/>
      <c r="AX1007" s="17"/>
      <c r="BB1007" s="17"/>
    </row>
    <row r="1008" spans="1:54" x14ac:dyDescent="0.2">
      <c r="A1008" s="18" t="s">
        <v>90</v>
      </c>
      <c r="B1008" s="18" t="s">
        <v>91</v>
      </c>
      <c r="C1008" s="18" t="s">
        <v>97</v>
      </c>
      <c r="D1008" s="18" t="str">
        <f t="shared" si="349"/>
        <v>CAT1.1D_114</v>
      </c>
      <c r="E1008" s="55" t="s">
        <v>82</v>
      </c>
      <c r="F1008" s="18">
        <v>114</v>
      </c>
      <c r="G1008" s="46">
        <v>1.9</v>
      </c>
      <c r="H1008" s="46">
        <v>2.2999999999999998</v>
      </c>
      <c r="I1008" s="46">
        <v>1.2</v>
      </c>
      <c r="J1008" s="23">
        <f t="shared" si="350"/>
        <v>4.1542199999999987</v>
      </c>
      <c r="K1008" s="61">
        <v>0.296875</v>
      </c>
      <c r="L1008" s="45">
        <f t="shared" si="363"/>
        <v>23.349999999999998</v>
      </c>
      <c r="M1008" s="45">
        <f t="shared" si="346"/>
        <v>24.549999999999997</v>
      </c>
      <c r="N1008" s="46">
        <f t="shared" si="365"/>
        <v>23.949999999999996</v>
      </c>
      <c r="O1008" s="46">
        <f t="shared" si="364"/>
        <v>143.34999999999991</v>
      </c>
      <c r="P1008" s="46">
        <f t="shared" si="347"/>
        <v>144.5499999999999</v>
      </c>
      <c r="Q1008" s="46">
        <f t="shared" si="362"/>
        <v>143.9499999999999</v>
      </c>
      <c r="R1008" s="46">
        <v>143.34999999999991</v>
      </c>
      <c r="S1008" s="46">
        <v>144.5499999999999</v>
      </c>
      <c r="T1008" s="54">
        <v>144</v>
      </c>
      <c r="U1008" s="46">
        <f t="shared" si="353"/>
        <v>144</v>
      </c>
      <c r="V1008" s="18">
        <v>6.0968999999999998</v>
      </c>
      <c r="W1008" s="18">
        <v>1.6597999999999999</v>
      </c>
      <c r="X1008" s="23">
        <v>1.1476266666666699</v>
      </c>
      <c r="Y1008" s="23">
        <f t="shared" si="354"/>
        <v>4.9492733333333296</v>
      </c>
      <c r="Z1008" s="23">
        <f t="shared" si="355"/>
        <v>0.51217333333333004</v>
      </c>
      <c r="AA1008" s="21">
        <f t="shared" si="356"/>
        <v>89.651544805904209</v>
      </c>
      <c r="AB1008" s="21">
        <f t="shared" si="357"/>
        <v>10.348455194095791</v>
      </c>
      <c r="AC1008" s="23">
        <f>Y1008/J1008</f>
        <v>1.1913845037897202</v>
      </c>
      <c r="AD1008" s="23">
        <f>Z1008/J1008</f>
        <v>0.12328989156407946</v>
      </c>
      <c r="AE1008" s="57">
        <v>12.016</v>
      </c>
      <c r="AF1008" s="57">
        <v>12.148</v>
      </c>
      <c r="AG1008" s="57">
        <v>12.023</v>
      </c>
      <c r="AH1008" s="58">
        <f>AG1008-AE1008</f>
        <v>6.9999999999996732E-3</v>
      </c>
      <c r="AI1008" s="59">
        <f>((AF1008-AG1008)/(AF1008-AE1008))*100</f>
        <v>94.69696969696993</v>
      </c>
      <c r="AJ1008" s="26">
        <f t="shared" si="358"/>
        <v>4.7348484848484969</v>
      </c>
      <c r="AK1008" s="26">
        <f t="shared" si="359"/>
        <v>54.738132772814993</v>
      </c>
      <c r="AL1008" s="26">
        <f t="shared" si="360"/>
        <v>4.7357037676011897</v>
      </c>
      <c r="AM1008" s="17">
        <f t="shared" si="348"/>
        <v>0.5780346820809249</v>
      </c>
      <c r="AN1008" s="52"/>
      <c r="AO1008" s="39"/>
      <c r="AP1008" s="18"/>
      <c r="AQ1008" s="17"/>
      <c r="AR1008" s="17"/>
      <c r="AS1008" s="27"/>
      <c r="AT1008" s="17"/>
      <c r="AU1008" s="17"/>
      <c r="AV1008" s="17"/>
      <c r="AW1008" s="17"/>
      <c r="AX1008" s="17"/>
      <c r="BB1008" s="17"/>
    </row>
    <row r="1009" spans="1:54" x14ac:dyDescent="0.2">
      <c r="A1009" s="18" t="s">
        <v>90</v>
      </c>
      <c r="B1009" s="18" t="s">
        <v>91</v>
      </c>
      <c r="C1009" s="18" t="s">
        <v>97</v>
      </c>
      <c r="D1009" s="18" t="str">
        <f t="shared" si="349"/>
        <v>CAT1.1D_115</v>
      </c>
      <c r="E1009" s="55" t="s">
        <v>82</v>
      </c>
      <c r="F1009" s="18">
        <v>115</v>
      </c>
      <c r="G1009" s="46">
        <v>1.9</v>
      </c>
      <c r="H1009" s="46">
        <v>2.2000000000000002</v>
      </c>
      <c r="I1009" s="46">
        <v>1.2</v>
      </c>
      <c r="J1009" s="23">
        <f t="shared" si="350"/>
        <v>3.9587549999999991</v>
      </c>
      <c r="K1009" s="61">
        <v>0.296875</v>
      </c>
      <c r="L1009" s="45">
        <f t="shared" si="363"/>
        <v>24.846874999999997</v>
      </c>
      <c r="M1009" s="45">
        <f t="shared" si="346"/>
        <v>26.046874999999996</v>
      </c>
      <c r="N1009" s="46">
        <f t="shared" si="365"/>
        <v>25.446874999999999</v>
      </c>
      <c r="O1009" s="46">
        <f t="shared" si="364"/>
        <v>144.8468749999999</v>
      </c>
      <c r="P1009" s="46">
        <f t="shared" si="347"/>
        <v>146.04687499999989</v>
      </c>
      <c r="Q1009" s="46">
        <f t="shared" si="362"/>
        <v>145.44687499999989</v>
      </c>
      <c r="R1009" s="46">
        <v>144.8468749999999</v>
      </c>
      <c r="S1009" s="46">
        <v>146.04687499999989</v>
      </c>
      <c r="T1009" s="54">
        <v>145.4</v>
      </c>
      <c r="U1009" s="46">
        <f t="shared" si="353"/>
        <v>145.4</v>
      </c>
      <c r="V1009" s="18">
        <v>6.2484999999999999</v>
      </c>
      <c r="W1009" s="18">
        <v>1.6879</v>
      </c>
      <c r="X1009" s="23">
        <v>1.1476266666666699</v>
      </c>
      <c r="Y1009" s="23">
        <f t="shared" si="354"/>
        <v>5.1008733333333298</v>
      </c>
      <c r="Z1009" s="23">
        <f t="shared" si="355"/>
        <v>0.54027333333333005</v>
      </c>
      <c r="AA1009" s="21">
        <f t="shared" si="356"/>
        <v>89.408218984722936</v>
      </c>
      <c r="AB1009" s="21">
        <f t="shared" si="357"/>
        <v>10.591781015277064</v>
      </c>
      <c r="AC1009" s="23">
        <f>Y1009/J1009</f>
        <v>1.2885044245812967</v>
      </c>
      <c r="AD1009" s="23">
        <f>Z1009/J1009</f>
        <v>0.13647556702380678</v>
      </c>
      <c r="AE1009" s="57">
        <v>12.282999999999999</v>
      </c>
      <c r="AF1009" s="57">
        <v>12.449</v>
      </c>
      <c r="AG1009" s="57">
        <v>12.291</v>
      </c>
      <c r="AH1009" s="58">
        <f>AG1009-AE1009</f>
        <v>8.0000000000008953E-3</v>
      </c>
      <c r="AI1009" s="59">
        <f>((AF1009-AG1009)/(AF1009-AE1009))*100</f>
        <v>95.180722891565736</v>
      </c>
      <c r="AJ1009" s="26">
        <f t="shared" si="358"/>
        <v>4.7590361445782872</v>
      </c>
      <c r="AK1009" s="26">
        <f t="shared" si="359"/>
        <v>55.017758896858808</v>
      </c>
      <c r="AL1009" s="26">
        <f t="shared" si="360"/>
        <v>4.7598870811609144</v>
      </c>
      <c r="AM1009" s="17">
        <f t="shared" si="348"/>
        <v>0.5780346820809249</v>
      </c>
      <c r="AN1009" s="52"/>
      <c r="AO1009" s="39"/>
      <c r="AP1009" s="18"/>
      <c r="AQ1009" s="17"/>
      <c r="AR1009" s="17"/>
      <c r="AS1009" s="27"/>
      <c r="AT1009" s="17"/>
      <c r="AU1009" s="17"/>
      <c r="AV1009" s="17"/>
      <c r="AW1009" s="17"/>
      <c r="AX1009" s="17"/>
      <c r="BB1009" s="17"/>
    </row>
    <row r="1010" spans="1:54" x14ac:dyDescent="0.2">
      <c r="A1010" s="18" t="s">
        <v>90</v>
      </c>
      <c r="B1010" s="18" t="s">
        <v>91</v>
      </c>
      <c r="C1010" s="18" t="s">
        <v>97</v>
      </c>
      <c r="D1010" s="18" t="str">
        <f t="shared" si="349"/>
        <v>CAT1.1D_116</v>
      </c>
      <c r="E1010" s="55" t="s">
        <v>82</v>
      </c>
      <c r="F1010" s="18">
        <v>116</v>
      </c>
      <c r="G1010" s="46">
        <v>1.8</v>
      </c>
      <c r="H1010" s="46">
        <v>2.1</v>
      </c>
      <c r="I1010" s="46">
        <v>1.2</v>
      </c>
      <c r="J1010" s="23">
        <f t="shared" si="350"/>
        <v>3.5819550000000007</v>
      </c>
      <c r="K1010" s="61">
        <v>0.296875</v>
      </c>
      <c r="L1010" s="45">
        <f t="shared" si="363"/>
        <v>26.343749999999996</v>
      </c>
      <c r="M1010" s="45">
        <f t="shared" si="346"/>
        <v>27.543749999999996</v>
      </c>
      <c r="N1010" s="46">
        <f t="shared" si="365"/>
        <v>26.943749999999994</v>
      </c>
      <c r="O1010" s="46">
        <f t="shared" si="364"/>
        <v>146.34374999999989</v>
      </c>
      <c r="P1010" s="46">
        <f t="shared" si="347"/>
        <v>147.54374999999987</v>
      </c>
      <c r="Q1010" s="46">
        <f t="shared" si="362"/>
        <v>146.94374999999988</v>
      </c>
      <c r="R1010" s="46">
        <v>146.34374999999989</v>
      </c>
      <c r="S1010" s="46">
        <v>147.54374999999987</v>
      </c>
      <c r="T1010" s="54">
        <v>146.9</v>
      </c>
      <c r="U1010" s="46">
        <f t="shared" si="353"/>
        <v>146.9</v>
      </c>
      <c r="V1010" s="18">
        <v>6.2102000000000004</v>
      </c>
      <c r="W1010" s="18">
        <v>1.7518</v>
      </c>
      <c r="X1010" s="23">
        <v>1.1476266666666699</v>
      </c>
      <c r="Y1010" s="23">
        <f t="shared" si="354"/>
        <v>5.0625733333333303</v>
      </c>
      <c r="Z1010" s="23">
        <f t="shared" si="355"/>
        <v>0.60417333333333012</v>
      </c>
      <c r="AA1010" s="21">
        <f t="shared" si="356"/>
        <v>88.065884806936197</v>
      </c>
      <c r="AB1010" s="21">
        <f t="shared" si="357"/>
        <v>11.934115193063803</v>
      </c>
      <c r="AC1010" s="23">
        <f>Y1010/J1010</f>
        <v>1.4133548113623229</v>
      </c>
      <c r="AD1010" s="23">
        <f>Z1010/J1010</f>
        <v>0.16867139127468939</v>
      </c>
      <c r="AE1010" s="57">
        <v>10.028</v>
      </c>
      <c r="AF1010" s="57">
        <v>10.18</v>
      </c>
      <c r="AG1010" s="57">
        <v>10.039999999999999</v>
      </c>
      <c r="AH1010" s="58">
        <f>AG1010-AE1010</f>
        <v>1.1999999999998678E-2</v>
      </c>
      <c r="AI1010" s="59">
        <f>((AF1010-AG1010)/(AF1010-AE1010))*100</f>
        <v>92.105263157895564</v>
      </c>
      <c r="AJ1010" s="26">
        <f t="shared" si="358"/>
        <v>4.605263157894778</v>
      </c>
      <c r="AK1010" s="26">
        <f t="shared" si="359"/>
        <v>53.240036507454086</v>
      </c>
      <c r="AL1010" s="26">
        <f t="shared" si="360"/>
        <v>4.6061425025136797</v>
      </c>
      <c r="AM1010" s="17">
        <f t="shared" si="348"/>
        <v>0.5780346820809249</v>
      </c>
      <c r="AN1010" s="52"/>
      <c r="AO1010" s="39"/>
      <c r="AP1010" s="18"/>
      <c r="AQ1010" s="17"/>
      <c r="AR1010" s="17"/>
      <c r="AS1010" s="27"/>
      <c r="AT1010" s="17"/>
      <c r="AU1010" s="17"/>
      <c r="AV1010" s="17"/>
      <c r="AW1010" s="17"/>
      <c r="AX1010" s="17"/>
      <c r="BB1010" s="17"/>
    </row>
    <row r="1011" spans="1:54" x14ac:dyDescent="0.2">
      <c r="A1011" s="18" t="s">
        <v>90</v>
      </c>
      <c r="B1011" s="18" t="s">
        <v>91</v>
      </c>
      <c r="C1011" s="18" t="s">
        <v>97</v>
      </c>
      <c r="D1011" s="18" t="str">
        <f t="shared" si="349"/>
        <v>CAT1.1D_117</v>
      </c>
      <c r="E1011" s="55" t="s">
        <v>82</v>
      </c>
      <c r="F1011" s="18">
        <v>117</v>
      </c>
      <c r="G1011" s="46">
        <v>1.9</v>
      </c>
      <c r="H1011" s="46">
        <v>2.2999999999999998</v>
      </c>
      <c r="I1011" s="46">
        <v>1.1000000000000001</v>
      </c>
      <c r="J1011" s="23">
        <f t="shared" si="350"/>
        <v>3.8080349999999994</v>
      </c>
      <c r="K1011" s="61">
        <v>0.296875</v>
      </c>
      <c r="L1011" s="45">
        <f t="shared" si="363"/>
        <v>27.840624999999996</v>
      </c>
      <c r="M1011" s="45">
        <f t="shared" si="346"/>
        <v>28.940624999999997</v>
      </c>
      <c r="N1011" s="46">
        <f t="shared" si="365"/>
        <v>28.390624999999996</v>
      </c>
      <c r="O1011" s="46">
        <f t="shared" si="364"/>
        <v>147.84062499999987</v>
      </c>
      <c r="P1011" s="46">
        <f t="shared" si="347"/>
        <v>148.94062499999987</v>
      </c>
      <c r="Q1011" s="46">
        <f t="shared" si="362"/>
        <v>148.39062499999989</v>
      </c>
      <c r="R1011" s="46">
        <v>147.84062499999987</v>
      </c>
      <c r="S1011" s="46">
        <v>148.94062499999987</v>
      </c>
      <c r="T1011" s="54">
        <v>148.4</v>
      </c>
      <c r="U1011" s="46">
        <f t="shared" si="353"/>
        <v>148.4</v>
      </c>
      <c r="V1011" s="18">
        <v>6.9554999999999998</v>
      </c>
      <c r="W1011" s="18">
        <v>2.0577999999999999</v>
      </c>
      <c r="X1011" s="23">
        <v>1.1476266666666699</v>
      </c>
      <c r="Y1011" s="23">
        <f t="shared" si="354"/>
        <v>5.8078733333333297</v>
      </c>
      <c r="Z1011" s="23">
        <f t="shared" si="355"/>
        <v>0.91017333333332995</v>
      </c>
      <c r="AA1011" s="21">
        <f t="shared" si="356"/>
        <v>84.328629756617786</v>
      </c>
      <c r="AB1011" s="21">
        <f t="shared" si="357"/>
        <v>15.671370243382214</v>
      </c>
      <c r="AC1011" s="23">
        <f>Y1011/J1011</f>
        <v>1.5251628026878248</v>
      </c>
      <c r="AD1011" s="23">
        <f>Z1011/J1011</f>
        <v>0.2390139096235539</v>
      </c>
      <c r="AE1011" s="57">
        <v>12.747</v>
      </c>
      <c r="AF1011" s="57">
        <v>12.96</v>
      </c>
      <c r="AG1011" s="57">
        <v>12.839</v>
      </c>
      <c r="AH1011" s="58">
        <f>AG1011-AE1011</f>
        <v>9.2000000000000526E-2</v>
      </c>
      <c r="AI1011" s="59">
        <f>((AF1011-AG1011)/(AF1011-AE1011))*100</f>
        <v>56.807511737089158</v>
      </c>
      <c r="AJ1011" s="26">
        <f t="shared" si="358"/>
        <v>2.8403755868544582</v>
      </c>
      <c r="AK1011" s="26">
        <f t="shared" si="359"/>
        <v>32.83671198675674</v>
      </c>
      <c r="AL1011" s="26">
        <f t="shared" si="360"/>
        <v>2.8418010969099878</v>
      </c>
      <c r="AM1011" s="17">
        <f t="shared" si="348"/>
        <v>0.5780346820809249</v>
      </c>
      <c r="AN1011" s="52"/>
      <c r="AO1011" s="39"/>
      <c r="AP1011" s="18"/>
      <c r="AQ1011" s="17"/>
      <c r="AR1011" s="17"/>
      <c r="AS1011" s="27"/>
      <c r="AT1011" s="17"/>
      <c r="AU1011" s="17"/>
      <c r="AV1011" s="17"/>
      <c r="AW1011" s="17"/>
      <c r="AX1011" s="17"/>
      <c r="BB1011" s="17"/>
    </row>
    <row r="1012" spans="1:54" x14ac:dyDescent="0.2">
      <c r="A1012" s="18" t="s">
        <v>90</v>
      </c>
      <c r="B1012" s="18" t="s">
        <v>91</v>
      </c>
      <c r="C1012" s="18" t="s">
        <v>97</v>
      </c>
      <c r="D1012" s="18" t="str">
        <f t="shared" si="349"/>
        <v>CAT1.1D_118</v>
      </c>
      <c r="E1012" s="55" t="s">
        <v>82</v>
      </c>
      <c r="F1012" s="18">
        <v>118</v>
      </c>
      <c r="G1012" s="46">
        <v>1.9</v>
      </c>
      <c r="H1012" s="46">
        <v>2.2000000000000002</v>
      </c>
      <c r="I1012" s="46">
        <v>1.2</v>
      </c>
      <c r="J1012" s="23">
        <f t="shared" si="350"/>
        <v>3.9587549999999991</v>
      </c>
      <c r="K1012" s="61">
        <v>0.296875</v>
      </c>
      <c r="L1012" s="45">
        <f t="shared" si="363"/>
        <v>29.237499999999997</v>
      </c>
      <c r="M1012" s="45">
        <f t="shared" si="346"/>
        <v>30.437499999999996</v>
      </c>
      <c r="N1012" s="46">
        <f t="shared" si="365"/>
        <v>29.837499999999999</v>
      </c>
      <c r="O1012" s="46">
        <f t="shared" si="364"/>
        <v>149.23749999999987</v>
      </c>
      <c r="P1012" s="46">
        <f t="shared" si="347"/>
        <v>150.43749999999986</v>
      </c>
      <c r="Q1012" s="46">
        <f t="shared" si="362"/>
        <v>149.83749999999986</v>
      </c>
      <c r="R1012" s="46">
        <v>149.23749999999987</v>
      </c>
      <c r="S1012" s="46">
        <v>150.43749999999986</v>
      </c>
      <c r="T1012" s="54">
        <v>149.80000000000001</v>
      </c>
      <c r="U1012" s="46">
        <f t="shared" si="353"/>
        <v>149.80000000000001</v>
      </c>
      <c r="V1012" s="18">
        <v>6.4440999999999997</v>
      </c>
      <c r="W1012" s="18">
        <v>1.6897</v>
      </c>
      <c r="X1012" s="23">
        <v>1.1476266666666699</v>
      </c>
      <c r="Y1012" s="23">
        <f t="shared" si="354"/>
        <v>5.2964733333333296</v>
      </c>
      <c r="Z1012" s="23">
        <f t="shared" si="355"/>
        <v>0.54207333333333008</v>
      </c>
      <c r="AA1012" s="21">
        <f t="shared" si="356"/>
        <v>89.765391058956268</v>
      </c>
      <c r="AB1012" s="21">
        <f t="shared" si="357"/>
        <v>10.234608941043732</v>
      </c>
      <c r="AC1012" s="23">
        <f>Y1012/J1012</f>
        <v>1.337913898014232</v>
      </c>
      <c r="AD1012" s="23">
        <f>Z1012/J1012</f>
        <v>0.13693025542963133</v>
      </c>
      <c r="AE1012" s="57">
        <v>12.409000000000001</v>
      </c>
      <c r="AF1012" s="57">
        <v>12.56</v>
      </c>
      <c r="AG1012" s="57">
        <v>12.420999999999999</v>
      </c>
      <c r="AH1012" s="58">
        <f>AG1012-AE1012</f>
        <v>1.1999999999998678E-2</v>
      </c>
      <c r="AI1012" s="59">
        <f>((AF1012-AG1012)/(AF1012-AE1012))*100</f>
        <v>92.052980132451196</v>
      </c>
      <c r="AJ1012" s="26">
        <f t="shared" si="358"/>
        <v>4.6026490066225598</v>
      </c>
      <c r="AK1012" s="26">
        <f t="shared" si="359"/>
        <v>53.209815105463122</v>
      </c>
      <c r="AL1012" s="26">
        <f t="shared" si="360"/>
        <v>4.6035288505844774</v>
      </c>
      <c r="AM1012" s="17">
        <f t="shared" si="348"/>
        <v>0.5780346820809249</v>
      </c>
      <c r="AN1012" s="52"/>
      <c r="AO1012" s="39"/>
      <c r="AP1012" s="18"/>
      <c r="AQ1012" s="17"/>
      <c r="AR1012" s="17"/>
      <c r="AS1012" s="27"/>
      <c r="AT1012" s="17"/>
      <c r="AU1012" s="17"/>
      <c r="AV1012" s="17"/>
      <c r="AW1012" s="17"/>
      <c r="AX1012" s="17"/>
      <c r="BB1012" s="17"/>
    </row>
    <row r="1013" spans="1:54" x14ac:dyDescent="0.2">
      <c r="A1013" s="18" t="s">
        <v>90</v>
      </c>
      <c r="B1013" s="18" t="s">
        <v>91</v>
      </c>
      <c r="C1013" s="18" t="s">
        <v>97</v>
      </c>
      <c r="D1013" s="18" t="str">
        <f t="shared" si="349"/>
        <v>CAT1.1D_119</v>
      </c>
      <c r="E1013" s="55" t="s">
        <v>82</v>
      </c>
      <c r="F1013" s="18">
        <v>119</v>
      </c>
      <c r="G1013" s="46">
        <v>2</v>
      </c>
      <c r="H1013" s="46">
        <v>2.4</v>
      </c>
      <c r="I1013" s="46">
        <v>1.1000000000000001</v>
      </c>
      <c r="J1013" s="23">
        <f t="shared" si="350"/>
        <v>4.1793400000000016</v>
      </c>
      <c r="K1013" s="61">
        <v>0.296875</v>
      </c>
      <c r="L1013" s="45">
        <f t="shared" si="363"/>
        <v>30.734374999999996</v>
      </c>
      <c r="M1013" s="45">
        <f t="shared" si="346"/>
        <v>31.834374999999998</v>
      </c>
      <c r="N1013" s="46">
        <f t="shared" si="365"/>
        <v>31.284374999999997</v>
      </c>
      <c r="O1013" s="46">
        <f t="shared" si="364"/>
        <v>150.73437499999986</v>
      </c>
      <c r="P1013" s="46">
        <f t="shared" si="347"/>
        <v>151.83437499999985</v>
      </c>
      <c r="Q1013" s="46">
        <f t="shared" si="362"/>
        <v>151.28437499999984</v>
      </c>
      <c r="R1013" s="46">
        <v>150.73437499999986</v>
      </c>
      <c r="S1013" s="46">
        <v>151.83437499999985</v>
      </c>
      <c r="T1013" s="54">
        <v>151.30000000000001</v>
      </c>
      <c r="U1013" s="46">
        <f t="shared" si="353"/>
        <v>151.30000000000001</v>
      </c>
      <c r="V1013" s="18">
        <v>6.3704999999999998</v>
      </c>
      <c r="W1013" s="18">
        <v>1.6780999999999999</v>
      </c>
      <c r="X1013" s="23">
        <v>1.1476266666666699</v>
      </c>
      <c r="Y1013" s="23">
        <f t="shared" si="354"/>
        <v>5.2228733333333297</v>
      </c>
      <c r="Z1013" s="23">
        <f t="shared" si="355"/>
        <v>0.53047333333333002</v>
      </c>
      <c r="AA1013" s="21">
        <f t="shared" si="356"/>
        <v>89.843266350195535</v>
      </c>
      <c r="AB1013" s="21">
        <f t="shared" si="357"/>
        <v>10.156733649804465</v>
      </c>
      <c r="AC1013" s="23">
        <f>Y1013/J1013</f>
        <v>1.249688547314487</v>
      </c>
      <c r="AD1013" s="23">
        <f>Z1013/J1013</f>
        <v>0.126927537202843</v>
      </c>
      <c r="AE1013" s="57">
        <v>13.122</v>
      </c>
      <c r="AF1013" s="57">
        <v>13.263999999999999</v>
      </c>
      <c r="AG1013" s="57">
        <v>13.13</v>
      </c>
      <c r="AH1013" s="58">
        <f>AG1013-AE1013</f>
        <v>8.0000000000008953E-3</v>
      </c>
      <c r="AI1013" s="59">
        <f>((AF1013-AG1013)/(AF1013-AE1013))*100</f>
        <v>94.366197183097938</v>
      </c>
      <c r="AJ1013" s="26">
        <f t="shared" si="358"/>
        <v>4.7183098591548971</v>
      </c>
      <c r="AK1013" s="26">
        <f t="shared" si="359"/>
        <v>54.546934787917884</v>
      </c>
      <c r="AL1013" s="26">
        <f t="shared" si="360"/>
        <v>4.7191681393014919</v>
      </c>
      <c r="AM1013" s="17">
        <f t="shared" si="348"/>
        <v>0.5780346820809249</v>
      </c>
      <c r="AN1013" s="52"/>
      <c r="AO1013" s="39"/>
      <c r="AP1013" s="18"/>
      <c r="AQ1013" s="17"/>
      <c r="AR1013" s="17"/>
      <c r="AS1013" s="27"/>
      <c r="AT1013" s="17"/>
      <c r="AU1013" s="17"/>
      <c r="AV1013" s="17"/>
      <c r="AW1013" s="17"/>
      <c r="AX1013" s="17"/>
      <c r="BB1013" s="17"/>
    </row>
    <row r="1014" spans="1:54" x14ac:dyDescent="0.2">
      <c r="A1014" s="18" t="s">
        <v>90</v>
      </c>
      <c r="B1014" s="18" t="s">
        <v>91</v>
      </c>
      <c r="C1014" s="18" t="s">
        <v>97</v>
      </c>
      <c r="D1014" s="18" t="str">
        <f t="shared" si="349"/>
        <v>CAT1.1D_120</v>
      </c>
      <c r="E1014" s="55" t="s">
        <v>82</v>
      </c>
      <c r="F1014" s="18">
        <v>120</v>
      </c>
      <c r="G1014" s="46">
        <v>2.1</v>
      </c>
      <c r="H1014" s="46">
        <v>1.9</v>
      </c>
      <c r="I1014" s="46">
        <v>1.2</v>
      </c>
      <c r="J1014" s="23">
        <f t="shared" si="350"/>
        <v>3.7679999999999998</v>
      </c>
      <c r="K1014" s="61">
        <v>0.296875</v>
      </c>
      <c r="L1014" s="45">
        <f t="shared" si="363"/>
        <v>32.131249999999994</v>
      </c>
      <c r="M1014" s="45">
        <f t="shared" si="346"/>
        <v>33.331249999999997</v>
      </c>
      <c r="N1014" s="46">
        <f t="shared" si="365"/>
        <v>32.731249999999996</v>
      </c>
      <c r="O1014" s="46">
        <f t="shared" si="364"/>
        <v>152.13124999999985</v>
      </c>
      <c r="P1014" s="46">
        <f t="shared" si="347"/>
        <v>153.33124999999984</v>
      </c>
      <c r="Q1014" s="46">
        <f t="shared" si="362"/>
        <v>152.73124999999985</v>
      </c>
      <c r="R1014" s="46">
        <v>152.13124999999985</v>
      </c>
      <c r="S1014" s="46">
        <v>153.33124999999984</v>
      </c>
      <c r="T1014" s="54">
        <v>152.69999999999999</v>
      </c>
      <c r="U1014" s="46">
        <f t="shared" si="353"/>
        <v>152.69999999999999</v>
      </c>
      <c r="V1014" s="18">
        <v>6.0547000000000004</v>
      </c>
      <c r="W1014" s="18">
        <v>1.7153</v>
      </c>
      <c r="X1014" s="23">
        <v>1.1476266666666699</v>
      </c>
      <c r="Y1014" s="23">
        <f t="shared" si="354"/>
        <v>4.9070733333333303</v>
      </c>
      <c r="Z1014" s="23">
        <f t="shared" si="355"/>
        <v>0.56767333333333014</v>
      </c>
      <c r="AA1014" s="21">
        <f t="shared" si="356"/>
        <v>88.431529452042753</v>
      </c>
      <c r="AB1014" s="21">
        <f t="shared" si="357"/>
        <v>11.568470547957247</v>
      </c>
      <c r="AC1014" s="23">
        <f>Y1014/J1014</f>
        <v>1.3023018400566164</v>
      </c>
      <c r="AD1014" s="23">
        <f>Z1014/J1014</f>
        <v>0.15065640481245493</v>
      </c>
      <c r="AE1014" s="57">
        <v>14.565</v>
      </c>
      <c r="AF1014" s="57">
        <v>14.715999999999999</v>
      </c>
      <c r="AG1014" s="57">
        <v>14.576000000000001</v>
      </c>
      <c r="AH1014" s="58">
        <f>AG1014-AE1014</f>
        <v>1.1000000000001009E-2</v>
      </c>
      <c r="AI1014" s="59">
        <f>((AF1014-AG1014)/(AF1014-AE1014))*100</f>
        <v>92.715231788078796</v>
      </c>
      <c r="AJ1014" s="26">
        <f t="shared" si="358"/>
        <v>4.6357615894039403</v>
      </c>
      <c r="AK1014" s="26">
        <f t="shared" si="359"/>
        <v>53.59261953068139</v>
      </c>
      <c r="AL1014" s="26">
        <f t="shared" si="360"/>
        <v>4.6366351499544312</v>
      </c>
      <c r="AM1014" s="17">
        <f t="shared" si="348"/>
        <v>0.5780346820809249</v>
      </c>
      <c r="AN1014" s="52"/>
      <c r="AO1014" s="39"/>
      <c r="AP1014" s="18"/>
      <c r="AQ1014" s="17"/>
      <c r="AR1014" s="17"/>
      <c r="AS1014" s="27"/>
      <c r="AT1014" s="17"/>
      <c r="AU1014" s="17"/>
      <c r="AV1014" s="17"/>
      <c r="AW1014" s="17"/>
      <c r="AX1014" s="17"/>
      <c r="BB1014" s="17"/>
    </row>
    <row r="1015" spans="1:54" x14ac:dyDescent="0.2">
      <c r="A1015" s="18" t="s">
        <v>90</v>
      </c>
      <c r="B1015" s="18" t="s">
        <v>91</v>
      </c>
      <c r="C1015" s="18" t="s">
        <v>97</v>
      </c>
      <c r="D1015" s="18" t="str">
        <f t="shared" si="349"/>
        <v>CAT1.1D_121</v>
      </c>
      <c r="E1015" s="55" t="s">
        <v>82</v>
      </c>
      <c r="F1015" s="18">
        <v>121</v>
      </c>
      <c r="G1015" s="46">
        <v>1.9</v>
      </c>
      <c r="H1015" s="46">
        <v>2.2000000000000002</v>
      </c>
      <c r="I1015" s="46">
        <v>1.2</v>
      </c>
      <c r="J1015" s="23">
        <f t="shared" si="350"/>
        <v>3.9587549999999991</v>
      </c>
      <c r="K1015" s="61">
        <v>0.296875</v>
      </c>
      <c r="L1015" s="45">
        <f t="shared" si="363"/>
        <v>33.628124999999997</v>
      </c>
      <c r="M1015" s="45">
        <f t="shared" si="346"/>
        <v>34.828125</v>
      </c>
      <c r="N1015" s="46">
        <f t="shared" si="365"/>
        <v>34.228124999999999</v>
      </c>
      <c r="O1015" s="46">
        <f t="shared" si="364"/>
        <v>153.62812499999984</v>
      </c>
      <c r="P1015" s="46">
        <f t="shared" si="347"/>
        <v>154.82812499999983</v>
      </c>
      <c r="Q1015" s="46">
        <f t="shared" si="362"/>
        <v>154.22812499999984</v>
      </c>
      <c r="R1015" s="46">
        <v>153.62812499999984</v>
      </c>
      <c r="S1015" s="46">
        <v>154.82812499999983</v>
      </c>
      <c r="T1015" s="54">
        <v>154.19999999999999</v>
      </c>
      <c r="U1015" s="46">
        <f t="shared" si="353"/>
        <v>154.19999999999999</v>
      </c>
      <c r="V1015" s="18">
        <v>6.2671999999999999</v>
      </c>
      <c r="W1015" s="18">
        <v>1.8141</v>
      </c>
      <c r="X1015" s="23">
        <v>1.1476266666666699</v>
      </c>
      <c r="Y1015" s="23">
        <f t="shared" si="354"/>
        <v>5.1195733333333298</v>
      </c>
      <c r="Z1015" s="23">
        <f t="shared" si="355"/>
        <v>0.66647333333333014</v>
      </c>
      <c r="AA1015" s="21">
        <f t="shared" si="356"/>
        <v>86.981857863155312</v>
      </c>
      <c r="AB1015" s="21">
        <f t="shared" si="357"/>
        <v>13.018142136844688</v>
      </c>
      <c r="AC1015" s="23">
        <f>Y1015/J1015</f>
        <v>1.293228131908474</v>
      </c>
      <c r="AD1015" s="23">
        <f>Z1015/J1015</f>
        <v>0.1683542763655064</v>
      </c>
      <c r="AE1015" s="57">
        <v>13.176</v>
      </c>
      <c r="AF1015" s="57">
        <v>13.316000000000001</v>
      </c>
      <c r="AG1015" s="57">
        <v>13.183999999999999</v>
      </c>
      <c r="AH1015" s="58">
        <f>AG1015-AE1015</f>
        <v>7.9999999999991189E-3</v>
      </c>
      <c r="AI1015" s="59">
        <f>((AF1015-AG1015)/(AF1015-AE1015))*100</f>
        <v>94.285714285714946</v>
      </c>
      <c r="AJ1015" s="26">
        <f t="shared" si="358"/>
        <v>4.7142857142857473</v>
      </c>
      <c r="AK1015" s="26">
        <f t="shared" si="359"/>
        <v>54.500412881916155</v>
      </c>
      <c r="AL1015" s="26">
        <f t="shared" si="360"/>
        <v>4.7151447269324276</v>
      </c>
      <c r="AM1015" s="17">
        <f t="shared" si="348"/>
        <v>0.5780346820809249</v>
      </c>
      <c r="AN1015" s="52"/>
      <c r="AO1015" s="39"/>
      <c r="AP1015" s="18"/>
      <c r="AQ1015" s="17"/>
      <c r="AR1015" s="17"/>
      <c r="AS1015" s="27"/>
      <c r="AT1015" s="17"/>
      <c r="AU1015" s="17"/>
      <c r="AV1015" s="17"/>
      <c r="AW1015" s="17"/>
      <c r="AX1015" s="17"/>
      <c r="BB1015" s="17"/>
    </row>
    <row r="1016" spans="1:54" x14ac:dyDescent="0.2">
      <c r="A1016" s="18" t="s">
        <v>90</v>
      </c>
      <c r="B1016" s="18" t="s">
        <v>91</v>
      </c>
      <c r="C1016" s="18" t="s">
        <v>97</v>
      </c>
      <c r="D1016" s="18" t="str">
        <f t="shared" si="349"/>
        <v>CAT1.1D_122</v>
      </c>
      <c r="E1016" s="55" t="s">
        <v>82</v>
      </c>
      <c r="F1016" s="18">
        <v>122</v>
      </c>
      <c r="G1016" s="46">
        <v>1.9</v>
      </c>
      <c r="H1016" s="46">
        <v>2.2000000000000002</v>
      </c>
      <c r="I1016" s="46">
        <v>1.1000000000000001</v>
      </c>
      <c r="J1016" s="23">
        <f t="shared" si="350"/>
        <v>3.6288587499999996</v>
      </c>
      <c r="K1016" s="61">
        <v>0.296875</v>
      </c>
      <c r="L1016" s="45">
        <f t="shared" si="363"/>
        <v>35.125</v>
      </c>
      <c r="M1016" s="45">
        <f t="shared" si="346"/>
        <v>36.225000000000001</v>
      </c>
      <c r="N1016" s="46">
        <f t="shared" si="365"/>
        <v>35.674999999999997</v>
      </c>
      <c r="O1016" s="46">
        <f t="shared" si="364"/>
        <v>155.12499999999983</v>
      </c>
      <c r="P1016" s="46">
        <f t="shared" si="347"/>
        <v>156.22499999999982</v>
      </c>
      <c r="Q1016" s="46">
        <f t="shared" si="362"/>
        <v>155.67499999999984</v>
      </c>
      <c r="R1016" s="46">
        <v>155.12499999999983</v>
      </c>
      <c r="S1016" s="46">
        <v>156.22499999999982</v>
      </c>
      <c r="T1016" s="54">
        <v>155.69999999999999</v>
      </c>
      <c r="U1016" s="46">
        <f t="shared" si="353"/>
        <v>155.69999999999999</v>
      </c>
      <c r="V1016" s="18">
        <v>6.3921000000000001</v>
      </c>
      <c r="W1016" s="18">
        <v>1.7682</v>
      </c>
      <c r="X1016" s="23">
        <v>1.1476266666666699</v>
      </c>
      <c r="Y1016" s="23">
        <f t="shared" si="354"/>
        <v>5.24447333333333</v>
      </c>
      <c r="Z1016" s="23">
        <f t="shared" si="355"/>
        <v>0.62057333333333009</v>
      </c>
      <c r="AA1016" s="21">
        <f t="shared" si="356"/>
        <v>88.167099079539028</v>
      </c>
      <c r="AB1016" s="21">
        <f t="shared" si="357"/>
        <v>11.832900920460972</v>
      </c>
      <c r="AC1016" s="23">
        <f>Y1016/J1016</f>
        <v>1.4452128601956002</v>
      </c>
      <c r="AD1016" s="23">
        <f>Z1016/J1016</f>
        <v>0.1710106058367056</v>
      </c>
      <c r="AE1016" s="57">
        <v>13.605</v>
      </c>
      <c r="AF1016" s="57">
        <v>13.724</v>
      </c>
      <c r="AG1016" s="57">
        <v>13.61</v>
      </c>
      <c r="AH1016" s="58">
        <f>AG1016-AE1016</f>
        <v>4.9999999999990052E-3</v>
      </c>
      <c r="AI1016" s="59">
        <f>((AF1016-AG1016)/(AF1016-AE1016))*100</f>
        <v>95.798319327731917</v>
      </c>
      <c r="AJ1016" s="26">
        <f t="shared" si="358"/>
        <v>4.7899159663865962</v>
      </c>
      <c r="AK1016" s="26">
        <f t="shared" si="359"/>
        <v>55.374751056492443</v>
      </c>
      <c r="AL1016" s="26">
        <f t="shared" si="360"/>
        <v>4.7907614180884899</v>
      </c>
      <c r="AM1016" s="17">
        <f t="shared" si="348"/>
        <v>0.5780346820809249</v>
      </c>
      <c r="AN1016" s="52"/>
      <c r="AO1016" s="39"/>
      <c r="AP1016" s="18"/>
      <c r="AQ1016" s="17"/>
      <c r="AR1016" s="17"/>
      <c r="AS1016" s="27"/>
      <c r="AT1016" s="17"/>
      <c r="AU1016" s="17"/>
      <c r="AV1016" s="17"/>
      <c r="AW1016" s="17"/>
      <c r="AX1016" s="17"/>
      <c r="BB1016" s="17"/>
    </row>
    <row r="1017" spans="1:54" x14ac:dyDescent="0.2">
      <c r="A1017" s="18" t="s">
        <v>90</v>
      </c>
      <c r="B1017" s="18" t="s">
        <v>91</v>
      </c>
      <c r="C1017" s="18" t="s">
        <v>97</v>
      </c>
      <c r="D1017" s="18" t="str">
        <f t="shared" si="349"/>
        <v>CAT1.1D_123</v>
      </c>
      <c r="E1017" s="55" t="s">
        <v>82</v>
      </c>
      <c r="F1017" s="18">
        <v>123</v>
      </c>
      <c r="G1017" s="46">
        <v>2.2000000000000002</v>
      </c>
      <c r="H1017" s="46">
        <v>1.8</v>
      </c>
      <c r="I1017" s="46">
        <v>1.2</v>
      </c>
      <c r="J1017" s="23">
        <f t="shared" si="350"/>
        <v>3.7679999999999998</v>
      </c>
      <c r="K1017" s="61">
        <v>0.296875</v>
      </c>
      <c r="L1017" s="45">
        <f t="shared" si="363"/>
        <v>36.521875000000001</v>
      </c>
      <c r="M1017" s="45">
        <f t="shared" si="346"/>
        <v>37.721875000000004</v>
      </c>
      <c r="N1017" s="46">
        <f t="shared" si="365"/>
        <v>37.121875000000003</v>
      </c>
      <c r="O1017" s="46">
        <f t="shared" si="364"/>
        <v>156.52187499999982</v>
      </c>
      <c r="P1017" s="46">
        <f t="shared" si="347"/>
        <v>157.72187499999981</v>
      </c>
      <c r="Q1017" s="46">
        <f t="shared" si="362"/>
        <v>157.12187499999982</v>
      </c>
      <c r="R1017" s="46">
        <v>156.52187499999982</v>
      </c>
      <c r="S1017" s="46">
        <v>157.72187499999981</v>
      </c>
      <c r="T1017" s="54">
        <v>157.1</v>
      </c>
      <c r="U1017" s="46">
        <f t="shared" si="353"/>
        <v>157.1</v>
      </c>
      <c r="V1017" s="18">
        <v>6.7178000000000004</v>
      </c>
      <c r="W1017" s="18">
        <v>1.8147</v>
      </c>
      <c r="X1017" s="23">
        <v>1.1476266666666699</v>
      </c>
      <c r="Y1017" s="23">
        <f t="shared" si="354"/>
        <v>5.5701733333333303</v>
      </c>
      <c r="Z1017" s="23">
        <f t="shared" si="355"/>
        <v>0.66707333333333008</v>
      </c>
      <c r="AA1017" s="21">
        <f t="shared" si="356"/>
        <v>88.024190749300487</v>
      </c>
      <c r="AB1017" s="21">
        <f t="shared" si="357"/>
        <v>11.975809250699513</v>
      </c>
      <c r="AC1017" s="23">
        <f>Y1017/J1017</f>
        <v>1.4782837933474868</v>
      </c>
      <c r="AD1017" s="23">
        <f>Z1017/J1017</f>
        <v>0.17703644727529994</v>
      </c>
      <c r="AE1017" s="57">
        <v>14.401999999999999</v>
      </c>
      <c r="AF1017" s="57">
        <v>14.574999999999999</v>
      </c>
      <c r="AG1017" s="57">
        <v>14.411</v>
      </c>
      <c r="AH1017" s="58">
        <f>AG1017-AE1017</f>
        <v>9.0000000000003411E-3</v>
      </c>
      <c r="AI1017" s="59">
        <f>((AF1017-AG1017)/(AF1017-AE1017))*100</f>
        <v>94.797687861271484</v>
      </c>
      <c r="AJ1017" s="26">
        <f t="shared" si="358"/>
        <v>4.7398843930635746</v>
      </c>
      <c r="AK1017" s="26">
        <f t="shared" si="359"/>
        <v>54.796351364896815</v>
      </c>
      <c r="AL1017" s="26">
        <f t="shared" si="360"/>
        <v>4.7407387672817043</v>
      </c>
      <c r="AM1017" s="17">
        <f t="shared" si="348"/>
        <v>0.5780346820809249</v>
      </c>
      <c r="AN1017" s="52"/>
      <c r="AO1017" s="39"/>
      <c r="AP1017" s="18"/>
      <c r="AQ1017" s="17"/>
      <c r="AR1017" s="17"/>
      <c r="AS1017" s="27"/>
      <c r="AT1017" s="17"/>
      <c r="AU1017" s="17"/>
      <c r="AV1017" s="17"/>
      <c r="AW1017" s="17"/>
      <c r="AX1017" s="17"/>
      <c r="BB1017" s="17"/>
    </row>
    <row r="1018" spans="1:54" x14ac:dyDescent="0.2">
      <c r="A1018" s="18" t="s">
        <v>90</v>
      </c>
      <c r="B1018" s="18" t="s">
        <v>91</v>
      </c>
      <c r="C1018" s="18" t="s">
        <v>97</v>
      </c>
      <c r="D1018" s="18" t="str">
        <f t="shared" si="349"/>
        <v>CAT1.1D_124</v>
      </c>
      <c r="E1018" s="55" t="s">
        <v>82</v>
      </c>
      <c r="F1018" s="18">
        <v>124</v>
      </c>
      <c r="G1018" s="46">
        <v>1.8</v>
      </c>
      <c r="H1018" s="46">
        <v>1.9</v>
      </c>
      <c r="I1018" s="46">
        <v>1.2</v>
      </c>
      <c r="J1018" s="23">
        <f t="shared" si="350"/>
        <v>3.2239949999999999</v>
      </c>
      <c r="K1018" s="61">
        <v>0.296875</v>
      </c>
      <c r="L1018" s="45">
        <f t="shared" si="363"/>
        <v>38.018750000000004</v>
      </c>
      <c r="M1018" s="45">
        <f t="shared" si="346"/>
        <v>39.218750000000007</v>
      </c>
      <c r="N1018" s="46">
        <f t="shared" si="365"/>
        <v>38.618750000000006</v>
      </c>
      <c r="O1018" s="46">
        <f t="shared" si="364"/>
        <v>158.01874999999981</v>
      </c>
      <c r="P1018" s="46">
        <f t="shared" si="347"/>
        <v>159.2187499999998</v>
      </c>
      <c r="Q1018" s="46">
        <f t="shared" si="362"/>
        <v>158.61874999999981</v>
      </c>
      <c r="R1018" s="46">
        <v>158.01874999999981</v>
      </c>
      <c r="S1018" s="46">
        <v>159.2187499999998</v>
      </c>
      <c r="T1018" s="54">
        <v>158.6</v>
      </c>
      <c r="U1018" s="46">
        <f t="shared" si="353"/>
        <v>158.6</v>
      </c>
      <c r="V1018" s="18">
        <v>6.2446000000000002</v>
      </c>
      <c r="W1018" s="18">
        <v>1.8605</v>
      </c>
      <c r="X1018" s="23">
        <v>1.1476266666666699</v>
      </c>
      <c r="Y1018" s="23">
        <f t="shared" si="354"/>
        <v>5.09697333333333</v>
      </c>
      <c r="Z1018" s="23">
        <f t="shared" si="355"/>
        <v>0.71287333333333014</v>
      </c>
      <c r="AA1018" s="21">
        <f t="shared" si="356"/>
        <v>86.013791191112162</v>
      </c>
      <c r="AB1018" s="21">
        <f t="shared" si="357"/>
        <v>13.986208808887838</v>
      </c>
      <c r="AC1018" s="23">
        <f>Y1018/J1018</f>
        <v>1.5809495155337803</v>
      </c>
      <c r="AD1018" s="23">
        <f>Z1018/J1018</f>
        <v>0.22111490040565515</v>
      </c>
      <c r="AE1018" s="57">
        <v>14.016</v>
      </c>
      <c r="AF1018" s="57">
        <v>14.141</v>
      </c>
      <c r="AG1018" s="57">
        <v>14.022</v>
      </c>
      <c r="AH1018" s="58">
        <f>AG1018-AE1018</f>
        <v>6.0000000000002274E-3</v>
      </c>
      <c r="AI1018" s="59">
        <f>((AF1018-AG1018)/(AF1018-AE1018))*100</f>
        <v>95.199999999999818</v>
      </c>
      <c r="AJ1018" s="26">
        <f t="shared" si="358"/>
        <v>4.7599999999999909</v>
      </c>
      <c r="AK1018" s="26">
        <f t="shared" si="359"/>
        <v>55.028901734103947</v>
      </c>
      <c r="AL1018" s="26">
        <f t="shared" si="360"/>
        <v>4.7608507643067233</v>
      </c>
      <c r="AM1018" s="17">
        <f t="shared" si="348"/>
        <v>0.5780346820809249</v>
      </c>
      <c r="AN1018" s="52"/>
      <c r="AO1018" s="39"/>
      <c r="AP1018" s="18"/>
      <c r="AQ1018" s="17"/>
      <c r="AR1018" s="17"/>
      <c r="AS1018" s="27"/>
      <c r="AT1018" s="17"/>
      <c r="AU1018" s="17"/>
      <c r="AV1018" s="17"/>
      <c r="AW1018" s="17"/>
      <c r="AX1018" s="17"/>
      <c r="BB1018" s="17"/>
    </row>
    <row r="1019" spans="1:54" x14ac:dyDescent="0.2">
      <c r="A1019" s="18" t="s">
        <v>90</v>
      </c>
      <c r="B1019" s="18" t="s">
        <v>91</v>
      </c>
      <c r="C1019" s="18" t="s">
        <v>97</v>
      </c>
      <c r="D1019" s="18" t="str">
        <f t="shared" si="349"/>
        <v>CAT1.1D_125</v>
      </c>
      <c r="E1019" s="55" t="s">
        <v>82</v>
      </c>
      <c r="F1019" s="18">
        <v>125</v>
      </c>
      <c r="G1019" s="46">
        <v>1.8</v>
      </c>
      <c r="H1019" s="46">
        <v>2.1</v>
      </c>
      <c r="I1019" s="46">
        <v>1.2</v>
      </c>
      <c r="J1019" s="23">
        <f t="shared" si="350"/>
        <v>3.5819550000000007</v>
      </c>
      <c r="K1019" s="61">
        <v>0.296875</v>
      </c>
      <c r="L1019" s="45">
        <f t="shared" si="363"/>
        <v>39.515625000000007</v>
      </c>
      <c r="M1019" s="45">
        <f t="shared" si="346"/>
        <v>40.71562500000001</v>
      </c>
      <c r="N1019" s="46">
        <f t="shared" si="365"/>
        <v>40.115625000000009</v>
      </c>
      <c r="O1019" s="46">
        <f t="shared" si="364"/>
        <v>159.5156249999998</v>
      </c>
      <c r="P1019" s="46">
        <f t="shared" si="347"/>
        <v>160.71562499999979</v>
      </c>
      <c r="Q1019" s="46">
        <f t="shared" si="362"/>
        <v>160.1156249999998</v>
      </c>
      <c r="R1019" s="46">
        <v>159.5156249999998</v>
      </c>
      <c r="S1019" s="46">
        <v>160.71562499999979</v>
      </c>
      <c r="T1019" s="54">
        <v>160.1</v>
      </c>
      <c r="U1019" s="46">
        <f t="shared" si="353"/>
        <v>160.1</v>
      </c>
      <c r="V1019" s="18">
        <v>6.9210000000000003</v>
      </c>
      <c r="W1019" s="18">
        <v>1.8812</v>
      </c>
      <c r="X1019" s="23">
        <v>1.1476266666666699</v>
      </c>
      <c r="Y1019" s="23">
        <f t="shared" si="354"/>
        <v>5.7733733333333301</v>
      </c>
      <c r="Z1019" s="23">
        <f t="shared" si="355"/>
        <v>0.73357333333333008</v>
      </c>
      <c r="AA1019" s="21">
        <f t="shared" si="356"/>
        <v>87.293852467534904</v>
      </c>
      <c r="AB1019" s="21">
        <f t="shared" si="357"/>
        <v>12.706147532465096</v>
      </c>
      <c r="AC1019" s="23">
        <f>Y1019/J1019</f>
        <v>1.6117939318984547</v>
      </c>
      <c r="AD1019" s="23">
        <f>Z1019/J1019</f>
        <v>0.20479691490633745</v>
      </c>
      <c r="AE1019" s="57">
        <v>13.88</v>
      </c>
      <c r="AF1019" s="57">
        <v>14.000999999999999</v>
      </c>
      <c r="AG1019" s="57">
        <v>13.884</v>
      </c>
      <c r="AH1019" s="58">
        <f>AG1019-AE1019</f>
        <v>3.9999999999995595E-3</v>
      </c>
      <c r="AI1019" s="59">
        <f>((AF1019-AG1019)/(AF1019-AE1019))*100</f>
        <v>96.694214876033385</v>
      </c>
      <c r="AJ1019" s="26">
        <f t="shared" si="358"/>
        <v>4.8347107438016694</v>
      </c>
      <c r="AK1019" s="26">
        <f t="shared" si="359"/>
        <v>55.8926097549326</v>
      </c>
      <c r="AL1019" s="26">
        <f t="shared" si="360"/>
        <v>4.8355483635500214</v>
      </c>
      <c r="AM1019" s="17">
        <f t="shared" si="348"/>
        <v>0.5780346820809249</v>
      </c>
      <c r="AN1019" s="52"/>
      <c r="AO1019" s="39"/>
      <c r="AP1019" s="18"/>
      <c r="AQ1019" s="17"/>
      <c r="AR1019" s="17"/>
      <c r="AS1019" s="27"/>
      <c r="AT1019" s="17"/>
      <c r="AU1019" s="17"/>
      <c r="AV1019" s="17"/>
      <c r="AW1019" s="17"/>
      <c r="AX1019" s="17"/>
      <c r="BB1019" s="17"/>
    </row>
    <row r="1020" spans="1:54" x14ac:dyDescent="0.2">
      <c r="A1020" s="18" t="s">
        <v>90</v>
      </c>
      <c r="B1020" s="18" t="s">
        <v>91</v>
      </c>
      <c r="C1020" s="18" t="s">
        <v>97</v>
      </c>
      <c r="D1020" s="18" t="str">
        <f t="shared" si="349"/>
        <v>CAT1.1D_126</v>
      </c>
      <c r="E1020" s="55" t="s">
        <v>82</v>
      </c>
      <c r="F1020" s="18">
        <v>126</v>
      </c>
      <c r="G1020" s="46">
        <v>1.8</v>
      </c>
      <c r="H1020" s="46">
        <v>2.1</v>
      </c>
      <c r="I1020" s="46">
        <v>1.3</v>
      </c>
      <c r="J1020" s="23">
        <f t="shared" si="350"/>
        <v>3.8804512500000015</v>
      </c>
      <c r="K1020" s="61">
        <v>0.296875</v>
      </c>
      <c r="L1020" s="45">
        <f t="shared" si="363"/>
        <v>41.01250000000001</v>
      </c>
      <c r="M1020" s="45">
        <f t="shared" si="346"/>
        <v>42.312500000000007</v>
      </c>
      <c r="N1020" s="46">
        <f t="shared" si="365"/>
        <v>41.662500000000009</v>
      </c>
      <c r="O1020" s="46">
        <f t="shared" si="364"/>
        <v>161.01249999999979</v>
      </c>
      <c r="P1020" s="46">
        <f t="shared" si="347"/>
        <v>162.3124999999998</v>
      </c>
      <c r="Q1020" s="46">
        <f t="shared" si="362"/>
        <v>161.6624999999998</v>
      </c>
      <c r="R1020" s="46">
        <v>161.01249999999979</v>
      </c>
      <c r="S1020" s="46">
        <v>162.3124999999998</v>
      </c>
      <c r="T1020" s="54">
        <v>161.69999999999999</v>
      </c>
      <c r="U1020" s="46">
        <f t="shared" si="353"/>
        <v>161.69999999999999</v>
      </c>
      <c r="V1020" s="18">
        <v>5.8147000000000002</v>
      </c>
      <c r="W1020" s="18">
        <v>1.6283000000000001</v>
      </c>
      <c r="X1020" s="23">
        <v>1.1476266666666699</v>
      </c>
      <c r="Y1020" s="23">
        <f t="shared" si="354"/>
        <v>4.6670733333333301</v>
      </c>
      <c r="Z1020" s="23">
        <f t="shared" si="355"/>
        <v>0.48067333333333018</v>
      </c>
      <c r="AA1020" s="21">
        <f t="shared" si="356"/>
        <v>89.700754648523557</v>
      </c>
      <c r="AB1020" s="21">
        <f t="shared" si="357"/>
        <v>10.299245351476443</v>
      </c>
      <c r="AC1020" s="23">
        <f>Y1020/J1020</f>
        <v>1.2027140743833151</v>
      </c>
      <c r="AD1020" s="23">
        <f>Z1020/J1020</f>
        <v>0.12387047339747664</v>
      </c>
      <c r="AE1020" s="57">
        <v>13.625999999999999</v>
      </c>
      <c r="AF1020" s="57">
        <v>13.728</v>
      </c>
      <c r="AG1020" s="57">
        <v>13.628</v>
      </c>
      <c r="AH1020" s="58">
        <f>AG1020-AE1020</f>
        <v>2.0000000000006679E-3</v>
      </c>
      <c r="AI1020" s="59">
        <f>((AF1020-AG1020)/(AF1020-AE1020))*100</f>
        <v>98.039215686273863</v>
      </c>
      <c r="AJ1020" s="26">
        <f t="shared" si="358"/>
        <v>4.9019607843136939</v>
      </c>
      <c r="AK1020" s="26">
        <f t="shared" si="359"/>
        <v>56.670066870678539</v>
      </c>
      <c r="AL1020" s="26">
        <f t="shared" si="360"/>
        <v>4.9027869146995693</v>
      </c>
      <c r="AM1020" s="17">
        <f t="shared" si="348"/>
        <v>0.5780346820809249</v>
      </c>
      <c r="AN1020" s="52"/>
      <c r="AO1020" s="39"/>
      <c r="AP1020" s="18"/>
      <c r="AQ1020" s="17"/>
      <c r="AR1020" s="17"/>
      <c r="AS1020" s="27"/>
      <c r="AT1020" s="17"/>
      <c r="AU1020" s="17"/>
      <c r="AV1020" s="17"/>
      <c r="AW1020" s="17"/>
      <c r="AX1020" s="17"/>
      <c r="BB1020" s="17"/>
    </row>
    <row r="1021" spans="1:54" x14ac:dyDescent="0.2">
      <c r="A1021" s="18" t="s">
        <v>90</v>
      </c>
      <c r="B1021" s="18" t="s">
        <v>91</v>
      </c>
      <c r="C1021" s="18" t="s">
        <v>97</v>
      </c>
      <c r="D1021" s="18" t="str">
        <f t="shared" si="349"/>
        <v>CAT1.1D_127</v>
      </c>
      <c r="E1021" s="55" t="s">
        <v>82</v>
      </c>
      <c r="F1021" s="18">
        <v>127</v>
      </c>
      <c r="G1021" s="46">
        <v>1.9</v>
      </c>
      <c r="H1021" s="46">
        <v>2.2000000000000002</v>
      </c>
      <c r="I1021" s="46">
        <v>1.2</v>
      </c>
      <c r="J1021" s="23">
        <f t="shared" si="350"/>
        <v>3.9587549999999991</v>
      </c>
      <c r="K1021" s="61">
        <v>0.296875</v>
      </c>
      <c r="L1021" s="45">
        <f t="shared" si="363"/>
        <v>42.609375000000007</v>
      </c>
      <c r="M1021" s="45">
        <f t="shared" si="346"/>
        <v>43.80937500000001</v>
      </c>
      <c r="N1021" s="46">
        <f t="shared" si="365"/>
        <v>43.209375000000009</v>
      </c>
      <c r="O1021" s="46">
        <f t="shared" si="364"/>
        <v>162.6093749999998</v>
      </c>
      <c r="P1021" s="46">
        <f t="shared" si="347"/>
        <v>163.80937499999979</v>
      </c>
      <c r="Q1021" s="46">
        <f t="shared" si="362"/>
        <v>163.2093749999998</v>
      </c>
      <c r="R1021" s="46">
        <v>162.6093749999998</v>
      </c>
      <c r="S1021" s="46">
        <v>163.80937499999979</v>
      </c>
      <c r="T1021" s="54">
        <v>163.19999999999999</v>
      </c>
      <c r="U1021" s="46">
        <f t="shared" si="353"/>
        <v>163.19999999999999</v>
      </c>
      <c r="V1021" s="18">
        <v>6.2763</v>
      </c>
      <c r="W1021" s="18">
        <v>1.7390000000000001</v>
      </c>
      <c r="X1021" s="23">
        <v>1.1476266666666699</v>
      </c>
      <c r="Y1021" s="23">
        <f t="shared" si="354"/>
        <v>5.1286733333333299</v>
      </c>
      <c r="Z1021" s="23">
        <f t="shared" si="355"/>
        <v>0.5913733333333302</v>
      </c>
      <c r="AA1021" s="21">
        <f t="shared" si="356"/>
        <v>88.469272755397498</v>
      </c>
      <c r="AB1021" s="21">
        <f t="shared" si="357"/>
        <v>11.530727244602502</v>
      </c>
      <c r="AC1021" s="23">
        <f>Y1021/J1021</f>
        <v>1.2955268344045869</v>
      </c>
      <c r="AD1021" s="23">
        <f>Z1021/J1021</f>
        <v>0.14938366565582623</v>
      </c>
      <c r="AE1021" s="57">
        <v>13.055</v>
      </c>
      <c r="AF1021" s="57">
        <v>13.192</v>
      </c>
      <c r="AG1021" s="57">
        <v>13.053000000000001</v>
      </c>
      <c r="AH1021" s="58">
        <f>AG1021-AE1021</f>
        <v>-1.9999999999988916E-3</v>
      </c>
      <c r="AI1021" s="59">
        <f>((AF1021-AG1021)/(AF1021-AE1021))*100</f>
        <v>101.45985401459771</v>
      </c>
      <c r="AJ1021" s="26">
        <f t="shared" si="358"/>
        <v>5.0729927007298858</v>
      </c>
      <c r="AK1021" s="26">
        <f t="shared" si="359"/>
        <v>58.647314459305036</v>
      </c>
      <c r="AL1021" s="26">
        <f t="shared" si="360"/>
        <v>5.0737909832450434</v>
      </c>
      <c r="AM1021" s="17">
        <f t="shared" si="348"/>
        <v>0.5780346820809249</v>
      </c>
      <c r="AN1021" s="52"/>
      <c r="AO1021" s="39"/>
      <c r="AP1021" s="18"/>
      <c r="AQ1021" s="17"/>
      <c r="AR1021" s="17"/>
      <c r="AS1021" s="27"/>
      <c r="AT1021" s="17"/>
      <c r="AU1021" s="17"/>
      <c r="AV1021" s="17"/>
      <c r="AW1021" s="17"/>
      <c r="AX1021" s="17"/>
      <c r="BB1021" s="17"/>
    </row>
    <row r="1022" spans="1:54" x14ac:dyDescent="0.2">
      <c r="A1022" s="18" t="s">
        <v>90</v>
      </c>
      <c r="B1022" s="18" t="s">
        <v>91</v>
      </c>
      <c r="C1022" s="18" t="s">
        <v>97</v>
      </c>
      <c r="D1022" s="18" t="str">
        <f t="shared" si="349"/>
        <v>CAT1.1D_128</v>
      </c>
      <c r="E1022" s="55" t="s">
        <v>82</v>
      </c>
      <c r="F1022" s="18">
        <v>128</v>
      </c>
      <c r="G1022" s="46">
        <v>2</v>
      </c>
      <c r="H1022" s="46">
        <v>2.4</v>
      </c>
      <c r="I1022" s="46">
        <v>1.3</v>
      </c>
      <c r="J1022" s="23">
        <f t="shared" si="350"/>
        <v>4.9392200000000015</v>
      </c>
      <c r="K1022" s="61">
        <v>0.296875</v>
      </c>
      <c r="L1022" s="45">
        <f t="shared" si="363"/>
        <v>44.10625000000001</v>
      </c>
      <c r="M1022" s="45">
        <f t="shared" si="346"/>
        <v>45.406250000000007</v>
      </c>
      <c r="N1022" s="46">
        <f t="shared" si="365"/>
        <v>44.756250000000009</v>
      </c>
      <c r="O1022" s="46">
        <f t="shared" si="364"/>
        <v>164.10624999999979</v>
      </c>
      <c r="P1022" s="46">
        <f t="shared" si="347"/>
        <v>165.4062499999998</v>
      </c>
      <c r="Q1022" s="46">
        <f t="shared" si="362"/>
        <v>164.7562499999998</v>
      </c>
      <c r="R1022" s="46">
        <v>164.10624999999979</v>
      </c>
      <c r="S1022" s="46">
        <v>165.4062499999998</v>
      </c>
      <c r="T1022" s="54">
        <v>164.8</v>
      </c>
      <c r="U1022" s="46">
        <f t="shared" si="353"/>
        <v>164.8</v>
      </c>
      <c r="V1022" s="18">
        <v>5.6515000000000004</v>
      </c>
      <c r="W1022" s="18">
        <v>1.716</v>
      </c>
      <c r="X1022" s="23">
        <v>1.1476266666666699</v>
      </c>
      <c r="Y1022" s="23">
        <f t="shared" si="354"/>
        <v>4.5038733333333303</v>
      </c>
      <c r="Z1022" s="23">
        <f t="shared" si="355"/>
        <v>0.56837333333333007</v>
      </c>
      <c r="AA1022" s="21">
        <f t="shared" si="356"/>
        <v>87.38034373376405</v>
      </c>
      <c r="AB1022" s="21">
        <f t="shared" si="357"/>
        <v>12.61965626623595</v>
      </c>
      <c r="AC1022" s="23">
        <f>Y1022/J1022</f>
        <v>0.91185922743537018</v>
      </c>
      <c r="AD1022" s="23">
        <f>Z1022/J1022</f>
        <v>0.11507350013429851</v>
      </c>
      <c r="AE1022" s="57">
        <v>13.169</v>
      </c>
      <c r="AF1022" s="57">
        <v>13.282999999999999</v>
      </c>
      <c r="AG1022" s="57">
        <v>13.177</v>
      </c>
      <c r="AH1022" s="58">
        <f>AG1022-AE1022</f>
        <v>7.9999999999991189E-3</v>
      </c>
      <c r="AI1022" s="59">
        <f>((AF1022-AG1022)/(AF1022-AE1022))*100</f>
        <v>92.982456140351587</v>
      </c>
      <c r="AJ1022" s="26">
        <f t="shared" si="358"/>
        <v>4.6491228070175792</v>
      </c>
      <c r="AK1022" s="26">
        <f t="shared" si="359"/>
        <v>53.747084474191674</v>
      </c>
      <c r="AL1022" s="26">
        <f t="shared" si="360"/>
        <v>4.6499938574939019</v>
      </c>
      <c r="AM1022" s="17">
        <f t="shared" si="348"/>
        <v>0.5780346820809249</v>
      </c>
      <c r="AN1022" s="52"/>
      <c r="AO1022" s="39"/>
      <c r="AP1022" s="18"/>
      <c r="AQ1022" s="17"/>
      <c r="AR1022" s="17"/>
      <c r="AS1022" s="27"/>
      <c r="AT1022" s="17"/>
      <c r="AU1022" s="17"/>
      <c r="AV1022" s="17"/>
      <c r="AW1022" s="17"/>
      <c r="AX1022" s="17"/>
      <c r="BB1022" s="17"/>
    </row>
    <row r="1023" spans="1:54" x14ac:dyDescent="0.2">
      <c r="A1023" s="18" t="s">
        <v>90</v>
      </c>
      <c r="B1023" s="18" t="s">
        <v>91</v>
      </c>
      <c r="C1023" s="18" t="s">
        <v>97</v>
      </c>
      <c r="D1023" s="18" t="str">
        <f t="shared" si="349"/>
        <v>CAT1.1D_129</v>
      </c>
      <c r="E1023" s="55" t="s">
        <v>82</v>
      </c>
      <c r="F1023" s="18">
        <v>129</v>
      </c>
      <c r="G1023" s="46">
        <v>2.2999999999999998</v>
      </c>
      <c r="H1023" s="46">
        <v>1.9</v>
      </c>
      <c r="I1023" s="46">
        <v>1.3</v>
      </c>
      <c r="J1023" s="23">
        <f t="shared" si="350"/>
        <v>4.5004049999999989</v>
      </c>
      <c r="K1023" s="61">
        <v>0.296875</v>
      </c>
      <c r="L1023" s="45">
        <f t="shared" si="363"/>
        <v>45.703125000000007</v>
      </c>
      <c r="M1023" s="45">
        <f t="shared" ref="M1023:M1086" si="366">L1023+I1023</f>
        <v>47.003125000000004</v>
      </c>
      <c r="N1023" s="46">
        <f t="shared" si="365"/>
        <v>46.353125000000006</v>
      </c>
      <c r="O1023" s="46">
        <f t="shared" si="364"/>
        <v>165.7031249999998</v>
      </c>
      <c r="P1023" s="46">
        <f t="shared" ref="P1023:P1086" si="367">O1023+I1023</f>
        <v>167.00312499999981</v>
      </c>
      <c r="Q1023" s="46">
        <f t="shared" si="362"/>
        <v>166.35312499999981</v>
      </c>
      <c r="R1023" s="46">
        <v>165.7031249999998</v>
      </c>
      <c r="S1023" s="46">
        <v>167.00312499999981</v>
      </c>
      <c r="T1023" s="54">
        <v>166.4</v>
      </c>
      <c r="U1023" s="46">
        <f t="shared" si="353"/>
        <v>166.4</v>
      </c>
      <c r="V1023" s="18">
        <v>5.9997999999999996</v>
      </c>
      <c r="W1023" s="18">
        <v>1.6687000000000001</v>
      </c>
      <c r="X1023" s="23">
        <v>1.1476266666666699</v>
      </c>
      <c r="Y1023" s="23">
        <f t="shared" si="354"/>
        <v>4.8521733333333295</v>
      </c>
      <c r="Z1023" s="23">
        <f t="shared" si="355"/>
        <v>0.52107333333333017</v>
      </c>
      <c r="AA1023" s="21">
        <f t="shared" si="356"/>
        <v>89.261032169776897</v>
      </c>
      <c r="AB1023" s="21">
        <f t="shared" si="357"/>
        <v>10.738967830223103</v>
      </c>
      <c r="AC1023" s="23">
        <f>Y1023/J1023</f>
        <v>1.0781637060071996</v>
      </c>
      <c r="AD1023" s="23">
        <f>Z1023/J1023</f>
        <v>0.11578365354525433</v>
      </c>
      <c r="AE1023" s="57">
        <v>13.456</v>
      </c>
      <c r="AF1023" s="57">
        <v>13.603999999999999</v>
      </c>
      <c r="AG1023" s="57">
        <v>13.461</v>
      </c>
      <c r="AH1023" s="58">
        <f>AG1023-AE1023</f>
        <v>5.0000000000007816E-3</v>
      </c>
      <c r="AI1023" s="59">
        <f>((AF1023-AG1023)/(AF1023-AE1023))*100</f>
        <v>96.621621621621088</v>
      </c>
      <c r="AJ1023" s="26">
        <f t="shared" si="358"/>
        <v>4.8310810810810549</v>
      </c>
      <c r="AK1023" s="26">
        <f t="shared" si="359"/>
        <v>55.850648336197168</v>
      </c>
      <c r="AL1023" s="26">
        <f t="shared" si="360"/>
        <v>4.8319193300363876</v>
      </c>
      <c r="AM1023" s="17">
        <f t="shared" ref="AM1023:AM1086" si="368">1/1.73</f>
        <v>0.5780346820809249</v>
      </c>
      <c r="AN1023" s="52"/>
      <c r="AO1023" s="39"/>
      <c r="AP1023" s="18"/>
      <c r="AQ1023" s="17"/>
      <c r="AR1023" s="17"/>
      <c r="AS1023" s="27"/>
      <c r="AT1023" s="17"/>
      <c r="AU1023" s="17"/>
      <c r="AV1023" s="17"/>
      <c r="AW1023" s="17"/>
      <c r="AX1023" s="17"/>
      <c r="BB1023" s="17"/>
    </row>
    <row r="1024" spans="1:54" x14ac:dyDescent="0.2">
      <c r="A1024" s="18" t="s">
        <v>90</v>
      </c>
      <c r="B1024" s="18" t="s">
        <v>91</v>
      </c>
      <c r="C1024" s="18" t="s">
        <v>97</v>
      </c>
      <c r="D1024" s="18" t="str">
        <f t="shared" ref="D1024:D1087" si="369">C1024&amp;"_"&amp;F1024</f>
        <v>CAT1.1D_130</v>
      </c>
      <c r="E1024" s="55" t="s">
        <v>82</v>
      </c>
      <c r="F1024" s="18">
        <v>130</v>
      </c>
      <c r="G1024" s="46">
        <v>1.8</v>
      </c>
      <c r="H1024" s="46">
        <v>2.2000000000000002</v>
      </c>
      <c r="I1024" s="46">
        <v>1.7</v>
      </c>
      <c r="J1024" s="23">
        <f t="shared" ref="J1024:J1087" si="370">(AVERAGE(G1024:H1024)*(AVERAGE(G1024:H1024)*3.14/4*I1024))</f>
        <v>5.3380000000000001</v>
      </c>
      <c r="K1024" s="61">
        <v>0.296875</v>
      </c>
      <c r="L1024" s="45">
        <f t="shared" si="363"/>
        <v>47.300000000000004</v>
      </c>
      <c r="M1024" s="45">
        <f t="shared" si="366"/>
        <v>49.000000000000007</v>
      </c>
      <c r="N1024" s="46">
        <f t="shared" si="365"/>
        <v>48.150000000000006</v>
      </c>
      <c r="O1024" s="46">
        <f t="shared" si="364"/>
        <v>167.29999999999981</v>
      </c>
      <c r="P1024" s="46">
        <f t="shared" si="367"/>
        <v>168.9999999999998</v>
      </c>
      <c r="Q1024" s="46">
        <f t="shared" si="362"/>
        <v>168.14999999999981</v>
      </c>
      <c r="R1024" s="46">
        <v>167.29999999999981</v>
      </c>
      <c r="S1024" s="46">
        <v>168.9999999999998</v>
      </c>
      <c r="T1024" s="54">
        <v>168.2</v>
      </c>
      <c r="U1024" s="46">
        <f t="shared" ref="U1024:U1087" si="371">T1024</f>
        <v>168.2</v>
      </c>
      <c r="V1024" s="18">
        <v>6.8150000000000004</v>
      </c>
      <c r="W1024" s="18">
        <v>1.7969999999999999</v>
      </c>
      <c r="X1024" s="23">
        <v>1.1476266666666699</v>
      </c>
      <c r="Y1024" s="23">
        <f t="shared" ref="Y1024:Y1087" si="372">V1024-X1024</f>
        <v>5.6673733333333303</v>
      </c>
      <c r="Z1024" s="23">
        <f t="shared" ref="Z1024:Z1087" si="373">W1024-X1024</f>
        <v>0.64937333333333003</v>
      </c>
      <c r="AA1024" s="21">
        <f t="shared" ref="AA1024:AA1087" si="374">((Y1024-Z1024)/Y1024)*100</f>
        <v>88.541899480770695</v>
      </c>
      <c r="AB1024" s="21">
        <f t="shared" ref="AB1024:AB1087" si="375">100-AA1024</f>
        <v>11.458100519229305</v>
      </c>
      <c r="AC1024" s="23">
        <f>Y1024/J1024</f>
        <v>1.0617035094292488</v>
      </c>
      <c r="AD1024" s="23">
        <f>Z1024/J1024</f>
        <v>0.12165105532658861</v>
      </c>
      <c r="AE1024" s="57">
        <v>12.273999999999999</v>
      </c>
      <c r="AF1024" s="57">
        <v>12.446</v>
      </c>
      <c r="AG1024" s="57">
        <v>12.282</v>
      </c>
      <c r="AH1024" s="58">
        <f>AG1024-AE1024</f>
        <v>8.0000000000008953E-3</v>
      </c>
      <c r="AI1024" s="59">
        <f>((AF1024-AG1024)/(AF1024-AE1024))*100</f>
        <v>95.34883720930182</v>
      </c>
      <c r="AJ1024" s="26">
        <f t="shared" ref="AJ1024:AJ1087" si="376">AI1024*0.05</f>
        <v>4.767441860465091</v>
      </c>
      <c r="AK1024" s="26">
        <f t="shared" ref="AK1024:AK1087" si="377">AI1024*AM1024</f>
        <v>55.114934803064642</v>
      </c>
      <c r="AL1024" s="26">
        <f t="shared" ref="AL1024:AL1087" si="378">(AJ1024^2+0.09^2)^0.5</f>
        <v>4.7682912969862539</v>
      </c>
      <c r="AM1024" s="17">
        <f t="shared" si="368"/>
        <v>0.5780346820809249</v>
      </c>
      <c r="AN1024" s="52"/>
      <c r="AO1024" s="39"/>
      <c r="AP1024" s="18"/>
      <c r="AQ1024" s="17"/>
      <c r="AR1024" s="17"/>
      <c r="AS1024" s="27"/>
      <c r="AT1024" s="17"/>
      <c r="AU1024" s="17"/>
      <c r="AV1024" s="17"/>
      <c r="AW1024" s="17"/>
      <c r="AX1024" s="17"/>
      <c r="BB1024" s="17"/>
    </row>
    <row r="1025" spans="1:54" x14ac:dyDescent="0.2">
      <c r="A1025" s="18" t="s">
        <v>90</v>
      </c>
      <c r="B1025" s="18" t="s">
        <v>91</v>
      </c>
      <c r="C1025" s="18" t="s">
        <v>99</v>
      </c>
      <c r="D1025" s="18" t="str">
        <f t="shared" si="369"/>
        <v>CAT1.1E_131</v>
      </c>
      <c r="E1025" s="55" t="s">
        <v>83</v>
      </c>
      <c r="F1025" s="18">
        <v>131</v>
      </c>
      <c r="G1025" s="46">
        <v>1.6</v>
      </c>
      <c r="H1025" s="46">
        <v>2.2000000000000002</v>
      </c>
      <c r="I1025" s="46">
        <v>1.2</v>
      </c>
      <c r="J1025" s="23">
        <f t="shared" si="370"/>
        <v>3.4006200000000009</v>
      </c>
      <c r="K1025" s="61">
        <v>0.26935483870967747</v>
      </c>
      <c r="L1025" s="39">
        <v>0</v>
      </c>
      <c r="M1025" s="45">
        <f t="shared" si="366"/>
        <v>1.2</v>
      </c>
      <c r="N1025" s="46">
        <f>L1025+((M1025-L1025)/2)</f>
        <v>0.6</v>
      </c>
      <c r="O1025" s="46">
        <v>160</v>
      </c>
      <c r="P1025" s="46">
        <f t="shared" si="367"/>
        <v>161.19999999999999</v>
      </c>
      <c r="Q1025" s="46">
        <f t="shared" si="362"/>
        <v>160.6</v>
      </c>
      <c r="R1025" s="46">
        <v>160</v>
      </c>
      <c r="S1025" s="46">
        <v>161.19999999999999</v>
      </c>
      <c r="T1025" s="54">
        <v>160.6</v>
      </c>
      <c r="U1025" s="46">
        <f t="shared" si="371"/>
        <v>160.6</v>
      </c>
      <c r="V1025" s="18">
        <v>5.3554000000000004</v>
      </c>
      <c r="W1025" s="18">
        <v>2.1084000000000001</v>
      </c>
      <c r="X1025" s="23">
        <v>1.1476266666666699</v>
      </c>
      <c r="Y1025" s="23">
        <f t="shared" si="372"/>
        <v>4.2077733333333303</v>
      </c>
      <c r="Z1025" s="23">
        <f t="shared" si="373"/>
        <v>0.96077333333333015</v>
      </c>
      <c r="AA1025" s="21">
        <f t="shared" si="374"/>
        <v>77.166704163405569</v>
      </c>
      <c r="AB1025" s="21">
        <f t="shared" si="375"/>
        <v>22.833295836594431</v>
      </c>
      <c r="AC1025" s="23">
        <f>Y1025/J1025</f>
        <v>1.2373547568776662</v>
      </c>
      <c r="AD1025" s="23">
        <f>Z1025/J1025</f>
        <v>0.28252887218605133</v>
      </c>
      <c r="AE1025" s="57">
        <v>10.413</v>
      </c>
      <c r="AF1025" s="57">
        <v>10.518000000000001</v>
      </c>
      <c r="AG1025" s="57">
        <v>10.425000000000001</v>
      </c>
      <c r="AH1025" s="58">
        <f>AG1025-AE1025</f>
        <v>1.2000000000000455E-2</v>
      </c>
      <c r="AI1025" s="59">
        <f>((AF1025-AG1025)/(AF1025-AE1025))*100</f>
        <v>88.571428571428186</v>
      </c>
      <c r="AJ1025" s="26">
        <f t="shared" si="376"/>
        <v>4.4285714285714093</v>
      </c>
      <c r="AK1025" s="26">
        <f t="shared" si="377"/>
        <v>51.19735755573884</v>
      </c>
      <c r="AL1025" s="26">
        <f t="shared" si="378"/>
        <v>4.4294858502944798</v>
      </c>
      <c r="AM1025" s="17">
        <f t="shared" si="368"/>
        <v>0.5780346820809249</v>
      </c>
      <c r="AN1025" s="60" t="s">
        <v>43</v>
      </c>
      <c r="AO1025" s="39">
        <v>48</v>
      </c>
      <c r="AP1025" s="52" t="s">
        <v>35</v>
      </c>
      <c r="AQ1025" s="17"/>
      <c r="AR1025" s="17"/>
      <c r="AS1025" s="27"/>
      <c r="AT1025" s="17"/>
      <c r="AU1025" s="17"/>
      <c r="AV1025" s="17"/>
      <c r="AW1025" s="17"/>
      <c r="AX1025" s="17"/>
      <c r="BB1025" s="17"/>
    </row>
    <row r="1026" spans="1:54" x14ac:dyDescent="0.2">
      <c r="A1026" s="18" t="s">
        <v>90</v>
      </c>
      <c r="B1026" s="18" t="s">
        <v>91</v>
      </c>
      <c r="C1026" s="18" t="s">
        <v>99</v>
      </c>
      <c r="D1026" s="18" t="str">
        <f t="shared" si="369"/>
        <v>CAT1.1E_132</v>
      </c>
      <c r="E1026" s="55" t="s">
        <v>83</v>
      </c>
      <c r="F1026" s="18">
        <v>132</v>
      </c>
      <c r="G1026" s="46">
        <v>2.2999999999999998</v>
      </c>
      <c r="H1026" s="46">
        <v>1.7</v>
      </c>
      <c r="I1026" s="46">
        <v>1.2</v>
      </c>
      <c r="J1026" s="23">
        <f t="shared" si="370"/>
        <v>3.7679999999999998</v>
      </c>
      <c r="K1026" s="61">
        <v>0.26935483870967747</v>
      </c>
      <c r="L1026" s="45">
        <f t="shared" ref="L1026:L1056" si="379">M1025+K1026</f>
        <v>1.4693548387096773</v>
      </c>
      <c r="M1026" s="45">
        <f t="shared" si="366"/>
        <v>2.669354838709677</v>
      </c>
      <c r="N1026" s="46">
        <f>L1026+((M1026-L1026)/2)</f>
        <v>2.0693548387096774</v>
      </c>
      <c r="O1026" s="46">
        <f t="shared" ref="O1026:O1056" si="380">P1025+K1026</f>
        <v>161.46935483870968</v>
      </c>
      <c r="P1026" s="46">
        <f t="shared" si="367"/>
        <v>162.66935483870967</v>
      </c>
      <c r="Q1026" s="46">
        <f t="shared" si="362"/>
        <v>162.06935483870967</v>
      </c>
      <c r="R1026" s="46">
        <v>161.46935483870968</v>
      </c>
      <c r="S1026" s="46">
        <v>162.66935483870967</v>
      </c>
      <c r="T1026" s="54">
        <v>162.1</v>
      </c>
      <c r="U1026" s="46">
        <f t="shared" si="371"/>
        <v>162.1</v>
      </c>
      <c r="V1026" s="18">
        <v>6.4229000000000003</v>
      </c>
      <c r="W1026" s="18">
        <v>2.1627999999999998</v>
      </c>
      <c r="X1026" s="23">
        <v>1.1476266666666699</v>
      </c>
      <c r="Y1026" s="23">
        <f t="shared" si="372"/>
        <v>5.2752733333333302</v>
      </c>
      <c r="Z1026" s="23">
        <f t="shared" si="373"/>
        <v>1.0151733333333299</v>
      </c>
      <c r="AA1026" s="21">
        <f t="shared" si="374"/>
        <v>80.756005060085414</v>
      </c>
      <c r="AB1026" s="21">
        <f t="shared" si="375"/>
        <v>19.243994939914586</v>
      </c>
      <c r="AC1026" s="23">
        <f>Y1026/J1026</f>
        <v>1.4000194621372957</v>
      </c>
      <c r="AD1026" s="23">
        <f>Z1026/J1026</f>
        <v>0.26941967445152071</v>
      </c>
      <c r="AE1026" s="57">
        <v>9.3670000000000009</v>
      </c>
      <c r="AF1026" s="57">
        <v>9.4860000000000007</v>
      </c>
      <c r="AG1026" s="57">
        <v>9.3789999999999996</v>
      </c>
      <c r="AH1026" s="58">
        <f>AG1026-AE1026</f>
        <v>1.1999999999998678E-2</v>
      </c>
      <c r="AI1026" s="59">
        <f>((AF1026-AG1026)/(AF1026-AE1026))*100</f>
        <v>89.915966386555709</v>
      </c>
      <c r="AJ1026" s="26">
        <f t="shared" si="376"/>
        <v>4.4957983193277853</v>
      </c>
      <c r="AK1026" s="26">
        <f t="shared" si="377"/>
        <v>51.974547044251857</v>
      </c>
      <c r="AL1026" s="26">
        <f t="shared" si="378"/>
        <v>4.4966990702147882</v>
      </c>
      <c r="AM1026" s="17">
        <f t="shared" si="368"/>
        <v>0.5780346820809249</v>
      </c>
      <c r="AN1026" s="60" t="s">
        <v>44</v>
      </c>
      <c r="AO1026" s="39" t="s">
        <v>57</v>
      </c>
      <c r="AP1026" s="18" t="s">
        <v>35</v>
      </c>
      <c r="AQ1026" s="17"/>
      <c r="AR1026" s="17"/>
      <c r="AS1026" s="27"/>
      <c r="AT1026" s="17"/>
      <c r="AU1026" s="17"/>
      <c r="AV1026" s="17"/>
      <c r="AW1026" s="17"/>
      <c r="AX1026" s="17"/>
      <c r="BB1026" s="17"/>
    </row>
    <row r="1027" spans="1:54" x14ac:dyDescent="0.2">
      <c r="A1027" s="18" t="s">
        <v>90</v>
      </c>
      <c r="B1027" s="18" t="s">
        <v>91</v>
      </c>
      <c r="C1027" s="18" t="s">
        <v>99</v>
      </c>
      <c r="D1027" s="18" t="str">
        <f t="shared" si="369"/>
        <v>CAT1.1E_133</v>
      </c>
      <c r="E1027" s="55" t="s">
        <v>83</v>
      </c>
      <c r="F1027" s="18">
        <v>133</v>
      </c>
      <c r="G1027" s="46">
        <v>1.8</v>
      </c>
      <c r="H1027" s="46">
        <v>2.1</v>
      </c>
      <c r="I1027" s="46">
        <v>1.2</v>
      </c>
      <c r="J1027" s="23">
        <f t="shared" si="370"/>
        <v>3.5819550000000007</v>
      </c>
      <c r="K1027" s="61">
        <v>0.26935483870967747</v>
      </c>
      <c r="L1027" s="45">
        <f t="shared" si="379"/>
        <v>2.9387096774193546</v>
      </c>
      <c r="M1027" s="45">
        <f t="shared" si="366"/>
        <v>4.1387096774193548</v>
      </c>
      <c r="N1027" s="46">
        <f t="shared" ref="N1027:N1056" si="381">L1027+((M1027-L1027)/2)</f>
        <v>3.5387096774193547</v>
      </c>
      <c r="O1027" s="46">
        <f t="shared" si="380"/>
        <v>162.93870967741935</v>
      </c>
      <c r="P1027" s="46">
        <f t="shared" si="367"/>
        <v>164.13870967741934</v>
      </c>
      <c r="Q1027" s="46">
        <f t="shared" si="362"/>
        <v>163.53870967741935</v>
      </c>
      <c r="R1027" s="46">
        <v>162.93870967741935</v>
      </c>
      <c r="S1027" s="46">
        <v>164.13870967741934</v>
      </c>
      <c r="T1027" s="54">
        <v>163.5</v>
      </c>
      <c r="U1027" s="46">
        <f t="shared" si="371"/>
        <v>163.5</v>
      </c>
      <c r="V1027" s="18">
        <v>6.2</v>
      </c>
      <c r="W1027" s="18">
        <v>1.7164999999999999</v>
      </c>
      <c r="X1027" s="23">
        <v>1.1476266666666699</v>
      </c>
      <c r="Y1027" s="23">
        <f t="shared" si="372"/>
        <v>5.0523733333333301</v>
      </c>
      <c r="Z1027" s="23">
        <f t="shared" si="373"/>
        <v>0.56887333333333001</v>
      </c>
      <c r="AA1027" s="21">
        <f t="shared" si="374"/>
        <v>88.74047312418196</v>
      </c>
      <c r="AB1027" s="21">
        <f t="shared" si="375"/>
        <v>11.25952687581804</v>
      </c>
      <c r="AC1027" s="23">
        <f>Y1027/J1027</f>
        <v>1.4105072043990863</v>
      </c>
      <c r="AD1027" s="23">
        <f>Z1027/J1027</f>
        <v>0.15881643776466481</v>
      </c>
      <c r="AE1027" s="57">
        <v>9.4390000000000001</v>
      </c>
      <c r="AF1027" s="57">
        <v>9.5679999999999996</v>
      </c>
      <c r="AG1027" s="57">
        <v>9.4480000000000004</v>
      </c>
      <c r="AH1027" s="58">
        <f>AG1027-AE1027</f>
        <v>9.0000000000003411E-3</v>
      </c>
      <c r="AI1027" s="59">
        <f>((AF1027-AG1027)/(AF1027-AE1027))*100</f>
        <v>93.023255813953199</v>
      </c>
      <c r="AJ1027" s="26">
        <f t="shared" si="376"/>
        <v>4.6511627906976605</v>
      </c>
      <c r="AK1027" s="26">
        <f t="shared" si="377"/>
        <v>53.770668100550985</v>
      </c>
      <c r="AL1027" s="26">
        <f t="shared" si="378"/>
        <v>4.6520334592058177</v>
      </c>
      <c r="AM1027" s="17">
        <f t="shared" si="368"/>
        <v>0.5780346820809249</v>
      </c>
      <c r="AN1027" s="60" t="s">
        <v>46</v>
      </c>
      <c r="AO1027" s="45">
        <f>SUM(I1025:I1056)</f>
        <v>39.65</v>
      </c>
      <c r="AP1027" s="52" t="s">
        <v>35</v>
      </c>
      <c r="AQ1027" s="17"/>
      <c r="AR1027" s="17"/>
      <c r="AS1027" s="27"/>
      <c r="AT1027" s="17"/>
      <c r="AU1027" s="17"/>
      <c r="AV1027" s="17"/>
      <c r="AW1027" s="17"/>
      <c r="AX1027" s="17"/>
      <c r="BB1027" s="17"/>
    </row>
    <row r="1028" spans="1:54" x14ac:dyDescent="0.2">
      <c r="A1028" s="18" t="s">
        <v>90</v>
      </c>
      <c r="B1028" s="18" t="s">
        <v>91</v>
      </c>
      <c r="C1028" s="18" t="s">
        <v>99</v>
      </c>
      <c r="D1028" s="18" t="str">
        <f t="shared" si="369"/>
        <v>CAT1.1E_134</v>
      </c>
      <c r="E1028" s="55" t="s">
        <v>83</v>
      </c>
      <c r="F1028" s="18">
        <v>134</v>
      </c>
      <c r="G1028" s="46">
        <v>1.8</v>
      </c>
      <c r="H1028" s="46">
        <v>2</v>
      </c>
      <c r="I1028" s="46">
        <v>1.2</v>
      </c>
      <c r="J1028" s="23">
        <f t="shared" si="370"/>
        <v>3.40062</v>
      </c>
      <c r="K1028" s="61">
        <v>0.26935483870967747</v>
      </c>
      <c r="L1028" s="45">
        <f t="shared" si="379"/>
        <v>4.4080645161290324</v>
      </c>
      <c r="M1028" s="45">
        <f t="shared" si="366"/>
        <v>5.6080645161290326</v>
      </c>
      <c r="N1028" s="46">
        <f t="shared" si="381"/>
        <v>5.008064516129032</v>
      </c>
      <c r="O1028" s="46">
        <f t="shared" si="380"/>
        <v>164.40806451612903</v>
      </c>
      <c r="P1028" s="46">
        <f t="shared" si="367"/>
        <v>165.60806451612902</v>
      </c>
      <c r="Q1028" s="46">
        <f t="shared" si="362"/>
        <v>165.00806451612902</v>
      </c>
      <c r="R1028" s="46">
        <v>164.40806451612903</v>
      </c>
      <c r="S1028" s="46">
        <v>165.60806451612902</v>
      </c>
      <c r="T1028" s="54">
        <v>165</v>
      </c>
      <c r="U1028" s="46">
        <f t="shared" si="371"/>
        <v>165</v>
      </c>
      <c r="V1028" s="18">
        <v>5.8089000000000004</v>
      </c>
      <c r="W1028" s="18">
        <v>1.7116</v>
      </c>
      <c r="X1028" s="23">
        <v>1.1476266666666699</v>
      </c>
      <c r="Y1028" s="23">
        <f t="shared" si="372"/>
        <v>4.6612733333333303</v>
      </c>
      <c r="Z1028" s="23">
        <f t="shared" si="373"/>
        <v>0.56397333333333011</v>
      </c>
      <c r="AA1028" s="21">
        <f t="shared" si="374"/>
        <v>87.900874010106037</v>
      </c>
      <c r="AB1028" s="21">
        <f t="shared" si="375"/>
        <v>12.099125989893963</v>
      </c>
      <c r="AC1028" s="23">
        <f>Y1028/J1028</f>
        <v>1.3707127915889838</v>
      </c>
      <c r="AD1028" s="23">
        <f>Z1028/J1028</f>
        <v>0.16584426761394397</v>
      </c>
      <c r="AE1028" s="57">
        <v>12.164999999999999</v>
      </c>
      <c r="AF1028" s="57">
        <v>12.282999999999999</v>
      </c>
      <c r="AG1028" s="57">
        <v>12.173</v>
      </c>
      <c r="AH1028" s="58">
        <f>AG1028-AE1028</f>
        <v>8.0000000000008953E-3</v>
      </c>
      <c r="AI1028" s="59">
        <f>((AF1028-AG1028)/(AF1028-AE1028))*100</f>
        <v>93.220338983050112</v>
      </c>
      <c r="AJ1028" s="26">
        <f t="shared" si="376"/>
        <v>4.661016949152506</v>
      </c>
      <c r="AK1028" s="26">
        <f t="shared" si="377"/>
        <v>53.884589007543418</v>
      </c>
      <c r="AL1028" s="26">
        <f t="shared" si="378"/>
        <v>4.6618857772672779</v>
      </c>
      <c r="AM1028" s="17">
        <f t="shared" si="368"/>
        <v>0.5780346820809249</v>
      </c>
      <c r="AN1028" s="60" t="s">
        <v>47</v>
      </c>
      <c r="AO1028" s="45">
        <f>AO1025-AO1027</f>
        <v>8.3500000000000014</v>
      </c>
      <c r="AP1028" s="52"/>
      <c r="AQ1028" s="17"/>
      <c r="AR1028" s="17"/>
      <c r="AS1028" s="27"/>
      <c r="AT1028" s="17"/>
      <c r="AU1028" s="17"/>
      <c r="AV1028" s="17"/>
      <c r="AW1028" s="17"/>
      <c r="AX1028" s="17"/>
      <c r="BB1028" s="17"/>
    </row>
    <row r="1029" spans="1:54" x14ac:dyDescent="0.2">
      <c r="A1029" s="18" t="s">
        <v>90</v>
      </c>
      <c r="B1029" s="18" t="s">
        <v>91</v>
      </c>
      <c r="C1029" s="18" t="s">
        <v>99</v>
      </c>
      <c r="D1029" s="18" t="str">
        <f t="shared" si="369"/>
        <v>CAT1.1E_135</v>
      </c>
      <c r="E1029" s="55" t="s">
        <v>83</v>
      </c>
      <c r="F1029" s="18">
        <v>135</v>
      </c>
      <c r="G1029" s="46">
        <v>1.9</v>
      </c>
      <c r="H1029" s="46">
        <v>2.1</v>
      </c>
      <c r="I1029" s="46">
        <v>1.2</v>
      </c>
      <c r="J1029" s="23">
        <f t="shared" si="370"/>
        <v>3.7679999999999998</v>
      </c>
      <c r="K1029" s="61">
        <v>0.26935483870967747</v>
      </c>
      <c r="L1029" s="45">
        <f t="shared" si="379"/>
        <v>5.8774193548387101</v>
      </c>
      <c r="M1029" s="45">
        <f t="shared" si="366"/>
        <v>7.0774193548387103</v>
      </c>
      <c r="N1029" s="46">
        <f t="shared" si="381"/>
        <v>6.4774193548387107</v>
      </c>
      <c r="O1029" s="46">
        <f t="shared" si="380"/>
        <v>165.87741935483871</v>
      </c>
      <c r="P1029" s="46">
        <f t="shared" si="367"/>
        <v>167.0774193548387</v>
      </c>
      <c r="Q1029" s="46">
        <f t="shared" si="362"/>
        <v>166.4774193548387</v>
      </c>
      <c r="R1029" s="46">
        <v>165.87741935483871</v>
      </c>
      <c r="S1029" s="46">
        <v>167.0774193548387</v>
      </c>
      <c r="T1029" s="54">
        <v>166.5</v>
      </c>
      <c r="U1029" s="46">
        <f t="shared" si="371"/>
        <v>166.5</v>
      </c>
      <c r="V1029" s="18">
        <v>6.1756000000000002</v>
      </c>
      <c r="W1029" s="18">
        <v>1.8304</v>
      </c>
      <c r="X1029" s="23">
        <v>1.1476266666666699</v>
      </c>
      <c r="Y1029" s="23">
        <f t="shared" si="372"/>
        <v>5.0279733333333301</v>
      </c>
      <c r="Z1029" s="23">
        <f t="shared" si="373"/>
        <v>0.68277333333333012</v>
      </c>
      <c r="AA1029" s="21">
        <f t="shared" si="374"/>
        <v>86.420506075343866</v>
      </c>
      <c r="AB1029" s="21">
        <f t="shared" si="375"/>
        <v>13.579493924656134</v>
      </c>
      <c r="AC1029" s="23">
        <f>Y1029/J1029</f>
        <v>1.3343878273177627</v>
      </c>
      <c r="AD1029" s="23">
        <f>Z1029/J1029</f>
        <v>0.18120311394196661</v>
      </c>
      <c r="AE1029" s="57">
        <v>23.097000000000001</v>
      </c>
      <c r="AF1029" s="57">
        <v>23.215</v>
      </c>
      <c r="AG1029" s="57">
        <v>23.103000000000002</v>
      </c>
      <c r="AH1029" s="58">
        <f>AG1029-AE1029</f>
        <v>6.0000000000002274E-3</v>
      </c>
      <c r="AI1029" s="59">
        <f>((AF1029-AG1029)/(AF1029-AE1029))*100</f>
        <v>94.915254237287883</v>
      </c>
      <c r="AJ1029" s="26">
        <f t="shared" si="376"/>
        <v>4.7457627118643941</v>
      </c>
      <c r="AK1029" s="26">
        <f t="shared" si="377"/>
        <v>54.864308807680864</v>
      </c>
      <c r="AL1029" s="26">
        <f t="shared" si="378"/>
        <v>4.7466160280058975</v>
      </c>
      <c r="AM1029" s="17">
        <f t="shared" si="368"/>
        <v>0.5780346820809249</v>
      </c>
      <c r="AN1029" s="60" t="s">
        <v>48</v>
      </c>
      <c r="AO1029" s="39">
        <v>31</v>
      </c>
      <c r="AP1029" s="52"/>
      <c r="AQ1029" s="17"/>
      <c r="AR1029" s="17"/>
      <c r="AS1029" s="27"/>
      <c r="AT1029" s="17"/>
      <c r="AU1029" s="17"/>
      <c r="AV1029" s="17"/>
      <c r="AW1029" s="17"/>
      <c r="AX1029" s="17"/>
      <c r="BB1029" s="17"/>
    </row>
    <row r="1030" spans="1:54" x14ac:dyDescent="0.2">
      <c r="A1030" s="18" t="s">
        <v>90</v>
      </c>
      <c r="B1030" s="18" t="s">
        <v>91</v>
      </c>
      <c r="C1030" s="18" t="s">
        <v>99</v>
      </c>
      <c r="D1030" s="18" t="str">
        <f t="shared" si="369"/>
        <v>CAT1.1E_136</v>
      </c>
      <c r="E1030" s="55" t="s">
        <v>83</v>
      </c>
      <c r="F1030" s="18">
        <v>136</v>
      </c>
      <c r="G1030" s="46">
        <v>1.9</v>
      </c>
      <c r="H1030" s="46">
        <v>2.4</v>
      </c>
      <c r="I1030" s="46">
        <v>1.2</v>
      </c>
      <c r="J1030" s="23">
        <f t="shared" si="370"/>
        <v>4.3543950000000002</v>
      </c>
      <c r="K1030" s="61">
        <v>0.26935483870967747</v>
      </c>
      <c r="L1030" s="45">
        <f t="shared" si="379"/>
        <v>7.3467741935483879</v>
      </c>
      <c r="M1030" s="45">
        <f t="shared" si="366"/>
        <v>8.5467741935483872</v>
      </c>
      <c r="N1030" s="46">
        <f t="shared" si="381"/>
        <v>7.9467741935483875</v>
      </c>
      <c r="O1030" s="46">
        <f t="shared" si="380"/>
        <v>167.34677419354838</v>
      </c>
      <c r="P1030" s="46">
        <f t="shared" si="367"/>
        <v>168.54677419354837</v>
      </c>
      <c r="Q1030" s="46">
        <f t="shared" si="362"/>
        <v>167.94677419354838</v>
      </c>
      <c r="R1030" s="46">
        <v>167.34677419354838</v>
      </c>
      <c r="S1030" s="46">
        <v>168.54677419354837</v>
      </c>
      <c r="T1030" s="54">
        <v>167.9</v>
      </c>
      <c r="U1030" s="46">
        <f t="shared" si="371"/>
        <v>167.9</v>
      </c>
      <c r="V1030" s="18">
        <v>6.9218000000000002</v>
      </c>
      <c r="W1030" s="18">
        <v>1.8756999999999999</v>
      </c>
      <c r="X1030" s="23">
        <v>1.1476266666666699</v>
      </c>
      <c r="Y1030" s="23">
        <f t="shared" si="372"/>
        <v>5.77417333333333</v>
      </c>
      <c r="Z1030" s="23">
        <f t="shared" si="373"/>
        <v>0.72807333333333002</v>
      </c>
      <c r="AA1030" s="21">
        <f t="shared" si="374"/>
        <v>87.390864608613569</v>
      </c>
      <c r="AB1030" s="21">
        <f t="shared" si="375"/>
        <v>12.609135391386431</v>
      </c>
      <c r="AC1030" s="23">
        <f>Y1030/J1030</f>
        <v>1.3260563943632422</v>
      </c>
      <c r="AD1030" s="23">
        <f>Z1030/J1030</f>
        <v>0.16720424613139828</v>
      </c>
      <c r="AE1030" s="57">
        <v>22.864000000000001</v>
      </c>
      <c r="AF1030" s="57">
        <v>22.957000000000001</v>
      </c>
      <c r="AG1030" s="57">
        <v>22.87</v>
      </c>
      <c r="AH1030" s="58">
        <f>AG1030-AE1030</f>
        <v>6.0000000000002274E-3</v>
      </c>
      <c r="AI1030" s="59">
        <f>((AF1030-AG1030)/(AF1030-AE1030))*100</f>
        <v>93.548387096773951</v>
      </c>
      <c r="AJ1030" s="26">
        <f t="shared" si="376"/>
        <v>4.6774193548386975</v>
      </c>
      <c r="AK1030" s="26">
        <f t="shared" si="377"/>
        <v>54.074212194667027</v>
      </c>
      <c r="AL1030" s="26">
        <f t="shared" si="378"/>
        <v>4.6782851367803202</v>
      </c>
      <c r="AM1030" s="17">
        <f t="shared" si="368"/>
        <v>0.5780346820809249</v>
      </c>
      <c r="AN1030" s="60" t="s">
        <v>49</v>
      </c>
      <c r="AO1030" s="50">
        <f>AO1028/AO1029</f>
        <v>0.26935483870967747</v>
      </c>
      <c r="AP1030" s="52" t="s">
        <v>35</v>
      </c>
      <c r="AQ1030" s="17"/>
      <c r="AR1030" s="17"/>
      <c r="AS1030" s="27"/>
      <c r="AT1030" s="17"/>
      <c r="AU1030" s="17"/>
      <c r="AV1030" s="17"/>
      <c r="AW1030" s="17"/>
      <c r="AX1030" s="17"/>
      <c r="BB1030" s="17"/>
    </row>
    <row r="1031" spans="1:54" x14ac:dyDescent="0.2">
      <c r="A1031" s="18" t="s">
        <v>90</v>
      </c>
      <c r="B1031" s="18" t="s">
        <v>91</v>
      </c>
      <c r="C1031" s="18" t="s">
        <v>99</v>
      </c>
      <c r="D1031" s="18" t="str">
        <f t="shared" si="369"/>
        <v>CAT1.1E_137</v>
      </c>
      <c r="E1031" s="55" t="s">
        <v>83</v>
      </c>
      <c r="F1031" s="18">
        <v>137</v>
      </c>
      <c r="G1031" s="46">
        <v>2</v>
      </c>
      <c r="H1031" s="46">
        <v>2.2999999999999998</v>
      </c>
      <c r="I1031" s="46">
        <v>1.2</v>
      </c>
      <c r="J1031" s="23">
        <f t="shared" si="370"/>
        <v>4.3543950000000002</v>
      </c>
      <c r="K1031" s="61">
        <v>0.26935483870967747</v>
      </c>
      <c r="L1031" s="45">
        <f t="shared" si="379"/>
        <v>8.8161290322580648</v>
      </c>
      <c r="M1031" s="45">
        <f t="shared" si="366"/>
        <v>10.016129032258064</v>
      </c>
      <c r="N1031" s="46">
        <f t="shared" si="381"/>
        <v>9.4161290322580644</v>
      </c>
      <c r="O1031" s="46">
        <f t="shared" si="380"/>
        <v>168.81612903225806</v>
      </c>
      <c r="P1031" s="46">
        <f t="shared" si="367"/>
        <v>170.01612903225805</v>
      </c>
      <c r="Q1031" s="46">
        <f t="shared" si="362"/>
        <v>169.41612903225806</v>
      </c>
      <c r="R1031" s="46">
        <v>168.81612903225806</v>
      </c>
      <c r="S1031" s="46">
        <v>170.01612903225805</v>
      </c>
      <c r="T1031" s="54">
        <v>169.4</v>
      </c>
      <c r="U1031" s="46">
        <f t="shared" si="371"/>
        <v>169.4</v>
      </c>
      <c r="V1031" s="18">
        <v>6.4211</v>
      </c>
      <c r="W1031" s="18">
        <v>1.7698</v>
      </c>
      <c r="X1031" s="23">
        <v>1.1476266666666699</v>
      </c>
      <c r="Y1031" s="23">
        <f t="shared" si="372"/>
        <v>5.2734733333333299</v>
      </c>
      <c r="Z1031" s="23">
        <f t="shared" si="373"/>
        <v>0.62217333333333014</v>
      </c>
      <c r="AA1031" s="21">
        <f t="shared" si="374"/>
        <v>88.201830292748298</v>
      </c>
      <c r="AB1031" s="21">
        <f t="shared" si="375"/>
        <v>11.798169707251702</v>
      </c>
      <c r="AC1031" s="23">
        <f>Y1031/J1031</f>
        <v>1.2110691228823589</v>
      </c>
      <c r="AD1031" s="23">
        <f>Z1031/J1031</f>
        <v>0.14288399038978553</v>
      </c>
      <c r="AE1031" s="57">
        <v>13.481</v>
      </c>
      <c r="AF1031" s="57">
        <v>13.573</v>
      </c>
      <c r="AG1031" s="57">
        <v>13.486000000000001</v>
      </c>
      <c r="AH1031" s="58">
        <f>AG1031-AE1031</f>
        <v>5.0000000000007816E-3</v>
      </c>
      <c r="AI1031" s="59">
        <f>((AF1031-AG1031)/(AF1031-AE1031))*100</f>
        <v>94.56521739130352</v>
      </c>
      <c r="AJ1031" s="26">
        <f t="shared" si="376"/>
        <v>4.728260869565176</v>
      </c>
      <c r="AK1031" s="26">
        <f t="shared" si="377"/>
        <v>54.661975370695679</v>
      </c>
      <c r="AL1031" s="26">
        <f t="shared" si="378"/>
        <v>4.7291173437187233</v>
      </c>
      <c r="AM1031" s="17">
        <f t="shared" si="368"/>
        <v>0.5780346820809249</v>
      </c>
      <c r="AN1031" s="52"/>
      <c r="AO1031" s="39"/>
      <c r="AP1031" s="18"/>
      <c r="AQ1031" s="17"/>
      <c r="AR1031" s="17"/>
      <c r="AS1031" s="27"/>
      <c r="AT1031" s="17"/>
      <c r="AU1031" s="17"/>
      <c r="AV1031" s="17"/>
      <c r="AW1031" s="17"/>
      <c r="AX1031" s="17"/>
      <c r="BB1031" s="17"/>
    </row>
    <row r="1032" spans="1:54" x14ac:dyDescent="0.2">
      <c r="A1032" s="18" t="s">
        <v>90</v>
      </c>
      <c r="B1032" s="18" t="s">
        <v>91</v>
      </c>
      <c r="C1032" s="18" t="s">
        <v>99</v>
      </c>
      <c r="D1032" s="18" t="str">
        <f t="shared" si="369"/>
        <v>CAT1.1E_138</v>
      </c>
      <c r="E1032" s="55" t="s">
        <v>83</v>
      </c>
      <c r="F1032" s="18">
        <v>138</v>
      </c>
      <c r="G1032" s="18">
        <v>2</v>
      </c>
      <c r="H1032" s="46">
        <v>2</v>
      </c>
      <c r="I1032" s="46">
        <v>1.2</v>
      </c>
      <c r="J1032" s="23">
        <f t="shared" si="370"/>
        <v>3.7679999999999998</v>
      </c>
      <c r="K1032" s="61">
        <v>0.26935483870967747</v>
      </c>
      <c r="L1032" s="45">
        <f t="shared" si="379"/>
        <v>10.285483870967742</v>
      </c>
      <c r="M1032" s="45">
        <f t="shared" si="366"/>
        <v>11.485483870967741</v>
      </c>
      <c r="N1032" s="46">
        <f t="shared" si="381"/>
        <v>10.885483870967741</v>
      </c>
      <c r="O1032" s="46">
        <f t="shared" si="380"/>
        <v>170.28548387096774</v>
      </c>
      <c r="P1032" s="46">
        <f t="shared" si="367"/>
        <v>171.48548387096773</v>
      </c>
      <c r="Q1032" s="46">
        <f t="shared" si="362"/>
        <v>170.88548387096773</v>
      </c>
      <c r="R1032" s="46">
        <v>170.28548387096774</v>
      </c>
      <c r="S1032" s="46">
        <v>171.48548387096773</v>
      </c>
      <c r="T1032" s="54">
        <v>170.9</v>
      </c>
      <c r="U1032" s="46">
        <f t="shared" si="371"/>
        <v>170.9</v>
      </c>
      <c r="V1032" s="18">
        <v>6.5842000000000001</v>
      </c>
      <c r="W1032" s="18">
        <v>1.7927999999999999</v>
      </c>
      <c r="X1032" s="23">
        <v>1.1476266666666699</v>
      </c>
      <c r="Y1032" s="23">
        <f t="shared" si="372"/>
        <v>5.4365733333333299</v>
      </c>
      <c r="Z1032" s="23">
        <f t="shared" si="373"/>
        <v>0.64517333333333005</v>
      </c>
      <c r="AA1032" s="21">
        <f t="shared" si="374"/>
        <v>88.132720856029451</v>
      </c>
      <c r="AB1032" s="21">
        <f t="shared" si="375"/>
        <v>11.867279143970549</v>
      </c>
      <c r="AC1032" s="23">
        <f>Y1032/J1032</f>
        <v>1.4428273177636226</v>
      </c>
      <c r="AD1032" s="23">
        <f>Z1032/J1032</f>
        <v>0.1712243453644719</v>
      </c>
      <c r="AE1032" s="57">
        <v>15.162000000000001</v>
      </c>
      <c r="AF1032" s="57">
        <v>15.307</v>
      </c>
      <c r="AG1032" s="57">
        <v>15.172000000000001</v>
      </c>
      <c r="AH1032" s="58">
        <f>AG1032-AE1032</f>
        <v>9.9999999999997868E-3</v>
      </c>
      <c r="AI1032" s="59">
        <f>((AF1032-AG1032)/(AF1032-AE1032))*100</f>
        <v>93.103448275862206</v>
      </c>
      <c r="AJ1032" s="26">
        <f t="shared" si="376"/>
        <v>4.6551724137931103</v>
      </c>
      <c r="AK1032" s="26">
        <f t="shared" si="377"/>
        <v>53.817022124775846</v>
      </c>
      <c r="AL1032" s="26">
        <f t="shared" si="378"/>
        <v>4.6560423325116336</v>
      </c>
      <c r="AM1032" s="17">
        <f t="shared" si="368"/>
        <v>0.5780346820809249</v>
      </c>
      <c r="AN1032" s="52"/>
      <c r="AO1032" s="39"/>
      <c r="AP1032" s="18"/>
      <c r="AQ1032" s="17"/>
      <c r="AR1032" s="17"/>
      <c r="AS1032" s="27"/>
      <c r="AT1032" s="17"/>
      <c r="AU1032" s="17"/>
      <c r="AV1032" s="17"/>
      <c r="AW1032" s="17"/>
      <c r="AX1032" s="17"/>
      <c r="BB1032" s="17"/>
    </row>
    <row r="1033" spans="1:54" x14ac:dyDescent="0.2">
      <c r="A1033" s="18" t="s">
        <v>90</v>
      </c>
      <c r="B1033" s="18" t="s">
        <v>91</v>
      </c>
      <c r="C1033" s="18" t="s">
        <v>99</v>
      </c>
      <c r="D1033" s="18" t="str">
        <f t="shared" si="369"/>
        <v>CAT1.1E_139</v>
      </c>
      <c r="E1033" s="55" t="s">
        <v>83</v>
      </c>
      <c r="F1033" s="18">
        <v>139</v>
      </c>
      <c r="G1033" s="18">
        <v>2.1</v>
      </c>
      <c r="H1033" s="46">
        <v>1.9</v>
      </c>
      <c r="I1033" s="46">
        <v>1.2</v>
      </c>
      <c r="J1033" s="23">
        <f t="shared" si="370"/>
        <v>3.7679999999999998</v>
      </c>
      <c r="K1033" s="61">
        <v>0.26935483870967747</v>
      </c>
      <c r="L1033" s="45">
        <f t="shared" si="379"/>
        <v>11.754838709677419</v>
      </c>
      <c r="M1033" s="45">
        <f t="shared" si="366"/>
        <v>12.954838709677418</v>
      </c>
      <c r="N1033" s="46">
        <f t="shared" si="381"/>
        <v>12.354838709677418</v>
      </c>
      <c r="O1033" s="46">
        <f t="shared" si="380"/>
        <v>171.75483870967741</v>
      </c>
      <c r="P1033" s="46">
        <f t="shared" si="367"/>
        <v>172.9548387096774</v>
      </c>
      <c r="Q1033" s="46">
        <f t="shared" si="362"/>
        <v>172.35483870967741</v>
      </c>
      <c r="R1033" s="46">
        <v>171.75483870967741</v>
      </c>
      <c r="S1033" s="46">
        <v>172.9548387096774</v>
      </c>
      <c r="T1033" s="54">
        <v>172.4</v>
      </c>
      <c r="U1033" s="46">
        <f t="shared" si="371"/>
        <v>172.4</v>
      </c>
      <c r="V1033" s="18">
        <v>6.4176000000000002</v>
      </c>
      <c r="W1033" s="18">
        <v>1.8458000000000001</v>
      </c>
      <c r="X1033" s="23">
        <v>1.1476266666666699</v>
      </c>
      <c r="Y1033" s="23">
        <f t="shared" si="372"/>
        <v>5.2699733333333301</v>
      </c>
      <c r="Z1033" s="23">
        <f t="shared" si="373"/>
        <v>0.6981733333333302</v>
      </c>
      <c r="AA1033" s="21">
        <f t="shared" si="374"/>
        <v>86.751862122009513</v>
      </c>
      <c r="AB1033" s="21">
        <f t="shared" si="375"/>
        <v>13.248137877990487</v>
      </c>
      <c r="AC1033" s="23">
        <f>Y1033/J1033</f>
        <v>1.3986128803963191</v>
      </c>
      <c r="AD1033" s="23">
        <f>Z1033/J1033</f>
        <v>0.18529016277423838</v>
      </c>
      <c r="AE1033" s="57">
        <v>16.873999999999999</v>
      </c>
      <c r="AF1033" s="57">
        <v>17.039000000000001</v>
      </c>
      <c r="AG1033" s="57">
        <v>16.89</v>
      </c>
      <c r="AH1033" s="58">
        <f>AG1033-AE1033</f>
        <v>1.6000000000001791E-2</v>
      </c>
      <c r="AI1033" s="59">
        <f>((AF1033-AG1033)/(AF1033-AE1033))*100</f>
        <v>90.303030303029374</v>
      </c>
      <c r="AJ1033" s="26">
        <f t="shared" si="376"/>
        <v>4.5151515151514685</v>
      </c>
      <c r="AK1033" s="26">
        <f t="shared" si="377"/>
        <v>52.19828341215571</v>
      </c>
      <c r="AL1033" s="26">
        <f t="shared" si="378"/>
        <v>4.5160484059379389</v>
      </c>
      <c r="AM1033" s="17">
        <f t="shared" si="368"/>
        <v>0.5780346820809249</v>
      </c>
      <c r="AN1033" s="52"/>
      <c r="AO1033" s="39"/>
      <c r="AP1033" s="18"/>
      <c r="AQ1033" s="17"/>
      <c r="AR1033" s="17"/>
      <c r="AS1033" s="27"/>
      <c r="AT1033" s="17"/>
      <c r="AU1033" s="17"/>
      <c r="AV1033" s="17"/>
      <c r="AW1033" s="17"/>
      <c r="AX1033" s="17"/>
      <c r="BB1033" s="17"/>
    </row>
    <row r="1034" spans="1:54" x14ac:dyDescent="0.2">
      <c r="A1034" s="18" t="s">
        <v>90</v>
      </c>
      <c r="B1034" s="18" t="s">
        <v>91</v>
      </c>
      <c r="C1034" s="18" t="s">
        <v>99</v>
      </c>
      <c r="D1034" s="18" t="str">
        <f t="shared" si="369"/>
        <v>CAT1.1E_140</v>
      </c>
      <c r="E1034" s="55" t="s">
        <v>83</v>
      </c>
      <c r="F1034" s="18">
        <v>140</v>
      </c>
      <c r="G1034" s="18">
        <v>2.1</v>
      </c>
      <c r="H1034" s="46">
        <v>1.8</v>
      </c>
      <c r="I1034" s="46">
        <v>1.2</v>
      </c>
      <c r="J1034" s="23">
        <f t="shared" si="370"/>
        <v>3.5819550000000007</v>
      </c>
      <c r="K1034" s="61">
        <v>0.26935483870967747</v>
      </c>
      <c r="L1034" s="45">
        <f t="shared" si="379"/>
        <v>13.224193548387095</v>
      </c>
      <c r="M1034" s="45">
        <f t="shared" si="366"/>
        <v>14.424193548387095</v>
      </c>
      <c r="N1034" s="46">
        <f t="shared" si="381"/>
        <v>13.824193548387095</v>
      </c>
      <c r="O1034" s="46">
        <f t="shared" si="380"/>
        <v>173.22419354838709</v>
      </c>
      <c r="P1034" s="46">
        <f t="shared" si="367"/>
        <v>174.42419354838708</v>
      </c>
      <c r="Q1034" s="46">
        <f t="shared" si="362"/>
        <v>173.82419354838709</v>
      </c>
      <c r="R1034" s="46">
        <v>173.22419354838709</v>
      </c>
      <c r="S1034" s="46">
        <v>174.42419354838708</v>
      </c>
      <c r="T1034" s="54">
        <v>173.8</v>
      </c>
      <c r="U1034" s="46">
        <f t="shared" si="371"/>
        <v>173.8</v>
      </c>
      <c r="V1034" s="18">
        <v>6.2396000000000003</v>
      </c>
      <c r="W1034" s="18">
        <v>1.7930999999999999</v>
      </c>
      <c r="X1034" s="23">
        <v>1.1476266666666699</v>
      </c>
      <c r="Y1034" s="23">
        <f t="shared" si="372"/>
        <v>5.0919733333333301</v>
      </c>
      <c r="Z1034" s="23">
        <f t="shared" si="373"/>
        <v>0.64547333333333001</v>
      </c>
      <c r="AA1034" s="21">
        <f t="shared" si="374"/>
        <v>87.323709472162776</v>
      </c>
      <c r="AB1034" s="21">
        <f t="shared" si="375"/>
        <v>12.676290527837224</v>
      </c>
      <c r="AC1034" s="23">
        <f>Y1034/J1034</f>
        <v>1.4215626196681224</v>
      </c>
      <c r="AD1034" s="23">
        <f>Z1034/J1034</f>
        <v>0.18020140770426482</v>
      </c>
      <c r="AE1034" s="57">
        <v>15.04</v>
      </c>
      <c r="AF1034" s="57">
        <v>15.226000000000001</v>
      </c>
      <c r="AG1034" s="57">
        <v>15.058999999999999</v>
      </c>
      <c r="AH1034" s="58">
        <f>AG1034-AE1034</f>
        <v>1.9000000000000128E-2</v>
      </c>
      <c r="AI1034" s="59">
        <f>((AF1034-AG1034)/(AF1034-AE1034))*100</f>
        <v>89.784946236559165</v>
      </c>
      <c r="AJ1034" s="26">
        <f t="shared" si="376"/>
        <v>4.4892473118279588</v>
      </c>
      <c r="AK1034" s="26">
        <f t="shared" si="377"/>
        <v>51.898812853502413</v>
      </c>
      <c r="AL1034" s="26">
        <f t="shared" si="378"/>
        <v>4.4901493768865368</v>
      </c>
      <c r="AM1034" s="17">
        <f t="shared" si="368"/>
        <v>0.5780346820809249</v>
      </c>
      <c r="AN1034" s="52"/>
      <c r="AO1034" s="39"/>
      <c r="AP1034" s="18"/>
      <c r="AQ1034" s="17"/>
      <c r="AR1034" s="17"/>
      <c r="AS1034" s="27"/>
      <c r="AT1034" s="17"/>
      <c r="AU1034" s="17"/>
      <c r="AV1034" s="17"/>
      <c r="AW1034" s="17"/>
      <c r="AX1034" s="17"/>
      <c r="BB1034" s="17"/>
    </row>
    <row r="1035" spans="1:54" x14ac:dyDescent="0.2">
      <c r="A1035" s="18" t="s">
        <v>90</v>
      </c>
      <c r="B1035" s="18" t="s">
        <v>91</v>
      </c>
      <c r="C1035" s="18" t="s">
        <v>99</v>
      </c>
      <c r="D1035" s="18" t="str">
        <f t="shared" si="369"/>
        <v>CAT1.1E_141</v>
      </c>
      <c r="E1035" s="55" t="s">
        <v>83</v>
      </c>
      <c r="F1035" s="18">
        <v>141</v>
      </c>
      <c r="G1035" s="18">
        <v>1.9</v>
      </c>
      <c r="H1035" s="46">
        <v>2</v>
      </c>
      <c r="I1035" s="46">
        <v>1.2</v>
      </c>
      <c r="J1035" s="23">
        <f t="shared" si="370"/>
        <v>3.5819549999999998</v>
      </c>
      <c r="K1035" s="61">
        <v>0.26935483870967747</v>
      </c>
      <c r="L1035" s="45">
        <f t="shared" si="379"/>
        <v>14.693548387096772</v>
      </c>
      <c r="M1035" s="45">
        <f t="shared" si="366"/>
        <v>15.893548387096772</v>
      </c>
      <c r="N1035" s="46">
        <f t="shared" si="381"/>
        <v>15.293548387096772</v>
      </c>
      <c r="O1035" s="46">
        <f t="shared" si="380"/>
        <v>174.69354838709677</v>
      </c>
      <c r="P1035" s="46">
        <f t="shared" si="367"/>
        <v>175.89354838709676</v>
      </c>
      <c r="Q1035" s="46">
        <f t="shared" si="362"/>
        <v>175.29354838709676</v>
      </c>
      <c r="R1035" s="46">
        <v>174.69354838709677</v>
      </c>
      <c r="S1035" s="46">
        <v>175.89354838709676</v>
      </c>
      <c r="T1035" s="54">
        <v>175.3</v>
      </c>
      <c r="U1035" s="46">
        <f t="shared" si="371"/>
        <v>175.3</v>
      </c>
      <c r="V1035" s="18">
        <v>6.1280999999999999</v>
      </c>
      <c r="W1035" s="18">
        <v>1.7654000000000001</v>
      </c>
      <c r="X1035" s="23">
        <v>1.1476266666666699</v>
      </c>
      <c r="Y1035" s="23">
        <f t="shared" si="372"/>
        <v>4.9804733333333298</v>
      </c>
      <c r="Z1035" s="23">
        <f t="shared" si="373"/>
        <v>0.61777333333333018</v>
      </c>
      <c r="AA1035" s="21">
        <f t="shared" si="374"/>
        <v>87.596091937714135</v>
      </c>
      <c r="AB1035" s="21">
        <f t="shared" si="375"/>
        <v>12.403908062285865</v>
      </c>
      <c r="AC1035" s="23">
        <f>Y1035/J1035</f>
        <v>1.3904343670798014</v>
      </c>
      <c r="AD1035" s="23">
        <f>Z1035/J1035</f>
        <v>0.17246820055900486</v>
      </c>
      <c r="AE1035" s="57">
        <v>15.371</v>
      </c>
      <c r="AF1035" s="57">
        <v>15.467000000000001</v>
      </c>
      <c r="AG1035" s="57">
        <v>15.377000000000001</v>
      </c>
      <c r="AH1035" s="58">
        <f>AG1035-AE1035</f>
        <v>6.0000000000002274E-3</v>
      </c>
      <c r="AI1035" s="59">
        <f>((AF1035-AG1035)/(AF1035-AE1035))*100</f>
        <v>93.749999999999773</v>
      </c>
      <c r="AJ1035" s="26">
        <f t="shared" si="376"/>
        <v>4.6874999999999885</v>
      </c>
      <c r="AK1035" s="26">
        <f t="shared" si="377"/>
        <v>54.190751445086576</v>
      </c>
      <c r="AL1035" s="26">
        <f t="shared" si="378"/>
        <v>4.6883639203884222</v>
      </c>
      <c r="AM1035" s="17">
        <f t="shared" si="368"/>
        <v>0.5780346820809249</v>
      </c>
      <c r="AN1035" s="52"/>
      <c r="AO1035" s="39"/>
      <c r="AP1035" s="18"/>
      <c r="AQ1035" s="17"/>
      <c r="AR1035" s="17"/>
      <c r="AS1035" s="27"/>
      <c r="AT1035" s="17"/>
      <c r="AU1035" s="17"/>
      <c r="AV1035" s="17"/>
      <c r="AW1035" s="17"/>
      <c r="AX1035" s="17"/>
      <c r="BB1035" s="17"/>
    </row>
    <row r="1036" spans="1:54" x14ac:dyDescent="0.2">
      <c r="A1036" s="18" t="s">
        <v>90</v>
      </c>
      <c r="B1036" s="18" t="s">
        <v>91</v>
      </c>
      <c r="C1036" s="18" t="s">
        <v>99</v>
      </c>
      <c r="D1036" s="18" t="str">
        <f t="shared" si="369"/>
        <v>CAT1.1E_142</v>
      </c>
      <c r="E1036" s="55" t="s">
        <v>83</v>
      </c>
      <c r="F1036" s="18">
        <v>142</v>
      </c>
      <c r="G1036" s="18">
        <v>1.9</v>
      </c>
      <c r="H1036" s="46">
        <v>2.1</v>
      </c>
      <c r="I1036" s="46">
        <v>1.1499999999999999</v>
      </c>
      <c r="J1036" s="23">
        <f t="shared" si="370"/>
        <v>3.6109999999999998</v>
      </c>
      <c r="K1036" s="61">
        <v>0.26935483870967747</v>
      </c>
      <c r="L1036" s="45">
        <f t="shared" si="379"/>
        <v>16.162903225806449</v>
      </c>
      <c r="M1036" s="45">
        <f t="shared" si="366"/>
        <v>17.312903225806448</v>
      </c>
      <c r="N1036" s="46">
        <f t="shared" si="381"/>
        <v>16.737903225806448</v>
      </c>
      <c r="O1036" s="46">
        <f t="shared" si="380"/>
        <v>176.16290322580645</v>
      </c>
      <c r="P1036" s="46">
        <f t="shared" si="367"/>
        <v>177.31290322580645</v>
      </c>
      <c r="Q1036" s="46">
        <f t="shared" si="362"/>
        <v>176.73790322580646</v>
      </c>
      <c r="R1036" s="46">
        <v>176.16290322580645</v>
      </c>
      <c r="S1036" s="46">
        <v>177.31290322580645</v>
      </c>
      <c r="T1036" s="54">
        <v>176.7</v>
      </c>
      <c r="U1036" s="46">
        <f t="shared" si="371"/>
        <v>176.7</v>
      </c>
      <c r="V1036" s="18">
        <v>6.0152000000000001</v>
      </c>
      <c r="W1036" s="18">
        <v>1.7827999999999999</v>
      </c>
      <c r="X1036" s="23">
        <v>1.1476266666666699</v>
      </c>
      <c r="Y1036" s="23">
        <f t="shared" si="372"/>
        <v>4.86757333333333</v>
      </c>
      <c r="Z1036" s="23">
        <f t="shared" si="373"/>
        <v>0.63517333333333004</v>
      </c>
      <c r="AA1036" s="21">
        <f t="shared" si="374"/>
        <v>86.950924211379871</v>
      </c>
      <c r="AB1036" s="21">
        <f t="shared" si="375"/>
        <v>13.049075788620129</v>
      </c>
      <c r="AC1036" s="23">
        <f>Y1036/J1036</f>
        <v>1.3479848610726475</v>
      </c>
      <c r="AD1036" s="23">
        <f>Z1036/J1036</f>
        <v>0.17589956614049573</v>
      </c>
      <c r="AE1036" s="57">
        <v>16.774000000000001</v>
      </c>
      <c r="AF1036" s="57">
        <v>16.928000000000001</v>
      </c>
      <c r="AG1036" s="57">
        <v>16.780999999999999</v>
      </c>
      <c r="AH1036" s="58">
        <f>AG1036-AE1036</f>
        <v>6.9999999999978968E-3</v>
      </c>
      <c r="AI1036" s="59">
        <f>((AF1036-AG1036)/(AF1036-AE1036))*100</f>
        <v>95.454545454546817</v>
      </c>
      <c r="AJ1036" s="26">
        <f t="shared" si="376"/>
        <v>4.7727272727273409</v>
      </c>
      <c r="AK1036" s="26">
        <f t="shared" si="377"/>
        <v>55.176037834998162</v>
      </c>
      <c r="AL1036" s="26">
        <f t="shared" si="378"/>
        <v>4.7735757687330533</v>
      </c>
      <c r="AM1036" s="17">
        <f t="shared" si="368"/>
        <v>0.5780346820809249</v>
      </c>
      <c r="AN1036" s="52"/>
      <c r="AO1036" s="39"/>
      <c r="AP1036" s="18"/>
      <c r="AQ1036" s="17"/>
      <c r="AR1036" s="17"/>
      <c r="AS1036" s="27"/>
      <c r="AT1036" s="17"/>
      <c r="AU1036" s="17"/>
      <c r="AV1036" s="17"/>
      <c r="AW1036" s="17"/>
      <c r="AX1036" s="17"/>
      <c r="BB1036" s="17"/>
    </row>
    <row r="1037" spans="1:54" x14ac:dyDescent="0.2">
      <c r="A1037" s="18" t="s">
        <v>90</v>
      </c>
      <c r="B1037" s="18" t="s">
        <v>91</v>
      </c>
      <c r="C1037" s="18" t="s">
        <v>99</v>
      </c>
      <c r="D1037" s="18" t="str">
        <f t="shared" si="369"/>
        <v>CAT1.1E_143</v>
      </c>
      <c r="E1037" s="55" t="s">
        <v>83</v>
      </c>
      <c r="F1037" s="18">
        <v>143</v>
      </c>
      <c r="G1037" s="18">
        <v>1.9</v>
      </c>
      <c r="H1037" s="46">
        <v>2.1</v>
      </c>
      <c r="I1037" s="46">
        <v>1.1000000000000001</v>
      </c>
      <c r="J1037" s="23">
        <f t="shared" si="370"/>
        <v>3.4540000000000006</v>
      </c>
      <c r="K1037" s="61">
        <v>0.26935483870967747</v>
      </c>
      <c r="L1037" s="45">
        <f t="shared" si="379"/>
        <v>17.582258064516125</v>
      </c>
      <c r="M1037" s="45">
        <f t="shared" si="366"/>
        <v>18.682258064516127</v>
      </c>
      <c r="N1037" s="46">
        <f t="shared" si="381"/>
        <v>18.132258064516126</v>
      </c>
      <c r="O1037" s="46">
        <f t="shared" si="380"/>
        <v>177.58225806451614</v>
      </c>
      <c r="P1037" s="46">
        <f t="shared" si="367"/>
        <v>178.68225806451613</v>
      </c>
      <c r="Q1037" s="46">
        <f t="shared" si="362"/>
        <v>178.13225806451612</v>
      </c>
      <c r="R1037" s="46">
        <v>177.58225806451614</v>
      </c>
      <c r="S1037" s="46">
        <v>178.68225806451613</v>
      </c>
      <c r="T1037" s="54">
        <v>178.1</v>
      </c>
      <c r="U1037" s="46">
        <f t="shared" si="371"/>
        <v>178.1</v>
      </c>
      <c r="V1037" s="18">
        <v>5.8552999999999997</v>
      </c>
      <c r="W1037" s="18">
        <v>1.7594000000000001</v>
      </c>
      <c r="X1037" s="23">
        <v>1.1476266666666699</v>
      </c>
      <c r="Y1037" s="23">
        <f t="shared" si="372"/>
        <v>4.7076733333333296</v>
      </c>
      <c r="Z1037" s="23">
        <f t="shared" si="373"/>
        <v>0.61177333333333017</v>
      </c>
      <c r="AA1037" s="21">
        <f t="shared" si="374"/>
        <v>87.004762437495714</v>
      </c>
      <c r="AB1037" s="21">
        <f t="shared" si="375"/>
        <v>12.995237562504286</v>
      </c>
      <c r="AC1037" s="23">
        <f>Y1037/J1037</f>
        <v>1.3629627485041484</v>
      </c>
      <c r="AD1037" s="23">
        <f>Z1037/J1037</f>
        <v>0.17712024705655185</v>
      </c>
      <c r="AE1037" s="57">
        <v>15.3</v>
      </c>
      <c r="AF1037" s="57">
        <v>15.446</v>
      </c>
      <c r="AG1037" s="57">
        <v>15.308</v>
      </c>
      <c r="AH1037" s="58">
        <f>AG1037-AE1037</f>
        <v>7.9999999999991189E-3</v>
      </c>
      <c r="AI1037" s="59">
        <f>((AF1037-AG1037)/(AF1037-AE1037))*100</f>
        <v>94.520547945206047</v>
      </c>
      <c r="AJ1037" s="26">
        <f t="shared" si="376"/>
        <v>4.7260273972603022</v>
      </c>
      <c r="AK1037" s="26">
        <f t="shared" si="377"/>
        <v>54.636154881621998</v>
      </c>
      <c r="AL1037" s="26">
        <f t="shared" si="378"/>
        <v>4.7268842761014351</v>
      </c>
      <c r="AM1037" s="17">
        <f t="shared" si="368"/>
        <v>0.5780346820809249</v>
      </c>
      <c r="AN1037" s="52"/>
      <c r="AO1037" s="39"/>
      <c r="AP1037" s="18"/>
      <c r="AQ1037" s="17"/>
      <c r="AR1037" s="17"/>
      <c r="AS1037" s="27"/>
      <c r="AT1037" s="17"/>
      <c r="AU1037" s="17"/>
      <c r="AV1037" s="17"/>
      <c r="AW1037" s="17"/>
      <c r="AX1037" s="17"/>
      <c r="BB1037" s="17"/>
    </row>
    <row r="1038" spans="1:54" x14ac:dyDescent="0.2">
      <c r="A1038" s="18" t="s">
        <v>90</v>
      </c>
      <c r="B1038" s="18" t="s">
        <v>91</v>
      </c>
      <c r="C1038" s="18" t="s">
        <v>99</v>
      </c>
      <c r="D1038" s="18" t="str">
        <f t="shared" si="369"/>
        <v>CAT1.1E_144</v>
      </c>
      <c r="E1038" s="55" t="s">
        <v>83</v>
      </c>
      <c r="F1038" s="18">
        <v>144</v>
      </c>
      <c r="G1038" s="18">
        <v>1.9</v>
      </c>
      <c r="H1038" s="46">
        <v>2.2000000000000002</v>
      </c>
      <c r="I1038" s="46">
        <v>1.2</v>
      </c>
      <c r="J1038" s="23">
        <f t="shared" si="370"/>
        <v>3.9587549999999991</v>
      </c>
      <c r="K1038" s="61">
        <v>0.26935483870967747</v>
      </c>
      <c r="L1038" s="45">
        <f t="shared" si="379"/>
        <v>18.951612903225804</v>
      </c>
      <c r="M1038" s="45">
        <f t="shared" si="366"/>
        <v>20.151612903225804</v>
      </c>
      <c r="N1038" s="46">
        <f t="shared" si="381"/>
        <v>19.551612903225802</v>
      </c>
      <c r="O1038" s="46">
        <f t="shared" si="380"/>
        <v>178.95161290322582</v>
      </c>
      <c r="P1038" s="46">
        <f t="shared" si="367"/>
        <v>180.15161290322581</v>
      </c>
      <c r="Q1038" s="46">
        <f t="shared" si="362"/>
        <v>179.55161290322582</v>
      </c>
      <c r="R1038" s="46">
        <v>178.95161290322582</v>
      </c>
      <c r="S1038" s="46">
        <v>180.15161290322581</v>
      </c>
      <c r="T1038" s="54">
        <v>179.6</v>
      </c>
      <c r="U1038" s="46">
        <f t="shared" si="371"/>
        <v>179.6</v>
      </c>
      <c r="V1038" s="18">
        <v>6.5869</v>
      </c>
      <c r="W1038" s="18">
        <v>1.9579</v>
      </c>
      <c r="X1038" s="23">
        <v>1.1476266666666699</v>
      </c>
      <c r="Y1038" s="23">
        <f t="shared" si="372"/>
        <v>5.4392733333333299</v>
      </c>
      <c r="Z1038" s="23">
        <f t="shared" si="373"/>
        <v>0.81027333333333007</v>
      </c>
      <c r="AA1038" s="21">
        <f t="shared" si="374"/>
        <v>85.103279727316561</v>
      </c>
      <c r="AB1038" s="21">
        <f t="shared" si="375"/>
        <v>14.896720272683439</v>
      </c>
      <c r="AC1038" s="23">
        <f>Y1038/J1038</f>
        <v>1.3739858448763136</v>
      </c>
      <c r="AD1038" s="23">
        <f>Z1038/J1038</f>
        <v>0.20467882789749056</v>
      </c>
      <c r="AE1038" s="57">
        <v>17.803000000000001</v>
      </c>
      <c r="AF1038" s="57">
        <v>17.925999999999998</v>
      </c>
      <c r="AG1038" s="57">
        <v>17.821000000000002</v>
      </c>
      <c r="AH1038" s="58">
        <f>AG1038-AE1038</f>
        <v>1.8000000000000682E-2</v>
      </c>
      <c r="AI1038" s="59">
        <f>((AF1038-AG1038)/(AF1038-AE1038))*100</f>
        <v>85.365853658535741</v>
      </c>
      <c r="AJ1038" s="26">
        <f t="shared" si="376"/>
        <v>4.2682926829267869</v>
      </c>
      <c r="AK1038" s="26">
        <f t="shared" si="377"/>
        <v>49.344424080078468</v>
      </c>
      <c r="AL1038" s="26">
        <f t="shared" si="378"/>
        <v>4.2692414346258687</v>
      </c>
      <c r="AM1038" s="17">
        <f t="shared" si="368"/>
        <v>0.5780346820809249</v>
      </c>
      <c r="AN1038" s="52"/>
      <c r="AO1038" s="39"/>
      <c r="AP1038" s="18"/>
      <c r="AQ1038" s="17"/>
      <c r="AR1038" s="17"/>
      <c r="AS1038" s="27"/>
      <c r="AT1038" s="17"/>
      <c r="AU1038" s="17"/>
      <c r="AV1038" s="17"/>
      <c r="AW1038" s="17"/>
      <c r="AX1038" s="17"/>
      <c r="BB1038" s="17"/>
    </row>
    <row r="1039" spans="1:54" x14ac:dyDescent="0.2">
      <c r="A1039" s="18" t="s">
        <v>90</v>
      </c>
      <c r="B1039" s="18" t="s">
        <v>91</v>
      </c>
      <c r="C1039" s="18" t="s">
        <v>99</v>
      </c>
      <c r="D1039" s="18" t="str">
        <f t="shared" si="369"/>
        <v>CAT1.1E_145</v>
      </c>
      <c r="E1039" s="55" t="s">
        <v>83</v>
      </c>
      <c r="F1039" s="18">
        <v>145</v>
      </c>
      <c r="G1039" s="18">
        <v>2</v>
      </c>
      <c r="H1039" s="46">
        <v>2.2999999999999998</v>
      </c>
      <c r="I1039" s="46">
        <v>1.2</v>
      </c>
      <c r="J1039" s="23">
        <f t="shared" si="370"/>
        <v>4.3543950000000002</v>
      </c>
      <c r="K1039" s="61">
        <v>0.26935483870967747</v>
      </c>
      <c r="L1039" s="45">
        <f t="shared" si="379"/>
        <v>20.420967741935481</v>
      </c>
      <c r="M1039" s="45">
        <f t="shared" si="366"/>
        <v>21.62096774193548</v>
      </c>
      <c r="N1039" s="46">
        <f t="shared" si="381"/>
        <v>21.020967741935479</v>
      </c>
      <c r="O1039" s="46">
        <f t="shared" si="380"/>
        <v>180.4209677419355</v>
      </c>
      <c r="P1039" s="46">
        <f t="shared" si="367"/>
        <v>181.62096774193549</v>
      </c>
      <c r="Q1039" s="46">
        <f t="shared" si="362"/>
        <v>181.02096774193549</v>
      </c>
      <c r="R1039" s="46">
        <v>180.4209677419355</v>
      </c>
      <c r="S1039" s="46">
        <v>181.62096774193549</v>
      </c>
      <c r="T1039" s="54">
        <v>181</v>
      </c>
      <c r="U1039" s="46">
        <f t="shared" si="371"/>
        <v>181</v>
      </c>
      <c r="V1039" s="18">
        <v>8.4596</v>
      </c>
      <c r="W1039" s="18">
        <v>4.2093999999999996</v>
      </c>
      <c r="X1039" s="23">
        <v>1.1476266666666699</v>
      </c>
      <c r="Y1039" s="23">
        <f t="shared" si="372"/>
        <v>7.3119733333333299</v>
      </c>
      <c r="Z1039" s="23">
        <f t="shared" si="373"/>
        <v>3.0617733333333295</v>
      </c>
      <c r="AA1039" s="21">
        <f t="shared" si="374"/>
        <v>58.126579600946791</v>
      </c>
      <c r="AB1039" s="21">
        <f t="shared" si="375"/>
        <v>41.873420399053209</v>
      </c>
      <c r="AC1039" s="23">
        <f>Y1039/J1039</f>
        <v>1.6792168219312509</v>
      </c>
      <c r="AD1039" s="23">
        <f>Z1039/J1039</f>
        <v>0.70314551925889346</v>
      </c>
      <c r="AE1039" s="57">
        <v>16.175000000000001</v>
      </c>
      <c r="AF1039" s="57">
        <v>16.835000000000001</v>
      </c>
      <c r="AG1039" s="57">
        <v>16.783999999999999</v>
      </c>
      <c r="AH1039" s="58">
        <f>AG1039-AE1039</f>
        <v>0.60899999999999821</v>
      </c>
      <c r="AI1039" s="59">
        <f>((AF1039-AG1039)/(AF1039-AE1039))*100</f>
        <v>7.7272727272730188</v>
      </c>
      <c r="AJ1039" s="26">
        <f t="shared" si="376"/>
        <v>0.38636363636365095</v>
      </c>
      <c r="AK1039" s="26">
        <f t="shared" si="377"/>
        <v>4.4666316342618613</v>
      </c>
      <c r="AL1039" s="26">
        <f t="shared" si="378"/>
        <v>0.39670752388144026</v>
      </c>
      <c r="AM1039" s="17">
        <f t="shared" si="368"/>
        <v>0.5780346820809249</v>
      </c>
      <c r="AN1039" s="52"/>
      <c r="AO1039" s="39"/>
      <c r="AP1039" s="18"/>
      <c r="AQ1039" s="17"/>
      <c r="AR1039" s="17"/>
      <c r="AS1039" s="27"/>
      <c r="AT1039" s="17"/>
      <c r="AU1039" s="17"/>
      <c r="AV1039" s="17"/>
      <c r="AW1039" s="17"/>
      <c r="AX1039" s="17"/>
      <c r="BB1039" s="17"/>
    </row>
    <row r="1040" spans="1:54" x14ac:dyDescent="0.2">
      <c r="A1040" s="18" t="s">
        <v>90</v>
      </c>
      <c r="B1040" s="18" t="s">
        <v>91</v>
      </c>
      <c r="C1040" s="18" t="s">
        <v>99</v>
      </c>
      <c r="D1040" s="18" t="str">
        <f t="shared" si="369"/>
        <v>CAT1.1E_146</v>
      </c>
      <c r="E1040" s="55" t="s">
        <v>83</v>
      </c>
      <c r="F1040" s="18">
        <v>146</v>
      </c>
      <c r="G1040" s="18">
        <v>2</v>
      </c>
      <c r="H1040" s="46">
        <v>2.4</v>
      </c>
      <c r="I1040" s="46">
        <v>1.1000000000000001</v>
      </c>
      <c r="J1040" s="23">
        <f t="shared" si="370"/>
        <v>4.1793400000000016</v>
      </c>
      <c r="K1040" s="61">
        <v>0.26935483870967747</v>
      </c>
      <c r="L1040" s="45">
        <f t="shared" si="379"/>
        <v>21.890322580645158</v>
      </c>
      <c r="M1040" s="45">
        <f t="shared" si="366"/>
        <v>22.990322580645159</v>
      </c>
      <c r="N1040" s="46">
        <f t="shared" si="381"/>
        <v>22.440322580645159</v>
      </c>
      <c r="O1040" s="46">
        <f t="shared" si="380"/>
        <v>181.89032258064518</v>
      </c>
      <c r="P1040" s="46">
        <f t="shared" si="367"/>
        <v>182.99032258064517</v>
      </c>
      <c r="Q1040" s="46">
        <f t="shared" si="362"/>
        <v>182.44032258064516</v>
      </c>
      <c r="R1040" s="46">
        <v>181.89032258064518</v>
      </c>
      <c r="S1040" s="46">
        <v>182.99032258064517</v>
      </c>
      <c r="T1040" s="54">
        <v>182.4</v>
      </c>
      <c r="U1040" s="46">
        <f t="shared" si="371"/>
        <v>182.4</v>
      </c>
      <c r="V1040" s="18">
        <v>8.1486000000000001</v>
      </c>
      <c r="W1040" s="18">
        <v>3.6650999999999998</v>
      </c>
      <c r="X1040" s="23">
        <v>1.1476266666666699</v>
      </c>
      <c r="Y1040" s="23">
        <f t="shared" si="372"/>
        <v>7.0009733333333299</v>
      </c>
      <c r="Z1040" s="23">
        <f t="shared" si="373"/>
        <v>2.5174733333333297</v>
      </c>
      <c r="AA1040" s="21">
        <f t="shared" si="374"/>
        <v>64.04109523818596</v>
      </c>
      <c r="AB1040" s="21">
        <f t="shared" si="375"/>
        <v>35.95890476181404</v>
      </c>
      <c r="AC1040" s="23">
        <f>Y1040/J1040</f>
        <v>1.6751384987422242</v>
      </c>
      <c r="AD1040" s="23">
        <f>Z1040/J1040</f>
        <v>0.60236145739119784</v>
      </c>
      <c r="AE1040" s="57">
        <v>16.588999999999999</v>
      </c>
      <c r="AF1040" s="57">
        <v>17.077999999999999</v>
      </c>
      <c r="AG1040" s="57">
        <v>17.006</v>
      </c>
      <c r="AH1040" s="58">
        <f>AG1040-AE1040</f>
        <v>0.41700000000000159</v>
      </c>
      <c r="AI1040" s="59">
        <f>((AF1040-AG1040)/(AF1040-AE1040))*100</f>
        <v>14.723926380367908</v>
      </c>
      <c r="AJ1040" s="26">
        <f t="shared" si="376"/>
        <v>0.73619631901839544</v>
      </c>
      <c r="AK1040" s="26">
        <f t="shared" si="377"/>
        <v>8.510940104258907</v>
      </c>
      <c r="AL1040" s="26">
        <f t="shared" si="378"/>
        <v>0.74167716705871101</v>
      </c>
      <c r="AM1040" s="17">
        <f t="shared" si="368"/>
        <v>0.5780346820809249</v>
      </c>
      <c r="AN1040" s="52"/>
      <c r="AO1040" s="39"/>
      <c r="AP1040" s="18"/>
      <c r="AQ1040" s="17"/>
      <c r="AR1040" s="17"/>
      <c r="AS1040" s="27"/>
      <c r="AT1040" s="17"/>
      <c r="AU1040" s="17"/>
      <c r="AV1040" s="17"/>
      <c r="AW1040" s="17"/>
      <c r="AX1040" s="17"/>
      <c r="BB1040" s="17"/>
    </row>
    <row r="1041" spans="1:54" x14ac:dyDescent="0.2">
      <c r="A1041" s="18" t="s">
        <v>90</v>
      </c>
      <c r="B1041" s="18" t="s">
        <v>91</v>
      </c>
      <c r="C1041" s="18" t="s">
        <v>99</v>
      </c>
      <c r="D1041" s="18" t="str">
        <f t="shared" si="369"/>
        <v>CAT1.1E_147</v>
      </c>
      <c r="E1041" s="55" t="s">
        <v>83</v>
      </c>
      <c r="F1041" s="18">
        <v>147</v>
      </c>
      <c r="G1041" s="18">
        <v>1.9</v>
      </c>
      <c r="H1041" s="46">
        <v>2.2000000000000002</v>
      </c>
      <c r="I1041" s="46">
        <v>1.1000000000000001</v>
      </c>
      <c r="J1041" s="23">
        <f t="shared" si="370"/>
        <v>3.6288587499999996</v>
      </c>
      <c r="K1041" s="61">
        <v>0.26935483870967747</v>
      </c>
      <c r="L1041" s="45">
        <f t="shared" si="379"/>
        <v>23.259677419354837</v>
      </c>
      <c r="M1041" s="45">
        <f t="shared" si="366"/>
        <v>24.359677419354838</v>
      </c>
      <c r="N1041" s="46">
        <f t="shared" si="381"/>
        <v>23.809677419354838</v>
      </c>
      <c r="O1041" s="46">
        <f t="shared" si="380"/>
        <v>183.25967741935486</v>
      </c>
      <c r="P1041" s="46">
        <f t="shared" si="367"/>
        <v>184.35967741935485</v>
      </c>
      <c r="Q1041" s="46">
        <f t="shared" si="362"/>
        <v>183.80967741935484</v>
      </c>
      <c r="R1041" s="46">
        <v>183.25967741935486</v>
      </c>
      <c r="S1041" s="46">
        <v>184.35967741935485</v>
      </c>
      <c r="T1041" s="54">
        <v>183.8</v>
      </c>
      <c r="U1041" s="46">
        <f t="shared" si="371"/>
        <v>183.8</v>
      </c>
      <c r="V1041" s="18">
        <v>6.6440000000000001</v>
      </c>
      <c r="W1041" s="18">
        <v>1.7955000000000001</v>
      </c>
      <c r="X1041" s="23">
        <v>1.1476266666666699</v>
      </c>
      <c r="Y1041" s="23">
        <f t="shared" si="372"/>
        <v>5.49637333333333</v>
      </c>
      <c r="Z1041" s="23">
        <f t="shared" si="373"/>
        <v>0.64787333333333019</v>
      </c>
      <c r="AA1041" s="21">
        <f t="shared" si="374"/>
        <v>88.212712382468013</v>
      </c>
      <c r="AB1041" s="21">
        <f t="shared" si="375"/>
        <v>11.787287617531987</v>
      </c>
      <c r="AC1041" s="23">
        <f>Y1041/J1041</f>
        <v>1.5146286234848161</v>
      </c>
      <c r="AD1041" s="23">
        <f>Z1041/J1041</f>
        <v>0.17853363218762106</v>
      </c>
      <c r="AE1041" s="57">
        <v>16.190000000000001</v>
      </c>
      <c r="AF1041" s="57">
        <v>16.309000000000001</v>
      </c>
      <c r="AG1041" s="57">
        <v>16.199000000000002</v>
      </c>
      <c r="AH1041" s="58">
        <f>AG1041-AE1041</f>
        <v>9.0000000000003411E-3</v>
      </c>
      <c r="AI1041" s="59">
        <f>((AF1041-AG1041)/(AF1041-AE1041))*100</f>
        <v>92.436974789915666</v>
      </c>
      <c r="AJ1041" s="26">
        <f t="shared" si="376"/>
        <v>4.6218487394957837</v>
      </c>
      <c r="AK1041" s="26">
        <f t="shared" si="377"/>
        <v>53.431777335211372</v>
      </c>
      <c r="AL1041" s="26">
        <f t="shared" si="378"/>
        <v>4.6227249291709711</v>
      </c>
      <c r="AM1041" s="17">
        <f t="shared" si="368"/>
        <v>0.5780346820809249</v>
      </c>
      <c r="AN1041" s="52"/>
      <c r="AO1041" s="39"/>
      <c r="AP1041" s="18"/>
      <c r="AQ1041" s="17"/>
      <c r="AR1041" s="17"/>
      <c r="AS1041" s="27"/>
      <c r="AT1041" s="17"/>
      <c r="AU1041" s="17"/>
      <c r="AV1041" s="17"/>
      <c r="AW1041" s="17"/>
      <c r="AX1041" s="17"/>
      <c r="BB1041" s="17"/>
    </row>
    <row r="1042" spans="1:54" x14ac:dyDescent="0.2">
      <c r="A1042" s="18" t="s">
        <v>90</v>
      </c>
      <c r="B1042" s="18" t="s">
        <v>91</v>
      </c>
      <c r="C1042" s="18" t="s">
        <v>99</v>
      </c>
      <c r="D1042" s="18" t="str">
        <f t="shared" si="369"/>
        <v>CAT1.1E_148</v>
      </c>
      <c r="E1042" s="55" t="s">
        <v>83</v>
      </c>
      <c r="F1042" s="18">
        <v>148</v>
      </c>
      <c r="G1042" s="18">
        <v>1.8</v>
      </c>
      <c r="H1042" s="46">
        <v>2.1</v>
      </c>
      <c r="I1042" s="46">
        <v>1.2</v>
      </c>
      <c r="J1042" s="23">
        <f t="shared" si="370"/>
        <v>3.5819550000000007</v>
      </c>
      <c r="K1042" s="61">
        <v>0.26935483870967747</v>
      </c>
      <c r="L1042" s="45">
        <f t="shared" si="379"/>
        <v>24.629032258064516</v>
      </c>
      <c r="M1042" s="45">
        <f t="shared" si="366"/>
        <v>25.829032258064515</v>
      </c>
      <c r="N1042" s="46">
        <f t="shared" si="381"/>
        <v>25.229032258064514</v>
      </c>
      <c r="O1042" s="46">
        <f t="shared" si="380"/>
        <v>184.62903225806454</v>
      </c>
      <c r="P1042" s="46">
        <f t="shared" si="367"/>
        <v>185.82903225806453</v>
      </c>
      <c r="Q1042" s="46">
        <f t="shared" si="362"/>
        <v>185.22903225806454</v>
      </c>
      <c r="R1042" s="46">
        <v>184.62903225806454</v>
      </c>
      <c r="S1042" s="46">
        <v>185.82903225806453</v>
      </c>
      <c r="T1042" s="54">
        <v>185.2</v>
      </c>
      <c r="U1042" s="46">
        <f t="shared" si="371"/>
        <v>185.2</v>
      </c>
      <c r="V1042" s="18">
        <v>6.5278999999999998</v>
      </c>
      <c r="W1042" s="18">
        <v>1.7741</v>
      </c>
      <c r="X1042" s="23">
        <v>1.1476266666666699</v>
      </c>
      <c r="Y1042" s="23">
        <f t="shared" si="372"/>
        <v>5.3802733333333297</v>
      </c>
      <c r="Z1042" s="23">
        <f t="shared" si="373"/>
        <v>0.62647333333333011</v>
      </c>
      <c r="AA1042" s="21">
        <f t="shared" si="374"/>
        <v>88.356105823619927</v>
      </c>
      <c r="AB1042" s="21">
        <f t="shared" si="375"/>
        <v>11.643894176380073</v>
      </c>
      <c r="AC1042" s="23">
        <f>Y1042/J1042</f>
        <v>1.5020493929525438</v>
      </c>
      <c r="AD1042" s="23">
        <f>Z1042/J1042</f>
        <v>0.1748970417923536</v>
      </c>
      <c r="AE1042" s="57">
        <v>14.494999999999999</v>
      </c>
      <c r="AF1042" s="57">
        <v>14.657</v>
      </c>
      <c r="AG1042" s="57">
        <v>14.507</v>
      </c>
      <c r="AH1042" s="58">
        <f>AG1042-AE1042</f>
        <v>1.2000000000000455E-2</v>
      </c>
      <c r="AI1042" s="59">
        <f>((AF1042-AG1042)/(AF1042-AE1042))*100</f>
        <v>92.592592592592354</v>
      </c>
      <c r="AJ1042" s="26">
        <f t="shared" si="376"/>
        <v>4.6296296296296182</v>
      </c>
      <c r="AK1042" s="26">
        <f t="shared" si="377"/>
        <v>53.521729822307726</v>
      </c>
      <c r="AL1042" s="26">
        <f t="shared" si="378"/>
        <v>4.6305043469955276</v>
      </c>
      <c r="AM1042" s="17">
        <f t="shared" si="368"/>
        <v>0.5780346820809249</v>
      </c>
      <c r="AN1042" s="52"/>
      <c r="AO1042" s="39"/>
      <c r="AP1042" s="18"/>
      <c r="AQ1042" s="17"/>
      <c r="AR1042" s="17"/>
      <c r="AS1042" s="27"/>
      <c r="AT1042" s="17"/>
      <c r="AU1042" s="17"/>
      <c r="AV1042" s="17"/>
      <c r="AW1042" s="17"/>
      <c r="AX1042" s="17"/>
      <c r="BB1042" s="17"/>
    </row>
    <row r="1043" spans="1:54" x14ac:dyDescent="0.2">
      <c r="A1043" s="18" t="s">
        <v>90</v>
      </c>
      <c r="B1043" s="18" t="s">
        <v>91</v>
      </c>
      <c r="C1043" s="18" t="s">
        <v>99</v>
      </c>
      <c r="D1043" s="18" t="str">
        <f t="shared" si="369"/>
        <v>CAT1.1E_149</v>
      </c>
      <c r="E1043" s="55" t="s">
        <v>83</v>
      </c>
      <c r="F1043" s="18">
        <v>149</v>
      </c>
      <c r="G1043" s="18">
        <v>2</v>
      </c>
      <c r="H1043" s="46">
        <v>2.1</v>
      </c>
      <c r="I1043" s="46">
        <v>1.2</v>
      </c>
      <c r="J1043" s="23">
        <f t="shared" si="370"/>
        <v>3.9587549999999991</v>
      </c>
      <c r="K1043" s="61">
        <v>0.26935483870967747</v>
      </c>
      <c r="L1043" s="45">
        <f t="shared" si="379"/>
        <v>26.098387096774193</v>
      </c>
      <c r="M1043" s="45">
        <f t="shared" si="366"/>
        <v>27.298387096774192</v>
      </c>
      <c r="N1043" s="46">
        <f t="shared" si="381"/>
        <v>26.698387096774191</v>
      </c>
      <c r="O1043" s="46">
        <f t="shared" si="380"/>
        <v>186.09838709677422</v>
      </c>
      <c r="P1043" s="46">
        <f t="shared" si="367"/>
        <v>187.29838709677421</v>
      </c>
      <c r="Q1043" s="46">
        <f t="shared" si="362"/>
        <v>186.69838709677421</v>
      </c>
      <c r="R1043" s="46">
        <v>186.09838709677422</v>
      </c>
      <c r="S1043" s="46">
        <v>187.29838709677421</v>
      </c>
      <c r="T1043" s="54">
        <v>186.7</v>
      </c>
      <c r="U1043" s="46">
        <f t="shared" si="371"/>
        <v>186.7</v>
      </c>
      <c r="V1043" s="18">
        <v>6.6889000000000003</v>
      </c>
      <c r="W1043" s="18">
        <v>1.7987</v>
      </c>
      <c r="X1043" s="23">
        <v>1.1476266666666699</v>
      </c>
      <c r="Y1043" s="23">
        <f t="shared" si="372"/>
        <v>5.5412733333333302</v>
      </c>
      <c r="Z1043" s="23">
        <f t="shared" si="373"/>
        <v>0.65107333333333006</v>
      </c>
      <c r="AA1043" s="21">
        <f t="shared" si="374"/>
        <v>88.250474319380317</v>
      </c>
      <c r="AB1043" s="21">
        <f t="shared" si="375"/>
        <v>11.749525680619683</v>
      </c>
      <c r="AC1043" s="23">
        <f>Y1043/J1043</f>
        <v>1.399751521206372</v>
      </c>
      <c r="AD1043" s="23">
        <f>Z1043/J1043</f>
        <v>0.16446416444900738</v>
      </c>
      <c r="AE1043" s="57">
        <v>17.027000000000001</v>
      </c>
      <c r="AF1043" s="57">
        <v>17.18</v>
      </c>
      <c r="AG1043" s="57">
        <v>17.039000000000001</v>
      </c>
      <c r="AH1043" s="58">
        <f>AG1043-AE1043</f>
        <v>1.2000000000000455E-2</v>
      </c>
      <c r="AI1043" s="59">
        <f>((AF1043-AG1043)/(AF1043-AE1043))*100</f>
        <v>92.156862745097683</v>
      </c>
      <c r="AJ1043" s="26">
        <f t="shared" si="376"/>
        <v>4.6078431372548847</v>
      </c>
      <c r="AK1043" s="26">
        <f t="shared" si="377"/>
        <v>53.269862858437975</v>
      </c>
      <c r="AL1043" s="26">
        <f t="shared" si="378"/>
        <v>4.6087219896134917</v>
      </c>
      <c r="AM1043" s="17">
        <f t="shared" si="368"/>
        <v>0.5780346820809249</v>
      </c>
      <c r="AN1043" s="52"/>
      <c r="AO1043" s="39"/>
      <c r="AP1043" s="18"/>
      <c r="AQ1043" s="17"/>
      <c r="AR1043" s="17"/>
      <c r="AS1043" s="27"/>
      <c r="AT1043" s="17"/>
      <c r="AU1043" s="17"/>
      <c r="AV1043" s="17"/>
      <c r="AW1043" s="17"/>
      <c r="AX1043" s="17"/>
      <c r="BB1043" s="17"/>
    </row>
    <row r="1044" spans="1:54" x14ac:dyDescent="0.2">
      <c r="A1044" s="18" t="s">
        <v>90</v>
      </c>
      <c r="B1044" s="18" t="s">
        <v>91</v>
      </c>
      <c r="C1044" s="18" t="s">
        <v>99</v>
      </c>
      <c r="D1044" s="18" t="str">
        <f t="shared" si="369"/>
        <v>CAT1.1E_150</v>
      </c>
      <c r="E1044" s="55" t="s">
        <v>83</v>
      </c>
      <c r="F1044" s="18">
        <v>150</v>
      </c>
      <c r="G1044" s="18">
        <v>1.9</v>
      </c>
      <c r="H1044" s="46">
        <v>2.2000000000000002</v>
      </c>
      <c r="I1044" s="46">
        <v>1.2</v>
      </c>
      <c r="J1044" s="23">
        <f t="shared" si="370"/>
        <v>3.9587549999999991</v>
      </c>
      <c r="K1044" s="61">
        <v>0.26935483870967747</v>
      </c>
      <c r="L1044" s="45">
        <f t="shared" si="379"/>
        <v>27.56774193548387</v>
      </c>
      <c r="M1044" s="45">
        <f t="shared" si="366"/>
        <v>28.767741935483869</v>
      </c>
      <c r="N1044" s="46">
        <f t="shared" si="381"/>
        <v>28.167741935483868</v>
      </c>
      <c r="O1044" s="46">
        <f t="shared" si="380"/>
        <v>187.56774193548389</v>
      </c>
      <c r="P1044" s="46">
        <f t="shared" si="367"/>
        <v>188.76774193548388</v>
      </c>
      <c r="Q1044" s="46">
        <f t="shared" si="362"/>
        <v>188.16774193548389</v>
      </c>
      <c r="R1044" s="46">
        <v>187.56774193548389</v>
      </c>
      <c r="S1044" s="46">
        <v>188.76774193548388</v>
      </c>
      <c r="T1044" s="54">
        <v>188.2</v>
      </c>
      <c r="U1044" s="46">
        <f t="shared" si="371"/>
        <v>188.2</v>
      </c>
      <c r="V1044" s="18">
        <v>7.0845000000000002</v>
      </c>
      <c r="W1044" s="18">
        <v>1.8915999999999999</v>
      </c>
      <c r="X1044" s="23">
        <v>1.1476266666666699</v>
      </c>
      <c r="Y1044" s="23">
        <f t="shared" si="372"/>
        <v>5.9368733333333301</v>
      </c>
      <c r="Z1044" s="23">
        <f t="shared" si="373"/>
        <v>0.74397333333333004</v>
      </c>
      <c r="AA1044" s="21">
        <f t="shared" si="374"/>
        <v>87.468600194715336</v>
      </c>
      <c r="AB1044" s="21">
        <f t="shared" si="375"/>
        <v>12.531399805284664</v>
      </c>
      <c r="AC1044" s="23">
        <f>Y1044/J1044</f>
        <v>1.499681928619814</v>
      </c>
      <c r="AD1044" s="23">
        <f>Z1044/J1044</f>
        <v>0.18793113828295266</v>
      </c>
      <c r="AE1044" s="57">
        <v>17.05</v>
      </c>
      <c r="AF1044" s="57">
        <v>17.198</v>
      </c>
      <c r="AG1044" s="57">
        <v>17.062000000000001</v>
      </c>
      <c r="AH1044" s="58">
        <f>AG1044-AE1044</f>
        <v>1.2000000000000455E-2</v>
      </c>
      <c r="AI1044" s="59">
        <f>((AF1044-AG1044)/(AF1044-AE1044))*100</f>
        <v>91.891891891891561</v>
      </c>
      <c r="AJ1044" s="26">
        <f t="shared" si="376"/>
        <v>4.5945945945945779</v>
      </c>
      <c r="AK1044" s="26">
        <f t="shared" si="377"/>
        <v>53.11670051554426</v>
      </c>
      <c r="AL1044" s="26">
        <f t="shared" si="378"/>
        <v>4.5954759806441938</v>
      </c>
      <c r="AM1044" s="17">
        <f t="shared" si="368"/>
        <v>0.5780346820809249</v>
      </c>
      <c r="AN1044" s="52"/>
      <c r="AO1044" s="39"/>
      <c r="AP1044" s="18"/>
      <c r="AQ1044" s="17"/>
      <c r="AR1044" s="17"/>
      <c r="AS1044" s="27"/>
      <c r="AT1044" s="17"/>
      <c r="AU1044" s="17"/>
      <c r="AV1044" s="17"/>
      <c r="AW1044" s="17"/>
      <c r="AX1044" s="17"/>
      <c r="BB1044" s="17"/>
    </row>
    <row r="1045" spans="1:54" x14ac:dyDescent="0.2">
      <c r="A1045" s="18" t="s">
        <v>90</v>
      </c>
      <c r="B1045" s="18" t="s">
        <v>91</v>
      </c>
      <c r="C1045" s="18" t="s">
        <v>99</v>
      </c>
      <c r="D1045" s="18" t="str">
        <f t="shared" si="369"/>
        <v>CAT1.1E_151</v>
      </c>
      <c r="E1045" s="55" t="s">
        <v>83</v>
      </c>
      <c r="F1045" s="18">
        <v>151</v>
      </c>
      <c r="G1045" s="18">
        <v>2.1</v>
      </c>
      <c r="H1045" s="46">
        <v>2.2000000000000002</v>
      </c>
      <c r="I1045" s="46">
        <v>1.3</v>
      </c>
      <c r="J1045" s="23">
        <f t="shared" si="370"/>
        <v>4.7172612500000026</v>
      </c>
      <c r="K1045" s="61">
        <v>0.26935483870967747</v>
      </c>
      <c r="L1045" s="45">
        <f t="shared" si="379"/>
        <v>29.037096774193547</v>
      </c>
      <c r="M1045" s="45">
        <f t="shared" si="366"/>
        <v>30.337096774193547</v>
      </c>
      <c r="N1045" s="46">
        <f t="shared" si="381"/>
        <v>29.687096774193549</v>
      </c>
      <c r="O1045" s="46">
        <f t="shared" si="380"/>
        <v>189.03709677419357</v>
      </c>
      <c r="P1045" s="46">
        <f t="shared" si="367"/>
        <v>190.33709677419358</v>
      </c>
      <c r="Q1045" s="46">
        <f t="shared" si="362"/>
        <v>189.68709677419358</v>
      </c>
      <c r="R1045" s="46">
        <v>189.03709677419357</v>
      </c>
      <c r="S1045" s="46">
        <v>190.33709677419358</v>
      </c>
      <c r="T1045" s="54">
        <v>189.7</v>
      </c>
      <c r="U1045" s="46">
        <f t="shared" si="371"/>
        <v>189.7</v>
      </c>
      <c r="V1045" s="18">
        <v>5.9653</v>
      </c>
      <c r="W1045" s="18">
        <v>1.7253000000000001</v>
      </c>
      <c r="X1045" s="23">
        <v>1.1476266666666699</v>
      </c>
      <c r="Y1045" s="23">
        <f t="shared" si="372"/>
        <v>4.8176733333333299</v>
      </c>
      <c r="Z1045" s="23">
        <f t="shared" si="373"/>
        <v>0.57767333333333015</v>
      </c>
      <c r="AA1045" s="21">
        <f t="shared" si="374"/>
        <v>88.009288024233072</v>
      </c>
      <c r="AB1045" s="21">
        <f t="shared" si="375"/>
        <v>11.990711975766928</v>
      </c>
      <c r="AC1045" s="23">
        <f>Y1045/J1045</f>
        <v>1.0212860975917599</v>
      </c>
      <c r="AD1045" s="23">
        <f>Z1045/J1045</f>
        <v>0.12245947441077804</v>
      </c>
      <c r="AE1045" s="57">
        <v>14.596</v>
      </c>
      <c r="AF1045" s="57">
        <v>14.706</v>
      </c>
      <c r="AG1045" s="57">
        <v>14.6</v>
      </c>
      <c r="AH1045" s="58">
        <f>AG1045-AE1045</f>
        <v>3.9999999999995595E-3</v>
      </c>
      <c r="AI1045" s="59">
        <f>((AF1045-AG1045)/(AF1045-AE1045))*100</f>
        <v>96.363636363636743</v>
      </c>
      <c r="AJ1045" s="26">
        <f t="shared" si="376"/>
        <v>4.8181818181818379</v>
      </c>
      <c r="AK1045" s="26">
        <f t="shared" si="377"/>
        <v>55.701523909616618</v>
      </c>
      <c r="AL1045" s="26">
        <f t="shared" si="378"/>
        <v>4.8190223109110049</v>
      </c>
      <c r="AM1045" s="17">
        <f t="shared" si="368"/>
        <v>0.5780346820809249</v>
      </c>
      <c r="AN1045" s="52"/>
      <c r="AO1045" s="39"/>
      <c r="AP1045" s="18"/>
      <c r="AQ1045" s="17"/>
      <c r="AR1045" s="17"/>
      <c r="AS1045" s="27"/>
      <c r="AT1045" s="17"/>
      <c r="AU1045" s="17"/>
      <c r="AV1045" s="17"/>
      <c r="AW1045" s="17"/>
      <c r="AX1045" s="17"/>
      <c r="BB1045" s="17"/>
    </row>
    <row r="1046" spans="1:54" x14ac:dyDescent="0.2">
      <c r="A1046" s="18" t="s">
        <v>90</v>
      </c>
      <c r="B1046" s="18" t="s">
        <v>91</v>
      </c>
      <c r="C1046" s="18" t="s">
        <v>99</v>
      </c>
      <c r="D1046" s="18" t="str">
        <f t="shared" si="369"/>
        <v>CAT1.1E_152</v>
      </c>
      <c r="E1046" s="55" t="s">
        <v>83</v>
      </c>
      <c r="F1046" s="18">
        <v>152</v>
      </c>
      <c r="G1046" s="18">
        <v>2</v>
      </c>
      <c r="H1046" s="46">
        <v>2.2000000000000002</v>
      </c>
      <c r="I1046" s="46">
        <v>1.3</v>
      </c>
      <c r="J1046" s="23">
        <f t="shared" si="370"/>
        <v>4.5004050000000007</v>
      </c>
      <c r="K1046" s="61">
        <v>0.26935483870967747</v>
      </c>
      <c r="L1046" s="45">
        <f t="shared" si="379"/>
        <v>30.606451612903225</v>
      </c>
      <c r="M1046" s="45">
        <f t="shared" si="366"/>
        <v>31.906451612903226</v>
      </c>
      <c r="N1046" s="46">
        <f t="shared" si="381"/>
        <v>31.256451612903227</v>
      </c>
      <c r="O1046" s="46">
        <f t="shared" si="380"/>
        <v>190.60645161290327</v>
      </c>
      <c r="P1046" s="46">
        <f t="shared" si="367"/>
        <v>191.90645161290328</v>
      </c>
      <c r="Q1046" s="46">
        <f t="shared" si="362"/>
        <v>191.25645161290328</v>
      </c>
      <c r="R1046" s="46">
        <v>190.60645161290327</v>
      </c>
      <c r="S1046" s="46">
        <v>191.90645161290328</v>
      </c>
      <c r="T1046" s="54">
        <v>191.3</v>
      </c>
      <c r="U1046" s="46">
        <f t="shared" si="371"/>
        <v>191.3</v>
      </c>
      <c r="V1046" s="18">
        <v>6.6205999999999996</v>
      </c>
      <c r="W1046" s="18">
        <v>1.7666999999999999</v>
      </c>
      <c r="X1046" s="23">
        <v>1.1476266666666699</v>
      </c>
      <c r="Y1046" s="23">
        <f t="shared" si="372"/>
        <v>5.4729733333333295</v>
      </c>
      <c r="Z1046" s="23">
        <f t="shared" si="373"/>
        <v>0.61907333333333003</v>
      </c>
      <c r="AA1046" s="21">
        <f t="shared" si="374"/>
        <v>88.688537370302129</v>
      </c>
      <c r="AB1046" s="21">
        <f t="shared" si="375"/>
        <v>11.311462629697871</v>
      </c>
      <c r="AC1046" s="23">
        <f>Y1046/J1046</f>
        <v>1.2161068466800939</v>
      </c>
      <c r="AD1046" s="23">
        <f>Z1046/J1046</f>
        <v>0.13755947149941616</v>
      </c>
      <c r="AE1046" s="57">
        <v>15.228</v>
      </c>
      <c r="AF1046" s="57">
        <v>15.308999999999999</v>
      </c>
      <c r="AG1046" s="57">
        <v>15.23</v>
      </c>
      <c r="AH1046" s="58">
        <f>AG1046-AE1046</f>
        <v>2.0000000000006679E-3</v>
      </c>
      <c r="AI1046" s="59">
        <f>((AF1046-AG1046)/(AF1046-AE1046))*100</f>
        <v>97.530864197530022</v>
      </c>
      <c r="AJ1046" s="26">
        <f t="shared" si="376"/>
        <v>4.8765432098765018</v>
      </c>
      <c r="AK1046" s="26">
        <f t="shared" si="377"/>
        <v>56.376222079497126</v>
      </c>
      <c r="AL1046" s="26">
        <f t="shared" si="378"/>
        <v>4.8773736454974017</v>
      </c>
      <c r="AM1046" s="17">
        <f t="shared" si="368"/>
        <v>0.5780346820809249</v>
      </c>
      <c r="AN1046" s="52"/>
      <c r="AO1046" s="39"/>
      <c r="AP1046" s="18"/>
      <c r="AQ1046" s="17"/>
      <c r="AR1046" s="17"/>
      <c r="AS1046" s="27"/>
      <c r="AT1046" s="17"/>
      <c r="AU1046" s="17"/>
      <c r="AV1046" s="17"/>
      <c r="AW1046" s="17"/>
      <c r="AX1046" s="17"/>
      <c r="BB1046" s="17"/>
    </row>
    <row r="1047" spans="1:54" x14ac:dyDescent="0.2">
      <c r="A1047" s="18" t="s">
        <v>90</v>
      </c>
      <c r="B1047" s="18" t="s">
        <v>91</v>
      </c>
      <c r="C1047" s="18" t="s">
        <v>99</v>
      </c>
      <c r="D1047" s="18" t="str">
        <f t="shared" si="369"/>
        <v>CAT1.1E_153</v>
      </c>
      <c r="E1047" s="55" t="s">
        <v>83</v>
      </c>
      <c r="F1047" s="18">
        <v>153</v>
      </c>
      <c r="G1047" s="18">
        <v>1.9</v>
      </c>
      <c r="H1047" s="46">
        <v>2.1</v>
      </c>
      <c r="I1047" s="46">
        <v>1.25</v>
      </c>
      <c r="J1047" s="23">
        <f t="shared" si="370"/>
        <v>3.9250000000000003</v>
      </c>
      <c r="K1047" s="61">
        <v>0.26935483870967747</v>
      </c>
      <c r="L1047" s="45">
        <f t="shared" si="379"/>
        <v>32.1758064516129</v>
      </c>
      <c r="M1047" s="45">
        <f t="shared" si="366"/>
        <v>33.4258064516129</v>
      </c>
      <c r="N1047" s="46">
        <f t="shared" si="381"/>
        <v>32.8008064516129</v>
      </c>
      <c r="O1047" s="46">
        <f t="shared" si="380"/>
        <v>192.17580645161297</v>
      </c>
      <c r="P1047" s="46">
        <f t="shared" si="367"/>
        <v>193.42580645161297</v>
      </c>
      <c r="Q1047" s="46">
        <f t="shared" si="362"/>
        <v>192.80080645161297</v>
      </c>
      <c r="R1047" s="46">
        <v>192.17580645161297</v>
      </c>
      <c r="S1047" s="46">
        <v>193.42580645161297</v>
      </c>
      <c r="T1047" s="54">
        <v>192.8</v>
      </c>
      <c r="U1047" s="46">
        <f t="shared" si="371"/>
        <v>192.8</v>
      </c>
      <c r="V1047" s="18">
        <v>5.9146000000000001</v>
      </c>
      <c r="W1047" s="18">
        <v>1.7627999999999999</v>
      </c>
      <c r="X1047" s="23">
        <v>1.1476266666666699</v>
      </c>
      <c r="Y1047" s="23">
        <f t="shared" si="372"/>
        <v>4.76697333333333</v>
      </c>
      <c r="Z1047" s="23">
        <f t="shared" si="373"/>
        <v>0.61517333333333002</v>
      </c>
      <c r="AA1047" s="21">
        <f t="shared" si="374"/>
        <v>87.095095979839115</v>
      </c>
      <c r="AB1047" s="21">
        <f t="shared" si="375"/>
        <v>12.904904020160885</v>
      </c>
      <c r="AC1047" s="23">
        <f>Y1047/J1047</f>
        <v>1.2145154989384279</v>
      </c>
      <c r="AD1047" s="23">
        <f>Z1047/J1047</f>
        <v>0.15673205944798216</v>
      </c>
      <c r="AE1047" s="57">
        <v>16.149999999999999</v>
      </c>
      <c r="AF1047" s="57">
        <v>16.329999999999998</v>
      </c>
      <c r="AG1047" s="57">
        <v>16.183</v>
      </c>
      <c r="AH1047" s="58">
        <f>AG1047-AE1047</f>
        <v>3.3000000000001251E-2</v>
      </c>
      <c r="AI1047" s="59">
        <f>((AF1047-AG1047)/(AF1047-AE1047))*100</f>
        <v>81.666666666665947</v>
      </c>
      <c r="AJ1047" s="26">
        <f t="shared" si="376"/>
        <v>4.0833333333332975</v>
      </c>
      <c r="AK1047" s="26">
        <f t="shared" si="377"/>
        <v>47.206165703275119</v>
      </c>
      <c r="AL1047" s="26">
        <f t="shared" si="378"/>
        <v>4.0843250496392693</v>
      </c>
      <c r="AM1047" s="17">
        <f t="shared" si="368"/>
        <v>0.5780346820809249</v>
      </c>
      <c r="AN1047" s="52"/>
      <c r="AO1047" s="39"/>
      <c r="AP1047" s="18"/>
      <c r="AQ1047" s="17"/>
      <c r="AR1047" s="17"/>
      <c r="AS1047" s="27"/>
      <c r="AT1047" s="17"/>
      <c r="AU1047" s="17"/>
      <c r="AV1047" s="17"/>
      <c r="AW1047" s="17"/>
      <c r="AX1047" s="17"/>
      <c r="BB1047" s="17"/>
    </row>
    <row r="1048" spans="1:54" x14ac:dyDescent="0.2">
      <c r="A1048" s="18" t="s">
        <v>90</v>
      </c>
      <c r="B1048" s="18" t="s">
        <v>91</v>
      </c>
      <c r="C1048" s="18" t="s">
        <v>99</v>
      </c>
      <c r="D1048" s="18" t="str">
        <f t="shared" si="369"/>
        <v>CAT1.1E_154</v>
      </c>
      <c r="E1048" s="55" t="s">
        <v>83</v>
      </c>
      <c r="F1048" s="18">
        <v>154</v>
      </c>
      <c r="G1048" s="18">
        <v>2</v>
      </c>
      <c r="H1048" s="46">
        <v>2.2000000000000002</v>
      </c>
      <c r="I1048" s="46">
        <v>1.3</v>
      </c>
      <c r="J1048" s="23">
        <f t="shared" si="370"/>
        <v>4.5004050000000007</v>
      </c>
      <c r="K1048" s="61">
        <v>0.26935483870967747</v>
      </c>
      <c r="L1048" s="45">
        <f t="shared" si="379"/>
        <v>33.695161290322574</v>
      </c>
      <c r="M1048" s="45">
        <f t="shared" si="366"/>
        <v>34.995161290322571</v>
      </c>
      <c r="N1048" s="46">
        <f t="shared" si="381"/>
        <v>34.345161290322572</v>
      </c>
      <c r="O1048" s="46">
        <f t="shared" si="380"/>
        <v>193.69516129032266</v>
      </c>
      <c r="P1048" s="46">
        <f t="shared" si="367"/>
        <v>194.99516129032267</v>
      </c>
      <c r="Q1048" s="46">
        <f t="shared" si="362"/>
        <v>194.34516129032266</v>
      </c>
      <c r="R1048" s="46">
        <v>193.69516129032266</v>
      </c>
      <c r="S1048" s="46">
        <v>194.99516129032267</v>
      </c>
      <c r="T1048" s="54">
        <v>194.3</v>
      </c>
      <c r="U1048" s="46">
        <f t="shared" si="371"/>
        <v>194.3</v>
      </c>
      <c r="V1048" s="18">
        <v>6.1696999999999997</v>
      </c>
      <c r="W1048" s="18">
        <v>1.7044999999999999</v>
      </c>
      <c r="X1048" s="23">
        <v>1.1476266666666699</v>
      </c>
      <c r="Y1048" s="23">
        <f t="shared" si="372"/>
        <v>5.0220733333333296</v>
      </c>
      <c r="Z1048" s="23">
        <f t="shared" si="373"/>
        <v>0.55687333333333</v>
      </c>
      <c r="AA1048" s="21">
        <f t="shared" si="374"/>
        <v>88.911485428992862</v>
      </c>
      <c r="AB1048" s="21">
        <f t="shared" si="375"/>
        <v>11.088514571007138</v>
      </c>
      <c r="AC1048" s="23">
        <f>Y1048/J1048</f>
        <v>1.1159158638685471</v>
      </c>
      <c r="AD1048" s="23">
        <f>Z1048/J1048</f>
        <v>0.123738493165244</v>
      </c>
      <c r="AE1048" s="57">
        <v>16.745000000000001</v>
      </c>
      <c r="AF1048" s="57">
        <v>16.905999999999999</v>
      </c>
      <c r="AG1048" s="57">
        <v>16.753</v>
      </c>
      <c r="AH1048" s="58">
        <f>AG1048-AE1048</f>
        <v>7.9999999999991189E-3</v>
      </c>
      <c r="AI1048" s="59">
        <f>((AF1048-AG1048)/(AF1048-AE1048))*100</f>
        <v>95.031055900621595</v>
      </c>
      <c r="AJ1048" s="26">
        <f t="shared" si="376"/>
        <v>4.7515527950310803</v>
      </c>
      <c r="AK1048" s="26">
        <f t="shared" si="377"/>
        <v>54.931246185330409</v>
      </c>
      <c r="AL1048" s="26">
        <f t="shared" si="378"/>
        <v>4.7524050715366917</v>
      </c>
      <c r="AM1048" s="17">
        <f t="shared" si="368"/>
        <v>0.5780346820809249</v>
      </c>
      <c r="AN1048" s="52"/>
      <c r="AO1048" s="39"/>
      <c r="AP1048" s="18"/>
      <c r="AQ1048" s="17"/>
      <c r="AR1048" s="17"/>
      <c r="AS1048" s="27"/>
      <c r="AT1048" s="17"/>
      <c r="AU1048" s="17"/>
      <c r="AV1048" s="17"/>
      <c r="AW1048" s="17"/>
      <c r="AX1048" s="17"/>
      <c r="BB1048" s="17"/>
    </row>
    <row r="1049" spans="1:54" x14ac:dyDescent="0.2">
      <c r="A1049" s="18" t="s">
        <v>90</v>
      </c>
      <c r="B1049" s="18" t="s">
        <v>91</v>
      </c>
      <c r="C1049" s="18" t="s">
        <v>99</v>
      </c>
      <c r="D1049" s="18" t="str">
        <f t="shared" si="369"/>
        <v>CAT1.1E_155</v>
      </c>
      <c r="E1049" s="55" t="s">
        <v>83</v>
      </c>
      <c r="F1049" s="18">
        <v>155</v>
      </c>
      <c r="G1049" s="18">
        <v>1.9</v>
      </c>
      <c r="H1049" s="46">
        <v>2.1</v>
      </c>
      <c r="I1049" s="46">
        <v>1.3</v>
      </c>
      <c r="J1049" s="23">
        <f t="shared" si="370"/>
        <v>4.0820000000000007</v>
      </c>
      <c r="K1049" s="61">
        <v>0.26935483870967747</v>
      </c>
      <c r="L1049" s="45">
        <f t="shared" si="379"/>
        <v>35.264516129032245</v>
      </c>
      <c r="M1049" s="45">
        <f t="shared" si="366"/>
        <v>36.564516129032242</v>
      </c>
      <c r="N1049" s="46">
        <f t="shared" si="381"/>
        <v>35.914516129032243</v>
      </c>
      <c r="O1049" s="46">
        <f t="shared" si="380"/>
        <v>195.26451612903236</v>
      </c>
      <c r="P1049" s="46">
        <f t="shared" si="367"/>
        <v>196.56451612903237</v>
      </c>
      <c r="Q1049" s="46">
        <f t="shared" si="362"/>
        <v>195.91451612903236</v>
      </c>
      <c r="R1049" s="46">
        <v>195.26451612903236</v>
      </c>
      <c r="S1049" s="46">
        <v>196.56451612903237</v>
      </c>
      <c r="T1049" s="54">
        <v>195.9</v>
      </c>
      <c r="U1049" s="46">
        <f t="shared" si="371"/>
        <v>195.9</v>
      </c>
      <c r="V1049" s="18">
        <v>5.2914000000000003</v>
      </c>
      <c r="W1049" s="18">
        <v>1.6826000000000001</v>
      </c>
      <c r="X1049" s="23">
        <v>1.1476266666666699</v>
      </c>
      <c r="Y1049" s="23">
        <f t="shared" si="372"/>
        <v>4.1437733333333302</v>
      </c>
      <c r="Z1049" s="23">
        <f t="shared" si="373"/>
        <v>0.53497333333333019</v>
      </c>
      <c r="AA1049" s="21">
        <f t="shared" si="374"/>
        <v>87.089705678882112</v>
      </c>
      <c r="AB1049" s="21">
        <f t="shared" si="375"/>
        <v>12.910294321117888</v>
      </c>
      <c r="AC1049" s="23">
        <f>Y1049/J1049</f>
        <v>1.0151331046872438</v>
      </c>
      <c r="AD1049" s="23">
        <f>Z1049/J1049</f>
        <v>0.13105667156622491</v>
      </c>
      <c r="AE1049" s="57">
        <v>16.48</v>
      </c>
      <c r="AF1049" s="57">
        <v>16.600000000000001</v>
      </c>
      <c r="AG1049" s="57">
        <v>16.486000000000001</v>
      </c>
      <c r="AH1049" s="58">
        <f>AG1049-AE1049</f>
        <v>6.0000000000002274E-3</v>
      </c>
      <c r="AI1049" s="59">
        <f>((AF1049-AG1049)/(AF1049-AE1049))*100</f>
        <v>94.999999999999858</v>
      </c>
      <c r="AJ1049" s="26">
        <f t="shared" si="376"/>
        <v>4.7499999999999929</v>
      </c>
      <c r="AK1049" s="26">
        <f t="shared" si="377"/>
        <v>54.913294797687783</v>
      </c>
      <c r="AL1049" s="26">
        <f t="shared" si="378"/>
        <v>4.7508525550683984</v>
      </c>
      <c r="AM1049" s="17">
        <f t="shared" si="368"/>
        <v>0.5780346820809249</v>
      </c>
      <c r="AN1049" s="52"/>
      <c r="AO1049" s="39"/>
      <c r="AP1049" s="18"/>
      <c r="AQ1049" s="17"/>
      <c r="AR1049" s="17"/>
      <c r="AS1049" s="27"/>
      <c r="AT1049" s="17"/>
      <c r="AU1049" s="17"/>
      <c r="AV1049" s="17"/>
      <c r="AW1049" s="17"/>
      <c r="AX1049" s="17"/>
      <c r="BB1049" s="17"/>
    </row>
    <row r="1050" spans="1:54" x14ac:dyDescent="0.2">
      <c r="A1050" s="18" t="s">
        <v>90</v>
      </c>
      <c r="B1050" s="18" t="s">
        <v>91</v>
      </c>
      <c r="C1050" s="18" t="s">
        <v>99</v>
      </c>
      <c r="D1050" s="18" t="str">
        <f t="shared" si="369"/>
        <v>CAT1.1E_156</v>
      </c>
      <c r="E1050" s="55" t="s">
        <v>83</v>
      </c>
      <c r="F1050" s="18">
        <v>156</v>
      </c>
      <c r="G1050" s="18">
        <v>1.9</v>
      </c>
      <c r="H1050" s="46">
        <v>2.1</v>
      </c>
      <c r="I1050" s="46">
        <v>1.3</v>
      </c>
      <c r="J1050" s="23">
        <f t="shared" si="370"/>
        <v>4.0820000000000007</v>
      </c>
      <c r="K1050" s="61">
        <v>0.26935483870967747</v>
      </c>
      <c r="L1050" s="45">
        <f t="shared" si="379"/>
        <v>36.833870967741916</v>
      </c>
      <c r="M1050" s="45">
        <f t="shared" si="366"/>
        <v>38.133870967741913</v>
      </c>
      <c r="N1050" s="46">
        <f t="shared" si="381"/>
        <v>37.483870967741915</v>
      </c>
      <c r="O1050" s="46">
        <f t="shared" si="380"/>
        <v>196.83387096774206</v>
      </c>
      <c r="P1050" s="46">
        <f t="shared" si="367"/>
        <v>198.13387096774207</v>
      </c>
      <c r="Q1050" s="46">
        <f t="shared" si="362"/>
        <v>197.48387096774206</v>
      </c>
      <c r="R1050" s="46">
        <v>196.83387096774206</v>
      </c>
      <c r="S1050" s="46">
        <v>198.13387096774207</v>
      </c>
      <c r="T1050" s="54">
        <v>197.5</v>
      </c>
      <c r="U1050" s="46">
        <f t="shared" si="371"/>
        <v>197.5</v>
      </c>
      <c r="V1050" s="18">
        <v>5.78</v>
      </c>
      <c r="W1050" s="18">
        <v>1.8293999999999999</v>
      </c>
      <c r="X1050" s="23">
        <v>1.1476266666666699</v>
      </c>
      <c r="Y1050" s="23">
        <f t="shared" si="372"/>
        <v>4.6323733333333301</v>
      </c>
      <c r="Z1050" s="23">
        <f t="shared" si="373"/>
        <v>0.68177333333333001</v>
      </c>
      <c r="AA1050" s="21">
        <f t="shared" si="374"/>
        <v>85.282418227661623</v>
      </c>
      <c r="AB1050" s="21">
        <f t="shared" si="375"/>
        <v>14.717581772338377</v>
      </c>
      <c r="AC1050" s="23">
        <f>Y1050/J1050</f>
        <v>1.1348293320267833</v>
      </c>
      <c r="AD1050" s="23">
        <f>Z1050/J1050</f>
        <v>0.16701943491752325</v>
      </c>
      <c r="AE1050" s="57">
        <v>10.602</v>
      </c>
      <c r="AF1050" s="57">
        <v>10.772</v>
      </c>
      <c r="AG1050" s="57">
        <v>10.613</v>
      </c>
      <c r="AH1050" s="58">
        <f>AG1050-AE1050</f>
        <v>1.0999999999999233E-2</v>
      </c>
      <c r="AI1050" s="59">
        <f>((AF1050-AG1050)/(AF1050-AE1050))*100</f>
        <v>93.529411764706325</v>
      </c>
      <c r="AJ1050" s="26">
        <f t="shared" si="376"/>
        <v>4.6764705882353166</v>
      </c>
      <c r="AK1050" s="26">
        <f t="shared" si="377"/>
        <v>54.063243794627937</v>
      </c>
      <c r="AL1050" s="26">
        <f t="shared" si="378"/>
        <v>4.6773365457950495</v>
      </c>
      <c r="AM1050" s="17">
        <f t="shared" si="368"/>
        <v>0.5780346820809249</v>
      </c>
      <c r="AN1050" s="52"/>
      <c r="AO1050" s="39"/>
      <c r="AP1050" s="18"/>
      <c r="AQ1050" s="17"/>
      <c r="AR1050" s="17"/>
      <c r="AS1050" s="27"/>
      <c r="AT1050" s="17"/>
      <c r="AU1050" s="17"/>
      <c r="AV1050" s="17"/>
      <c r="AW1050" s="17"/>
      <c r="AX1050" s="17"/>
      <c r="BB1050" s="17"/>
    </row>
    <row r="1051" spans="1:54" x14ac:dyDescent="0.2">
      <c r="A1051" s="18" t="s">
        <v>90</v>
      </c>
      <c r="B1051" s="18" t="s">
        <v>91</v>
      </c>
      <c r="C1051" s="18" t="s">
        <v>99</v>
      </c>
      <c r="D1051" s="18" t="str">
        <f t="shared" si="369"/>
        <v>CAT1.1E_157</v>
      </c>
      <c r="E1051" s="55" t="s">
        <v>83</v>
      </c>
      <c r="F1051" s="18">
        <v>157</v>
      </c>
      <c r="G1051" s="18">
        <v>1.9</v>
      </c>
      <c r="H1051" s="46">
        <v>2.1</v>
      </c>
      <c r="I1051" s="46">
        <v>1.25</v>
      </c>
      <c r="J1051" s="23">
        <f t="shared" si="370"/>
        <v>3.9250000000000003</v>
      </c>
      <c r="K1051" s="61">
        <v>0.26935483870967747</v>
      </c>
      <c r="L1051" s="45">
        <f t="shared" si="379"/>
        <v>38.403225806451587</v>
      </c>
      <c r="M1051" s="45">
        <f t="shared" si="366"/>
        <v>39.653225806451587</v>
      </c>
      <c r="N1051" s="46">
        <f t="shared" si="381"/>
        <v>39.028225806451587</v>
      </c>
      <c r="O1051" s="46">
        <f t="shared" si="380"/>
        <v>198.40322580645176</v>
      </c>
      <c r="P1051" s="46">
        <f t="shared" si="367"/>
        <v>199.65322580645176</v>
      </c>
      <c r="Q1051" s="46">
        <f t="shared" si="362"/>
        <v>199.02822580645176</v>
      </c>
      <c r="R1051" s="46">
        <v>198.40322580645176</v>
      </c>
      <c r="S1051" s="46">
        <v>199.65322580645176</v>
      </c>
      <c r="T1051" s="54">
        <v>199</v>
      </c>
      <c r="U1051" s="46">
        <f t="shared" si="371"/>
        <v>199</v>
      </c>
      <c r="V1051" s="18">
        <v>5.5038</v>
      </c>
      <c r="W1051" s="18">
        <v>1.6738999999999999</v>
      </c>
      <c r="X1051" s="23">
        <v>1.1476266666666699</v>
      </c>
      <c r="Y1051" s="23">
        <f t="shared" si="372"/>
        <v>4.3561733333333299</v>
      </c>
      <c r="Z1051" s="23">
        <f t="shared" si="373"/>
        <v>0.52627333333333004</v>
      </c>
      <c r="AA1051" s="21">
        <f t="shared" si="374"/>
        <v>87.918907420274124</v>
      </c>
      <c r="AB1051" s="21">
        <f t="shared" si="375"/>
        <v>12.081092579725876</v>
      </c>
      <c r="AC1051" s="23">
        <f>Y1051/J1051</f>
        <v>1.1098530785562624</v>
      </c>
      <c r="AD1051" s="23">
        <f>Z1051/J1051</f>
        <v>0.13408237791931973</v>
      </c>
      <c r="AE1051" s="57">
        <v>10.223000000000001</v>
      </c>
      <c r="AF1051" s="57">
        <v>10.332000000000001</v>
      </c>
      <c r="AG1051" s="57">
        <v>10.228999999999999</v>
      </c>
      <c r="AH1051" s="58">
        <f>AG1051-AE1051</f>
        <v>5.999999999998451E-3</v>
      </c>
      <c r="AI1051" s="59">
        <f>((AF1051-AG1051)/(AF1051-AE1051))*100</f>
        <v>94.495412844038114</v>
      </c>
      <c r="AJ1051" s="26">
        <f t="shared" si="376"/>
        <v>4.7247706422019062</v>
      </c>
      <c r="AK1051" s="26">
        <f t="shared" si="377"/>
        <v>54.621625921409318</v>
      </c>
      <c r="AL1051" s="26">
        <f t="shared" si="378"/>
        <v>4.7256277489253229</v>
      </c>
      <c r="AM1051" s="17">
        <f t="shared" si="368"/>
        <v>0.5780346820809249</v>
      </c>
      <c r="AN1051" s="52"/>
      <c r="AO1051" s="39"/>
      <c r="AP1051" s="18"/>
      <c r="AQ1051" s="17"/>
      <c r="AR1051" s="17"/>
      <c r="AS1051" s="27"/>
      <c r="AT1051" s="17"/>
      <c r="AU1051" s="17"/>
      <c r="AV1051" s="17"/>
      <c r="AW1051" s="17"/>
      <c r="AX1051" s="17"/>
      <c r="BB1051" s="17"/>
    </row>
    <row r="1052" spans="1:54" x14ac:dyDescent="0.2">
      <c r="A1052" s="18" t="s">
        <v>90</v>
      </c>
      <c r="B1052" s="18" t="s">
        <v>91</v>
      </c>
      <c r="C1052" s="18" t="s">
        <v>99</v>
      </c>
      <c r="D1052" s="18" t="str">
        <f t="shared" si="369"/>
        <v>CAT1.1E_158</v>
      </c>
      <c r="E1052" s="55" t="s">
        <v>83</v>
      </c>
      <c r="F1052" s="18">
        <v>158</v>
      </c>
      <c r="G1052" s="18">
        <v>1.9</v>
      </c>
      <c r="H1052" s="46">
        <v>2.1</v>
      </c>
      <c r="I1052" s="46">
        <v>1.25</v>
      </c>
      <c r="J1052" s="23">
        <f t="shared" si="370"/>
        <v>3.9250000000000003</v>
      </c>
      <c r="K1052" s="61">
        <v>0.26935483870967747</v>
      </c>
      <c r="L1052" s="45">
        <f t="shared" si="379"/>
        <v>39.922580645161261</v>
      </c>
      <c r="M1052" s="45">
        <f t="shared" si="366"/>
        <v>41.172580645161261</v>
      </c>
      <c r="N1052" s="46">
        <f t="shared" si="381"/>
        <v>40.547580645161261</v>
      </c>
      <c r="O1052" s="46">
        <f t="shared" si="380"/>
        <v>199.92258064516145</v>
      </c>
      <c r="P1052" s="46">
        <f t="shared" si="367"/>
        <v>201.17258064516145</v>
      </c>
      <c r="Q1052" s="46">
        <f t="shared" si="362"/>
        <v>200.54758064516145</v>
      </c>
      <c r="R1052" s="46">
        <v>199.92258064516145</v>
      </c>
      <c r="S1052" s="46">
        <v>201.17258064516145</v>
      </c>
      <c r="T1052" s="54">
        <v>200.5</v>
      </c>
      <c r="U1052" s="46">
        <f t="shared" si="371"/>
        <v>200.5</v>
      </c>
      <c r="V1052" s="18">
        <v>5.4546000000000001</v>
      </c>
      <c r="W1052" s="18">
        <v>1.7132000000000001</v>
      </c>
      <c r="X1052" s="23">
        <v>1.1476266666666699</v>
      </c>
      <c r="Y1052" s="23">
        <f t="shared" si="372"/>
        <v>4.30697333333333</v>
      </c>
      <c r="Z1052" s="23">
        <f t="shared" si="373"/>
        <v>0.56557333333333015</v>
      </c>
      <c r="AA1052" s="21">
        <f t="shared" si="374"/>
        <v>86.868427325608451</v>
      </c>
      <c r="AB1052" s="21">
        <f t="shared" si="375"/>
        <v>13.131572674391549</v>
      </c>
      <c r="AC1052" s="23">
        <f>Y1052/J1052</f>
        <v>1.0973180467091286</v>
      </c>
      <c r="AD1052" s="23">
        <f>Z1052/J1052</f>
        <v>0.14409511677282297</v>
      </c>
      <c r="AE1052" s="57">
        <v>10.128</v>
      </c>
      <c r="AF1052" s="57">
        <v>10.222</v>
      </c>
      <c r="AG1052" s="57">
        <v>10.134</v>
      </c>
      <c r="AH1052" s="58">
        <f>AG1052-AE1052</f>
        <v>6.0000000000002274E-3</v>
      </c>
      <c r="AI1052" s="59">
        <f>((AF1052-AG1052)/(AF1052-AE1052))*100</f>
        <v>93.617021276595452</v>
      </c>
      <c r="AJ1052" s="26">
        <f t="shared" si="376"/>
        <v>4.6808510638297731</v>
      </c>
      <c r="AK1052" s="26">
        <f t="shared" si="377"/>
        <v>54.113885130980037</v>
      </c>
      <c r="AL1052" s="26">
        <f t="shared" si="378"/>
        <v>4.6817162111512394</v>
      </c>
      <c r="AM1052" s="17">
        <f t="shared" si="368"/>
        <v>0.5780346820809249</v>
      </c>
      <c r="AN1052" s="52"/>
      <c r="AO1052" s="39"/>
      <c r="AP1052" s="18"/>
      <c r="AQ1052" s="17"/>
      <c r="AR1052" s="17"/>
      <c r="AS1052" s="27"/>
      <c r="AT1052" s="17"/>
      <c r="AU1052" s="17"/>
      <c r="AV1052" s="17"/>
      <c r="AW1052" s="17"/>
      <c r="AX1052" s="17"/>
      <c r="BB1052" s="17"/>
    </row>
    <row r="1053" spans="1:54" x14ac:dyDescent="0.2">
      <c r="A1053" s="18" t="s">
        <v>90</v>
      </c>
      <c r="B1053" s="18" t="s">
        <v>91</v>
      </c>
      <c r="C1053" s="18" t="s">
        <v>99</v>
      </c>
      <c r="D1053" s="18" t="str">
        <f t="shared" si="369"/>
        <v>CAT1.1E_159</v>
      </c>
      <c r="E1053" s="55" t="s">
        <v>83</v>
      </c>
      <c r="F1053" s="18">
        <v>159</v>
      </c>
      <c r="G1053" s="18">
        <v>1.8</v>
      </c>
      <c r="H1053" s="46">
        <v>2.1</v>
      </c>
      <c r="I1053" s="46">
        <v>1.25</v>
      </c>
      <c r="J1053" s="23">
        <f t="shared" si="370"/>
        <v>3.7312031250000008</v>
      </c>
      <c r="K1053" s="61">
        <v>0.26935483870967747</v>
      </c>
      <c r="L1053" s="45">
        <f t="shared" si="379"/>
        <v>41.441935483870935</v>
      </c>
      <c r="M1053" s="45">
        <f t="shared" si="366"/>
        <v>42.691935483870935</v>
      </c>
      <c r="N1053" s="46">
        <f t="shared" si="381"/>
        <v>42.066935483870935</v>
      </c>
      <c r="O1053" s="46">
        <f t="shared" si="380"/>
        <v>201.44193548387113</v>
      </c>
      <c r="P1053" s="46">
        <f t="shared" si="367"/>
        <v>202.69193548387113</v>
      </c>
      <c r="Q1053" s="46">
        <f t="shared" si="362"/>
        <v>202.06693548387113</v>
      </c>
      <c r="R1053" s="46">
        <v>201.44193548387113</v>
      </c>
      <c r="S1053" s="46">
        <v>202.69193548387113</v>
      </c>
      <c r="T1053" s="54">
        <v>202.1</v>
      </c>
      <c r="U1053" s="46">
        <f t="shared" si="371"/>
        <v>202.1</v>
      </c>
      <c r="V1053" s="18">
        <v>5.2271000000000001</v>
      </c>
      <c r="W1053" s="18">
        <v>1.6802999999999999</v>
      </c>
      <c r="X1053" s="23">
        <v>1.1476266666666699</v>
      </c>
      <c r="Y1053" s="23">
        <f t="shared" si="372"/>
        <v>4.07947333333333</v>
      </c>
      <c r="Z1053" s="23">
        <f t="shared" si="373"/>
        <v>0.53267333333333</v>
      </c>
      <c r="AA1053" s="21">
        <f t="shared" si="374"/>
        <v>86.942595531122564</v>
      </c>
      <c r="AB1053" s="21">
        <f t="shared" si="375"/>
        <v>13.057404468877436</v>
      </c>
      <c r="AC1053" s="23">
        <f>Y1053/J1053</f>
        <v>1.0933399219141491</v>
      </c>
      <c r="AD1053" s="23">
        <f>Z1053/J1053</f>
        <v>0.1427618158240393</v>
      </c>
      <c r="AE1053" s="57">
        <v>12.993</v>
      </c>
      <c r="AF1053" s="57">
        <v>13.161</v>
      </c>
      <c r="AG1053" s="57">
        <v>13</v>
      </c>
      <c r="AH1053" s="58">
        <f>AG1053-AE1053</f>
        <v>6.9999999999996732E-3</v>
      </c>
      <c r="AI1053" s="59">
        <f>((AF1053-AG1053)/(AF1053-AE1053))*100</f>
        <v>95.833333333333513</v>
      </c>
      <c r="AJ1053" s="26">
        <f t="shared" si="376"/>
        <v>4.7916666666666758</v>
      </c>
      <c r="AK1053" s="26">
        <f t="shared" si="377"/>
        <v>55.394990366088741</v>
      </c>
      <c r="AL1053" s="26">
        <f t="shared" si="378"/>
        <v>4.7925118095258288</v>
      </c>
      <c r="AM1053" s="17">
        <f t="shared" si="368"/>
        <v>0.5780346820809249</v>
      </c>
      <c r="AN1053" s="52"/>
      <c r="AO1053" s="39"/>
      <c r="AP1053" s="18"/>
      <c r="AQ1053" s="17"/>
      <c r="AR1053" s="17"/>
      <c r="AS1053" s="27"/>
      <c r="AT1053" s="17"/>
      <c r="AU1053" s="17"/>
      <c r="AV1053" s="17"/>
      <c r="AW1053" s="17"/>
      <c r="AX1053" s="17"/>
      <c r="BB1053" s="17"/>
    </row>
    <row r="1054" spans="1:54" x14ac:dyDescent="0.2">
      <c r="A1054" s="18" t="s">
        <v>90</v>
      </c>
      <c r="B1054" s="18" t="s">
        <v>91</v>
      </c>
      <c r="C1054" s="18" t="s">
        <v>99</v>
      </c>
      <c r="D1054" s="18" t="str">
        <f t="shared" si="369"/>
        <v>CAT1.1E_160</v>
      </c>
      <c r="E1054" s="55" t="s">
        <v>83</v>
      </c>
      <c r="F1054" s="18">
        <v>160</v>
      </c>
      <c r="G1054" s="18">
        <v>1.9</v>
      </c>
      <c r="H1054" s="46">
        <v>2.2999999999999998</v>
      </c>
      <c r="I1054" s="46">
        <v>1.3</v>
      </c>
      <c r="J1054" s="23">
        <f t="shared" si="370"/>
        <v>4.5004049999999989</v>
      </c>
      <c r="K1054" s="61">
        <v>0.26935483870967747</v>
      </c>
      <c r="L1054" s="45">
        <f t="shared" si="379"/>
        <v>42.961290322580609</v>
      </c>
      <c r="M1054" s="45">
        <f t="shared" si="366"/>
        <v>44.261290322580606</v>
      </c>
      <c r="N1054" s="46">
        <f t="shared" si="381"/>
        <v>43.611290322580608</v>
      </c>
      <c r="O1054" s="46">
        <f t="shared" si="380"/>
        <v>202.96129032258082</v>
      </c>
      <c r="P1054" s="46">
        <f t="shared" si="367"/>
        <v>204.26129032258083</v>
      </c>
      <c r="Q1054" s="46">
        <f t="shared" si="362"/>
        <v>203.61129032258083</v>
      </c>
      <c r="R1054" s="46">
        <v>202.96129032258082</v>
      </c>
      <c r="S1054" s="46">
        <v>204.26129032258083</v>
      </c>
      <c r="T1054" s="54">
        <v>203.6</v>
      </c>
      <c r="U1054" s="46">
        <f t="shared" si="371"/>
        <v>203.6</v>
      </c>
      <c r="V1054" s="18">
        <v>5.6755000000000004</v>
      </c>
      <c r="W1054" s="18">
        <v>1.8693</v>
      </c>
      <c r="X1054" s="23">
        <v>1.1476266666666699</v>
      </c>
      <c r="Y1054" s="23">
        <f t="shared" si="372"/>
        <v>4.5278733333333303</v>
      </c>
      <c r="Z1054" s="23">
        <f t="shared" si="373"/>
        <v>0.72167333333333006</v>
      </c>
      <c r="AA1054" s="21">
        <f t="shared" si="374"/>
        <v>84.061538823965989</v>
      </c>
      <c r="AB1054" s="21">
        <f t="shared" si="375"/>
        <v>15.938461176034011</v>
      </c>
      <c r="AC1054" s="23">
        <f>Y1054/J1054</f>
        <v>1.0061035247568455</v>
      </c>
      <c r="AD1054" s="23">
        <f>Z1054/J1054</f>
        <v>0.1603574196840796</v>
      </c>
      <c r="AE1054" s="57">
        <v>10.332000000000001</v>
      </c>
      <c r="AF1054" s="57">
        <v>10.43</v>
      </c>
      <c r="AG1054" s="57">
        <v>10.337999999999999</v>
      </c>
      <c r="AH1054" s="58">
        <f>AG1054-AE1054</f>
        <v>5.999999999998451E-3</v>
      </c>
      <c r="AI1054" s="59">
        <f>((AF1054-AG1054)/(AF1054-AE1054))*100</f>
        <v>93.877551020409683</v>
      </c>
      <c r="AJ1054" s="26">
        <f t="shared" si="376"/>
        <v>4.693877551020484</v>
      </c>
      <c r="AK1054" s="26">
        <f t="shared" si="377"/>
        <v>54.264480358618322</v>
      </c>
      <c r="AL1054" s="26">
        <f t="shared" si="378"/>
        <v>4.6947402978198971</v>
      </c>
      <c r="AM1054" s="17">
        <f t="shared" si="368"/>
        <v>0.5780346820809249</v>
      </c>
      <c r="AN1054" s="52"/>
      <c r="AO1054" s="39"/>
      <c r="AP1054" s="18"/>
      <c r="AQ1054" s="17"/>
      <c r="AR1054" s="17"/>
      <c r="AS1054" s="27"/>
      <c r="AT1054" s="17"/>
      <c r="AU1054" s="17"/>
      <c r="AV1054" s="17"/>
      <c r="AW1054" s="17"/>
      <c r="AX1054" s="17"/>
      <c r="BB1054" s="17"/>
    </row>
    <row r="1055" spans="1:54" x14ac:dyDescent="0.2">
      <c r="A1055" s="18" t="s">
        <v>90</v>
      </c>
      <c r="B1055" s="18" t="s">
        <v>91</v>
      </c>
      <c r="C1055" s="18" t="s">
        <v>99</v>
      </c>
      <c r="D1055" s="18" t="str">
        <f t="shared" si="369"/>
        <v>CAT1.1E_161</v>
      </c>
      <c r="E1055" s="55" t="s">
        <v>83</v>
      </c>
      <c r="F1055" s="18">
        <v>161</v>
      </c>
      <c r="G1055" s="18">
        <v>1.6</v>
      </c>
      <c r="H1055" s="46">
        <v>2.1</v>
      </c>
      <c r="I1055" s="46">
        <v>1.3</v>
      </c>
      <c r="J1055" s="23">
        <f t="shared" si="370"/>
        <v>3.4926612500000003</v>
      </c>
      <c r="K1055" s="61">
        <v>0.26935483870967747</v>
      </c>
      <c r="L1055" s="45">
        <f t="shared" si="379"/>
        <v>44.53064516129028</v>
      </c>
      <c r="M1055" s="45">
        <f t="shared" si="366"/>
        <v>45.830645161290278</v>
      </c>
      <c r="N1055" s="46">
        <f t="shared" si="381"/>
        <v>45.180645161290279</v>
      </c>
      <c r="O1055" s="46">
        <f t="shared" si="380"/>
        <v>204.53064516129052</v>
      </c>
      <c r="P1055" s="46">
        <f t="shared" si="367"/>
        <v>205.83064516129053</v>
      </c>
      <c r="Q1055" s="46">
        <f t="shared" ref="Q1055:Q1118" si="382">O1055+((P1055-O1055)/2)</f>
        <v>205.18064516129053</v>
      </c>
      <c r="R1055" s="46">
        <v>204.53064516129052</v>
      </c>
      <c r="S1055" s="46">
        <v>205.83064516129053</v>
      </c>
      <c r="T1055" s="54">
        <v>205.2</v>
      </c>
      <c r="U1055" s="46">
        <f t="shared" si="371"/>
        <v>205.2</v>
      </c>
      <c r="V1055" s="18">
        <v>4.7855999999999996</v>
      </c>
      <c r="W1055" s="18">
        <v>1.7892999999999999</v>
      </c>
      <c r="X1055" s="23">
        <v>1.1476266666666699</v>
      </c>
      <c r="Y1055" s="23">
        <f t="shared" si="372"/>
        <v>3.6379733333333295</v>
      </c>
      <c r="Z1055" s="23">
        <f t="shared" si="373"/>
        <v>0.64167333333332999</v>
      </c>
      <c r="AA1055" s="21">
        <f t="shared" si="374"/>
        <v>82.361791180437535</v>
      </c>
      <c r="AB1055" s="21">
        <f t="shared" si="375"/>
        <v>17.638208819562465</v>
      </c>
      <c r="AC1055" s="23">
        <f>Y1055/J1055</f>
        <v>1.0416049748120662</v>
      </c>
      <c r="AD1055" s="23">
        <f>Z1055/J1055</f>
        <v>0.18372046053230326</v>
      </c>
      <c r="AE1055" s="57">
        <v>9.5220000000000002</v>
      </c>
      <c r="AF1055" s="57">
        <v>9.6080000000000005</v>
      </c>
      <c r="AG1055" s="57">
        <v>9.5280000000000005</v>
      </c>
      <c r="AH1055" s="58">
        <f>AG1055-AE1055</f>
        <v>6.0000000000002274E-3</v>
      </c>
      <c r="AI1055" s="59">
        <f>((AF1055-AG1055)/(AF1055-AE1055))*100</f>
        <v>93.023255813953241</v>
      </c>
      <c r="AJ1055" s="26">
        <f t="shared" si="376"/>
        <v>4.6511627906976623</v>
      </c>
      <c r="AK1055" s="26">
        <f t="shared" si="377"/>
        <v>53.770668100551013</v>
      </c>
      <c r="AL1055" s="26">
        <f t="shared" si="378"/>
        <v>4.6520334592058195</v>
      </c>
      <c r="AM1055" s="17">
        <f t="shared" si="368"/>
        <v>0.5780346820809249</v>
      </c>
      <c r="AN1055" s="52"/>
      <c r="AO1055" s="39"/>
      <c r="AP1055" s="18"/>
      <c r="AQ1055" s="17"/>
      <c r="AR1055" s="17"/>
      <c r="AS1055" s="27"/>
      <c r="AT1055" s="17"/>
      <c r="AU1055" s="17"/>
      <c r="AV1055" s="17"/>
      <c r="AW1055" s="17"/>
      <c r="AX1055" s="17"/>
      <c r="BB1055" s="17"/>
    </row>
    <row r="1056" spans="1:54" x14ac:dyDescent="0.2">
      <c r="A1056" s="18" t="s">
        <v>90</v>
      </c>
      <c r="B1056" s="18" t="s">
        <v>91</v>
      </c>
      <c r="C1056" s="18" t="s">
        <v>99</v>
      </c>
      <c r="D1056" s="18" t="str">
        <f t="shared" si="369"/>
        <v>CAT1.1E_162</v>
      </c>
      <c r="E1056" s="55" t="s">
        <v>83</v>
      </c>
      <c r="F1056" s="18">
        <v>162</v>
      </c>
      <c r="G1056" s="18">
        <v>1.6</v>
      </c>
      <c r="H1056" s="46">
        <v>2.5</v>
      </c>
      <c r="I1056" s="46">
        <v>1.9</v>
      </c>
      <c r="J1056" s="23">
        <f t="shared" si="370"/>
        <v>6.2680287499999983</v>
      </c>
      <c r="K1056" s="61">
        <v>0.26935483870967747</v>
      </c>
      <c r="L1056" s="45">
        <f t="shared" si="379"/>
        <v>46.099999999999952</v>
      </c>
      <c r="M1056" s="45">
        <f t="shared" si="366"/>
        <v>47.99999999999995</v>
      </c>
      <c r="N1056" s="46">
        <f t="shared" si="381"/>
        <v>47.049999999999955</v>
      </c>
      <c r="O1056" s="46">
        <f t="shared" si="380"/>
        <v>206.10000000000022</v>
      </c>
      <c r="P1056" s="46">
        <f t="shared" si="367"/>
        <v>208.00000000000023</v>
      </c>
      <c r="Q1056" s="46">
        <f t="shared" si="382"/>
        <v>207.05000000000024</v>
      </c>
      <c r="R1056" s="46">
        <v>206.10000000000022</v>
      </c>
      <c r="S1056" s="46">
        <v>208.00000000000023</v>
      </c>
      <c r="T1056" s="54">
        <v>207.1</v>
      </c>
      <c r="U1056" s="46">
        <f t="shared" si="371"/>
        <v>207.1</v>
      </c>
      <c r="V1056" s="18">
        <v>6.0198</v>
      </c>
      <c r="W1056" s="18">
        <v>1.9272</v>
      </c>
      <c r="X1056" s="23">
        <v>1.1476266666666699</v>
      </c>
      <c r="Y1056" s="23">
        <f t="shared" si="372"/>
        <v>4.8721733333333299</v>
      </c>
      <c r="Z1056" s="23">
        <f t="shared" si="373"/>
        <v>0.77957333333333012</v>
      </c>
      <c r="AA1056" s="21">
        <f t="shared" si="374"/>
        <v>83.999474567133674</v>
      </c>
      <c r="AB1056" s="21">
        <f t="shared" si="375"/>
        <v>16.000525432866326</v>
      </c>
      <c r="AC1056" s="23">
        <f>Y1056/J1056</f>
        <v>0.77730551783658164</v>
      </c>
      <c r="AD1056" s="23">
        <f>Z1056/J1056</f>
        <v>0.12437296707251548</v>
      </c>
      <c r="AE1056" s="57">
        <v>10.673</v>
      </c>
      <c r="AF1056" s="57">
        <v>10.898999999999999</v>
      </c>
      <c r="AG1056" s="57">
        <v>10.688000000000001</v>
      </c>
      <c r="AH1056" s="58">
        <f>AG1056-AE1056</f>
        <v>1.5000000000000568E-2</v>
      </c>
      <c r="AI1056" s="59">
        <f>((AF1056-AG1056)/(AF1056-AE1056))*100</f>
        <v>93.362831858406807</v>
      </c>
      <c r="AJ1056" s="26">
        <f t="shared" si="376"/>
        <v>4.6681415929203407</v>
      </c>
      <c r="AK1056" s="26">
        <f t="shared" si="377"/>
        <v>53.966954831449023</v>
      </c>
      <c r="AL1056" s="26">
        <f t="shared" si="378"/>
        <v>4.6690090952527452</v>
      </c>
      <c r="AM1056" s="17">
        <f t="shared" si="368"/>
        <v>0.5780346820809249</v>
      </c>
      <c r="AN1056" s="52"/>
      <c r="AO1056" s="39"/>
      <c r="AP1056" s="18"/>
      <c r="AQ1056" s="17"/>
      <c r="AR1056" s="17"/>
      <c r="AS1056" s="27"/>
      <c r="AT1056" s="17"/>
      <c r="AU1056" s="17"/>
      <c r="AV1056" s="17"/>
      <c r="AW1056" s="17"/>
      <c r="AX1056" s="17"/>
      <c r="BB1056" s="17"/>
    </row>
    <row r="1057" spans="1:54" x14ac:dyDescent="0.2">
      <c r="A1057" s="18" t="s">
        <v>90</v>
      </c>
      <c r="B1057" s="18" t="s">
        <v>91</v>
      </c>
      <c r="C1057" s="18" t="s">
        <v>101</v>
      </c>
      <c r="D1057" s="18" t="str">
        <f t="shared" si="369"/>
        <v>CAT1.1F_163</v>
      </c>
      <c r="E1057" s="55" t="s">
        <v>84</v>
      </c>
      <c r="F1057" s="18">
        <v>163</v>
      </c>
      <c r="G1057" s="18">
        <v>1.8</v>
      </c>
      <c r="H1057" s="46">
        <v>2.2999999999999998</v>
      </c>
      <c r="I1057" s="46">
        <v>1.1000000000000001</v>
      </c>
      <c r="J1057" s="23">
        <f t="shared" si="370"/>
        <v>3.6288587499999996</v>
      </c>
      <c r="K1057" s="61">
        <v>0.20000000000000032</v>
      </c>
      <c r="L1057" s="39">
        <v>0</v>
      </c>
      <c r="M1057" s="45">
        <f t="shared" si="366"/>
        <v>1.1000000000000001</v>
      </c>
      <c r="N1057" s="46">
        <f>L1057+((M1057-L1057)/2)</f>
        <v>0.55000000000000004</v>
      </c>
      <c r="O1057" s="46">
        <v>200</v>
      </c>
      <c r="P1057" s="46">
        <f t="shared" si="367"/>
        <v>201.1</v>
      </c>
      <c r="Q1057" s="46">
        <f t="shared" si="382"/>
        <v>200.55</v>
      </c>
      <c r="R1057" s="46">
        <v>200</v>
      </c>
      <c r="S1057" s="46">
        <v>201.1</v>
      </c>
      <c r="T1057" s="54">
        <v>200.6</v>
      </c>
      <c r="U1057" s="46">
        <f t="shared" si="371"/>
        <v>200.6</v>
      </c>
      <c r="V1057" s="18">
        <v>4.6740000000000004</v>
      </c>
      <c r="W1057" s="18">
        <v>1.9039999999999999</v>
      </c>
      <c r="X1057" s="23">
        <v>1.1476266666666699</v>
      </c>
      <c r="Y1057" s="23">
        <f t="shared" si="372"/>
        <v>3.5263733333333303</v>
      </c>
      <c r="Z1057" s="23">
        <f t="shared" si="373"/>
        <v>0.75637333333333001</v>
      </c>
      <c r="AA1057" s="21">
        <f t="shared" si="374"/>
        <v>78.550956979408582</v>
      </c>
      <c r="AB1057" s="21">
        <f t="shared" si="375"/>
        <v>21.449043020591418</v>
      </c>
      <c r="AC1057" s="23">
        <f>Y1057/J1057</f>
        <v>0.97175822380337362</v>
      </c>
      <c r="AD1057" s="23">
        <f>Z1057/J1057</f>
        <v>0.20843283947972074</v>
      </c>
      <c r="AE1057" s="57">
        <v>10.195</v>
      </c>
      <c r="AF1057" s="57">
        <v>10.297000000000001</v>
      </c>
      <c r="AG1057" s="57">
        <v>10.224</v>
      </c>
      <c r="AH1057" s="58">
        <f>AG1057-AE1057</f>
        <v>2.8999999999999915E-2</v>
      </c>
      <c r="AI1057" s="59">
        <f>((AF1057-AG1057)/(AF1057-AE1057))*100</f>
        <v>71.568627450980557</v>
      </c>
      <c r="AJ1057" s="26">
        <f t="shared" si="376"/>
        <v>3.5784313725490282</v>
      </c>
      <c r="AK1057" s="26">
        <f t="shared" si="377"/>
        <v>41.3691488155957</v>
      </c>
      <c r="AL1057" s="26">
        <f t="shared" si="378"/>
        <v>3.579562974448574</v>
      </c>
      <c r="AM1057" s="17">
        <f t="shared" si="368"/>
        <v>0.5780346820809249</v>
      </c>
      <c r="AN1057" s="60" t="s">
        <v>43</v>
      </c>
      <c r="AO1057" s="39">
        <v>48</v>
      </c>
      <c r="AP1057" s="52" t="s">
        <v>35</v>
      </c>
      <c r="AQ1057" s="17"/>
      <c r="AR1057" s="17"/>
      <c r="AS1057" s="27"/>
      <c r="AT1057" s="17"/>
      <c r="AU1057" s="17"/>
      <c r="AV1057" s="17"/>
      <c r="AW1057" s="17"/>
      <c r="AX1057" s="17"/>
      <c r="BB1057" s="17"/>
    </row>
    <row r="1058" spans="1:54" x14ac:dyDescent="0.2">
      <c r="A1058" s="18" t="s">
        <v>90</v>
      </c>
      <c r="B1058" s="18" t="s">
        <v>91</v>
      </c>
      <c r="C1058" s="18" t="s">
        <v>101</v>
      </c>
      <c r="D1058" s="18" t="str">
        <f t="shared" si="369"/>
        <v>CAT1.1F_164</v>
      </c>
      <c r="E1058" s="55" t="s">
        <v>84</v>
      </c>
      <c r="F1058" s="18">
        <v>164</v>
      </c>
      <c r="G1058" s="18">
        <v>1.8</v>
      </c>
      <c r="H1058" s="46">
        <v>2.1</v>
      </c>
      <c r="I1058" s="46">
        <v>1.3</v>
      </c>
      <c r="J1058" s="23">
        <f t="shared" si="370"/>
        <v>3.8804512500000015</v>
      </c>
      <c r="K1058" s="61">
        <v>0.20000000000000032</v>
      </c>
      <c r="L1058" s="45">
        <f t="shared" ref="L1058:L1088" si="383">M1057+K1058</f>
        <v>1.3000000000000005</v>
      </c>
      <c r="M1058" s="45">
        <f t="shared" si="366"/>
        <v>2.6000000000000005</v>
      </c>
      <c r="N1058" s="46">
        <f>L1058+((M1058-L1058)/2)</f>
        <v>1.9500000000000006</v>
      </c>
      <c r="O1058" s="46">
        <f t="shared" ref="O1058:O1088" si="384">P1057+K1058</f>
        <v>201.29999999999998</v>
      </c>
      <c r="P1058" s="46">
        <f t="shared" si="367"/>
        <v>202.6</v>
      </c>
      <c r="Q1058" s="46">
        <f t="shared" si="382"/>
        <v>201.95</v>
      </c>
      <c r="R1058" s="46">
        <v>201.29999999999998</v>
      </c>
      <c r="S1058" s="46">
        <v>202.6</v>
      </c>
      <c r="T1058" s="54">
        <v>202</v>
      </c>
      <c r="U1058" s="46">
        <f t="shared" si="371"/>
        <v>202</v>
      </c>
      <c r="V1058" s="18">
        <v>5.5728</v>
      </c>
      <c r="W1058" s="18">
        <v>1.9374</v>
      </c>
      <c r="X1058" s="23">
        <v>1.1476266666666699</v>
      </c>
      <c r="Y1058" s="23">
        <f t="shared" si="372"/>
        <v>4.4251733333333299</v>
      </c>
      <c r="Z1058" s="23">
        <f t="shared" si="373"/>
        <v>0.78977333333333011</v>
      </c>
      <c r="AA1058" s="21">
        <f t="shared" si="374"/>
        <v>82.152714168635271</v>
      </c>
      <c r="AB1058" s="21">
        <f t="shared" si="375"/>
        <v>17.847285831364729</v>
      </c>
      <c r="AC1058" s="23">
        <f>Y1058/J1058</f>
        <v>1.1403759635772588</v>
      </c>
      <c r="AD1058" s="23">
        <f>Z1058/J1058</f>
        <v>0.20352615777181321</v>
      </c>
      <c r="AE1058" s="57">
        <v>9.2520000000000007</v>
      </c>
      <c r="AF1058" s="57">
        <v>9.423</v>
      </c>
      <c r="AG1058" s="57">
        <v>9.2669999999999995</v>
      </c>
      <c r="AH1058" s="58">
        <f>AG1058-AE1058</f>
        <v>1.4999999999998792E-2</v>
      </c>
      <c r="AI1058" s="59">
        <f>((AF1058-AG1058)/(AF1058-AE1058))*100</f>
        <v>91.228070175439271</v>
      </c>
      <c r="AJ1058" s="26">
        <f t="shared" si="376"/>
        <v>4.5614035087719635</v>
      </c>
      <c r="AK1058" s="26">
        <f t="shared" si="377"/>
        <v>52.732988540716349</v>
      </c>
      <c r="AL1058" s="26">
        <f t="shared" si="378"/>
        <v>4.5622913069900726</v>
      </c>
      <c r="AM1058" s="17">
        <f t="shared" si="368"/>
        <v>0.5780346820809249</v>
      </c>
      <c r="AN1058" s="60" t="s">
        <v>44</v>
      </c>
      <c r="AO1058" s="39" t="s">
        <v>58</v>
      </c>
      <c r="AP1058" s="18" t="s">
        <v>35</v>
      </c>
      <c r="AQ1058" s="17"/>
      <c r="AR1058" s="17"/>
      <c r="AS1058" s="27"/>
      <c r="AT1058" s="17"/>
      <c r="AU1058" s="17"/>
      <c r="AV1058" s="17"/>
      <c r="AW1058" s="17"/>
      <c r="AX1058" s="17"/>
      <c r="BB1058" s="17"/>
    </row>
    <row r="1059" spans="1:54" x14ac:dyDescent="0.2">
      <c r="A1059" s="18" t="s">
        <v>90</v>
      </c>
      <c r="B1059" s="18" t="s">
        <v>91</v>
      </c>
      <c r="C1059" s="18" t="s">
        <v>101</v>
      </c>
      <c r="D1059" s="18" t="str">
        <f t="shared" si="369"/>
        <v>CAT1.1F_165</v>
      </c>
      <c r="E1059" s="55" t="s">
        <v>84</v>
      </c>
      <c r="F1059" s="18">
        <v>165</v>
      </c>
      <c r="G1059" s="18">
        <v>1.8</v>
      </c>
      <c r="H1059" s="46">
        <v>2.2000000000000002</v>
      </c>
      <c r="I1059" s="46">
        <v>1.35</v>
      </c>
      <c r="J1059" s="23">
        <f t="shared" si="370"/>
        <v>4.2390000000000008</v>
      </c>
      <c r="K1059" s="61">
        <v>0.20000000000000032</v>
      </c>
      <c r="L1059" s="45">
        <f t="shared" si="383"/>
        <v>2.8000000000000007</v>
      </c>
      <c r="M1059" s="45">
        <f t="shared" si="366"/>
        <v>4.1500000000000004</v>
      </c>
      <c r="N1059" s="46">
        <f t="shared" ref="N1059:N1088" si="385">L1059+((M1059-L1059)/2)</f>
        <v>3.4750000000000005</v>
      </c>
      <c r="O1059" s="46">
        <f t="shared" si="384"/>
        <v>202.79999999999998</v>
      </c>
      <c r="P1059" s="46">
        <f t="shared" si="367"/>
        <v>204.14999999999998</v>
      </c>
      <c r="Q1059" s="46">
        <f t="shared" si="382"/>
        <v>203.47499999999997</v>
      </c>
      <c r="R1059" s="46">
        <v>202.79999999999998</v>
      </c>
      <c r="S1059" s="46">
        <v>204.14999999999998</v>
      </c>
      <c r="T1059" s="54">
        <v>203.5</v>
      </c>
      <c r="U1059" s="46">
        <f t="shared" si="371"/>
        <v>203.5</v>
      </c>
      <c r="V1059" s="18">
        <v>5.4664999999999999</v>
      </c>
      <c r="W1059" s="18">
        <v>1.8963000000000001</v>
      </c>
      <c r="X1059" s="23">
        <v>1.1476266666666699</v>
      </c>
      <c r="Y1059" s="23">
        <f t="shared" si="372"/>
        <v>4.3188733333333298</v>
      </c>
      <c r="Z1059" s="23">
        <f t="shared" si="373"/>
        <v>0.74867333333333019</v>
      </c>
      <c r="AA1059" s="21">
        <f t="shared" si="374"/>
        <v>82.665077774913584</v>
      </c>
      <c r="AB1059" s="21">
        <f t="shared" si="375"/>
        <v>17.334922225086416</v>
      </c>
      <c r="AC1059" s="23">
        <f>Y1059/J1059</f>
        <v>1.0188424942989689</v>
      </c>
      <c r="AD1059" s="23">
        <f>Z1059/J1059</f>
        <v>0.17661555398285683</v>
      </c>
      <c r="AE1059" s="57">
        <v>9.3729999999999993</v>
      </c>
      <c r="AF1059" s="57">
        <v>9.5679999999999996</v>
      </c>
      <c r="AG1059" s="57">
        <v>9.3870000000000005</v>
      </c>
      <c r="AH1059" s="58">
        <f>AG1059-AE1059</f>
        <v>1.4000000000001123E-2</v>
      </c>
      <c r="AI1059" s="59">
        <f>((AF1059-AG1059)/(AF1059-AE1059))*100</f>
        <v>92.820512820512263</v>
      </c>
      <c r="AJ1059" s="26">
        <f t="shared" si="376"/>
        <v>4.641025641025613</v>
      </c>
      <c r="AK1059" s="26">
        <f t="shared" si="377"/>
        <v>53.653475618793223</v>
      </c>
      <c r="AL1059" s="26">
        <f t="shared" si="378"/>
        <v>4.6418982109323768</v>
      </c>
      <c r="AM1059" s="17">
        <f t="shared" si="368"/>
        <v>0.5780346820809249</v>
      </c>
      <c r="AN1059" s="60" t="s">
        <v>46</v>
      </c>
      <c r="AO1059" s="45">
        <f>SUM(I1057:I1088)</f>
        <v>41.79999999999999</v>
      </c>
      <c r="AP1059" s="52" t="s">
        <v>35</v>
      </c>
      <c r="AQ1059" s="17"/>
      <c r="AR1059" s="17"/>
      <c r="AS1059" s="27"/>
      <c r="AT1059" s="17"/>
      <c r="AU1059" s="17"/>
      <c r="AV1059" s="17"/>
      <c r="AW1059" s="17"/>
      <c r="AX1059" s="17"/>
      <c r="BB1059" s="17"/>
    </row>
    <row r="1060" spans="1:54" x14ac:dyDescent="0.2">
      <c r="A1060" s="18" t="s">
        <v>90</v>
      </c>
      <c r="B1060" s="18" t="s">
        <v>91</v>
      </c>
      <c r="C1060" s="18" t="s">
        <v>101</v>
      </c>
      <c r="D1060" s="18" t="str">
        <f t="shared" si="369"/>
        <v>CAT1.1F_166</v>
      </c>
      <c r="E1060" s="55" t="s">
        <v>84</v>
      </c>
      <c r="F1060" s="18">
        <v>166</v>
      </c>
      <c r="G1060" s="18">
        <v>2.1</v>
      </c>
      <c r="H1060" s="46">
        <v>2.2000000000000002</v>
      </c>
      <c r="I1060" s="46">
        <v>1.3</v>
      </c>
      <c r="J1060" s="23">
        <f t="shared" si="370"/>
        <v>4.7172612500000026</v>
      </c>
      <c r="K1060" s="61">
        <v>0.20000000000000032</v>
      </c>
      <c r="L1060" s="45">
        <f t="shared" si="383"/>
        <v>4.3500000000000005</v>
      </c>
      <c r="M1060" s="45">
        <f t="shared" si="366"/>
        <v>5.65</v>
      </c>
      <c r="N1060" s="46">
        <f t="shared" si="385"/>
        <v>5</v>
      </c>
      <c r="O1060" s="46">
        <f t="shared" si="384"/>
        <v>204.34999999999997</v>
      </c>
      <c r="P1060" s="46">
        <f t="shared" si="367"/>
        <v>205.64999999999998</v>
      </c>
      <c r="Q1060" s="46">
        <f t="shared" si="382"/>
        <v>204.99999999999997</v>
      </c>
      <c r="R1060" s="46">
        <v>204.34999999999997</v>
      </c>
      <c r="S1060" s="46">
        <v>205.64999999999998</v>
      </c>
      <c r="T1060" s="54">
        <v>205</v>
      </c>
      <c r="U1060" s="46">
        <f t="shared" si="371"/>
        <v>205</v>
      </c>
      <c r="V1060" s="18">
        <v>6.3071999999999999</v>
      </c>
      <c r="W1060" s="18">
        <v>1.9938</v>
      </c>
      <c r="X1060" s="23">
        <v>1.1476266666666699</v>
      </c>
      <c r="Y1060" s="23">
        <f t="shared" si="372"/>
        <v>5.1595733333333298</v>
      </c>
      <c r="Z1060" s="23">
        <f t="shared" si="373"/>
        <v>0.84617333333333011</v>
      </c>
      <c r="AA1060" s="21">
        <f t="shared" si="374"/>
        <v>83.59993591201345</v>
      </c>
      <c r="AB1060" s="21">
        <f t="shared" si="375"/>
        <v>16.40006408798655</v>
      </c>
      <c r="AC1060" s="23">
        <f>Y1060/J1060</f>
        <v>1.093764593456283</v>
      </c>
      <c r="AD1060" s="23">
        <f>Z1060/J1060</f>
        <v>0.17937809429853596</v>
      </c>
      <c r="AE1060" s="57">
        <v>10.276</v>
      </c>
      <c r="AF1060" s="57">
        <v>10.438000000000001</v>
      </c>
      <c r="AG1060" s="57">
        <v>10.281000000000001</v>
      </c>
      <c r="AH1060" s="58">
        <f>AG1060-AE1060</f>
        <v>5.0000000000007816E-3</v>
      </c>
      <c r="AI1060" s="59">
        <f>((AF1060-AG1060)/(AF1060-AE1060))*100</f>
        <v>96.913580246913114</v>
      </c>
      <c r="AJ1060" s="26">
        <f t="shared" si="376"/>
        <v>4.8456790123456557</v>
      </c>
      <c r="AK1060" s="26">
        <f t="shared" si="377"/>
        <v>56.019410547348627</v>
      </c>
      <c r="AL1060" s="26">
        <f t="shared" si="378"/>
        <v>4.8465147364562062</v>
      </c>
      <c r="AM1060" s="17">
        <f t="shared" si="368"/>
        <v>0.5780346820809249</v>
      </c>
      <c r="AN1060" s="60" t="s">
        <v>47</v>
      </c>
      <c r="AO1060" s="45">
        <f>AO1057-AO1059</f>
        <v>6.2000000000000099</v>
      </c>
      <c r="AP1060" s="52"/>
      <c r="AQ1060" s="17"/>
      <c r="AR1060" s="17"/>
      <c r="AS1060" s="27"/>
      <c r="AT1060" s="17"/>
      <c r="AU1060" s="17"/>
      <c r="AV1060" s="17"/>
      <c r="AW1060" s="17"/>
      <c r="AX1060" s="17"/>
      <c r="BB1060" s="17"/>
    </row>
    <row r="1061" spans="1:54" x14ac:dyDescent="0.2">
      <c r="A1061" s="18" t="s">
        <v>90</v>
      </c>
      <c r="B1061" s="18" t="s">
        <v>91</v>
      </c>
      <c r="C1061" s="18" t="s">
        <v>101</v>
      </c>
      <c r="D1061" s="18" t="str">
        <f t="shared" si="369"/>
        <v>CAT1.1F_167</v>
      </c>
      <c r="E1061" s="55" t="s">
        <v>84</v>
      </c>
      <c r="F1061" s="18">
        <v>167</v>
      </c>
      <c r="G1061" s="18">
        <v>2.1</v>
      </c>
      <c r="H1061" s="46">
        <v>2.2000000000000002</v>
      </c>
      <c r="I1061" s="46">
        <v>1.3</v>
      </c>
      <c r="J1061" s="23">
        <f t="shared" si="370"/>
        <v>4.7172612500000026</v>
      </c>
      <c r="K1061" s="61">
        <v>0.20000000000000032</v>
      </c>
      <c r="L1061" s="45">
        <f t="shared" si="383"/>
        <v>5.8500000000000005</v>
      </c>
      <c r="M1061" s="45">
        <f t="shared" si="366"/>
        <v>7.15</v>
      </c>
      <c r="N1061" s="46">
        <f t="shared" si="385"/>
        <v>6.5</v>
      </c>
      <c r="O1061" s="46">
        <f t="shared" si="384"/>
        <v>205.84999999999997</v>
      </c>
      <c r="P1061" s="46">
        <f t="shared" si="367"/>
        <v>207.14999999999998</v>
      </c>
      <c r="Q1061" s="46">
        <f t="shared" si="382"/>
        <v>206.49999999999997</v>
      </c>
      <c r="R1061" s="46">
        <v>205.84999999999997</v>
      </c>
      <c r="S1061" s="46">
        <v>207.14999999999998</v>
      </c>
      <c r="T1061" s="54">
        <v>206.5</v>
      </c>
      <c r="U1061" s="46">
        <f t="shared" si="371"/>
        <v>206.5</v>
      </c>
      <c r="V1061" s="18">
        <v>6.1685999999999996</v>
      </c>
      <c r="W1061" s="18">
        <v>1.907</v>
      </c>
      <c r="X1061" s="23">
        <v>1.1476266666666699</v>
      </c>
      <c r="Y1061" s="23">
        <f t="shared" si="372"/>
        <v>5.0209733333333295</v>
      </c>
      <c r="Z1061" s="23">
        <f t="shared" si="373"/>
        <v>0.75937333333333012</v>
      </c>
      <c r="AA1061" s="21">
        <f t="shared" si="374"/>
        <v>84.875973582811355</v>
      </c>
      <c r="AB1061" s="21">
        <f t="shared" si="375"/>
        <v>15.124026417188645</v>
      </c>
      <c r="AC1061" s="23">
        <f>Y1061/J1061</f>
        <v>1.0643831382739988</v>
      </c>
      <c r="AD1061" s="23">
        <f>Z1061/J1061</f>
        <v>0.16097758701266116</v>
      </c>
      <c r="AE1061" s="57">
        <v>9.5679999999999996</v>
      </c>
      <c r="AF1061" s="57">
        <v>9.7390000000000008</v>
      </c>
      <c r="AG1061" s="57">
        <v>9.5760000000000005</v>
      </c>
      <c r="AH1061" s="58">
        <f>AG1061-AE1061</f>
        <v>8.0000000000008953E-3</v>
      </c>
      <c r="AI1061" s="59">
        <f>((AF1061-AG1061)/(AF1061-AE1061))*100</f>
        <v>95.321637426900097</v>
      </c>
      <c r="AJ1061" s="26">
        <f t="shared" si="376"/>
        <v>4.7660818713450048</v>
      </c>
      <c r="AK1061" s="26">
        <f t="shared" si="377"/>
        <v>55.099212385491391</v>
      </c>
      <c r="AL1061" s="26">
        <f t="shared" si="378"/>
        <v>4.7669315502074818</v>
      </c>
      <c r="AM1061" s="17">
        <f t="shared" si="368"/>
        <v>0.5780346820809249</v>
      </c>
      <c r="AN1061" s="60" t="s">
        <v>48</v>
      </c>
      <c r="AO1061" s="39">
        <v>31</v>
      </c>
      <c r="AP1061" s="52"/>
      <c r="AQ1061" s="17"/>
      <c r="AR1061" s="17"/>
      <c r="AS1061" s="27"/>
      <c r="AT1061" s="17"/>
      <c r="AU1061" s="17"/>
      <c r="AV1061" s="17"/>
      <c r="AW1061" s="17"/>
      <c r="AX1061" s="17"/>
      <c r="BB1061" s="17"/>
    </row>
    <row r="1062" spans="1:54" x14ac:dyDescent="0.2">
      <c r="A1062" s="18" t="s">
        <v>90</v>
      </c>
      <c r="B1062" s="18" t="s">
        <v>91</v>
      </c>
      <c r="C1062" s="18" t="s">
        <v>101</v>
      </c>
      <c r="D1062" s="18" t="str">
        <f t="shared" si="369"/>
        <v>CAT1.1F_168</v>
      </c>
      <c r="E1062" s="55" t="s">
        <v>84</v>
      </c>
      <c r="F1062" s="18">
        <v>168</v>
      </c>
      <c r="G1062" s="18">
        <v>2.2999999999999998</v>
      </c>
      <c r="H1062" s="46">
        <v>2.2000000000000002</v>
      </c>
      <c r="I1062" s="46">
        <v>1.2</v>
      </c>
      <c r="J1062" s="23">
        <f t="shared" si="370"/>
        <v>4.7688749999999995</v>
      </c>
      <c r="K1062" s="61">
        <v>0.20000000000000032</v>
      </c>
      <c r="L1062" s="45">
        <f t="shared" si="383"/>
        <v>7.3500000000000005</v>
      </c>
      <c r="M1062" s="45">
        <f t="shared" si="366"/>
        <v>8.5500000000000007</v>
      </c>
      <c r="N1062" s="46">
        <f t="shared" si="385"/>
        <v>7.9500000000000011</v>
      </c>
      <c r="O1062" s="46">
        <f t="shared" si="384"/>
        <v>207.34999999999997</v>
      </c>
      <c r="P1062" s="46">
        <f t="shared" si="367"/>
        <v>208.54999999999995</v>
      </c>
      <c r="Q1062" s="46">
        <f t="shared" si="382"/>
        <v>207.94999999999996</v>
      </c>
      <c r="R1062" s="46">
        <v>207.34999999999997</v>
      </c>
      <c r="S1062" s="46">
        <v>208.54999999999995</v>
      </c>
      <c r="T1062" s="54">
        <v>208</v>
      </c>
      <c r="U1062" s="46">
        <f t="shared" si="371"/>
        <v>208</v>
      </c>
      <c r="V1062" s="18">
        <v>6.6597999999999997</v>
      </c>
      <c r="W1062" s="18">
        <v>1.9850000000000001</v>
      </c>
      <c r="X1062" s="23">
        <v>1.1476266666666699</v>
      </c>
      <c r="Y1062" s="23">
        <f t="shared" si="372"/>
        <v>5.5121733333333296</v>
      </c>
      <c r="Z1062" s="23">
        <f t="shared" si="373"/>
        <v>0.83737333333333019</v>
      </c>
      <c r="AA1062" s="21">
        <f t="shared" si="374"/>
        <v>84.808653815917793</v>
      </c>
      <c r="AB1062" s="21">
        <f t="shared" si="375"/>
        <v>15.191346184082207</v>
      </c>
      <c r="AC1062" s="23">
        <f>Y1062/J1062</f>
        <v>1.1558645033332453</v>
      </c>
      <c r="AD1062" s="23">
        <f>Z1062/J1062</f>
        <v>0.17559137812027581</v>
      </c>
      <c r="AE1062" s="57">
        <v>12.015000000000001</v>
      </c>
      <c r="AF1062" s="57">
        <v>12.27</v>
      </c>
      <c r="AG1062" s="57">
        <v>12.031000000000001</v>
      </c>
      <c r="AH1062" s="58">
        <f>AG1062-AE1062</f>
        <v>1.6000000000000014E-2</v>
      </c>
      <c r="AI1062" s="59">
        <f>((AF1062-AG1062)/(AF1062-AE1062))*100</f>
        <v>93.725490196078397</v>
      </c>
      <c r="AJ1062" s="26">
        <f t="shared" si="376"/>
        <v>4.68627450980392</v>
      </c>
      <c r="AK1062" s="26">
        <f t="shared" si="377"/>
        <v>54.17658392836902</v>
      </c>
      <c r="AL1062" s="26">
        <f t="shared" si="378"/>
        <v>4.6871386560713102</v>
      </c>
      <c r="AM1062" s="17">
        <f t="shared" si="368"/>
        <v>0.5780346820809249</v>
      </c>
      <c r="AN1062" s="60" t="s">
        <v>49</v>
      </c>
      <c r="AO1062" s="50">
        <f>AO1060/AO1061</f>
        <v>0.20000000000000032</v>
      </c>
      <c r="AP1062" s="52" t="s">
        <v>35</v>
      </c>
      <c r="AQ1062" s="17"/>
      <c r="AR1062" s="17"/>
      <c r="AS1062" s="27"/>
      <c r="AT1062" s="17"/>
      <c r="AU1062" s="17"/>
      <c r="AV1062" s="17"/>
      <c r="AW1062" s="17"/>
      <c r="AX1062" s="17"/>
      <c r="BB1062" s="17"/>
    </row>
    <row r="1063" spans="1:54" x14ac:dyDescent="0.2">
      <c r="A1063" s="18" t="s">
        <v>90</v>
      </c>
      <c r="B1063" s="18" t="s">
        <v>91</v>
      </c>
      <c r="C1063" s="18" t="s">
        <v>101</v>
      </c>
      <c r="D1063" s="18" t="str">
        <f t="shared" si="369"/>
        <v>CAT1.1F_169</v>
      </c>
      <c r="E1063" s="55" t="s">
        <v>84</v>
      </c>
      <c r="F1063" s="18">
        <v>169</v>
      </c>
      <c r="G1063" s="18">
        <v>2.2000000000000002</v>
      </c>
      <c r="H1063" s="46">
        <v>2.2999999999999998</v>
      </c>
      <c r="I1063" s="46">
        <v>1.3</v>
      </c>
      <c r="J1063" s="23">
        <f t="shared" si="370"/>
        <v>5.1662812500000008</v>
      </c>
      <c r="K1063" s="61">
        <v>0.20000000000000032</v>
      </c>
      <c r="L1063" s="45">
        <f t="shared" si="383"/>
        <v>8.7500000000000018</v>
      </c>
      <c r="M1063" s="45">
        <f t="shared" si="366"/>
        <v>10.050000000000002</v>
      </c>
      <c r="N1063" s="46">
        <f t="shared" si="385"/>
        <v>9.4000000000000021</v>
      </c>
      <c r="O1063" s="46">
        <f t="shared" si="384"/>
        <v>208.74999999999994</v>
      </c>
      <c r="P1063" s="46">
        <f t="shared" si="367"/>
        <v>210.04999999999995</v>
      </c>
      <c r="Q1063" s="46">
        <f t="shared" si="382"/>
        <v>209.39999999999995</v>
      </c>
      <c r="R1063" s="46">
        <v>208.74999999999994</v>
      </c>
      <c r="S1063" s="46">
        <v>210.04999999999995</v>
      </c>
      <c r="T1063" s="54">
        <v>209.4</v>
      </c>
      <c r="U1063" s="46">
        <f t="shared" si="371"/>
        <v>209.4</v>
      </c>
      <c r="V1063" s="18">
        <v>6.8335999999999997</v>
      </c>
      <c r="W1063" s="18">
        <v>2.0522</v>
      </c>
      <c r="X1063" s="23">
        <v>1.1476266666666699</v>
      </c>
      <c r="Y1063" s="23">
        <f t="shared" si="372"/>
        <v>5.6859733333333295</v>
      </c>
      <c r="Z1063" s="23">
        <f t="shared" si="373"/>
        <v>0.90457333333333012</v>
      </c>
      <c r="AA1063" s="21">
        <f t="shared" si="374"/>
        <v>84.091143586087924</v>
      </c>
      <c r="AB1063" s="21">
        <f t="shared" si="375"/>
        <v>15.908856413912076</v>
      </c>
      <c r="AC1063" s="23">
        <f>Y1063/J1063</f>
        <v>1.1005930684345395</v>
      </c>
      <c r="AD1063" s="23">
        <f>Z1063/J1063</f>
        <v>0.17509177095872006</v>
      </c>
      <c r="AE1063" s="57">
        <v>12.153</v>
      </c>
      <c r="AF1063" s="57">
        <v>12.327999999999999</v>
      </c>
      <c r="AG1063" s="57">
        <v>12.161</v>
      </c>
      <c r="AH1063" s="58">
        <f>AG1063-AE1063</f>
        <v>7.9999999999991189E-3</v>
      </c>
      <c r="AI1063" s="59">
        <f>((AF1063-AG1063)/(AF1063-AE1063))*100</f>
        <v>95.4285714285719</v>
      </c>
      <c r="AJ1063" s="26">
        <f t="shared" si="376"/>
        <v>4.7714285714285953</v>
      </c>
      <c r="AK1063" s="26">
        <f t="shared" si="377"/>
        <v>55.161023947151392</v>
      </c>
      <c r="AL1063" s="26">
        <f t="shared" si="378"/>
        <v>4.7722772983393504</v>
      </c>
      <c r="AM1063" s="17">
        <f t="shared" si="368"/>
        <v>0.5780346820809249</v>
      </c>
      <c r="AN1063" s="52"/>
      <c r="AO1063" s="39"/>
      <c r="AP1063" s="18"/>
      <c r="AQ1063" s="17"/>
      <c r="AR1063" s="17"/>
      <c r="AS1063" s="27"/>
      <c r="AT1063" s="17"/>
      <c r="AU1063" s="17"/>
      <c r="AV1063" s="17"/>
      <c r="AW1063" s="17"/>
      <c r="AX1063" s="17"/>
      <c r="BB1063" s="17"/>
    </row>
    <row r="1064" spans="1:54" x14ac:dyDescent="0.2">
      <c r="A1064" s="18" t="s">
        <v>90</v>
      </c>
      <c r="B1064" s="18" t="s">
        <v>91</v>
      </c>
      <c r="C1064" s="18" t="s">
        <v>101</v>
      </c>
      <c r="D1064" s="18" t="str">
        <f t="shared" si="369"/>
        <v>CAT1.1F_170</v>
      </c>
      <c r="E1064" s="55" t="s">
        <v>84</v>
      </c>
      <c r="F1064" s="18">
        <v>170</v>
      </c>
      <c r="G1064" s="18">
        <v>2.2999999999999998</v>
      </c>
      <c r="H1064" s="46">
        <v>2.2000000000000002</v>
      </c>
      <c r="I1064" s="46">
        <v>1.4</v>
      </c>
      <c r="J1064" s="23">
        <f t="shared" si="370"/>
        <v>5.5636875000000003</v>
      </c>
      <c r="K1064" s="61">
        <v>0.20000000000000032</v>
      </c>
      <c r="L1064" s="45">
        <f t="shared" si="383"/>
        <v>10.250000000000004</v>
      </c>
      <c r="M1064" s="45">
        <f t="shared" si="366"/>
        <v>11.650000000000004</v>
      </c>
      <c r="N1064" s="46">
        <f t="shared" si="385"/>
        <v>10.950000000000003</v>
      </c>
      <c r="O1064" s="46">
        <f t="shared" si="384"/>
        <v>210.24999999999994</v>
      </c>
      <c r="P1064" s="46">
        <f t="shared" si="367"/>
        <v>211.64999999999995</v>
      </c>
      <c r="Q1064" s="46">
        <f t="shared" si="382"/>
        <v>210.94999999999993</v>
      </c>
      <c r="R1064" s="46">
        <v>210.24999999999994</v>
      </c>
      <c r="S1064" s="46">
        <v>211.64999999999995</v>
      </c>
      <c r="T1064" s="54">
        <v>211</v>
      </c>
      <c r="U1064" s="46">
        <f t="shared" si="371"/>
        <v>211</v>
      </c>
      <c r="V1064" s="18">
        <v>6.4328000000000003</v>
      </c>
      <c r="W1064" s="18">
        <v>1.9346000000000001</v>
      </c>
      <c r="X1064" s="23">
        <v>1.1476266666666699</v>
      </c>
      <c r="Y1064" s="23">
        <f t="shared" si="372"/>
        <v>5.2851733333333302</v>
      </c>
      <c r="Z1064" s="23">
        <f t="shared" si="373"/>
        <v>0.78697333333333019</v>
      </c>
      <c r="AA1064" s="21">
        <f t="shared" si="374"/>
        <v>85.10979141649095</v>
      </c>
      <c r="AB1064" s="21">
        <f t="shared" si="375"/>
        <v>14.89020858350905</v>
      </c>
      <c r="AC1064" s="23">
        <f>Y1064/J1064</f>
        <v>0.94994072426485665</v>
      </c>
      <c r="AD1064" s="23">
        <f>Z1064/J1064</f>
        <v>0.1414481552627336</v>
      </c>
      <c r="AE1064" s="57">
        <v>13.228999999999999</v>
      </c>
      <c r="AF1064" s="57">
        <v>13.454000000000001</v>
      </c>
      <c r="AG1064" s="57">
        <v>13.239000000000001</v>
      </c>
      <c r="AH1064" s="58">
        <f>AG1064-AE1064</f>
        <v>1.0000000000001563E-2</v>
      </c>
      <c r="AI1064" s="59">
        <f>((AF1064-AG1064)/(AF1064-AE1064))*100</f>
        <v>95.555555555554889</v>
      </c>
      <c r="AJ1064" s="26">
        <f t="shared" si="376"/>
        <v>4.7777777777777448</v>
      </c>
      <c r="AK1064" s="26">
        <f t="shared" si="377"/>
        <v>55.234425176621329</v>
      </c>
      <c r="AL1064" s="26">
        <f t="shared" si="378"/>
        <v>4.7786253770123936</v>
      </c>
      <c r="AM1064" s="17">
        <f t="shared" si="368"/>
        <v>0.5780346820809249</v>
      </c>
      <c r="AN1064" s="52"/>
      <c r="AO1064" s="39"/>
      <c r="AP1064" s="18"/>
      <c r="AQ1064" s="17"/>
      <c r="AR1064" s="17"/>
      <c r="AS1064" s="27"/>
      <c r="AT1064" s="17"/>
      <c r="AU1064" s="17"/>
      <c r="AV1064" s="17"/>
      <c r="AW1064" s="17"/>
      <c r="AX1064" s="17"/>
      <c r="BB1064" s="17"/>
    </row>
    <row r="1065" spans="1:54" x14ac:dyDescent="0.2">
      <c r="A1065" s="18" t="s">
        <v>90</v>
      </c>
      <c r="B1065" s="18" t="s">
        <v>91</v>
      </c>
      <c r="C1065" s="18" t="s">
        <v>101</v>
      </c>
      <c r="D1065" s="18" t="str">
        <f t="shared" si="369"/>
        <v>CAT1.1F_171</v>
      </c>
      <c r="E1065" s="55" t="s">
        <v>84</v>
      </c>
      <c r="F1065" s="18">
        <v>171</v>
      </c>
      <c r="G1065" s="18">
        <v>2.2000000000000002</v>
      </c>
      <c r="H1065" s="46">
        <v>2</v>
      </c>
      <c r="I1065" s="46">
        <v>1.35</v>
      </c>
      <c r="J1065" s="23">
        <f t="shared" si="370"/>
        <v>4.6734975000000007</v>
      </c>
      <c r="K1065" s="61">
        <v>0.20000000000000032</v>
      </c>
      <c r="L1065" s="45">
        <f t="shared" si="383"/>
        <v>11.850000000000005</v>
      </c>
      <c r="M1065" s="45">
        <f t="shared" si="366"/>
        <v>13.200000000000005</v>
      </c>
      <c r="N1065" s="46">
        <f t="shared" si="385"/>
        <v>12.525000000000006</v>
      </c>
      <c r="O1065" s="46">
        <f t="shared" si="384"/>
        <v>211.84999999999994</v>
      </c>
      <c r="P1065" s="46">
        <f t="shared" si="367"/>
        <v>213.19999999999993</v>
      </c>
      <c r="Q1065" s="46">
        <f t="shared" si="382"/>
        <v>212.52499999999992</v>
      </c>
      <c r="R1065" s="46">
        <v>211.84999999999994</v>
      </c>
      <c r="S1065" s="46">
        <v>213.19999999999993</v>
      </c>
      <c r="T1065" s="54">
        <v>212.5</v>
      </c>
      <c r="U1065" s="46">
        <f t="shared" si="371"/>
        <v>212.5</v>
      </c>
      <c r="V1065" s="18">
        <v>5.9820000000000002</v>
      </c>
      <c r="W1065" s="18">
        <v>1.6657</v>
      </c>
      <c r="X1065" s="23">
        <v>1.1476266666666699</v>
      </c>
      <c r="Y1065" s="23">
        <f t="shared" si="372"/>
        <v>4.8343733333333301</v>
      </c>
      <c r="Z1065" s="23">
        <f t="shared" si="373"/>
        <v>0.51807333333333005</v>
      </c>
      <c r="AA1065" s="21">
        <f t="shared" si="374"/>
        <v>89.283547264312844</v>
      </c>
      <c r="AB1065" s="21">
        <f t="shared" si="375"/>
        <v>10.716452735687156</v>
      </c>
      <c r="AC1065" s="23">
        <f>Y1065/J1065</f>
        <v>1.0344230061818434</v>
      </c>
      <c r="AD1065" s="23">
        <f>Z1065/J1065</f>
        <v>0.11085345254455148</v>
      </c>
      <c r="AE1065" s="57">
        <v>10.608000000000001</v>
      </c>
      <c r="AF1065" s="57">
        <v>10.862</v>
      </c>
      <c r="AG1065" s="57">
        <v>10.621</v>
      </c>
      <c r="AH1065" s="58">
        <f>AG1065-AE1065</f>
        <v>1.2999999999999901E-2</v>
      </c>
      <c r="AI1065" s="59">
        <f>((AF1065-AG1065)/(AF1065-AE1065))*100</f>
        <v>94.881889763779554</v>
      </c>
      <c r="AJ1065" s="26">
        <f t="shared" si="376"/>
        <v>4.7440944881889777</v>
      </c>
      <c r="AK1065" s="26">
        <f t="shared" si="377"/>
        <v>54.845022984843681</v>
      </c>
      <c r="AL1065" s="26">
        <f t="shared" si="378"/>
        <v>4.7449481043384489</v>
      </c>
      <c r="AM1065" s="17">
        <f t="shared" si="368"/>
        <v>0.5780346820809249</v>
      </c>
      <c r="AN1065" s="52"/>
      <c r="AO1065" s="39"/>
      <c r="AP1065" s="18"/>
      <c r="AQ1065" s="17"/>
      <c r="AR1065" s="17"/>
      <c r="AS1065" s="27"/>
      <c r="AT1065" s="17"/>
      <c r="AU1065" s="17"/>
      <c r="AV1065" s="17"/>
      <c r="AW1065" s="17"/>
      <c r="AX1065" s="17"/>
      <c r="BB1065" s="17"/>
    </row>
    <row r="1066" spans="1:54" x14ac:dyDescent="0.2">
      <c r="A1066" s="18" t="s">
        <v>90</v>
      </c>
      <c r="B1066" s="18" t="s">
        <v>91</v>
      </c>
      <c r="C1066" s="18" t="s">
        <v>101</v>
      </c>
      <c r="D1066" s="18" t="str">
        <f t="shared" si="369"/>
        <v>CAT1.1F_172</v>
      </c>
      <c r="E1066" s="55" t="s">
        <v>84</v>
      </c>
      <c r="F1066" s="18">
        <v>172</v>
      </c>
      <c r="G1066" s="18">
        <v>2.2999999999999998</v>
      </c>
      <c r="H1066" s="46">
        <v>2.2000000000000002</v>
      </c>
      <c r="I1066" s="46">
        <v>1.35</v>
      </c>
      <c r="J1066" s="23">
        <f t="shared" si="370"/>
        <v>5.3649843750000006</v>
      </c>
      <c r="K1066" s="61">
        <v>0.20000000000000032</v>
      </c>
      <c r="L1066" s="45">
        <f t="shared" si="383"/>
        <v>13.400000000000006</v>
      </c>
      <c r="M1066" s="45">
        <f t="shared" si="366"/>
        <v>14.750000000000005</v>
      </c>
      <c r="N1066" s="46">
        <f t="shared" si="385"/>
        <v>14.075000000000006</v>
      </c>
      <c r="O1066" s="46">
        <f t="shared" si="384"/>
        <v>213.39999999999992</v>
      </c>
      <c r="P1066" s="46">
        <f t="shared" si="367"/>
        <v>214.74999999999991</v>
      </c>
      <c r="Q1066" s="46">
        <f t="shared" si="382"/>
        <v>214.07499999999993</v>
      </c>
      <c r="R1066" s="46">
        <v>213.39999999999992</v>
      </c>
      <c r="S1066" s="46">
        <v>214.74999999999991</v>
      </c>
      <c r="T1066" s="54">
        <v>214.1</v>
      </c>
      <c r="U1066" s="46">
        <f t="shared" si="371"/>
        <v>214.1</v>
      </c>
      <c r="V1066" s="18">
        <v>6.6321000000000003</v>
      </c>
      <c r="W1066" s="18">
        <v>1.9105000000000001</v>
      </c>
      <c r="X1066" s="23">
        <v>1.1476266666666699</v>
      </c>
      <c r="Y1066" s="23">
        <f t="shared" si="372"/>
        <v>5.4844733333333302</v>
      </c>
      <c r="Z1066" s="23">
        <f t="shared" si="373"/>
        <v>0.76287333333333018</v>
      </c>
      <c r="AA1066" s="21">
        <f t="shared" si="374"/>
        <v>86.090308276334099</v>
      </c>
      <c r="AB1066" s="21">
        <f t="shared" si="375"/>
        <v>13.909691723665901</v>
      </c>
      <c r="AC1066" s="23">
        <f>Y1066/J1066</f>
        <v>1.0222720049083702</v>
      </c>
      <c r="AD1066" s="23">
        <f>Z1066/J1066</f>
        <v>0.14219488446009315</v>
      </c>
      <c r="AE1066" s="57">
        <v>12.015000000000001</v>
      </c>
      <c r="AF1066" s="57">
        <v>12.252000000000001</v>
      </c>
      <c r="AG1066" s="57">
        <v>12.025</v>
      </c>
      <c r="AH1066" s="58">
        <f>AG1066-AE1066</f>
        <v>9.9999999999997868E-3</v>
      </c>
      <c r="AI1066" s="59">
        <f>((AF1066-AG1066)/(AF1066-AE1066))*100</f>
        <v>95.780590717299674</v>
      </c>
      <c r="AJ1066" s="26">
        <f t="shared" si="376"/>
        <v>4.7890295358649837</v>
      </c>
      <c r="AK1066" s="26">
        <f t="shared" si="377"/>
        <v>55.364503304797502</v>
      </c>
      <c r="AL1066" s="26">
        <f t="shared" si="378"/>
        <v>4.7898751440290361</v>
      </c>
      <c r="AM1066" s="17">
        <f t="shared" si="368"/>
        <v>0.5780346820809249</v>
      </c>
      <c r="AN1066" s="52"/>
      <c r="AO1066" s="39"/>
      <c r="AP1066" s="18"/>
      <c r="AQ1066" s="17"/>
      <c r="AR1066" s="17"/>
      <c r="AS1066" s="27"/>
      <c r="AT1066" s="17"/>
      <c r="AU1066" s="17"/>
      <c r="AV1066" s="17"/>
      <c r="AW1066" s="17"/>
      <c r="AX1066" s="17"/>
      <c r="BB1066" s="17"/>
    </row>
    <row r="1067" spans="1:54" x14ac:dyDescent="0.2">
      <c r="A1067" s="18" t="s">
        <v>90</v>
      </c>
      <c r="B1067" s="18" t="s">
        <v>91</v>
      </c>
      <c r="C1067" s="18" t="s">
        <v>101</v>
      </c>
      <c r="D1067" s="18" t="str">
        <f t="shared" si="369"/>
        <v>CAT1.1F_173</v>
      </c>
      <c r="E1067" s="55" t="s">
        <v>84</v>
      </c>
      <c r="F1067" s="18">
        <v>173</v>
      </c>
      <c r="G1067" s="18">
        <v>2.2999999999999998</v>
      </c>
      <c r="H1067" s="46">
        <v>2.1</v>
      </c>
      <c r="I1067" s="46">
        <v>1.25</v>
      </c>
      <c r="J1067" s="23">
        <f t="shared" si="370"/>
        <v>4.7492500000000009</v>
      </c>
      <c r="K1067" s="61">
        <v>0.20000000000000032</v>
      </c>
      <c r="L1067" s="45">
        <f t="shared" si="383"/>
        <v>14.950000000000006</v>
      </c>
      <c r="M1067" s="45">
        <f t="shared" si="366"/>
        <v>16.200000000000006</v>
      </c>
      <c r="N1067" s="46">
        <f t="shared" si="385"/>
        <v>15.575000000000006</v>
      </c>
      <c r="O1067" s="46">
        <f t="shared" si="384"/>
        <v>214.9499999999999</v>
      </c>
      <c r="P1067" s="46">
        <f t="shared" si="367"/>
        <v>216.1999999999999</v>
      </c>
      <c r="Q1067" s="46">
        <f t="shared" si="382"/>
        <v>215.5749999999999</v>
      </c>
      <c r="R1067" s="46">
        <v>214.9499999999999</v>
      </c>
      <c r="S1067" s="46">
        <v>216.1999999999999</v>
      </c>
      <c r="T1067" s="54">
        <v>215.6</v>
      </c>
      <c r="U1067" s="46">
        <f t="shared" si="371"/>
        <v>215.6</v>
      </c>
      <c r="V1067" s="18">
        <v>6.4558</v>
      </c>
      <c r="W1067" s="18">
        <v>1.9081999999999999</v>
      </c>
      <c r="X1067" s="23">
        <v>1.1476266666666699</v>
      </c>
      <c r="Y1067" s="23">
        <f t="shared" si="372"/>
        <v>5.3081733333333299</v>
      </c>
      <c r="Z1067" s="23">
        <f t="shared" si="373"/>
        <v>0.76057333333332999</v>
      </c>
      <c r="AA1067" s="21">
        <f t="shared" si="374"/>
        <v>85.671656037356286</v>
      </c>
      <c r="AB1067" s="21">
        <f t="shared" si="375"/>
        <v>14.328343962643714</v>
      </c>
      <c r="AC1067" s="23">
        <f>Y1067/J1067</f>
        <v>1.117686652278429</v>
      </c>
      <c r="AD1067" s="23">
        <f>Z1067/J1067</f>
        <v>0.16014598796301097</v>
      </c>
      <c r="AE1067" s="57">
        <v>12.28</v>
      </c>
      <c r="AF1067" s="57">
        <v>12.484999999999999</v>
      </c>
      <c r="AG1067" s="57">
        <v>12.291</v>
      </c>
      <c r="AH1067" s="58">
        <f>AG1067-AE1067</f>
        <v>1.1000000000001009E-2</v>
      </c>
      <c r="AI1067" s="59">
        <f>((AF1067-AG1067)/(AF1067-AE1067))*100</f>
        <v>94.634146341462923</v>
      </c>
      <c r="AJ1067" s="26">
        <f t="shared" si="376"/>
        <v>4.7317073170731465</v>
      </c>
      <c r="AK1067" s="26">
        <f t="shared" si="377"/>
        <v>54.701818694487244</v>
      </c>
      <c r="AL1067" s="26">
        <f t="shared" si="378"/>
        <v>4.7325631675069646</v>
      </c>
      <c r="AM1067" s="17">
        <f t="shared" si="368"/>
        <v>0.5780346820809249</v>
      </c>
      <c r="AN1067" s="52"/>
      <c r="AO1067" s="39"/>
      <c r="AP1067" s="18"/>
      <c r="AQ1067" s="17"/>
      <c r="AR1067" s="17"/>
      <c r="AS1067" s="27"/>
      <c r="AT1067" s="17"/>
      <c r="AU1067" s="17"/>
      <c r="AV1067" s="17"/>
      <c r="AW1067" s="17"/>
      <c r="AX1067" s="17"/>
      <c r="BB1067" s="17"/>
    </row>
    <row r="1068" spans="1:54" x14ac:dyDescent="0.2">
      <c r="A1068" s="18" t="s">
        <v>90</v>
      </c>
      <c r="B1068" s="18" t="s">
        <v>91</v>
      </c>
      <c r="C1068" s="18" t="s">
        <v>101</v>
      </c>
      <c r="D1068" s="18" t="str">
        <f t="shared" si="369"/>
        <v>CAT1.1F_174</v>
      </c>
      <c r="E1068" s="55" t="s">
        <v>84</v>
      </c>
      <c r="F1068" s="18">
        <v>174</v>
      </c>
      <c r="G1068" s="18">
        <v>2.15</v>
      </c>
      <c r="H1068" s="46">
        <v>2.2000000000000002</v>
      </c>
      <c r="I1068" s="46">
        <v>1.3</v>
      </c>
      <c r="J1068" s="23">
        <f t="shared" si="370"/>
        <v>4.8276028124999995</v>
      </c>
      <c r="K1068" s="61">
        <v>0.20000000000000032</v>
      </c>
      <c r="L1068" s="45">
        <f t="shared" si="383"/>
        <v>16.400000000000006</v>
      </c>
      <c r="M1068" s="45">
        <f t="shared" si="366"/>
        <v>17.700000000000006</v>
      </c>
      <c r="N1068" s="46">
        <f t="shared" si="385"/>
        <v>17.050000000000004</v>
      </c>
      <c r="O1068" s="46">
        <f t="shared" si="384"/>
        <v>216.39999999999989</v>
      </c>
      <c r="P1068" s="46">
        <f t="shared" si="367"/>
        <v>217.6999999999999</v>
      </c>
      <c r="Q1068" s="46">
        <f t="shared" si="382"/>
        <v>217.0499999999999</v>
      </c>
      <c r="R1068" s="46">
        <v>216.39999999999989</v>
      </c>
      <c r="S1068" s="46">
        <v>217.6999999999999</v>
      </c>
      <c r="T1068" s="54">
        <v>217.1</v>
      </c>
      <c r="U1068" s="46">
        <f t="shared" si="371"/>
        <v>217.1</v>
      </c>
      <c r="V1068" s="18">
        <v>5.8754999999999997</v>
      </c>
      <c r="W1068" s="18">
        <v>1.8207</v>
      </c>
      <c r="X1068" s="23">
        <v>1.1476266666666699</v>
      </c>
      <c r="Y1068" s="23">
        <f t="shared" si="372"/>
        <v>4.7278733333333296</v>
      </c>
      <c r="Z1068" s="23">
        <f t="shared" si="373"/>
        <v>0.67307333333333008</v>
      </c>
      <c r="AA1068" s="21">
        <f t="shared" si="374"/>
        <v>85.763718994163739</v>
      </c>
      <c r="AB1068" s="21">
        <f t="shared" si="375"/>
        <v>14.236281005836261</v>
      </c>
      <c r="AC1068" s="23">
        <f>Y1068/J1068</f>
        <v>0.97934182180264651</v>
      </c>
      <c r="AD1068" s="23">
        <f>Z1068/J1068</f>
        <v>0.13942185375950089</v>
      </c>
      <c r="AE1068" s="57">
        <v>13.12</v>
      </c>
      <c r="AF1068" s="57">
        <v>13.353999999999999</v>
      </c>
      <c r="AG1068" s="57">
        <v>13.145</v>
      </c>
      <c r="AH1068" s="58">
        <f>AG1068-AE1068</f>
        <v>2.5000000000000355E-2</v>
      </c>
      <c r="AI1068" s="59">
        <f>((AF1068-AG1068)/(AF1068-AE1068))*100</f>
        <v>89.316239316239162</v>
      </c>
      <c r="AJ1068" s="26">
        <f t="shared" si="376"/>
        <v>4.4658119658119579</v>
      </c>
      <c r="AK1068" s="26">
        <f t="shared" si="377"/>
        <v>51.62788399782611</v>
      </c>
      <c r="AL1068" s="26">
        <f t="shared" si="378"/>
        <v>4.4667187636999559</v>
      </c>
      <c r="AM1068" s="17">
        <f t="shared" si="368"/>
        <v>0.5780346820809249</v>
      </c>
      <c r="AN1068" s="52"/>
      <c r="AO1068" s="39"/>
      <c r="AP1068" s="18"/>
      <c r="AQ1068" s="17"/>
      <c r="AR1068" s="17"/>
      <c r="AS1068" s="27"/>
      <c r="AT1068" s="17"/>
      <c r="AU1068" s="17"/>
      <c r="AV1068" s="17"/>
      <c r="AW1068" s="17"/>
      <c r="AX1068" s="17"/>
      <c r="BB1068" s="17"/>
    </row>
    <row r="1069" spans="1:54" x14ac:dyDescent="0.2">
      <c r="A1069" s="18" t="s">
        <v>90</v>
      </c>
      <c r="B1069" s="18" t="s">
        <v>91</v>
      </c>
      <c r="C1069" s="18" t="s">
        <v>101</v>
      </c>
      <c r="D1069" s="18" t="str">
        <f t="shared" si="369"/>
        <v>CAT1.1F_175</v>
      </c>
      <c r="E1069" s="55" t="s">
        <v>84</v>
      </c>
      <c r="F1069" s="18">
        <v>175</v>
      </c>
      <c r="G1069" s="18">
        <v>2.2000000000000002</v>
      </c>
      <c r="H1069" s="46">
        <v>2.1</v>
      </c>
      <c r="I1069" s="46">
        <v>1.3</v>
      </c>
      <c r="J1069" s="23">
        <f t="shared" si="370"/>
        <v>4.7172612500000026</v>
      </c>
      <c r="K1069" s="61">
        <v>0.20000000000000032</v>
      </c>
      <c r="L1069" s="45">
        <f t="shared" si="383"/>
        <v>17.900000000000006</v>
      </c>
      <c r="M1069" s="45">
        <f t="shared" si="366"/>
        <v>19.200000000000006</v>
      </c>
      <c r="N1069" s="46">
        <f t="shared" si="385"/>
        <v>18.550000000000004</v>
      </c>
      <c r="O1069" s="46">
        <f t="shared" si="384"/>
        <v>217.89999999999989</v>
      </c>
      <c r="P1069" s="46">
        <f t="shared" si="367"/>
        <v>219.1999999999999</v>
      </c>
      <c r="Q1069" s="46">
        <f t="shared" si="382"/>
        <v>218.5499999999999</v>
      </c>
      <c r="R1069" s="46">
        <v>217.89999999999989</v>
      </c>
      <c r="S1069" s="46">
        <v>219.1999999999999</v>
      </c>
      <c r="T1069" s="54">
        <v>218.6</v>
      </c>
      <c r="U1069" s="46">
        <f t="shared" si="371"/>
        <v>218.6</v>
      </c>
      <c r="V1069" s="18">
        <v>6.1988000000000003</v>
      </c>
      <c r="W1069" s="18">
        <v>1.9117999999999999</v>
      </c>
      <c r="X1069" s="23">
        <v>1.1476266666666699</v>
      </c>
      <c r="Y1069" s="23">
        <f t="shared" si="372"/>
        <v>5.0511733333333302</v>
      </c>
      <c r="Z1069" s="23">
        <f t="shared" si="373"/>
        <v>0.76417333333333004</v>
      </c>
      <c r="AA1069" s="21">
        <f t="shared" si="374"/>
        <v>84.871369820345421</v>
      </c>
      <c r="AB1069" s="21">
        <f t="shared" si="375"/>
        <v>15.128630179654579</v>
      </c>
      <c r="AC1069" s="23">
        <f>Y1069/J1069</f>
        <v>1.0707851580900523</v>
      </c>
      <c r="AD1069" s="23">
        <f>Z1069/J1069</f>
        <v>0.16199512658607357</v>
      </c>
      <c r="AE1069" s="57">
        <v>14.563000000000001</v>
      </c>
      <c r="AF1069" s="57">
        <v>14.77</v>
      </c>
      <c r="AG1069" s="57">
        <v>14.577</v>
      </c>
      <c r="AH1069" s="58">
        <f>AG1069-AE1069</f>
        <v>1.3999999999999346E-2</v>
      </c>
      <c r="AI1069" s="59">
        <f>((AF1069-AG1069)/(AF1069-AE1069))*100</f>
        <v>93.236714975845686</v>
      </c>
      <c r="AJ1069" s="26">
        <f t="shared" si="376"/>
        <v>4.6618357487922841</v>
      </c>
      <c r="AK1069" s="26">
        <f t="shared" si="377"/>
        <v>53.894054899332772</v>
      </c>
      <c r="AL1069" s="26">
        <f t="shared" si="378"/>
        <v>4.6627044243354865</v>
      </c>
      <c r="AM1069" s="17">
        <f t="shared" si="368"/>
        <v>0.5780346820809249</v>
      </c>
      <c r="AN1069" s="52"/>
      <c r="AO1069" s="39"/>
      <c r="AP1069" s="18"/>
      <c r="AQ1069" s="17"/>
      <c r="AR1069" s="17"/>
      <c r="AS1069" s="27"/>
      <c r="AT1069" s="17"/>
      <c r="AU1069" s="17"/>
      <c r="AV1069" s="17"/>
      <c r="AW1069" s="17"/>
      <c r="AX1069" s="17"/>
      <c r="BB1069" s="17"/>
    </row>
    <row r="1070" spans="1:54" x14ac:dyDescent="0.2">
      <c r="A1070" s="18" t="s">
        <v>90</v>
      </c>
      <c r="B1070" s="18" t="s">
        <v>91</v>
      </c>
      <c r="C1070" s="18" t="s">
        <v>101</v>
      </c>
      <c r="D1070" s="18" t="str">
        <f t="shared" si="369"/>
        <v>CAT1.1F_176</v>
      </c>
      <c r="E1070" s="55" t="s">
        <v>84</v>
      </c>
      <c r="F1070" s="18">
        <v>176</v>
      </c>
      <c r="G1070" s="18">
        <v>2.2000000000000002</v>
      </c>
      <c r="H1070" s="46">
        <v>2.2000000000000002</v>
      </c>
      <c r="I1070" s="46">
        <v>1.3</v>
      </c>
      <c r="J1070" s="23">
        <f t="shared" si="370"/>
        <v>4.9392200000000015</v>
      </c>
      <c r="K1070" s="61">
        <v>0.20000000000000032</v>
      </c>
      <c r="L1070" s="45">
        <f t="shared" si="383"/>
        <v>19.400000000000006</v>
      </c>
      <c r="M1070" s="45">
        <f t="shared" si="366"/>
        <v>20.700000000000006</v>
      </c>
      <c r="N1070" s="46">
        <f t="shared" si="385"/>
        <v>20.050000000000004</v>
      </c>
      <c r="O1070" s="46">
        <f t="shared" si="384"/>
        <v>219.39999999999989</v>
      </c>
      <c r="P1070" s="46">
        <f t="shared" si="367"/>
        <v>220.6999999999999</v>
      </c>
      <c r="Q1070" s="46">
        <f t="shared" si="382"/>
        <v>220.0499999999999</v>
      </c>
      <c r="R1070" s="46">
        <v>219.39999999999989</v>
      </c>
      <c r="S1070" s="46">
        <v>220.6999999999999</v>
      </c>
      <c r="T1070" s="54">
        <v>220.1</v>
      </c>
      <c r="U1070" s="46">
        <f t="shared" si="371"/>
        <v>220.1</v>
      </c>
      <c r="V1070" s="18">
        <v>6.8667999999999996</v>
      </c>
      <c r="W1070" s="18">
        <v>1.9399</v>
      </c>
      <c r="X1070" s="23">
        <v>1.1476266666666699</v>
      </c>
      <c r="Y1070" s="23">
        <f t="shared" si="372"/>
        <v>5.7191733333333294</v>
      </c>
      <c r="Z1070" s="23">
        <f t="shared" si="373"/>
        <v>0.79227333333333005</v>
      </c>
      <c r="AA1070" s="21">
        <f t="shared" si="374"/>
        <v>86.147065543272035</v>
      </c>
      <c r="AB1070" s="21">
        <f t="shared" si="375"/>
        <v>13.852934456727965</v>
      </c>
      <c r="AC1070" s="23">
        <f>Y1070/J1070</f>
        <v>1.1579102233416061</v>
      </c>
      <c r="AD1070" s="23">
        <f>Z1070/J1070</f>
        <v>0.16040454430726508</v>
      </c>
      <c r="AE1070" s="57">
        <v>13.173</v>
      </c>
      <c r="AF1070" s="57">
        <v>13.347</v>
      </c>
      <c r="AG1070" s="57">
        <v>13.182</v>
      </c>
      <c r="AH1070" s="58">
        <f>AG1070-AE1070</f>
        <v>9.0000000000003411E-3</v>
      </c>
      <c r="AI1070" s="59">
        <f>((AF1070-AG1070)/(AF1070-AE1070))*100</f>
        <v>94.827586206896342</v>
      </c>
      <c r="AJ1070" s="26">
        <f t="shared" si="376"/>
        <v>4.7413793103448176</v>
      </c>
      <c r="AK1070" s="26">
        <f t="shared" si="377"/>
        <v>54.813633645604824</v>
      </c>
      <c r="AL1070" s="26">
        <f t="shared" si="378"/>
        <v>4.7422334152344181</v>
      </c>
      <c r="AM1070" s="17">
        <f t="shared" si="368"/>
        <v>0.5780346820809249</v>
      </c>
      <c r="AN1070" s="52"/>
      <c r="AO1070" s="39"/>
      <c r="AP1070" s="18"/>
      <c r="AQ1070" s="17"/>
      <c r="AR1070" s="17"/>
      <c r="AS1070" s="27"/>
      <c r="AT1070" s="17"/>
      <c r="AU1070" s="17"/>
      <c r="AV1070" s="17"/>
      <c r="AW1070" s="17"/>
      <c r="AX1070" s="17"/>
      <c r="BB1070" s="17"/>
    </row>
    <row r="1071" spans="1:54" x14ac:dyDescent="0.2">
      <c r="A1071" s="18" t="s">
        <v>90</v>
      </c>
      <c r="B1071" s="18" t="s">
        <v>91</v>
      </c>
      <c r="C1071" s="18" t="s">
        <v>101</v>
      </c>
      <c r="D1071" s="18" t="str">
        <f t="shared" si="369"/>
        <v>CAT1.1F_177</v>
      </c>
      <c r="E1071" s="55" t="s">
        <v>84</v>
      </c>
      <c r="F1071" s="18">
        <v>177</v>
      </c>
      <c r="G1071" s="18">
        <v>2.2999999999999998</v>
      </c>
      <c r="H1071" s="46">
        <v>2.2000000000000002</v>
      </c>
      <c r="I1071" s="46">
        <v>1.3</v>
      </c>
      <c r="J1071" s="23">
        <f t="shared" si="370"/>
        <v>5.1662812500000008</v>
      </c>
      <c r="K1071" s="61">
        <v>0.20000000000000032</v>
      </c>
      <c r="L1071" s="45">
        <f t="shared" si="383"/>
        <v>20.900000000000006</v>
      </c>
      <c r="M1071" s="45">
        <f t="shared" si="366"/>
        <v>22.200000000000006</v>
      </c>
      <c r="N1071" s="46">
        <f t="shared" si="385"/>
        <v>21.550000000000004</v>
      </c>
      <c r="O1071" s="46">
        <f t="shared" si="384"/>
        <v>220.89999999999989</v>
      </c>
      <c r="P1071" s="46">
        <f t="shared" si="367"/>
        <v>222.1999999999999</v>
      </c>
      <c r="Q1071" s="46">
        <f t="shared" si="382"/>
        <v>221.5499999999999</v>
      </c>
      <c r="R1071" s="46">
        <v>220.89999999999989</v>
      </c>
      <c r="S1071" s="46">
        <v>222.1999999999999</v>
      </c>
      <c r="T1071" s="54">
        <v>221.6</v>
      </c>
      <c r="U1071" s="46">
        <f t="shared" si="371"/>
        <v>221.6</v>
      </c>
      <c r="V1071" s="18">
        <v>6.3173000000000004</v>
      </c>
      <c r="W1071" s="18">
        <v>1.5044999999999999</v>
      </c>
      <c r="X1071" s="23">
        <v>1.1476266666666699</v>
      </c>
      <c r="Y1071" s="23">
        <f t="shared" si="372"/>
        <v>5.1696733333333302</v>
      </c>
      <c r="Z1071" s="23">
        <f t="shared" si="373"/>
        <v>0.35687333333333005</v>
      </c>
      <c r="AA1071" s="21">
        <f t="shared" si="374"/>
        <v>93.096791415576291</v>
      </c>
      <c r="AB1071" s="21">
        <f t="shared" si="375"/>
        <v>6.9032085844237088</v>
      </c>
      <c r="AC1071" s="23">
        <f>Y1071/J1071</f>
        <v>1.0006565812369059</v>
      </c>
      <c r="AD1071" s="23">
        <f>Z1071/J1071</f>
        <v>6.9077411016546963E-2</v>
      </c>
      <c r="AE1071" s="57">
        <v>13.602</v>
      </c>
      <c r="AF1071" s="57">
        <v>13.815</v>
      </c>
      <c r="AG1071" s="57">
        <v>13.613</v>
      </c>
      <c r="AH1071" s="58">
        <f>AG1071-AE1071</f>
        <v>1.0999999999999233E-2</v>
      </c>
      <c r="AI1071" s="59">
        <f>((AF1071-AG1071)/(AF1071-AE1071))*100</f>
        <v>94.835680751174039</v>
      </c>
      <c r="AJ1071" s="26">
        <f t="shared" si="376"/>
        <v>4.7417840375587019</v>
      </c>
      <c r="AK1071" s="26">
        <f t="shared" si="377"/>
        <v>54.818312572932975</v>
      </c>
      <c r="AL1071" s="26">
        <f t="shared" si="378"/>
        <v>4.7426380695607069</v>
      </c>
      <c r="AM1071" s="17">
        <f t="shared" si="368"/>
        <v>0.5780346820809249</v>
      </c>
      <c r="AN1071" s="52"/>
      <c r="AO1071" s="39"/>
      <c r="AP1071" s="18"/>
      <c r="AQ1071" s="17"/>
      <c r="AR1071" s="17"/>
      <c r="AS1071" s="27"/>
      <c r="AT1071" s="17"/>
      <c r="AU1071" s="17"/>
      <c r="AV1071" s="17"/>
      <c r="AW1071" s="17"/>
      <c r="AX1071" s="17"/>
      <c r="BB1071" s="17"/>
    </row>
    <row r="1072" spans="1:54" x14ac:dyDescent="0.2">
      <c r="A1072" s="18" t="s">
        <v>90</v>
      </c>
      <c r="B1072" s="18" t="s">
        <v>91</v>
      </c>
      <c r="C1072" s="18" t="s">
        <v>101</v>
      </c>
      <c r="D1072" s="18" t="str">
        <f t="shared" si="369"/>
        <v>CAT1.1F_178</v>
      </c>
      <c r="E1072" s="55" t="s">
        <v>84</v>
      </c>
      <c r="F1072" s="18">
        <v>178</v>
      </c>
      <c r="G1072" s="18">
        <v>2</v>
      </c>
      <c r="H1072" s="46">
        <v>2.4</v>
      </c>
      <c r="I1072" s="46">
        <v>1.35</v>
      </c>
      <c r="J1072" s="23">
        <f t="shared" si="370"/>
        <v>5.1291900000000021</v>
      </c>
      <c r="K1072" s="61">
        <v>0.20000000000000032</v>
      </c>
      <c r="L1072" s="45">
        <f t="shared" si="383"/>
        <v>22.400000000000006</v>
      </c>
      <c r="M1072" s="45">
        <f t="shared" si="366"/>
        <v>23.750000000000007</v>
      </c>
      <c r="N1072" s="46">
        <f t="shared" si="385"/>
        <v>23.075000000000006</v>
      </c>
      <c r="O1072" s="46">
        <f t="shared" si="384"/>
        <v>222.39999999999989</v>
      </c>
      <c r="P1072" s="46">
        <f t="shared" si="367"/>
        <v>223.74999999999989</v>
      </c>
      <c r="Q1072" s="46">
        <f t="shared" si="382"/>
        <v>223.07499999999987</v>
      </c>
      <c r="R1072" s="46">
        <v>222.39999999999989</v>
      </c>
      <c r="S1072" s="46">
        <v>223.74999999999989</v>
      </c>
      <c r="T1072" s="54">
        <v>223.1</v>
      </c>
      <c r="U1072" s="46">
        <f t="shared" si="371"/>
        <v>223.1</v>
      </c>
      <c r="V1072" s="18">
        <v>5.7275999999999998</v>
      </c>
      <c r="W1072" s="18">
        <v>1.8393999999999999</v>
      </c>
      <c r="X1072" s="23">
        <v>1.1476266666666699</v>
      </c>
      <c r="Y1072" s="23">
        <f t="shared" si="372"/>
        <v>4.5799733333333297</v>
      </c>
      <c r="Z1072" s="23">
        <f t="shared" si="373"/>
        <v>0.69177333333333002</v>
      </c>
      <c r="AA1072" s="21">
        <f t="shared" si="374"/>
        <v>84.895690804604456</v>
      </c>
      <c r="AB1072" s="21">
        <f t="shared" si="375"/>
        <v>15.104309195395544</v>
      </c>
      <c r="AC1072" s="23">
        <f>Y1072/J1072</f>
        <v>0.89292331407753034</v>
      </c>
      <c r="AD1072" s="23">
        <f>Z1072/J1072</f>
        <v>0.13486989823604306</v>
      </c>
      <c r="AE1072" s="57">
        <v>14.401</v>
      </c>
      <c r="AF1072" s="57">
        <v>14.638999999999999</v>
      </c>
      <c r="AG1072" s="57">
        <v>14.416</v>
      </c>
      <c r="AH1072" s="58">
        <f>AG1072-AE1072</f>
        <v>1.5000000000000568E-2</v>
      </c>
      <c r="AI1072" s="59">
        <f>((AF1072-AG1072)/(AF1072-AE1072))*100</f>
        <v>93.697478991596384</v>
      </c>
      <c r="AJ1072" s="26">
        <f t="shared" si="376"/>
        <v>4.6848739495798197</v>
      </c>
      <c r="AK1072" s="26">
        <f t="shared" si="377"/>
        <v>54.160392480691556</v>
      </c>
      <c r="AL1072" s="26">
        <f t="shared" si="378"/>
        <v>4.685738354139251</v>
      </c>
      <c r="AM1072" s="17">
        <f t="shared" si="368"/>
        <v>0.5780346820809249</v>
      </c>
      <c r="AN1072" s="52"/>
      <c r="AO1072" s="39"/>
      <c r="AP1072" s="18"/>
      <c r="AQ1072" s="17"/>
      <c r="AR1072" s="17"/>
      <c r="AS1072" s="27"/>
      <c r="AT1072" s="17"/>
      <c r="AU1072" s="17"/>
      <c r="AV1072" s="17"/>
      <c r="AW1072" s="17"/>
      <c r="AX1072" s="17"/>
      <c r="BB1072" s="17"/>
    </row>
    <row r="1073" spans="1:54" x14ac:dyDescent="0.2">
      <c r="A1073" s="18" t="s">
        <v>90</v>
      </c>
      <c r="B1073" s="18" t="s">
        <v>91</v>
      </c>
      <c r="C1073" s="18" t="s">
        <v>101</v>
      </c>
      <c r="D1073" s="18" t="str">
        <f t="shared" si="369"/>
        <v>CAT1.1F_179</v>
      </c>
      <c r="E1073" s="55" t="s">
        <v>84</v>
      </c>
      <c r="F1073" s="18">
        <v>179</v>
      </c>
      <c r="G1073" s="18">
        <v>2.2000000000000002</v>
      </c>
      <c r="H1073" s="46">
        <v>2</v>
      </c>
      <c r="I1073" s="46">
        <v>1.4</v>
      </c>
      <c r="J1073" s="23">
        <f t="shared" si="370"/>
        <v>4.84659</v>
      </c>
      <c r="K1073" s="61">
        <v>0.20000000000000032</v>
      </c>
      <c r="L1073" s="45">
        <f t="shared" si="383"/>
        <v>23.950000000000006</v>
      </c>
      <c r="M1073" s="45">
        <f t="shared" si="366"/>
        <v>25.350000000000005</v>
      </c>
      <c r="N1073" s="46">
        <f t="shared" si="385"/>
        <v>24.650000000000006</v>
      </c>
      <c r="O1073" s="46">
        <f t="shared" si="384"/>
        <v>223.94999999999987</v>
      </c>
      <c r="P1073" s="46">
        <f t="shared" si="367"/>
        <v>225.34999999999988</v>
      </c>
      <c r="Q1073" s="46">
        <f t="shared" si="382"/>
        <v>224.64999999999986</v>
      </c>
      <c r="R1073" s="46">
        <v>223.94999999999987</v>
      </c>
      <c r="S1073" s="46">
        <v>225.34999999999988</v>
      </c>
      <c r="T1073" s="54">
        <v>224.7</v>
      </c>
      <c r="U1073" s="46">
        <f t="shared" si="371"/>
        <v>224.7</v>
      </c>
      <c r="V1073" s="18">
        <v>6.7350000000000003</v>
      </c>
      <c r="W1073" s="18">
        <v>1.9932000000000001</v>
      </c>
      <c r="X1073" s="23">
        <v>1.1476266666666699</v>
      </c>
      <c r="Y1073" s="23">
        <f t="shared" si="372"/>
        <v>5.5873733333333302</v>
      </c>
      <c r="Z1073" s="23">
        <f t="shared" si="373"/>
        <v>0.84557333333333018</v>
      </c>
      <c r="AA1073" s="21">
        <f t="shared" si="374"/>
        <v>84.866353420689066</v>
      </c>
      <c r="AB1073" s="21">
        <f t="shared" si="375"/>
        <v>15.133646579310934</v>
      </c>
      <c r="AC1073" s="23">
        <f>Y1073/J1073</f>
        <v>1.1528462967433453</v>
      </c>
      <c r="AD1073" s="23">
        <f>Z1073/J1073</f>
        <v>0.17446768415181194</v>
      </c>
      <c r="AE1073" s="57">
        <v>14.013999999999999</v>
      </c>
      <c r="AF1073" s="57">
        <v>14.315</v>
      </c>
      <c r="AG1073" s="57">
        <v>14.036</v>
      </c>
      <c r="AH1073" s="58">
        <f>AG1073-AE1073</f>
        <v>2.2000000000000242E-2</v>
      </c>
      <c r="AI1073" s="59">
        <f>((AF1073-AG1073)/(AF1073-AE1073))*100</f>
        <v>92.69102990033214</v>
      </c>
      <c r="AJ1073" s="26">
        <f t="shared" si="376"/>
        <v>4.6345514950166073</v>
      </c>
      <c r="AK1073" s="26">
        <f t="shared" si="377"/>
        <v>53.578630000191993</v>
      </c>
      <c r="AL1073" s="26">
        <f t="shared" si="378"/>
        <v>4.6354252836132162</v>
      </c>
      <c r="AM1073" s="17">
        <f t="shared" si="368"/>
        <v>0.5780346820809249</v>
      </c>
      <c r="AN1073" s="52"/>
      <c r="AO1073" s="39"/>
      <c r="AP1073" s="18"/>
      <c r="AQ1073" s="17"/>
      <c r="AR1073" s="17"/>
      <c r="AS1073" s="27"/>
      <c r="AT1073" s="17"/>
      <c r="AU1073" s="17"/>
      <c r="AV1073" s="17"/>
      <c r="AW1073" s="17"/>
      <c r="AX1073" s="17"/>
      <c r="BB1073" s="17"/>
    </row>
    <row r="1074" spans="1:54" x14ac:dyDescent="0.2">
      <c r="A1074" s="18" t="s">
        <v>90</v>
      </c>
      <c r="B1074" s="18" t="s">
        <v>91</v>
      </c>
      <c r="C1074" s="18" t="s">
        <v>101</v>
      </c>
      <c r="D1074" s="18" t="str">
        <f t="shared" si="369"/>
        <v>CAT1.1F_180</v>
      </c>
      <c r="E1074" s="55" t="s">
        <v>84</v>
      </c>
      <c r="F1074" s="18">
        <v>180</v>
      </c>
      <c r="G1074" s="18">
        <v>2.2000000000000002</v>
      </c>
      <c r="H1074" s="46">
        <v>2.2000000000000002</v>
      </c>
      <c r="I1074" s="46">
        <v>1.2</v>
      </c>
      <c r="J1074" s="23">
        <f t="shared" si="370"/>
        <v>4.5592800000000011</v>
      </c>
      <c r="K1074" s="61">
        <v>0.20000000000000032</v>
      </c>
      <c r="L1074" s="45">
        <f t="shared" si="383"/>
        <v>25.550000000000004</v>
      </c>
      <c r="M1074" s="45">
        <f t="shared" si="366"/>
        <v>26.750000000000004</v>
      </c>
      <c r="N1074" s="46">
        <f t="shared" si="385"/>
        <v>26.150000000000006</v>
      </c>
      <c r="O1074" s="46">
        <f t="shared" si="384"/>
        <v>225.54999999999987</v>
      </c>
      <c r="P1074" s="46">
        <f t="shared" si="367"/>
        <v>226.74999999999986</v>
      </c>
      <c r="Q1074" s="46">
        <f t="shared" si="382"/>
        <v>226.14999999999986</v>
      </c>
      <c r="R1074" s="46">
        <v>225.54999999999987</v>
      </c>
      <c r="S1074" s="46">
        <v>226.74999999999986</v>
      </c>
      <c r="T1074" s="54">
        <v>226.2</v>
      </c>
      <c r="U1074" s="46">
        <f t="shared" si="371"/>
        <v>226.2</v>
      </c>
      <c r="V1074" s="18">
        <v>5.8529999999999998</v>
      </c>
      <c r="W1074" s="18">
        <v>2.0817000000000001</v>
      </c>
      <c r="X1074" s="23">
        <v>1.1476266666666699</v>
      </c>
      <c r="Y1074" s="23">
        <f t="shared" si="372"/>
        <v>4.7053733333333296</v>
      </c>
      <c r="Z1074" s="23">
        <f t="shared" si="373"/>
        <v>0.9340733333333302</v>
      </c>
      <c r="AA1074" s="21">
        <f t="shared" si="374"/>
        <v>80.148794427930667</v>
      </c>
      <c r="AB1074" s="21">
        <f t="shared" si="375"/>
        <v>19.851205572069333</v>
      </c>
      <c r="AC1074" s="23">
        <f>Y1074/J1074</f>
        <v>1.0320430711281887</v>
      </c>
      <c r="AD1074" s="23">
        <f>Z1074/J1074</f>
        <v>0.20487299164195444</v>
      </c>
      <c r="AE1074" s="57">
        <v>13.053000000000001</v>
      </c>
      <c r="AF1074" s="57">
        <v>13.29</v>
      </c>
      <c r="AG1074" s="57">
        <v>13.115</v>
      </c>
      <c r="AH1074" s="58">
        <f>AG1074-AE1074</f>
        <v>6.1999999999999389E-2</v>
      </c>
      <c r="AI1074" s="59">
        <f>((AF1074-AG1074)/(AF1074-AE1074))*100</f>
        <v>73.839662447257453</v>
      </c>
      <c r="AJ1074" s="26">
        <f t="shared" si="376"/>
        <v>3.6919831223628727</v>
      </c>
      <c r="AK1074" s="26">
        <f t="shared" si="377"/>
        <v>42.681885807663271</v>
      </c>
      <c r="AL1074" s="26">
        <f t="shared" si="378"/>
        <v>3.6930799308723752</v>
      </c>
      <c r="AM1074" s="17">
        <f t="shared" si="368"/>
        <v>0.5780346820809249</v>
      </c>
      <c r="AN1074" s="52"/>
      <c r="AO1074" s="39"/>
      <c r="AP1074" s="18"/>
      <c r="AQ1074" s="17"/>
      <c r="AR1074" s="17"/>
      <c r="AS1074" s="27"/>
      <c r="AT1074" s="17"/>
      <c r="AU1074" s="17"/>
      <c r="AV1074" s="17"/>
      <c r="AW1074" s="17"/>
      <c r="AX1074" s="17"/>
      <c r="BB1074" s="17"/>
    </row>
    <row r="1075" spans="1:54" x14ac:dyDescent="0.2">
      <c r="A1075" s="18" t="s">
        <v>90</v>
      </c>
      <c r="B1075" s="18" t="s">
        <v>91</v>
      </c>
      <c r="C1075" s="18" t="s">
        <v>101</v>
      </c>
      <c r="D1075" s="18" t="str">
        <f t="shared" si="369"/>
        <v>CAT1.1F_181</v>
      </c>
      <c r="E1075" s="55" t="s">
        <v>84</v>
      </c>
      <c r="F1075" s="18">
        <v>181</v>
      </c>
      <c r="G1075" s="18">
        <v>2.35</v>
      </c>
      <c r="H1075" s="46">
        <v>2.2000000000000002</v>
      </c>
      <c r="I1075" s="46">
        <v>1.4</v>
      </c>
      <c r="J1075" s="23">
        <f t="shared" si="370"/>
        <v>5.6880118750000017</v>
      </c>
      <c r="K1075" s="61">
        <v>0.20000000000000032</v>
      </c>
      <c r="L1075" s="45">
        <f t="shared" si="383"/>
        <v>26.950000000000003</v>
      </c>
      <c r="M1075" s="45">
        <f t="shared" si="366"/>
        <v>28.35</v>
      </c>
      <c r="N1075" s="46">
        <f t="shared" si="385"/>
        <v>27.650000000000002</v>
      </c>
      <c r="O1075" s="46">
        <f t="shared" si="384"/>
        <v>226.94999999999985</v>
      </c>
      <c r="P1075" s="46">
        <f t="shared" si="367"/>
        <v>228.34999999999985</v>
      </c>
      <c r="Q1075" s="46">
        <f t="shared" si="382"/>
        <v>227.64999999999986</v>
      </c>
      <c r="R1075" s="46">
        <v>226.94999999999985</v>
      </c>
      <c r="S1075" s="46">
        <v>228.34999999999985</v>
      </c>
      <c r="T1075" s="54">
        <v>227.7</v>
      </c>
      <c r="U1075" s="46">
        <f t="shared" si="371"/>
        <v>227.7</v>
      </c>
      <c r="V1075" s="18">
        <v>6.7667999999999999</v>
      </c>
      <c r="W1075" s="18">
        <v>2.052</v>
      </c>
      <c r="X1075" s="23">
        <v>1.1476266666666699</v>
      </c>
      <c r="Y1075" s="23">
        <f t="shared" si="372"/>
        <v>5.6191733333333298</v>
      </c>
      <c r="Z1075" s="23">
        <f t="shared" si="373"/>
        <v>0.90437333333333014</v>
      </c>
      <c r="AA1075" s="21">
        <f t="shared" si="374"/>
        <v>83.905580417522913</v>
      </c>
      <c r="AB1075" s="21">
        <f t="shared" si="375"/>
        <v>16.094419582477087</v>
      </c>
      <c r="AC1075" s="23">
        <f>Y1075/J1075</f>
        <v>0.9878976093616767</v>
      </c>
      <c r="AD1075" s="23">
        <f>Z1075/J1075</f>
        <v>0.15899638629592872</v>
      </c>
      <c r="AE1075" s="57">
        <v>13.878</v>
      </c>
      <c r="AF1075" s="57">
        <v>14.147</v>
      </c>
      <c r="AG1075" s="57">
        <v>13.933999999999999</v>
      </c>
      <c r="AH1075" s="58">
        <f>AG1075-AE1075</f>
        <v>5.5999999999999162E-2</v>
      </c>
      <c r="AI1075" s="59">
        <f>((AF1075-AG1075)/(AF1075-AE1075))*100</f>
        <v>79.182156133829324</v>
      </c>
      <c r="AJ1075" s="26">
        <f t="shared" si="376"/>
        <v>3.9591078066914664</v>
      </c>
      <c r="AK1075" s="26">
        <f t="shared" si="377"/>
        <v>45.770032447300188</v>
      </c>
      <c r="AL1075" s="26">
        <f t="shared" si="378"/>
        <v>3.9601306323157215</v>
      </c>
      <c r="AM1075" s="17">
        <f t="shared" si="368"/>
        <v>0.5780346820809249</v>
      </c>
      <c r="AN1075" s="52"/>
      <c r="AO1075" s="39"/>
      <c r="AP1075" s="18"/>
      <c r="AQ1075" s="17"/>
      <c r="AR1075" s="17"/>
      <c r="AS1075" s="27"/>
      <c r="AT1075" s="17"/>
      <c r="AU1075" s="17"/>
      <c r="AV1075" s="17"/>
      <c r="AW1075" s="17"/>
      <c r="AX1075" s="17"/>
      <c r="BB1075" s="17"/>
    </row>
    <row r="1076" spans="1:54" x14ac:dyDescent="0.2">
      <c r="A1076" s="18" t="s">
        <v>90</v>
      </c>
      <c r="B1076" s="18" t="s">
        <v>91</v>
      </c>
      <c r="C1076" s="18" t="s">
        <v>101</v>
      </c>
      <c r="D1076" s="18" t="str">
        <f t="shared" si="369"/>
        <v>CAT1.1F_182</v>
      </c>
      <c r="E1076" s="55" t="s">
        <v>84</v>
      </c>
      <c r="F1076" s="18">
        <v>182</v>
      </c>
      <c r="G1076" s="18">
        <v>2.2999999999999998</v>
      </c>
      <c r="H1076" s="46">
        <v>2.2000000000000002</v>
      </c>
      <c r="I1076" s="46">
        <v>1.35</v>
      </c>
      <c r="J1076" s="23">
        <f t="shared" si="370"/>
        <v>5.3649843750000006</v>
      </c>
      <c r="K1076" s="61">
        <v>0.20000000000000032</v>
      </c>
      <c r="L1076" s="45">
        <f t="shared" si="383"/>
        <v>28.55</v>
      </c>
      <c r="M1076" s="45">
        <f t="shared" si="366"/>
        <v>29.900000000000002</v>
      </c>
      <c r="N1076" s="46">
        <f t="shared" si="385"/>
        <v>29.225000000000001</v>
      </c>
      <c r="O1076" s="46">
        <f t="shared" si="384"/>
        <v>228.54999999999984</v>
      </c>
      <c r="P1076" s="46">
        <f t="shared" si="367"/>
        <v>229.89999999999984</v>
      </c>
      <c r="Q1076" s="46">
        <f t="shared" si="382"/>
        <v>229.22499999999985</v>
      </c>
      <c r="R1076" s="46">
        <v>228.54999999999984</v>
      </c>
      <c r="S1076" s="46">
        <v>229.89999999999984</v>
      </c>
      <c r="T1076" s="54">
        <v>229.2</v>
      </c>
      <c r="U1076" s="46">
        <f t="shared" si="371"/>
        <v>229.2</v>
      </c>
      <c r="V1076" s="18">
        <v>6.0495000000000001</v>
      </c>
      <c r="W1076" s="18">
        <v>1.9305000000000001</v>
      </c>
      <c r="X1076" s="23">
        <v>1.1476266666666699</v>
      </c>
      <c r="Y1076" s="23">
        <f t="shared" si="372"/>
        <v>4.90187333333333</v>
      </c>
      <c r="Z1076" s="23">
        <f t="shared" si="373"/>
        <v>0.7828733333333302</v>
      </c>
      <c r="AA1076" s="21">
        <f t="shared" si="374"/>
        <v>84.029099079127619</v>
      </c>
      <c r="AB1076" s="21">
        <f t="shared" si="375"/>
        <v>15.970900920872381</v>
      </c>
      <c r="AC1076" s="23">
        <f>Y1076/J1076</f>
        <v>0.91367895798081045</v>
      </c>
      <c r="AD1076" s="23">
        <f>Z1076/J1076</f>
        <v>0.14592276111397437</v>
      </c>
      <c r="AE1076" s="57">
        <v>13.622999999999999</v>
      </c>
      <c r="AF1076" s="57">
        <v>13.882</v>
      </c>
      <c r="AG1076" s="57">
        <v>13.643000000000001</v>
      </c>
      <c r="AH1076" s="58">
        <f>AG1076-AE1076</f>
        <v>2.000000000000135E-2</v>
      </c>
      <c r="AI1076" s="59">
        <f>((AF1076-AG1076)/(AF1076-AE1076))*100</f>
        <v>92.277992277991771</v>
      </c>
      <c r="AJ1076" s="26">
        <f t="shared" si="376"/>
        <v>4.6138996138995889</v>
      </c>
      <c r="AK1076" s="26">
        <f t="shared" si="377"/>
        <v>53.339879929475018</v>
      </c>
      <c r="AL1076" s="26">
        <f t="shared" si="378"/>
        <v>4.6147773128443346</v>
      </c>
      <c r="AM1076" s="17">
        <f t="shared" si="368"/>
        <v>0.5780346820809249</v>
      </c>
      <c r="AN1076" s="52"/>
      <c r="AO1076" s="39"/>
      <c r="AP1076" s="18"/>
      <c r="AQ1076" s="17"/>
      <c r="AR1076" s="17"/>
      <c r="AS1076" s="27"/>
      <c r="AT1076" s="17"/>
      <c r="AU1076" s="17"/>
      <c r="AV1076" s="17"/>
      <c r="AW1076" s="17"/>
      <c r="AX1076" s="17"/>
      <c r="BB1076" s="17"/>
    </row>
    <row r="1077" spans="1:54" x14ac:dyDescent="0.2">
      <c r="A1077" s="18" t="s">
        <v>90</v>
      </c>
      <c r="B1077" s="18" t="s">
        <v>91</v>
      </c>
      <c r="C1077" s="18" t="s">
        <v>101</v>
      </c>
      <c r="D1077" s="18" t="str">
        <f t="shared" si="369"/>
        <v>CAT1.1F_183</v>
      </c>
      <c r="E1077" s="55" t="s">
        <v>84</v>
      </c>
      <c r="F1077" s="18">
        <v>183</v>
      </c>
      <c r="G1077" s="18">
        <v>2.2000000000000002</v>
      </c>
      <c r="H1077" s="46">
        <v>2.14</v>
      </c>
      <c r="I1077" s="46">
        <v>1.25</v>
      </c>
      <c r="J1077" s="23">
        <f t="shared" si="370"/>
        <v>4.6206081249999995</v>
      </c>
      <c r="K1077" s="61">
        <v>0.20000000000000032</v>
      </c>
      <c r="L1077" s="45">
        <f t="shared" si="383"/>
        <v>30.1</v>
      </c>
      <c r="M1077" s="45">
        <f t="shared" si="366"/>
        <v>31.35</v>
      </c>
      <c r="N1077" s="46">
        <f t="shared" si="385"/>
        <v>30.725000000000001</v>
      </c>
      <c r="O1077" s="46">
        <f t="shared" si="384"/>
        <v>230.09999999999982</v>
      </c>
      <c r="P1077" s="46">
        <f t="shared" si="367"/>
        <v>231.34999999999982</v>
      </c>
      <c r="Q1077" s="46">
        <f t="shared" si="382"/>
        <v>230.72499999999982</v>
      </c>
      <c r="R1077" s="46">
        <v>230.09999999999982</v>
      </c>
      <c r="S1077" s="46">
        <v>231.34999999999982</v>
      </c>
      <c r="T1077" s="54">
        <v>230.7</v>
      </c>
      <c r="U1077" s="46">
        <f t="shared" si="371"/>
        <v>230.7</v>
      </c>
      <c r="V1077" s="18">
        <v>6.1044999999999998</v>
      </c>
      <c r="W1077" s="18">
        <v>2.1560999999999999</v>
      </c>
      <c r="X1077" s="23">
        <v>1.1476266666666699</v>
      </c>
      <c r="Y1077" s="23">
        <f t="shared" si="372"/>
        <v>4.9568733333333297</v>
      </c>
      <c r="Z1077" s="23">
        <f t="shared" si="373"/>
        <v>1.00847333333333</v>
      </c>
      <c r="AA1077" s="21">
        <f t="shared" si="374"/>
        <v>79.655051369747909</v>
      </c>
      <c r="AB1077" s="21">
        <f t="shared" si="375"/>
        <v>20.344948630252091</v>
      </c>
      <c r="AC1077" s="23">
        <f>Y1077/J1077</f>
        <v>1.0727750978305113</v>
      </c>
      <c r="AD1077" s="23">
        <f>Z1077/J1077</f>
        <v>0.21825554257175403</v>
      </c>
      <c r="AE1077" s="57">
        <v>13.481</v>
      </c>
      <c r="AF1077" s="57">
        <v>13.679</v>
      </c>
      <c r="AG1077" s="57">
        <v>13.5</v>
      </c>
      <c r="AH1077" s="58">
        <f>AG1077-AE1077</f>
        <v>1.9000000000000128E-2</v>
      </c>
      <c r="AI1077" s="59">
        <f>((AF1077-AG1077)/(AF1077-AE1077))*100</f>
        <v>90.404040404040359</v>
      </c>
      <c r="AJ1077" s="26">
        <f t="shared" si="376"/>
        <v>4.5202020202020181</v>
      </c>
      <c r="AK1077" s="26">
        <f t="shared" si="377"/>
        <v>52.256670753780561</v>
      </c>
      <c r="AL1077" s="26">
        <f t="shared" si="378"/>
        <v>4.5210979090745651</v>
      </c>
      <c r="AM1077" s="17">
        <f t="shared" si="368"/>
        <v>0.5780346820809249</v>
      </c>
      <c r="AN1077" s="52"/>
      <c r="AO1077" s="39"/>
      <c r="AP1077" s="18"/>
      <c r="AQ1077" s="17"/>
      <c r="AR1077" s="17"/>
      <c r="AS1077" s="27"/>
      <c r="AT1077" s="17"/>
      <c r="AU1077" s="17"/>
      <c r="AV1077" s="17"/>
      <c r="AW1077" s="17"/>
      <c r="AX1077" s="17"/>
      <c r="BB1077" s="17"/>
    </row>
    <row r="1078" spans="1:54" x14ac:dyDescent="0.2">
      <c r="A1078" s="18" t="s">
        <v>90</v>
      </c>
      <c r="B1078" s="18" t="s">
        <v>91</v>
      </c>
      <c r="C1078" s="18" t="s">
        <v>101</v>
      </c>
      <c r="D1078" s="18" t="str">
        <f t="shared" si="369"/>
        <v>CAT1.1F_184</v>
      </c>
      <c r="E1078" s="55" t="s">
        <v>84</v>
      </c>
      <c r="F1078" s="18">
        <v>184</v>
      </c>
      <c r="G1078" s="18">
        <v>2</v>
      </c>
      <c r="H1078" s="46">
        <v>2.2999999999999998</v>
      </c>
      <c r="I1078" s="46">
        <v>1.4</v>
      </c>
      <c r="J1078" s="23">
        <f t="shared" si="370"/>
        <v>5.0801274999999997</v>
      </c>
      <c r="K1078" s="61">
        <v>0.20000000000000032</v>
      </c>
      <c r="L1078" s="45">
        <f t="shared" si="383"/>
        <v>31.55</v>
      </c>
      <c r="M1078" s="45">
        <f t="shared" si="366"/>
        <v>32.950000000000003</v>
      </c>
      <c r="N1078" s="46">
        <f t="shared" si="385"/>
        <v>32.25</v>
      </c>
      <c r="O1078" s="46">
        <f t="shared" si="384"/>
        <v>231.54999999999981</v>
      </c>
      <c r="P1078" s="46">
        <f t="shared" si="367"/>
        <v>232.94999999999982</v>
      </c>
      <c r="Q1078" s="46">
        <f t="shared" si="382"/>
        <v>232.24999999999983</v>
      </c>
      <c r="R1078" s="46">
        <v>231.54999999999981</v>
      </c>
      <c r="S1078" s="46">
        <v>232.94999999999982</v>
      </c>
      <c r="T1078" s="54">
        <v>232.3</v>
      </c>
      <c r="U1078" s="46">
        <f t="shared" si="371"/>
        <v>232.3</v>
      </c>
      <c r="V1078" s="18">
        <v>6.1108000000000002</v>
      </c>
      <c r="W1078" s="18">
        <v>2.2225999999999999</v>
      </c>
      <c r="X1078" s="23">
        <v>1.1476266666666699</v>
      </c>
      <c r="Y1078" s="23">
        <f t="shared" si="372"/>
        <v>4.9631733333333301</v>
      </c>
      <c r="Z1078" s="23">
        <f t="shared" si="373"/>
        <v>1.07497333333333</v>
      </c>
      <c r="AA1078" s="21">
        <f t="shared" si="374"/>
        <v>78.341007634900308</v>
      </c>
      <c r="AB1078" s="21">
        <f t="shared" si="375"/>
        <v>21.658992365099692</v>
      </c>
      <c r="AC1078" s="23">
        <f>Y1078/J1078</f>
        <v>0.9769781040600517</v>
      </c>
      <c r="AD1078" s="23">
        <f>Z1078/J1078</f>
        <v>0.21160361296706234</v>
      </c>
      <c r="AE1078" s="57">
        <v>13.166</v>
      </c>
      <c r="AF1078" s="57">
        <v>13.403</v>
      </c>
      <c r="AG1078" s="57">
        <v>13.189</v>
      </c>
      <c r="AH1078" s="58">
        <f>AG1078-AE1078</f>
        <v>2.2999999999999687E-2</v>
      </c>
      <c r="AI1078" s="59">
        <f>((AF1078-AG1078)/(AF1078-AE1078))*100</f>
        <v>90.295358649789165</v>
      </c>
      <c r="AJ1078" s="26">
        <f t="shared" si="376"/>
        <v>4.5147679324894581</v>
      </c>
      <c r="AK1078" s="26">
        <f t="shared" si="377"/>
        <v>52.193848930513973</v>
      </c>
      <c r="AL1078" s="26">
        <f t="shared" si="378"/>
        <v>4.5156648994622195</v>
      </c>
      <c r="AM1078" s="17">
        <f t="shared" si="368"/>
        <v>0.5780346820809249</v>
      </c>
      <c r="AN1078" s="52"/>
      <c r="AO1078" s="39"/>
      <c r="AP1078" s="18"/>
      <c r="AQ1078" s="17"/>
      <c r="AR1078" s="17"/>
      <c r="AS1078" s="27"/>
      <c r="AT1078" s="17"/>
      <c r="AU1078" s="17"/>
      <c r="AV1078" s="17"/>
      <c r="AW1078" s="17"/>
      <c r="AX1078" s="17"/>
      <c r="BB1078" s="17"/>
    </row>
    <row r="1079" spans="1:54" x14ac:dyDescent="0.2">
      <c r="A1079" s="18" t="s">
        <v>90</v>
      </c>
      <c r="B1079" s="18" t="s">
        <v>91</v>
      </c>
      <c r="C1079" s="18" t="s">
        <v>101</v>
      </c>
      <c r="D1079" s="18" t="str">
        <f t="shared" si="369"/>
        <v>CAT1.1F_185</v>
      </c>
      <c r="E1079" s="55" t="s">
        <v>84</v>
      </c>
      <c r="F1079" s="18">
        <v>185</v>
      </c>
      <c r="G1079" s="18">
        <v>2.2000000000000002</v>
      </c>
      <c r="H1079" s="46">
        <v>2.2999999999999998</v>
      </c>
      <c r="I1079" s="46">
        <v>1.3</v>
      </c>
      <c r="J1079" s="23">
        <f t="shared" si="370"/>
        <v>5.1662812500000008</v>
      </c>
      <c r="K1079" s="61">
        <v>0.20000000000000032</v>
      </c>
      <c r="L1079" s="45">
        <f t="shared" si="383"/>
        <v>33.150000000000006</v>
      </c>
      <c r="M1079" s="45">
        <f t="shared" si="366"/>
        <v>34.450000000000003</v>
      </c>
      <c r="N1079" s="46">
        <f t="shared" si="385"/>
        <v>33.800000000000004</v>
      </c>
      <c r="O1079" s="46">
        <f t="shared" si="384"/>
        <v>233.14999999999981</v>
      </c>
      <c r="P1079" s="46">
        <f t="shared" si="367"/>
        <v>234.44999999999982</v>
      </c>
      <c r="Q1079" s="46">
        <f t="shared" si="382"/>
        <v>233.79999999999981</v>
      </c>
      <c r="R1079" s="46">
        <v>233.14999999999981</v>
      </c>
      <c r="S1079" s="46">
        <v>234.44999999999982</v>
      </c>
      <c r="T1079" s="54">
        <v>233.8</v>
      </c>
      <c r="U1079" s="46">
        <f t="shared" si="371"/>
        <v>233.8</v>
      </c>
      <c r="V1079" s="18">
        <v>7.0537999999999998</v>
      </c>
      <c r="W1079" s="18">
        <v>2.9493999999999998</v>
      </c>
      <c r="X1079" s="23">
        <v>1.1476266666666699</v>
      </c>
      <c r="Y1079" s="23">
        <f t="shared" si="372"/>
        <v>5.9061733333333297</v>
      </c>
      <c r="Z1079" s="23">
        <f t="shared" si="373"/>
        <v>1.8017733333333299</v>
      </c>
      <c r="AA1079" s="21">
        <f t="shared" si="374"/>
        <v>69.493388838345453</v>
      </c>
      <c r="AB1079" s="21">
        <f t="shared" si="375"/>
        <v>30.506611161654547</v>
      </c>
      <c r="AC1079" s="23">
        <f>Y1079/J1079</f>
        <v>1.1432156027768192</v>
      </c>
      <c r="AD1079" s="23">
        <f>Z1079/J1079</f>
        <v>0.34875633867848943</v>
      </c>
      <c r="AE1079" s="57">
        <v>13.454000000000001</v>
      </c>
      <c r="AF1079" s="57">
        <v>13.862</v>
      </c>
      <c r="AG1079" s="57">
        <v>13.722</v>
      </c>
      <c r="AH1079" s="58">
        <f>AG1079-AE1079</f>
        <v>0.26799999999999891</v>
      </c>
      <c r="AI1079" s="59">
        <f>((AF1079-AG1079)/(AF1079-AE1079))*100</f>
        <v>34.313725490196262</v>
      </c>
      <c r="AJ1079" s="26">
        <f t="shared" si="376"/>
        <v>1.7156862745098131</v>
      </c>
      <c r="AK1079" s="26">
        <f t="shared" si="377"/>
        <v>19.834523404737727</v>
      </c>
      <c r="AL1079" s="26">
        <f t="shared" si="378"/>
        <v>1.7180452242421798</v>
      </c>
      <c r="AM1079" s="17">
        <f t="shared" si="368"/>
        <v>0.5780346820809249</v>
      </c>
      <c r="AN1079" s="52"/>
      <c r="AO1079" s="39"/>
      <c r="AP1079" s="18"/>
      <c r="AQ1079" s="17"/>
      <c r="AR1079" s="17"/>
      <c r="AS1079" s="27"/>
      <c r="AT1079" s="17"/>
      <c r="AU1079" s="17"/>
      <c r="AV1079" s="17"/>
      <c r="AW1079" s="17"/>
      <c r="AX1079" s="17"/>
      <c r="BB1079" s="17"/>
    </row>
    <row r="1080" spans="1:54" x14ac:dyDescent="0.2">
      <c r="A1080" s="18" t="s">
        <v>90</v>
      </c>
      <c r="B1080" s="18" t="s">
        <v>91</v>
      </c>
      <c r="C1080" s="18" t="s">
        <v>101</v>
      </c>
      <c r="D1080" s="18" t="str">
        <f t="shared" si="369"/>
        <v>CAT1.1F_186</v>
      </c>
      <c r="E1080" s="55" t="s">
        <v>84</v>
      </c>
      <c r="F1080" s="18">
        <v>186</v>
      </c>
      <c r="G1080" s="18">
        <v>2.4</v>
      </c>
      <c r="H1080" s="46">
        <v>2.25</v>
      </c>
      <c r="I1080" s="46">
        <v>1.2</v>
      </c>
      <c r="J1080" s="23">
        <f t="shared" si="370"/>
        <v>5.0920987500000008</v>
      </c>
      <c r="K1080" s="61">
        <v>0.20000000000000032</v>
      </c>
      <c r="L1080" s="45">
        <f t="shared" si="383"/>
        <v>34.650000000000006</v>
      </c>
      <c r="M1080" s="45">
        <f t="shared" si="366"/>
        <v>35.850000000000009</v>
      </c>
      <c r="N1080" s="46">
        <f t="shared" si="385"/>
        <v>35.250000000000007</v>
      </c>
      <c r="O1080" s="46">
        <f t="shared" si="384"/>
        <v>234.64999999999981</v>
      </c>
      <c r="P1080" s="46">
        <f t="shared" si="367"/>
        <v>235.8499999999998</v>
      </c>
      <c r="Q1080" s="46">
        <f t="shared" si="382"/>
        <v>235.2499999999998</v>
      </c>
      <c r="R1080" s="46">
        <v>234.64999999999981</v>
      </c>
      <c r="S1080" s="46">
        <v>235.8499999999998</v>
      </c>
      <c r="T1080" s="54">
        <v>235.3</v>
      </c>
      <c r="U1080" s="46">
        <f t="shared" si="371"/>
        <v>235.3</v>
      </c>
      <c r="V1080" s="18">
        <v>6.2516999999999996</v>
      </c>
      <c r="W1080" s="18">
        <v>2.7938000000000001</v>
      </c>
      <c r="X1080" s="23">
        <v>1.1476266666666699</v>
      </c>
      <c r="Y1080" s="23">
        <f t="shared" si="372"/>
        <v>5.1040733333333295</v>
      </c>
      <c r="Z1080" s="23">
        <f t="shared" si="373"/>
        <v>1.6461733333333302</v>
      </c>
      <c r="AA1080" s="21">
        <f t="shared" si="374"/>
        <v>67.747851062745994</v>
      </c>
      <c r="AB1080" s="21">
        <f t="shared" si="375"/>
        <v>32.252148937254006</v>
      </c>
      <c r="AC1080" s="23">
        <f>Y1080/J1080</f>
        <v>1.0023516007684117</v>
      </c>
      <c r="AD1080" s="23">
        <f>Z1080/J1080</f>
        <v>0.32327993115477777</v>
      </c>
      <c r="AE1080" s="57">
        <v>10.028</v>
      </c>
      <c r="AF1080" s="57">
        <v>10.488</v>
      </c>
      <c r="AG1080" s="57">
        <v>10.275</v>
      </c>
      <c r="AH1080" s="58">
        <f>AG1080-AE1080</f>
        <v>0.24699999999999989</v>
      </c>
      <c r="AI1080" s="59">
        <f>((AF1080-AG1080)/(AF1080-AE1080))*100</f>
        <v>46.304347826086875</v>
      </c>
      <c r="AJ1080" s="26">
        <f t="shared" si="376"/>
        <v>2.3152173913043437</v>
      </c>
      <c r="AK1080" s="26">
        <f t="shared" si="377"/>
        <v>26.765518974616693</v>
      </c>
      <c r="AL1080" s="26">
        <f t="shared" si="378"/>
        <v>2.3169660267250554</v>
      </c>
      <c r="AM1080" s="17">
        <f t="shared" si="368"/>
        <v>0.5780346820809249</v>
      </c>
      <c r="AN1080" s="52"/>
      <c r="AO1080" s="39"/>
      <c r="AP1080" s="18"/>
      <c r="AQ1080" s="17"/>
      <c r="AR1080" s="17"/>
      <c r="AS1080" s="27"/>
      <c r="AT1080" s="17"/>
      <c r="AU1080" s="17"/>
      <c r="AV1080" s="17"/>
      <c r="AW1080" s="17"/>
      <c r="AX1080" s="17"/>
      <c r="BB1080" s="17"/>
    </row>
    <row r="1081" spans="1:54" x14ac:dyDescent="0.2">
      <c r="A1081" s="18" t="s">
        <v>90</v>
      </c>
      <c r="B1081" s="18" t="s">
        <v>91</v>
      </c>
      <c r="C1081" s="18" t="s">
        <v>101</v>
      </c>
      <c r="D1081" s="18" t="str">
        <f t="shared" si="369"/>
        <v>CAT1.1F_187</v>
      </c>
      <c r="E1081" s="55" t="s">
        <v>84</v>
      </c>
      <c r="F1081" s="18">
        <v>187</v>
      </c>
      <c r="G1081" s="18">
        <v>2.2999999999999998</v>
      </c>
      <c r="H1081" s="46">
        <v>2.2999999999999998</v>
      </c>
      <c r="I1081" s="46">
        <v>1.5</v>
      </c>
      <c r="J1081" s="23">
        <f t="shared" si="370"/>
        <v>6.2289749999999984</v>
      </c>
      <c r="K1081" s="61">
        <v>0.20000000000000032</v>
      </c>
      <c r="L1081" s="45">
        <f t="shared" si="383"/>
        <v>36.050000000000011</v>
      </c>
      <c r="M1081" s="45">
        <f t="shared" si="366"/>
        <v>37.550000000000011</v>
      </c>
      <c r="N1081" s="46">
        <f t="shared" si="385"/>
        <v>36.800000000000011</v>
      </c>
      <c r="O1081" s="46">
        <f t="shared" si="384"/>
        <v>236.04999999999978</v>
      </c>
      <c r="P1081" s="46">
        <f t="shared" si="367"/>
        <v>237.54999999999978</v>
      </c>
      <c r="Q1081" s="46">
        <f t="shared" si="382"/>
        <v>236.79999999999978</v>
      </c>
      <c r="R1081" s="46">
        <v>236.04999999999978</v>
      </c>
      <c r="S1081" s="46">
        <v>237.54999999999978</v>
      </c>
      <c r="T1081" s="54">
        <v>236.8</v>
      </c>
      <c r="U1081" s="46">
        <f t="shared" si="371"/>
        <v>236.8</v>
      </c>
      <c r="V1081" s="18">
        <v>6.6928000000000001</v>
      </c>
      <c r="W1081" s="18">
        <v>2.2898999999999998</v>
      </c>
      <c r="X1081" s="23">
        <v>1.1476266666666699</v>
      </c>
      <c r="Y1081" s="23">
        <f t="shared" si="372"/>
        <v>5.54517333333333</v>
      </c>
      <c r="Z1081" s="23">
        <f t="shared" si="373"/>
        <v>1.1422733333333299</v>
      </c>
      <c r="AA1081" s="21">
        <f t="shared" si="374"/>
        <v>79.400583811026095</v>
      </c>
      <c r="AB1081" s="21">
        <f t="shared" si="375"/>
        <v>20.599416188973905</v>
      </c>
      <c r="AC1081" s="23">
        <f>Y1081/J1081</f>
        <v>0.89022244162696618</v>
      </c>
      <c r="AD1081" s="23">
        <f>Z1081/J1081</f>
        <v>0.18338062575838404</v>
      </c>
      <c r="AE1081" s="57">
        <v>12.744999999999999</v>
      </c>
      <c r="AF1081" s="57">
        <v>13.013</v>
      </c>
      <c r="AG1081" s="57">
        <v>12.78</v>
      </c>
      <c r="AH1081" s="58">
        <f>AG1081-AE1081</f>
        <v>3.5000000000000142E-2</v>
      </c>
      <c r="AI1081" s="59">
        <f>((AF1081-AG1081)/(AF1081-AE1081))*100</f>
        <v>86.940298507462671</v>
      </c>
      <c r="AJ1081" s="26">
        <f t="shared" si="376"/>
        <v>4.3470149253731334</v>
      </c>
      <c r="AK1081" s="26">
        <f t="shared" si="377"/>
        <v>50.254507807781891</v>
      </c>
      <c r="AL1081" s="26">
        <f t="shared" si="378"/>
        <v>4.3479464993737889</v>
      </c>
      <c r="AM1081" s="17">
        <f t="shared" si="368"/>
        <v>0.5780346820809249</v>
      </c>
      <c r="AN1081" s="52"/>
      <c r="AO1081" s="39"/>
      <c r="AP1081" s="18"/>
      <c r="AQ1081" s="17"/>
      <c r="AR1081" s="17"/>
      <c r="AS1081" s="27"/>
      <c r="AT1081" s="17"/>
      <c r="AU1081" s="17"/>
      <c r="AV1081" s="17"/>
      <c r="AW1081" s="17"/>
      <c r="AX1081" s="17"/>
      <c r="BB1081" s="17"/>
    </row>
    <row r="1082" spans="1:54" x14ac:dyDescent="0.2">
      <c r="A1082" s="18" t="s">
        <v>90</v>
      </c>
      <c r="B1082" s="18" t="s">
        <v>91</v>
      </c>
      <c r="C1082" s="18" t="s">
        <v>101</v>
      </c>
      <c r="D1082" s="18" t="str">
        <f t="shared" si="369"/>
        <v>CAT1.1F_188</v>
      </c>
      <c r="E1082" s="55" t="s">
        <v>84</v>
      </c>
      <c r="F1082" s="18">
        <v>188</v>
      </c>
      <c r="G1082" s="18">
        <v>2.4</v>
      </c>
      <c r="H1082" s="46">
        <v>2.2000000000000002</v>
      </c>
      <c r="I1082" s="46">
        <v>1.3</v>
      </c>
      <c r="J1082" s="23">
        <f t="shared" si="370"/>
        <v>5.3984449999999997</v>
      </c>
      <c r="K1082" s="61">
        <v>0.20000000000000032</v>
      </c>
      <c r="L1082" s="45">
        <f t="shared" si="383"/>
        <v>37.750000000000014</v>
      </c>
      <c r="M1082" s="45">
        <f t="shared" si="366"/>
        <v>39.050000000000011</v>
      </c>
      <c r="N1082" s="46">
        <f t="shared" si="385"/>
        <v>38.400000000000013</v>
      </c>
      <c r="O1082" s="46">
        <f t="shared" si="384"/>
        <v>237.74999999999977</v>
      </c>
      <c r="P1082" s="46">
        <f t="shared" si="367"/>
        <v>239.04999999999978</v>
      </c>
      <c r="Q1082" s="46">
        <f t="shared" si="382"/>
        <v>238.39999999999978</v>
      </c>
      <c r="R1082" s="46">
        <v>237.74999999999977</v>
      </c>
      <c r="S1082" s="46">
        <v>239.04999999999978</v>
      </c>
      <c r="T1082" s="54">
        <v>238.4</v>
      </c>
      <c r="U1082" s="46">
        <f t="shared" si="371"/>
        <v>238.4</v>
      </c>
      <c r="V1082" s="18">
        <v>6.5731999999999999</v>
      </c>
      <c r="W1082" s="18">
        <v>2.0878999999999999</v>
      </c>
      <c r="X1082" s="23">
        <v>1.1476266666666699</v>
      </c>
      <c r="Y1082" s="23">
        <f t="shared" si="372"/>
        <v>5.4255733333333298</v>
      </c>
      <c r="Z1082" s="23">
        <f t="shared" si="373"/>
        <v>0.94027333333332996</v>
      </c>
      <c r="AA1082" s="21">
        <f t="shared" si="374"/>
        <v>82.669604195439916</v>
      </c>
      <c r="AB1082" s="21">
        <f t="shared" si="375"/>
        <v>17.330395804560084</v>
      </c>
      <c r="AC1082" s="23">
        <f>Y1082/J1082</f>
        <v>1.0050252125071812</v>
      </c>
      <c r="AD1082" s="23">
        <f>Z1082/J1082</f>
        <v>0.17417484726311558</v>
      </c>
      <c r="AE1082" s="57">
        <v>12.406000000000001</v>
      </c>
      <c r="AF1082" s="57">
        <v>12.628</v>
      </c>
      <c r="AG1082" s="57">
        <v>12.420999999999999</v>
      </c>
      <c r="AH1082" s="58">
        <f>AG1082-AE1082</f>
        <v>1.4999999999998792E-2</v>
      </c>
      <c r="AI1082" s="59">
        <f>((AF1082-AG1082)/(AF1082-AE1082))*100</f>
        <v>93.243243243243782</v>
      </c>
      <c r="AJ1082" s="26">
        <f t="shared" si="376"/>
        <v>4.6621621621621889</v>
      </c>
      <c r="AK1082" s="26">
        <f t="shared" si="377"/>
        <v>53.897828464302769</v>
      </c>
      <c r="AL1082" s="26">
        <f t="shared" si="378"/>
        <v>4.6630307768978767</v>
      </c>
      <c r="AM1082" s="17">
        <f t="shared" si="368"/>
        <v>0.5780346820809249</v>
      </c>
      <c r="AN1082" s="52"/>
      <c r="AO1082" s="39"/>
      <c r="AP1082" s="18"/>
      <c r="AQ1082" s="17"/>
      <c r="AR1082" s="17"/>
      <c r="AS1082" s="27"/>
      <c r="AT1082" s="17"/>
      <c r="AU1082" s="17"/>
      <c r="AV1082" s="17"/>
      <c r="AW1082" s="17"/>
      <c r="AX1082" s="17"/>
      <c r="BB1082" s="17"/>
    </row>
    <row r="1083" spans="1:54" x14ac:dyDescent="0.2">
      <c r="A1083" s="18" t="s">
        <v>90</v>
      </c>
      <c r="B1083" s="18" t="s">
        <v>91</v>
      </c>
      <c r="C1083" s="18" t="s">
        <v>101</v>
      </c>
      <c r="D1083" s="18" t="str">
        <f t="shared" si="369"/>
        <v>CAT1.1F_189</v>
      </c>
      <c r="E1083" s="55" t="s">
        <v>84</v>
      </c>
      <c r="F1083" s="18">
        <v>189</v>
      </c>
      <c r="G1083" s="18">
        <v>2.2000000000000002</v>
      </c>
      <c r="H1083" s="46">
        <v>2.2000000000000002</v>
      </c>
      <c r="I1083" s="46">
        <v>1.3</v>
      </c>
      <c r="J1083" s="23">
        <f t="shared" si="370"/>
        <v>4.9392200000000015</v>
      </c>
      <c r="K1083" s="61">
        <v>0.20000000000000032</v>
      </c>
      <c r="L1083" s="45">
        <f t="shared" si="383"/>
        <v>39.250000000000014</v>
      </c>
      <c r="M1083" s="45">
        <f t="shared" si="366"/>
        <v>40.550000000000011</v>
      </c>
      <c r="N1083" s="46">
        <f t="shared" si="385"/>
        <v>39.900000000000013</v>
      </c>
      <c r="O1083" s="46">
        <f t="shared" si="384"/>
        <v>239.24999999999977</v>
      </c>
      <c r="P1083" s="46">
        <f t="shared" si="367"/>
        <v>240.54999999999978</v>
      </c>
      <c r="Q1083" s="46">
        <f t="shared" si="382"/>
        <v>239.89999999999978</v>
      </c>
      <c r="R1083" s="46">
        <v>239.24999999999977</v>
      </c>
      <c r="S1083" s="46">
        <v>240.54999999999978</v>
      </c>
      <c r="T1083" s="54">
        <v>239.9</v>
      </c>
      <c r="U1083" s="46">
        <f t="shared" si="371"/>
        <v>239.9</v>
      </c>
      <c r="V1083" s="18">
        <v>6.5133000000000001</v>
      </c>
      <c r="W1083" s="18">
        <v>2.0131000000000001</v>
      </c>
      <c r="X1083" s="23">
        <v>1.1476266666666699</v>
      </c>
      <c r="Y1083" s="23">
        <f t="shared" si="372"/>
        <v>5.36567333333333</v>
      </c>
      <c r="Z1083" s="23">
        <f t="shared" si="373"/>
        <v>0.86547333333333021</v>
      </c>
      <c r="AA1083" s="21">
        <f t="shared" si="374"/>
        <v>83.870182182789151</v>
      </c>
      <c r="AB1083" s="21">
        <f t="shared" si="375"/>
        <v>16.129817817210849</v>
      </c>
      <c r="AC1083" s="23">
        <f>Y1083/J1083</f>
        <v>1.0863402183610626</v>
      </c>
      <c r="AD1083" s="23">
        <f>Z1083/J1083</f>
        <v>0.17522469809672983</v>
      </c>
      <c r="AE1083" s="57">
        <v>12.27</v>
      </c>
      <c r="AF1083" s="57">
        <v>12.535</v>
      </c>
      <c r="AG1083" s="57">
        <v>12.288</v>
      </c>
      <c r="AH1083" s="58">
        <f>AG1083-AE1083</f>
        <v>1.8000000000000682E-2</v>
      </c>
      <c r="AI1083" s="59">
        <f>((AF1083-AG1083)/(AF1083-AE1083))*100</f>
        <v>93.207547169811079</v>
      </c>
      <c r="AJ1083" s="26">
        <f t="shared" si="376"/>
        <v>4.6603773584905541</v>
      </c>
      <c r="AK1083" s="26">
        <f t="shared" si="377"/>
        <v>53.877194895844561</v>
      </c>
      <c r="AL1083" s="26">
        <f t="shared" si="378"/>
        <v>4.661246305821158</v>
      </c>
      <c r="AM1083" s="17">
        <f t="shared" si="368"/>
        <v>0.5780346820809249</v>
      </c>
      <c r="AN1083" s="52"/>
      <c r="AO1083" s="39"/>
      <c r="AP1083" s="18"/>
      <c r="AQ1083" s="17"/>
      <c r="AR1083" s="17"/>
      <c r="AS1083" s="27"/>
      <c r="AT1083" s="17"/>
      <c r="AU1083" s="17"/>
      <c r="AV1083" s="17"/>
      <c r="AW1083" s="17"/>
      <c r="AX1083" s="17"/>
      <c r="BB1083" s="17"/>
    </row>
    <row r="1084" spans="1:54" x14ac:dyDescent="0.2">
      <c r="A1084" s="18" t="s">
        <v>90</v>
      </c>
      <c r="B1084" s="18" t="s">
        <v>91</v>
      </c>
      <c r="C1084" s="18" t="s">
        <v>101</v>
      </c>
      <c r="D1084" s="18" t="str">
        <f t="shared" si="369"/>
        <v>CAT1.1F_190</v>
      </c>
      <c r="E1084" s="55" t="s">
        <v>84</v>
      </c>
      <c r="F1084" s="18">
        <v>190</v>
      </c>
      <c r="G1084" s="18">
        <v>2.15</v>
      </c>
      <c r="H1084" s="46">
        <v>2.1</v>
      </c>
      <c r="I1084" s="46">
        <v>1.3</v>
      </c>
      <c r="J1084" s="23">
        <f t="shared" si="370"/>
        <v>4.6081953125000004</v>
      </c>
      <c r="K1084" s="61">
        <v>0.20000000000000032</v>
      </c>
      <c r="L1084" s="45">
        <f t="shared" si="383"/>
        <v>40.750000000000014</v>
      </c>
      <c r="M1084" s="45">
        <f t="shared" si="366"/>
        <v>42.050000000000011</v>
      </c>
      <c r="N1084" s="46">
        <f t="shared" si="385"/>
        <v>41.400000000000013</v>
      </c>
      <c r="O1084" s="46">
        <f t="shared" si="384"/>
        <v>240.74999999999977</v>
      </c>
      <c r="P1084" s="46">
        <f t="shared" si="367"/>
        <v>242.04999999999978</v>
      </c>
      <c r="Q1084" s="46">
        <f t="shared" si="382"/>
        <v>241.39999999999978</v>
      </c>
      <c r="R1084" s="46">
        <v>240.74999999999977</v>
      </c>
      <c r="S1084" s="46">
        <v>242.04999999999978</v>
      </c>
      <c r="T1084" s="54">
        <v>241.4</v>
      </c>
      <c r="U1084" s="46">
        <f t="shared" si="371"/>
        <v>241.4</v>
      </c>
      <c r="V1084" s="18">
        <v>6.3967999999999998</v>
      </c>
      <c r="W1084" s="18">
        <v>2.1432000000000002</v>
      </c>
      <c r="X1084" s="23">
        <v>1.1476266666666699</v>
      </c>
      <c r="Y1084" s="23">
        <f t="shared" si="372"/>
        <v>5.2491733333333297</v>
      </c>
      <c r="Z1084" s="23">
        <f t="shared" si="373"/>
        <v>0.99557333333333031</v>
      </c>
      <c r="AA1084" s="21">
        <f t="shared" si="374"/>
        <v>81.033711974965001</v>
      </c>
      <c r="AB1084" s="21">
        <f t="shared" si="375"/>
        <v>18.966288025034999</v>
      </c>
      <c r="AC1084" s="23">
        <f>Y1084/J1084</f>
        <v>1.1390952373686589</v>
      </c>
      <c r="AD1084" s="23">
        <f>Z1084/J1084</f>
        <v>0.21604408359879609</v>
      </c>
      <c r="AE1084" s="57">
        <v>9.4390000000000001</v>
      </c>
      <c r="AF1084" s="57">
        <v>9.6379999999999999</v>
      </c>
      <c r="AG1084" s="57">
        <v>9.4529999999999994</v>
      </c>
      <c r="AH1084" s="58">
        <f>AG1084-AE1084</f>
        <v>1.3999999999999346E-2</v>
      </c>
      <c r="AI1084" s="59">
        <f>((AF1084-AG1084)/(AF1084-AE1084))*100</f>
        <v>92.964824120603339</v>
      </c>
      <c r="AJ1084" s="26">
        <f t="shared" si="376"/>
        <v>4.6482412060301668</v>
      </c>
      <c r="AK1084" s="26">
        <f t="shared" si="377"/>
        <v>53.736892555262052</v>
      </c>
      <c r="AL1084" s="26">
        <f t="shared" si="378"/>
        <v>4.6491124216818829</v>
      </c>
      <c r="AM1084" s="17">
        <f t="shared" si="368"/>
        <v>0.5780346820809249</v>
      </c>
      <c r="AN1084" s="52"/>
      <c r="AO1084" s="39"/>
      <c r="AP1084" s="18"/>
      <c r="AQ1084" s="17"/>
      <c r="AR1084" s="17"/>
      <c r="AS1084" s="27"/>
      <c r="AT1084" s="17"/>
      <c r="AU1084" s="17"/>
      <c r="AV1084" s="17"/>
      <c r="AW1084" s="17"/>
      <c r="AX1084" s="17"/>
      <c r="BB1084" s="17"/>
    </row>
    <row r="1085" spans="1:54" x14ac:dyDescent="0.2">
      <c r="A1085" s="18" t="s">
        <v>90</v>
      </c>
      <c r="B1085" s="18" t="s">
        <v>91</v>
      </c>
      <c r="C1085" s="18" t="s">
        <v>101</v>
      </c>
      <c r="D1085" s="18" t="str">
        <f t="shared" si="369"/>
        <v>CAT1.1F_191</v>
      </c>
      <c r="E1085" s="55" t="s">
        <v>84</v>
      </c>
      <c r="F1085" s="18">
        <v>191</v>
      </c>
      <c r="G1085" s="18">
        <v>2.2999999999999998</v>
      </c>
      <c r="H1085" s="46">
        <v>2.1</v>
      </c>
      <c r="I1085" s="46">
        <v>1.3</v>
      </c>
      <c r="J1085" s="23">
        <f t="shared" si="370"/>
        <v>4.9392200000000015</v>
      </c>
      <c r="K1085" s="61">
        <v>0.20000000000000032</v>
      </c>
      <c r="L1085" s="45">
        <f t="shared" si="383"/>
        <v>42.250000000000014</v>
      </c>
      <c r="M1085" s="45">
        <f t="shared" si="366"/>
        <v>43.550000000000011</v>
      </c>
      <c r="N1085" s="46">
        <f t="shared" si="385"/>
        <v>42.900000000000013</v>
      </c>
      <c r="O1085" s="46">
        <f t="shared" si="384"/>
        <v>242.24999999999977</v>
      </c>
      <c r="P1085" s="46">
        <f t="shared" si="367"/>
        <v>243.54999999999978</v>
      </c>
      <c r="Q1085" s="46">
        <f t="shared" si="382"/>
        <v>242.89999999999978</v>
      </c>
      <c r="R1085" s="46">
        <v>242.24999999999977</v>
      </c>
      <c r="S1085" s="46">
        <v>243.54999999999978</v>
      </c>
      <c r="T1085" s="54">
        <v>242.9</v>
      </c>
      <c r="U1085" s="46">
        <f t="shared" si="371"/>
        <v>242.9</v>
      </c>
      <c r="V1085" s="18">
        <v>6.4352</v>
      </c>
      <c r="W1085" s="18">
        <v>2.0251000000000001</v>
      </c>
      <c r="X1085" s="23">
        <v>1.1476266666666699</v>
      </c>
      <c r="Y1085" s="23">
        <f t="shared" si="372"/>
        <v>5.2875733333333299</v>
      </c>
      <c r="Z1085" s="23">
        <f t="shared" si="373"/>
        <v>0.87747333333333022</v>
      </c>
      <c r="AA1085" s="21">
        <f t="shared" si="374"/>
        <v>83.404989812592092</v>
      </c>
      <c r="AB1085" s="21">
        <f t="shared" si="375"/>
        <v>16.595010187407908</v>
      </c>
      <c r="AC1085" s="23">
        <f>Y1085/J1085</f>
        <v>1.0705280050966202</v>
      </c>
      <c r="AD1085" s="23">
        <f>Z1085/J1085</f>
        <v>0.17765423150483881</v>
      </c>
      <c r="AE1085" s="57">
        <v>10.409000000000001</v>
      </c>
      <c r="AF1085" s="57">
        <v>10.592000000000001</v>
      </c>
      <c r="AG1085" s="57">
        <v>10.419</v>
      </c>
      <c r="AH1085" s="58">
        <f>AG1085-AE1085</f>
        <v>9.9999999999997868E-3</v>
      </c>
      <c r="AI1085" s="59">
        <f>((AF1085-AG1085)/(AF1085-AE1085))*100</f>
        <v>94.53551912568318</v>
      </c>
      <c r="AJ1085" s="26">
        <f t="shared" si="376"/>
        <v>4.7267759562841594</v>
      </c>
      <c r="AK1085" s="26">
        <f t="shared" si="377"/>
        <v>54.64480874316947</v>
      </c>
      <c r="AL1085" s="26">
        <f t="shared" si="378"/>
        <v>4.7276326994496971</v>
      </c>
      <c r="AM1085" s="17">
        <f t="shared" si="368"/>
        <v>0.5780346820809249</v>
      </c>
      <c r="AN1085" s="52"/>
      <c r="AO1085" s="39"/>
      <c r="AP1085" s="18"/>
      <c r="AQ1085" s="17"/>
      <c r="AR1085" s="17"/>
      <c r="AS1085" s="27"/>
      <c r="AT1085" s="17"/>
      <c r="AU1085" s="17"/>
      <c r="AV1085" s="17"/>
      <c r="AW1085" s="17"/>
      <c r="AX1085" s="17"/>
      <c r="BB1085" s="17"/>
    </row>
    <row r="1086" spans="1:54" x14ac:dyDescent="0.2">
      <c r="A1086" s="18" t="s">
        <v>90</v>
      </c>
      <c r="B1086" s="18" t="s">
        <v>91</v>
      </c>
      <c r="C1086" s="18" t="s">
        <v>101</v>
      </c>
      <c r="D1086" s="18" t="str">
        <f t="shared" si="369"/>
        <v>CAT1.1F_192</v>
      </c>
      <c r="E1086" s="55" t="s">
        <v>84</v>
      </c>
      <c r="F1086" s="18">
        <v>192</v>
      </c>
      <c r="G1086" s="18">
        <v>2.2000000000000002</v>
      </c>
      <c r="H1086" s="46">
        <v>2.1</v>
      </c>
      <c r="I1086" s="46">
        <v>1.25</v>
      </c>
      <c r="J1086" s="23">
        <f t="shared" si="370"/>
        <v>4.5358281250000019</v>
      </c>
      <c r="K1086" s="61">
        <v>0.20000000000000032</v>
      </c>
      <c r="L1086" s="45">
        <f t="shared" si="383"/>
        <v>43.750000000000014</v>
      </c>
      <c r="M1086" s="45">
        <f t="shared" si="366"/>
        <v>45.000000000000014</v>
      </c>
      <c r="N1086" s="46">
        <f t="shared" si="385"/>
        <v>44.375000000000014</v>
      </c>
      <c r="O1086" s="46">
        <f t="shared" si="384"/>
        <v>243.74999999999977</v>
      </c>
      <c r="P1086" s="46">
        <f t="shared" si="367"/>
        <v>244.99999999999977</v>
      </c>
      <c r="Q1086" s="46">
        <f t="shared" si="382"/>
        <v>244.37499999999977</v>
      </c>
      <c r="R1086" s="46">
        <v>243.74999999999977</v>
      </c>
      <c r="S1086" s="46">
        <v>244.99999999999977</v>
      </c>
      <c r="T1086" s="54">
        <v>244.4</v>
      </c>
      <c r="U1086" s="46">
        <f t="shared" si="371"/>
        <v>244.4</v>
      </c>
      <c r="V1086" s="18">
        <v>5.9577999999999998</v>
      </c>
      <c r="W1086" s="18">
        <v>2.0104000000000002</v>
      </c>
      <c r="X1086" s="23">
        <v>1.1476266666666699</v>
      </c>
      <c r="Y1086" s="23">
        <f t="shared" si="372"/>
        <v>4.8101733333333296</v>
      </c>
      <c r="Z1086" s="23">
        <f t="shared" si="373"/>
        <v>0.86277333333333028</v>
      </c>
      <c r="AA1086" s="21">
        <f t="shared" si="374"/>
        <v>82.063570820732764</v>
      </c>
      <c r="AB1086" s="21">
        <f t="shared" si="375"/>
        <v>17.936429179267236</v>
      </c>
      <c r="AC1086" s="23">
        <f>Y1086/J1086</f>
        <v>1.0604840396886352</v>
      </c>
      <c r="AD1086" s="23">
        <f>Z1086/J1086</f>
        <v>0.19021296873618418</v>
      </c>
      <c r="AE1086" s="57">
        <v>9.3680000000000003</v>
      </c>
      <c r="AF1086" s="57">
        <v>9.5250000000000004</v>
      </c>
      <c r="AG1086" s="57">
        <v>9.375</v>
      </c>
      <c r="AH1086" s="58">
        <f>AG1086-AE1086</f>
        <v>6.9999999999996732E-3</v>
      </c>
      <c r="AI1086" s="59">
        <f>((AF1086-AG1086)/(AF1086-AE1086))*100</f>
        <v>95.541401273885569</v>
      </c>
      <c r="AJ1086" s="26">
        <f t="shared" si="376"/>
        <v>4.7770700636942784</v>
      </c>
      <c r="AK1086" s="26">
        <f t="shared" si="377"/>
        <v>55.226243510916518</v>
      </c>
      <c r="AL1086" s="26">
        <f t="shared" si="378"/>
        <v>4.7779177884769073</v>
      </c>
      <c r="AM1086" s="17">
        <f t="shared" si="368"/>
        <v>0.5780346820809249</v>
      </c>
      <c r="AN1086" s="52"/>
      <c r="AO1086" s="39"/>
      <c r="AP1086" s="18"/>
      <c r="AQ1086" s="17"/>
      <c r="AR1086" s="17"/>
      <c r="AS1086" s="27"/>
      <c r="AT1086" s="17"/>
      <c r="AU1086" s="17"/>
      <c r="AV1086" s="17"/>
      <c r="AW1086" s="17"/>
      <c r="AX1086" s="17"/>
      <c r="BB1086" s="17"/>
    </row>
    <row r="1087" spans="1:54" x14ac:dyDescent="0.2">
      <c r="A1087" s="18" t="s">
        <v>90</v>
      </c>
      <c r="B1087" s="18" t="s">
        <v>91</v>
      </c>
      <c r="C1087" s="18" t="s">
        <v>101</v>
      </c>
      <c r="D1087" s="18" t="str">
        <f t="shared" si="369"/>
        <v>CAT1.1F_193</v>
      </c>
      <c r="E1087" s="55" t="s">
        <v>84</v>
      </c>
      <c r="F1087" s="18">
        <v>193</v>
      </c>
      <c r="G1087" s="18">
        <v>2.2000000000000002</v>
      </c>
      <c r="H1087" s="46">
        <v>2.4</v>
      </c>
      <c r="I1087" s="46">
        <v>1.2</v>
      </c>
      <c r="J1087" s="23">
        <f t="shared" si="370"/>
        <v>4.9831799999999991</v>
      </c>
      <c r="K1087" s="61">
        <v>0.20000000000000032</v>
      </c>
      <c r="L1087" s="45">
        <f t="shared" si="383"/>
        <v>45.200000000000017</v>
      </c>
      <c r="M1087" s="45">
        <f t="shared" ref="M1087:M1120" si="386">L1087+I1087</f>
        <v>46.40000000000002</v>
      </c>
      <c r="N1087" s="46">
        <f t="shared" si="385"/>
        <v>45.800000000000018</v>
      </c>
      <c r="O1087" s="46">
        <f t="shared" si="384"/>
        <v>245.19999999999976</v>
      </c>
      <c r="P1087" s="46">
        <f t="shared" ref="P1087:P1120" si="387">O1087+I1087</f>
        <v>246.39999999999975</v>
      </c>
      <c r="Q1087" s="46">
        <f t="shared" si="382"/>
        <v>245.79999999999976</v>
      </c>
      <c r="R1087" s="46">
        <v>245.19999999999976</v>
      </c>
      <c r="S1087" s="46">
        <v>246.39999999999975</v>
      </c>
      <c r="T1087" s="54">
        <v>245.8</v>
      </c>
      <c r="U1087" s="46">
        <f t="shared" si="371"/>
        <v>245.8</v>
      </c>
      <c r="V1087" s="18">
        <v>6.1295000000000002</v>
      </c>
      <c r="W1087" s="18">
        <v>2.1892</v>
      </c>
      <c r="X1087" s="23">
        <v>1.1476266666666699</v>
      </c>
      <c r="Y1087" s="23">
        <f t="shared" si="372"/>
        <v>4.98187333333333</v>
      </c>
      <c r="Z1087" s="23">
        <f t="shared" si="373"/>
        <v>1.0415733333333301</v>
      </c>
      <c r="AA1087" s="21">
        <f t="shared" si="374"/>
        <v>79.092737537820483</v>
      </c>
      <c r="AB1087" s="21">
        <f t="shared" si="375"/>
        <v>20.907262462179517</v>
      </c>
      <c r="AC1087" s="23">
        <f>Y1087/J1087</f>
        <v>0.999737784573973</v>
      </c>
      <c r="AD1087" s="23">
        <f>Z1087/J1087</f>
        <v>0.20901780255445926</v>
      </c>
      <c r="AE1087" s="57">
        <v>12.164999999999999</v>
      </c>
      <c r="AF1087" s="57">
        <v>12.412000000000001</v>
      </c>
      <c r="AG1087" s="57">
        <v>12.189</v>
      </c>
      <c r="AH1087" s="58">
        <f>AG1087-AE1087</f>
        <v>2.4000000000000909E-2</v>
      </c>
      <c r="AI1087" s="59">
        <f>((AF1087-AG1087)/(AF1087-AE1087))*100</f>
        <v>90.283400809716298</v>
      </c>
      <c r="AJ1087" s="26">
        <f t="shared" si="376"/>
        <v>4.5141700404858147</v>
      </c>
      <c r="AK1087" s="26">
        <f t="shared" si="377"/>
        <v>52.186936884229077</v>
      </c>
      <c r="AL1087" s="26">
        <f t="shared" si="378"/>
        <v>4.515067126236298</v>
      </c>
      <c r="AM1087" s="17">
        <f t="shared" ref="AM1087:AM1120" si="388">1/1.73</f>
        <v>0.5780346820809249</v>
      </c>
      <c r="AN1087" s="52"/>
      <c r="AO1087" s="39"/>
      <c r="AP1087" s="18"/>
      <c r="AQ1087" s="17"/>
      <c r="AR1087" s="17"/>
      <c r="AS1087" s="27"/>
      <c r="AT1087" s="17"/>
      <c r="AU1087" s="17"/>
      <c r="AV1087" s="17"/>
      <c r="AW1087" s="17"/>
      <c r="AX1087" s="17"/>
      <c r="BB1087" s="17"/>
    </row>
    <row r="1088" spans="1:54" x14ac:dyDescent="0.2">
      <c r="A1088" s="18" t="s">
        <v>90</v>
      </c>
      <c r="B1088" s="18" t="s">
        <v>91</v>
      </c>
      <c r="C1088" s="18" t="s">
        <v>101</v>
      </c>
      <c r="D1088" s="18" t="str">
        <f t="shared" ref="D1088:D1120" si="389">C1088&amp;"_"&amp;F1088</f>
        <v>CAT1.1F_194</v>
      </c>
      <c r="E1088" s="55" t="s">
        <v>84</v>
      </c>
      <c r="F1088" s="18">
        <v>194</v>
      </c>
      <c r="G1088" s="18">
        <v>2</v>
      </c>
      <c r="H1088" s="46">
        <v>2.2000000000000002</v>
      </c>
      <c r="I1088" s="46">
        <v>1.4</v>
      </c>
      <c r="J1088" s="23">
        <f t="shared" ref="J1088:J1120" si="390">(AVERAGE(G1088:H1088)*(AVERAGE(G1088:H1088)*3.14/4*I1088))</f>
        <v>4.84659</v>
      </c>
      <c r="K1088" s="61">
        <v>0.20000000000000032</v>
      </c>
      <c r="L1088" s="45">
        <f t="shared" si="383"/>
        <v>46.600000000000023</v>
      </c>
      <c r="M1088" s="45">
        <f t="shared" si="386"/>
        <v>48.000000000000021</v>
      </c>
      <c r="N1088" s="46">
        <f t="shared" si="385"/>
        <v>47.300000000000026</v>
      </c>
      <c r="O1088" s="46">
        <f t="shared" si="384"/>
        <v>246.59999999999974</v>
      </c>
      <c r="P1088" s="46">
        <f t="shared" si="387"/>
        <v>247.99999999999974</v>
      </c>
      <c r="Q1088" s="46">
        <f t="shared" si="382"/>
        <v>247.29999999999973</v>
      </c>
      <c r="R1088" s="46">
        <v>246.59999999999974</v>
      </c>
      <c r="S1088" s="46">
        <v>247.99999999999974</v>
      </c>
      <c r="T1088" s="54">
        <v>247.3</v>
      </c>
      <c r="U1088" s="46">
        <f t="shared" ref="U1088:U1120" si="391">T1088</f>
        <v>247.3</v>
      </c>
      <c r="V1088" s="18">
        <v>5.5594000000000001</v>
      </c>
      <c r="W1088" s="18">
        <v>2.0297000000000001</v>
      </c>
      <c r="X1088" s="23">
        <v>1.1476266666666699</v>
      </c>
      <c r="Y1088" s="23">
        <f t="shared" ref="Y1088:Y1120" si="392">V1088-X1088</f>
        <v>4.41177333333333</v>
      </c>
      <c r="Z1088" s="23">
        <f t="shared" ref="Z1088:Z1120" si="393">W1088-X1088</f>
        <v>0.88207333333333016</v>
      </c>
      <c r="AA1088" s="21">
        <f t="shared" ref="AA1088:AA1120" si="394">((Y1088-Z1088)/Y1088)*100</f>
        <v>80.006376876418614</v>
      </c>
      <c r="AB1088" s="21">
        <f t="shared" ref="AB1088:AB1120" si="395">100-AA1088</f>
        <v>19.993623123581386</v>
      </c>
      <c r="AC1088" s="23">
        <f>Y1088/J1088</f>
        <v>0.9102840003658923</v>
      </c>
      <c r="AD1088" s="23">
        <f>Z1088/J1088</f>
        <v>0.18199875238741675</v>
      </c>
      <c r="AE1088" s="57">
        <v>23.097000000000001</v>
      </c>
      <c r="AF1088" s="57">
        <v>23.233000000000001</v>
      </c>
      <c r="AG1088" s="57">
        <v>23.109000000000002</v>
      </c>
      <c r="AH1088" s="58">
        <f>AG1088-AE1088</f>
        <v>1.2000000000000455E-2</v>
      </c>
      <c r="AI1088" s="59">
        <f>((AF1088-AG1088)/(AF1088-AE1088))*100</f>
        <v>91.17647058823492</v>
      </c>
      <c r="AJ1088" s="26">
        <f t="shared" ref="AJ1088:AJ1120" si="396">AI1088*0.05</f>
        <v>4.5588235294117458</v>
      </c>
      <c r="AK1088" s="26">
        <f t="shared" ref="AK1088:AK1120" si="397">AI1088*AM1088</f>
        <v>52.703162189731174</v>
      </c>
      <c r="AL1088" s="26">
        <f t="shared" ref="AL1088:AL1120" si="398">(AJ1088^2+0.09^2)^0.5</f>
        <v>4.5597118299644954</v>
      </c>
      <c r="AM1088" s="17">
        <f t="shared" si="388"/>
        <v>0.5780346820809249</v>
      </c>
      <c r="AN1088" s="52"/>
      <c r="AO1088" s="39"/>
      <c r="AP1088" s="18"/>
      <c r="AQ1088" s="17"/>
      <c r="AR1088" s="17"/>
      <c r="AS1088" s="27"/>
      <c r="AT1088" s="17"/>
      <c r="AU1088" s="17"/>
      <c r="AV1088" s="17"/>
      <c r="AW1088" s="17"/>
      <c r="AX1088" s="17"/>
      <c r="BB1088" s="17"/>
    </row>
    <row r="1089" spans="1:54" x14ac:dyDescent="0.2">
      <c r="A1089" s="18" t="s">
        <v>90</v>
      </c>
      <c r="B1089" s="18" t="s">
        <v>91</v>
      </c>
      <c r="C1089" s="18" t="s">
        <v>102</v>
      </c>
      <c r="D1089" s="18" t="str">
        <f t="shared" si="389"/>
        <v>CAT1.1G_195</v>
      </c>
      <c r="E1089" s="55" t="s">
        <v>85</v>
      </c>
      <c r="F1089" s="18">
        <v>195</v>
      </c>
      <c r="G1089" s="18">
        <v>1.7</v>
      </c>
      <c r="H1089" s="46">
        <v>2.1</v>
      </c>
      <c r="I1089" s="46">
        <v>1.3</v>
      </c>
      <c r="J1089" s="23">
        <f t="shared" si="390"/>
        <v>3.684005</v>
      </c>
      <c r="K1089" s="61">
        <v>0.17903225806451625</v>
      </c>
      <c r="L1089" s="39">
        <v>0</v>
      </c>
      <c r="M1089" s="45">
        <f t="shared" si="386"/>
        <v>1.3</v>
      </c>
      <c r="N1089" s="46">
        <f>L1089+((M1089-L1089)/2)</f>
        <v>0.65</v>
      </c>
      <c r="O1089" s="46">
        <v>209</v>
      </c>
      <c r="P1089" s="46">
        <f t="shared" si="387"/>
        <v>210.3</v>
      </c>
      <c r="Q1089" s="46">
        <f t="shared" si="382"/>
        <v>209.65</v>
      </c>
      <c r="R1089" s="46">
        <f t="shared" ref="R1089:S1120" si="399">O1089-2</f>
        <v>207</v>
      </c>
      <c r="S1089" s="46">
        <f t="shared" si="399"/>
        <v>208.3</v>
      </c>
      <c r="T1089" s="62">
        <v>207.7</v>
      </c>
      <c r="U1089" s="46">
        <f t="shared" si="391"/>
        <v>207.7</v>
      </c>
      <c r="V1089" s="18">
        <v>4.9512</v>
      </c>
      <c r="W1089" s="18">
        <v>2.0087999999999999</v>
      </c>
      <c r="X1089" s="23">
        <v>1.1476266666666699</v>
      </c>
      <c r="Y1089" s="23">
        <f t="shared" si="392"/>
        <v>3.8035733333333299</v>
      </c>
      <c r="Z1089" s="23">
        <f t="shared" si="393"/>
        <v>0.86117333333333002</v>
      </c>
      <c r="AA1089" s="21">
        <f t="shared" si="394"/>
        <v>77.358834499488268</v>
      </c>
      <c r="AB1089" s="21">
        <f t="shared" si="395"/>
        <v>22.641165500511732</v>
      </c>
      <c r="AC1089" s="23">
        <f>Y1089/J1089</f>
        <v>1.0324560724899476</v>
      </c>
      <c r="AD1089" s="23">
        <f>Z1089/J1089</f>
        <v>0.23376008809253246</v>
      </c>
      <c r="AE1089" s="57">
        <v>22.864000000000001</v>
      </c>
      <c r="AF1089" s="57">
        <v>22.995999999999999</v>
      </c>
      <c r="AG1089" s="57">
        <v>22.887</v>
      </c>
      <c r="AH1089" s="58">
        <f>AG1089-AE1089</f>
        <v>2.2999999999999687E-2</v>
      </c>
      <c r="AI1089" s="59">
        <f>((AF1089-AG1089)/(AF1089-AE1089))*100</f>
        <v>82.575757575757535</v>
      </c>
      <c r="AJ1089" s="26">
        <f t="shared" si="396"/>
        <v>4.1287878787878771</v>
      </c>
      <c r="AK1089" s="26">
        <f t="shared" si="397"/>
        <v>47.731651777894534</v>
      </c>
      <c r="AL1089" s="26">
        <f t="shared" si="398"/>
        <v>4.1297686797235622</v>
      </c>
      <c r="AM1089" s="17">
        <f t="shared" si="388"/>
        <v>0.5780346820809249</v>
      </c>
      <c r="AN1089" s="60" t="s">
        <v>43</v>
      </c>
      <c r="AO1089" s="39">
        <v>47.5</v>
      </c>
      <c r="AP1089" s="52" t="s">
        <v>35</v>
      </c>
      <c r="AQ1089" s="17"/>
      <c r="AR1089" s="17"/>
      <c r="AS1089" s="27"/>
      <c r="AT1089" s="17"/>
      <c r="AU1089" s="17"/>
      <c r="AV1089" s="17"/>
      <c r="AW1089" s="17"/>
      <c r="AX1089" s="17"/>
      <c r="BB1089" s="17"/>
    </row>
    <row r="1090" spans="1:54" x14ac:dyDescent="0.2">
      <c r="A1090" s="18" t="s">
        <v>90</v>
      </c>
      <c r="B1090" s="18" t="s">
        <v>91</v>
      </c>
      <c r="C1090" s="18" t="s">
        <v>102</v>
      </c>
      <c r="D1090" s="18" t="str">
        <f t="shared" si="389"/>
        <v>CAT1.1G_196</v>
      </c>
      <c r="E1090" s="55" t="s">
        <v>85</v>
      </c>
      <c r="F1090" s="18">
        <v>196</v>
      </c>
      <c r="G1090" s="18">
        <v>1.7</v>
      </c>
      <c r="H1090" s="46">
        <v>2.2000000000000002</v>
      </c>
      <c r="I1090" s="46">
        <v>1.4</v>
      </c>
      <c r="J1090" s="23">
        <f t="shared" si="390"/>
        <v>4.1789475000000005</v>
      </c>
      <c r="K1090" s="61">
        <v>0.17903225806451625</v>
      </c>
      <c r="L1090" s="45">
        <f t="shared" ref="L1090:L1120" si="400">M1089+K1090</f>
        <v>1.4790322580645163</v>
      </c>
      <c r="M1090" s="45">
        <f t="shared" si="386"/>
        <v>2.879032258064516</v>
      </c>
      <c r="N1090" s="46">
        <f>L1090+((M1090-L1090)/2)</f>
        <v>2.1790322580645163</v>
      </c>
      <c r="O1090" s="46">
        <f>P1089+K1090</f>
        <v>210.47903225806454</v>
      </c>
      <c r="P1090" s="46">
        <f t="shared" si="387"/>
        <v>211.87903225806454</v>
      </c>
      <c r="Q1090" s="46">
        <f t="shared" si="382"/>
        <v>211.17903225806452</v>
      </c>
      <c r="R1090" s="46">
        <f t="shared" si="399"/>
        <v>208.47903225806454</v>
      </c>
      <c r="S1090" s="46">
        <f t="shared" si="399"/>
        <v>209.87903225806454</v>
      </c>
      <c r="T1090" s="62">
        <v>209.2</v>
      </c>
      <c r="U1090" s="46">
        <f t="shared" si="391"/>
        <v>209.2</v>
      </c>
      <c r="V1090" s="18">
        <v>5.4200999999999997</v>
      </c>
      <c r="W1090" s="18">
        <v>1.8507</v>
      </c>
      <c r="X1090" s="23">
        <v>1.1476266666666699</v>
      </c>
      <c r="Y1090" s="23">
        <f t="shared" si="392"/>
        <v>4.2724733333333296</v>
      </c>
      <c r="Z1090" s="23">
        <f t="shared" si="393"/>
        <v>0.70307333333333011</v>
      </c>
      <c r="AA1090" s="21">
        <f t="shared" si="394"/>
        <v>83.544114182105361</v>
      </c>
      <c r="AB1090" s="21">
        <f t="shared" si="395"/>
        <v>16.455885817894639</v>
      </c>
      <c r="AC1090" s="23">
        <f>Y1090/J1090</f>
        <v>1.0223802364909655</v>
      </c>
      <c r="AD1090" s="23">
        <f>Z1090/J1090</f>
        <v>0.16824172434167456</v>
      </c>
      <c r="AE1090" s="57">
        <v>15.162000000000001</v>
      </c>
      <c r="AF1090" s="57">
        <v>15.335000000000001</v>
      </c>
      <c r="AG1090" s="57">
        <v>15.172000000000001</v>
      </c>
      <c r="AH1090" s="58">
        <f>AG1090-AE1090</f>
        <v>9.9999999999997868E-3</v>
      </c>
      <c r="AI1090" s="59">
        <f>((AF1090-AG1090)/(AF1090-AE1090))*100</f>
        <v>94.219653179190871</v>
      </c>
      <c r="AJ1090" s="26">
        <f t="shared" si="396"/>
        <v>4.7109826589595434</v>
      </c>
      <c r="AK1090" s="26">
        <f t="shared" si="397"/>
        <v>54.462227271208597</v>
      </c>
      <c r="AL1090" s="26">
        <f t="shared" si="398"/>
        <v>4.7118422737839527</v>
      </c>
      <c r="AM1090" s="17">
        <f t="shared" si="388"/>
        <v>0.5780346820809249</v>
      </c>
      <c r="AN1090" s="60" t="s">
        <v>44</v>
      </c>
      <c r="AO1090" s="39" t="s">
        <v>103</v>
      </c>
      <c r="AP1090" s="18" t="s">
        <v>35</v>
      </c>
      <c r="AQ1090" s="17"/>
      <c r="AR1090" s="17"/>
      <c r="AS1090" s="27"/>
      <c r="AT1090" s="17"/>
      <c r="AU1090" s="17"/>
      <c r="AV1090" s="17"/>
      <c r="AW1090" s="17"/>
      <c r="AX1090" s="17"/>
      <c r="BB1090" s="17"/>
    </row>
    <row r="1091" spans="1:54" x14ac:dyDescent="0.2">
      <c r="A1091" s="18" t="s">
        <v>90</v>
      </c>
      <c r="B1091" s="18" t="s">
        <v>91</v>
      </c>
      <c r="C1091" s="18" t="s">
        <v>102</v>
      </c>
      <c r="D1091" s="18" t="str">
        <f t="shared" si="389"/>
        <v>CAT1.1G_197</v>
      </c>
      <c r="E1091" s="55" t="s">
        <v>85</v>
      </c>
      <c r="F1091" s="18">
        <v>197</v>
      </c>
      <c r="G1091" s="18">
        <v>2</v>
      </c>
      <c r="H1091" s="46">
        <v>2.2000000000000002</v>
      </c>
      <c r="I1091" s="46">
        <v>1.4</v>
      </c>
      <c r="J1091" s="23">
        <f t="shared" si="390"/>
        <v>4.84659</v>
      </c>
      <c r="K1091" s="61">
        <v>0.17903225806451625</v>
      </c>
      <c r="L1091" s="45">
        <f t="shared" si="400"/>
        <v>3.0580645161290323</v>
      </c>
      <c r="M1091" s="45">
        <f t="shared" si="386"/>
        <v>4.4580645161290322</v>
      </c>
      <c r="N1091" s="46">
        <f t="shared" ref="N1091:N1120" si="401">L1091+((M1091-L1091)/2)</f>
        <v>3.758064516129032</v>
      </c>
      <c r="O1091" s="46">
        <f t="shared" ref="O1091:O1120" si="402">P1090+$AW$202</f>
        <v>211.87903225806454</v>
      </c>
      <c r="P1091" s="46">
        <f t="shared" si="387"/>
        <v>213.27903225806455</v>
      </c>
      <c r="Q1091" s="46">
        <f t="shared" si="382"/>
        <v>212.57903225806456</v>
      </c>
      <c r="R1091" s="46">
        <f t="shared" si="399"/>
        <v>209.87903225806454</v>
      </c>
      <c r="S1091" s="46">
        <f t="shared" si="399"/>
        <v>211.27903225806455</v>
      </c>
      <c r="T1091" s="62">
        <v>210.8</v>
      </c>
      <c r="U1091" s="46">
        <f t="shared" si="391"/>
        <v>210.8</v>
      </c>
      <c r="V1091" s="18">
        <v>5.9691000000000001</v>
      </c>
      <c r="W1091" s="18">
        <v>1.9057999999999999</v>
      </c>
      <c r="X1091" s="23">
        <v>1.1476266666666699</v>
      </c>
      <c r="Y1091" s="23">
        <f t="shared" si="392"/>
        <v>4.8214733333333299</v>
      </c>
      <c r="Z1091" s="23">
        <f t="shared" si="393"/>
        <v>0.75817333333333004</v>
      </c>
      <c r="AA1091" s="21">
        <f t="shared" si="394"/>
        <v>84.275069446268901</v>
      </c>
      <c r="AB1091" s="21">
        <f t="shared" si="395"/>
        <v>15.724930553731099</v>
      </c>
      <c r="AC1091" s="23">
        <f>Y1091/J1091</f>
        <v>0.99481766217759915</v>
      </c>
      <c r="AD1091" s="23">
        <f>Z1091/J1091</f>
        <v>0.15643438651367869</v>
      </c>
      <c r="AE1091" s="57">
        <v>16.873999999999999</v>
      </c>
      <c r="AF1091" s="57">
        <v>17.074000000000002</v>
      </c>
      <c r="AG1091" s="57">
        <v>16.884</v>
      </c>
      <c r="AH1091" s="58">
        <f>AG1091-AE1091</f>
        <v>1.0000000000001563E-2</v>
      </c>
      <c r="AI1091" s="59">
        <f>((AF1091-AG1091)/(AF1091-AE1091))*100</f>
        <v>94.999999999999289</v>
      </c>
      <c r="AJ1091" s="26">
        <f t="shared" si="396"/>
        <v>4.7499999999999645</v>
      </c>
      <c r="AK1091" s="26">
        <f t="shared" si="397"/>
        <v>54.913294797687456</v>
      </c>
      <c r="AL1091" s="26">
        <f t="shared" si="398"/>
        <v>4.75085255506837</v>
      </c>
      <c r="AM1091" s="17">
        <f t="shared" si="388"/>
        <v>0.5780346820809249</v>
      </c>
      <c r="AN1091" s="60" t="s">
        <v>46</v>
      </c>
      <c r="AO1091" s="45">
        <f>SUM(I1089:I1120)</f>
        <v>41.949999999999996</v>
      </c>
      <c r="AP1091" s="52" t="s">
        <v>35</v>
      </c>
      <c r="AQ1091" s="17"/>
      <c r="AR1091" s="17"/>
      <c r="AS1091" s="27"/>
      <c r="AT1091" s="17"/>
      <c r="AU1091" s="17"/>
      <c r="AV1091" s="17"/>
      <c r="AW1091" s="17"/>
      <c r="AX1091" s="17"/>
      <c r="BB1091" s="17"/>
    </row>
    <row r="1092" spans="1:54" x14ac:dyDescent="0.2">
      <c r="A1092" s="18" t="s">
        <v>90</v>
      </c>
      <c r="B1092" s="18" t="s">
        <v>91</v>
      </c>
      <c r="C1092" s="18" t="s">
        <v>102</v>
      </c>
      <c r="D1092" s="18" t="str">
        <f t="shared" si="389"/>
        <v>CAT1.1G_198</v>
      </c>
      <c r="E1092" s="55" t="s">
        <v>85</v>
      </c>
      <c r="F1092" s="18">
        <v>198</v>
      </c>
      <c r="G1092" s="18">
        <v>1.9</v>
      </c>
      <c r="H1092" s="46">
        <v>2.2999999999999998</v>
      </c>
      <c r="I1092" s="46">
        <v>1.4</v>
      </c>
      <c r="J1092" s="23">
        <f t="shared" si="390"/>
        <v>4.8465899999999982</v>
      </c>
      <c r="K1092" s="61">
        <v>0.17903225806451625</v>
      </c>
      <c r="L1092" s="45">
        <f t="shared" si="400"/>
        <v>4.637096774193548</v>
      </c>
      <c r="M1092" s="45">
        <f t="shared" si="386"/>
        <v>6.0370967741935484</v>
      </c>
      <c r="N1092" s="46">
        <f t="shared" si="401"/>
        <v>5.3370967741935482</v>
      </c>
      <c r="O1092" s="46">
        <f t="shared" si="402"/>
        <v>213.27903225806455</v>
      </c>
      <c r="P1092" s="46">
        <f t="shared" si="387"/>
        <v>214.67903225806455</v>
      </c>
      <c r="Q1092" s="46">
        <f t="shared" si="382"/>
        <v>213.97903225806454</v>
      </c>
      <c r="R1092" s="46">
        <f t="shared" si="399"/>
        <v>211.27903225806455</v>
      </c>
      <c r="S1092" s="46">
        <f t="shared" si="399"/>
        <v>212.67903225806455</v>
      </c>
      <c r="T1092" s="62">
        <v>212.3</v>
      </c>
      <c r="U1092" s="46">
        <f t="shared" si="391"/>
        <v>212.3</v>
      </c>
      <c r="V1092" s="18">
        <v>5.6375999999999999</v>
      </c>
      <c r="W1092" s="18">
        <v>1.8355999999999999</v>
      </c>
      <c r="X1092" s="23">
        <v>1.1476266666666699</v>
      </c>
      <c r="Y1092" s="23">
        <f t="shared" si="392"/>
        <v>4.4899733333333298</v>
      </c>
      <c r="Z1092" s="23">
        <f t="shared" si="393"/>
        <v>0.68797333333332999</v>
      </c>
      <c r="AA1092" s="21">
        <f t="shared" si="394"/>
        <v>84.677563044175514</v>
      </c>
      <c r="AB1092" s="21">
        <f t="shared" si="395"/>
        <v>15.322436955824486</v>
      </c>
      <c r="AC1092" s="23">
        <f>Y1092/J1092</f>
        <v>0.92641905614738018</v>
      </c>
      <c r="AD1092" s="23">
        <f>Z1092/J1092</f>
        <v>0.14194997582492644</v>
      </c>
      <c r="AE1092" s="57">
        <v>15.041</v>
      </c>
      <c r="AF1092" s="57">
        <v>15.154</v>
      </c>
      <c r="AG1092" s="57">
        <v>15.045</v>
      </c>
      <c r="AH1092" s="58">
        <f>AG1092-AE1092</f>
        <v>3.9999999999995595E-3</v>
      </c>
      <c r="AI1092" s="59">
        <f>((AF1092-AG1092)/(AF1092-AE1092))*100</f>
        <v>96.460176991150817</v>
      </c>
      <c r="AJ1092" s="26">
        <f t="shared" si="396"/>
        <v>4.8230088495575414</v>
      </c>
      <c r="AK1092" s="26">
        <f t="shared" si="397"/>
        <v>55.757327740549613</v>
      </c>
      <c r="AL1092" s="26">
        <f t="shared" si="398"/>
        <v>4.8238485012394783</v>
      </c>
      <c r="AM1092" s="17">
        <f t="shared" si="388"/>
        <v>0.5780346820809249</v>
      </c>
      <c r="AN1092" s="60" t="s">
        <v>47</v>
      </c>
      <c r="AO1092" s="45">
        <f>AO1089-AO1091</f>
        <v>5.5500000000000043</v>
      </c>
      <c r="AP1092" s="52"/>
      <c r="AQ1092" s="17"/>
      <c r="AR1092" s="17"/>
      <c r="AS1092" s="27"/>
      <c r="AT1092" s="17"/>
      <c r="AU1092" s="17"/>
      <c r="AV1092" s="17"/>
      <c r="AW1092" s="17"/>
      <c r="AX1092" s="17"/>
      <c r="BB1092" s="17"/>
    </row>
    <row r="1093" spans="1:54" x14ac:dyDescent="0.2">
      <c r="A1093" s="18" t="s">
        <v>90</v>
      </c>
      <c r="B1093" s="18" t="s">
        <v>91</v>
      </c>
      <c r="C1093" s="18" t="s">
        <v>102</v>
      </c>
      <c r="D1093" s="18" t="str">
        <f t="shared" si="389"/>
        <v>CAT1.1G_199</v>
      </c>
      <c r="E1093" s="55" t="s">
        <v>85</v>
      </c>
      <c r="F1093" s="18">
        <v>199</v>
      </c>
      <c r="G1093" s="18">
        <v>2</v>
      </c>
      <c r="H1093" s="46">
        <v>2.2000000000000002</v>
      </c>
      <c r="I1093" s="46">
        <v>1.35</v>
      </c>
      <c r="J1093" s="23">
        <f t="shared" si="390"/>
        <v>4.6734975000000007</v>
      </c>
      <c r="K1093" s="61">
        <v>0.17903225806451625</v>
      </c>
      <c r="L1093" s="45">
        <f t="shared" si="400"/>
        <v>6.2161290322580642</v>
      </c>
      <c r="M1093" s="45">
        <f t="shared" si="386"/>
        <v>7.5661290322580648</v>
      </c>
      <c r="N1093" s="46">
        <f t="shared" si="401"/>
        <v>6.8911290322580641</v>
      </c>
      <c r="O1093" s="46">
        <f t="shared" si="402"/>
        <v>214.67903225806455</v>
      </c>
      <c r="P1093" s="46">
        <f t="shared" si="387"/>
        <v>216.02903225806455</v>
      </c>
      <c r="Q1093" s="46">
        <f t="shared" si="382"/>
        <v>215.35403225806454</v>
      </c>
      <c r="R1093" s="46">
        <f t="shared" si="399"/>
        <v>212.67903225806455</v>
      </c>
      <c r="S1093" s="46">
        <f t="shared" si="399"/>
        <v>214.02903225806455</v>
      </c>
      <c r="T1093" s="62">
        <v>213.9</v>
      </c>
      <c r="U1093" s="46">
        <f t="shared" si="391"/>
        <v>213.9</v>
      </c>
      <c r="V1093" s="18">
        <v>5.9119000000000002</v>
      </c>
      <c r="W1093" s="18">
        <v>1.8738999999999999</v>
      </c>
      <c r="X1093" s="23">
        <v>1.1476266666666699</v>
      </c>
      <c r="Y1093" s="23">
        <f t="shared" si="392"/>
        <v>4.76427333333333</v>
      </c>
      <c r="Z1093" s="23">
        <f t="shared" si="393"/>
        <v>0.72627333333333</v>
      </c>
      <c r="AA1093" s="21">
        <f t="shared" si="394"/>
        <v>84.755842443968433</v>
      </c>
      <c r="AB1093" s="21">
        <f t="shared" si="395"/>
        <v>15.244157556031567</v>
      </c>
      <c r="AC1093" s="23">
        <f>Y1093/J1093</f>
        <v>1.0194235330891541</v>
      </c>
      <c r="AD1093" s="23">
        <f>Z1093/J1093</f>
        <v>0.1554025295473743</v>
      </c>
      <c r="AE1093" s="57">
        <v>15.37</v>
      </c>
      <c r="AF1093" s="57">
        <v>15.522</v>
      </c>
      <c r="AG1093" s="57">
        <v>15.38</v>
      </c>
      <c r="AH1093" s="58">
        <f>AG1093-AE1093</f>
        <v>1.0000000000001563E-2</v>
      </c>
      <c r="AI1093" s="59">
        <f>((AF1093-AG1093)/(AF1093-AE1093))*100</f>
        <v>93.421052631577965</v>
      </c>
      <c r="AJ1093" s="26">
        <f t="shared" si="396"/>
        <v>4.6710526315788981</v>
      </c>
      <c r="AK1093" s="26">
        <f t="shared" si="397"/>
        <v>54.000608457559522</v>
      </c>
      <c r="AL1093" s="26">
        <f t="shared" si="398"/>
        <v>4.6719195933770248</v>
      </c>
      <c r="AM1093" s="17">
        <f t="shared" si="388"/>
        <v>0.5780346820809249</v>
      </c>
      <c r="AN1093" s="60" t="s">
        <v>48</v>
      </c>
      <c r="AO1093" s="39">
        <v>31</v>
      </c>
      <c r="AP1093" s="52"/>
      <c r="AQ1093" s="17"/>
      <c r="AR1093" s="17"/>
      <c r="AS1093" s="27"/>
      <c r="AT1093" s="17"/>
      <c r="AU1093" s="17"/>
      <c r="AV1093" s="17"/>
      <c r="AW1093" s="17"/>
      <c r="AX1093" s="17"/>
      <c r="BB1093" s="17"/>
    </row>
    <row r="1094" spans="1:54" x14ac:dyDescent="0.2">
      <c r="A1094" s="18" t="s">
        <v>90</v>
      </c>
      <c r="B1094" s="18" t="s">
        <v>91</v>
      </c>
      <c r="C1094" s="18" t="s">
        <v>102</v>
      </c>
      <c r="D1094" s="18" t="str">
        <f t="shared" si="389"/>
        <v>CAT1.1G_200</v>
      </c>
      <c r="E1094" s="55" t="s">
        <v>85</v>
      </c>
      <c r="F1094" s="18">
        <v>200</v>
      </c>
      <c r="G1094" s="18">
        <v>2.1</v>
      </c>
      <c r="H1094" s="46">
        <v>2.5</v>
      </c>
      <c r="I1094" s="46">
        <v>1.4</v>
      </c>
      <c r="J1094" s="23">
        <f t="shared" si="390"/>
        <v>5.8137099999999995</v>
      </c>
      <c r="K1094" s="61">
        <v>0.17903225806451625</v>
      </c>
      <c r="L1094" s="45">
        <f t="shared" si="400"/>
        <v>7.7451612903225806</v>
      </c>
      <c r="M1094" s="45">
        <f t="shared" si="386"/>
        <v>9.1451612903225801</v>
      </c>
      <c r="N1094" s="46">
        <f t="shared" si="401"/>
        <v>8.4451612903225808</v>
      </c>
      <c r="O1094" s="46">
        <f t="shared" si="402"/>
        <v>216.02903225806455</v>
      </c>
      <c r="P1094" s="46">
        <f t="shared" si="387"/>
        <v>217.42903225806455</v>
      </c>
      <c r="Q1094" s="46">
        <f t="shared" si="382"/>
        <v>216.72903225806454</v>
      </c>
      <c r="R1094" s="46">
        <f t="shared" si="399"/>
        <v>214.02903225806455</v>
      </c>
      <c r="S1094" s="46">
        <f t="shared" si="399"/>
        <v>215.42903225806455</v>
      </c>
      <c r="T1094" s="62">
        <v>215.4</v>
      </c>
      <c r="U1094" s="46">
        <f t="shared" si="391"/>
        <v>215.4</v>
      </c>
      <c r="V1094" s="18">
        <v>6.7061000000000002</v>
      </c>
      <c r="W1094" s="18">
        <v>1.9712000000000001</v>
      </c>
      <c r="X1094" s="23">
        <v>1.1476266666666699</v>
      </c>
      <c r="Y1094" s="23">
        <f t="shared" si="392"/>
        <v>5.55847333333333</v>
      </c>
      <c r="Z1094" s="23">
        <f t="shared" si="393"/>
        <v>0.82357333333333016</v>
      </c>
      <c r="AA1094" s="21">
        <f t="shared" si="394"/>
        <v>85.183461645943595</v>
      </c>
      <c r="AB1094" s="21">
        <f t="shared" si="395"/>
        <v>14.816538354056405</v>
      </c>
      <c r="AC1094" s="23">
        <f>Y1094/J1094</f>
        <v>0.9560974546947355</v>
      </c>
      <c r="AD1094" s="23">
        <f>Z1094/J1094</f>
        <v>0.14166054607700251</v>
      </c>
      <c r="AE1094" s="57">
        <v>16.774000000000001</v>
      </c>
      <c r="AF1094" s="57">
        <v>16.923999999999999</v>
      </c>
      <c r="AG1094" s="57">
        <v>16.783000000000001</v>
      </c>
      <c r="AH1094" s="58">
        <f>AG1094-AE1094</f>
        <v>9.0000000000003411E-3</v>
      </c>
      <c r="AI1094" s="59">
        <f>((AF1094-AG1094)/(AF1094-AE1094))*100</f>
        <v>93.999999999999716</v>
      </c>
      <c r="AJ1094" s="26">
        <f t="shared" si="396"/>
        <v>4.699999999999986</v>
      </c>
      <c r="AK1094" s="26">
        <f t="shared" si="397"/>
        <v>54.335260115606779</v>
      </c>
      <c r="AL1094" s="26">
        <f t="shared" si="398"/>
        <v>4.7008616231495122</v>
      </c>
      <c r="AM1094" s="17">
        <f t="shared" si="388"/>
        <v>0.5780346820809249</v>
      </c>
      <c r="AN1094" s="60" t="s">
        <v>49</v>
      </c>
      <c r="AO1094" s="50">
        <f>AO1092/AO1093</f>
        <v>0.17903225806451625</v>
      </c>
      <c r="AP1094" s="52" t="s">
        <v>35</v>
      </c>
      <c r="AQ1094" s="17"/>
      <c r="AR1094" s="17"/>
      <c r="AS1094" s="27"/>
      <c r="AT1094" s="17"/>
      <c r="AU1094" s="17"/>
      <c r="AV1094" s="17"/>
      <c r="AW1094" s="17"/>
      <c r="AX1094" s="17"/>
      <c r="BB1094" s="17"/>
    </row>
    <row r="1095" spans="1:54" x14ac:dyDescent="0.2">
      <c r="A1095" s="18" t="s">
        <v>90</v>
      </c>
      <c r="B1095" s="18" t="s">
        <v>91</v>
      </c>
      <c r="C1095" s="18" t="s">
        <v>102</v>
      </c>
      <c r="D1095" s="18" t="str">
        <f t="shared" si="389"/>
        <v>CAT1.1G_201</v>
      </c>
      <c r="E1095" s="55" t="s">
        <v>85</v>
      </c>
      <c r="F1095" s="18">
        <v>201</v>
      </c>
      <c r="G1095" s="18">
        <v>2</v>
      </c>
      <c r="H1095" s="46">
        <v>2.2000000000000002</v>
      </c>
      <c r="I1095" s="46">
        <v>1.4</v>
      </c>
      <c r="J1095" s="23">
        <f t="shared" si="390"/>
        <v>4.84659</v>
      </c>
      <c r="K1095" s="61">
        <v>0.17903225806451625</v>
      </c>
      <c r="L1095" s="45">
        <f t="shared" si="400"/>
        <v>9.3241935483870968</v>
      </c>
      <c r="M1095" s="45">
        <f t="shared" si="386"/>
        <v>10.724193548387097</v>
      </c>
      <c r="N1095" s="46">
        <f t="shared" si="401"/>
        <v>10.024193548387096</v>
      </c>
      <c r="O1095" s="46">
        <f t="shared" si="402"/>
        <v>217.42903225806455</v>
      </c>
      <c r="P1095" s="46">
        <f t="shared" si="387"/>
        <v>218.82903225806456</v>
      </c>
      <c r="Q1095" s="46">
        <f t="shared" si="382"/>
        <v>218.12903225806457</v>
      </c>
      <c r="R1095" s="46">
        <f t="shared" si="399"/>
        <v>215.42903225806455</v>
      </c>
      <c r="S1095" s="46">
        <f t="shared" si="399"/>
        <v>216.82903225806456</v>
      </c>
      <c r="T1095" s="62">
        <v>217</v>
      </c>
      <c r="U1095" s="46">
        <f t="shared" si="391"/>
        <v>217</v>
      </c>
      <c r="V1095" s="18">
        <v>6.1993</v>
      </c>
      <c r="W1095" s="18">
        <v>1.8876999999999999</v>
      </c>
      <c r="X1095" s="23">
        <v>1.1476266666666699</v>
      </c>
      <c r="Y1095" s="23">
        <f t="shared" si="392"/>
        <v>5.0516733333333299</v>
      </c>
      <c r="Z1095" s="23">
        <f t="shared" si="393"/>
        <v>0.74007333333333003</v>
      </c>
      <c r="AA1095" s="21">
        <f t="shared" si="394"/>
        <v>85.349936852607328</v>
      </c>
      <c r="AB1095" s="21">
        <f t="shared" si="395"/>
        <v>14.650063147392672</v>
      </c>
      <c r="AC1095" s="23">
        <f>Y1095/J1095</f>
        <v>1.0423149747210574</v>
      </c>
      <c r="AD1095" s="23">
        <f>Z1095/J1095</f>
        <v>0.15269980199136507</v>
      </c>
      <c r="AE1095" s="57">
        <v>15.3</v>
      </c>
      <c r="AF1095" s="57">
        <v>15.473000000000001</v>
      </c>
      <c r="AG1095" s="57">
        <v>15.308999999999999</v>
      </c>
      <c r="AH1095" s="58">
        <f>AG1095-AE1095</f>
        <v>8.9999999999985647E-3</v>
      </c>
      <c r="AI1095" s="59">
        <f>((AF1095-AG1095)/(AF1095-AE1095))*100</f>
        <v>94.797687861272507</v>
      </c>
      <c r="AJ1095" s="26">
        <f t="shared" si="396"/>
        <v>4.7398843930636252</v>
      </c>
      <c r="AK1095" s="26">
        <f t="shared" si="397"/>
        <v>54.796351364897404</v>
      </c>
      <c r="AL1095" s="26">
        <f t="shared" si="398"/>
        <v>4.7407387672817549</v>
      </c>
      <c r="AM1095" s="17">
        <f t="shared" si="388"/>
        <v>0.5780346820809249</v>
      </c>
      <c r="AN1095" s="52"/>
      <c r="AO1095" s="39"/>
      <c r="AP1095" s="18"/>
      <c r="AQ1095" s="17"/>
      <c r="AR1095" s="17"/>
      <c r="AS1095" s="27"/>
      <c r="AT1095" s="17"/>
      <c r="AU1095" s="17"/>
      <c r="AV1095" s="17"/>
      <c r="AW1095" s="17"/>
      <c r="AX1095" s="17"/>
      <c r="BB1095" s="17"/>
    </row>
    <row r="1096" spans="1:54" x14ac:dyDescent="0.2">
      <c r="A1096" s="18" t="s">
        <v>90</v>
      </c>
      <c r="B1096" s="18" t="s">
        <v>91</v>
      </c>
      <c r="C1096" s="18" t="s">
        <v>102</v>
      </c>
      <c r="D1096" s="18" t="str">
        <f t="shared" si="389"/>
        <v>CAT1.1G_202</v>
      </c>
      <c r="E1096" s="55" t="s">
        <v>85</v>
      </c>
      <c r="F1096" s="18">
        <v>202</v>
      </c>
      <c r="G1096" s="18">
        <v>2.1</v>
      </c>
      <c r="H1096" s="46">
        <v>2.2000000000000002</v>
      </c>
      <c r="I1096" s="46">
        <v>1.4</v>
      </c>
      <c r="J1096" s="23">
        <f t="shared" si="390"/>
        <v>5.0801275000000015</v>
      </c>
      <c r="K1096" s="61">
        <v>0.17903225806451625</v>
      </c>
      <c r="L1096" s="45">
        <f t="shared" si="400"/>
        <v>10.903225806451614</v>
      </c>
      <c r="M1096" s="45">
        <f t="shared" si="386"/>
        <v>12.303225806451614</v>
      </c>
      <c r="N1096" s="46">
        <f t="shared" si="401"/>
        <v>11.603225806451615</v>
      </c>
      <c r="O1096" s="46">
        <f t="shared" si="402"/>
        <v>218.82903225806456</v>
      </c>
      <c r="P1096" s="46">
        <f t="shared" si="387"/>
        <v>220.22903225806456</v>
      </c>
      <c r="Q1096" s="46">
        <f t="shared" si="382"/>
        <v>219.52903225806455</v>
      </c>
      <c r="R1096" s="46">
        <f t="shared" si="399"/>
        <v>216.82903225806456</v>
      </c>
      <c r="S1096" s="46">
        <f t="shared" si="399"/>
        <v>218.22903225806456</v>
      </c>
      <c r="T1096" s="62">
        <v>218.6</v>
      </c>
      <c r="U1096" s="46">
        <f t="shared" si="391"/>
        <v>218.6</v>
      </c>
      <c r="V1096" s="18">
        <v>6.3127000000000004</v>
      </c>
      <c r="W1096" s="18">
        <v>1.8566</v>
      </c>
      <c r="X1096" s="23">
        <v>1.1476266666666699</v>
      </c>
      <c r="Y1096" s="23">
        <f t="shared" si="392"/>
        <v>5.1650733333333303</v>
      </c>
      <c r="Z1096" s="23">
        <f t="shared" si="393"/>
        <v>0.70897333333333012</v>
      </c>
      <c r="AA1096" s="21">
        <f t="shared" si="394"/>
        <v>86.273702470826535</v>
      </c>
      <c r="AB1096" s="21">
        <f t="shared" si="395"/>
        <v>13.726297529173465</v>
      </c>
      <c r="AC1096" s="23">
        <f>Y1096/J1096</f>
        <v>1.0167212010590934</v>
      </c>
      <c r="AD1096" s="23">
        <f>Z1096/J1096</f>
        <v>0.13955817709955703</v>
      </c>
      <c r="AE1096" s="57">
        <v>17.803000000000001</v>
      </c>
      <c r="AF1096" s="57">
        <v>17.963999999999999</v>
      </c>
      <c r="AG1096" s="57">
        <v>17.811</v>
      </c>
      <c r="AH1096" s="58">
        <f>AG1096-AE1096</f>
        <v>7.9999999999991189E-3</v>
      </c>
      <c r="AI1096" s="59">
        <f>((AF1096-AG1096)/(AF1096-AE1096))*100</f>
        <v>95.031055900621595</v>
      </c>
      <c r="AJ1096" s="26">
        <f t="shared" si="396"/>
        <v>4.7515527950310803</v>
      </c>
      <c r="AK1096" s="26">
        <f t="shared" si="397"/>
        <v>54.931246185330409</v>
      </c>
      <c r="AL1096" s="26">
        <f t="shared" si="398"/>
        <v>4.7524050715366917</v>
      </c>
      <c r="AM1096" s="17">
        <f t="shared" si="388"/>
        <v>0.5780346820809249</v>
      </c>
      <c r="AN1096" s="52"/>
      <c r="AO1096" s="39"/>
      <c r="AP1096" s="18"/>
      <c r="AQ1096" s="17"/>
      <c r="AR1096" s="17"/>
      <c r="AS1096" s="27"/>
      <c r="AT1096" s="17"/>
      <c r="AU1096" s="17"/>
      <c r="AV1096" s="17"/>
      <c r="AW1096" s="17"/>
      <c r="AX1096" s="17"/>
      <c r="BB1096" s="17"/>
    </row>
    <row r="1097" spans="1:54" x14ac:dyDescent="0.2">
      <c r="A1097" s="18" t="s">
        <v>90</v>
      </c>
      <c r="B1097" s="18" t="s">
        <v>91</v>
      </c>
      <c r="C1097" s="18" t="s">
        <v>102</v>
      </c>
      <c r="D1097" s="18" t="str">
        <f t="shared" si="389"/>
        <v>CAT1.1G_203</v>
      </c>
      <c r="E1097" s="55" t="s">
        <v>85</v>
      </c>
      <c r="F1097" s="18">
        <v>203</v>
      </c>
      <c r="G1097" s="18">
        <v>2.1</v>
      </c>
      <c r="H1097" s="46">
        <v>2.1</v>
      </c>
      <c r="I1097" s="18">
        <v>1.4</v>
      </c>
      <c r="J1097" s="23">
        <f t="shared" si="390"/>
        <v>4.84659</v>
      </c>
      <c r="K1097" s="61">
        <v>0.17903225806451625</v>
      </c>
      <c r="L1097" s="45">
        <f t="shared" si="400"/>
        <v>12.482258064516131</v>
      </c>
      <c r="M1097" s="45">
        <f t="shared" si="386"/>
        <v>13.882258064516131</v>
      </c>
      <c r="N1097" s="46">
        <f t="shared" si="401"/>
        <v>13.18225806451613</v>
      </c>
      <c r="O1097" s="46">
        <f t="shared" si="402"/>
        <v>220.22903225806456</v>
      </c>
      <c r="P1097" s="46">
        <f t="shared" si="387"/>
        <v>221.62903225806457</v>
      </c>
      <c r="Q1097" s="46">
        <f t="shared" si="382"/>
        <v>220.92903225806458</v>
      </c>
      <c r="R1097" s="46">
        <f t="shared" si="399"/>
        <v>218.22903225806456</v>
      </c>
      <c r="S1097" s="46">
        <f t="shared" si="399"/>
        <v>219.62903225806457</v>
      </c>
      <c r="T1097" s="62">
        <v>220.2</v>
      </c>
      <c r="U1097" s="46">
        <f t="shared" si="391"/>
        <v>220.2</v>
      </c>
      <c r="V1097" s="18">
        <v>5.8419999999999996</v>
      </c>
      <c r="W1097" s="18">
        <v>1.8971</v>
      </c>
      <c r="X1097" s="23">
        <v>1.1476266666666699</v>
      </c>
      <c r="Y1097" s="23">
        <f t="shared" si="392"/>
        <v>4.6943733333333295</v>
      </c>
      <c r="Z1097" s="23">
        <f t="shared" si="393"/>
        <v>0.74947333333333011</v>
      </c>
      <c r="AA1097" s="21">
        <f t="shared" si="394"/>
        <v>84.034645731911738</v>
      </c>
      <c r="AB1097" s="21">
        <f t="shared" si="395"/>
        <v>15.965354268088262</v>
      </c>
      <c r="AC1097" s="23">
        <f>Y1097/J1097</f>
        <v>0.9685930382667669</v>
      </c>
      <c r="AD1097" s="23">
        <f>Z1097/J1097</f>
        <v>0.15463930997532907</v>
      </c>
      <c r="AE1097" s="57">
        <v>16.175999999999998</v>
      </c>
      <c r="AF1097" s="57">
        <v>16.344000000000001</v>
      </c>
      <c r="AG1097" s="57">
        <v>16.184000000000001</v>
      </c>
      <c r="AH1097" s="58">
        <f>AG1097-AE1097</f>
        <v>8.0000000000026716E-3</v>
      </c>
      <c r="AI1097" s="59">
        <f>((AF1097-AG1097)/(AF1097-AE1097))*100</f>
        <v>95.23809523809372</v>
      </c>
      <c r="AJ1097" s="26">
        <f t="shared" si="396"/>
        <v>4.7619047619046864</v>
      </c>
      <c r="AK1097" s="26">
        <f t="shared" si="397"/>
        <v>55.050922102944348</v>
      </c>
      <c r="AL1097" s="26">
        <f t="shared" si="398"/>
        <v>4.7627551859664727</v>
      </c>
      <c r="AM1097" s="17">
        <f t="shared" si="388"/>
        <v>0.5780346820809249</v>
      </c>
      <c r="AN1097" s="52"/>
      <c r="AO1097" s="39"/>
      <c r="AP1097" s="18"/>
      <c r="AQ1097" s="17"/>
      <c r="AR1097" s="17"/>
      <c r="AS1097" s="27"/>
      <c r="AT1097" s="17"/>
      <c r="AU1097" s="17"/>
      <c r="AV1097" s="17"/>
      <c r="AW1097" s="17"/>
      <c r="AX1097" s="17"/>
      <c r="BB1097" s="17"/>
    </row>
    <row r="1098" spans="1:54" x14ac:dyDescent="0.2">
      <c r="A1098" s="18" t="s">
        <v>90</v>
      </c>
      <c r="B1098" s="18" t="s">
        <v>91</v>
      </c>
      <c r="C1098" s="18" t="s">
        <v>102</v>
      </c>
      <c r="D1098" s="18" t="str">
        <f t="shared" si="389"/>
        <v>CAT1.1G_204</v>
      </c>
      <c r="E1098" s="55" t="s">
        <v>85</v>
      </c>
      <c r="F1098" s="18">
        <v>204</v>
      </c>
      <c r="G1098" s="18">
        <v>2</v>
      </c>
      <c r="H1098" s="46">
        <v>2.1</v>
      </c>
      <c r="I1098" s="46">
        <v>1.4</v>
      </c>
      <c r="J1098" s="23">
        <f t="shared" si="390"/>
        <v>4.6185474999999991</v>
      </c>
      <c r="K1098" s="61">
        <v>0.17903225806451625</v>
      </c>
      <c r="L1098" s="45">
        <f t="shared" si="400"/>
        <v>14.061290322580648</v>
      </c>
      <c r="M1098" s="45">
        <f t="shared" si="386"/>
        <v>15.461290322580648</v>
      </c>
      <c r="N1098" s="46">
        <f t="shared" si="401"/>
        <v>14.761290322580649</v>
      </c>
      <c r="O1098" s="46">
        <f t="shared" si="402"/>
        <v>221.62903225806457</v>
      </c>
      <c r="P1098" s="46">
        <f t="shared" si="387"/>
        <v>223.02903225806457</v>
      </c>
      <c r="Q1098" s="46">
        <f t="shared" si="382"/>
        <v>222.32903225806456</v>
      </c>
      <c r="R1098" s="46">
        <f t="shared" si="399"/>
        <v>219.62903225806457</v>
      </c>
      <c r="S1098" s="46">
        <f t="shared" si="399"/>
        <v>221.02903225806457</v>
      </c>
      <c r="T1098" s="62">
        <v>221.8</v>
      </c>
      <c r="U1098" s="46">
        <f t="shared" si="391"/>
        <v>221.8</v>
      </c>
      <c r="V1098" s="18">
        <v>6.1567999999999996</v>
      </c>
      <c r="W1098" s="18">
        <v>1.7863</v>
      </c>
      <c r="X1098" s="23">
        <v>1.1476266666666699</v>
      </c>
      <c r="Y1098" s="23">
        <f t="shared" si="392"/>
        <v>5.0091733333333295</v>
      </c>
      <c r="Z1098" s="23">
        <f t="shared" si="393"/>
        <v>0.6386733333333301</v>
      </c>
      <c r="AA1098" s="21">
        <f t="shared" si="394"/>
        <v>87.249925470070977</v>
      </c>
      <c r="AB1098" s="21">
        <f t="shared" si="395"/>
        <v>12.750074529929023</v>
      </c>
      <c r="AC1098" s="23">
        <f>Y1098/J1098</f>
        <v>1.0845776368724864</v>
      </c>
      <c r="AD1098" s="23">
        <f>Z1098/J1098</f>
        <v>0.13828445703618514</v>
      </c>
      <c r="AE1098" s="57">
        <v>16.59</v>
      </c>
      <c r="AF1098" s="57">
        <v>16.724</v>
      </c>
      <c r="AG1098" s="57">
        <v>16.600000000000001</v>
      </c>
      <c r="AH1098" s="58">
        <f>AG1098-AE1098</f>
        <v>1.0000000000001563E-2</v>
      </c>
      <c r="AI1098" s="59">
        <f>((AF1098-AG1098)/(AF1098-AE1098))*100</f>
        <v>92.537313432834679</v>
      </c>
      <c r="AJ1098" s="26">
        <f t="shared" si="396"/>
        <v>4.6268656716417338</v>
      </c>
      <c r="AK1098" s="26">
        <f t="shared" si="397"/>
        <v>53.489776550771495</v>
      </c>
      <c r="AL1098" s="26">
        <f t="shared" si="398"/>
        <v>4.6277409114401289</v>
      </c>
      <c r="AM1098" s="17">
        <f t="shared" si="388"/>
        <v>0.5780346820809249</v>
      </c>
      <c r="AN1098" s="52"/>
      <c r="AO1098" s="39"/>
      <c r="AP1098" s="18"/>
      <c r="AQ1098" s="17"/>
      <c r="AR1098" s="17"/>
      <c r="AS1098" s="27"/>
      <c r="AT1098" s="17"/>
      <c r="AU1098" s="17"/>
      <c r="AV1098" s="17"/>
      <c r="AW1098" s="17"/>
      <c r="AX1098" s="17"/>
      <c r="BB1098" s="17"/>
    </row>
    <row r="1099" spans="1:54" x14ac:dyDescent="0.2">
      <c r="A1099" s="18" t="s">
        <v>90</v>
      </c>
      <c r="B1099" s="18" t="s">
        <v>91</v>
      </c>
      <c r="C1099" s="18" t="s">
        <v>102</v>
      </c>
      <c r="D1099" s="18" t="str">
        <f t="shared" si="389"/>
        <v>CAT1.1G_205</v>
      </c>
      <c r="E1099" s="55" t="s">
        <v>85</v>
      </c>
      <c r="F1099" s="18">
        <v>205</v>
      </c>
      <c r="G1099" s="18">
        <v>2.2000000000000002</v>
      </c>
      <c r="H1099" s="46">
        <v>2.4</v>
      </c>
      <c r="I1099" s="46">
        <v>1.4</v>
      </c>
      <c r="J1099" s="23">
        <f t="shared" si="390"/>
        <v>5.8137099999999995</v>
      </c>
      <c r="K1099" s="61">
        <v>0.17903225806451625</v>
      </c>
      <c r="L1099" s="45">
        <f t="shared" si="400"/>
        <v>15.640322580645165</v>
      </c>
      <c r="M1099" s="45">
        <f t="shared" si="386"/>
        <v>17.040322580645164</v>
      </c>
      <c r="N1099" s="46">
        <f t="shared" si="401"/>
        <v>16.340322580645164</v>
      </c>
      <c r="O1099" s="46">
        <f t="shared" si="402"/>
        <v>223.02903225806457</v>
      </c>
      <c r="P1099" s="46">
        <f t="shared" si="387"/>
        <v>224.42903225806458</v>
      </c>
      <c r="Q1099" s="46">
        <f t="shared" si="382"/>
        <v>223.72903225806459</v>
      </c>
      <c r="R1099" s="46">
        <f t="shared" si="399"/>
        <v>221.02903225806457</v>
      </c>
      <c r="S1099" s="46">
        <f t="shared" si="399"/>
        <v>222.42903225806458</v>
      </c>
      <c r="T1099" s="62">
        <v>223.3</v>
      </c>
      <c r="U1099" s="46">
        <f t="shared" si="391"/>
        <v>223.3</v>
      </c>
      <c r="V1099" s="18">
        <v>6.0119999999999996</v>
      </c>
      <c r="W1099" s="18">
        <v>1.8451</v>
      </c>
      <c r="X1099" s="23">
        <v>1.1476266666666699</v>
      </c>
      <c r="Y1099" s="23">
        <f t="shared" si="392"/>
        <v>4.8643733333333294</v>
      </c>
      <c r="Z1099" s="23">
        <f t="shared" si="393"/>
        <v>0.69747333333333006</v>
      </c>
      <c r="AA1099" s="21">
        <f t="shared" si="394"/>
        <v>85.661599438639627</v>
      </c>
      <c r="AB1099" s="21">
        <f t="shared" si="395"/>
        <v>14.338400561360373</v>
      </c>
      <c r="AC1099" s="23">
        <f>Y1099/J1099</f>
        <v>0.83670725463315676</v>
      </c>
      <c r="AD1099" s="23">
        <f>Z1099/J1099</f>
        <v>0.11997043769526346</v>
      </c>
      <c r="AE1099" s="57">
        <v>16.189</v>
      </c>
      <c r="AF1099" s="57">
        <v>16.382999999999999</v>
      </c>
      <c r="AG1099" s="57">
        <v>16.202999999999999</v>
      </c>
      <c r="AH1099" s="58">
        <f>AG1099-AE1099</f>
        <v>1.3999999999999346E-2</v>
      </c>
      <c r="AI1099" s="59">
        <f>((AF1099-AG1099)/(AF1099-AE1099))*100</f>
        <v>92.783505154639485</v>
      </c>
      <c r="AJ1099" s="26">
        <f t="shared" si="396"/>
        <v>4.6391752577319743</v>
      </c>
      <c r="AK1099" s="26">
        <f t="shared" si="397"/>
        <v>53.632083904415893</v>
      </c>
      <c r="AL1099" s="26">
        <f t="shared" si="398"/>
        <v>4.6400481756068572</v>
      </c>
      <c r="AM1099" s="17">
        <f t="shared" si="388"/>
        <v>0.5780346820809249</v>
      </c>
      <c r="AN1099" s="52"/>
      <c r="AO1099" s="39"/>
      <c r="AP1099" s="18"/>
      <c r="AQ1099" s="17"/>
      <c r="AR1099" s="17"/>
      <c r="AS1099" s="27"/>
      <c r="AT1099" s="17"/>
      <c r="AU1099" s="17"/>
      <c r="AV1099" s="17"/>
      <c r="AW1099" s="17"/>
      <c r="AX1099" s="17"/>
      <c r="BB1099" s="17"/>
    </row>
    <row r="1100" spans="1:54" x14ac:dyDescent="0.2">
      <c r="A1100" s="18" t="s">
        <v>90</v>
      </c>
      <c r="B1100" s="18" t="s">
        <v>91</v>
      </c>
      <c r="C1100" s="18" t="s">
        <v>102</v>
      </c>
      <c r="D1100" s="18" t="str">
        <f t="shared" si="389"/>
        <v>CAT1.1G_206</v>
      </c>
      <c r="E1100" s="55" t="s">
        <v>85</v>
      </c>
      <c r="F1100" s="18">
        <v>206</v>
      </c>
      <c r="G1100" s="18">
        <v>2.1</v>
      </c>
      <c r="H1100" s="46">
        <v>2.5</v>
      </c>
      <c r="I1100" s="46">
        <v>1.35</v>
      </c>
      <c r="J1100" s="23">
        <f t="shared" si="390"/>
        <v>5.6060774999999996</v>
      </c>
      <c r="K1100" s="61">
        <v>0.17903225806451625</v>
      </c>
      <c r="L1100" s="45">
        <f t="shared" si="400"/>
        <v>17.21935483870968</v>
      </c>
      <c r="M1100" s="45">
        <f t="shared" si="386"/>
        <v>18.569354838709682</v>
      </c>
      <c r="N1100" s="46">
        <f t="shared" si="401"/>
        <v>17.894354838709681</v>
      </c>
      <c r="O1100" s="46">
        <f t="shared" si="402"/>
        <v>224.42903225806458</v>
      </c>
      <c r="P1100" s="46">
        <f t="shared" si="387"/>
        <v>225.77903225806457</v>
      </c>
      <c r="Q1100" s="46">
        <f t="shared" si="382"/>
        <v>225.10403225806459</v>
      </c>
      <c r="R1100" s="46">
        <f t="shared" si="399"/>
        <v>222.42903225806458</v>
      </c>
      <c r="S1100" s="46">
        <f t="shared" si="399"/>
        <v>223.77903225806457</v>
      </c>
      <c r="T1100" s="62">
        <v>224.9</v>
      </c>
      <c r="U1100" s="46">
        <f t="shared" si="391"/>
        <v>224.9</v>
      </c>
      <c r="V1100" s="18">
        <v>6.6700999999999997</v>
      </c>
      <c r="W1100" s="18">
        <v>2.0230999999999999</v>
      </c>
      <c r="X1100" s="23">
        <v>1.1476266666666699</v>
      </c>
      <c r="Y1100" s="23">
        <f t="shared" si="392"/>
        <v>5.5224733333333296</v>
      </c>
      <c r="Z1100" s="23">
        <f t="shared" si="393"/>
        <v>0.87547333333332999</v>
      </c>
      <c r="AA1100" s="21">
        <f t="shared" si="394"/>
        <v>84.147079026185168</v>
      </c>
      <c r="AB1100" s="21">
        <f t="shared" si="395"/>
        <v>15.852920973814832</v>
      </c>
      <c r="AC1100" s="23">
        <f>Y1100/J1100</f>
        <v>0.98508686926524469</v>
      </c>
      <c r="AD1100" s="23">
        <f>Z1100/J1100</f>
        <v>0.15616504290804578</v>
      </c>
      <c r="AE1100" s="57">
        <v>14.494999999999999</v>
      </c>
      <c r="AF1100" s="57">
        <v>14.644</v>
      </c>
      <c r="AG1100" s="57">
        <v>14.507</v>
      </c>
      <c r="AH1100" s="58">
        <f>AG1100-AE1100</f>
        <v>1.2000000000000455E-2</v>
      </c>
      <c r="AI1100" s="59">
        <f>((AF1100-AG1100)/(AF1100-AE1100))*100</f>
        <v>91.946308724831965</v>
      </c>
      <c r="AJ1100" s="26">
        <f t="shared" si="396"/>
        <v>4.5973154362415984</v>
      </c>
      <c r="AK1100" s="26">
        <f t="shared" si="397"/>
        <v>53.148155332272815</v>
      </c>
      <c r="AL1100" s="26">
        <f t="shared" si="398"/>
        <v>4.5981963007580786</v>
      </c>
      <c r="AM1100" s="17">
        <f t="shared" si="388"/>
        <v>0.5780346820809249</v>
      </c>
      <c r="AN1100" s="52"/>
      <c r="AO1100" s="39"/>
      <c r="AP1100" s="18"/>
      <c r="AQ1100" s="17"/>
      <c r="AR1100" s="17"/>
      <c r="AS1100" s="27"/>
      <c r="AT1100" s="17"/>
      <c r="AU1100" s="17"/>
      <c r="AV1100" s="17"/>
      <c r="AW1100" s="17"/>
      <c r="AX1100" s="17"/>
      <c r="BB1100" s="17"/>
    </row>
    <row r="1101" spans="1:54" x14ac:dyDescent="0.2">
      <c r="A1101" s="18" t="s">
        <v>90</v>
      </c>
      <c r="B1101" s="18" t="s">
        <v>91</v>
      </c>
      <c r="C1101" s="18" t="s">
        <v>102</v>
      </c>
      <c r="D1101" s="18" t="str">
        <f t="shared" si="389"/>
        <v>CAT1.1G_207</v>
      </c>
      <c r="E1101" s="55" t="s">
        <v>85</v>
      </c>
      <c r="F1101" s="18">
        <v>207</v>
      </c>
      <c r="G1101" s="18">
        <v>2.2000000000000002</v>
      </c>
      <c r="H1101" s="46">
        <v>2.2000000000000002</v>
      </c>
      <c r="I1101" s="18">
        <v>1.4</v>
      </c>
      <c r="J1101" s="23">
        <f t="shared" si="390"/>
        <v>5.319160000000001</v>
      </c>
      <c r="K1101" s="61">
        <v>0.17903225806451625</v>
      </c>
      <c r="L1101" s="45">
        <f t="shared" si="400"/>
        <v>18.748387096774199</v>
      </c>
      <c r="M1101" s="45">
        <f t="shared" si="386"/>
        <v>20.148387096774197</v>
      </c>
      <c r="N1101" s="46">
        <f t="shared" si="401"/>
        <v>19.448387096774198</v>
      </c>
      <c r="O1101" s="46">
        <f t="shared" si="402"/>
        <v>225.77903225806457</v>
      </c>
      <c r="P1101" s="46">
        <f t="shared" si="387"/>
        <v>227.17903225806458</v>
      </c>
      <c r="Q1101" s="46">
        <f t="shared" si="382"/>
        <v>226.47903225806459</v>
      </c>
      <c r="R1101" s="46">
        <f t="shared" si="399"/>
        <v>223.77903225806457</v>
      </c>
      <c r="S1101" s="46">
        <f t="shared" si="399"/>
        <v>225.17903225806458</v>
      </c>
      <c r="T1101" s="62">
        <v>226.4</v>
      </c>
      <c r="U1101" s="46">
        <f t="shared" si="391"/>
        <v>226.4</v>
      </c>
      <c r="V1101" s="18">
        <v>6.5145</v>
      </c>
      <c r="W1101" s="18">
        <v>2.3900999999999999</v>
      </c>
      <c r="X1101" s="23">
        <v>1.1476266666666699</v>
      </c>
      <c r="Y1101" s="23">
        <f t="shared" si="392"/>
        <v>5.3668733333333298</v>
      </c>
      <c r="Z1101" s="23">
        <f t="shared" si="393"/>
        <v>1.24247333333333</v>
      </c>
      <c r="AA1101" s="21">
        <f t="shared" si="394"/>
        <v>76.849214502298707</v>
      </c>
      <c r="AB1101" s="21">
        <f t="shared" si="395"/>
        <v>23.150785497701293</v>
      </c>
      <c r="AC1101" s="23">
        <f>Y1101/J1101</f>
        <v>1.0089700880088828</v>
      </c>
      <c r="AD1101" s="23">
        <f>Z1101/J1101</f>
        <v>0.23358450081090432</v>
      </c>
      <c r="AE1101" s="57">
        <v>17.027000000000001</v>
      </c>
      <c r="AF1101" s="57">
        <v>17.282</v>
      </c>
      <c r="AG1101" s="57">
        <v>17.100000000000001</v>
      </c>
      <c r="AH1101" s="58">
        <f>AG1101-AE1101</f>
        <v>7.3000000000000398E-2</v>
      </c>
      <c r="AI1101" s="59">
        <f>((AF1101-AG1101)/(AF1101-AE1101))*100</f>
        <v>71.372549019607575</v>
      </c>
      <c r="AJ1101" s="26">
        <f t="shared" si="396"/>
        <v>3.568627450980379</v>
      </c>
      <c r="AK1101" s="26">
        <f t="shared" si="397"/>
        <v>41.255808681854091</v>
      </c>
      <c r="AL1101" s="26">
        <f t="shared" si="398"/>
        <v>3.5697621606895211</v>
      </c>
      <c r="AM1101" s="17">
        <f t="shared" si="388"/>
        <v>0.5780346820809249</v>
      </c>
      <c r="AN1101" s="52"/>
      <c r="AO1101" s="39"/>
      <c r="AP1101" s="18"/>
      <c r="AQ1101" s="17"/>
      <c r="AR1101" s="17"/>
      <c r="AS1101" s="27"/>
      <c r="AT1101" s="17"/>
      <c r="AU1101" s="17"/>
      <c r="AV1101" s="17"/>
      <c r="AW1101" s="17"/>
      <c r="AX1101" s="17"/>
      <c r="BB1101" s="17"/>
    </row>
    <row r="1102" spans="1:54" x14ac:dyDescent="0.2">
      <c r="A1102" s="18" t="s">
        <v>90</v>
      </c>
      <c r="B1102" s="18" t="s">
        <v>91</v>
      </c>
      <c r="C1102" s="18" t="s">
        <v>102</v>
      </c>
      <c r="D1102" s="18" t="str">
        <f t="shared" si="389"/>
        <v>CAT1.1G_208</v>
      </c>
      <c r="E1102" s="55" t="s">
        <v>85</v>
      </c>
      <c r="F1102" s="18">
        <v>208</v>
      </c>
      <c r="G1102" s="18">
        <v>2.2000000000000002</v>
      </c>
      <c r="H1102" s="46">
        <v>2.1</v>
      </c>
      <c r="I1102" s="18">
        <v>1.2</v>
      </c>
      <c r="J1102" s="23">
        <f t="shared" si="390"/>
        <v>4.3543950000000011</v>
      </c>
      <c r="K1102" s="61">
        <v>0.17903225806451625</v>
      </c>
      <c r="L1102" s="45">
        <f t="shared" si="400"/>
        <v>20.327419354838714</v>
      </c>
      <c r="M1102" s="45">
        <f t="shared" si="386"/>
        <v>21.527419354838713</v>
      </c>
      <c r="N1102" s="46">
        <f t="shared" si="401"/>
        <v>20.927419354838712</v>
      </c>
      <c r="O1102" s="46">
        <f t="shared" si="402"/>
        <v>227.17903225806458</v>
      </c>
      <c r="P1102" s="46">
        <f t="shared" si="387"/>
        <v>228.37903225806457</v>
      </c>
      <c r="Q1102" s="46">
        <f t="shared" si="382"/>
        <v>227.77903225806457</v>
      </c>
      <c r="R1102" s="46">
        <f t="shared" si="399"/>
        <v>225.17903225806458</v>
      </c>
      <c r="S1102" s="46">
        <f t="shared" si="399"/>
        <v>226.37903225806457</v>
      </c>
      <c r="T1102" s="62">
        <v>227.9</v>
      </c>
      <c r="U1102" s="46">
        <f t="shared" si="391"/>
        <v>227.9</v>
      </c>
      <c r="V1102" s="18">
        <v>6.0632000000000001</v>
      </c>
      <c r="W1102" s="18">
        <v>2.0312000000000001</v>
      </c>
      <c r="X1102" s="23">
        <v>1.1476266666666699</v>
      </c>
      <c r="Y1102" s="23">
        <f t="shared" si="392"/>
        <v>4.91557333333333</v>
      </c>
      <c r="Z1102" s="23">
        <f t="shared" si="393"/>
        <v>0.88357333333333021</v>
      </c>
      <c r="AA1102" s="21">
        <f t="shared" si="394"/>
        <v>82.025019801013428</v>
      </c>
      <c r="AB1102" s="21">
        <f t="shared" si="395"/>
        <v>17.974980198986572</v>
      </c>
      <c r="AC1102" s="23">
        <f>Y1102/J1102</f>
        <v>1.1288763039029139</v>
      </c>
      <c r="AD1102" s="23">
        <f>Z1102/J1102</f>
        <v>0.20291529209760023</v>
      </c>
      <c r="AE1102" s="57">
        <v>17.05</v>
      </c>
      <c r="AF1102" s="57">
        <v>17.282</v>
      </c>
      <c r="AG1102" s="57">
        <v>17.068999999999999</v>
      </c>
      <c r="AH1102" s="58">
        <f>AG1102-AE1102</f>
        <v>1.8999999999998352E-2</v>
      </c>
      <c r="AI1102" s="59">
        <f>((AF1102-AG1102)/(AF1102-AE1102))*100</f>
        <v>91.810344827586903</v>
      </c>
      <c r="AJ1102" s="26">
        <f t="shared" si="396"/>
        <v>4.5905172413793451</v>
      </c>
      <c r="AK1102" s="26">
        <f t="shared" si="397"/>
        <v>53.06956348415428</v>
      </c>
      <c r="AL1102" s="26">
        <f t="shared" si="398"/>
        <v>4.5913994101364164</v>
      </c>
      <c r="AM1102" s="17">
        <f t="shared" si="388"/>
        <v>0.5780346820809249</v>
      </c>
      <c r="AN1102" s="52"/>
      <c r="AO1102" s="39"/>
      <c r="AP1102" s="18"/>
      <c r="AQ1102" s="17"/>
      <c r="AR1102" s="17"/>
      <c r="AS1102" s="27"/>
      <c r="AT1102" s="17"/>
      <c r="AU1102" s="17"/>
      <c r="AV1102" s="17"/>
      <c r="AW1102" s="17"/>
      <c r="AX1102" s="17"/>
      <c r="BB1102" s="17"/>
    </row>
    <row r="1103" spans="1:54" x14ac:dyDescent="0.2">
      <c r="A1103" s="18" t="s">
        <v>90</v>
      </c>
      <c r="B1103" s="18" t="s">
        <v>91</v>
      </c>
      <c r="C1103" s="18" t="s">
        <v>102</v>
      </c>
      <c r="D1103" s="18" t="str">
        <f t="shared" si="389"/>
        <v>CAT1.1G_209</v>
      </c>
      <c r="E1103" s="55" t="s">
        <v>85</v>
      </c>
      <c r="F1103" s="18">
        <v>209</v>
      </c>
      <c r="G1103" s="18">
        <v>2.2000000000000002</v>
      </c>
      <c r="H1103" s="46">
        <v>2.4</v>
      </c>
      <c r="I1103" s="46">
        <v>1.35</v>
      </c>
      <c r="J1103" s="23">
        <f t="shared" si="390"/>
        <v>5.6060774999999996</v>
      </c>
      <c r="K1103" s="61">
        <v>0.17903225806451625</v>
      </c>
      <c r="L1103" s="45">
        <f t="shared" si="400"/>
        <v>21.70645161290323</v>
      </c>
      <c r="M1103" s="45">
        <f t="shared" si="386"/>
        <v>23.056451612903231</v>
      </c>
      <c r="N1103" s="46">
        <f t="shared" si="401"/>
        <v>22.381451612903231</v>
      </c>
      <c r="O1103" s="46">
        <f t="shared" si="402"/>
        <v>228.37903225806457</v>
      </c>
      <c r="P1103" s="46">
        <f t="shared" si="387"/>
        <v>229.72903225806456</v>
      </c>
      <c r="Q1103" s="46">
        <f t="shared" si="382"/>
        <v>229.05403225806458</v>
      </c>
      <c r="R1103" s="46">
        <f t="shared" si="399"/>
        <v>226.37903225806457</v>
      </c>
      <c r="S1103" s="46">
        <f t="shared" si="399"/>
        <v>227.72903225806456</v>
      </c>
      <c r="T1103" s="62">
        <v>229.4</v>
      </c>
      <c r="U1103" s="46">
        <f t="shared" si="391"/>
        <v>229.4</v>
      </c>
      <c r="V1103" s="18">
        <v>6.5488999999999997</v>
      </c>
      <c r="W1103" s="18">
        <v>2.2637999999999998</v>
      </c>
      <c r="X1103" s="23">
        <v>1.1476266666666699</v>
      </c>
      <c r="Y1103" s="23">
        <f t="shared" si="392"/>
        <v>5.4012733333333296</v>
      </c>
      <c r="Z1103" s="23">
        <f t="shared" si="393"/>
        <v>1.1161733333333299</v>
      </c>
      <c r="AA1103" s="21">
        <f t="shared" si="394"/>
        <v>79.33499631568364</v>
      </c>
      <c r="AB1103" s="21">
        <f t="shared" si="395"/>
        <v>20.66500368431636</v>
      </c>
      <c r="AC1103" s="23">
        <f>Y1103/J1103</f>
        <v>0.96346747495612217</v>
      </c>
      <c r="AD1103" s="23">
        <f>Z1103/J1103</f>
        <v>0.19910058919687251</v>
      </c>
      <c r="AE1103" s="57">
        <v>14.596</v>
      </c>
      <c r="AF1103" s="57">
        <v>14.840999999999999</v>
      </c>
      <c r="AG1103" s="57">
        <v>14.621</v>
      </c>
      <c r="AH1103" s="58">
        <f>AG1103-AE1103</f>
        <v>2.5000000000000355E-2</v>
      </c>
      <c r="AI1103" s="59">
        <f>((AF1103-AG1103)/(AF1103-AE1103))*100</f>
        <v>89.795918367346758</v>
      </c>
      <c r="AJ1103" s="26">
        <f t="shared" si="396"/>
        <v>4.4897959183673377</v>
      </c>
      <c r="AK1103" s="26">
        <f t="shared" si="397"/>
        <v>51.905155125633968</v>
      </c>
      <c r="AL1103" s="26">
        <f t="shared" si="398"/>
        <v>4.4906978732250522</v>
      </c>
      <c r="AM1103" s="17">
        <f t="shared" si="388"/>
        <v>0.5780346820809249</v>
      </c>
      <c r="AN1103" s="52"/>
      <c r="AO1103" s="39"/>
      <c r="AP1103" s="18"/>
      <c r="AQ1103" s="17"/>
      <c r="AR1103" s="17"/>
      <c r="AS1103" s="27"/>
      <c r="AT1103" s="17"/>
      <c r="AU1103" s="17"/>
      <c r="AV1103" s="17"/>
      <c r="AW1103" s="17"/>
      <c r="AX1103" s="17"/>
      <c r="BB1103" s="17"/>
    </row>
    <row r="1104" spans="1:54" x14ac:dyDescent="0.2">
      <c r="A1104" s="18" t="s">
        <v>90</v>
      </c>
      <c r="B1104" s="18" t="s">
        <v>91</v>
      </c>
      <c r="C1104" s="18" t="s">
        <v>102</v>
      </c>
      <c r="D1104" s="18" t="str">
        <f t="shared" si="389"/>
        <v>CAT1.1G_210</v>
      </c>
      <c r="E1104" s="55" t="s">
        <v>85</v>
      </c>
      <c r="F1104" s="18">
        <v>210</v>
      </c>
      <c r="G1104" s="18">
        <v>2.1</v>
      </c>
      <c r="H1104" s="46">
        <v>2.2000000000000002</v>
      </c>
      <c r="I1104" s="46">
        <v>1.2</v>
      </c>
      <c r="J1104" s="23">
        <f t="shared" si="390"/>
        <v>4.3543950000000011</v>
      </c>
      <c r="K1104" s="61">
        <v>0.17903225806451625</v>
      </c>
      <c r="L1104" s="45">
        <f t="shared" si="400"/>
        <v>23.235483870967748</v>
      </c>
      <c r="M1104" s="45">
        <f t="shared" si="386"/>
        <v>24.435483870967747</v>
      </c>
      <c r="N1104" s="46">
        <f t="shared" si="401"/>
        <v>23.835483870967749</v>
      </c>
      <c r="O1104" s="46">
        <f t="shared" si="402"/>
        <v>229.72903225806456</v>
      </c>
      <c r="P1104" s="46">
        <f t="shared" si="387"/>
        <v>230.92903225806455</v>
      </c>
      <c r="Q1104" s="46">
        <f t="shared" si="382"/>
        <v>230.32903225806456</v>
      </c>
      <c r="R1104" s="46">
        <f t="shared" si="399"/>
        <v>227.72903225806456</v>
      </c>
      <c r="S1104" s="46">
        <f t="shared" si="399"/>
        <v>228.92903225806455</v>
      </c>
      <c r="T1104" s="62">
        <v>230.8</v>
      </c>
      <c r="U1104" s="46">
        <f t="shared" si="391"/>
        <v>230.8</v>
      </c>
      <c r="V1104" s="18">
        <v>5.1576000000000004</v>
      </c>
      <c r="W1104" s="18">
        <v>1.9864999999999999</v>
      </c>
      <c r="X1104" s="23">
        <v>1.1476266666666699</v>
      </c>
      <c r="Y1104" s="23">
        <f t="shared" si="392"/>
        <v>4.0099733333333303</v>
      </c>
      <c r="Z1104" s="23">
        <f t="shared" si="393"/>
        <v>0.83887333333333003</v>
      </c>
      <c r="AA1104" s="21">
        <f t="shared" si="394"/>
        <v>79.080326386210444</v>
      </c>
      <c r="AB1104" s="21">
        <f t="shared" si="395"/>
        <v>20.919673613789556</v>
      </c>
      <c r="AC1104" s="23">
        <f>Y1104/J1104</f>
        <v>0.9209025210926729</v>
      </c>
      <c r="AD1104" s="23">
        <f>Z1104/J1104</f>
        <v>0.19264980171374665</v>
      </c>
      <c r="AE1104" s="57">
        <v>15.228</v>
      </c>
      <c r="AF1104" s="57">
        <v>15.349</v>
      </c>
      <c r="AG1104" s="57">
        <v>15.241</v>
      </c>
      <c r="AH1104" s="58">
        <f>AG1104-AE1104</f>
        <v>1.2999999999999901E-2</v>
      </c>
      <c r="AI1104" s="59">
        <f>((AF1104-AG1104)/(AF1104-AE1104))*100</f>
        <v>89.256198347107556</v>
      </c>
      <c r="AJ1104" s="26">
        <f t="shared" si="396"/>
        <v>4.4628099173553784</v>
      </c>
      <c r="AK1104" s="26">
        <f t="shared" si="397"/>
        <v>51.593178235322291</v>
      </c>
      <c r="AL1104" s="26">
        <f t="shared" si="398"/>
        <v>4.4637173251053346</v>
      </c>
      <c r="AM1104" s="17">
        <f t="shared" si="388"/>
        <v>0.5780346820809249</v>
      </c>
      <c r="AN1104" s="52"/>
      <c r="AO1104" s="39"/>
      <c r="AP1104" s="18"/>
      <c r="AQ1104" s="17"/>
      <c r="AR1104" s="17"/>
      <c r="AS1104" s="27"/>
      <c r="AT1104" s="17"/>
      <c r="AU1104" s="17"/>
      <c r="AV1104" s="17"/>
      <c r="AW1104" s="17"/>
      <c r="AX1104" s="17"/>
      <c r="BB1104" s="17"/>
    </row>
    <row r="1105" spans="1:54" x14ac:dyDescent="0.2">
      <c r="A1105" s="18" t="s">
        <v>90</v>
      </c>
      <c r="B1105" s="18" t="s">
        <v>91</v>
      </c>
      <c r="C1105" s="18" t="s">
        <v>102</v>
      </c>
      <c r="D1105" s="18" t="str">
        <f t="shared" si="389"/>
        <v>CAT1.1G_211</v>
      </c>
      <c r="E1105" s="55" t="s">
        <v>85</v>
      </c>
      <c r="F1105" s="18">
        <v>211</v>
      </c>
      <c r="G1105" s="18">
        <v>2.2000000000000002</v>
      </c>
      <c r="H1105" s="46">
        <v>2.4</v>
      </c>
      <c r="I1105" s="46">
        <v>1.3</v>
      </c>
      <c r="J1105" s="23">
        <f t="shared" si="390"/>
        <v>5.3984449999999997</v>
      </c>
      <c r="K1105" s="61">
        <v>0.17903225806451625</v>
      </c>
      <c r="L1105" s="45">
        <f t="shared" si="400"/>
        <v>24.614516129032264</v>
      </c>
      <c r="M1105" s="45">
        <f t="shared" si="386"/>
        <v>25.914516129032265</v>
      </c>
      <c r="N1105" s="46">
        <f t="shared" si="401"/>
        <v>25.264516129032266</v>
      </c>
      <c r="O1105" s="46">
        <f t="shared" si="402"/>
        <v>230.92903225806455</v>
      </c>
      <c r="P1105" s="46">
        <f t="shared" si="387"/>
        <v>232.22903225806456</v>
      </c>
      <c r="Q1105" s="46">
        <f t="shared" si="382"/>
        <v>231.57903225806456</v>
      </c>
      <c r="R1105" s="46">
        <f t="shared" si="399"/>
        <v>228.92903225806455</v>
      </c>
      <c r="S1105" s="46">
        <f t="shared" si="399"/>
        <v>230.22903225806456</v>
      </c>
      <c r="T1105" s="62">
        <v>232.3</v>
      </c>
      <c r="U1105" s="46">
        <f t="shared" si="391"/>
        <v>232.3</v>
      </c>
      <c r="V1105" s="18">
        <v>5.6816000000000004</v>
      </c>
      <c r="W1105" s="18">
        <v>2.0973999999999999</v>
      </c>
      <c r="X1105" s="23">
        <v>1.1476266666666699</v>
      </c>
      <c r="Y1105" s="23">
        <f t="shared" si="392"/>
        <v>4.5339733333333303</v>
      </c>
      <c r="Z1105" s="23">
        <f t="shared" si="393"/>
        <v>0.94977333333333003</v>
      </c>
      <c r="AA1105" s="21">
        <f t="shared" si="394"/>
        <v>79.052075001176362</v>
      </c>
      <c r="AB1105" s="21">
        <f t="shared" si="395"/>
        <v>20.947924998823638</v>
      </c>
      <c r="AC1105" s="23">
        <f>Y1105/J1105</f>
        <v>0.83986654181589893</v>
      </c>
      <c r="AD1105" s="23">
        <f>Z1105/J1105</f>
        <v>0.17593461326980828</v>
      </c>
      <c r="AE1105" s="57">
        <v>16.149999999999999</v>
      </c>
      <c r="AF1105" s="57">
        <v>16.387</v>
      </c>
      <c r="AG1105" s="57">
        <v>16.183</v>
      </c>
      <c r="AH1105" s="58">
        <f>AG1105-AE1105</f>
        <v>3.3000000000001251E-2</v>
      </c>
      <c r="AI1105" s="59">
        <f>((AF1105-AG1105)/(AF1105-AE1105))*100</f>
        <v>86.075949367088185</v>
      </c>
      <c r="AJ1105" s="26">
        <f t="shared" si="396"/>
        <v>4.3037974683544098</v>
      </c>
      <c r="AK1105" s="26">
        <f t="shared" si="397"/>
        <v>49.754884027218608</v>
      </c>
      <c r="AL1105" s="26">
        <f t="shared" si="398"/>
        <v>4.3047383949101743</v>
      </c>
      <c r="AM1105" s="17">
        <f t="shared" si="388"/>
        <v>0.5780346820809249</v>
      </c>
      <c r="AN1105" s="52"/>
      <c r="AO1105" s="39"/>
      <c r="AP1105" s="18"/>
      <c r="AQ1105" s="17"/>
      <c r="AR1105" s="17"/>
      <c r="AS1105" s="27"/>
      <c r="AT1105" s="17"/>
      <c r="AU1105" s="17"/>
      <c r="AV1105" s="17"/>
      <c r="AW1105" s="17"/>
      <c r="AX1105" s="17"/>
      <c r="BB1105" s="17"/>
    </row>
    <row r="1106" spans="1:54" x14ac:dyDescent="0.2">
      <c r="A1106" s="18" t="s">
        <v>90</v>
      </c>
      <c r="B1106" s="18" t="s">
        <v>91</v>
      </c>
      <c r="C1106" s="18" t="s">
        <v>102</v>
      </c>
      <c r="D1106" s="18" t="str">
        <f t="shared" si="389"/>
        <v>CAT1.1G_212</v>
      </c>
      <c r="E1106" s="55" t="s">
        <v>85</v>
      </c>
      <c r="F1106" s="18">
        <v>212</v>
      </c>
      <c r="G1106" s="18">
        <v>2.2000000000000002</v>
      </c>
      <c r="H1106" s="46">
        <v>2.2000000000000002</v>
      </c>
      <c r="I1106" s="46">
        <v>1.2</v>
      </c>
      <c r="J1106" s="23">
        <f t="shared" si="390"/>
        <v>4.5592800000000011</v>
      </c>
      <c r="K1106" s="61">
        <v>0.17903225806451625</v>
      </c>
      <c r="L1106" s="45">
        <f t="shared" si="400"/>
        <v>26.093548387096781</v>
      </c>
      <c r="M1106" s="45">
        <f t="shared" si="386"/>
        <v>27.293548387096781</v>
      </c>
      <c r="N1106" s="46">
        <f t="shared" si="401"/>
        <v>26.693548387096783</v>
      </c>
      <c r="O1106" s="46">
        <f t="shared" si="402"/>
        <v>232.22903225806456</v>
      </c>
      <c r="P1106" s="46">
        <f t="shared" si="387"/>
        <v>233.42903225806455</v>
      </c>
      <c r="Q1106" s="46">
        <f t="shared" si="382"/>
        <v>232.82903225806456</v>
      </c>
      <c r="R1106" s="46">
        <f t="shared" si="399"/>
        <v>230.22903225806456</v>
      </c>
      <c r="S1106" s="46">
        <f t="shared" si="399"/>
        <v>231.42903225806455</v>
      </c>
      <c r="T1106" s="62">
        <v>233.7</v>
      </c>
      <c r="U1106" s="46">
        <f t="shared" si="391"/>
        <v>233.7</v>
      </c>
      <c r="V1106" s="18">
        <v>5.7763</v>
      </c>
      <c r="W1106" s="18">
        <v>2.1425999999999998</v>
      </c>
      <c r="X1106" s="23">
        <v>1.1476266666666699</v>
      </c>
      <c r="Y1106" s="23">
        <f t="shared" si="392"/>
        <v>4.6286733333333299</v>
      </c>
      <c r="Z1106" s="23">
        <f t="shared" si="393"/>
        <v>0.99497333333332993</v>
      </c>
      <c r="AA1106" s="21">
        <f t="shared" si="394"/>
        <v>78.504135814293861</v>
      </c>
      <c r="AB1106" s="21">
        <f t="shared" si="395"/>
        <v>21.495864185706139</v>
      </c>
      <c r="AC1106" s="23">
        <f>Y1106/J1106</f>
        <v>1.0152202394530121</v>
      </c>
      <c r="AD1106" s="23">
        <f>Z1106/J1106</f>
        <v>0.21823036385862016</v>
      </c>
      <c r="AE1106" s="57">
        <v>16.745000000000001</v>
      </c>
      <c r="AF1106" s="57">
        <v>17.013000000000002</v>
      </c>
      <c r="AG1106" s="57">
        <v>16.818999999999999</v>
      </c>
      <c r="AH1106" s="58">
        <f>AG1106-AE1106</f>
        <v>7.3999999999998067E-2</v>
      </c>
      <c r="AI1106" s="59">
        <f>((AF1106-AG1106)/(AF1106-AE1106))*100</f>
        <v>72.388059701493319</v>
      </c>
      <c r="AJ1106" s="26">
        <f t="shared" si="396"/>
        <v>3.6194029850746663</v>
      </c>
      <c r="AK1106" s="26">
        <f t="shared" si="397"/>
        <v>41.842809076007704</v>
      </c>
      <c r="AL1106" s="26">
        <f t="shared" si="398"/>
        <v>3.620521781230905</v>
      </c>
      <c r="AM1106" s="17">
        <f t="shared" si="388"/>
        <v>0.5780346820809249</v>
      </c>
      <c r="AN1106" s="52"/>
      <c r="AO1106" s="39"/>
      <c r="AP1106" s="18"/>
      <c r="AQ1106" s="17"/>
      <c r="AR1106" s="17"/>
      <c r="AS1106" s="27"/>
      <c r="AT1106" s="17"/>
      <c r="AU1106" s="17"/>
      <c r="AV1106" s="17"/>
      <c r="AW1106" s="17"/>
      <c r="AX1106" s="17"/>
      <c r="BB1106" s="17"/>
    </row>
    <row r="1107" spans="1:54" x14ac:dyDescent="0.2">
      <c r="A1107" s="18" t="s">
        <v>90</v>
      </c>
      <c r="B1107" s="18" t="s">
        <v>91</v>
      </c>
      <c r="C1107" s="18" t="s">
        <v>102</v>
      </c>
      <c r="D1107" s="18" t="str">
        <f t="shared" si="389"/>
        <v>CAT1.1G_213</v>
      </c>
      <c r="E1107" s="55" t="s">
        <v>85</v>
      </c>
      <c r="F1107" s="18">
        <v>213</v>
      </c>
      <c r="G1107" s="18">
        <v>2.2999999999999998</v>
      </c>
      <c r="H1107" s="46">
        <v>2</v>
      </c>
      <c r="I1107" s="46">
        <v>1.3</v>
      </c>
      <c r="J1107" s="23">
        <f t="shared" si="390"/>
        <v>4.71726125</v>
      </c>
      <c r="K1107" s="61">
        <v>0.17903225806451625</v>
      </c>
      <c r="L1107" s="45">
        <f t="shared" si="400"/>
        <v>27.472580645161297</v>
      </c>
      <c r="M1107" s="45">
        <f t="shared" si="386"/>
        <v>28.772580645161298</v>
      </c>
      <c r="N1107" s="46">
        <f t="shared" si="401"/>
        <v>28.1225806451613</v>
      </c>
      <c r="O1107" s="46">
        <f t="shared" si="402"/>
        <v>233.42903225806455</v>
      </c>
      <c r="P1107" s="46">
        <f t="shared" si="387"/>
        <v>234.72903225806456</v>
      </c>
      <c r="Q1107" s="46">
        <f t="shared" si="382"/>
        <v>234.07903225806456</v>
      </c>
      <c r="R1107" s="46">
        <f t="shared" si="399"/>
        <v>231.42903225806455</v>
      </c>
      <c r="S1107" s="46">
        <f t="shared" si="399"/>
        <v>232.72903225806456</v>
      </c>
      <c r="T1107" s="62">
        <v>235.1</v>
      </c>
      <c r="U1107" s="46">
        <f t="shared" si="391"/>
        <v>235.1</v>
      </c>
      <c r="V1107" s="18">
        <v>6.6521999999999997</v>
      </c>
      <c r="W1107" s="18">
        <v>2.5849000000000002</v>
      </c>
      <c r="X1107" s="23">
        <v>1.1476266666666699</v>
      </c>
      <c r="Y1107" s="23">
        <f t="shared" si="392"/>
        <v>5.5045733333333295</v>
      </c>
      <c r="Z1107" s="23">
        <f t="shared" si="393"/>
        <v>1.4372733333333303</v>
      </c>
      <c r="AA1107" s="21">
        <f t="shared" si="394"/>
        <v>73.889468877999661</v>
      </c>
      <c r="AB1107" s="21">
        <f t="shared" si="395"/>
        <v>26.110531122000339</v>
      </c>
      <c r="AC1107" s="23">
        <f>Y1107/J1107</f>
        <v>1.1669002502953021</v>
      </c>
      <c r="AD1107" s="23">
        <f>Z1107/J1107</f>
        <v>0.30468385301605466</v>
      </c>
      <c r="AE1107" s="57">
        <v>16.48</v>
      </c>
      <c r="AF1107" s="57">
        <v>16.88</v>
      </c>
      <c r="AG1107" s="57">
        <v>16.728999999999999</v>
      </c>
      <c r="AH1107" s="58">
        <f>AG1107-AE1107</f>
        <v>0.24899999999999878</v>
      </c>
      <c r="AI1107" s="59">
        <f>((AF1107-AG1107)/(AF1107-AE1107))*100</f>
        <v>37.750000000000085</v>
      </c>
      <c r="AJ1107" s="26">
        <f t="shared" si="396"/>
        <v>1.8875000000000044</v>
      </c>
      <c r="AK1107" s="26">
        <f t="shared" si="397"/>
        <v>21.820809248554966</v>
      </c>
      <c r="AL1107" s="26">
        <f t="shared" si="398"/>
        <v>1.8896444771437872</v>
      </c>
      <c r="AM1107" s="17">
        <f t="shared" si="388"/>
        <v>0.5780346820809249</v>
      </c>
      <c r="AN1107" s="52"/>
      <c r="AO1107" s="39"/>
      <c r="AP1107" s="18"/>
      <c r="AQ1107" s="17"/>
      <c r="AR1107" s="17"/>
      <c r="AS1107" s="27"/>
      <c r="AT1107" s="17"/>
      <c r="AU1107" s="17"/>
      <c r="AV1107" s="17"/>
      <c r="AW1107" s="17"/>
      <c r="AX1107" s="17"/>
      <c r="BB1107" s="17"/>
    </row>
    <row r="1108" spans="1:54" x14ac:dyDescent="0.2">
      <c r="A1108" s="18" t="s">
        <v>90</v>
      </c>
      <c r="B1108" s="18" t="s">
        <v>91</v>
      </c>
      <c r="C1108" s="18" t="s">
        <v>102</v>
      </c>
      <c r="D1108" s="18" t="str">
        <f t="shared" si="389"/>
        <v>CAT1.1G_214</v>
      </c>
      <c r="E1108" s="55" t="s">
        <v>85</v>
      </c>
      <c r="F1108" s="18">
        <v>214</v>
      </c>
      <c r="G1108" s="18">
        <v>2.35</v>
      </c>
      <c r="H1108" s="46">
        <v>2.2999999999999998</v>
      </c>
      <c r="I1108" s="46">
        <v>1.2</v>
      </c>
      <c r="J1108" s="23">
        <f t="shared" si="390"/>
        <v>5.0920987500000008</v>
      </c>
      <c r="K1108" s="61">
        <v>0.17903225806451625</v>
      </c>
      <c r="L1108" s="45">
        <f t="shared" si="400"/>
        <v>28.951612903225815</v>
      </c>
      <c r="M1108" s="45">
        <f t="shared" si="386"/>
        <v>30.151612903225814</v>
      </c>
      <c r="N1108" s="46">
        <f t="shared" si="401"/>
        <v>29.551612903225816</v>
      </c>
      <c r="O1108" s="46">
        <f t="shared" si="402"/>
        <v>234.72903225806456</v>
      </c>
      <c r="P1108" s="46">
        <f t="shared" si="387"/>
        <v>235.92903225806455</v>
      </c>
      <c r="Q1108" s="46">
        <f t="shared" si="382"/>
        <v>235.32903225806456</v>
      </c>
      <c r="R1108" s="46">
        <f t="shared" si="399"/>
        <v>232.72903225806456</v>
      </c>
      <c r="S1108" s="46">
        <f t="shared" si="399"/>
        <v>233.92903225806455</v>
      </c>
      <c r="T1108" s="62">
        <v>236.6</v>
      </c>
      <c r="U1108" s="46">
        <f t="shared" si="391"/>
        <v>236.6</v>
      </c>
      <c r="V1108" s="18">
        <v>6.6525999999999996</v>
      </c>
      <c r="W1108" s="18">
        <v>2.2130999999999998</v>
      </c>
      <c r="X1108" s="23">
        <v>1.1476266666666699</v>
      </c>
      <c r="Y1108" s="23">
        <f t="shared" si="392"/>
        <v>5.5049733333333295</v>
      </c>
      <c r="Z1108" s="23">
        <f t="shared" si="393"/>
        <v>1.0654733333333299</v>
      </c>
      <c r="AA1108" s="21">
        <f t="shared" si="394"/>
        <v>80.645258953721893</v>
      </c>
      <c r="AB1108" s="21">
        <f t="shared" si="395"/>
        <v>19.354741046278107</v>
      </c>
      <c r="AC1108" s="23">
        <f>Y1108/J1108</f>
        <v>1.0810814172316137</v>
      </c>
      <c r="AD1108" s="23">
        <f>Z1108/J1108</f>
        <v>0.2092405088046122</v>
      </c>
      <c r="AE1108" s="57">
        <v>15.061999999999999</v>
      </c>
      <c r="AF1108" s="57">
        <v>15.353</v>
      </c>
      <c r="AG1108" s="57">
        <v>15.105</v>
      </c>
      <c r="AH1108" s="58">
        <f>AG1108-AE1108</f>
        <v>4.3000000000001037E-2</v>
      </c>
      <c r="AI1108" s="59">
        <f>((AF1108-AG1108)/(AF1108-AE1108))*100</f>
        <v>85.223367697594171</v>
      </c>
      <c r="AJ1108" s="26">
        <f t="shared" si="396"/>
        <v>4.2611683848797091</v>
      </c>
      <c r="AK1108" s="26">
        <f t="shared" si="397"/>
        <v>49.262062252944609</v>
      </c>
      <c r="AL1108" s="26">
        <f t="shared" si="398"/>
        <v>4.2621187224546375</v>
      </c>
      <c r="AM1108" s="17">
        <f t="shared" si="388"/>
        <v>0.5780346820809249</v>
      </c>
      <c r="AN1108" s="52"/>
      <c r="AO1108" s="39"/>
      <c r="AP1108" s="18"/>
      <c r="AQ1108" s="17"/>
      <c r="AR1108" s="17"/>
      <c r="AS1108" s="27"/>
      <c r="AT1108" s="17"/>
      <c r="AU1108" s="17"/>
      <c r="AV1108" s="17"/>
      <c r="AW1108" s="17"/>
      <c r="AX1108" s="17"/>
      <c r="BB1108" s="17"/>
    </row>
    <row r="1109" spans="1:54" x14ac:dyDescent="0.2">
      <c r="A1109" s="18" t="s">
        <v>90</v>
      </c>
      <c r="B1109" s="18" t="s">
        <v>91</v>
      </c>
      <c r="C1109" s="18" t="s">
        <v>102</v>
      </c>
      <c r="D1109" s="18" t="str">
        <f t="shared" si="389"/>
        <v>CAT1.1G_215</v>
      </c>
      <c r="E1109" s="55" t="s">
        <v>85</v>
      </c>
      <c r="F1109" s="18">
        <v>215</v>
      </c>
      <c r="G1109" s="18">
        <v>2.2999999999999998</v>
      </c>
      <c r="H1109" s="46">
        <v>2.1</v>
      </c>
      <c r="I1109" s="18">
        <v>1.25</v>
      </c>
      <c r="J1109" s="23">
        <f t="shared" si="390"/>
        <v>4.7492500000000009</v>
      </c>
      <c r="K1109" s="61">
        <v>0.17903225806451625</v>
      </c>
      <c r="L1109" s="45">
        <f t="shared" si="400"/>
        <v>30.330645161290331</v>
      </c>
      <c r="M1109" s="45">
        <f t="shared" si="386"/>
        <v>31.580645161290331</v>
      </c>
      <c r="N1109" s="46">
        <f t="shared" si="401"/>
        <v>30.955645161290331</v>
      </c>
      <c r="O1109" s="46">
        <f t="shared" si="402"/>
        <v>235.92903225806455</v>
      </c>
      <c r="P1109" s="46">
        <f t="shared" si="387"/>
        <v>237.17903225806455</v>
      </c>
      <c r="Q1109" s="46">
        <f t="shared" si="382"/>
        <v>236.55403225806455</v>
      </c>
      <c r="R1109" s="46">
        <f t="shared" si="399"/>
        <v>233.92903225806455</v>
      </c>
      <c r="S1109" s="46">
        <f t="shared" si="399"/>
        <v>235.17903225806455</v>
      </c>
      <c r="T1109" s="62">
        <v>238</v>
      </c>
      <c r="U1109" s="46">
        <f t="shared" si="391"/>
        <v>238</v>
      </c>
      <c r="V1109" s="18">
        <v>6.2111000000000001</v>
      </c>
      <c r="W1109" s="18">
        <v>2.0807000000000002</v>
      </c>
      <c r="X1109" s="23">
        <v>1.1476266666666699</v>
      </c>
      <c r="Y1109" s="23">
        <f t="shared" si="392"/>
        <v>5.0634733333333299</v>
      </c>
      <c r="Z1109" s="23">
        <f t="shared" si="393"/>
        <v>0.93307333333333031</v>
      </c>
      <c r="AA1109" s="21">
        <f t="shared" si="394"/>
        <v>81.572464750810099</v>
      </c>
      <c r="AB1109" s="21">
        <f t="shared" si="395"/>
        <v>18.427535249189901</v>
      </c>
      <c r="AC1109" s="23">
        <f>Y1109/J1109</f>
        <v>1.0661627274481926</v>
      </c>
      <c r="AD1109" s="23">
        <f>Z1109/J1109</f>
        <v>0.19646751241424018</v>
      </c>
      <c r="AE1109" s="57">
        <v>14.766999999999999</v>
      </c>
      <c r="AF1109" s="57">
        <v>15.028</v>
      </c>
      <c r="AG1109" s="57">
        <v>14.79</v>
      </c>
      <c r="AH1109" s="58">
        <f>AG1109-AE1109</f>
        <v>2.2999999999999687E-2</v>
      </c>
      <c r="AI1109" s="59">
        <f>((AF1109-AG1109)/(AF1109-AE1109))*100</f>
        <v>91.187739463601687</v>
      </c>
      <c r="AJ1109" s="26">
        <f t="shared" si="396"/>
        <v>4.5593869731800849</v>
      </c>
      <c r="AK1109" s="26">
        <f t="shared" si="397"/>
        <v>52.709675990521212</v>
      </c>
      <c r="AL1109" s="26">
        <f t="shared" si="398"/>
        <v>4.5602751639790613</v>
      </c>
      <c r="AM1109" s="17">
        <f t="shared" si="388"/>
        <v>0.5780346820809249</v>
      </c>
      <c r="AN1109" s="52"/>
      <c r="AO1109" s="39"/>
      <c r="AP1109" s="18"/>
      <c r="AQ1109" s="17"/>
      <c r="AR1109" s="17"/>
      <c r="AS1109" s="27"/>
      <c r="AT1109" s="17"/>
      <c r="AU1109" s="17"/>
      <c r="AV1109" s="17"/>
      <c r="AW1109" s="17"/>
      <c r="AX1109" s="17"/>
      <c r="BB1109" s="17"/>
    </row>
    <row r="1110" spans="1:54" x14ac:dyDescent="0.2">
      <c r="A1110" s="18" t="s">
        <v>90</v>
      </c>
      <c r="B1110" s="18" t="s">
        <v>91</v>
      </c>
      <c r="C1110" s="18" t="s">
        <v>102</v>
      </c>
      <c r="D1110" s="18" t="str">
        <f t="shared" si="389"/>
        <v>CAT1.1G_216</v>
      </c>
      <c r="E1110" s="55" t="s">
        <v>85</v>
      </c>
      <c r="F1110" s="18">
        <v>216</v>
      </c>
      <c r="G1110" s="18">
        <v>2.2000000000000002</v>
      </c>
      <c r="H1110" s="46">
        <v>2.5</v>
      </c>
      <c r="I1110" s="46">
        <v>1.35</v>
      </c>
      <c r="J1110" s="23">
        <f t="shared" si="390"/>
        <v>5.852469375000001</v>
      </c>
      <c r="K1110" s="61">
        <v>0.17903225806451625</v>
      </c>
      <c r="L1110" s="45">
        <f t="shared" si="400"/>
        <v>31.759677419354848</v>
      </c>
      <c r="M1110" s="45">
        <f t="shared" si="386"/>
        <v>33.109677419354846</v>
      </c>
      <c r="N1110" s="46">
        <f t="shared" si="401"/>
        <v>32.434677419354848</v>
      </c>
      <c r="O1110" s="46">
        <f t="shared" si="402"/>
        <v>237.17903225806455</v>
      </c>
      <c r="P1110" s="46">
        <f t="shared" si="387"/>
        <v>238.52903225806455</v>
      </c>
      <c r="Q1110" s="46">
        <f t="shared" si="382"/>
        <v>237.85403225806454</v>
      </c>
      <c r="R1110" s="46">
        <f t="shared" si="399"/>
        <v>235.17903225806455</v>
      </c>
      <c r="S1110" s="46">
        <f t="shared" si="399"/>
        <v>236.52903225806455</v>
      </c>
      <c r="T1110" s="62">
        <v>239.4</v>
      </c>
      <c r="U1110" s="46">
        <f t="shared" si="391"/>
        <v>239.4</v>
      </c>
      <c r="V1110" s="18">
        <v>6.7630999999999997</v>
      </c>
      <c r="W1110" s="18">
        <v>2.0347</v>
      </c>
      <c r="X1110" s="23">
        <v>1.1476266666666699</v>
      </c>
      <c r="Y1110" s="23">
        <f t="shared" si="392"/>
        <v>5.6154733333333295</v>
      </c>
      <c r="Z1110" s="23">
        <f t="shared" si="393"/>
        <v>0.88707333333333005</v>
      </c>
      <c r="AA1110" s="21">
        <f t="shared" si="394"/>
        <v>84.203053230300611</v>
      </c>
      <c r="AB1110" s="21">
        <f t="shared" si="395"/>
        <v>15.796946769699389</v>
      </c>
      <c r="AC1110" s="23">
        <f>Y1110/J1110</f>
        <v>0.95950494970908384</v>
      </c>
      <c r="AD1110" s="23">
        <f>Z1110/J1110</f>
        <v>0.15157248615817487</v>
      </c>
      <c r="AE1110" s="57">
        <v>15.951000000000001</v>
      </c>
      <c r="AF1110" s="57">
        <v>16.167000000000002</v>
      </c>
      <c r="AG1110" s="57">
        <v>15.961</v>
      </c>
      <c r="AH1110" s="58">
        <f>AG1110-AE1110</f>
        <v>9.9999999999997868E-3</v>
      </c>
      <c r="AI1110" s="59">
        <f>((AF1110-AG1110)/(AF1110-AE1110))*100</f>
        <v>95.370370370370495</v>
      </c>
      <c r="AJ1110" s="26">
        <f t="shared" si="396"/>
        <v>4.7685185185185253</v>
      </c>
      <c r="AK1110" s="26">
        <f t="shared" si="397"/>
        <v>55.127381716977169</v>
      </c>
      <c r="AL1110" s="26">
        <f t="shared" si="398"/>
        <v>4.7693677632841558</v>
      </c>
      <c r="AM1110" s="17">
        <f t="shared" si="388"/>
        <v>0.5780346820809249</v>
      </c>
      <c r="AN1110" s="52"/>
      <c r="AO1110" s="39"/>
      <c r="AP1110" s="18"/>
      <c r="AQ1110" s="17"/>
      <c r="AR1110" s="17"/>
      <c r="AS1110" s="27"/>
      <c r="AT1110" s="17"/>
      <c r="AU1110" s="17"/>
      <c r="AV1110" s="17"/>
      <c r="AW1110" s="17"/>
      <c r="AX1110" s="17"/>
      <c r="BB1110" s="17"/>
    </row>
    <row r="1111" spans="1:54" x14ac:dyDescent="0.2">
      <c r="A1111" s="18" t="s">
        <v>90</v>
      </c>
      <c r="B1111" s="18" t="s">
        <v>91</v>
      </c>
      <c r="C1111" s="18" t="s">
        <v>102</v>
      </c>
      <c r="D1111" s="18" t="str">
        <f t="shared" si="389"/>
        <v>CAT1.1G_217</v>
      </c>
      <c r="E1111" s="55" t="s">
        <v>85</v>
      </c>
      <c r="F1111" s="18">
        <v>217</v>
      </c>
      <c r="G1111" s="18">
        <v>2.4500000000000002</v>
      </c>
      <c r="H1111" s="46">
        <v>2.2000000000000002</v>
      </c>
      <c r="I1111" s="46">
        <v>1.4</v>
      </c>
      <c r="J1111" s="23">
        <f t="shared" si="390"/>
        <v>5.9407818750000008</v>
      </c>
      <c r="K1111" s="61">
        <v>0.17903225806451625</v>
      </c>
      <c r="L1111" s="45">
        <f t="shared" si="400"/>
        <v>33.288709677419362</v>
      </c>
      <c r="M1111" s="45">
        <f t="shared" si="386"/>
        <v>34.688709677419361</v>
      </c>
      <c r="N1111" s="46">
        <f t="shared" si="401"/>
        <v>33.988709677419365</v>
      </c>
      <c r="O1111" s="46">
        <f t="shared" si="402"/>
        <v>238.52903225806455</v>
      </c>
      <c r="P1111" s="46">
        <f t="shared" si="387"/>
        <v>239.92903225806455</v>
      </c>
      <c r="Q1111" s="46">
        <f t="shared" si="382"/>
        <v>239.22903225806454</v>
      </c>
      <c r="R1111" s="46">
        <f t="shared" si="399"/>
        <v>236.52903225806455</v>
      </c>
      <c r="S1111" s="46">
        <f t="shared" si="399"/>
        <v>237.92903225806455</v>
      </c>
      <c r="T1111" s="62">
        <v>241</v>
      </c>
      <c r="U1111" s="46">
        <f t="shared" si="391"/>
        <v>241</v>
      </c>
      <c r="V1111" s="18">
        <v>7.2377000000000002</v>
      </c>
      <c r="W1111" s="18">
        <v>2.1876000000000002</v>
      </c>
      <c r="X1111" s="23">
        <v>1.1476266666666699</v>
      </c>
      <c r="Y1111" s="23">
        <f t="shared" si="392"/>
        <v>6.0900733333333301</v>
      </c>
      <c r="Z1111" s="23">
        <f t="shared" si="393"/>
        <v>1.0399733333333303</v>
      </c>
      <c r="AA1111" s="21">
        <f t="shared" si="394"/>
        <v>82.923467807174774</v>
      </c>
      <c r="AB1111" s="21">
        <f t="shared" si="395"/>
        <v>17.076532192825226</v>
      </c>
      <c r="AC1111" s="23">
        <f>Y1111/J1111</f>
        <v>1.025129934320864</v>
      </c>
      <c r="AD1111" s="23">
        <f>Z1111/J1111</f>
        <v>0.1750566432525904</v>
      </c>
      <c r="AE1111" s="57">
        <v>16.175000000000001</v>
      </c>
      <c r="AF1111" s="57">
        <v>16.399999999999999</v>
      </c>
      <c r="AG1111" s="57">
        <v>16.183</v>
      </c>
      <c r="AH1111" s="58">
        <f>AG1111-AE1111</f>
        <v>7.9999999999991189E-3</v>
      </c>
      <c r="AI1111" s="59">
        <f>((AF1111-AG1111)/(AF1111-AE1111))*100</f>
        <v>96.444444444444798</v>
      </c>
      <c r="AJ1111" s="26">
        <f t="shared" si="396"/>
        <v>4.8222222222222406</v>
      </c>
      <c r="AK1111" s="26">
        <f t="shared" si="397"/>
        <v>55.748233782916074</v>
      </c>
      <c r="AL1111" s="26">
        <f t="shared" si="398"/>
        <v>4.8230620108489175</v>
      </c>
      <c r="AM1111" s="17">
        <f t="shared" si="388"/>
        <v>0.5780346820809249</v>
      </c>
      <c r="AN1111" s="52"/>
      <c r="AO1111" s="39"/>
      <c r="AP1111" s="18"/>
      <c r="AQ1111" s="17"/>
      <c r="AR1111" s="17"/>
      <c r="AS1111" s="27"/>
      <c r="AT1111" s="17"/>
      <c r="AU1111" s="17"/>
      <c r="AV1111" s="17"/>
      <c r="AW1111" s="17"/>
      <c r="AX1111" s="17"/>
      <c r="BB1111" s="17"/>
    </row>
    <row r="1112" spans="1:54" x14ac:dyDescent="0.2">
      <c r="A1112" s="18" t="s">
        <v>90</v>
      </c>
      <c r="B1112" s="18" t="s">
        <v>91</v>
      </c>
      <c r="C1112" s="18" t="s">
        <v>102</v>
      </c>
      <c r="D1112" s="18" t="str">
        <f t="shared" si="389"/>
        <v>CAT1.1G_218</v>
      </c>
      <c r="E1112" s="55" t="s">
        <v>85</v>
      </c>
      <c r="F1112" s="18">
        <v>218</v>
      </c>
      <c r="G1112" s="18">
        <v>2.2999999999999998</v>
      </c>
      <c r="H1112" s="46">
        <v>2.4</v>
      </c>
      <c r="I1112" s="46">
        <v>1.4</v>
      </c>
      <c r="J1112" s="23">
        <f t="shared" si="390"/>
        <v>6.0692274999999984</v>
      </c>
      <c r="K1112" s="61">
        <v>0.17903225806451625</v>
      </c>
      <c r="L1112" s="45">
        <f t="shared" si="400"/>
        <v>34.867741935483878</v>
      </c>
      <c r="M1112" s="45">
        <f t="shared" si="386"/>
        <v>36.267741935483876</v>
      </c>
      <c r="N1112" s="46">
        <f t="shared" si="401"/>
        <v>35.56774193548388</v>
      </c>
      <c r="O1112" s="46">
        <f t="shared" si="402"/>
        <v>239.92903225806455</v>
      </c>
      <c r="P1112" s="46">
        <f t="shared" si="387"/>
        <v>241.32903225806456</v>
      </c>
      <c r="Q1112" s="46">
        <f t="shared" si="382"/>
        <v>240.62903225806457</v>
      </c>
      <c r="R1112" s="46">
        <f t="shared" si="399"/>
        <v>237.92903225806455</v>
      </c>
      <c r="S1112" s="46">
        <f t="shared" si="399"/>
        <v>239.32903225806456</v>
      </c>
      <c r="T1112" s="62">
        <v>242.6</v>
      </c>
      <c r="U1112" s="46">
        <f t="shared" si="391"/>
        <v>242.6</v>
      </c>
      <c r="V1112" s="18">
        <v>7.0110000000000001</v>
      </c>
      <c r="W1112" s="18">
        <v>2.0870000000000002</v>
      </c>
      <c r="X1112" s="23">
        <v>1.1476266666666699</v>
      </c>
      <c r="Y1112" s="23">
        <f t="shared" si="392"/>
        <v>5.86337333333333</v>
      </c>
      <c r="Z1112" s="23">
        <f t="shared" si="393"/>
        <v>0.93937333333333028</v>
      </c>
      <c r="AA1112" s="21">
        <f>((Y1112-Z1112)/Y1112)*100</f>
        <v>83.978960916696451</v>
      </c>
      <c r="AB1112" s="21">
        <f t="shared" si="395"/>
        <v>16.021039083303549</v>
      </c>
      <c r="AC1112" s="23">
        <f>Y1112/J1112</f>
        <v>0.96608231168354319</v>
      </c>
      <c r="AD1112" s="23">
        <f>Z1112/J1112</f>
        <v>0.15477642473170275</v>
      </c>
      <c r="AE1112" s="57">
        <v>17.427</v>
      </c>
      <c r="AF1112" s="57">
        <v>17.678000000000001</v>
      </c>
      <c r="AG1112" s="57">
        <v>17.436</v>
      </c>
      <c r="AH1112" s="58">
        <f>AG1112-AE1112</f>
        <v>9.0000000000003411E-3</v>
      </c>
      <c r="AI1112" s="59">
        <f>((AF1112-AG1112)/(AF1112-AE1112))*100</f>
        <v>96.414342629481951</v>
      </c>
      <c r="AJ1112" s="26">
        <f t="shared" si="396"/>
        <v>4.8207171314740975</v>
      </c>
      <c r="AK1112" s="26">
        <f t="shared" si="397"/>
        <v>55.730833889873963</v>
      </c>
      <c r="AL1112" s="26">
        <f t="shared" si="398"/>
        <v>4.8215571822480596</v>
      </c>
      <c r="AM1112" s="17">
        <f t="shared" si="388"/>
        <v>0.5780346820809249</v>
      </c>
      <c r="AN1112" s="52"/>
      <c r="AO1112" s="39"/>
      <c r="AP1112" s="18"/>
      <c r="AQ1112" s="17"/>
      <c r="AR1112" s="17"/>
      <c r="AS1112" s="27"/>
      <c r="AT1112" s="17"/>
      <c r="AU1112" s="17"/>
      <c r="AV1112" s="17"/>
      <c r="AW1112" s="17"/>
      <c r="AX1112" s="17"/>
      <c r="BB1112" s="17"/>
    </row>
    <row r="1113" spans="1:54" x14ac:dyDescent="0.2">
      <c r="A1113" s="18" t="s">
        <v>90</v>
      </c>
      <c r="B1113" s="18" t="s">
        <v>91</v>
      </c>
      <c r="C1113" s="18" t="s">
        <v>102</v>
      </c>
      <c r="D1113" s="18" t="str">
        <f t="shared" si="389"/>
        <v>CAT1.1G_219</v>
      </c>
      <c r="E1113" s="55" t="s">
        <v>85</v>
      </c>
      <c r="F1113" s="18">
        <v>219</v>
      </c>
      <c r="G1113" s="18">
        <v>2.2000000000000002</v>
      </c>
      <c r="H1113" s="46">
        <v>2.2000000000000002</v>
      </c>
      <c r="I1113" s="46">
        <v>1.2</v>
      </c>
      <c r="J1113" s="23">
        <f t="shared" si="390"/>
        <v>4.5592800000000011</v>
      </c>
      <c r="K1113" s="61">
        <v>0.17903225806451625</v>
      </c>
      <c r="L1113" s="45">
        <f t="shared" si="400"/>
        <v>36.446774193548393</v>
      </c>
      <c r="M1113" s="45">
        <f t="shared" si="386"/>
        <v>37.646774193548396</v>
      </c>
      <c r="N1113" s="46">
        <f t="shared" si="401"/>
        <v>37.046774193548394</v>
      </c>
      <c r="O1113" s="46">
        <f t="shared" si="402"/>
        <v>241.32903225806456</v>
      </c>
      <c r="P1113" s="46">
        <f t="shared" si="387"/>
        <v>242.52903225806455</v>
      </c>
      <c r="Q1113" s="46">
        <f t="shared" si="382"/>
        <v>241.92903225806455</v>
      </c>
      <c r="R1113" s="46">
        <f t="shared" si="399"/>
        <v>239.32903225806456</v>
      </c>
      <c r="S1113" s="46">
        <f t="shared" si="399"/>
        <v>240.52903225806455</v>
      </c>
      <c r="T1113" s="62">
        <v>244</v>
      </c>
      <c r="U1113" s="46">
        <f t="shared" si="391"/>
        <v>244</v>
      </c>
      <c r="V1113" s="18">
        <v>5.7793000000000001</v>
      </c>
      <c r="W1113" s="18">
        <v>2.9275000000000002</v>
      </c>
      <c r="X1113" s="23">
        <v>1.1476266666666699</v>
      </c>
      <c r="Y1113" s="23">
        <f t="shared" si="392"/>
        <v>4.63167333333333</v>
      </c>
      <c r="Z1113" s="23">
        <f t="shared" si="393"/>
        <v>1.7798733333333303</v>
      </c>
      <c r="AA1113" s="21">
        <f t="shared" si="394"/>
        <v>61.571699788845258</v>
      </c>
      <c r="AB1113" s="21">
        <f t="shared" si="395"/>
        <v>38.428300211154742</v>
      </c>
      <c r="AC1113" s="23">
        <f>Y1113/J1113</f>
        <v>1.0158782380843749</v>
      </c>
      <c r="AD1113" s="23">
        <f>Z1113/J1113</f>
        <v>0.39038473911085303</v>
      </c>
      <c r="AE1113" s="57">
        <v>15.654</v>
      </c>
      <c r="AF1113" s="57">
        <v>15.932</v>
      </c>
      <c r="AG1113" s="57">
        <v>15.666</v>
      </c>
      <c r="AH1113" s="58">
        <f>AG1113-AE1113</f>
        <v>1.2000000000000455E-2</v>
      </c>
      <c r="AI1113" s="59">
        <f>((AF1113-AG1113)/(AF1113-AE1113))*100</f>
        <v>95.683453237409921</v>
      </c>
      <c r="AJ1113" s="26">
        <f t="shared" si="396"/>
        <v>4.7841726618704961</v>
      </c>
      <c r="AK1113" s="26">
        <f t="shared" si="397"/>
        <v>55.308354472491288</v>
      </c>
      <c r="AL1113" s="26">
        <f t="shared" si="398"/>
        <v>4.7850191283409753</v>
      </c>
      <c r="AM1113" s="17">
        <f t="shared" si="388"/>
        <v>0.5780346820809249</v>
      </c>
      <c r="AN1113" s="52"/>
      <c r="AO1113" s="39"/>
      <c r="AP1113" s="18"/>
      <c r="AQ1113" s="17"/>
      <c r="AR1113" s="17"/>
      <c r="AS1113" s="27"/>
      <c r="AT1113" s="17"/>
      <c r="AU1113" s="17"/>
      <c r="AV1113" s="17"/>
      <c r="AW1113" s="17"/>
      <c r="AX1113" s="17"/>
      <c r="BB1113" s="17"/>
    </row>
    <row r="1114" spans="1:54" x14ac:dyDescent="0.2">
      <c r="A1114" s="18" t="s">
        <v>90</v>
      </c>
      <c r="B1114" s="18" t="s">
        <v>91</v>
      </c>
      <c r="C1114" s="18" t="s">
        <v>102</v>
      </c>
      <c r="D1114" s="18" t="str">
        <f t="shared" si="389"/>
        <v>CAT1.1G_220</v>
      </c>
      <c r="E1114" s="55" t="s">
        <v>85</v>
      </c>
      <c r="F1114" s="18">
        <v>220</v>
      </c>
      <c r="G1114" s="18">
        <v>2.2999999999999998</v>
      </c>
      <c r="H1114" s="46">
        <v>2.2999999999999998</v>
      </c>
      <c r="I1114" s="46">
        <v>1.3</v>
      </c>
      <c r="J1114" s="23">
        <f t="shared" si="390"/>
        <v>5.3984449999999997</v>
      </c>
      <c r="K1114" s="61">
        <v>0.17903225806451625</v>
      </c>
      <c r="L1114" s="45">
        <f t="shared" si="400"/>
        <v>37.825806451612912</v>
      </c>
      <c r="M1114" s="45">
        <f t="shared" si="386"/>
        <v>39.12580645161291</v>
      </c>
      <c r="N1114" s="46">
        <f t="shared" si="401"/>
        <v>38.475806451612911</v>
      </c>
      <c r="O1114" s="46">
        <f t="shared" si="402"/>
        <v>242.52903225806455</v>
      </c>
      <c r="P1114" s="46">
        <f t="shared" si="387"/>
        <v>243.82903225806456</v>
      </c>
      <c r="Q1114" s="46">
        <f t="shared" si="382"/>
        <v>243.17903225806455</v>
      </c>
      <c r="R1114" s="46">
        <f t="shared" si="399"/>
        <v>240.52903225806455</v>
      </c>
      <c r="S1114" s="46">
        <f t="shared" si="399"/>
        <v>241.82903225806456</v>
      </c>
      <c r="T1114" s="62">
        <v>245.5</v>
      </c>
      <c r="U1114" s="46">
        <f t="shared" si="391"/>
        <v>245.5</v>
      </c>
      <c r="V1114" s="18">
        <v>6.2156000000000002</v>
      </c>
      <c r="W1114" s="18">
        <v>2.1595</v>
      </c>
      <c r="X1114" s="23">
        <v>1.1476266666666699</v>
      </c>
      <c r="Y1114" s="23">
        <f t="shared" si="392"/>
        <v>5.0679733333333301</v>
      </c>
      <c r="Z1114" s="23">
        <f t="shared" si="393"/>
        <v>1.0118733333333301</v>
      </c>
      <c r="AA1114" s="21">
        <f t="shared" si="394"/>
        <v>80.033964924835217</v>
      </c>
      <c r="AB1114" s="21">
        <f t="shared" si="395"/>
        <v>19.966035075164783</v>
      </c>
      <c r="AC1114" s="23">
        <f>Y1114/J1114</f>
        <v>0.93878391524472893</v>
      </c>
      <c r="AD1114" s="23">
        <f>Z1114/J1114</f>
        <v>0.18743792579776772</v>
      </c>
      <c r="AE1114" s="57">
        <v>16.061</v>
      </c>
      <c r="AF1114" s="57">
        <v>16.343</v>
      </c>
      <c r="AG1114" s="57">
        <v>16.091000000000001</v>
      </c>
      <c r="AH1114" s="58">
        <f>AG1114-AE1114</f>
        <v>3.0000000000001137E-2</v>
      </c>
      <c r="AI1114" s="59">
        <f>((AF1114-AG1114)/(AF1114-AE1114))*100</f>
        <v>89.361702127659171</v>
      </c>
      <c r="AJ1114" s="26">
        <f t="shared" si="396"/>
        <v>4.4680851063829587</v>
      </c>
      <c r="AK1114" s="26">
        <f t="shared" si="397"/>
        <v>51.654163079571781</v>
      </c>
      <c r="AL1114" s="26">
        <f t="shared" si="398"/>
        <v>4.4689914430306548</v>
      </c>
      <c r="AM1114" s="17">
        <f t="shared" si="388"/>
        <v>0.5780346820809249</v>
      </c>
      <c r="AN1114" s="52"/>
      <c r="AO1114" s="39"/>
      <c r="AP1114" s="18"/>
      <c r="AQ1114" s="17"/>
      <c r="AR1114" s="17"/>
      <c r="AS1114" s="27"/>
      <c r="AT1114" s="17"/>
      <c r="AU1114" s="17"/>
      <c r="AV1114" s="17"/>
      <c r="AW1114" s="17"/>
      <c r="AX1114" s="17"/>
      <c r="BB1114" s="17"/>
    </row>
    <row r="1115" spans="1:54" x14ac:dyDescent="0.2">
      <c r="A1115" s="18" t="s">
        <v>90</v>
      </c>
      <c r="B1115" s="18" t="s">
        <v>91</v>
      </c>
      <c r="C1115" s="18" t="s">
        <v>102</v>
      </c>
      <c r="D1115" s="18" t="str">
        <f t="shared" si="389"/>
        <v>CAT1.1G_221</v>
      </c>
      <c r="E1115" s="55" t="s">
        <v>85</v>
      </c>
      <c r="F1115" s="18">
        <v>221</v>
      </c>
      <c r="G1115" s="18">
        <v>2.4</v>
      </c>
      <c r="H1115" s="46">
        <v>2.1</v>
      </c>
      <c r="I1115" s="46">
        <v>1.4</v>
      </c>
      <c r="J1115" s="23">
        <f t="shared" si="390"/>
        <v>5.5636875000000003</v>
      </c>
      <c r="K1115" s="61">
        <v>0.17903225806451625</v>
      </c>
      <c r="L1115" s="45">
        <f t="shared" si="400"/>
        <v>39.304838709677426</v>
      </c>
      <c r="M1115" s="45">
        <f t="shared" si="386"/>
        <v>40.704838709677425</v>
      </c>
      <c r="N1115" s="46">
        <f t="shared" si="401"/>
        <v>40.004838709677429</v>
      </c>
      <c r="O1115" s="46">
        <f t="shared" si="402"/>
        <v>243.82903225806456</v>
      </c>
      <c r="P1115" s="46">
        <f t="shared" si="387"/>
        <v>245.22903225806456</v>
      </c>
      <c r="Q1115" s="46">
        <f t="shared" si="382"/>
        <v>244.52903225806455</v>
      </c>
      <c r="R1115" s="46">
        <f t="shared" si="399"/>
        <v>241.82903225806456</v>
      </c>
      <c r="S1115" s="46">
        <f t="shared" si="399"/>
        <v>243.22903225806456</v>
      </c>
      <c r="T1115" s="62">
        <v>247</v>
      </c>
      <c r="U1115" s="46">
        <f t="shared" si="391"/>
        <v>247</v>
      </c>
      <c r="V1115" s="18">
        <v>6.6197999999999997</v>
      </c>
      <c r="W1115" s="18">
        <v>2.3391000000000002</v>
      </c>
      <c r="X1115" s="23">
        <v>1.1476266666666699</v>
      </c>
      <c r="Y1115" s="23">
        <f t="shared" si="392"/>
        <v>5.4721733333333296</v>
      </c>
      <c r="Z1115" s="23">
        <f t="shared" si="393"/>
        <v>1.1914733333333303</v>
      </c>
      <c r="AA1115" s="21">
        <f t="shared" si="394"/>
        <v>78.226688725747039</v>
      </c>
      <c r="AB1115" s="21">
        <f t="shared" si="395"/>
        <v>21.773311274252961</v>
      </c>
      <c r="AC1115" s="23">
        <f>Y1115/J1115</f>
        <v>0.98355152645315347</v>
      </c>
      <c r="AD1115" s="23">
        <f>Z1115/J1115</f>
        <v>0.21415173539731161</v>
      </c>
      <c r="AE1115" s="57">
        <v>17.439</v>
      </c>
      <c r="AF1115" s="57">
        <v>17.617999999999999</v>
      </c>
      <c r="AG1115" s="57">
        <v>17.463000000000001</v>
      </c>
      <c r="AH1115" s="58">
        <f>AG1115-AE1115</f>
        <v>2.4000000000000909E-2</v>
      </c>
      <c r="AI1115" s="59">
        <f>((AF1115-AG1115)/(AF1115-AE1115))*100</f>
        <v>86.592178770949104</v>
      </c>
      <c r="AJ1115" s="26">
        <f t="shared" si="396"/>
        <v>4.3296089385474552</v>
      </c>
      <c r="AK1115" s="26">
        <f t="shared" si="397"/>
        <v>50.053282526560182</v>
      </c>
      <c r="AL1115" s="26">
        <f t="shared" si="398"/>
        <v>4.3305442568746511</v>
      </c>
      <c r="AM1115" s="17">
        <f t="shared" si="388"/>
        <v>0.5780346820809249</v>
      </c>
      <c r="AN1115" s="52"/>
      <c r="AO1115" s="39"/>
      <c r="AP1115" s="18"/>
      <c r="AQ1115" s="17"/>
      <c r="AR1115" s="17"/>
      <c r="AS1115" s="27"/>
      <c r="AT1115" s="17"/>
      <c r="AU1115" s="17"/>
      <c r="AV1115" s="17"/>
      <c r="AW1115" s="17"/>
      <c r="AX1115" s="17"/>
      <c r="BB1115" s="17"/>
    </row>
    <row r="1116" spans="1:54" x14ac:dyDescent="0.2">
      <c r="A1116" s="18" t="s">
        <v>90</v>
      </c>
      <c r="B1116" s="18" t="s">
        <v>91</v>
      </c>
      <c r="C1116" s="18" t="s">
        <v>102</v>
      </c>
      <c r="D1116" s="18" t="str">
        <f t="shared" si="389"/>
        <v>CAT1.1G_222</v>
      </c>
      <c r="E1116" s="55" t="s">
        <v>85</v>
      </c>
      <c r="F1116" s="18">
        <v>222</v>
      </c>
      <c r="G1116" s="18">
        <v>2.1</v>
      </c>
      <c r="H1116" s="46">
        <v>2.1</v>
      </c>
      <c r="I1116" s="46">
        <v>1.2</v>
      </c>
      <c r="J1116" s="23">
        <f t="shared" si="390"/>
        <v>4.1542200000000005</v>
      </c>
      <c r="K1116" s="61">
        <v>0.17903225806451625</v>
      </c>
      <c r="L1116" s="45">
        <f t="shared" si="400"/>
        <v>40.883870967741942</v>
      </c>
      <c r="M1116" s="45">
        <f t="shared" si="386"/>
        <v>42.083870967741944</v>
      </c>
      <c r="N1116" s="46">
        <f t="shared" si="401"/>
        <v>41.483870967741943</v>
      </c>
      <c r="O1116" s="46">
        <f t="shared" si="402"/>
        <v>245.22903225806456</v>
      </c>
      <c r="P1116" s="46">
        <f t="shared" si="387"/>
        <v>246.42903225806455</v>
      </c>
      <c r="Q1116" s="46">
        <f t="shared" si="382"/>
        <v>245.82903225806456</v>
      </c>
      <c r="R1116" s="46">
        <f t="shared" si="399"/>
        <v>243.22903225806456</v>
      </c>
      <c r="S1116" s="46">
        <f t="shared" si="399"/>
        <v>244.42903225806455</v>
      </c>
      <c r="T1116" s="62">
        <v>248.5</v>
      </c>
      <c r="U1116" s="46">
        <f t="shared" si="391"/>
        <v>248.5</v>
      </c>
      <c r="V1116" s="18">
        <v>5.1988000000000003</v>
      </c>
      <c r="W1116" s="18">
        <v>2.0678000000000001</v>
      </c>
      <c r="X1116" s="23">
        <v>1.1476266666666699</v>
      </c>
      <c r="Y1116" s="23">
        <f t="shared" si="392"/>
        <v>4.0511733333333302</v>
      </c>
      <c r="Z1116" s="23">
        <f t="shared" si="393"/>
        <v>0.92017333333333018</v>
      </c>
      <c r="AA1116" s="21">
        <f t="shared" si="394"/>
        <v>77.286251225982326</v>
      </c>
      <c r="AB1116" s="21">
        <f t="shared" si="395"/>
        <v>22.713748774017674</v>
      </c>
      <c r="AC1116" s="23">
        <f>Y1116/J1116</f>
        <v>0.97519470161265642</v>
      </c>
      <c r="AD1116" s="23">
        <f>Z1116/J1116</f>
        <v>0.22150327458183006</v>
      </c>
      <c r="AE1116" s="57">
        <v>16.477</v>
      </c>
      <c r="AF1116" s="57">
        <v>16.670000000000002</v>
      </c>
      <c r="AG1116" s="57">
        <v>16.506</v>
      </c>
      <c r="AH1116" s="58">
        <f>AG1116-AE1116</f>
        <v>2.8999999999999915E-2</v>
      </c>
      <c r="AI1116" s="59">
        <f>((AF1116-AG1116)/(AF1116-AE1116))*100</f>
        <v>84.974093264248864</v>
      </c>
      <c r="AJ1116" s="26">
        <f t="shared" si="396"/>
        <v>4.2487046632124432</v>
      </c>
      <c r="AK1116" s="26">
        <f t="shared" si="397"/>
        <v>49.117972985114953</v>
      </c>
      <c r="AL1116" s="26">
        <f t="shared" si="398"/>
        <v>4.2496577880110724</v>
      </c>
      <c r="AM1116" s="17">
        <f t="shared" si="388"/>
        <v>0.5780346820809249</v>
      </c>
      <c r="AN1116" s="52"/>
      <c r="AO1116" s="39"/>
      <c r="AP1116" s="18"/>
      <c r="AQ1116" s="17"/>
      <c r="AR1116" s="17"/>
      <c r="AS1116" s="27"/>
      <c r="AT1116" s="17"/>
      <c r="AU1116" s="17"/>
      <c r="AV1116" s="17"/>
      <c r="AW1116" s="17"/>
      <c r="AX1116" s="17"/>
      <c r="BB1116" s="17"/>
    </row>
    <row r="1117" spans="1:54" x14ac:dyDescent="0.2">
      <c r="A1117" s="18" t="s">
        <v>90</v>
      </c>
      <c r="B1117" s="18" t="s">
        <v>91</v>
      </c>
      <c r="C1117" s="18" t="s">
        <v>102</v>
      </c>
      <c r="D1117" s="18" t="str">
        <f t="shared" si="389"/>
        <v>CAT1.1G_223</v>
      </c>
      <c r="E1117" s="55" t="s">
        <v>85</v>
      </c>
      <c r="F1117" s="18">
        <v>223</v>
      </c>
      <c r="G1117" s="18">
        <v>2.4</v>
      </c>
      <c r="H1117" s="46">
        <v>2.1</v>
      </c>
      <c r="I1117" s="46">
        <v>1.1000000000000001</v>
      </c>
      <c r="J1117" s="23">
        <f t="shared" si="390"/>
        <v>4.3714687500000009</v>
      </c>
      <c r="K1117" s="61">
        <v>0.17903225806451625</v>
      </c>
      <c r="L1117" s="45">
        <f t="shared" si="400"/>
        <v>42.262903225806461</v>
      </c>
      <c r="M1117" s="45">
        <f t="shared" si="386"/>
        <v>43.362903225806463</v>
      </c>
      <c r="N1117" s="46">
        <f t="shared" si="401"/>
        <v>42.812903225806465</v>
      </c>
      <c r="O1117" s="46">
        <f t="shared" si="402"/>
        <v>246.42903225806455</v>
      </c>
      <c r="P1117" s="46">
        <f t="shared" si="387"/>
        <v>247.52903225806455</v>
      </c>
      <c r="Q1117" s="46">
        <f t="shared" si="382"/>
        <v>246.97903225806454</v>
      </c>
      <c r="R1117" s="46">
        <f t="shared" si="399"/>
        <v>244.42903225806455</v>
      </c>
      <c r="S1117" s="46">
        <f t="shared" si="399"/>
        <v>245.52903225806455</v>
      </c>
      <c r="T1117" s="62">
        <v>249.8</v>
      </c>
      <c r="U1117" s="46">
        <f t="shared" si="391"/>
        <v>249.8</v>
      </c>
      <c r="V1117" s="18">
        <v>5.4622999999999999</v>
      </c>
      <c r="W1117" s="18">
        <v>2.16</v>
      </c>
      <c r="X1117" s="23">
        <v>1.1476266666666699</v>
      </c>
      <c r="Y1117" s="23">
        <f t="shared" si="392"/>
        <v>4.3146733333333298</v>
      </c>
      <c r="Z1117" s="23">
        <f t="shared" si="393"/>
        <v>1.0123733333333302</v>
      </c>
      <c r="AA1117" s="21">
        <f t="shared" si="394"/>
        <v>76.536501025183895</v>
      </c>
      <c r="AB1117" s="21">
        <f t="shared" si="395"/>
        <v>23.463498974816105</v>
      </c>
      <c r="AC1117" s="23">
        <f>Y1117/J1117</f>
        <v>0.98700770383714376</v>
      </c>
      <c r="AD1117" s="23">
        <f>Z1117/J1117</f>
        <v>0.23158654247118432</v>
      </c>
      <c r="AE1117" s="57">
        <v>15.968999999999999</v>
      </c>
      <c r="AF1117" s="57">
        <v>16.131</v>
      </c>
      <c r="AG1117" s="57">
        <v>15.993</v>
      </c>
      <c r="AH1117" s="58">
        <f>AG1117-AE1117</f>
        <v>2.4000000000000909E-2</v>
      </c>
      <c r="AI1117" s="59">
        <f>((AF1117-AG1117)/(AF1117-AE1117))*100</f>
        <v>85.185185185184693</v>
      </c>
      <c r="AJ1117" s="26">
        <f t="shared" si="396"/>
        <v>4.2592592592592347</v>
      </c>
      <c r="AK1117" s="26">
        <f t="shared" si="397"/>
        <v>49.239991436522949</v>
      </c>
      <c r="AL1117" s="26">
        <f t="shared" si="398"/>
        <v>4.2602100227084492</v>
      </c>
      <c r="AM1117" s="17">
        <f t="shared" si="388"/>
        <v>0.5780346820809249</v>
      </c>
      <c r="AN1117" s="52"/>
      <c r="AO1117" s="39"/>
      <c r="AP1117" s="18"/>
      <c r="AQ1117" s="17"/>
      <c r="AR1117" s="17"/>
      <c r="AS1117" s="27"/>
      <c r="AT1117" s="17"/>
      <c r="AU1117" s="17"/>
      <c r="AV1117" s="17"/>
      <c r="AW1117" s="17"/>
      <c r="AX1117" s="17"/>
      <c r="BB1117" s="17"/>
    </row>
    <row r="1118" spans="1:54" x14ac:dyDescent="0.2">
      <c r="A1118" s="18" t="s">
        <v>90</v>
      </c>
      <c r="B1118" s="18" t="s">
        <v>91</v>
      </c>
      <c r="C1118" s="18" t="s">
        <v>102</v>
      </c>
      <c r="D1118" s="18" t="str">
        <f t="shared" si="389"/>
        <v>CAT1.1G_224</v>
      </c>
      <c r="E1118" s="55" t="s">
        <v>85</v>
      </c>
      <c r="F1118" s="18">
        <v>224</v>
      </c>
      <c r="G1118" s="18">
        <v>2</v>
      </c>
      <c r="H1118" s="46">
        <v>2.1</v>
      </c>
      <c r="I1118" s="46">
        <v>1.3</v>
      </c>
      <c r="J1118" s="23">
        <f t="shared" si="390"/>
        <v>4.28865125</v>
      </c>
      <c r="K1118" s="61">
        <v>0.17903225806451625</v>
      </c>
      <c r="L1118" s="45">
        <f t="shared" si="400"/>
        <v>43.541935483870979</v>
      </c>
      <c r="M1118" s="45">
        <f t="shared" si="386"/>
        <v>44.841935483870976</v>
      </c>
      <c r="N1118" s="46">
        <f t="shared" si="401"/>
        <v>44.191935483870978</v>
      </c>
      <c r="O1118" s="46">
        <f t="shared" si="402"/>
        <v>247.52903225806455</v>
      </c>
      <c r="P1118" s="46">
        <f t="shared" si="387"/>
        <v>248.82903225806456</v>
      </c>
      <c r="Q1118" s="46">
        <f t="shared" si="382"/>
        <v>248.17903225806455</v>
      </c>
      <c r="R1118" s="46">
        <f t="shared" si="399"/>
        <v>245.52903225806455</v>
      </c>
      <c r="S1118" s="46">
        <f t="shared" si="399"/>
        <v>246.82903225806456</v>
      </c>
      <c r="T1118" s="62">
        <v>251.2</v>
      </c>
      <c r="U1118" s="46">
        <f t="shared" si="391"/>
        <v>251.2</v>
      </c>
      <c r="V1118" s="18">
        <v>5.3255999999999997</v>
      </c>
      <c r="W1118" s="18">
        <v>2.1162000000000001</v>
      </c>
      <c r="X1118" s="23">
        <v>1.1476266666666699</v>
      </c>
      <c r="Y1118" s="23">
        <f t="shared" si="392"/>
        <v>4.1779733333333295</v>
      </c>
      <c r="Z1118" s="23">
        <f t="shared" si="393"/>
        <v>0.96857333333333018</v>
      </c>
      <c r="AA1118" s="21">
        <f t="shared" si="394"/>
        <v>76.817148984515683</v>
      </c>
      <c r="AB1118" s="21">
        <f t="shared" si="395"/>
        <v>23.182851015484317</v>
      </c>
      <c r="AC1118" s="23">
        <f>Y1118/J1118</f>
        <v>0.97419283821069147</v>
      </c>
      <c r="AD1118" s="23">
        <f>Z1118/J1118</f>
        <v>0.22584567428590285</v>
      </c>
      <c r="AE1118" s="57">
        <v>18.347000000000001</v>
      </c>
      <c r="AF1118" s="57">
        <v>18.62</v>
      </c>
      <c r="AG1118" s="57">
        <v>18.381</v>
      </c>
      <c r="AH1118" s="58">
        <f>AG1118-AE1118</f>
        <v>3.399999999999892E-2</v>
      </c>
      <c r="AI1118" s="59">
        <f>((AF1118-AG1118)/(AF1118-AE1118))*100</f>
        <v>87.545787545787917</v>
      </c>
      <c r="AJ1118" s="26">
        <f t="shared" si="396"/>
        <v>4.3772893772893964</v>
      </c>
      <c r="AK1118" s="26">
        <f t="shared" si="397"/>
        <v>50.604501471553711</v>
      </c>
      <c r="AL1118" s="26">
        <f t="shared" si="398"/>
        <v>4.3782145096523752</v>
      </c>
      <c r="AM1118" s="17">
        <f t="shared" si="388"/>
        <v>0.5780346820809249</v>
      </c>
      <c r="AN1118" s="52"/>
      <c r="AO1118" s="39"/>
      <c r="AP1118" s="18"/>
      <c r="AQ1118" s="17"/>
      <c r="AR1118" s="17"/>
      <c r="AS1118" s="27"/>
      <c r="AT1118" s="17"/>
      <c r="AU1118" s="17"/>
      <c r="AV1118" s="17"/>
      <c r="AW1118" s="17"/>
      <c r="AX1118" s="17"/>
      <c r="BB1118" s="17"/>
    </row>
    <row r="1119" spans="1:54" x14ac:dyDescent="0.2">
      <c r="A1119" s="18" t="s">
        <v>90</v>
      </c>
      <c r="B1119" s="18" t="s">
        <v>91</v>
      </c>
      <c r="C1119" s="18" t="s">
        <v>102</v>
      </c>
      <c r="D1119" s="18" t="str">
        <f t="shared" si="389"/>
        <v>CAT1.1G_225</v>
      </c>
      <c r="E1119" s="55" t="s">
        <v>85</v>
      </c>
      <c r="F1119" s="18">
        <v>225</v>
      </c>
      <c r="G1119" s="18">
        <v>2.5</v>
      </c>
      <c r="H1119" s="46">
        <v>1.9</v>
      </c>
      <c r="I1119" s="46">
        <v>1.3</v>
      </c>
      <c r="J1119" s="23">
        <f t="shared" si="390"/>
        <v>4.9392200000000015</v>
      </c>
      <c r="K1119" s="61">
        <v>0.17903225806451625</v>
      </c>
      <c r="L1119" s="45">
        <f t="shared" si="400"/>
        <v>45.020967741935493</v>
      </c>
      <c r="M1119" s="45">
        <f t="shared" si="386"/>
        <v>46.32096774193549</v>
      </c>
      <c r="N1119" s="46">
        <f t="shared" si="401"/>
        <v>45.670967741935492</v>
      </c>
      <c r="O1119" s="46">
        <f t="shared" si="402"/>
        <v>248.82903225806456</v>
      </c>
      <c r="P1119" s="46">
        <f t="shared" si="387"/>
        <v>250.12903225806457</v>
      </c>
      <c r="Q1119" s="46">
        <f t="shared" ref="Q1119:Q1120" si="403">O1119+((P1119-O1119)/2)</f>
        <v>249.47903225806456</v>
      </c>
      <c r="R1119" s="46">
        <f t="shared" si="399"/>
        <v>246.82903225806456</v>
      </c>
      <c r="S1119" s="46">
        <f t="shared" si="399"/>
        <v>248.12903225806457</v>
      </c>
      <c r="T1119" s="62">
        <v>252.7</v>
      </c>
      <c r="U1119" s="46">
        <f t="shared" si="391"/>
        <v>252.7</v>
      </c>
      <c r="V1119" s="18">
        <v>5.7499000000000002</v>
      </c>
      <c r="W1119" s="18">
        <v>2.2057000000000002</v>
      </c>
      <c r="X1119" s="23">
        <v>1.1476266666666699</v>
      </c>
      <c r="Y1119" s="23">
        <f t="shared" si="392"/>
        <v>4.6022733333333301</v>
      </c>
      <c r="Z1119" s="23">
        <f t="shared" si="393"/>
        <v>1.0580733333333303</v>
      </c>
      <c r="AA1119" s="21">
        <f t="shared" si="394"/>
        <v>77.009767636573869</v>
      </c>
      <c r="AB1119" s="21">
        <f t="shared" si="395"/>
        <v>22.990232363426131</v>
      </c>
      <c r="AC1119" s="23">
        <f>Y1119/J1119</f>
        <v>0.93178140138186372</v>
      </c>
      <c r="AD1119" s="23">
        <f>Z1119/J1119</f>
        <v>0.21421870929687886</v>
      </c>
      <c r="AE1119" s="57">
        <v>18.565000000000001</v>
      </c>
      <c r="AF1119" s="57">
        <v>18.838000000000001</v>
      </c>
      <c r="AG1119" s="57">
        <v>18.626999999999999</v>
      </c>
      <c r="AH1119" s="58">
        <f>AG1119-AE1119</f>
        <v>6.1999999999997613E-2</v>
      </c>
      <c r="AI1119" s="59">
        <f>((AF1119-AG1119)/(AF1119-AE1119))*100</f>
        <v>77.289377289378137</v>
      </c>
      <c r="AJ1119" s="26">
        <f t="shared" si="396"/>
        <v>3.8644688644689071</v>
      </c>
      <c r="AK1119" s="26">
        <f t="shared" si="397"/>
        <v>44.675940629698346</v>
      </c>
      <c r="AL1119" s="26">
        <f t="shared" si="398"/>
        <v>3.8655167318806947</v>
      </c>
      <c r="AM1119" s="17">
        <f t="shared" si="388"/>
        <v>0.5780346820809249</v>
      </c>
      <c r="AN1119" s="52"/>
      <c r="AO1119" s="39"/>
      <c r="AP1119" s="18"/>
      <c r="AQ1119" s="17"/>
      <c r="AR1119" s="17"/>
      <c r="AS1119" s="27"/>
      <c r="AT1119" s="17"/>
      <c r="AU1119" s="17"/>
      <c r="AV1119" s="17"/>
      <c r="AW1119" s="17"/>
      <c r="AX1119" s="17"/>
      <c r="BB1119" s="17"/>
    </row>
    <row r="1120" spans="1:54" x14ac:dyDescent="0.2">
      <c r="A1120" s="18" t="s">
        <v>90</v>
      </c>
      <c r="B1120" s="18" t="s">
        <v>91</v>
      </c>
      <c r="C1120" s="18" t="s">
        <v>102</v>
      </c>
      <c r="D1120" s="18" t="str">
        <f t="shared" si="389"/>
        <v>CAT1.1G_226</v>
      </c>
      <c r="E1120" s="55" t="s">
        <v>85</v>
      </c>
      <c r="F1120" s="18">
        <v>226</v>
      </c>
      <c r="G1120" s="18">
        <v>2.1</v>
      </c>
      <c r="H1120" s="46">
        <v>1.9</v>
      </c>
      <c r="I1120" s="46">
        <v>1</v>
      </c>
      <c r="J1120" s="23">
        <f t="shared" si="390"/>
        <v>3.14</v>
      </c>
      <c r="K1120" s="61">
        <v>0.17903225806451625</v>
      </c>
      <c r="L1120" s="45">
        <f t="shared" si="400"/>
        <v>46.500000000000007</v>
      </c>
      <c r="M1120" s="45">
        <f t="shared" si="386"/>
        <v>47.500000000000007</v>
      </c>
      <c r="N1120" s="46">
        <f t="shared" si="401"/>
        <v>47.000000000000007</v>
      </c>
      <c r="O1120" s="46">
        <f t="shared" si="402"/>
        <v>250.12903225806457</v>
      </c>
      <c r="P1120" s="46">
        <f t="shared" si="387"/>
        <v>251.12903225806457</v>
      </c>
      <c r="Q1120" s="46">
        <f t="shared" si="403"/>
        <v>250.62903225806457</v>
      </c>
      <c r="R1120" s="46">
        <f t="shared" si="399"/>
        <v>248.12903225806457</v>
      </c>
      <c r="S1120" s="46">
        <f t="shared" si="399"/>
        <v>249.12903225806457</v>
      </c>
      <c r="T1120" s="62">
        <v>254</v>
      </c>
      <c r="U1120" s="46">
        <f t="shared" si="391"/>
        <v>254</v>
      </c>
      <c r="V1120" s="18">
        <v>5.0205000000000002</v>
      </c>
      <c r="W1120" s="18">
        <v>2.3224999999999998</v>
      </c>
      <c r="X1120" s="23">
        <v>1.1476266666666699</v>
      </c>
      <c r="Y1120" s="23">
        <f t="shared" si="392"/>
        <v>3.8728733333333301</v>
      </c>
      <c r="Z1120" s="23">
        <f t="shared" si="393"/>
        <v>1.1748733333333299</v>
      </c>
      <c r="AA1120" s="21">
        <f t="shared" si="394"/>
        <v>69.66403927488814</v>
      </c>
      <c r="AB1120" s="21">
        <f t="shared" si="395"/>
        <v>30.33596072511186</v>
      </c>
      <c r="AC1120" s="23">
        <f>Y1120/J1120</f>
        <v>1.2333991507430988</v>
      </c>
      <c r="AD1120" s="23">
        <f>Z1120/J1120</f>
        <v>0.37416348195328974</v>
      </c>
      <c r="AE1120" s="57">
        <v>14.750999999999999</v>
      </c>
      <c r="AF1120" s="57">
        <v>14.837999999999999</v>
      </c>
      <c r="AG1120" s="57">
        <v>14.794</v>
      </c>
      <c r="AH1120" s="58">
        <f>AG1120-AE1120</f>
        <v>4.3000000000001037E-2</v>
      </c>
      <c r="AI1120" s="59">
        <f>((AF1120-AG1120)/(AF1120-AE1120))*100</f>
        <v>50.574712643676826</v>
      </c>
      <c r="AJ1120" s="26">
        <f t="shared" si="396"/>
        <v>2.5287356321838415</v>
      </c>
      <c r="AK1120" s="26">
        <f t="shared" si="397"/>
        <v>29.233937944321866</v>
      </c>
      <c r="AL1120" s="26">
        <f t="shared" si="398"/>
        <v>2.5303367162249795</v>
      </c>
      <c r="AM1120" s="17">
        <f t="shared" si="388"/>
        <v>0.5780346820809249</v>
      </c>
      <c r="AN1120" s="52"/>
      <c r="AO1120" s="39"/>
      <c r="AP1120" s="18"/>
      <c r="AQ1120" s="17"/>
      <c r="AR1120" s="17"/>
      <c r="AS1120" s="27"/>
      <c r="AT1120" s="17"/>
      <c r="AU1120" s="17"/>
      <c r="AV1120" s="17"/>
      <c r="AW1120" s="17"/>
      <c r="AX1120" s="17"/>
      <c r="BB1120" s="17"/>
    </row>
    <row r="1122" spans="1:45" ht="34" x14ac:dyDescent="0.2">
      <c r="A1122" s="1" t="s">
        <v>0</v>
      </c>
      <c r="B1122" s="7" t="s">
        <v>1</v>
      </c>
      <c r="C1122" s="7" t="s">
        <v>2</v>
      </c>
      <c r="D1122" s="7" t="s">
        <v>66</v>
      </c>
      <c r="E1122" s="8" t="s">
        <v>89</v>
      </c>
      <c r="F1122" s="8" t="s">
        <v>4</v>
      </c>
      <c r="G1122" s="7" t="s">
        <v>5</v>
      </c>
      <c r="H1122" s="7" t="s">
        <v>6</v>
      </c>
      <c r="I1122" s="3" t="s">
        <v>7</v>
      </c>
      <c r="J1122" s="4" t="s">
        <v>8</v>
      </c>
      <c r="K1122" s="31" t="s">
        <v>9</v>
      </c>
      <c r="L1122" t="s">
        <v>10</v>
      </c>
      <c r="M1122" t="s">
        <v>11</v>
      </c>
      <c r="N1122" t="s">
        <v>12</v>
      </c>
      <c r="O1122" t="s">
        <v>13</v>
      </c>
      <c r="P1122" t="s">
        <v>14</v>
      </c>
      <c r="Q1122" t="s">
        <v>15</v>
      </c>
      <c r="R1122" t="s">
        <v>16</v>
      </c>
      <c r="S1122" t="s">
        <v>17</v>
      </c>
      <c r="T1122" s="32" t="s">
        <v>18</v>
      </c>
      <c r="U1122" t="s">
        <v>19</v>
      </c>
      <c r="V1122" s="3" t="s">
        <v>20</v>
      </c>
      <c r="W1122" s="3" t="s">
        <v>21</v>
      </c>
      <c r="X1122" s="2" t="s">
        <v>22</v>
      </c>
      <c r="Y1122" s="5" t="s">
        <v>23</v>
      </c>
      <c r="Z1122" s="5" t="s">
        <v>67</v>
      </c>
      <c r="AA1122" s="65" t="s">
        <v>25</v>
      </c>
      <c r="AB1122" s="65" t="s">
        <v>26</v>
      </c>
      <c r="AC1122" s="4" t="s">
        <v>68</v>
      </c>
      <c r="AD1122" s="4" t="s">
        <v>69</v>
      </c>
      <c r="AE1122" s="3" t="s">
        <v>70</v>
      </c>
      <c r="AF1122" s="16" t="s">
        <v>71</v>
      </c>
      <c r="AG1122" s="16" t="s">
        <v>72</v>
      </c>
      <c r="AH1122" s="16" t="s">
        <v>24</v>
      </c>
      <c r="AI1122" s="16" t="s">
        <v>73</v>
      </c>
      <c r="AJ1122" s="6" t="s">
        <v>74</v>
      </c>
      <c r="AK1122" s="6" t="s">
        <v>28</v>
      </c>
      <c r="AL1122" s="64" t="s">
        <v>29</v>
      </c>
      <c r="AM1122" s="64" t="s">
        <v>30</v>
      </c>
      <c r="AN1122" s="64" t="s">
        <v>31</v>
      </c>
      <c r="AO1122" s="6" t="s">
        <v>32</v>
      </c>
      <c r="AP1122" s="8" t="s">
        <v>33</v>
      </c>
      <c r="AQ1122" s="8" t="s">
        <v>34</v>
      </c>
      <c r="AR1122" s="7" t="s">
        <v>75</v>
      </c>
      <c r="AS1122" s="3"/>
    </row>
    <row r="1123" spans="1:45" ht="17" x14ac:dyDescent="0.2">
      <c r="A1123" s="7"/>
      <c r="B1123" s="7"/>
      <c r="C1123" s="7"/>
      <c r="D1123" s="7"/>
      <c r="E1123" s="33"/>
      <c r="F1123" s="7"/>
      <c r="G1123" s="7" t="s">
        <v>35</v>
      </c>
      <c r="H1123" s="7" t="s">
        <v>35</v>
      </c>
      <c r="I1123" s="3" t="s">
        <v>35</v>
      </c>
      <c r="J1123" s="4" t="s">
        <v>76</v>
      </c>
      <c r="K1123" s="34"/>
      <c r="L1123" s="3" t="s">
        <v>35</v>
      </c>
      <c r="M1123" s="3" t="s">
        <v>35</v>
      </c>
      <c r="N1123" s="3" t="s">
        <v>35</v>
      </c>
      <c r="O1123" s="3" t="s">
        <v>35</v>
      </c>
      <c r="P1123" s="3" t="s">
        <v>35</v>
      </c>
      <c r="Q1123" s="3" t="s">
        <v>35</v>
      </c>
      <c r="R1123" s="10" t="s">
        <v>35</v>
      </c>
      <c r="S1123" s="10" t="s">
        <v>35</v>
      </c>
      <c r="T1123" s="35" t="s">
        <v>35</v>
      </c>
      <c r="U1123" s="10" t="s">
        <v>35</v>
      </c>
      <c r="V1123" s="3" t="s">
        <v>36</v>
      </c>
      <c r="W1123" s="3" t="s">
        <v>36</v>
      </c>
      <c r="X1123" s="3" t="s">
        <v>36</v>
      </c>
      <c r="Y1123" s="11" t="s">
        <v>36</v>
      </c>
      <c r="Z1123" s="11" t="s">
        <v>36</v>
      </c>
      <c r="AA1123" s="15" t="s">
        <v>37</v>
      </c>
      <c r="AB1123" s="15" t="s">
        <v>37</v>
      </c>
      <c r="AC1123" s="4" t="s">
        <v>38</v>
      </c>
      <c r="AD1123" s="4" t="s">
        <v>38</v>
      </c>
      <c r="AE1123" s="7">
        <v>52</v>
      </c>
      <c r="AF1123" s="16" t="s">
        <v>36</v>
      </c>
      <c r="AG1123" s="16" t="s">
        <v>36</v>
      </c>
      <c r="AH1123" s="16" t="s">
        <v>36</v>
      </c>
      <c r="AI1123" s="16" t="s">
        <v>36</v>
      </c>
      <c r="AJ1123" s="6" t="s">
        <v>36</v>
      </c>
      <c r="AK1123" s="6" t="s">
        <v>37</v>
      </c>
      <c r="AL1123" s="64" t="s">
        <v>37</v>
      </c>
      <c r="AM1123" s="64" t="s">
        <v>37</v>
      </c>
      <c r="AN1123" s="64" t="s">
        <v>37</v>
      </c>
      <c r="AO1123" s="6" t="s">
        <v>39</v>
      </c>
      <c r="AP1123" s="3"/>
      <c r="AQ1123" s="3"/>
      <c r="AR1123" s="7"/>
      <c r="AS1123" s="3"/>
    </row>
    <row r="1124" spans="1:45" x14ac:dyDescent="0.2">
      <c r="A1124" s="7" t="s">
        <v>90</v>
      </c>
      <c r="B1124" s="7" t="s">
        <v>110</v>
      </c>
      <c r="C1124" s="7" t="s">
        <v>111</v>
      </c>
      <c r="D1124" s="7" t="s">
        <v>112</v>
      </c>
      <c r="E1124" s="33" t="s">
        <v>79</v>
      </c>
      <c r="F1124" s="7">
        <v>1</v>
      </c>
      <c r="G1124" s="13">
        <v>3</v>
      </c>
      <c r="H1124" s="13">
        <v>1</v>
      </c>
      <c r="I1124" s="13">
        <v>1.2</v>
      </c>
      <c r="J1124" s="14">
        <f t="shared" ref="J1124:J1187" si="404">(AVERAGE(G1124:H1124)*(AVERAGE(G1124:H1124)*3.14/4*I1124))</f>
        <v>3.7679999999999998</v>
      </c>
      <c r="K1124" s="37">
        <v>0.25129032258064538</v>
      </c>
      <c r="L1124" s="3">
        <v>0</v>
      </c>
      <c r="M1124" s="12">
        <f>L1124+I1124</f>
        <v>1.2</v>
      </c>
      <c r="N1124" s="13">
        <f>L1124+((M1124-L1124)/2)</f>
        <v>0.6</v>
      </c>
      <c r="O1124" s="13">
        <v>0</v>
      </c>
      <c r="P1124" s="13">
        <f t="shared" ref="P1124:P1187" si="405">O1124+I1124</f>
        <v>1.2</v>
      </c>
      <c r="Q1124" s="13">
        <f>O1124+((P1124-O1124)/2)</f>
        <v>0.6</v>
      </c>
      <c r="R1124" s="13">
        <v>0</v>
      </c>
      <c r="S1124" s="13">
        <v>1.2</v>
      </c>
      <c r="T1124" s="13">
        <v>0.6</v>
      </c>
      <c r="U1124" s="13">
        <f>T1124</f>
        <v>0.6</v>
      </c>
      <c r="V1124" s="7">
        <v>4.5555000000000003</v>
      </c>
      <c r="W1124" s="7">
        <v>1.4977</v>
      </c>
      <c r="X1124" s="7">
        <v>1.1476266666666668</v>
      </c>
      <c r="Y1124" s="14">
        <f>V1124-X1124</f>
        <v>3.4078733333333338</v>
      </c>
      <c r="Z1124" s="14">
        <f>W1124-X1124</f>
        <v>0.35007333333333324</v>
      </c>
      <c r="AA1124" s="36">
        <f>((Y1124)-(Z1124))/(Y1124)*100</f>
        <v>89.727513346544569</v>
      </c>
      <c r="AB1124" s="36">
        <f>100-AA1124</f>
        <v>10.272486653455431</v>
      </c>
      <c r="AC1124" s="14">
        <f>Y1124/J1124</f>
        <v>0.90442498230714807</v>
      </c>
      <c r="AD1124" s="14">
        <f>Z1124/J1124</f>
        <v>9.2906935598018381E-2</v>
      </c>
      <c r="AE1124" s="36">
        <f>(W1124-$AS$12)/J1124</f>
        <v>0.3974787685774947</v>
      </c>
      <c r="AF1124" s="66">
        <v>15.163</v>
      </c>
      <c r="AG1124" s="66">
        <v>15.32</v>
      </c>
      <c r="AH1124" s="66">
        <f t="shared" ref="AH1124:AH1187" si="406">AG1124-AF1124</f>
        <v>0.15700000000000003</v>
      </c>
      <c r="AI1124" s="66">
        <v>15.179</v>
      </c>
      <c r="AJ1124" s="66">
        <f>AI1124-AF1124</f>
        <v>1.6000000000000014E-2</v>
      </c>
      <c r="AK1124" s="66">
        <f>((AG1124-AI1124)/(AG1124-AF1124))*100</f>
        <v>89.808917197452217</v>
      </c>
      <c r="AL1124" s="11">
        <f>AK1124*0.05</f>
        <v>4.4904458598726107</v>
      </c>
      <c r="AM1124" s="11">
        <f>AK1124*AO1124</f>
        <v>51.912668900261401</v>
      </c>
      <c r="AN1124" s="11">
        <f>(AL1124^2+0.09^2)^0.5</f>
        <v>4.4913476842087237</v>
      </c>
      <c r="AO1124">
        <f>1/1.73</f>
        <v>0.5780346820809249</v>
      </c>
      <c r="AP1124" s="7" t="s">
        <v>113</v>
      </c>
      <c r="AQ1124" s="33" t="s">
        <v>93</v>
      </c>
      <c r="AR1124" s="67" t="s">
        <v>43</v>
      </c>
      <c r="AS1124" s="3">
        <v>47</v>
      </c>
    </row>
    <row r="1125" spans="1:45" x14ac:dyDescent="0.2">
      <c r="A1125" s="7" t="s">
        <v>90</v>
      </c>
      <c r="B1125" s="7" t="s">
        <v>114</v>
      </c>
      <c r="C1125" s="7" t="s">
        <v>111</v>
      </c>
      <c r="D1125" s="7" t="s">
        <v>115</v>
      </c>
      <c r="E1125" s="33" t="s">
        <v>79</v>
      </c>
      <c r="F1125" s="7">
        <v>2</v>
      </c>
      <c r="G1125" s="13">
        <v>1.4</v>
      </c>
      <c r="H1125" s="13">
        <v>2.9</v>
      </c>
      <c r="I1125" s="13">
        <v>1.6</v>
      </c>
      <c r="J1125" s="14">
        <f t="shared" si="404"/>
        <v>5.80586</v>
      </c>
      <c r="K1125" s="37">
        <v>0.25129032258064538</v>
      </c>
      <c r="L1125" s="12">
        <f>M1124+K1125</f>
        <v>1.4512903225806453</v>
      </c>
      <c r="M1125" s="12">
        <f>L1125+I1125</f>
        <v>3.0512903225806456</v>
      </c>
      <c r="N1125" s="13">
        <f>L1125+((M1125-L1125)/2)</f>
        <v>2.2512903225806453</v>
      </c>
      <c r="O1125" s="13">
        <f>P1124+K1125</f>
        <v>1.4512903225806453</v>
      </c>
      <c r="P1125" s="13">
        <f t="shared" si="405"/>
        <v>3.0512903225806456</v>
      </c>
      <c r="Q1125" s="13">
        <f>O1125+((P1125-O1125)/2)</f>
        <v>2.2512903225806453</v>
      </c>
      <c r="R1125" s="13">
        <v>1.4512903225806453</v>
      </c>
      <c r="S1125" s="13">
        <v>3.0512903225806456</v>
      </c>
      <c r="T1125" s="13">
        <v>2.2512903225806453</v>
      </c>
      <c r="U1125" s="13">
        <f t="shared" ref="U1125:U1188" si="407">T1125</f>
        <v>2.2512903225806453</v>
      </c>
      <c r="V1125" s="7">
        <v>5.8970000000000002</v>
      </c>
      <c r="W1125" s="7">
        <v>1.6313</v>
      </c>
      <c r="X1125" s="7">
        <v>1.1476266666666668</v>
      </c>
      <c r="Y1125" s="14">
        <f t="shared" ref="Y1125:Y1188" si="408">V1125-X1125</f>
        <v>4.7493733333333337</v>
      </c>
      <c r="Z1125" s="14">
        <f t="shared" ref="Z1125:Z1188" si="409">W1125-X1125</f>
        <v>0.48367333333333318</v>
      </c>
      <c r="AA1125" s="36">
        <f t="shared" ref="AA1125:AA1188" si="410">((Y1125)-(Z1125))/(Y1125)*100</f>
        <v>89.816059943346914</v>
      </c>
      <c r="AB1125" s="36">
        <f t="shared" ref="AB1125:AB1188" si="411">100-AA1125</f>
        <v>10.183940056653086</v>
      </c>
      <c r="AC1125" s="14">
        <f t="shared" ref="AC1125:AC1188" si="412">Y1125/J1125</f>
        <v>0.81803097789704426</v>
      </c>
      <c r="AD1125" s="14">
        <f t="shared" ref="AD1125:AD1188" si="413">Z1125/J1125</f>
        <v>8.3307784433888032E-2</v>
      </c>
      <c r="AE1125" s="36" t="s">
        <v>40</v>
      </c>
      <c r="AF1125" s="66">
        <v>16.875</v>
      </c>
      <c r="AG1125" s="66">
        <v>17.238</v>
      </c>
      <c r="AH1125" s="66">
        <f t="shared" si="406"/>
        <v>0.36299999999999955</v>
      </c>
      <c r="AI1125" s="66">
        <v>16.908999999999999</v>
      </c>
      <c r="AJ1125" s="66">
        <f t="shared" ref="AJ1125:AJ1188" si="414">AI1125-AF1125</f>
        <v>3.399999999999892E-2</v>
      </c>
      <c r="AK1125" s="66">
        <f t="shared" ref="AK1125:AK1188" si="415">((AG1125-AI1125)/(AG1125-AF1125))*100</f>
        <v>90.63360881542728</v>
      </c>
      <c r="AL1125" s="11">
        <f t="shared" ref="AL1125:AL1188" si="416">AK1125*0.05</f>
        <v>4.531680440771364</v>
      </c>
      <c r="AM1125" s="11">
        <f t="shared" ref="AM1125:AM1188" si="417">AK1125*AO1125</f>
        <v>52.389369257472417</v>
      </c>
      <c r="AN1125" s="11">
        <f t="shared" ref="AN1125:AN1188" si="418">(AL1125^2+0.09^2)^0.5</f>
        <v>4.5325740608697993</v>
      </c>
      <c r="AO1125">
        <f t="shared" ref="AO1125:AO1188" si="419">1/1.73</f>
        <v>0.5780346820809249</v>
      </c>
      <c r="AP1125" s="7" t="s">
        <v>113</v>
      </c>
      <c r="AQ1125" s="33" t="s">
        <v>93</v>
      </c>
      <c r="AR1125" s="67" t="s">
        <v>44</v>
      </c>
      <c r="AS1125" s="3" t="s">
        <v>45</v>
      </c>
    </row>
    <row r="1126" spans="1:45" x14ac:dyDescent="0.2">
      <c r="A1126" s="7" t="s">
        <v>90</v>
      </c>
      <c r="B1126" s="7" t="s">
        <v>116</v>
      </c>
      <c r="C1126" s="7" t="s">
        <v>111</v>
      </c>
      <c r="D1126" s="7" t="s">
        <v>117</v>
      </c>
      <c r="E1126" s="33" t="s">
        <v>79</v>
      </c>
      <c r="F1126" s="7">
        <v>3</v>
      </c>
      <c r="G1126" s="13">
        <v>1.7</v>
      </c>
      <c r="H1126" s="13">
        <v>1.5</v>
      </c>
      <c r="I1126" s="13">
        <v>1.45</v>
      </c>
      <c r="J1126" s="14">
        <f t="shared" si="404"/>
        <v>2.913920000000001</v>
      </c>
      <c r="K1126" s="37">
        <v>0.25129032258064538</v>
      </c>
      <c r="L1126" s="12">
        <f t="shared" ref="L1126:L1155" si="420">M1125+K1126</f>
        <v>3.3025806451612909</v>
      </c>
      <c r="M1126" s="12">
        <f t="shared" ref="M1126:M1155" si="421">L1126+I1126</f>
        <v>4.7525806451612906</v>
      </c>
      <c r="N1126" s="13">
        <f t="shared" ref="N1126:N1155" si="422">L1126+((M1126-L1126)/2)</f>
        <v>4.027580645161291</v>
      </c>
      <c r="O1126" s="13">
        <f t="shared" ref="O1126:O1155" si="423">P1125+K1126</f>
        <v>3.3025806451612909</v>
      </c>
      <c r="P1126" s="13">
        <f t="shared" si="405"/>
        <v>4.7525806451612906</v>
      </c>
      <c r="Q1126" s="13">
        <f t="shared" ref="Q1126:Q1189" si="424">O1126+((P1126-O1126)/2)</f>
        <v>4.027580645161291</v>
      </c>
      <c r="R1126" s="13">
        <v>3.3025806451612909</v>
      </c>
      <c r="S1126" s="13">
        <v>4.7525806451612906</v>
      </c>
      <c r="T1126" s="13">
        <v>4.027580645161291</v>
      </c>
      <c r="U1126" s="13">
        <f t="shared" si="407"/>
        <v>4.027580645161291</v>
      </c>
      <c r="V1126" s="7">
        <v>4.7199</v>
      </c>
      <c r="W1126" s="7">
        <v>1.5667</v>
      </c>
      <c r="X1126" s="7">
        <v>1.1476266666666699</v>
      </c>
      <c r="Y1126" s="14">
        <f t="shared" si="408"/>
        <v>3.5722733333333299</v>
      </c>
      <c r="Z1126" s="14">
        <f t="shared" si="409"/>
        <v>0.41907333333333008</v>
      </c>
      <c r="AA1126" s="36">
        <f t="shared" si="410"/>
        <v>88.268721505073415</v>
      </c>
      <c r="AB1126" s="36">
        <f t="shared" si="411"/>
        <v>11.731278494926585</v>
      </c>
      <c r="AC1126" s="14">
        <f t="shared" si="412"/>
        <v>1.2259339080459755</v>
      </c>
      <c r="AD1126" s="14">
        <f t="shared" si="413"/>
        <v>0.1438177209166106</v>
      </c>
      <c r="AE1126" s="36">
        <f>(W1126-$AS$12)/J1126</f>
        <v>0.53766060839007235</v>
      </c>
      <c r="AF1126" s="66">
        <v>15.04</v>
      </c>
      <c r="AG1126" s="66">
        <v>15.138999999999999</v>
      </c>
      <c r="AH1126" s="66">
        <f t="shared" si="406"/>
        <v>9.9000000000000199E-2</v>
      </c>
      <c r="AI1126" s="66">
        <v>15.048999999999999</v>
      </c>
      <c r="AJ1126" s="66">
        <f t="shared" si="414"/>
        <v>9.0000000000003411E-3</v>
      </c>
      <c r="AK1126" s="66">
        <f t="shared" si="415"/>
        <v>90.90909090909058</v>
      </c>
      <c r="AL1126" s="11">
        <f t="shared" si="416"/>
        <v>4.545454545454529</v>
      </c>
      <c r="AM1126" s="11">
        <f t="shared" si="417"/>
        <v>52.548607461902073</v>
      </c>
      <c r="AN1126" s="11">
        <f t="shared" si="418"/>
        <v>4.5463454581447325</v>
      </c>
      <c r="AO1126">
        <f t="shared" si="419"/>
        <v>0.5780346820809249</v>
      </c>
      <c r="AP1126" s="7" t="s">
        <v>113</v>
      </c>
      <c r="AQ1126" s="33" t="s">
        <v>93</v>
      </c>
      <c r="AR1126" s="67" t="s">
        <v>46</v>
      </c>
      <c r="AS1126" s="12">
        <f>SUM(I1124:I1155)</f>
        <v>39.209999999999994</v>
      </c>
    </row>
    <row r="1127" spans="1:45" x14ac:dyDescent="0.2">
      <c r="A1127" s="7" t="s">
        <v>90</v>
      </c>
      <c r="B1127" s="7" t="s">
        <v>118</v>
      </c>
      <c r="C1127" s="7" t="s">
        <v>111</v>
      </c>
      <c r="D1127" s="7" t="s">
        <v>119</v>
      </c>
      <c r="E1127" s="33" t="s">
        <v>79</v>
      </c>
      <c r="F1127" s="7">
        <v>4</v>
      </c>
      <c r="G1127" s="13">
        <v>1.6</v>
      </c>
      <c r="H1127" s="13">
        <v>2</v>
      </c>
      <c r="I1127" s="13">
        <v>1.2</v>
      </c>
      <c r="J1127" s="14">
        <f t="shared" si="404"/>
        <v>3.0520800000000001</v>
      </c>
      <c r="K1127" s="37">
        <v>0.25129032258064538</v>
      </c>
      <c r="L1127" s="12">
        <f t="shared" si="420"/>
        <v>5.0038709677419364</v>
      </c>
      <c r="M1127" s="12">
        <f t="shared" si="421"/>
        <v>6.2038709677419366</v>
      </c>
      <c r="N1127" s="13">
        <f t="shared" si="422"/>
        <v>5.6038709677419369</v>
      </c>
      <c r="O1127" s="13">
        <f t="shared" si="423"/>
        <v>5.0038709677419364</v>
      </c>
      <c r="P1127" s="13">
        <f t="shared" si="405"/>
        <v>6.2038709677419366</v>
      </c>
      <c r="Q1127" s="13">
        <f t="shared" si="424"/>
        <v>5.6038709677419369</v>
      </c>
      <c r="R1127" s="13">
        <v>5.0038709677419364</v>
      </c>
      <c r="S1127" s="13">
        <v>6.2038709677419366</v>
      </c>
      <c r="T1127" s="13">
        <v>5.6038709677419369</v>
      </c>
      <c r="U1127" s="13">
        <f t="shared" si="407"/>
        <v>5.6038709677419369</v>
      </c>
      <c r="V1127" s="7">
        <v>4.5994000000000002</v>
      </c>
      <c r="W1127" s="7">
        <v>1.5936999999999999</v>
      </c>
      <c r="X1127" s="7">
        <v>1.1476266666666699</v>
      </c>
      <c r="Y1127" s="14">
        <f t="shared" si="408"/>
        <v>3.45177333333333</v>
      </c>
      <c r="Z1127" s="14">
        <f t="shared" si="409"/>
        <v>0.44607333333332999</v>
      </c>
      <c r="AA1127" s="36">
        <f t="shared" si="410"/>
        <v>87.076980721020774</v>
      </c>
      <c r="AB1127" s="36">
        <f t="shared" si="411"/>
        <v>12.923019278979226</v>
      </c>
      <c r="AC1127" s="14">
        <f t="shared" si="412"/>
        <v>1.1309576856875736</v>
      </c>
      <c r="AD1127" s="14">
        <f t="shared" si="413"/>
        <v>0.14615387975850239</v>
      </c>
      <c r="AE1127" s="36" t="s">
        <v>40</v>
      </c>
      <c r="AF1127" s="66">
        <v>15.371</v>
      </c>
      <c r="AG1127" s="66">
        <v>15.487</v>
      </c>
      <c r="AH1127" s="66">
        <f t="shared" si="406"/>
        <v>0.11599999999999966</v>
      </c>
      <c r="AI1127" s="66">
        <v>15.385999999999999</v>
      </c>
      <c r="AJ1127" s="66">
        <f t="shared" si="414"/>
        <v>1.4999999999998792E-2</v>
      </c>
      <c r="AK1127" s="66">
        <f t="shared" si="415"/>
        <v>87.068965517242376</v>
      </c>
      <c r="AL1127" s="11">
        <f t="shared" si="416"/>
        <v>4.3534482758621191</v>
      </c>
      <c r="AM1127" s="11">
        <f t="shared" si="417"/>
        <v>50.328881801874211</v>
      </c>
      <c r="AN1127" s="11">
        <f t="shared" si="418"/>
        <v>4.3543784735145445</v>
      </c>
      <c r="AO1127">
        <f t="shared" si="419"/>
        <v>0.5780346820809249</v>
      </c>
      <c r="AP1127" s="7" t="s">
        <v>113</v>
      </c>
      <c r="AQ1127" s="33" t="s">
        <v>93</v>
      </c>
      <c r="AR1127" s="67" t="s">
        <v>47</v>
      </c>
      <c r="AS1127" s="12">
        <f>AS1124-AS1126</f>
        <v>7.7900000000000063</v>
      </c>
    </row>
    <row r="1128" spans="1:45" x14ac:dyDescent="0.2">
      <c r="A1128" s="7" t="s">
        <v>90</v>
      </c>
      <c r="B1128" s="7" t="s">
        <v>120</v>
      </c>
      <c r="C1128" s="7" t="s">
        <v>111</v>
      </c>
      <c r="D1128" s="7" t="s">
        <v>121</v>
      </c>
      <c r="E1128" s="33" t="s">
        <v>79</v>
      </c>
      <c r="F1128" s="7">
        <v>5</v>
      </c>
      <c r="G1128" s="13">
        <v>1.8</v>
      </c>
      <c r="H1128" s="13">
        <v>2.7</v>
      </c>
      <c r="I1128" s="13">
        <v>1.2</v>
      </c>
      <c r="J1128" s="14">
        <f t="shared" si="404"/>
        <v>4.7688749999999995</v>
      </c>
      <c r="K1128" s="37">
        <v>0.25129032258064538</v>
      </c>
      <c r="L1128" s="12">
        <f t="shared" si="420"/>
        <v>6.4551612903225823</v>
      </c>
      <c r="M1128" s="12">
        <f t="shared" si="421"/>
        <v>7.6551612903225825</v>
      </c>
      <c r="N1128" s="13">
        <f t="shared" si="422"/>
        <v>7.055161290322582</v>
      </c>
      <c r="O1128" s="13">
        <f t="shared" si="423"/>
        <v>6.4551612903225823</v>
      </c>
      <c r="P1128" s="13">
        <f t="shared" si="405"/>
        <v>7.6551612903225825</v>
      </c>
      <c r="Q1128" s="13">
        <f t="shared" si="424"/>
        <v>7.055161290322582</v>
      </c>
      <c r="R1128" s="13">
        <v>6.4551612903225823</v>
      </c>
      <c r="S1128" s="13">
        <v>7.6551612903225825</v>
      </c>
      <c r="T1128" s="13">
        <v>7.055161290322582</v>
      </c>
      <c r="U1128" s="13">
        <f t="shared" si="407"/>
        <v>7.055161290322582</v>
      </c>
      <c r="V1128" s="7">
        <v>5.5582000000000003</v>
      </c>
      <c r="W1128" s="7">
        <v>1.7410000000000001</v>
      </c>
      <c r="X1128" s="7">
        <v>1.1476266666666699</v>
      </c>
      <c r="Y1128" s="14">
        <f t="shared" si="408"/>
        <v>4.4105733333333301</v>
      </c>
      <c r="Z1128" s="14">
        <f t="shared" si="409"/>
        <v>0.5933733333333302</v>
      </c>
      <c r="AA1128" s="36">
        <f t="shared" si="410"/>
        <v>86.54657142079796</v>
      </c>
      <c r="AB1128" s="36">
        <f t="shared" si="411"/>
        <v>13.45342857920204</v>
      </c>
      <c r="AC1128" s="14">
        <f t="shared" si="412"/>
        <v>0.92486662647549589</v>
      </c>
      <c r="AD1128" s="14">
        <f t="shared" si="413"/>
        <v>0.12442627104575613</v>
      </c>
      <c r="AE1128" s="36" t="s">
        <v>40</v>
      </c>
      <c r="AF1128" s="66">
        <v>16.771999999999998</v>
      </c>
      <c r="AG1128" s="66">
        <v>16.838000000000001</v>
      </c>
      <c r="AH1128" s="66">
        <f t="shared" si="406"/>
        <v>6.6000000000002501E-2</v>
      </c>
      <c r="AI1128" s="66">
        <v>16.782</v>
      </c>
      <c r="AJ1128" s="66">
        <f t="shared" si="414"/>
        <v>1.0000000000001563E-2</v>
      </c>
      <c r="AK1128" s="66">
        <f t="shared" si="415"/>
        <v>84.848484848483054</v>
      </c>
      <c r="AL1128" s="11">
        <f t="shared" si="416"/>
        <v>4.2424242424241525</v>
      </c>
      <c r="AM1128" s="11">
        <f t="shared" si="417"/>
        <v>49.045366964441072</v>
      </c>
      <c r="AN1128" s="11">
        <f t="shared" si="418"/>
        <v>4.2433787778971777</v>
      </c>
      <c r="AO1128">
        <f t="shared" si="419"/>
        <v>0.5780346820809249</v>
      </c>
      <c r="AP1128" s="7" t="s">
        <v>113</v>
      </c>
      <c r="AQ1128" s="33" t="s">
        <v>93</v>
      </c>
      <c r="AR1128" s="67" t="s">
        <v>48</v>
      </c>
      <c r="AS1128" s="3">
        <v>31</v>
      </c>
    </row>
    <row r="1129" spans="1:45" x14ac:dyDescent="0.2">
      <c r="A1129" s="7" t="s">
        <v>90</v>
      </c>
      <c r="B1129" s="7" t="s">
        <v>122</v>
      </c>
      <c r="C1129" s="7" t="s">
        <v>111</v>
      </c>
      <c r="D1129" s="7" t="s">
        <v>123</v>
      </c>
      <c r="E1129" s="33" t="s">
        <v>79</v>
      </c>
      <c r="F1129" s="7">
        <v>6</v>
      </c>
      <c r="G1129" s="13">
        <v>2.2999999999999998</v>
      </c>
      <c r="H1129" s="13">
        <v>1.8</v>
      </c>
      <c r="I1129" s="13">
        <v>1.2</v>
      </c>
      <c r="J1129" s="14">
        <f t="shared" si="404"/>
        <v>3.9587549999999991</v>
      </c>
      <c r="K1129" s="37">
        <v>0.25129032258064538</v>
      </c>
      <c r="L1129" s="12">
        <f t="shared" si="420"/>
        <v>7.9064516129032283</v>
      </c>
      <c r="M1129" s="12">
        <f t="shared" si="421"/>
        <v>9.1064516129032285</v>
      </c>
      <c r="N1129" s="13">
        <f t="shared" si="422"/>
        <v>8.5064516129032288</v>
      </c>
      <c r="O1129" s="13">
        <f t="shared" si="423"/>
        <v>7.9064516129032283</v>
      </c>
      <c r="P1129" s="13">
        <f t="shared" si="405"/>
        <v>9.1064516129032285</v>
      </c>
      <c r="Q1129" s="13">
        <f t="shared" si="424"/>
        <v>8.5064516129032288</v>
      </c>
      <c r="R1129" s="13">
        <v>7.9064516129032283</v>
      </c>
      <c r="S1129" s="13">
        <v>9.1064516129032285</v>
      </c>
      <c r="T1129" s="13">
        <v>8.5064516129032288</v>
      </c>
      <c r="U1129" s="13">
        <f t="shared" si="407"/>
        <v>8.5064516129032288</v>
      </c>
      <c r="V1129" s="7">
        <v>4.8967999999999998</v>
      </c>
      <c r="W1129" s="7">
        <v>1.6504000000000001</v>
      </c>
      <c r="X1129" s="7">
        <v>1.1476266666666699</v>
      </c>
      <c r="Y1129" s="14">
        <f t="shared" si="408"/>
        <v>3.7491733333333297</v>
      </c>
      <c r="Z1129" s="14">
        <f t="shared" si="409"/>
        <v>0.50277333333333019</v>
      </c>
      <c r="AA1129" s="36">
        <f t="shared" si="410"/>
        <v>86.589754897079601</v>
      </c>
      <c r="AB1129" s="36">
        <f t="shared" si="411"/>
        <v>13.410245102920399</v>
      </c>
      <c r="AC1129" s="14">
        <f t="shared" si="412"/>
        <v>0.94705869227404338</v>
      </c>
      <c r="AD1129" s="14">
        <f t="shared" si="413"/>
        <v>0.12700289190246183</v>
      </c>
      <c r="AE1129" s="36">
        <f>(W1129-$AS$12)/J1129</f>
        <v>0.41689874720713971</v>
      </c>
      <c r="AF1129" s="66">
        <v>15.311999999999999</v>
      </c>
      <c r="AG1129" s="66">
        <v>15.403</v>
      </c>
      <c r="AH1129" s="66">
        <f t="shared" si="406"/>
        <v>9.100000000000108E-2</v>
      </c>
      <c r="AI1129" s="66">
        <v>15.311999999999999</v>
      </c>
      <c r="AJ1129" s="66">
        <f t="shared" si="414"/>
        <v>0</v>
      </c>
      <c r="AK1129" s="66">
        <f t="shared" si="415"/>
        <v>100</v>
      </c>
      <c r="AL1129" s="11">
        <f t="shared" si="416"/>
        <v>5</v>
      </c>
      <c r="AM1129" s="11">
        <f t="shared" si="417"/>
        <v>57.80346820809249</v>
      </c>
      <c r="AN1129" s="11">
        <f t="shared" si="418"/>
        <v>5.0008099344006265</v>
      </c>
      <c r="AO1129">
        <f t="shared" si="419"/>
        <v>0.5780346820809249</v>
      </c>
      <c r="AP1129" s="7" t="s">
        <v>113</v>
      </c>
      <c r="AQ1129" s="33" t="s">
        <v>93</v>
      </c>
      <c r="AR1129" s="67" t="s">
        <v>49</v>
      </c>
      <c r="AS1129" s="9">
        <f>AS1127/AS1128</f>
        <v>0.25129032258064538</v>
      </c>
    </row>
    <row r="1130" spans="1:45" x14ac:dyDescent="0.2">
      <c r="A1130" s="7" t="s">
        <v>90</v>
      </c>
      <c r="B1130" s="7" t="s">
        <v>124</v>
      </c>
      <c r="C1130" s="7" t="s">
        <v>111</v>
      </c>
      <c r="D1130" s="7" t="s">
        <v>125</v>
      </c>
      <c r="E1130" s="33" t="s">
        <v>79</v>
      </c>
      <c r="F1130" s="7">
        <v>7</v>
      </c>
      <c r="G1130" s="13">
        <v>1.9</v>
      </c>
      <c r="H1130" s="13">
        <v>2.4</v>
      </c>
      <c r="I1130" s="13">
        <v>1.21</v>
      </c>
      <c r="J1130" s="14">
        <f t="shared" si="404"/>
        <v>4.390681625</v>
      </c>
      <c r="K1130" s="37">
        <v>0.25129032258064538</v>
      </c>
      <c r="L1130" s="12">
        <f t="shared" si="420"/>
        <v>9.3577419354838742</v>
      </c>
      <c r="M1130" s="12">
        <f t="shared" si="421"/>
        <v>10.567741935483873</v>
      </c>
      <c r="N1130" s="13">
        <f t="shared" si="422"/>
        <v>9.9627419354838729</v>
      </c>
      <c r="O1130" s="13">
        <f t="shared" si="423"/>
        <v>9.3577419354838742</v>
      </c>
      <c r="P1130" s="13">
        <f t="shared" si="405"/>
        <v>10.567741935483873</v>
      </c>
      <c r="Q1130" s="13">
        <f t="shared" si="424"/>
        <v>9.9627419354838729</v>
      </c>
      <c r="R1130" s="13">
        <v>9.3577419354838742</v>
      </c>
      <c r="S1130" s="13">
        <v>10.567741935483873</v>
      </c>
      <c r="T1130" s="13">
        <v>9.9627419354838729</v>
      </c>
      <c r="U1130" s="13">
        <f t="shared" si="407"/>
        <v>9.9627419354838729</v>
      </c>
      <c r="V1130" s="7">
        <v>5.2381000000000002</v>
      </c>
      <c r="W1130" s="7">
        <v>1.6731</v>
      </c>
      <c r="X1130" s="7">
        <v>1.1476266666666699</v>
      </c>
      <c r="Y1130" s="14">
        <f t="shared" si="408"/>
        <v>4.0904733333333301</v>
      </c>
      <c r="Z1130" s="14">
        <f t="shared" si="409"/>
        <v>0.52547333333333013</v>
      </c>
      <c r="AA1130" s="36">
        <f t="shared" si="410"/>
        <v>87.153727930427024</v>
      </c>
      <c r="AB1130" s="36">
        <f t="shared" si="411"/>
        <v>12.846272069572976</v>
      </c>
      <c r="AC1130" s="14">
        <f t="shared" si="412"/>
        <v>0.93162603957496692</v>
      </c>
      <c r="AD1130" s="14">
        <f t="shared" si="413"/>
        <v>0.11967921571478782</v>
      </c>
      <c r="AE1130" s="36" t="s">
        <v>40</v>
      </c>
      <c r="AF1130" s="66">
        <v>17.803999999999998</v>
      </c>
      <c r="AG1130" s="66">
        <v>17.879000000000001</v>
      </c>
      <c r="AH1130" s="66">
        <f t="shared" si="406"/>
        <v>7.5000000000002842E-2</v>
      </c>
      <c r="AI1130" s="66">
        <v>17.812000000000001</v>
      </c>
      <c r="AJ1130" s="66">
        <f t="shared" si="414"/>
        <v>8.0000000000026716E-3</v>
      </c>
      <c r="AK1130" s="66">
        <f t="shared" si="415"/>
        <v>89.333333333330174</v>
      </c>
      <c r="AL1130" s="11">
        <f t="shared" si="416"/>
        <v>4.4666666666665087</v>
      </c>
      <c r="AM1130" s="11">
        <f t="shared" si="417"/>
        <v>51.637764932560799</v>
      </c>
      <c r="AN1130" s="11">
        <f t="shared" si="418"/>
        <v>4.467573291073097</v>
      </c>
      <c r="AO1130">
        <f t="shared" si="419"/>
        <v>0.5780346820809249</v>
      </c>
      <c r="AP1130" s="7" t="s">
        <v>113</v>
      </c>
      <c r="AQ1130" s="33" t="s">
        <v>93</v>
      </c>
      <c r="AR1130" s="7"/>
      <c r="AS1130" s="7"/>
    </row>
    <row r="1131" spans="1:45" x14ac:dyDescent="0.2">
      <c r="A1131" s="7" t="s">
        <v>90</v>
      </c>
      <c r="B1131" s="7" t="s">
        <v>126</v>
      </c>
      <c r="C1131" s="7" t="s">
        <v>111</v>
      </c>
      <c r="D1131" s="7" t="s">
        <v>127</v>
      </c>
      <c r="E1131" s="33" t="s">
        <v>79</v>
      </c>
      <c r="F1131" s="7">
        <v>8</v>
      </c>
      <c r="G1131" s="13">
        <v>2</v>
      </c>
      <c r="H1131" s="13">
        <v>2.35</v>
      </c>
      <c r="I1131" s="13">
        <v>1.2</v>
      </c>
      <c r="J1131" s="14">
        <f t="shared" si="404"/>
        <v>4.4562487499999994</v>
      </c>
      <c r="K1131" s="37">
        <v>0.25129032258064538</v>
      </c>
      <c r="L1131" s="12">
        <f t="shared" si="420"/>
        <v>10.819032258064519</v>
      </c>
      <c r="M1131" s="12">
        <f t="shared" si="421"/>
        <v>12.019032258064518</v>
      </c>
      <c r="N1131" s="13">
        <f t="shared" si="422"/>
        <v>11.419032258064519</v>
      </c>
      <c r="O1131" s="13">
        <f t="shared" si="423"/>
        <v>10.819032258064519</v>
      </c>
      <c r="P1131" s="13">
        <f t="shared" si="405"/>
        <v>12.019032258064518</v>
      </c>
      <c r="Q1131" s="13">
        <f t="shared" si="424"/>
        <v>11.419032258064519</v>
      </c>
      <c r="R1131" s="13">
        <v>10.819032258064519</v>
      </c>
      <c r="S1131" s="13">
        <v>12.019032258064518</v>
      </c>
      <c r="T1131" s="13">
        <v>11.419032258064519</v>
      </c>
      <c r="U1131" s="13">
        <f t="shared" si="407"/>
        <v>11.419032258064519</v>
      </c>
      <c r="V1131" s="7">
        <v>5.4100999999999999</v>
      </c>
      <c r="W1131" s="7">
        <v>1.6368</v>
      </c>
      <c r="X1131" s="7">
        <v>1.1476266666666699</v>
      </c>
      <c r="Y1131" s="14">
        <f t="shared" si="408"/>
        <v>4.2624733333333298</v>
      </c>
      <c r="Z1131" s="14">
        <f t="shared" si="409"/>
        <v>0.48917333333333013</v>
      </c>
      <c r="AA1131" s="36">
        <f t="shared" si="410"/>
        <v>88.523720969515423</v>
      </c>
      <c r="AB1131" s="36">
        <f t="shared" si="411"/>
        <v>11.476279030484577</v>
      </c>
      <c r="AC1131" s="14">
        <f t="shared" si="412"/>
        <v>0.95651602333315222</v>
      </c>
      <c r="AD1131" s="14">
        <f t="shared" si="413"/>
        <v>0.10977244780900756</v>
      </c>
      <c r="AE1131" s="36" t="s">
        <v>40</v>
      </c>
      <c r="AF1131" s="66">
        <v>16.186</v>
      </c>
      <c r="AG1131" s="66">
        <v>16.273</v>
      </c>
      <c r="AH1131" s="66">
        <f t="shared" si="406"/>
        <v>8.6999999999999744E-2</v>
      </c>
      <c r="AI1131" s="66">
        <v>16.186</v>
      </c>
      <c r="AJ1131" s="66">
        <f t="shared" si="414"/>
        <v>0</v>
      </c>
      <c r="AK1131" s="66">
        <f t="shared" si="415"/>
        <v>100</v>
      </c>
      <c r="AL1131" s="11">
        <f t="shared" si="416"/>
        <v>5</v>
      </c>
      <c r="AM1131" s="11">
        <f t="shared" si="417"/>
        <v>57.80346820809249</v>
      </c>
      <c r="AN1131" s="11">
        <f t="shared" si="418"/>
        <v>5.0008099344006265</v>
      </c>
      <c r="AO1131">
        <f t="shared" si="419"/>
        <v>0.5780346820809249</v>
      </c>
      <c r="AP1131" s="7" t="s">
        <v>113</v>
      </c>
      <c r="AQ1131" s="33" t="s">
        <v>93</v>
      </c>
      <c r="AR1131" s="7"/>
      <c r="AS1131" s="7"/>
    </row>
    <row r="1132" spans="1:45" x14ac:dyDescent="0.2">
      <c r="A1132" s="7" t="s">
        <v>90</v>
      </c>
      <c r="B1132" s="7" t="s">
        <v>128</v>
      </c>
      <c r="C1132" s="7" t="s">
        <v>111</v>
      </c>
      <c r="D1132" s="7" t="s">
        <v>129</v>
      </c>
      <c r="E1132" s="33" t="s">
        <v>79</v>
      </c>
      <c r="F1132" s="7">
        <v>9</v>
      </c>
      <c r="G1132" s="13">
        <v>2.2000000000000002</v>
      </c>
      <c r="H1132" s="13">
        <v>2</v>
      </c>
      <c r="I1132" s="13">
        <v>1.2</v>
      </c>
      <c r="J1132" s="14">
        <f t="shared" si="404"/>
        <v>4.1542200000000005</v>
      </c>
      <c r="K1132" s="37">
        <v>0.25129032258064538</v>
      </c>
      <c r="L1132" s="12">
        <f t="shared" si="420"/>
        <v>12.270322580645164</v>
      </c>
      <c r="M1132" s="12">
        <f t="shared" si="421"/>
        <v>13.470322580645163</v>
      </c>
      <c r="N1132" s="13">
        <f t="shared" si="422"/>
        <v>12.870322580645164</v>
      </c>
      <c r="O1132" s="13">
        <f t="shared" si="423"/>
        <v>12.270322580645164</v>
      </c>
      <c r="P1132" s="13">
        <f t="shared" si="405"/>
        <v>13.470322580645163</v>
      </c>
      <c r="Q1132" s="13">
        <f t="shared" si="424"/>
        <v>12.870322580645164</v>
      </c>
      <c r="R1132" s="13">
        <v>12.270322580645164</v>
      </c>
      <c r="S1132" s="13">
        <v>13.470322580645163</v>
      </c>
      <c r="T1132" s="13">
        <v>12.870322580645164</v>
      </c>
      <c r="U1132" s="13">
        <f t="shared" si="407"/>
        <v>12.870322580645164</v>
      </c>
      <c r="V1132" s="7">
        <v>5.2183999999999999</v>
      </c>
      <c r="W1132" s="7">
        <v>1.6501999999999999</v>
      </c>
      <c r="X1132" s="7">
        <v>1.1476266666666699</v>
      </c>
      <c r="Y1132" s="14">
        <f t="shared" si="408"/>
        <v>4.0707733333333298</v>
      </c>
      <c r="Z1132" s="14">
        <f t="shared" si="409"/>
        <v>0.50257333333332999</v>
      </c>
      <c r="AA1132" s="36">
        <f t="shared" si="410"/>
        <v>87.654106672606105</v>
      </c>
      <c r="AB1132" s="36">
        <f t="shared" si="411"/>
        <v>12.345893327393895</v>
      </c>
      <c r="AC1132" s="14">
        <f t="shared" si="412"/>
        <v>0.97991279550272481</v>
      </c>
      <c r="AD1132" s="14">
        <f t="shared" si="413"/>
        <v>0.12097898843424998</v>
      </c>
      <c r="AE1132" s="36">
        <f>(W1132-$AS$12)/J1132</f>
        <v>0.39723461925463738</v>
      </c>
      <c r="AF1132" s="66">
        <v>16.588999999999999</v>
      </c>
      <c r="AG1132" s="66">
        <v>16.7</v>
      </c>
      <c r="AH1132" s="66">
        <f t="shared" si="406"/>
        <v>0.11100000000000065</v>
      </c>
      <c r="AI1132" s="66">
        <v>16.600000000000001</v>
      </c>
      <c r="AJ1132" s="66">
        <f t="shared" si="414"/>
        <v>1.1000000000002785E-2</v>
      </c>
      <c r="AK1132" s="66">
        <f t="shared" si="415"/>
        <v>90.090090090087642</v>
      </c>
      <c r="AL1132" s="11">
        <f t="shared" si="416"/>
        <v>4.5045045045043821</v>
      </c>
      <c r="AM1132" s="11">
        <f t="shared" si="417"/>
        <v>52.07519658386569</v>
      </c>
      <c r="AN1132" s="11">
        <f t="shared" si="418"/>
        <v>4.5054035147920182</v>
      </c>
      <c r="AO1132">
        <f t="shared" si="419"/>
        <v>0.5780346820809249</v>
      </c>
      <c r="AP1132" s="7" t="s">
        <v>113</v>
      </c>
      <c r="AQ1132" s="33" t="s">
        <v>93</v>
      </c>
      <c r="AR1132" s="7" t="s">
        <v>50</v>
      </c>
      <c r="AS1132" s="3">
        <v>68.857600000000005</v>
      </c>
    </row>
    <row r="1133" spans="1:45" x14ac:dyDescent="0.2">
      <c r="A1133" s="7" t="s">
        <v>90</v>
      </c>
      <c r="B1133" s="7" t="s">
        <v>130</v>
      </c>
      <c r="C1133" s="7" t="s">
        <v>111</v>
      </c>
      <c r="D1133" s="7" t="s">
        <v>131</v>
      </c>
      <c r="E1133" s="33" t="s">
        <v>79</v>
      </c>
      <c r="F1133" s="7">
        <v>10</v>
      </c>
      <c r="G1133" s="13">
        <v>2</v>
      </c>
      <c r="H1133" s="13">
        <v>2.4</v>
      </c>
      <c r="I1133" s="13">
        <v>1.2</v>
      </c>
      <c r="J1133" s="14">
        <f t="shared" si="404"/>
        <v>4.5592800000000011</v>
      </c>
      <c r="K1133" s="37">
        <v>0.25129032258064538</v>
      </c>
      <c r="L1133" s="12">
        <f t="shared" si="420"/>
        <v>13.721612903225809</v>
      </c>
      <c r="M1133" s="12">
        <f t="shared" si="421"/>
        <v>14.921612903225808</v>
      </c>
      <c r="N1133" s="13">
        <f t="shared" si="422"/>
        <v>14.321612903225809</v>
      </c>
      <c r="O1133" s="13">
        <f t="shared" si="423"/>
        <v>13.721612903225809</v>
      </c>
      <c r="P1133" s="13">
        <f t="shared" si="405"/>
        <v>14.921612903225808</v>
      </c>
      <c r="Q1133" s="13">
        <f t="shared" si="424"/>
        <v>14.321612903225809</v>
      </c>
      <c r="R1133" s="13">
        <v>13.721612903225809</v>
      </c>
      <c r="S1133" s="13">
        <v>14.921612903225808</v>
      </c>
      <c r="T1133" s="13">
        <v>14.321612903225809</v>
      </c>
      <c r="U1133" s="13">
        <f t="shared" si="407"/>
        <v>14.321612903225809</v>
      </c>
      <c r="V1133" s="7">
        <v>5.4364999999999997</v>
      </c>
      <c r="W1133" s="7">
        <v>1.6709000000000001</v>
      </c>
      <c r="X1133" s="7">
        <v>1.1476266666666699</v>
      </c>
      <c r="Y1133" s="14">
        <f t="shared" si="408"/>
        <v>4.2888733333333295</v>
      </c>
      <c r="Z1133" s="14">
        <f t="shared" si="409"/>
        <v>0.52327333333333015</v>
      </c>
      <c r="AA1133" s="36">
        <f t="shared" si="410"/>
        <v>87.799282173562347</v>
      </c>
      <c r="AB1133" s="36">
        <f t="shared" si="411"/>
        <v>12.200717826437653</v>
      </c>
      <c r="AC1133" s="14">
        <f t="shared" si="412"/>
        <v>0.94069092780731356</v>
      </c>
      <c r="AD1133" s="14">
        <f t="shared" si="413"/>
        <v>0.11477104572066862</v>
      </c>
      <c r="AE1133" s="36" t="s">
        <v>40</v>
      </c>
      <c r="AF1133" s="66">
        <v>16.189</v>
      </c>
      <c r="AG1133" s="66">
        <v>16.282</v>
      </c>
      <c r="AH1133" s="66">
        <f t="shared" si="406"/>
        <v>9.2999999999999972E-2</v>
      </c>
      <c r="AI1133" s="66">
        <v>16.195</v>
      </c>
      <c r="AJ1133" s="66">
        <f t="shared" si="414"/>
        <v>6.0000000000002274E-3</v>
      </c>
      <c r="AK1133" s="66">
        <f t="shared" si="415"/>
        <v>93.548387096773951</v>
      </c>
      <c r="AL1133" s="11">
        <f t="shared" si="416"/>
        <v>4.6774193548386975</v>
      </c>
      <c r="AM1133" s="11">
        <f t="shared" si="417"/>
        <v>54.074212194667027</v>
      </c>
      <c r="AN1133" s="11">
        <f t="shared" si="418"/>
        <v>4.6782851367803202</v>
      </c>
      <c r="AO1133">
        <f t="shared" si="419"/>
        <v>0.5780346820809249</v>
      </c>
      <c r="AP1133" s="7" t="s">
        <v>113</v>
      </c>
      <c r="AQ1133" s="33" t="s">
        <v>93</v>
      </c>
      <c r="AR1133" s="7" t="s">
        <v>51</v>
      </c>
      <c r="AS1133" s="3">
        <f>AS1132/60</f>
        <v>1.1476266666666668</v>
      </c>
    </row>
    <row r="1134" spans="1:45" x14ac:dyDescent="0.2">
      <c r="A1134" s="7" t="s">
        <v>90</v>
      </c>
      <c r="B1134" s="7" t="s">
        <v>132</v>
      </c>
      <c r="C1134" s="7" t="s">
        <v>111</v>
      </c>
      <c r="D1134" s="7" t="s">
        <v>133</v>
      </c>
      <c r="E1134" s="33" t="s">
        <v>79</v>
      </c>
      <c r="F1134" s="7">
        <v>11</v>
      </c>
      <c r="G1134" s="13">
        <v>2.4</v>
      </c>
      <c r="H1134" s="13">
        <v>2</v>
      </c>
      <c r="I1134" s="13">
        <v>1.2</v>
      </c>
      <c r="J1134" s="14">
        <f t="shared" si="404"/>
        <v>4.5592800000000011</v>
      </c>
      <c r="K1134" s="37">
        <v>0.25129032258064538</v>
      </c>
      <c r="L1134" s="12">
        <f t="shared" si="420"/>
        <v>15.172903225806454</v>
      </c>
      <c r="M1134" s="12">
        <f t="shared" si="421"/>
        <v>16.372903225806454</v>
      </c>
      <c r="N1134" s="13">
        <f t="shared" si="422"/>
        <v>15.772903225806454</v>
      </c>
      <c r="O1134" s="13">
        <f t="shared" si="423"/>
        <v>15.172903225806454</v>
      </c>
      <c r="P1134" s="13">
        <f t="shared" si="405"/>
        <v>16.372903225806454</v>
      </c>
      <c r="Q1134" s="13">
        <f t="shared" si="424"/>
        <v>15.772903225806454</v>
      </c>
      <c r="R1134" s="13">
        <v>15.172903225806454</v>
      </c>
      <c r="S1134" s="13">
        <v>16.372903225806454</v>
      </c>
      <c r="T1134" s="13">
        <v>15.772903225806454</v>
      </c>
      <c r="U1134" s="13">
        <f t="shared" si="407"/>
        <v>15.772903225806454</v>
      </c>
      <c r="V1134" s="7">
        <v>5.758</v>
      </c>
      <c r="W1134" s="7">
        <v>1.7534000000000001</v>
      </c>
      <c r="X1134" s="7">
        <v>1.1476266666666699</v>
      </c>
      <c r="Y1134" s="14">
        <f t="shared" si="408"/>
        <v>4.6103733333333299</v>
      </c>
      <c r="Z1134" s="14">
        <f t="shared" si="409"/>
        <v>0.60577333333333017</v>
      </c>
      <c r="AA1134" s="36">
        <f t="shared" si="410"/>
        <v>86.860644691102451</v>
      </c>
      <c r="AB1134" s="36">
        <f t="shared" si="411"/>
        <v>13.139355308897549</v>
      </c>
      <c r="AC1134" s="14">
        <f t="shared" si="412"/>
        <v>1.0112064478016987</v>
      </c>
      <c r="AD1134" s="14">
        <f t="shared" si="413"/>
        <v>0.13286600808314691</v>
      </c>
      <c r="AE1134" s="36" t="s">
        <v>40</v>
      </c>
      <c r="AF1134" s="66">
        <v>14.506</v>
      </c>
      <c r="AG1134" s="66">
        <v>14.661</v>
      </c>
      <c r="AH1134" s="66">
        <f t="shared" si="406"/>
        <v>0.15499999999999936</v>
      </c>
      <c r="AI1134" s="66">
        <v>14.513</v>
      </c>
      <c r="AJ1134" s="66">
        <f t="shared" si="414"/>
        <v>6.9999999999996732E-3</v>
      </c>
      <c r="AK1134" s="66">
        <f t="shared" si="415"/>
        <v>95.483870967742121</v>
      </c>
      <c r="AL1134" s="11">
        <f t="shared" si="416"/>
        <v>4.7741935483871059</v>
      </c>
      <c r="AM1134" s="11">
        <f t="shared" si="417"/>
        <v>55.192988998694872</v>
      </c>
      <c r="AN1134" s="11">
        <f t="shared" si="418"/>
        <v>4.7750417838445207</v>
      </c>
      <c r="AO1134">
        <f t="shared" si="419"/>
        <v>0.5780346820809249</v>
      </c>
      <c r="AP1134" s="7" t="s">
        <v>113</v>
      </c>
      <c r="AQ1134" s="33" t="s">
        <v>93</v>
      </c>
      <c r="AR1134" s="7"/>
      <c r="AS1134" s="7"/>
    </row>
    <row r="1135" spans="1:45" x14ac:dyDescent="0.2">
      <c r="A1135" s="7" t="s">
        <v>90</v>
      </c>
      <c r="B1135" s="7" t="s">
        <v>134</v>
      </c>
      <c r="C1135" s="7" t="s">
        <v>111</v>
      </c>
      <c r="D1135" s="7" t="s">
        <v>135</v>
      </c>
      <c r="E1135" s="33" t="s">
        <v>79</v>
      </c>
      <c r="F1135" s="7">
        <v>12</v>
      </c>
      <c r="G1135" s="13">
        <v>1.9</v>
      </c>
      <c r="H1135" s="13">
        <v>2.6</v>
      </c>
      <c r="I1135" s="13">
        <v>1.2</v>
      </c>
      <c r="J1135" s="14">
        <f t="shared" si="404"/>
        <v>4.7688749999999995</v>
      </c>
      <c r="K1135" s="37">
        <v>0.25129032258064538</v>
      </c>
      <c r="L1135" s="12">
        <f t="shared" si="420"/>
        <v>16.624193548387098</v>
      </c>
      <c r="M1135" s="12">
        <f t="shared" si="421"/>
        <v>17.824193548387097</v>
      </c>
      <c r="N1135" s="13">
        <f t="shared" si="422"/>
        <v>17.224193548387099</v>
      </c>
      <c r="O1135" s="13">
        <f t="shared" si="423"/>
        <v>16.624193548387098</v>
      </c>
      <c r="P1135" s="13">
        <f t="shared" si="405"/>
        <v>17.824193548387097</v>
      </c>
      <c r="Q1135" s="13">
        <f t="shared" si="424"/>
        <v>17.224193548387099</v>
      </c>
      <c r="R1135" s="13">
        <v>16.624193548387098</v>
      </c>
      <c r="S1135" s="13">
        <v>17.824193548387097</v>
      </c>
      <c r="T1135" s="13">
        <v>17.224193548387099</v>
      </c>
      <c r="U1135" s="13">
        <f t="shared" si="407"/>
        <v>17.224193548387099</v>
      </c>
      <c r="V1135" s="7">
        <v>5.8635000000000002</v>
      </c>
      <c r="W1135" s="7">
        <v>1.7894000000000001</v>
      </c>
      <c r="X1135" s="7">
        <v>1.1476266666666699</v>
      </c>
      <c r="Y1135" s="14">
        <f t="shared" si="408"/>
        <v>4.71587333333333</v>
      </c>
      <c r="Z1135" s="14">
        <f t="shared" si="409"/>
        <v>0.6417733333333302</v>
      </c>
      <c r="AA1135" s="36">
        <f t="shared" si="410"/>
        <v>86.39120926346628</v>
      </c>
      <c r="AB1135" s="36">
        <f t="shared" si="411"/>
        <v>13.60879073653372</v>
      </c>
      <c r="AC1135" s="14">
        <f t="shared" si="412"/>
        <v>0.98888591823717975</v>
      </c>
      <c r="AD1135" s="14">
        <f t="shared" si="413"/>
        <v>0.13457541523594774</v>
      </c>
      <c r="AE1135" s="36" t="s">
        <v>40</v>
      </c>
      <c r="AF1135" s="66">
        <v>17.026</v>
      </c>
      <c r="AG1135" s="66">
        <v>17.184999999999999</v>
      </c>
      <c r="AH1135" s="66">
        <f t="shared" si="406"/>
        <v>0.15899999999999892</v>
      </c>
      <c r="AI1135" s="66">
        <v>17.048999999999999</v>
      </c>
      <c r="AJ1135" s="66">
        <f t="shared" si="414"/>
        <v>2.2999999999999687E-2</v>
      </c>
      <c r="AK1135" s="66">
        <f t="shared" si="415"/>
        <v>85.534591194968655</v>
      </c>
      <c r="AL1135" s="11">
        <f t="shared" si="416"/>
        <v>4.2767295597484329</v>
      </c>
      <c r="AM1135" s="11">
        <f t="shared" si="417"/>
        <v>49.441960228305582</v>
      </c>
      <c r="AN1135" s="11">
        <f t="shared" si="418"/>
        <v>4.2776764402214935</v>
      </c>
      <c r="AO1135">
        <f t="shared" si="419"/>
        <v>0.5780346820809249</v>
      </c>
      <c r="AP1135" s="7" t="s">
        <v>113</v>
      </c>
      <c r="AQ1135" s="33" t="s">
        <v>93</v>
      </c>
      <c r="AR1135" t="s">
        <v>52</v>
      </c>
      <c r="AS1135">
        <f>1/2.05</f>
        <v>0.48780487804878053</v>
      </c>
    </row>
    <row r="1136" spans="1:45" x14ac:dyDescent="0.2">
      <c r="A1136" s="7" t="s">
        <v>90</v>
      </c>
      <c r="B1136" s="7" t="s">
        <v>136</v>
      </c>
      <c r="C1136" s="7" t="s">
        <v>111</v>
      </c>
      <c r="D1136" s="7" t="s">
        <v>137</v>
      </c>
      <c r="E1136" s="33" t="s">
        <v>79</v>
      </c>
      <c r="F1136" s="7">
        <v>13</v>
      </c>
      <c r="G1136" s="13">
        <v>1.7</v>
      </c>
      <c r="H1136" s="13">
        <v>2.2000000000000002</v>
      </c>
      <c r="I1136" s="13">
        <v>1.25</v>
      </c>
      <c r="J1136" s="14">
        <f t="shared" si="404"/>
        <v>3.7312031250000008</v>
      </c>
      <c r="K1136" s="37">
        <v>0.25129032258064538</v>
      </c>
      <c r="L1136" s="12">
        <f t="shared" si="420"/>
        <v>18.075483870967741</v>
      </c>
      <c r="M1136" s="12">
        <f t="shared" si="421"/>
        <v>19.325483870967741</v>
      </c>
      <c r="N1136" s="13">
        <f t="shared" si="422"/>
        <v>18.700483870967741</v>
      </c>
      <c r="O1136" s="13">
        <f t="shared" si="423"/>
        <v>18.075483870967741</v>
      </c>
      <c r="P1136" s="13">
        <f t="shared" si="405"/>
        <v>19.325483870967741</v>
      </c>
      <c r="Q1136" s="13">
        <f t="shared" si="424"/>
        <v>18.700483870967741</v>
      </c>
      <c r="R1136" s="13">
        <v>18.075483870967741</v>
      </c>
      <c r="S1136" s="13">
        <v>19.325483870967741</v>
      </c>
      <c r="T1136" s="13">
        <v>18.700483870967741</v>
      </c>
      <c r="U1136" s="13">
        <f t="shared" si="407"/>
        <v>18.700483870967741</v>
      </c>
      <c r="V1136" s="7">
        <v>5.0366999999999997</v>
      </c>
      <c r="W1136" s="7">
        <v>1.6841999999999999</v>
      </c>
      <c r="X1136" s="7">
        <v>1.1476266666666699</v>
      </c>
      <c r="Y1136" s="14">
        <f t="shared" si="408"/>
        <v>3.8890733333333296</v>
      </c>
      <c r="Z1136" s="14">
        <f t="shared" si="409"/>
        <v>0.53657333333333002</v>
      </c>
      <c r="AA1136" s="36">
        <f t="shared" si="410"/>
        <v>86.203054369421409</v>
      </c>
      <c r="AB1136" s="36">
        <f t="shared" si="411"/>
        <v>13.796945630578591</v>
      </c>
      <c r="AC1136" s="14">
        <f t="shared" si="412"/>
        <v>1.0423108051329499</v>
      </c>
      <c r="AD1136" s="14">
        <f t="shared" si="413"/>
        <v>0.14380705508583908</v>
      </c>
      <c r="AE1136" s="36">
        <f>(W1136-$AS$12)/J1136</f>
        <v>0.45138255505722419</v>
      </c>
      <c r="AF1136" s="66">
        <v>17.050999999999998</v>
      </c>
      <c r="AG1136" s="66">
        <v>17.2</v>
      </c>
      <c r="AH1136" s="66">
        <f t="shared" si="406"/>
        <v>0.14900000000000091</v>
      </c>
      <c r="AI1136" s="66">
        <v>17.073</v>
      </c>
      <c r="AJ1136" s="66">
        <f t="shared" si="414"/>
        <v>2.2000000000002018E-2</v>
      </c>
      <c r="AK1136" s="66">
        <f t="shared" si="415"/>
        <v>85.234899328857793</v>
      </c>
      <c r="AL1136" s="11">
        <f t="shared" si="416"/>
        <v>4.2617449664428895</v>
      </c>
      <c r="AM1136" s="11">
        <f t="shared" si="417"/>
        <v>49.268727935755955</v>
      </c>
      <c r="AN1136" s="11">
        <f t="shared" si="418"/>
        <v>4.26269517547306</v>
      </c>
      <c r="AO1136">
        <f t="shared" si="419"/>
        <v>0.5780346820809249</v>
      </c>
      <c r="AP1136" s="7" t="s">
        <v>113</v>
      </c>
      <c r="AQ1136" s="33" t="s">
        <v>93</v>
      </c>
      <c r="AR1136" t="s">
        <v>53</v>
      </c>
      <c r="AS1136">
        <f>1/1.73</f>
        <v>0.5780346820809249</v>
      </c>
    </row>
    <row r="1137" spans="1:45" x14ac:dyDescent="0.2">
      <c r="A1137" s="7" t="s">
        <v>90</v>
      </c>
      <c r="B1137" s="7" t="s">
        <v>138</v>
      </c>
      <c r="C1137" s="7" t="s">
        <v>111</v>
      </c>
      <c r="D1137" s="7" t="s">
        <v>139</v>
      </c>
      <c r="E1137" s="33" t="s">
        <v>79</v>
      </c>
      <c r="F1137" s="7">
        <v>14</v>
      </c>
      <c r="G1137" s="13">
        <v>1.9</v>
      </c>
      <c r="H1137" s="13">
        <v>2.4</v>
      </c>
      <c r="I1137" s="13">
        <v>1.2</v>
      </c>
      <c r="J1137" s="14">
        <f t="shared" si="404"/>
        <v>4.3543950000000002</v>
      </c>
      <c r="K1137" s="37">
        <v>0.25129032258064538</v>
      </c>
      <c r="L1137" s="12">
        <f t="shared" si="420"/>
        <v>19.576774193548385</v>
      </c>
      <c r="M1137" s="12">
        <f t="shared" si="421"/>
        <v>20.776774193548384</v>
      </c>
      <c r="N1137" s="13">
        <f t="shared" si="422"/>
        <v>20.176774193548383</v>
      </c>
      <c r="O1137" s="13">
        <f t="shared" si="423"/>
        <v>19.576774193548385</v>
      </c>
      <c r="P1137" s="13">
        <f t="shared" si="405"/>
        <v>20.776774193548384</v>
      </c>
      <c r="Q1137" s="13">
        <f t="shared" si="424"/>
        <v>20.176774193548383</v>
      </c>
      <c r="R1137" s="13">
        <v>19.576774193548385</v>
      </c>
      <c r="S1137" s="13">
        <v>20.776774193548384</v>
      </c>
      <c r="T1137" s="13">
        <v>20.176774193548383</v>
      </c>
      <c r="U1137" s="13">
        <f t="shared" si="407"/>
        <v>20.176774193548383</v>
      </c>
      <c r="V1137" s="7">
        <v>5.3396999999999997</v>
      </c>
      <c r="W1137" s="7">
        <v>1.7047000000000001</v>
      </c>
      <c r="X1137" s="7">
        <v>1.1476266666666699</v>
      </c>
      <c r="Y1137" s="14">
        <f t="shared" si="408"/>
        <v>4.1920733333333295</v>
      </c>
      <c r="Z1137" s="14">
        <f t="shared" si="409"/>
        <v>0.5570733333333302</v>
      </c>
      <c r="AA1137" s="36">
        <f t="shared" si="410"/>
        <v>86.711269363926576</v>
      </c>
      <c r="AB1137" s="36">
        <f t="shared" si="411"/>
        <v>13.288730636073424</v>
      </c>
      <c r="AC1137" s="14">
        <f t="shared" si="412"/>
        <v>0.96272233762286819</v>
      </c>
      <c r="AD1137" s="14">
        <f t="shared" si="413"/>
        <v>0.12793357822001222</v>
      </c>
      <c r="AE1137" s="36" t="s">
        <v>40</v>
      </c>
      <c r="AF1137" s="66">
        <v>14.596</v>
      </c>
      <c r="AG1137" s="66">
        <v>14.706</v>
      </c>
      <c r="AH1137" s="66">
        <f t="shared" si="406"/>
        <v>0.10999999999999943</v>
      </c>
      <c r="AI1137" s="66">
        <v>14.61</v>
      </c>
      <c r="AJ1137" s="66">
        <f t="shared" si="414"/>
        <v>1.3999999999999346E-2</v>
      </c>
      <c r="AK1137" s="66">
        <f t="shared" si="415"/>
        <v>87.272727272727806</v>
      </c>
      <c r="AL1137" s="11">
        <f t="shared" si="416"/>
        <v>4.3636363636363908</v>
      </c>
      <c r="AM1137" s="11">
        <f t="shared" si="417"/>
        <v>50.446663163426479</v>
      </c>
      <c r="AN1137" s="11">
        <f t="shared" si="418"/>
        <v>4.3645643899534603</v>
      </c>
      <c r="AO1137">
        <f t="shared" si="419"/>
        <v>0.5780346820809249</v>
      </c>
      <c r="AP1137" s="7" t="s">
        <v>113</v>
      </c>
      <c r="AQ1137" s="33" t="s">
        <v>93</v>
      </c>
      <c r="AR1137" s="7"/>
      <c r="AS1137" s="7"/>
    </row>
    <row r="1138" spans="1:45" x14ac:dyDescent="0.2">
      <c r="A1138" s="7" t="s">
        <v>90</v>
      </c>
      <c r="B1138" s="7" t="s">
        <v>140</v>
      </c>
      <c r="C1138" s="7" t="s">
        <v>111</v>
      </c>
      <c r="D1138" s="7" t="s">
        <v>141</v>
      </c>
      <c r="E1138" s="33" t="s">
        <v>79</v>
      </c>
      <c r="F1138" s="7">
        <v>15</v>
      </c>
      <c r="G1138" s="13">
        <v>2.5</v>
      </c>
      <c r="H1138" s="13">
        <v>1.9</v>
      </c>
      <c r="I1138" s="13">
        <v>1.1000000000000001</v>
      </c>
      <c r="J1138" s="14">
        <f t="shared" si="404"/>
        <v>4.1793400000000016</v>
      </c>
      <c r="K1138" s="37">
        <v>0.25129032258064538</v>
      </c>
      <c r="L1138" s="12">
        <f t="shared" si="420"/>
        <v>21.028064516129028</v>
      </c>
      <c r="M1138" s="12">
        <f t="shared" si="421"/>
        <v>22.128064516129029</v>
      </c>
      <c r="N1138" s="13">
        <f t="shared" si="422"/>
        <v>21.578064516129029</v>
      </c>
      <c r="O1138" s="13">
        <f t="shared" si="423"/>
        <v>21.028064516129028</v>
      </c>
      <c r="P1138" s="13">
        <f t="shared" si="405"/>
        <v>22.128064516129029</v>
      </c>
      <c r="Q1138" s="13">
        <f t="shared" si="424"/>
        <v>21.578064516129029</v>
      </c>
      <c r="R1138" s="13">
        <v>21.028064516129028</v>
      </c>
      <c r="S1138" s="13">
        <v>22.128064516129029</v>
      </c>
      <c r="T1138" s="13">
        <v>21.578064516129029</v>
      </c>
      <c r="U1138" s="13">
        <f t="shared" si="407"/>
        <v>21.578064516129029</v>
      </c>
      <c r="V1138" s="7">
        <v>5.3470000000000004</v>
      </c>
      <c r="W1138" s="7">
        <v>1.698</v>
      </c>
      <c r="X1138" s="7">
        <v>1.1476266666666699</v>
      </c>
      <c r="Y1138" s="14">
        <f t="shared" si="408"/>
        <v>4.1993733333333303</v>
      </c>
      <c r="Z1138" s="14">
        <f t="shared" si="409"/>
        <v>0.55037333333333005</v>
      </c>
      <c r="AA1138" s="36">
        <f t="shared" si="410"/>
        <v>86.893917505151634</v>
      </c>
      <c r="AB1138" s="36">
        <f t="shared" si="411"/>
        <v>13.106082494848366</v>
      </c>
      <c r="AC1138" s="14">
        <f t="shared" si="412"/>
        <v>1.0047934203327149</v>
      </c>
      <c r="AD1138" s="14">
        <f t="shared" si="413"/>
        <v>0.13168905457161414</v>
      </c>
      <c r="AE1138" s="36">
        <f>(W1138-$AS$12)/J1138</f>
        <v>0.40628424583785938</v>
      </c>
      <c r="AF1138" s="66">
        <v>15.228</v>
      </c>
      <c r="AG1138" s="66">
        <v>15.333</v>
      </c>
      <c r="AH1138" s="66">
        <f t="shared" si="406"/>
        <v>0.10500000000000043</v>
      </c>
      <c r="AI1138" s="66">
        <v>15.24</v>
      </c>
      <c r="AJ1138" s="66">
        <f t="shared" si="414"/>
        <v>1.2000000000000455E-2</v>
      </c>
      <c r="AK1138" s="66">
        <f t="shared" si="415"/>
        <v>88.571428571428186</v>
      </c>
      <c r="AL1138" s="11">
        <f t="shared" si="416"/>
        <v>4.4285714285714093</v>
      </c>
      <c r="AM1138" s="11">
        <f t="shared" si="417"/>
        <v>51.19735755573884</v>
      </c>
      <c r="AN1138" s="11">
        <f t="shared" si="418"/>
        <v>4.4294858502944798</v>
      </c>
      <c r="AO1138">
        <f t="shared" si="419"/>
        <v>0.5780346820809249</v>
      </c>
      <c r="AP1138" s="7" t="s">
        <v>113</v>
      </c>
      <c r="AQ1138" s="33" t="s">
        <v>93</v>
      </c>
      <c r="AR1138" s="7"/>
      <c r="AS1138" s="7"/>
    </row>
    <row r="1139" spans="1:45" x14ac:dyDescent="0.2">
      <c r="A1139" s="7" t="s">
        <v>90</v>
      </c>
      <c r="B1139" s="7" t="s">
        <v>142</v>
      </c>
      <c r="C1139" s="7" t="s">
        <v>111</v>
      </c>
      <c r="D1139" s="7" t="s">
        <v>143</v>
      </c>
      <c r="E1139" s="33" t="s">
        <v>79</v>
      </c>
      <c r="F1139" s="7">
        <v>16</v>
      </c>
      <c r="G1139" s="13">
        <v>1.9</v>
      </c>
      <c r="H1139" s="13">
        <v>2.2999999999999998</v>
      </c>
      <c r="I1139" s="13">
        <v>1.2</v>
      </c>
      <c r="J1139" s="14">
        <f t="shared" si="404"/>
        <v>4.1542199999999987</v>
      </c>
      <c r="K1139" s="37">
        <v>0.25129032258064538</v>
      </c>
      <c r="L1139" s="12">
        <f t="shared" si="420"/>
        <v>22.379354838709673</v>
      </c>
      <c r="M1139" s="12">
        <f t="shared" si="421"/>
        <v>23.579354838709673</v>
      </c>
      <c r="N1139" s="13">
        <f t="shared" si="422"/>
        <v>22.979354838709675</v>
      </c>
      <c r="O1139" s="13">
        <f t="shared" si="423"/>
        <v>22.379354838709673</v>
      </c>
      <c r="P1139" s="13">
        <f t="shared" si="405"/>
        <v>23.579354838709673</v>
      </c>
      <c r="Q1139" s="13">
        <f t="shared" si="424"/>
        <v>22.979354838709675</v>
      </c>
      <c r="R1139" s="13">
        <v>22.379354838709673</v>
      </c>
      <c r="S1139" s="13">
        <v>23.579354838709673</v>
      </c>
      <c r="T1139" s="13">
        <v>22.979354838709675</v>
      </c>
      <c r="U1139" s="13">
        <f t="shared" si="407"/>
        <v>22.979354838709675</v>
      </c>
      <c r="V1139" s="7">
        <v>5.4687000000000001</v>
      </c>
      <c r="W1139" s="7">
        <v>1.7349000000000001</v>
      </c>
      <c r="X1139" s="7">
        <v>1.1476266666666699</v>
      </c>
      <c r="Y1139" s="14">
        <f t="shared" si="408"/>
        <v>4.32107333333333</v>
      </c>
      <c r="Z1139" s="14">
        <f t="shared" si="409"/>
        <v>0.58727333333333021</v>
      </c>
      <c r="AA1139" s="36">
        <f t="shared" si="410"/>
        <v>86.4090866312537</v>
      </c>
      <c r="AB1139" s="36">
        <f t="shared" si="411"/>
        <v>13.5909133687463</v>
      </c>
      <c r="AC1139" s="14">
        <f t="shared" si="412"/>
        <v>1.040164780231507</v>
      </c>
      <c r="AD1139" s="14">
        <f t="shared" si="413"/>
        <v>0.14136789417347428</v>
      </c>
      <c r="AE1139" s="36" t="s">
        <v>40</v>
      </c>
      <c r="AF1139" s="66">
        <v>16.149999999999999</v>
      </c>
      <c r="AG1139" s="66">
        <v>16.260000000000002</v>
      </c>
      <c r="AH1139" s="66">
        <f t="shared" si="406"/>
        <v>0.11000000000000298</v>
      </c>
      <c r="AI1139" s="66">
        <v>16.164000000000001</v>
      </c>
      <c r="AJ1139" s="66">
        <f t="shared" si="414"/>
        <v>1.4000000000002899E-2</v>
      </c>
      <c r="AK1139" s="66">
        <f t="shared" si="415"/>
        <v>87.272727272724978</v>
      </c>
      <c r="AL1139" s="11">
        <f t="shared" si="416"/>
        <v>4.3636363636362487</v>
      </c>
      <c r="AM1139" s="11">
        <f t="shared" si="417"/>
        <v>50.446663163424844</v>
      </c>
      <c r="AN1139" s="11">
        <f t="shared" si="418"/>
        <v>4.3645643899533182</v>
      </c>
      <c r="AO1139">
        <f t="shared" si="419"/>
        <v>0.5780346820809249</v>
      </c>
      <c r="AP1139" s="7"/>
      <c r="AQ1139" s="7"/>
      <c r="AR1139" s="7"/>
      <c r="AS1139" s="7"/>
    </row>
    <row r="1140" spans="1:45" x14ac:dyDescent="0.2">
      <c r="A1140" s="7" t="s">
        <v>90</v>
      </c>
      <c r="B1140" s="7" t="s">
        <v>144</v>
      </c>
      <c r="C1140" s="7" t="s">
        <v>111</v>
      </c>
      <c r="D1140" s="7" t="s">
        <v>145</v>
      </c>
      <c r="E1140" s="33" t="s">
        <v>79</v>
      </c>
      <c r="F1140" s="7">
        <v>17</v>
      </c>
      <c r="G1140" s="13">
        <v>2</v>
      </c>
      <c r="H1140" s="13">
        <v>2.2000000000000002</v>
      </c>
      <c r="I1140" s="13">
        <v>1.2</v>
      </c>
      <c r="J1140" s="14">
        <f t="shared" si="404"/>
        <v>4.1542200000000005</v>
      </c>
      <c r="K1140" s="37">
        <v>0.25129032258064538</v>
      </c>
      <c r="L1140" s="12">
        <f t="shared" si="420"/>
        <v>23.830645161290317</v>
      </c>
      <c r="M1140" s="12">
        <f t="shared" si="421"/>
        <v>25.030645161290316</v>
      </c>
      <c r="N1140" s="13">
        <f t="shared" si="422"/>
        <v>24.430645161290315</v>
      </c>
      <c r="O1140" s="13">
        <f t="shared" si="423"/>
        <v>23.830645161290317</v>
      </c>
      <c r="P1140" s="13">
        <f t="shared" si="405"/>
        <v>25.030645161290316</v>
      </c>
      <c r="Q1140" s="13">
        <f t="shared" si="424"/>
        <v>24.430645161290315</v>
      </c>
      <c r="R1140" s="13">
        <v>23.830645161290317</v>
      </c>
      <c r="S1140" s="13">
        <v>25.030645161290316</v>
      </c>
      <c r="T1140" s="13">
        <v>24.430645161290315</v>
      </c>
      <c r="U1140" s="13">
        <f t="shared" si="407"/>
        <v>24.430645161290315</v>
      </c>
      <c r="V1140" s="7">
        <v>5.4455999999999998</v>
      </c>
      <c r="W1140" s="7">
        <v>1.7512000000000001</v>
      </c>
      <c r="X1140" s="7">
        <v>1.1476266666666699</v>
      </c>
      <c r="Y1140" s="14">
        <f t="shared" si="408"/>
        <v>4.2979733333333296</v>
      </c>
      <c r="Z1140" s="14">
        <f t="shared" si="409"/>
        <v>0.60357333333333019</v>
      </c>
      <c r="AA1140" s="36">
        <f t="shared" si="410"/>
        <v>85.956792038418172</v>
      </c>
      <c r="AB1140" s="36">
        <f t="shared" si="411"/>
        <v>14.043207961581828</v>
      </c>
      <c r="AC1140" s="14">
        <f t="shared" si="412"/>
        <v>1.0346041695753545</v>
      </c>
      <c r="AD1140" s="14">
        <f t="shared" si="413"/>
        <v>0.14529161511266378</v>
      </c>
      <c r="AE1140" s="36" t="s">
        <v>40</v>
      </c>
      <c r="AF1140" s="66">
        <v>16.745000000000001</v>
      </c>
      <c r="AG1140" s="66">
        <v>16.872</v>
      </c>
      <c r="AH1140" s="66">
        <f t="shared" si="406"/>
        <v>0.12699999999999889</v>
      </c>
      <c r="AI1140" s="66">
        <v>16.768999999999998</v>
      </c>
      <c r="AJ1140" s="66">
        <f t="shared" si="414"/>
        <v>2.3999999999997357E-2</v>
      </c>
      <c r="AK1140" s="66">
        <f t="shared" si="415"/>
        <v>81.102362204726333</v>
      </c>
      <c r="AL1140" s="11">
        <f t="shared" si="416"/>
        <v>4.0551181102363172</v>
      </c>
      <c r="AM1140" s="11">
        <f t="shared" si="417"/>
        <v>46.879978153021007</v>
      </c>
      <c r="AN1140" s="11">
        <f t="shared" si="418"/>
        <v>4.0561167251407539</v>
      </c>
      <c r="AO1140">
        <f t="shared" si="419"/>
        <v>0.5780346820809249</v>
      </c>
      <c r="AP1140" s="7"/>
      <c r="AQ1140" s="7"/>
      <c r="AR1140" s="7" t="s">
        <v>146</v>
      </c>
      <c r="AS1140" s="7"/>
    </row>
    <row r="1141" spans="1:45" x14ac:dyDescent="0.2">
      <c r="A1141" s="7" t="s">
        <v>90</v>
      </c>
      <c r="B1141" s="7" t="s">
        <v>147</v>
      </c>
      <c r="C1141" s="7" t="s">
        <v>111</v>
      </c>
      <c r="D1141" s="7" t="s">
        <v>148</v>
      </c>
      <c r="E1141" s="33" t="s">
        <v>79</v>
      </c>
      <c r="F1141" s="7">
        <v>18</v>
      </c>
      <c r="G1141" s="13">
        <v>1.9</v>
      </c>
      <c r="H1141" s="13">
        <v>2.2999999999999998</v>
      </c>
      <c r="I1141" s="13">
        <v>1.2</v>
      </c>
      <c r="J1141" s="14">
        <f t="shared" si="404"/>
        <v>4.1542199999999987</v>
      </c>
      <c r="K1141" s="37">
        <v>0.25129032258064538</v>
      </c>
      <c r="L1141" s="12">
        <f t="shared" si="420"/>
        <v>25.28193548387096</v>
      </c>
      <c r="M1141" s="12">
        <f t="shared" si="421"/>
        <v>26.481935483870959</v>
      </c>
      <c r="N1141" s="13">
        <f t="shared" si="422"/>
        <v>25.881935483870961</v>
      </c>
      <c r="O1141" s="13">
        <f t="shared" si="423"/>
        <v>25.28193548387096</v>
      </c>
      <c r="P1141" s="13">
        <f t="shared" si="405"/>
        <v>26.481935483870959</v>
      </c>
      <c r="Q1141" s="13">
        <f t="shared" si="424"/>
        <v>25.881935483870961</v>
      </c>
      <c r="R1141" s="13">
        <v>25.28193548387096</v>
      </c>
      <c r="S1141" s="13">
        <v>26.481935483870959</v>
      </c>
      <c r="T1141" s="13">
        <v>25.881935483870961</v>
      </c>
      <c r="U1141" s="13">
        <f t="shared" si="407"/>
        <v>25.881935483870961</v>
      </c>
      <c r="V1141" s="7">
        <v>5.4390999999999998</v>
      </c>
      <c r="W1141" s="7">
        <v>1.7641</v>
      </c>
      <c r="X1141" s="7">
        <v>1.1476266666666699</v>
      </c>
      <c r="Y1141" s="14">
        <f t="shared" si="408"/>
        <v>4.2914733333333297</v>
      </c>
      <c r="Z1141" s="14">
        <f t="shared" si="409"/>
        <v>0.6164733333333301</v>
      </c>
      <c r="AA1141" s="36">
        <f t="shared" si="410"/>
        <v>85.634925689856388</v>
      </c>
      <c r="AB1141" s="36">
        <f t="shared" si="411"/>
        <v>14.365074310143612</v>
      </c>
      <c r="AC1141" s="14">
        <f t="shared" si="412"/>
        <v>1.0330394955811997</v>
      </c>
      <c r="AD1141" s="14">
        <f t="shared" si="413"/>
        <v>0.1483968911933721</v>
      </c>
      <c r="AE1141" s="36" t="s">
        <v>40</v>
      </c>
      <c r="AF1141" s="66">
        <v>10.598000000000001</v>
      </c>
      <c r="AG1141" s="66">
        <v>10.747999999999999</v>
      </c>
      <c r="AH1141" s="66">
        <f t="shared" si="406"/>
        <v>0.14999999999999858</v>
      </c>
      <c r="AI1141" s="66">
        <v>10.622</v>
      </c>
      <c r="AJ1141" s="66">
        <f t="shared" si="414"/>
        <v>2.3999999999999133E-2</v>
      </c>
      <c r="AK1141" s="66">
        <f t="shared" si="415"/>
        <v>84.000000000000426</v>
      </c>
      <c r="AL1141" s="11">
        <f t="shared" si="416"/>
        <v>4.2000000000000215</v>
      </c>
      <c r="AM1141" s="11">
        <f t="shared" si="417"/>
        <v>48.554913294797934</v>
      </c>
      <c r="AN1141" s="11">
        <f t="shared" si="418"/>
        <v>4.2009641750436506</v>
      </c>
      <c r="AO1141">
        <f t="shared" si="419"/>
        <v>0.5780346820809249</v>
      </c>
      <c r="AP1141" s="7"/>
      <c r="AQ1141" s="7"/>
      <c r="AR1141" s="7" t="s">
        <v>149</v>
      </c>
      <c r="AS1141" s="7" t="s">
        <v>150</v>
      </c>
    </row>
    <row r="1142" spans="1:45" x14ac:dyDescent="0.2">
      <c r="A1142" s="7" t="s">
        <v>90</v>
      </c>
      <c r="B1142" s="7" t="s">
        <v>151</v>
      </c>
      <c r="C1142" s="7" t="s">
        <v>111</v>
      </c>
      <c r="D1142" s="7" t="s">
        <v>152</v>
      </c>
      <c r="E1142" s="33" t="s">
        <v>79</v>
      </c>
      <c r="F1142" s="7">
        <v>19</v>
      </c>
      <c r="G1142" s="13">
        <v>2.2999999999999998</v>
      </c>
      <c r="H1142" s="13">
        <v>1.9</v>
      </c>
      <c r="I1142" s="13">
        <v>1.2</v>
      </c>
      <c r="J1142" s="14">
        <f t="shared" si="404"/>
        <v>4.1542199999999987</v>
      </c>
      <c r="K1142" s="37">
        <v>0.25129032258064538</v>
      </c>
      <c r="L1142" s="12">
        <f t="shared" si="420"/>
        <v>26.733225806451603</v>
      </c>
      <c r="M1142" s="12">
        <f t="shared" si="421"/>
        <v>27.933225806451603</v>
      </c>
      <c r="N1142" s="13">
        <f t="shared" si="422"/>
        <v>27.333225806451601</v>
      </c>
      <c r="O1142" s="13">
        <f t="shared" si="423"/>
        <v>26.733225806451603</v>
      </c>
      <c r="P1142" s="13">
        <f t="shared" si="405"/>
        <v>27.933225806451603</v>
      </c>
      <c r="Q1142" s="13">
        <f t="shared" si="424"/>
        <v>27.333225806451601</v>
      </c>
      <c r="R1142" s="13">
        <v>26.733225806451603</v>
      </c>
      <c r="S1142" s="13">
        <v>27.933225806451603</v>
      </c>
      <c r="T1142" s="13">
        <v>27.333225806451601</v>
      </c>
      <c r="U1142" s="13">
        <f t="shared" si="407"/>
        <v>27.333225806451601</v>
      </c>
      <c r="V1142" s="7">
        <v>5.7333999999999996</v>
      </c>
      <c r="W1142" s="7">
        <v>1.8109</v>
      </c>
      <c r="X1142" s="7">
        <v>1.1476266666666699</v>
      </c>
      <c r="Y1142" s="14">
        <f t="shared" si="408"/>
        <v>4.5857733333333295</v>
      </c>
      <c r="Z1142" s="14">
        <f t="shared" si="409"/>
        <v>0.66327333333333005</v>
      </c>
      <c r="AA1142" s="36">
        <f t="shared" si="410"/>
        <v>85.536281775811034</v>
      </c>
      <c r="AB1142" s="36">
        <f t="shared" si="411"/>
        <v>14.463718224188966</v>
      </c>
      <c r="AC1142" s="14">
        <f t="shared" si="412"/>
        <v>1.1038831196550329</v>
      </c>
      <c r="AD1142" s="14">
        <f t="shared" si="413"/>
        <v>0.15966254395129056</v>
      </c>
      <c r="AE1142" s="36" t="s">
        <v>40</v>
      </c>
      <c r="AF1142" s="66">
        <v>10.218</v>
      </c>
      <c r="AG1142" s="66">
        <v>10.362</v>
      </c>
      <c r="AH1142" s="66">
        <f t="shared" si="406"/>
        <v>0.14400000000000013</v>
      </c>
      <c r="AI1142" s="66">
        <v>10.236000000000001</v>
      </c>
      <c r="AJ1142" s="66">
        <f t="shared" si="414"/>
        <v>1.8000000000000682E-2</v>
      </c>
      <c r="AK1142" s="66">
        <f t="shared" si="415"/>
        <v>87.499999999999531</v>
      </c>
      <c r="AL1142" s="11">
        <f t="shared" si="416"/>
        <v>4.3749999999999769</v>
      </c>
      <c r="AM1142" s="11">
        <f t="shared" si="417"/>
        <v>50.578034682080656</v>
      </c>
      <c r="AN1142" s="11">
        <f t="shared" si="418"/>
        <v>4.3759256163696154</v>
      </c>
      <c r="AO1142">
        <f t="shared" si="419"/>
        <v>0.5780346820809249</v>
      </c>
      <c r="AP1142" s="7"/>
      <c r="AQ1142" s="7"/>
      <c r="AR1142" s="7" t="s">
        <v>153</v>
      </c>
      <c r="AS1142" s="7" t="s">
        <v>154</v>
      </c>
    </row>
    <row r="1143" spans="1:45" x14ac:dyDescent="0.2">
      <c r="A1143" s="7" t="s">
        <v>90</v>
      </c>
      <c r="B1143" s="7" t="s">
        <v>155</v>
      </c>
      <c r="C1143" s="7" t="s">
        <v>111</v>
      </c>
      <c r="D1143" s="7" t="s">
        <v>156</v>
      </c>
      <c r="E1143" s="33" t="s">
        <v>79</v>
      </c>
      <c r="F1143" s="7">
        <v>20</v>
      </c>
      <c r="G1143" s="13">
        <v>2</v>
      </c>
      <c r="H1143" s="13">
        <v>2.2999999999999998</v>
      </c>
      <c r="I1143" s="13">
        <v>1.2</v>
      </c>
      <c r="J1143" s="14">
        <f t="shared" si="404"/>
        <v>4.3543950000000002</v>
      </c>
      <c r="K1143" s="37">
        <v>0.25129032258064538</v>
      </c>
      <c r="L1143" s="12">
        <f t="shared" si="420"/>
        <v>28.184516129032247</v>
      </c>
      <c r="M1143" s="12">
        <f t="shared" si="421"/>
        <v>29.384516129032246</v>
      </c>
      <c r="N1143" s="13">
        <f t="shared" si="422"/>
        <v>28.784516129032248</v>
      </c>
      <c r="O1143" s="13">
        <f t="shared" si="423"/>
        <v>28.184516129032247</v>
      </c>
      <c r="P1143" s="13">
        <f t="shared" si="405"/>
        <v>29.384516129032246</v>
      </c>
      <c r="Q1143" s="13">
        <f t="shared" si="424"/>
        <v>28.784516129032248</v>
      </c>
      <c r="R1143" s="13">
        <v>28.184516129032247</v>
      </c>
      <c r="S1143" s="13">
        <v>29.384516129032246</v>
      </c>
      <c r="T1143" s="13">
        <v>28.784516129032248</v>
      </c>
      <c r="U1143" s="13">
        <f t="shared" si="407"/>
        <v>28.784516129032248</v>
      </c>
      <c r="V1143" s="7">
        <v>6.2252999999999998</v>
      </c>
      <c r="W1143" s="7">
        <v>1.8895</v>
      </c>
      <c r="X1143" s="7">
        <v>1.1476266666666699</v>
      </c>
      <c r="Y1143" s="14">
        <f t="shared" si="408"/>
        <v>5.0776733333333297</v>
      </c>
      <c r="Z1143" s="14">
        <f t="shared" si="409"/>
        <v>0.74187333333333005</v>
      </c>
      <c r="AA1143" s="36">
        <f t="shared" si="410"/>
        <v>85.389502541190183</v>
      </c>
      <c r="AB1143" s="36">
        <f t="shared" si="411"/>
        <v>14.610497458809817</v>
      </c>
      <c r="AC1143" s="14">
        <f t="shared" si="412"/>
        <v>1.1661030598586783</v>
      </c>
      <c r="AD1143" s="14">
        <f t="shared" si="413"/>
        <v>0.17037345792775577</v>
      </c>
      <c r="AE1143" s="36">
        <f>(W1143-$AS$12)/J1143</f>
        <v>0.43392939776938011</v>
      </c>
      <c r="AF1143" s="66">
        <v>10.127000000000001</v>
      </c>
      <c r="AG1143" s="66">
        <v>10.284000000000001</v>
      </c>
      <c r="AH1143" s="66">
        <f t="shared" si="406"/>
        <v>0.15700000000000003</v>
      </c>
      <c r="AI1143" s="66">
        <v>10.141999999999999</v>
      </c>
      <c r="AJ1143" s="66">
        <f t="shared" si="414"/>
        <v>1.4999999999998792E-2</v>
      </c>
      <c r="AK1143" s="66">
        <f t="shared" si="415"/>
        <v>90.445859872612232</v>
      </c>
      <c r="AL1143" s="11">
        <f t="shared" si="416"/>
        <v>4.5222929936306118</v>
      </c>
      <c r="AM1143" s="11">
        <f t="shared" si="417"/>
        <v>52.280843857001294</v>
      </c>
      <c r="AN1143" s="11">
        <f t="shared" si="418"/>
        <v>4.5231884683528847</v>
      </c>
      <c r="AO1143">
        <f t="shared" si="419"/>
        <v>0.5780346820809249</v>
      </c>
      <c r="AP1143" s="7"/>
      <c r="AQ1143" s="7"/>
      <c r="AR1143" s="7" t="s">
        <v>157</v>
      </c>
      <c r="AS1143" s="7" t="s">
        <v>158</v>
      </c>
    </row>
    <row r="1144" spans="1:45" x14ac:dyDescent="0.2">
      <c r="A1144" s="7" t="s">
        <v>90</v>
      </c>
      <c r="B1144" s="7" t="s">
        <v>159</v>
      </c>
      <c r="C1144" s="7" t="s">
        <v>111</v>
      </c>
      <c r="D1144" s="7" t="s">
        <v>160</v>
      </c>
      <c r="E1144" s="33" t="s">
        <v>79</v>
      </c>
      <c r="F1144" s="7">
        <v>21</v>
      </c>
      <c r="G1144" s="13">
        <v>2</v>
      </c>
      <c r="H1144" s="13">
        <v>1.4</v>
      </c>
      <c r="I1144" s="13">
        <v>1.1000000000000001</v>
      </c>
      <c r="J1144" s="14">
        <f t="shared" si="404"/>
        <v>2.4955150000000001</v>
      </c>
      <c r="K1144" s="37">
        <v>0.25129032258064538</v>
      </c>
      <c r="L1144" s="12">
        <f t="shared" si="420"/>
        <v>29.63580645161289</v>
      </c>
      <c r="M1144" s="12">
        <f t="shared" si="421"/>
        <v>30.735806451612891</v>
      </c>
      <c r="N1144" s="13">
        <f t="shared" si="422"/>
        <v>30.185806451612891</v>
      </c>
      <c r="O1144" s="13">
        <f t="shared" si="423"/>
        <v>29.63580645161289</v>
      </c>
      <c r="P1144" s="13">
        <f t="shared" si="405"/>
        <v>30.735806451612891</v>
      </c>
      <c r="Q1144" s="13">
        <f t="shared" si="424"/>
        <v>30.185806451612891</v>
      </c>
      <c r="R1144" s="13">
        <v>29.63580645161289</v>
      </c>
      <c r="S1144" s="13">
        <v>30.735806451612891</v>
      </c>
      <c r="T1144" s="13">
        <v>30.185806451612891</v>
      </c>
      <c r="U1144" s="13">
        <f t="shared" si="407"/>
        <v>30.185806451612891</v>
      </c>
      <c r="V1144" s="7">
        <v>5.7862999999999998</v>
      </c>
      <c r="W1144" s="7">
        <v>1.8718999999999999</v>
      </c>
      <c r="X1144" s="7">
        <v>1.1476266666666699</v>
      </c>
      <c r="Y1144" s="14">
        <f t="shared" si="408"/>
        <v>4.6386733333333297</v>
      </c>
      <c r="Z1144" s="14">
        <f t="shared" si="409"/>
        <v>0.72427333333332999</v>
      </c>
      <c r="AA1144" s="36">
        <f t="shared" si="410"/>
        <v>84.38619662805894</v>
      </c>
      <c r="AB1144" s="36">
        <f t="shared" si="411"/>
        <v>15.61380337194106</v>
      </c>
      <c r="AC1144" s="14">
        <f t="shared" si="412"/>
        <v>1.8588040277591316</v>
      </c>
      <c r="AD1144" s="14">
        <f t="shared" si="413"/>
        <v>0.29023000596403148</v>
      </c>
      <c r="AE1144" s="36">
        <f>(W1144-$AS$12)/J1144</f>
        <v>0.75010568960715518</v>
      </c>
      <c r="AF1144" s="66">
        <v>12.99</v>
      </c>
      <c r="AG1144" s="66">
        <v>13.147</v>
      </c>
      <c r="AH1144" s="66">
        <f t="shared" si="406"/>
        <v>0.15700000000000003</v>
      </c>
      <c r="AI1144" s="66">
        <v>13.013999999999999</v>
      </c>
      <c r="AJ1144" s="66">
        <f t="shared" si="414"/>
        <v>2.3999999999999133E-2</v>
      </c>
      <c r="AK1144" s="66">
        <f t="shared" si="415"/>
        <v>84.713375796178909</v>
      </c>
      <c r="AL1144" s="11">
        <f t="shared" si="416"/>
        <v>4.2356687898089458</v>
      </c>
      <c r="AM1144" s="11">
        <f t="shared" si="417"/>
        <v>48.967269246346191</v>
      </c>
      <c r="AN1144" s="11">
        <f t="shared" si="418"/>
        <v>4.2366248473238191</v>
      </c>
      <c r="AO1144">
        <f t="shared" si="419"/>
        <v>0.5780346820809249</v>
      </c>
      <c r="AP1144" s="7"/>
      <c r="AQ1144" s="7"/>
      <c r="AR1144" s="7" t="s">
        <v>161</v>
      </c>
      <c r="AS1144" s="7" t="s">
        <v>162</v>
      </c>
    </row>
    <row r="1145" spans="1:45" x14ac:dyDescent="0.2">
      <c r="A1145" s="7" t="s">
        <v>90</v>
      </c>
      <c r="B1145" s="7" t="s">
        <v>163</v>
      </c>
      <c r="C1145" s="7" t="s">
        <v>111</v>
      </c>
      <c r="D1145" s="7" t="s">
        <v>164</v>
      </c>
      <c r="E1145" s="33" t="s">
        <v>79</v>
      </c>
      <c r="F1145" s="7">
        <v>22</v>
      </c>
      <c r="G1145" s="13">
        <v>2.2999999999999998</v>
      </c>
      <c r="H1145" s="13">
        <v>1.95</v>
      </c>
      <c r="I1145" s="13">
        <v>1.1499999999999999</v>
      </c>
      <c r="J1145" s="14">
        <f t="shared" si="404"/>
        <v>4.0764804687499998</v>
      </c>
      <c r="K1145" s="37">
        <v>0.25129032258064538</v>
      </c>
      <c r="L1145" s="12">
        <f t="shared" si="420"/>
        <v>30.987096774193535</v>
      </c>
      <c r="M1145" s="12">
        <f t="shared" si="421"/>
        <v>32.137096774193537</v>
      </c>
      <c r="N1145" s="13">
        <f t="shared" si="422"/>
        <v>31.562096774193535</v>
      </c>
      <c r="O1145" s="13">
        <f t="shared" si="423"/>
        <v>30.987096774193535</v>
      </c>
      <c r="P1145" s="13">
        <f t="shared" si="405"/>
        <v>32.137096774193537</v>
      </c>
      <c r="Q1145" s="13">
        <f t="shared" si="424"/>
        <v>31.562096774193535</v>
      </c>
      <c r="R1145" s="13">
        <v>30.987096774193535</v>
      </c>
      <c r="S1145" s="13">
        <v>32.137096774193537</v>
      </c>
      <c r="T1145" s="13">
        <v>31.562096774193535</v>
      </c>
      <c r="U1145" s="13">
        <f t="shared" si="407"/>
        <v>31.562096774193535</v>
      </c>
      <c r="V1145" s="7">
        <v>5.5427999999999997</v>
      </c>
      <c r="W1145" s="7">
        <v>1.98</v>
      </c>
      <c r="X1145" s="7">
        <v>1.1476266666666699</v>
      </c>
      <c r="Y1145" s="14">
        <f t="shared" si="408"/>
        <v>4.3951733333333296</v>
      </c>
      <c r="Z1145" s="14">
        <f t="shared" si="409"/>
        <v>0.83237333333333008</v>
      </c>
      <c r="AA1145" s="36">
        <f t="shared" si="410"/>
        <v>81.061649445755705</v>
      </c>
      <c r="AB1145" s="36">
        <f t="shared" si="411"/>
        <v>18.938350554244295</v>
      </c>
      <c r="AC1145" s="14">
        <f t="shared" si="412"/>
        <v>1.0781784353013355</v>
      </c>
      <c r="AD1145" s="14">
        <f t="shared" si="413"/>
        <v>0.20418921167763293</v>
      </c>
      <c r="AE1145" s="36">
        <f>(W1145-$AS$12)/J1145</f>
        <v>0.48571310844698867</v>
      </c>
      <c r="AF1145" s="66">
        <v>10.33</v>
      </c>
      <c r="AG1145" s="66">
        <v>10.494</v>
      </c>
      <c r="AH1145" s="66">
        <f t="shared" si="406"/>
        <v>0.1639999999999997</v>
      </c>
      <c r="AI1145" s="66">
        <v>10.37</v>
      </c>
      <c r="AJ1145" s="66">
        <f t="shared" si="414"/>
        <v>3.9999999999999147E-2</v>
      </c>
      <c r="AK1145" s="66">
        <f t="shared" si="415"/>
        <v>75.609756097561458</v>
      </c>
      <c r="AL1145" s="11">
        <f t="shared" si="416"/>
        <v>3.780487804878073</v>
      </c>
      <c r="AM1145" s="11">
        <f t="shared" si="417"/>
        <v>43.705061328070208</v>
      </c>
      <c r="AN1145" s="11">
        <f t="shared" si="418"/>
        <v>3.7815589434559698</v>
      </c>
      <c r="AO1145">
        <f t="shared" si="419"/>
        <v>0.5780346820809249</v>
      </c>
      <c r="AP1145" s="7"/>
      <c r="AQ1145" s="7"/>
      <c r="AR1145" s="7" t="s">
        <v>165</v>
      </c>
      <c r="AS1145" s="7" t="s">
        <v>166</v>
      </c>
    </row>
    <row r="1146" spans="1:45" x14ac:dyDescent="0.2">
      <c r="A1146" s="7" t="s">
        <v>90</v>
      </c>
      <c r="B1146" s="7" t="s">
        <v>167</v>
      </c>
      <c r="C1146" s="7" t="s">
        <v>111</v>
      </c>
      <c r="D1146" s="7" t="s">
        <v>168</v>
      </c>
      <c r="E1146" s="33" t="s">
        <v>79</v>
      </c>
      <c r="F1146" s="7">
        <v>23</v>
      </c>
      <c r="G1146" s="13">
        <v>2</v>
      </c>
      <c r="H1146" s="13">
        <v>2.5</v>
      </c>
      <c r="I1146" s="13">
        <v>1.2</v>
      </c>
      <c r="J1146" s="14">
        <f t="shared" si="404"/>
        <v>4.7688749999999995</v>
      </c>
      <c r="K1146" s="37">
        <v>0.25129032258064538</v>
      </c>
      <c r="L1146" s="12">
        <f t="shared" si="420"/>
        <v>32.388387096774181</v>
      </c>
      <c r="M1146" s="12">
        <f t="shared" si="421"/>
        <v>33.588387096774184</v>
      </c>
      <c r="N1146" s="13">
        <f t="shared" si="422"/>
        <v>32.988387096774183</v>
      </c>
      <c r="O1146" s="13">
        <f t="shared" si="423"/>
        <v>32.388387096774181</v>
      </c>
      <c r="P1146" s="13">
        <f t="shared" si="405"/>
        <v>33.588387096774184</v>
      </c>
      <c r="Q1146" s="13">
        <f t="shared" si="424"/>
        <v>32.988387096774183</v>
      </c>
      <c r="R1146" s="13">
        <v>32.388387096774181</v>
      </c>
      <c r="S1146" s="13">
        <v>33.588387096774184</v>
      </c>
      <c r="T1146" s="13">
        <v>32.988387096774183</v>
      </c>
      <c r="U1146" s="13">
        <f t="shared" si="407"/>
        <v>32.988387096774183</v>
      </c>
      <c r="V1146" s="7">
        <v>6.1722000000000001</v>
      </c>
      <c r="W1146" s="7">
        <v>2.1261000000000001</v>
      </c>
      <c r="X1146" s="7">
        <v>1.1476266666666699</v>
      </c>
      <c r="Y1146" s="14">
        <f t="shared" si="408"/>
        <v>5.02457333333333</v>
      </c>
      <c r="Z1146" s="14">
        <f t="shared" si="409"/>
        <v>0.9784733333333302</v>
      </c>
      <c r="AA1146" s="36">
        <f t="shared" si="410"/>
        <v>80.526240370658385</v>
      </c>
      <c r="AB1146" s="36">
        <f t="shared" si="411"/>
        <v>19.473759629341615</v>
      </c>
      <c r="AC1146" s="14">
        <f t="shared" si="412"/>
        <v>1.0536181664089184</v>
      </c>
      <c r="AD1146" s="14">
        <f t="shared" si="413"/>
        <v>0.20517906913754927</v>
      </c>
      <c r="AE1146" s="36" t="s">
        <v>40</v>
      </c>
      <c r="AF1146" s="66">
        <v>9.5190000000000001</v>
      </c>
      <c r="AG1146" s="66">
        <v>9.7230000000000008</v>
      </c>
      <c r="AH1146" s="66">
        <f t="shared" si="406"/>
        <v>0.20400000000000063</v>
      </c>
      <c r="AI1146" s="66">
        <v>9.5690000000000008</v>
      </c>
      <c r="AJ1146" s="66">
        <f t="shared" si="414"/>
        <v>5.0000000000000711E-2</v>
      </c>
      <c r="AK1146" s="66">
        <f t="shared" si="415"/>
        <v>75.490196078431097</v>
      </c>
      <c r="AL1146" s="11">
        <f t="shared" si="416"/>
        <v>3.7745098039215552</v>
      </c>
      <c r="AM1146" s="11">
        <f t="shared" si="417"/>
        <v>43.635951490422606</v>
      </c>
      <c r="AN1146" s="11">
        <f t="shared" si="418"/>
        <v>3.7755826384678617</v>
      </c>
      <c r="AO1146">
        <f t="shared" si="419"/>
        <v>0.5780346820809249</v>
      </c>
      <c r="AP1146" s="7"/>
      <c r="AQ1146" s="7"/>
      <c r="AR1146" s="7"/>
      <c r="AS1146" s="7"/>
    </row>
    <row r="1147" spans="1:45" x14ac:dyDescent="0.2">
      <c r="A1147" s="7" t="s">
        <v>90</v>
      </c>
      <c r="B1147" s="7" t="s">
        <v>169</v>
      </c>
      <c r="C1147" s="7" t="s">
        <v>111</v>
      </c>
      <c r="D1147" s="7" t="s">
        <v>170</v>
      </c>
      <c r="E1147" s="33" t="s">
        <v>79</v>
      </c>
      <c r="F1147" s="7">
        <v>24</v>
      </c>
      <c r="G1147" s="13">
        <v>2</v>
      </c>
      <c r="H1147" s="13">
        <v>2.2000000000000002</v>
      </c>
      <c r="I1147" s="13">
        <v>1.2</v>
      </c>
      <c r="J1147" s="14">
        <f t="shared" si="404"/>
        <v>4.1542200000000005</v>
      </c>
      <c r="K1147" s="37">
        <v>0.25129032258064538</v>
      </c>
      <c r="L1147" s="12">
        <f t="shared" si="420"/>
        <v>33.839677419354828</v>
      </c>
      <c r="M1147" s="12">
        <f t="shared" si="421"/>
        <v>35.039677419354831</v>
      </c>
      <c r="N1147" s="13">
        <f t="shared" si="422"/>
        <v>34.43967741935483</v>
      </c>
      <c r="O1147" s="13">
        <f t="shared" si="423"/>
        <v>33.839677419354828</v>
      </c>
      <c r="P1147" s="13">
        <f t="shared" si="405"/>
        <v>35.039677419354831</v>
      </c>
      <c r="Q1147" s="13">
        <f t="shared" si="424"/>
        <v>34.43967741935483</v>
      </c>
      <c r="R1147" s="13">
        <v>33.839677419354828</v>
      </c>
      <c r="S1147" s="13">
        <v>35.039677419354831</v>
      </c>
      <c r="T1147" s="13">
        <v>34.43967741935483</v>
      </c>
      <c r="U1147" s="13">
        <f t="shared" si="407"/>
        <v>34.43967741935483</v>
      </c>
      <c r="V1147" s="7">
        <v>5.8438999999999997</v>
      </c>
      <c r="W1147" s="7">
        <v>2.0522999999999998</v>
      </c>
      <c r="X1147" s="7">
        <v>1.1476266666666699</v>
      </c>
      <c r="Y1147" s="14">
        <f t="shared" si="408"/>
        <v>4.6962733333333295</v>
      </c>
      <c r="Z1147" s="14">
        <f t="shared" si="409"/>
        <v>0.90467333333332989</v>
      </c>
      <c r="AA1147" s="36">
        <f t="shared" si="410"/>
        <v>80.736356912786235</v>
      </c>
      <c r="AB1147" s="36">
        <f t="shared" si="411"/>
        <v>19.263643087213765</v>
      </c>
      <c r="AC1147" s="14">
        <f t="shared" si="412"/>
        <v>1.1304825775556733</v>
      </c>
      <c r="AD1147" s="14">
        <f t="shared" si="413"/>
        <v>0.21777212890345957</v>
      </c>
      <c r="AE1147" s="36" t="s">
        <v>40</v>
      </c>
      <c r="AF1147" s="66">
        <v>10.670999999999999</v>
      </c>
      <c r="AG1147" s="66">
        <v>10.82</v>
      </c>
      <c r="AH1147" s="66">
        <f t="shared" si="406"/>
        <v>0.14900000000000091</v>
      </c>
      <c r="AI1147" s="66">
        <v>10.702999999999999</v>
      </c>
      <c r="AJ1147" s="66">
        <f t="shared" si="414"/>
        <v>3.2000000000000028E-2</v>
      </c>
      <c r="AK1147" s="66">
        <f t="shared" si="415"/>
        <v>78.523489932886008</v>
      </c>
      <c r="AL1147" s="11">
        <f t="shared" si="416"/>
        <v>3.9261744966443004</v>
      </c>
      <c r="AM1147" s="11">
        <f t="shared" si="417"/>
        <v>45.389300539240473</v>
      </c>
      <c r="AN1147" s="11">
        <f t="shared" si="418"/>
        <v>3.9272058996314576</v>
      </c>
      <c r="AO1147">
        <f t="shared" si="419"/>
        <v>0.5780346820809249</v>
      </c>
      <c r="AP1147" s="7"/>
      <c r="AQ1147" s="7"/>
      <c r="AR1147" s="7"/>
      <c r="AS1147" s="7"/>
    </row>
    <row r="1148" spans="1:45" x14ac:dyDescent="0.2">
      <c r="A1148" s="7" t="s">
        <v>90</v>
      </c>
      <c r="B1148" s="7" t="s">
        <v>171</v>
      </c>
      <c r="C1148" s="7" t="s">
        <v>111</v>
      </c>
      <c r="D1148" s="7" t="s">
        <v>172</v>
      </c>
      <c r="E1148" s="33" t="s">
        <v>79</v>
      </c>
      <c r="F1148" s="7">
        <v>25</v>
      </c>
      <c r="G1148" s="13">
        <v>2</v>
      </c>
      <c r="H1148" s="13">
        <v>2.2000000000000002</v>
      </c>
      <c r="I1148" s="13">
        <v>1.2</v>
      </c>
      <c r="J1148" s="14">
        <f t="shared" si="404"/>
        <v>4.1542200000000005</v>
      </c>
      <c r="K1148" s="37">
        <v>0.25129032258064538</v>
      </c>
      <c r="L1148" s="12">
        <f t="shared" si="420"/>
        <v>35.290967741935475</v>
      </c>
      <c r="M1148" s="12">
        <f t="shared" si="421"/>
        <v>36.490967741935478</v>
      </c>
      <c r="N1148" s="13">
        <f t="shared" si="422"/>
        <v>35.890967741935476</v>
      </c>
      <c r="O1148" s="13">
        <f t="shared" si="423"/>
        <v>35.290967741935475</v>
      </c>
      <c r="P1148" s="13">
        <f t="shared" si="405"/>
        <v>36.490967741935478</v>
      </c>
      <c r="Q1148" s="13">
        <f t="shared" si="424"/>
        <v>35.890967741935476</v>
      </c>
      <c r="R1148" s="13">
        <v>35.290967741935475</v>
      </c>
      <c r="S1148" s="13">
        <v>36.490967741935478</v>
      </c>
      <c r="T1148" s="13">
        <v>35.890967741935476</v>
      </c>
      <c r="U1148" s="13">
        <f t="shared" si="407"/>
        <v>35.890967741935476</v>
      </c>
      <c r="V1148" s="7">
        <v>5.7365000000000004</v>
      </c>
      <c r="W1148" s="7">
        <v>2.0748000000000002</v>
      </c>
      <c r="X1148" s="7">
        <v>1.1476266666666699</v>
      </c>
      <c r="Y1148" s="14">
        <f t="shared" si="408"/>
        <v>4.5888733333333303</v>
      </c>
      <c r="Z1148" s="14">
        <f t="shared" si="409"/>
        <v>0.9271733333333303</v>
      </c>
      <c r="AA1148" s="36">
        <f t="shared" si="410"/>
        <v>79.795185746392406</v>
      </c>
      <c r="AB1148" s="36">
        <f t="shared" si="411"/>
        <v>20.204814253607594</v>
      </c>
      <c r="AC1148" s="14">
        <f t="shared" si="412"/>
        <v>1.1046293487907068</v>
      </c>
      <c r="AD1148" s="14">
        <f t="shared" si="413"/>
        <v>0.22318830811399737</v>
      </c>
      <c r="AE1148" s="36" t="s">
        <v>40</v>
      </c>
      <c r="AF1148" s="66">
        <v>10.193</v>
      </c>
      <c r="AG1148" s="66">
        <v>10.456</v>
      </c>
      <c r="AH1148" s="66">
        <f t="shared" si="406"/>
        <v>0.2629999999999999</v>
      </c>
      <c r="AI1148" s="66">
        <v>10.202999999999999</v>
      </c>
      <c r="AJ1148" s="66">
        <f t="shared" si="414"/>
        <v>9.9999999999997868E-3</v>
      </c>
      <c r="AK1148" s="66">
        <f t="shared" si="415"/>
        <v>96.197718631178788</v>
      </c>
      <c r="AL1148" s="11">
        <f t="shared" si="416"/>
        <v>4.8098859315589397</v>
      </c>
      <c r="AM1148" s="11">
        <f t="shared" si="417"/>
        <v>55.605617705883695</v>
      </c>
      <c r="AN1148" s="11">
        <f t="shared" si="418"/>
        <v>4.8107278736807189</v>
      </c>
      <c r="AO1148">
        <f t="shared" si="419"/>
        <v>0.5780346820809249</v>
      </c>
      <c r="AP1148" s="7"/>
      <c r="AQ1148" s="7"/>
      <c r="AR1148" s="7"/>
      <c r="AS1148" s="7"/>
    </row>
    <row r="1149" spans="1:45" x14ac:dyDescent="0.2">
      <c r="A1149" s="7" t="s">
        <v>90</v>
      </c>
      <c r="B1149" s="7" t="s">
        <v>173</v>
      </c>
      <c r="C1149" s="7" t="s">
        <v>111</v>
      </c>
      <c r="D1149" s="7" t="s">
        <v>174</v>
      </c>
      <c r="E1149" s="33" t="s">
        <v>79</v>
      </c>
      <c r="F1149" s="7">
        <v>26</v>
      </c>
      <c r="G1149" s="13">
        <v>2</v>
      </c>
      <c r="H1149" s="13">
        <v>2.2999999999999998</v>
      </c>
      <c r="I1149" s="13">
        <v>1.2</v>
      </c>
      <c r="J1149" s="14">
        <f t="shared" si="404"/>
        <v>4.3543950000000002</v>
      </c>
      <c r="K1149" s="37">
        <v>0.25129032258064538</v>
      </c>
      <c r="L1149" s="12">
        <f t="shared" si="420"/>
        <v>36.742258064516122</v>
      </c>
      <c r="M1149" s="12">
        <f t="shared" si="421"/>
        <v>37.942258064516125</v>
      </c>
      <c r="N1149" s="13">
        <f t="shared" si="422"/>
        <v>37.342258064516123</v>
      </c>
      <c r="O1149" s="13">
        <f t="shared" si="423"/>
        <v>36.742258064516122</v>
      </c>
      <c r="P1149" s="13">
        <f t="shared" si="405"/>
        <v>37.942258064516125</v>
      </c>
      <c r="Q1149" s="13">
        <f t="shared" si="424"/>
        <v>37.342258064516123</v>
      </c>
      <c r="R1149" s="13">
        <v>36.742258064516122</v>
      </c>
      <c r="S1149" s="13">
        <v>37.942258064516125</v>
      </c>
      <c r="T1149" s="13">
        <v>37.342258064516123</v>
      </c>
      <c r="U1149" s="13">
        <f t="shared" si="407"/>
        <v>37.342258064516123</v>
      </c>
      <c r="V1149" s="7">
        <v>5.9469000000000003</v>
      </c>
      <c r="W1149" s="7">
        <v>2.0895000000000001</v>
      </c>
      <c r="X1149" s="7">
        <v>1.1476266666666699</v>
      </c>
      <c r="Y1149" s="14">
        <f t="shared" si="408"/>
        <v>4.7992733333333302</v>
      </c>
      <c r="Z1149" s="14">
        <f t="shared" si="409"/>
        <v>0.94187333333333023</v>
      </c>
      <c r="AA1149" s="36">
        <f t="shared" si="410"/>
        <v>80.374667831657902</v>
      </c>
      <c r="AB1149" s="36">
        <f t="shared" si="411"/>
        <v>19.625332168342098</v>
      </c>
      <c r="AC1149" s="14">
        <f t="shared" si="412"/>
        <v>1.1021676566625971</v>
      </c>
      <c r="AD1149" s="14">
        <f t="shared" si="413"/>
        <v>0.216304063672067</v>
      </c>
      <c r="AE1149" s="36" t="s">
        <v>40</v>
      </c>
      <c r="AF1149" s="66">
        <v>9.25</v>
      </c>
      <c r="AG1149" s="66">
        <v>9.4559999999999995</v>
      </c>
      <c r="AH1149" s="66">
        <f t="shared" si="406"/>
        <v>0.20599999999999952</v>
      </c>
      <c r="AI1149" s="66">
        <v>9.298</v>
      </c>
      <c r="AJ1149" s="66">
        <f t="shared" si="414"/>
        <v>4.8000000000000043E-2</v>
      </c>
      <c r="AK1149" s="66">
        <f t="shared" si="415"/>
        <v>76.699029126213517</v>
      </c>
      <c r="AL1149" s="11">
        <f t="shared" si="416"/>
        <v>3.8349514563106761</v>
      </c>
      <c r="AM1149" s="11">
        <f t="shared" si="417"/>
        <v>44.334698916886431</v>
      </c>
      <c r="AN1149" s="11">
        <f t="shared" si="418"/>
        <v>3.8360073868880096</v>
      </c>
      <c r="AO1149">
        <f t="shared" si="419"/>
        <v>0.5780346820809249</v>
      </c>
      <c r="AP1149" s="7"/>
      <c r="AQ1149" s="7"/>
      <c r="AR1149" s="7"/>
      <c r="AS1149" s="7"/>
    </row>
    <row r="1150" spans="1:45" x14ac:dyDescent="0.2">
      <c r="A1150" s="7" t="s">
        <v>90</v>
      </c>
      <c r="B1150" s="7" t="s">
        <v>175</v>
      </c>
      <c r="C1150" s="7" t="s">
        <v>111</v>
      </c>
      <c r="D1150" s="7" t="s">
        <v>176</v>
      </c>
      <c r="E1150" s="33" t="s">
        <v>79</v>
      </c>
      <c r="F1150" s="7">
        <v>27</v>
      </c>
      <c r="G1150" s="13">
        <v>2.1</v>
      </c>
      <c r="H1150" s="13">
        <v>2.2999999999999998</v>
      </c>
      <c r="I1150" s="13">
        <v>1.1000000000000001</v>
      </c>
      <c r="J1150" s="14">
        <f t="shared" si="404"/>
        <v>4.1793400000000016</v>
      </c>
      <c r="K1150" s="37">
        <v>0.25129032258064538</v>
      </c>
      <c r="L1150" s="12">
        <f t="shared" si="420"/>
        <v>38.193548387096769</v>
      </c>
      <c r="M1150" s="12">
        <f t="shared" si="421"/>
        <v>39.29354838709677</v>
      </c>
      <c r="N1150" s="13">
        <f t="shared" si="422"/>
        <v>38.743548387096766</v>
      </c>
      <c r="O1150" s="13">
        <f t="shared" si="423"/>
        <v>38.193548387096769</v>
      </c>
      <c r="P1150" s="13">
        <f t="shared" si="405"/>
        <v>39.29354838709677</v>
      </c>
      <c r="Q1150" s="13">
        <f t="shared" si="424"/>
        <v>38.743548387096766</v>
      </c>
      <c r="R1150" s="13">
        <v>38.193548387096769</v>
      </c>
      <c r="S1150" s="13">
        <v>39.29354838709677</v>
      </c>
      <c r="T1150" s="13">
        <v>38.743548387096766</v>
      </c>
      <c r="U1150" s="13">
        <f t="shared" si="407"/>
        <v>38.743548387096766</v>
      </c>
      <c r="V1150" s="7">
        <v>5.7093999999999996</v>
      </c>
      <c r="W1150" s="7">
        <v>2.0154999999999998</v>
      </c>
      <c r="X1150" s="7">
        <v>1.1476266666666699</v>
      </c>
      <c r="Y1150" s="14">
        <f t="shared" si="408"/>
        <v>4.5617733333333295</v>
      </c>
      <c r="Z1150" s="14">
        <f t="shared" si="409"/>
        <v>0.86787333333332994</v>
      </c>
      <c r="AA1150" s="36">
        <f t="shared" si="410"/>
        <v>80.97508863512148</v>
      </c>
      <c r="AB1150" s="36">
        <f t="shared" si="411"/>
        <v>19.02491136487852</v>
      </c>
      <c r="AC1150" s="14">
        <f t="shared" si="412"/>
        <v>1.0915056763348585</v>
      </c>
      <c r="AD1150" s="14">
        <f t="shared" si="413"/>
        <v>0.20765798746532457</v>
      </c>
      <c r="AE1150" s="36">
        <f>(W1150-$AS$12)/J1150</f>
        <v>0.48225317873156981</v>
      </c>
      <c r="AF1150" s="66">
        <v>9.3710000000000004</v>
      </c>
      <c r="AG1150" s="66">
        <v>9.5990000000000002</v>
      </c>
      <c r="AH1150" s="66">
        <f t="shared" si="406"/>
        <v>0.22799999999999976</v>
      </c>
      <c r="AI1150" s="66">
        <v>9.4169999999999998</v>
      </c>
      <c r="AJ1150" s="66">
        <f t="shared" si="414"/>
        <v>4.5999999999999375E-2</v>
      </c>
      <c r="AK1150" s="66">
        <f t="shared" si="415"/>
        <v>79.824561403509023</v>
      </c>
      <c r="AL1150" s="11">
        <f t="shared" si="416"/>
        <v>3.9912280701754512</v>
      </c>
      <c r="AM1150" s="11">
        <f t="shared" si="417"/>
        <v>46.141364973126606</v>
      </c>
      <c r="AN1150" s="11">
        <f t="shared" si="418"/>
        <v>3.9922426664916624</v>
      </c>
      <c r="AO1150">
        <f t="shared" si="419"/>
        <v>0.5780346820809249</v>
      </c>
      <c r="AP1150" s="7"/>
      <c r="AQ1150" s="7"/>
      <c r="AR1150" s="7"/>
      <c r="AS1150" s="7"/>
    </row>
    <row r="1151" spans="1:45" x14ac:dyDescent="0.2">
      <c r="A1151" s="7" t="s">
        <v>90</v>
      </c>
      <c r="B1151" s="7" t="s">
        <v>177</v>
      </c>
      <c r="C1151" s="7" t="s">
        <v>111</v>
      </c>
      <c r="D1151" s="7" t="s">
        <v>178</v>
      </c>
      <c r="E1151" s="33" t="s">
        <v>79</v>
      </c>
      <c r="F1151" s="7">
        <v>28</v>
      </c>
      <c r="G1151" s="13">
        <v>1.9</v>
      </c>
      <c r="H1151" s="13">
        <v>2.7</v>
      </c>
      <c r="I1151" s="13">
        <v>1.2</v>
      </c>
      <c r="J1151" s="14">
        <f t="shared" si="404"/>
        <v>4.9831799999999991</v>
      </c>
      <c r="K1151" s="37">
        <v>0.25129032258064538</v>
      </c>
      <c r="L1151" s="12">
        <f t="shared" si="420"/>
        <v>39.544838709677414</v>
      </c>
      <c r="M1151" s="12">
        <f t="shared" si="421"/>
        <v>40.744838709677417</v>
      </c>
      <c r="N1151" s="13">
        <f t="shared" si="422"/>
        <v>40.144838709677416</v>
      </c>
      <c r="O1151" s="13">
        <f t="shared" si="423"/>
        <v>39.544838709677414</v>
      </c>
      <c r="P1151" s="13">
        <f t="shared" si="405"/>
        <v>40.744838709677417</v>
      </c>
      <c r="Q1151" s="13">
        <f t="shared" si="424"/>
        <v>40.144838709677416</v>
      </c>
      <c r="R1151" s="13">
        <v>39.544838709677414</v>
      </c>
      <c r="S1151" s="13">
        <v>40.744838709677417</v>
      </c>
      <c r="T1151" s="13">
        <v>40.144838709677416</v>
      </c>
      <c r="U1151" s="13">
        <f t="shared" si="407"/>
        <v>40.144838709677416</v>
      </c>
      <c r="V1151" s="7">
        <v>6.1078999999999999</v>
      </c>
      <c r="W1151" s="7">
        <v>2.3908999999999998</v>
      </c>
      <c r="X1151" s="7">
        <v>1.1476266666666699</v>
      </c>
      <c r="Y1151" s="14">
        <f t="shared" si="408"/>
        <v>4.9602733333333298</v>
      </c>
      <c r="Z1151" s="14">
        <f t="shared" si="409"/>
        <v>1.2432733333333299</v>
      </c>
      <c r="AA1151" s="36">
        <f t="shared" si="410"/>
        <v>74.935386625199456</v>
      </c>
      <c r="AB1151" s="36">
        <f t="shared" si="411"/>
        <v>25.064613374800544</v>
      </c>
      <c r="AC1151" s="14">
        <f t="shared" si="412"/>
        <v>0.99540320304169838</v>
      </c>
      <c r="AD1151" s="14">
        <f t="shared" si="413"/>
        <v>0.24949396436278243</v>
      </c>
      <c r="AE1151" s="36">
        <f>(W1151-$AS$12)/J1151</f>
        <v>0.47979402710718866</v>
      </c>
      <c r="AF1151" s="66">
        <v>10.273999999999999</v>
      </c>
      <c r="AG1151" s="66">
        <v>10.489000000000001</v>
      </c>
      <c r="AH1151" s="66">
        <f t="shared" si="406"/>
        <v>0.21500000000000163</v>
      </c>
      <c r="AI1151" s="66">
        <v>10.356999999999999</v>
      </c>
      <c r="AJ1151" s="66">
        <f t="shared" si="414"/>
        <v>8.3000000000000185E-2</v>
      </c>
      <c r="AK1151" s="66">
        <f t="shared" si="415"/>
        <v>61.395348837209504</v>
      </c>
      <c r="AL1151" s="11">
        <f t="shared" si="416"/>
        <v>3.0697674418604755</v>
      </c>
      <c r="AM1151" s="11">
        <f t="shared" si="417"/>
        <v>35.48864094636388</v>
      </c>
      <c r="AN1151" s="11">
        <f t="shared" si="418"/>
        <v>3.0710864766571797</v>
      </c>
      <c r="AO1151">
        <f t="shared" si="419"/>
        <v>0.5780346820809249</v>
      </c>
      <c r="AP1151" s="7"/>
      <c r="AQ1151" s="7"/>
      <c r="AR1151" s="7"/>
      <c r="AS1151" s="7"/>
    </row>
    <row r="1152" spans="1:45" x14ac:dyDescent="0.2">
      <c r="A1152" s="7" t="s">
        <v>90</v>
      </c>
      <c r="B1152" s="7" t="s">
        <v>179</v>
      </c>
      <c r="C1152" s="7" t="s">
        <v>111</v>
      </c>
      <c r="D1152" s="7" t="s">
        <v>180</v>
      </c>
      <c r="E1152" s="33" t="s">
        <v>79</v>
      </c>
      <c r="F1152" s="7">
        <v>29</v>
      </c>
      <c r="G1152" s="13">
        <v>2.4</v>
      </c>
      <c r="H1152" s="13">
        <v>1.9</v>
      </c>
      <c r="I1152" s="13">
        <v>1.1000000000000001</v>
      </c>
      <c r="J1152" s="14">
        <f t="shared" si="404"/>
        <v>3.9915287500000001</v>
      </c>
      <c r="K1152" s="37">
        <v>0.25129032258064538</v>
      </c>
      <c r="L1152" s="12">
        <f t="shared" si="420"/>
        <v>40.996129032258061</v>
      </c>
      <c r="M1152" s="12">
        <f t="shared" si="421"/>
        <v>42.096129032258062</v>
      </c>
      <c r="N1152" s="13">
        <f t="shared" si="422"/>
        <v>41.546129032258065</v>
      </c>
      <c r="O1152" s="13">
        <f t="shared" si="423"/>
        <v>40.996129032258061</v>
      </c>
      <c r="P1152" s="13">
        <f t="shared" si="405"/>
        <v>42.096129032258062</v>
      </c>
      <c r="Q1152" s="13">
        <f t="shared" si="424"/>
        <v>41.546129032258065</v>
      </c>
      <c r="R1152" s="13">
        <v>40.996129032258061</v>
      </c>
      <c r="S1152" s="13">
        <v>42.096129032258062</v>
      </c>
      <c r="T1152" s="13">
        <v>41.546129032258065</v>
      </c>
      <c r="U1152" s="13">
        <f t="shared" si="407"/>
        <v>41.546129032258065</v>
      </c>
      <c r="V1152" s="7">
        <v>5.8041</v>
      </c>
      <c r="W1152" s="7">
        <v>2.0882000000000001</v>
      </c>
      <c r="X1152" s="7">
        <v>1.1476266666666699</v>
      </c>
      <c r="Y1152" s="14">
        <f t="shared" si="408"/>
        <v>4.6564733333333299</v>
      </c>
      <c r="Z1152" s="14">
        <f t="shared" si="409"/>
        <v>0.94057333333333015</v>
      </c>
      <c r="AA1152" s="36">
        <f t="shared" si="410"/>
        <v>79.800736179454887</v>
      </c>
      <c r="AB1152" s="36">
        <f t="shared" si="411"/>
        <v>20.199263820545113</v>
      </c>
      <c r="AC1152" s="14">
        <f t="shared" si="412"/>
        <v>1.1665889499939917</v>
      </c>
      <c r="AD1152" s="14">
        <f t="shared" si="413"/>
        <v>0.23564237971061341</v>
      </c>
      <c r="AE1152" s="36" t="s">
        <v>40</v>
      </c>
      <c r="AF1152" s="66">
        <v>9.5649999999999995</v>
      </c>
      <c r="AG1152" s="66">
        <v>9.7409999999999997</v>
      </c>
      <c r="AH1152" s="66">
        <f t="shared" si="406"/>
        <v>0.17600000000000016</v>
      </c>
      <c r="AI1152" s="66">
        <v>9.6039999999999992</v>
      </c>
      <c r="AJ1152" s="66">
        <f t="shared" si="414"/>
        <v>3.8999999999999702E-2</v>
      </c>
      <c r="AK1152" s="66">
        <f t="shared" si="415"/>
        <v>77.840909090909278</v>
      </c>
      <c r="AL1152" s="11">
        <f t="shared" si="416"/>
        <v>3.8920454545454639</v>
      </c>
      <c r="AM1152" s="11">
        <f t="shared" si="417"/>
        <v>44.994745139253922</v>
      </c>
      <c r="AN1152" s="11">
        <f t="shared" si="418"/>
        <v>3.8930858994180966</v>
      </c>
      <c r="AO1152">
        <f t="shared" si="419"/>
        <v>0.5780346820809249</v>
      </c>
      <c r="AP1152" s="7"/>
      <c r="AQ1152" s="7"/>
      <c r="AR1152" s="7"/>
      <c r="AS1152" s="7"/>
    </row>
    <row r="1153" spans="1:45" x14ac:dyDescent="0.2">
      <c r="A1153" s="7" t="s">
        <v>90</v>
      </c>
      <c r="B1153" s="7" t="s">
        <v>181</v>
      </c>
      <c r="C1153" s="7" t="s">
        <v>111</v>
      </c>
      <c r="D1153" s="7" t="s">
        <v>182</v>
      </c>
      <c r="E1153" s="33" t="s">
        <v>79</v>
      </c>
      <c r="F1153" s="7">
        <v>30</v>
      </c>
      <c r="G1153" s="13">
        <v>2.2999999999999998</v>
      </c>
      <c r="H1153" s="13">
        <v>1.8</v>
      </c>
      <c r="I1153" s="13">
        <v>1.1000000000000001</v>
      </c>
      <c r="J1153" s="14">
        <f t="shared" si="404"/>
        <v>3.6288587499999996</v>
      </c>
      <c r="K1153" s="37">
        <v>0.25129032258064538</v>
      </c>
      <c r="L1153" s="12">
        <f t="shared" si="420"/>
        <v>42.347419354838706</v>
      </c>
      <c r="M1153" s="12">
        <f t="shared" si="421"/>
        <v>43.447419354838708</v>
      </c>
      <c r="N1153" s="13">
        <f t="shared" si="422"/>
        <v>42.897419354838703</v>
      </c>
      <c r="O1153" s="13">
        <f t="shared" si="423"/>
        <v>42.347419354838706</v>
      </c>
      <c r="P1153" s="13">
        <f t="shared" si="405"/>
        <v>43.447419354838708</v>
      </c>
      <c r="Q1153" s="13">
        <f t="shared" si="424"/>
        <v>42.897419354838703</v>
      </c>
      <c r="R1153" s="13">
        <v>42.347419354838706</v>
      </c>
      <c r="S1153" s="13">
        <v>43.447419354838708</v>
      </c>
      <c r="T1153" s="13">
        <v>42.897419354838703</v>
      </c>
      <c r="U1153" s="13">
        <f t="shared" si="407"/>
        <v>42.897419354838703</v>
      </c>
      <c r="V1153" s="7">
        <v>5.7081</v>
      </c>
      <c r="W1153" s="7">
        <v>2.0737999999999999</v>
      </c>
      <c r="X1153" s="7">
        <v>1.1476266666666699</v>
      </c>
      <c r="Y1153" s="14">
        <f t="shared" si="408"/>
        <v>4.5604733333333298</v>
      </c>
      <c r="Z1153" s="14">
        <f t="shared" si="409"/>
        <v>0.92617333333332996</v>
      </c>
      <c r="AA1153" s="36">
        <f t="shared" si="410"/>
        <v>79.691289354467642</v>
      </c>
      <c r="AB1153" s="36">
        <f t="shared" si="411"/>
        <v>20.308710645532358</v>
      </c>
      <c r="AC1153" s="14">
        <f t="shared" si="412"/>
        <v>1.2567238483265104</v>
      </c>
      <c r="AD1153" s="14">
        <f t="shared" si="413"/>
        <v>0.25522440997002988</v>
      </c>
      <c r="AE1153" s="36" t="s">
        <v>40</v>
      </c>
      <c r="AF1153" s="66">
        <v>12.013999999999999</v>
      </c>
      <c r="AG1153" s="66">
        <v>12.223000000000001</v>
      </c>
      <c r="AH1153" s="66">
        <f t="shared" si="406"/>
        <v>0.20900000000000141</v>
      </c>
      <c r="AI1153" s="66">
        <v>12.058999999999999</v>
      </c>
      <c r="AJ1153" s="66">
        <f t="shared" si="414"/>
        <v>4.4999999999999929E-2</v>
      </c>
      <c r="AK1153" s="66">
        <f t="shared" si="415"/>
        <v>78.46889952153127</v>
      </c>
      <c r="AL1153" s="11">
        <f t="shared" si="416"/>
        <v>3.9234449760765635</v>
      </c>
      <c r="AM1153" s="11">
        <f t="shared" si="417"/>
        <v>45.357745388168368</v>
      </c>
      <c r="AN1153" s="11">
        <f t="shared" si="418"/>
        <v>3.9244770964168496</v>
      </c>
      <c r="AO1153">
        <f t="shared" si="419"/>
        <v>0.5780346820809249</v>
      </c>
      <c r="AP1153" s="7"/>
      <c r="AQ1153" s="7"/>
      <c r="AR1153" s="7"/>
      <c r="AS1153" s="7"/>
    </row>
    <row r="1154" spans="1:45" x14ac:dyDescent="0.2">
      <c r="A1154" s="7" t="s">
        <v>90</v>
      </c>
      <c r="B1154" s="7" t="s">
        <v>183</v>
      </c>
      <c r="C1154" s="7" t="s">
        <v>111</v>
      </c>
      <c r="D1154" s="7" t="s">
        <v>184</v>
      </c>
      <c r="E1154" s="33" t="s">
        <v>79</v>
      </c>
      <c r="F1154" s="7">
        <v>31</v>
      </c>
      <c r="G1154" s="13">
        <v>2.2000000000000002</v>
      </c>
      <c r="H1154" s="13">
        <v>1.8</v>
      </c>
      <c r="I1154" s="13">
        <v>1.1499999999999999</v>
      </c>
      <c r="J1154" s="14">
        <f t="shared" si="404"/>
        <v>3.6109999999999998</v>
      </c>
      <c r="K1154" s="37">
        <v>0.25129032258064538</v>
      </c>
      <c r="L1154" s="12">
        <f t="shared" si="420"/>
        <v>43.698709677419352</v>
      </c>
      <c r="M1154" s="12">
        <f t="shared" si="421"/>
        <v>44.84870967741935</v>
      </c>
      <c r="N1154" s="13">
        <f t="shared" si="422"/>
        <v>44.273709677419347</v>
      </c>
      <c r="O1154" s="13">
        <f t="shared" si="423"/>
        <v>43.698709677419352</v>
      </c>
      <c r="P1154" s="13">
        <f t="shared" si="405"/>
        <v>44.84870967741935</v>
      </c>
      <c r="Q1154" s="13">
        <f t="shared" si="424"/>
        <v>44.273709677419347</v>
      </c>
      <c r="R1154" s="13">
        <v>43.698709677419352</v>
      </c>
      <c r="S1154" s="13">
        <v>44.84870967741935</v>
      </c>
      <c r="T1154" s="13">
        <v>44.273709677419347</v>
      </c>
      <c r="U1154" s="13">
        <f t="shared" si="407"/>
        <v>44.273709677419347</v>
      </c>
      <c r="V1154" s="7">
        <v>5.2582000000000004</v>
      </c>
      <c r="W1154" s="7">
        <v>1.9985999999999999</v>
      </c>
      <c r="X1154" s="7">
        <v>1.1476266666666699</v>
      </c>
      <c r="Y1154" s="14">
        <f t="shared" si="408"/>
        <v>4.1105733333333303</v>
      </c>
      <c r="Z1154" s="14">
        <f t="shared" si="409"/>
        <v>0.85097333333333003</v>
      </c>
      <c r="AA1154" s="36">
        <f t="shared" si="410"/>
        <v>79.297940595472554</v>
      </c>
      <c r="AB1154" s="36">
        <f t="shared" si="411"/>
        <v>20.702059404527446</v>
      </c>
      <c r="AC1154" s="14">
        <f t="shared" si="412"/>
        <v>1.1383476414658904</v>
      </c>
      <c r="AD1154" s="14">
        <f t="shared" si="413"/>
        <v>0.23566140496630575</v>
      </c>
      <c r="AE1154" s="36" t="s">
        <v>40</v>
      </c>
      <c r="AF1154" s="66">
        <v>12.151999999999999</v>
      </c>
      <c r="AG1154" s="66">
        <v>12.333</v>
      </c>
      <c r="AH1154" s="66">
        <f t="shared" si="406"/>
        <v>0.18100000000000094</v>
      </c>
      <c r="AI1154" s="66">
        <v>12.183999999999999</v>
      </c>
      <c r="AJ1154" s="66">
        <f t="shared" si="414"/>
        <v>3.2000000000000028E-2</v>
      </c>
      <c r="AK1154" s="66">
        <f t="shared" si="415"/>
        <v>82.32044198895035</v>
      </c>
      <c r="AL1154" s="11">
        <f t="shared" si="416"/>
        <v>4.1160220994475178</v>
      </c>
      <c r="AM1154" s="11">
        <f t="shared" si="417"/>
        <v>47.584070513844139</v>
      </c>
      <c r="AN1154" s="11">
        <f t="shared" si="418"/>
        <v>4.1170059415964353</v>
      </c>
      <c r="AO1154">
        <f t="shared" si="419"/>
        <v>0.5780346820809249</v>
      </c>
      <c r="AP1154" s="7"/>
      <c r="AQ1154" s="7"/>
      <c r="AR1154" s="7"/>
      <c r="AS1154" s="7"/>
    </row>
    <row r="1155" spans="1:45" x14ac:dyDescent="0.2">
      <c r="A1155" s="7" t="s">
        <v>90</v>
      </c>
      <c r="B1155" s="7" t="s">
        <v>185</v>
      </c>
      <c r="C1155" s="7" t="s">
        <v>111</v>
      </c>
      <c r="D1155" s="7" t="s">
        <v>186</v>
      </c>
      <c r="E1155" s="33" t="s">
        <v>79</v>
      </c>
      <c r="F1155" s="7">
        <v>32</v>
      </c>
      <c r="G1155" s="13">
        <v>1.8</v>
      </c>
      <c r="H1155" s="13">
        <v>2.2000000000000002</v>
      </c>
      <c r="I1155" s="13">
        <v>1.9</v>
      </c>
      <c r="J1155" s="14">
        <f t="shared" si="404"/>
        <v>5.9660000000000002</v>
      </c>
      <c r="K1155" s="37">
        <v>0.25129032258064538</v>
      </c>
      <c r="L1155" s="12">
        <f t="shared" si="420"/>
        <v>45.099999999999994</v>
      </c>
      <c r="M1155" s="12">
        <f t="shared" si="421"/>
        <v>46.999999999999993</v>
      </c>
      <c r="N1155" s="13">
        <f t="shared" si="422"/>
        <v>46.05</v>
      </c>
      <c r="O1155" s="13">
        <f t="shared" si="423"/>
        <v>45.099999999999994</v>
      </c>
      <c r="P1155" s="13">
        <f t="shared" si="405"/>
        <v>46.999999999999993</v>
      </c>
      <c r="Q1155" s="13">
        <f t="shared" si="424"/>
        <v>46.05</v>
      </c>
      <c r="R1155" s="13">
        <v>45.099999999999994</v>
      </c>
      <c r="S1155" s="13">
        <v>46.999999999999993</v>
      </c>
      <c r="T1155" s="13">
        <v>46.05</v>
      </c>
      <c r="U1155" s="13">
        <f t="shared" si="407"/>
        <v>46.05</v>
      </c>
      <c r="V1155" s="7">
        <v>7.4080000000000004</v>
      </c>
      <c r="W1155" s="7">
        <v>2.5444</v>
      </c>
      <c r="X1155" s="7">
        <v>1.1476266666666699</v>
      </c>
      <c r="Y1155" s="14">
        <f t="shared" si="408"/>
        <v>6.2603733333333302</v>
      </c>
      <c r="Z1155" s="14">
        <f t="shared" si="409"/>
        <v>1.3967733333333301</v>
      </c>
      <c r="AA1155" s="36">
        <f t="shared" si="410"/>
        <v>77.688657545449928</v>
      </c>
      <c r="AB1155" s="36">
        <f t="shared" si="411"/>
        <v>22.311342454550072</v>
      </c>
      <c r="AC1155" s="14">
        <f t="shared" si="412"/>
        <v>1.0493418259023348</v>
      </c>
      <c r="AD1155" s="14">
        <f t="shared" si="413"/>
        <v>0.23412224829589842</v>
      </c>
      <c r="AE1155" s="36">
        <f>(W1155-$AS$12)/J1155</f>
        <v>0.42648340596714718</v>
      </c>
      <c r="AF1155" s="66">
        <v>13.228</v>
      </c>
      <c r="AG1155" s="66">
        <v>13.568</v>
      </c>
      <c r="AH1155" s="66">
        <f t="shared" si="406"/>
        <v>0.33999999999999986</v>
      </c>
      <c r="AI1155" s="66">
        <v>13.315</v>
      </c>
      <c r="AJ1155" s="66">
        <f t="shared" si="414"/>
        <v>8.6999999999999744E-2</v>
      </c>
      <c r="AK1155" s="66">
        <f t="shared" si="415"/>
        <v>74.411764705882419</v>
      </c>
      <c r="AL1155" s="11">
        <f t="shared" si="416"/>
        <v>3.7205882352941213</v>
      </c>
      <c r="AM1155" s="11">
        <f t="shared" si="417"/>
        <v>43.012580754845331</v>
      </c>
      <c r="AN1155" s="11">
        <f t="shared" si="418"/>
        <v>3.721676613652646</v>
      </c>
      <c r="AO1155">
        <f t="shared" si="419"/>
        <v>0.5780346820809249</v>
      </c>
      <c r="AP1155" s="7"/>
      <c r="AQ1155" s="7"/>
      <c r="AR1155" s="7"/>
      <c r="AS1155" s="7"/>
    </row>
    <row r="1156" spans="1:45" x14ac:dyDescent="0.2">
      <c r="A1156" s="7" t="s">
        <v>90</v>
      </c>
      <c r="B1156" s="7" t="s">
        <v>187</v>
      </c>
      <c r="C1156" s="7" t="s">
        <v>188</v>
      </c>
      <c r="D1156" s="7" t="s">
        <v>189</v>
      </c>
      <c r="E1156" s="33" t="s">
        <v>80</v>
      </c>
      <c r="F1156" s="7">
        <v>33</v>
      </c>
      <c r="G1156" s="13">
        <v>1.6</v>
      </c>
      <c r="H1156" s="13">
        <v>1.6</v>
      </c>
      <c r="I1156" s="13">
        <v>0.8</v>
      </c>
      <c r="J1156" s="14">
        <f t="shared" si="404"/>
        <v>1.6076800000000002</v>
      </c>
      <c r="K1156" s="37">
        <v>0.13648648648648623</v>
      </c>
      <c r="L1156" s="3">
        <v>0</v>
      </c>
      <c r="M1156" s="12">
        <f>L1156+I1156</f>
        <v>0.8</v>
      </c>
      <c r="N1156" s="13">
        <f>L1156+((M1156-L1156)/2)</f>
        <v>0.4</v>
      </c>
      <c r="O1156" s="13">
        <v>40</v>
      </c>
      <c r="P1156" s="13">
        <f t="shared" si="405"/>
        <v>40.799999999999997</v>
      </c>
      <c r="Q1156" s="13">
        <f t="shared" si="424"/>
        <v>40.4</v>
      </c>
      <c r="R1156" s="13">
        <v>40</v>
      </c>
      <c r="S1156" s="13">
        <v>40.799999999999997</v>
      </c>
      <c r="T1156" s="13">
        <v>40.4</v>
      </c>
      <c r="U1156" s="13">
        <f t="shared" si="407"/>
        <v>40.4</v>
      </c>
      <c r="V1156" s="7">
        <v>3.0335000000000001</v>
      </c>
      <c r="W1156" s="7">
        <v>1.4285000000000001</v>
      </c>
      <c r="X1156" s="7">
        <v>1.1476266666666699</v>
      </c>
      <c r="Y1156" s="14">
        <f t="shared" si="408"/>
        <v>1.8858733333333302</v>
      </c>
      <c r="Z1156" s="14">
        <f t="shared" si="409"/>
        <v>0.2808733333333302</v>
      </c>
      <c r="AA1156" s="36">
        <f t="shared" si="410"/>
        <v>85.106458192667731</v>
      </c>
      <c r="AB1156" s="36">
        <f t="shared" si="411"/>
        <v>14.893541807332269</v>
      </c>
      <c r="AC1156" s="14">
        <f t="shared" si="412"/>
        <v>1.1730402401804649</v>
      </c>
      <c r="AD1156" s="14">
        <f t="shared" si="413"/>
        <v>0.17470723858810844</v>
      </c>
      <c r="AE1156" s="36" t="s">
        <v>40</v>
      </c>
      <c r="AF1156" s="66">
        <v>10.606999999999999</v>
      </c>
      <c r="AG1156" s="66">
        <v>10.693</v>
      </c>
      <c r="AH1156" s="66">
        <f t="shared" si="406"/>
        <v>8.6000000000000298E-2</v>
      </c>
      <c r="AI1156" s="66">
        <v>10.615</v>
      </c>
      <c r="AJ1156" s="66">
        <f t="shared" si="414"/>
        <v>8.0000000000008953E-3</v>
      </c>
      <c r="AK1156" s="66">
        <f t="shared" si="415"/>
        <v>90.69767441860364</v>
      </c>
      <c r="AL1156" s="11">
        <f t="shared" si="416"/>
        <v>4.534883720930182</v>
      </c>
      <c r="AM1156" s="11">
        <f t="shared" si="417"/>
        <v>52.426401398036788</v>
      </c>
      <c r="AN1156" s="11">
        <f t="shared" si="418"/>
        <v>4.5357767099315609</v>
      </c>
      <c r="AO1156">
        <f t="shared" si="419"/>
        <v>0.5780346820809249</v>
      </c>
      <c r="AP1156" s="7"/>
      <c r="AQ1156" s="7"/>
      <c r="AR1156" s="67" t="s">
        <v>43</v>
      </c>
      <c r="AS1156" s="3">
        <v>48</v>
      </c>
    </row>
    <row r="1157" spans="1:45" x14ac:dyDescent="0.2">
      <c r="A1157" s="7" t="s">
        <v>90</v>
      </c>
      <c r="B1157" s="7" t="s">
        <v>190</v>
      </c>
      <c r="C1157" s="7" t="s">
        <v>188</v>
      </c>
      <c r="D1157" s="7" t="s">
        <v>191</v>
      </c>
      <c r="E1157" s="33" t="s">
        <v>80</v>
      </c>
      <c r="F1157" s="7">
        <v>34</v>
      </c>
      <c r="G1157" s="13">
        <v>2</v>
      </c>
      <c r="H1157" s="13">
        <v>2.2999999999999998</v>
      </c>
      <c r="I1157" s="13">
        <v>1.25</v>
      </c>
      <c r="J1157" s="14">
        <f t="shared" si="404"/>
        <v>4.5358281250000001</v>
      </c>
      <c r="K1157" s="37">
        <v>0.13648648648648623</v>
      </c>
      <c r="L1157" s="12">
        <f>M1156+K1157</f>
        <v>0.93648648648648625</v>
      </c>
      <c r="M1157" s="12">
        <f>L1157+I1157</f>
        <v>2.1864864864864861</v>
      </c>
      <c r="N1157" s="13">
        <f>L1157+((M1157-L1157)/2)</f>
        <v>1.5614864864864861</v>
      </c>
      <c r="O1157" s="13">
        <f>P1156+K1157</f>
        <v>40.93648648648648</v>
      </c>
      <c r="P1157" s="13">
        <f t="shared" si="405"/>
        <v>42.18648648648648</v>
      </c>
      <c r="Q1157" s="13">
        <f t="shared" si="424"/>
        <v>41.56148648648648</v>
      </c>
      <c r="R1157" s="13">
        <v>40.93648648648648</v>
      </c>
      <c r="S1157" s="13">
        <v>42.18648648648648</v>
      </c>
      <c r="T1157" s="13">
        <v>41.56148648648648</v>
      </c>
      <c r="U1157" s="13">
        <f t="shared" si="407"/>
        <v>41.56148648648648</v>
      </c>
      <c r="V1157" s="7">
        <v>5.2590000000000003</v>
      </c>
      <c r="W1157" s="7">
        <v>1.9204000000000001</v>
      </c>
      <c r="X1157" s="7">
        <v>1.1476266666666699</v>
      </c>
      <c r="Y1157" s="14">
        <f t="shared" si="408"/>
        <v>4.1113733333333302</v>
      </c>
      <c r="Z1157" s="14">
        <f t="shared" si="409"/>
        <v>0.7727733333333302</v>
      </c>
      <c r="AA1157" s="36">
        <f t="shared" si="410"/>
        <v>81.204009690192791</v>
      </c>
      <c r="AB1157" s="36">
        <f t="shared" si="411"/>
        <v>18.795990309807209</v>
      </c>
      <c r="AC1157" s="14">
        <f t="shared" si="412"/>
        <v>0.90642176467683733</v>
      </c>
      <c r="AD1157" s="14">
        <f t="shared" si="413"/>
        <v>0.17037094705464179</v>
      </c>
      <c r="AE1157" s="36" t="s">
        <v>40</v>
      </c>
      <c r="AF1157" s="66">
        <v>12.013</v>
      </c>
      <c r="AG1157" s="66">
        <v>12.239000000000001</v>
      </c>
      <c r="AH1157" s="66">
        <f t="shared" si="406"/>
        <v>0.22600000000000087</v>
      </c>
      <c r="AI1157" s="66">
        <v>12.064</v>
      </c>
      <c r="AJ1157" s="66">
        <f t="shared" si="414"/>
        <v>5.1000000000000156E-2</v>
      </c>
      <c r="AK1157" s="66">
        <f t="shared" si="415"/>
        <v>77.433628318584084</v>
      </c>
      <c r="AL1157" s="11">
        <f t="shared" si="416"/>
        <v>3.8716814159292046</v>
      </c>
      <c r="AM1157" s="11">
        <f t="shared" si="417"/>
        <v>44.759322727505257</v>
      </c>
      <c r="AN1157" s="11">
        <f t="shared" si="418"/>
        <v>3.8727273317975244</v>
      </c>
      <c r="AO1157">
        <f t="shared" si="419"/>
        <v>0.5780346820809249</v>
      </c>
      <c r="AP1157" s="7"/>
      <c r="AQ1157" s="7"/>
      <c r="AR1157" s="67" t="s">
        <v>44</v>
      </c>
      <c r="AS1157" s="3" t="s">
        <v>54</v>
      </c>
    </row>
    <row r="1158" spans="1:45" x14ac:dyDescent="0.2">
      <c r="A1158" s="7" t="s">
        <v>90</v>
      </c>
      <c r="B1158" s="7" t="s">
        <v>192</v>
      </c>
      <c r="C1158" s="7" t="s">
        <v>188</v>
      </c>
      <c r="D1158" s="7" t="s">
        <v>193</v>
      </c>
      <c r="E1158" s="33" t="s">
        <v>80</v>
      </c>
      <c r="F1158" s="7">
        <v>35</v>
      </c>
      <c r="G1158" s="13">
        <v>2.2999999999999998</v>
      </c>
      <c r="H1158" s="13">
        <v>2</v>
      </c>
      <c r="I1158" s="13">
        <v>1.2</v>
      </c>
      <c r="J1158" s="14">
        <f t="shared" si="404"/>
        <v>4.3543950000000002</v>
      </c>
      <c r="K1158" s="37">
        <v>0.13648648648648623</v>
      </c>
      <c r="L1158" s="12">
        <f t="shared" ref="L1158:L1193" si="425">M1157+K1158</f>
        <v>2.3229729729729724</v>
      </c>
      <c r="M1158" s="12">
        <f t="shared" ref="M1158:M1193" si="426">L1158+I1158</f>
        <v>3.5229729729729726</v>
      </c>
      <c r="N1158" s="13">
        <f t="shared" ref="N1158:N1193" si="427">L1158+((M1158-L1158)/2)</f>
        <v>2.9229729729729725</v>
      </c>
      <c r="O1158" s="13">
        <f t="shared" ref="O1158:O1193" si="428">P1157+K1158</f>
        <v>42.322972972972963</v>
      </c>
      <c r="P1158" s="13">
        <f t="shared" si="405"/>
        <v>43.522972972972966</v>
      </c>
      <c r="Q1158" s="13">
        <f t="shared" si="424"/>
        <v>42.922972972972964</v>
      </c>
      <c r="R1158" s="13">
        <v>42.322972972972963</v>
      </c>
      <c r="S1158" s="13">
        <v>43.522972972972966</v>
      </c>
      <c r="T1158" s="13">
        <v>42.922972972972964</v>
      </c>
      <c r="U1158" s="13">
        <f t="shared" si="407"/>
        <v>42.922972972972964</v>
      </c>
      <c r="V1158" s="7">
        <v>5.6075999999999997</v>
      </c>
      <c r="W1158" s="7">
        <v>2.1739000000000002</v>
      </c>
      <c r="X1158" s="7">
        <v>1.1476266666666699</v>
      </c>
      <c r="Y1158" s="14">
        <f t="shared" si="408"/>
        <v>4.4599733333333296</v>
      </c>
      <c r="Z1158" s="14">
        <f t="shared" si="409"/>
        <v>1.0262733333333303</v>
      </c>
      <c r="AA1158" s="36">
        <f t="shared" si="410"/>
        <v>76.989249562030309</v>
      </c>
      <c r="AB1158" s="36">
        <f t="shared" si="411"/>
        <v>23.010750437969691</v>
      </c>
      <c r="AC1158" s="14">
        <f t="shared" si="412"/>
        <v>1.024246384017373</v>
      </c>
      <c r="AD1158" s="14">
        <f t="shared" si="413"/>
        <v>0.23568677929616633</v>
      </c>
      <c r="AE1158" s="36" t="s">
        <v>40</v>
      </c>
      <c r="AF1158" s="66">
        <v>12.28</v>
      </c>
      <c r="AG1158" s="66">
        <v>12.531000000000001</v>
      </c>
      <c r="AH1158" s="66">
        <f t="shared" si="406"/>
        <v>0.25100000000000122</v>
      </c>
      <c r="AI1158" s="66">
        <v>12.37</v>
      </c>
      <c r="AJ1158" s="66">
        <f t="shared" si="414"/>
        <v>8.9999999999999858E-2</v>
      </c>
      <c r="AK1158" s="66">
        <f t="shared" si="415"/>
        <v>64.143426294820955</v>
      </c>
      <c r="AL1158" s="11">
        <f t="shared" si="416"/>
        <v>3.2071713147410481</v>
      </c>
      <c r="AM1158" s="11">
        <f t="shared" si="417"/>
        <v>37.077125025908067</v>
      </c>
      <c r="AN1158" s="11">
        <f t="shared" si="418"/>
        <v>3.208433861262816</v>
      </c>
      <c r="AO1158">
        <f t="shared" si="419"/>
        <v>0.5780346820809249</v>
      </c>
      <c r="AP1158" s="7"/>
      <c r="AQ1158" s="7"/>
      <c r="AR1158" s="67" t="s">
        <v>46</v>
      </c>
      <c r="AS1158" s="12">
        <f>SUM(I1156:I1193)</f>
        <v>42.95000000000001</v>
      </c>
    </row>
    <row r="1159" spans="1:45" x14ac:dyDescent="0.2">
      <c r="A1159" s="7" t="s">
        <v>90</v>
      </c>
      <c r="B1159" s="7" t="s">
        <v>194</v>
      </c>
      <c r="C1159" s="7" t="s">
        <v>188</v>
      </c>
      <c r="D1159" s="7" t="s">
        <v>195</v>
      </c>
      <c r="E1159" s="33" t="s">
        <v>80</v>
      </c>
      <c r="F1159" s="7">
        <v>36</v>
      </c>
      <c r="G1159" s="13">
        <v>2.5</v>
      </c>
      <c r="H1159" s="13">
        <v>2</v>
      </c>
      <c r="I1159" s="13">
        <v>1.2</v>
      </c>
      <c r="J1159" s="14">
        <f t="shared" si="404"/>
        <v>4.7688749999999995</v>
      </c>
      <c r="K1159" s="37">
        <v>0.13648648648648623</v>
      </c>
      <c r="L1159" s="12">
        <f>M1158+K1159</f>
        <v>3.6594594594594589</v>
      </c>
      <c r="M1159" s="12">
        <f t="shared" si="426"/>
        <v>4.8594594594594591</v>
      </c>
      <c r="N1159" s="13">
        <f t="shared" si="427"/>
        <v>4.2594594594594586</v>
      </c>
      <c r="O1159" s="13">
        <f t="shared" si="428"/>
        <v>43.659459459459448</v>
      </c>
      <c r="P1159" s="13">
        <f t="shared" si="405"/>
        <v>44.859459459459451</v>
      </c>
      <c r="Q1159" s="13">
        <f t="shared" si="424"/>
        <v>44.25945945945945</v>
      </c>
      <c r="R1159" s="13">
        <v>43.659459459459448</v>
      </c>
      <c r="S1159" s="13">
        <v>44.859459459459451</v>
      </c>
      <c r="T1159" s="13">
        <v>44.25945945945945</v>
      </c>
      <c r="U1159" s="13">
        <f t="shared" si="407"/>
        <v>44.25945945945945</v>
      </c>
      <c r="V1159" s="7">
        <v>5.8952999999999998</v>
      </c>
      <c r="W1159" s="7">
        <v>1.9854000000000001</v>
      </c>
      <c r="X1159" s="7">
        <v>1.1476266666666699</v>
      </c>
      <c r="Y1159" s="14">
        <f t="shared" si="408"/>
        <v>4.7476733333333296</v>
      </c>
      <c r="Z1159" s="14">
        <f t="shared" si="409"/>
        <v>0.83777333333333015</v>
      </c>
      <c r="AA1159" s="36">
        <f t="shared" si="410"/>
        <v>82.354023233836699</v>
      </c>
      <c r="AB1159" s="36">
        <f t="shared" si="411"/>
        <v>17.645976766163301</v>
      </c>
      <c r="AC1159" s="14">
        <f t="shared" si="412"/>
        <v>0.99555415760180965</v>
      </c>
      <c r="AD1159" s="14">
        <f t="shared" si="413"/>
        <v>0.17567525534498812</v>
      </c>
      <c r="AE1159" s="36" t="s">
        <v>40</v>
      </c>
      <c r="AF1159" s="66">
        <v>10.026</v>
      </c>
      <c r="AG1159" s="66">
        <v>10.221</v>
      </c>
      <c r="AH1159" s="66">
        <f t="shared" si="406"/>
        <v>0.19500000000000028</v>
      </c>
      <c r="AI1159" s="66">
        <v>10.069000000000001</v>
      </c>
      <c r="AJ1159" s="66">
        <f t="shared" si="414"/>
        <v>4.3000000000001037E-2</v>
      </c>
      <c r="AK1159" s="66">
        <f t="shared" si="415"/>
        <v>77.948717948717444</v>
      </c>
      <c r="AL1159" s="11">
        <f t="shared" si="416"/>
        <v>3.8974358974358725</v>
      </c>
      <c r="AM1159" s="11">
        <f t="shared" si="417"/>
        <v>45.057062398102573</v>
      </c>
      <c r="AN1159" s="11">
        <f t="shared" si="418"/>
        <v>3.8984749036798694</v>
      </c>
      <c r="AO1159">
        <f t="shared" si="419"/>
        <v>0.5780346820809249</v>
      </c>
      <c r="AP1159" s="7"/>
      <c r="AQ1159" s="7"/>
      <c r="AR1159" s="67" t="s">
        <v>47</v>
      </c>
      <c r="AS1159" s="12">
        <f>AS1156-AS1158</f>
        <v>5.0499999999999901</v>
      </c>
    </row>
    <row r="1160" spans="1:45" x14ac:dyDescent="0.2">
      <c r="A1160" s="7" t="s">
        <v>90</v>
      </c>
      <c r="B1160" s="7" t="s">
        <v>196</v>
      </c>
      <c r="C1160" s="7" t="s">
        <v>188</v>
      </c>
      <c r="D1160" s="7" t="s">
        <v>197</v>
      </c>
      <c r="E1160" s="33" t="s">
        <v>80</v>
      </c>
      <c r="F1160" s="7">
        <v>37</v>
      </c>
      <c r="G1160" s="13">
        <v>2.5</v>
      </c>
      <c r="H1160" s="13">
        <v>2</v>
      </c>
      <c r="I1160" s="13">
        <v>1.3</v>
      </c>
      <c r="J1160" s="14">
        <f t="shared" si="404"/>
        <v>5.1662812500000008</v>
      </c>
      <c r="K1160" s="37">
        <v>0.13648648648648623</v>
      </c>
      <c r="L1160" s="12">
        <f t="shared" si="425"/>
        <v>4.9959459459459454</v>
      </c>
      <c r="M1160" s="12">
        <f t="shared" si="426"/>
        <v>6.2959459459459453</v>
      </c>
      <c r="N1160" s="13">
        <f t="shared" si="427"/>
        <v>5.6459459459459449</v>
      </c>
      <c r="O1160" s="13">
        <f t="shared" si="428"/>
        <v>44.995945945945934</v>
      </c>
      <c r="P1160" s="13">
        <f t="shared" si="405"/>
        <v>46.295945945945931</v>
      </c>
      <c r="Q1160" s="13">
        <f t="shared" si="424"/>
        <v>45.645945945945932</v>
      </c>
      <c r="R1160" s="13">
        <v>44.995945945945934</v>
      </c>
      <c r="S1160" s="13">
        <v>46.295945945945931</v>
      </c>
      <c r="T1160" s="13">
        <v>45.645945945945932</v>
      </c>
      <c r="U1160" s="13">
        <f t="shared" si="407"/>
        <v>45.645945945945932</v>
      </c>
      <c r="V1160" s="7">
        <v>6.0548000000000002</v>
      </c>
      <c r="W1160" s="7">
        <v>2.0752000000000002</v>
      </c>
      <c r="X1160" s="7">
        <v>1.1476266666666699</v>
      </c>
      <c r="Y1160" s="14">
        <f t="shared" si="408"/>
        <v>4.9071733333333301</v>
      </c>
      <c r="Z1160" s="14">
        <f t="shared" si="409"/>
        <v>0.92757333333333025</v>
      </c>
      <c r="AA1160" s="36">
        <f t="shared" si="410"/>
        <v>81.097604051755567</v>
      </c>
      <c r="AB1160" s="36">
        <f t="shared" si="411"/>
        <v>18.902395948244433</v>
      </c>
      <c r="AC1160" s="14">
        <f t="shared" si="412"/>
        <v>0.94984633934386153</v>
      </c>
      <c r="AD1160" s="14">
        <f t="shared" si="413"/>
        <v>0.17954371596268207</v>
      </c>
      <c r="AE1160" s="36" t="s">
        <v>40</v>
      </c>
      <c r="AF1160" s="66">
        <v>12.744999999999999</v>
      </c>
      <c r="AG1160" s="66">
        <v>12.98</v>
      </c>
      <c r="AH1160" s="66">
        <f t="shared" si="406"/>
        <v>0.23500000000000121</v>
      </c>
      <c r="AI1160" s="66">
        <v>12.802</v>
      </c>
      <c r="AJ1160" s="66">
        <f t="shared" si="414"/>
        <v>5.7000000000000384E-2</v>
      </c>
      <c r="AK1160" s="66">
        <f t="shared" si="415"/>
        <v>75.744680851063791</v>
      </c>
      <c r="AL1160" s="11">
        <f t="shared" si="416"/>
        <v>3.7872340425531896</v>
      </c>
      <c r="AM1160" s="11">
        <f t="shared" si="417"/>
        <v>43.783052515065776</v>
      </c>
      <c r="AN1160" s="11">
        <f t="shared" si="418"/>
        <v>3.7883032736402948</v>
      </c>
      <c r="AO1160">
        <f t="shared" si="419"/>
        <v>0.5780346820809249</v>
      </c>
      <c r="AP1160" s="7"/>
      <c r="AQ1160" s="7"/>
      <c r="AR1160" s="67" t="s">
        <v>48</v>
      </c>
      <c r="AS1160" s="3">
        <v>37</v>
      </c>
    </row>
    <row r="1161" spans="1:45" x14ac:dyDescent="0.2">
      <c r="A1161" s="7" t="s">
        <v>90</v>
      </c>
      <c r="B1161" s="7" t="s">
        <v>198</v>
      </c>
      <c r="C1161" s="7" t="s">
        <v>188</v>
      </c>
      <c r="D1161" s="7" t="s">
        <v>199</v>
      </c>
      <c r="E1161" s="33" t="s">
        <v>80</v>
      </c>
      <c r="F1161" s="7">
        <v>38</v>
      </c>
      <c r="G1161" s="13">
        <v>2.5</v>
      </c>
      <c r="H1161" s="13">
        <v>2.5</v>
      </c>
      <c r="I1161" s="13">
        <v>1.1499999999999999</v>
      </c>
      <c r="J1161" s="14">
        <f t="shared" si="404"/>
        <v>5.6421875000000004</v>
      </c>
      <c r="K1161" s="37">
        <v>0.13648648648648623</v>
      </c>
      <c r="L1161" s="12">
        <f t="shared" si="425"/>
        <v>6.4324324324324316</v>
      </c>
      <c r="M1161" s="12">
        <f t="shared" si="426"/>
        <v>7.5824324324324319</v>
      </c>
      <c r="N1161" s="13">
        <f t="shared" si="427"/>
        <v>7.0074324324324317</v>
      </c>
      <c r="O1161" s="13">
        <f t="shared" si="428"/>
        <v>46.432432432432414</v>
      </c>
      <c r="P1161" s="13">
        <f t="shared" si="405"/>
        <v>47.582432432432412</v>
      </c>
      <c r="Q1161" s="13">
        <f t="shared" si="424"/>
        <v>47.00743243243241</v>
      </c>
      <c r="R1161" s="13">
        <v>46.432432432432414</v>
      </c>
      <c r="S1161" s="13">
        <v>47.582432432432412</v>
      </c>
      <c r="T1161" s="13">
        <v>47.00743243243241</v>
      </c>
      <c r="U1161" s="13">
        <f t="shared" si="407"/>
        <v>47.00743243243241</v>
      </c>
      <c r="V1161" s="7">
        <v>6.2633000000000001</v>
      </c>
      <c r="W1161" s="7">
        <v>2.0689000000000002</v>
      </c>
      <c r="X1161" s="7">
        <v>1.1476266666666699</v>
      </c>
      <c r="Y1161" s="14">
        <f t="shared" si="408"/>
        <v>5.11567333333333</v>
      </c>
      <c r="Z1161" s="14">
        <f t="shared" si="409"/>
        <v>0.92127333333333028</v>
      </c>
      <c r="AA1161" s="36">
        <f t="shared" si="410"/>
        <v>81.991161802095831</v>
      </c>
      <c r="AB1161" s="36">
        <f t="shared" si="411"/>
        <v>18.008838197904169</v>
      </c>
      <c r="AC1161" s="14">
        <f t="shared" si="412"/>
        <v>0.90668261792670479</v>
      </c>
      <c r="AD1161" s="14">
        <f t="shared" si="413"/>
        <v>0.16328300563094195</v>
      </c>
      <c r="AE1161" s="36">
        <f>(W1161-$AS$12)/J1161</f>
        <v>0.36668402104680142</v>
      </c>
      <c r="AF1161" s="66">
        <v>12.406000000000001</v>
      </c>
      <c r="AG1161" s="66">
        <v>12.621</v>
      </c>
      <c r="AH1161" s="66">
        <f t="shared" si="406"/>
        <v>0.21499999999999986</v>
      </c>
      <c r="AI1161" s="66">
        <v>12.456</v>
      </c>
      <c r="AJ1161" s="66">
        <f t="shared" si="414"/>
        <v>4.9999999999998934E-2</v>
      </c>
      <c r="AK1161" s="66">
        <f t="shared" si="415"/>
        <v>76.744186046512112</v>
      </c>
      <c r="AL1161" s="11">
        <f t="shared" si="416"/>
        <v>3.837209302325606</v>
      </c>
      <c r="AM1161" s="11">
        <f t="shared" si="417"/>
        <v>44.36080118295498</v>
      </c>
      <c r="AN1161" s="11">
        <f t="shared" si="418"/>
        <v>3.8382646117554433</v>
      </c>
      <c r="AO1161">
        <f t="shared" si="419"/>
        <v>0.5780346820809249</v>
      </c>
      <c r="AP1161" s="7"/>
      <c r="AQ1161" s="7"/>
      <c r="AR1161" s="67" t="s">
        <v>49</v>
      </c>
      <c r="AS1161" s="9">
        <f>AS1159/AS1160</f>
        <v>0.13648648648648623</v>
      </c>
    </row>
    <row r="1162" spans="1:45" x14ac:dyDescent="0.2">
      <c r="A1162" s="7" t="s">
        <v>90</v>
      </c>
      <c r="B1162" s="7" t="s">
        <v>200</v>
      </c>
      <c r="C1162" s="7" t="s">
        <v>188</v>
      </c>
      <c r="D1162" s="7" t="s">
        <v>201</v>
      </c>
      <c r="E1162" s="33" t="s">
        <v>80</v>
      </c>
      <c r="F1162" s="7">
        <v>39</v>
      </c>
      <c r="G1162" s="13">
        <v>2</v>
      </c>
      <c r="H1162" s="13">
        <v>2.6</v>
      </c>
      <c r="I1162" s="13">
        <v>1.2</v>
      </c>
      <c r="J1162" s="14">
        <f t="shared" si="404"/>
        <v>4.9831799999999991</v>
      </c>
      <c r="K1162" s="37">
        <v>0.13648648648648623</v>
      </c>
      <c r="L1162" s="12">
        <f t="shared" si="425"/>
        <v>7.7189189189189182</v>
      </c>
      <c r="M1162" s="12">
        <f t="shared" si="426"/>
        <v>8.9189189189189175</v>
      </c>
      <c r="N1162" s="13">
        <f t="shared" si="427"/>
        <v>8.3189189189189179</v>
      </c>
      <c r="O1162" s="13">
        <f t="shared" si="428"/>
        <v>47.718918918918895</v>
      </c>
      <c r="P1162" s="13">
        <f t="shared" si="405"/>
        <v>48.918918918918898</v>
      </c>
      <c r="Q1162" s="13">
        <f t="shared" si="424"/>
        <v>48.318918918918897</v>
      </c>
      <c r="R1162" s="13">
        <v>47.718918918918895</v>
      </c>
      <c r="S1162" s="13">
        <v>48.918918918918898</v>
      </c>
      <c r="T1162" s="13">
        <v>48.318918918918897</v>
      </c>
      <c r="U1162" s="13">
        <f t="shared" si="407"/>
        <v>48.318918918918897</v>
      </c>
      <c r="V1162" s="7">
        <v>6.4404000000000003</v>
      </c>
      <c r="W1162" s="7">
        <v>2.2138</v>
      </c>
      <c r="X1162" s="7">
        <v>1.1476266666666699</v>
      </c>
      <c r="Y1162" s="14">
        <f t="shared" si="408"/>
        <v>5.2927733333333302</v>
      </c>
      <c r="Z1162" s="14">
        <f t="shared" si="409"/>
        <v>1.0661733333333301</v>
      </c>
      <c r="AA1162" s="36">
        <f t="shared" si="410"/>
        <v>79.856055300560811</v>
      </c>
      <c r="AB1162" s="36">
        <f t="shared" si="411"/>
        <v>20.143944699439189</v>
      </c>
      <c r="AC1162" s="14">
        <f t="shared" si="412"/>
        <v>1.0621276641287956</v>
      </c>
      <c r="AD1162" s="14">
        <f t="shared" si="413"/>
        <v>0.21395440929954973</v>
      </c>
      <c r="AE1162" s="36" t="s">
        <v>40</v>
      </c>
      <c r="AF1162" s="66">
        <v>13.118</v>
      </c>
      <c r="AG1162" s="66">
        <v>13.337</v>
      </c>
      <c r="AH1162" s="66">
        <f t="shared" si="406"/>
        <v>0.21899999999999942</v>
      </c>
      <c r="AI1162" s="66">
        <v>13.178000000000001</v>
      </c>
      <c r="AJ1162" s="66">
        <f t="shared" si="414"/>
        <v>6.0000000000000497E-2</v>
      </c>
      <c r="AK1162" s="66">
        <f t="shared" si="415"/>
        <v>72.602739726027096</v>
      </c>
      <c r="AL1162" s="11">
        <f t="shared" si="416"/>
        <v>3.6301369863013551</v>
      </c>
      <c r="AM1162" s="11">
        <f t="shared" si="417"/>
        <v>41.966901575738206</v>
      </c>
      <c r="AN1162" s="11">
        <f t="shared" si="418"/>
        <v>3.631252475291836</v>
      </c>
      <c r="AO1162">
        <f t="shared" si="419"/>
        <v>0.5780346820809249</v>
      </c>
      <c r="AP1162" s="7"/>
      <c r="AQ1162" s="7"/>
      <c r="AR1162" s="7"/>
      <c r="AS1162" s="7"/>
    </row>
    <row r="1163" spans="1:45" x14ac:dyDescent="0.2">
      <c r="A1163" s="7" t="s">
        <v>90</v>
      </c>
      <c r="B1163" s="7" t="s">
        <v>202</v>
      </c>
      <c r="C1163" s="7" t="s">
        <v>188</v>
      </c>
      <c r="D1163" s="7" t="s">
        <v>203</v>
      </c>
      <c r="E1163" s="33" t="s">
        <v>80</v>
      </c>
      <c r="F1163" s="7">
        <v>40</v>
      </c>
      <c r="G1163" s="13">
        <v>2.2999999999999998</v>
      </c>
      <c r="H1163" s="13">
        <v>2.1</v>
      </c>
      <c r="I1163" s="13">
        <v>1.2</v>
      </c>
      <c r="J1163" s="14">
        <f t="shared" si="404"/>
        <v>4.5592800000000011</v>
      </c>
      <c r="K1163" s="37">
        <v>0.13648648648648623</v>
      </c>
      <c r="L1163" s="12">
        <f t="shared" si="425"/>
        <v>9.0554054054054038</v>
      </c>
      <c r="M1163" s="12">
        <f t="shared" si="426"/>
        <v>10.255405405405403</v>
      </c>
      <c r="N1163" s="13">
        <f t="shared" si="427"/>
        <v>9.6554054054054035</v>
      </c>
      <c r="O1163" s="13">
        <f t="shared" si="428"/>
        <v>49.055405405405381</v>
      </c>
      <c r="P1163" s="13">
        <f t="shared" si="405"/>
        <v>50.255405405405384</v>
      </c>
      <c r="Q1163" s="13">
        <f t="shared" si="424"/>
        <v>49.655405405405382</v>
      </c>
      <c r="R1163" s="13">
        <v>49.055405405405381</v>
      </c>
      <c r="S1163" s="13">
        <v>50.255405405405384</v>
      </c>
      <c r="T1163" s="13">
        <v>49.655405405405382</v>
      </c>
      <c r="U1163" s="13">
        <f t="shared" si="407"/>
        <v>49.655405405405382</v>
      </c>
      <c r="V1163" s="7">
        <v>6.0069999999999997</v>
      </c>
      <c r="W1163" s="7">
        <v>2.0876000000000001</v>
      </c>
      <c r="X1163" s="7">
        <v>1.1476266666666699</v>
      </c>
      <c r="Y1163" s="14">
        <f t="shared" si="408"/>
        <v>4.8593733333333295</v>
      </c>
      <c r="Z1163" s="14">
        <f t="shared" si="409"/>
        <v>0.93997333333333022</v>
      </c>
      <c r="AA1163" s="36">
        <f t="shared" si="410"/>
        <v>80.656490686041877</v>
      </c>
      <c r="AB1163" s="36">
        <f t="shared" si="411"/>
        <v>19.343509313958123</v>
      </c>
      <c r="AC1163" s="14">
        <f t="shared" si="412"/>
        <v>1.0658203342048149</v>
      </c>
      <c r="AD1163" s="14">
        <f t="shared" si="413"/>
        <v>0.20616705561696802</v>
      </c>
      <c r="AE1163" s="36" t="s">
        <v>40</v>
      </c>
      <c r="AF1163" s="66">
        <v>14.561999999999999</v>
      </c>
      <c r="AG1163" s="66">
        <v>14.81</v>
      </c>
      <c r="AH1163" s="66">
        <f t="shared" si="406"/>
        <v>0.24800000000000111</v>
      </c>
      <c r="AI1163" s="66">
        <v>14.617000000000001</v>
      </c>
      <c r="AJ1163" s="66">
        <f t="shared" si="414"/>
        <v>5.5000000000001492E-2</v>
      </c>
      <c r="AK1163" s="66">
        <f t="shared" si="415"/>
        <v>77.822580645160784</v>
      </c>
      <c r="AL1163" s="11">
        <f t="shared" si="416"/>
        <v>3.8911290322580392</v>
      </c>
      <c r="AM1163" s="11">
        <f t="shared" si="417"/>
        <v>44.98415066194265</v>
      </c>
      <c r="AN1163" s="11">
        <f t="shared" si="418"/>
        <v>3.8921697221063454</v>
      </c>
      <c r="AO1163">
        <f t="shared" si="419"/>
        <v>0.5780346820809249</v>
      </c>
      <c r="AP1163" s="7"/>
      <c r="AQ1163" s="7"/>
      <c r="AR1163" s="7"/>
      <c r="AS1163" s="7"/>
    </row>
    <row r="1164" spans="1:45" x14ac:dyDescent="0.2">
      <c r="A1164" s="7" t="s">
        <v>90</v>
      </c>
      <c r="B1164" s="7" t="s">
        <v>204</v>
      </c>
      <c r="C1164" s="7" t="s">
        <v>188</v>
      </c>
      <c r="D1164" s="7" t="s">
        <v>205</v>
      </c>
      <c r="E1164" s="33" t="s">
        <v>80</v>
      </c>
      <c r="F1164" s="7">
        <v>41</v>
      </c>
      <c r="G1164" s="13">
        <v>2</v>
      </c>
      <c r="H1164" s="13">
        <v>2.6</v>
      </c>
      <c r="I1164" s="13">
        <v>1.1000000000000001</v>
      </c>
      <c r="J1164" s="14">
        <f t="shared" si="404"/>
        <v>4.5679150000000002</v>
      </c>
      <c r="K1164" s="37">
        <v>0.13648648648648623</v>
      </c>
      <c r="L1164" s="12">
        <f t="shared" si="425"/>
        <v>10.391891891891889</v>
      </c>
      <c r="M1164" s="12">
        <f t="shared" si="426"/>
        <v>11.491891891891889</v>
      </c>
      <c r="N1164" s="13">
        <f t="shared" si="427"/>
        <v>10.941891891891888</v>
      </c>
      <c r="O1164" s="13">
        <f t="shared" si="428"/>
        <v>50.391891891891866</v>
      </c>
      <c r="P1164" s="13">
        <f t="shared" si="405"/>
        <v>51.491891891891868</v>
      </c>
      <c r="Q1164" s="13">
        <f t="shared" si="424"/>
        <v>50.941891891891871</v>
      </c>
      <c r="R1164" s="13">
        <v>50.391891891891866</v>
      </c>
      <c r="S1164" s="13">
        <v>51.491891891891868</v>
      </c>
      <c r="T1164" s="13">
        <v>50.941891891891871</v>
      </c>
      <c r="U1164" s="13">
        <f t="shared" si="407"/>
        <v>50.941891891891871</v>
      </c>
      <c r="V1164" s="7">
        <v>6.3170000000000002</v>
      </c>
      <c r="W1164" s="7">
        <v>2.2018</v>
      </c>
      <c r="X1164" s="7">
        <v>1.1476266666666699</v>
      </c>
      <c r="Y1164" s="14">
        <f t="shared" si="408"/>
        <v>5.16937333333333</v>
      </c>
      <c r="Z1164" s="14">
        <f t="shared" si="409"/>
        <v>1.0541733333333301</v>
      </c>
      <c r="AA1164" s="36">
        <f t="shared" si="410"/>
        <v>79.607328289953955</v>
      </c>
      <c r="AB1164" s="36">
        <f t="shared" si="411"/>
        <v>20.392671710046045</v>
      </c>
      <c r="AC1164" s="14">
        <f t="shared" si="412"/>
        <v>1.1316702113181463</v>
      </c>
      <c r="AD1164" s="14">
        <f t="shared" si="413"/>
        <v>0.23077779103449386</v>
      </c>
      <c r="AE1164" s="36" t="s">
        <v>40</v>
      </c>
      <c r="AF1164" s="66">
        <v>13.172000000000001</v>
      </c>
      <c r="AG1164" s="66">
        <v>13.372</v>
      </c>
      <c r="AH1164" s="66">
        <f t="shared" si="406"/>
        <v>0.19999999999999929</v>
      </c>
      <c r="AI1164" s="66">
        <v>13.218999999999999</v>
      </c>
      <c r="AJ1164" s="66">
        <f t="shared" si="414"/>
        <v>4.699999999999882E-2</v>
      </c>
      <c r="AK1164" s="66">
        <f t="shared" si="415"/>
        <v>76.500000000000497</v>
      </c>
      <c r="AL1164" s="11">
        <f t="shared" si="416"/>
        <v>3.825000000000025</v>
      </c>
      <c r="AM1164" s="11">
        <f t="shared" si="417"/>
        <v>44.219653179191042</v>
      </c>
      <c r="AN1164" s="11">
        <f t="shared" si="418"/>
        <v>3.8260586770200211</v>
      </c>
      <c r="AO1164">
        <f t="shared" si="419"/>
        <v>0.5780346820809249</v>
      </c>
      <c r="AP1164" s="7"/>
      <c r="AQ1164" s="7"/>
      <c r="AR1164" s="7"/>
      <c r="AS1164" s="7"/>
    </row>
    <row r="1165" spans="1:45" x14ac:dyDescent="0.2">
      <c r="A1165" s="7" t="s">
        <v>90</v>
      </c>
      <c r="B1165" s="7" t="s">
        <v>206</v>
      </c>
      <c r="C1165" s="7" t="s">
        <v>188</v>
      </c>
      <c r="D1165" s="7" t="s">
        <v>207</v>
      </c>
      <c r="E1165" s="33" t="s">
        <v>80</v>
      </c>
      <c r="F1165" s="7">
        <v>42</v>
      </c>
      <c r="G1165" s="13">
        <v>2</v>
      </c>
      <c r="H1165" s="13">
        <v>2.4</v>
      </c>
      <c r="I1165" s="13">
        <v>1.1000000000000001</v>
      </c>
      <c r="J1165" s="14">
        <f t="shared" si="404"/>
        <v>4.1793400000000016</v>
      </c>
      <c r="K1165" s="37">
        <v>0.13648648648648623</v>
      </c>
      <c r="L1165" s="12">
        <f t="shared" si="425"/>
        <v>11.628378378378375</v>
      </c>
      <c r="M1165" s="12">
        <f t="shared" si="426"/>
        <v>12.728378378378375</v>
      </c>
      <c r="N1165" s="13">
        <f t="shared" si="427"/>
        <v>12.178378378378376</v>
      </c>
      <c r="O1165" s="13">
        <f t="shared" si="428"/>
        <v>51.628378378378351</v>
      </c>
      <c r="P1165" s="13">
        <f t="shared" si="405"/>
        <v>52.728378378378352</v>
      </c>
      <c r="Q1165" s="13">
        <f t="shared" si="424"/>
        <v>52.178378378378355</v>
      </c>
      <c r="R1165" s="13">
        <v>51.628378378378351</v>
      </c>
      <c r="S1165" s="13">
        <v>52.728378378378352</v>
      </c>
      <c r="T1165" s="13">
        <v>52.178378378378355</v>
      </c>
      <c r="U1165" s="13">
        <f t="shared" si="407"/>
        <v>52.178378378378355</v>
      </c>
      <c r="V1165" s="7">
        <v>5.7521000000000004</v>
      </c>
      <c r="W1165" s="7">
        <v>2.0314999999999999</v>
      </c>
      <c r="X1165" s="7">
        <v>1.1476266666666699</v>
      </c>
      <c r="Y1165" s="14">
        <f t="shared" si="408"/>
        <v>4.6044733333333303</v>
      </c>
      <c r="Z1165" s="14">
        <f t="shared" si="409"/>
        <v>0.88387333333332996</v>
      </c>
      <c r="AA1165" s="36">
        <f t="shared" si="410"/>
        <v>80.80402970444689</v>
      </c>
      <c r="AB1165" s="36">
        <f t="shared" si="411"/>
        <v>19.19597029555311</v>
      </c>
      <c r="AC1165" s="14">
        <f t="shared" si="412"/>
        <v>1.1017226005382019</v>
      </c>
      <c r="AD1165" s="14">
        <f t="shared" si="413"/>
        <v>0.2114863431387084</v>
      </c>
      <c r="AE1165" s="36">
        <f>(W1165-$AS$12)/J1165</f>
        <v>0.48608153440495366</v>
      </c>
      <c r="AF1165" s="66">
        <v>13.601000000000001</v>
      </c>
      <c r="AG1165" s="66">
        <v>13.849</v>
      </c>
      <c r="AH1165" s="66">
        <f t="shared" si="406"/>
        <v>0.24799999999999933</v>
      </c>
      <c r="AI1165" s="66">
        <v>13.663</v>
      </c>
      <c r="AJ1165" s="66">
        <f t="shared" si="414"/>
        <v>6.1999999999999389E-2</v>
      </c>
      <c r="AK1165" s="66">
        <f t="shared" si="415"/>
        <v>75.000000000000171</v>
      </c>
      <c r="AL1165" s="11">
        <f t="shared" si="416"/>
        <v>3.7500000000000089</v>
      </c>
      <c r="AM1165" s="11">
        <f t="shared" si="417"/>
        <v>43.352601156069468</v>
      </c>
      <c r="AN1165" s="11">
        <f t="shared" si="418"/>
        <v>3.7510798445247828</v>
      </c>
      <c r="AO1165">
        <f t="shared" si="419"/>
        <v>0.5780346820809249</v>
      </c>
      <c r="AP1165" s="7"/>
      <c r="AQ1165" s="7"/>
      <c r="AR1165" s="7"/>
      <c r="AS1165" s="7"/>
    </row>
    <row r="1166" spans="1:45" x14ac:dyDescent="0.2">
      <c r="A1166" s="7" t="s">
        <v>90</v>
      </c>
      <c r="B1166" s="7" t="s">
        <v>208</v>
      </c>
      <c r="C1166" s="7" t="s">
        <v>188</v>
      </c>
      <c r="D1166" s="7" t="s">
        <v>209</v>
      </c>
      <c r="E1166" s="33" t="s">
        <v>80</v>
      </c>
      <c r="F1166" s="7">
        <v>43</v>
      </c>
      <c r="G1166" s="13">
        <v>2.6</v>
      </c>
      <c r="H1166" s="13">
        <v>2.0499999999999998</v>
      </c>
      <c r="I1166" s="13">
        <v>1.1000000000000001</v>
      </c>
      <c r="J1166" s="14">
        <f t="shared" si="404"/>
        <v>4.6677571875000012</v>
      </c>
      <c r="K1166" s="37">
        <v>0.13648648648648623</v>
      </c>
      <c r="L1166" s="12">
        <f t="shared" si="425"/>
        <v>12.864864864864861</v>
      </c>
      <c r="M1166" s="12">
        <f t="shared" si="426"/>
        <v>13.964864864864861</v>
      </c>
      <c r="N1166" s="13">
        <f t="shared" si="427"/>
        <v>13.41486486486486</v>
      </c>
      <c r="O1166" s="13">
        <f t="shared" si="428"/>
        <v>52.864864864864835</v>
      </c>
      <c r="P1166" s="13">
        <f t="shared" si="405"/>
        <v>53.964864864864836</v>
      </c>
      <c r="Q1166" s="13">
        <f t="shared" si="424"/>
        <v>53.414864864864839</v>
      </c>
      <c r="R1166" s="13">
        <v>52.864864864864835</v>
      </c>
      <c r="S1166" s="13">
        <v>53.964864864864836</v>
      </c>
      <c r="T1166" s="13">
        <v>53.414864864864839</v>
      </c>
      <c r="U1166" s="13">
        <f t="shared" si="407"/>
        <v>53.414864864864839</v>
      </c>
      <c r="V1166" s="7">
        <v>6.5111999999999997</v>
      </c>
      <c r="W1166" s="7">
        <v>2.3161999999999998</v>
      </c>
      <c r="X1166" s="7">
        <v>1.1476266666666699</v>
      </c>
      <c r="Y1166" s="14">
        <f t="shared" si="408"/>
        <v>5.3635733333333295</v>
      </c>
      <c r="Z1166" s="14">
        <f t="shared" si="409"/>
        <v>1.1685733333333299</v>
      </c>
      <c r="AA1166" s="36">
        <f t="shared" si="410"/>
        <v>78.21278351745606</v>
      </c>
      <c r="AB1166" s="36">
        <f t="shared" si="411"/>
        <v>21.78721648254394</v>
      </c>
      <c r="AC1166" s="14">
        <f t="shared" si="412"/>
        <v>1.1490686250126048</v>
      </c>
      <c r="AD1166" s="14">
        <f t="shared" si="413"/>
        <v>0.25035006886448707</v>
      </c>
      <c r="AE1166" s="36" t="s">
        <v>40</v>
      </c>
      <c r="AF1166" s="66">
        <v>14.398999999999999</v>
      </c>
      <c r="AG1166" s="66">
        <v>14.624000000000001</v>
      </c>
      <c r="AH1166" s="66">
        <f t="shared" si="406"/>
        <v>0.22500000000000142</v>
      </c>
      <c r="AI1166" s="66">
        <v>14.465999999999999</v>
      </c>
      <c r="AJ1166" s="66">
        <f t="shared" si="414"/>
        <v>6.7000000000000171E-2</v>
      </c>
      <c r="AK1166" s="66">
        <f t="shared" si="415"/>
        <v>70.222222222222328</v>
      </c>
      <c r="AL1166" s="11">
        <f t="shared" si="416"/>
        <v>3.5111111111111164</v>
      </c>
      <c r="AM1166" s="11">
        <f t="shared" si="417"/>
        <v>40.590879897238345</v>
      </c>
      <c r="AN1166" s="11">
        <f t="shared" si="418"/>
        <v>3.512264402713432</v>
      </c>
      <c r="AO1166">
        <f t="shared" si="419"/>
        <v>0.5780346820809249</v>
      </c>
      <c r="AP1166" s="7"/>
      <c r="AQ1166" s="7"/>
      <c r="AR1166" s="7"/>
      <c r="AS1166" s="7"/>
    </row>
    <row r="1167" spans="1:45" x14ac:dyDescent="0.2">
      <c r="A1167" s="7" t="s">
        <v>90</v>
      </c>
      <c r="B1167" s="7" t="s">
        <v>210</v>
      </c>
      <c r="C1167" s="7" t="s">
        <v>188</v>
      </c>
      <c r="D1167" s="7" t="s">
        <v>211</v>
      </c>
      <c r="E1167" s="33" t="s">
        <v>80</v>
      </c>
      <c r="F1167" s="7">
        <v>44</v>
      </c>
      <c r="G1167" s="13">
        <v>2.65</v>
      </c>
      <c r="H1167" s="13">
        <v>2</v>
      </c>
      <c r="I1167" s="13">
        <v>1.1000000000000001</v>
      </c>
      <c r="J1167" s="14">
        <f t="shared" si="404"/>
        <v>4.6677571875000012</v>
      </c>
      <c r="K1167" s="37">
        <v>0.13648648648648623</v>
      </c>
      <c r="L1167" s="12">
        <f t="shared" si="425"/>
        <v>14.101351351351347</v>
      </c>
      <c r="M1167" s="12">
        <f t="shared" si="426"/>
        <v>15.201351351351347</v>
      </c>
      <c r="N1167" s="13">
        <f t="shared" si="427"/>
        <v>14.651351351351348</v>
      </c>
      <c r="O1167" s="13">
        <f t="shared" si="428"/>
        <v>54.101351351351319</v>
      </c>
      <c r="P1167" s="13">
        <f t="shared" si="405"/>
        <v>55.20135135135132</v>
      </c>
      <c r="Q1167" s="13">
        <f t="shared" si="424"/>
        <v>54.651351351351323</v>
      </c>
      <c r="R1167" s="13">
        <v>54.101351351351319</v>
      </c>
      <c r="S1167" s="13">
        <v>55.20135135135132</v>
      </c>
      <c r="T1167" s="13">
        <v>54.651351351351323</v>
      </c>
      <c r="U1167" s="13">
        <f t="shared" si="407"/>
        <v>54.651351351351323</v>
      </c>
      <c r="V1167" s="7">
        <v>6.3487999999999998</v>
      </c>
      <c r="W1167" s="7">
        <v>2.5743</v>
      </c>
      <c r="X1167" s="7">
        <v>1.1476266666666699</v>
      </c>
      <c r="Y1167" s="14">
        <f t="shared" si="408"/>
        <v>5.2011733333333297</v>
      </c>
      <c r="Z1167" s="14">
        <f t="shared" si="409"/>
        <v>1.4266733333333301</v>
      </c>
      <c r="AA1167" s="36">
        <f t="shared" si="410"/>
        <v>72.57016365538037</v>
      </c>
      <c r="AB1167" s="36">
        <f t="shared" si="411"/>
        <v>27.42983634461963</v>
      </c>
      <c r="AC1167" s="14">
        <f t="shared" si="412"/>
        <v>1.1142767552823416</v>
      </c>
      <c r="AD1167" s="14">
        <f t="shared" si="413"/>
        <v>0.30564429040008406</v>
      </c>
      <c r="AE1167" s="36" t="s">
        <v>40</v>
      </c>
      <c r="AF1167" s="66">
        <v>14.012</v>
      </c>
      <c r="AG1167" s="66">
        <v>14.391</v>
      </c>
      <c r="AH1167" s="66">
        <f t="shared" si="406"/>
        <v>0.37899999999999956</v>
      </c>
      <c r="AI1167" s="66">
        <v>14.185</v>
      </c>
      <c r="AJ1167" s="66">
        <f t="shared" si="414"/>
        <v>0.17300000000000004</v>
      </c>
      <c r="AK1167" s="66">
        <f t="shared" si="415"/>
        <v>54.353562005276977</v>
      </c>
      <c r="AL1167" s="11">
        <f t="shared" si="416"/>
        <v>2.717678100263849</v>
      </c>
      <c r="AM1167" s="11">
        <f t="shared" si="417"/>
        <v>31.418243933686117</v>
      </c>
      <c r="AN1167" s="11">
        <f t="shared" si="418"/>
        <v>2.7191679346178166</v>
      </c>
      <c r="AO1167">
        <f t="shared" si="419"/>
        <v>0.5780346820809249</v>
      </c>
      <c r="AP1167" s="7"/>
      <c r="AQ1167" s="7"/>
      <c r="AR1167" s="7"/>
      <c r="AS1167" s="7"/>
    </row>
    <row r="1168" spans="1:45" x14ac:dyDescent="0.2">
      <c r="A1168" s="7" t="s">
        <v>90</v>
      </c>
      <c r="B1168" s="7" t="s">
        <v>212</v>
      </c>
      <c r="C1168" s="7" t="s">
        <v>188</v>
      </c>
      <c r="D1168" s="7" t="s">
        <v>213</v>
      </c>
      <c r="E1168" s="33" t="s">
        <v>80</v>
      </c>
      <c r="F1168" s="7">
        <v>45</v>
      </c>
      <c r="G1168" s="13">
        <v>2</v>
      </c>
      <c r="H1168" s="13">
        <v>2.4</v>
      </c>
      <c r="I1168" s="13">
        <v>1.1499999999999999</v>
      </c>
      <c r="J1168" s="14">
        <f t="shared" si="404"/>
        <v>4.3693100000000014</v>
      </c>
      <c r="K1168" s="37">
        <v>0.13648648648648623</v>
      </c>
      <c r="L1168" s="12">
        <f t="shared" si="425"/>
        <v>15.337837837837833</v>
      </c>
      <c r="M1168" s="12">
        <f t="shared" si="426"/>
        <v>16.487837837837834</v>
      </c>
      <c r="N1168" s="13">
        <f t="shared" si="427"/>
        <v>15.912837837837834</v>
      </c>
      <c r="O1168" s="13">
        <f t="shared" si="428"/>
        <v>55.337837837837803</v>
      </c>
      <c r="P1168" s="13">
        <f t="shared" si="405"/>
        <v>56.487837837837802</v>
      </c>
      <c r="Q1168" s="13">
        <f t="shared" si="424"/>
        <v>55.912837837837799</v>
      </c>
      <c r="R1168" s="13">
        <v>55.337837837837803</v>
      </c>
      <c r="S1168" s="13">
        <v>56.487837837837802</v>
      </c>
      <c r="T1168" s="13">
        <v>55.912837837837799</v>
      </c>
      <c r="U1168" s="13">
        <f t="shared" si="407"/>
        <v>55.912837837837799</v>
      </c>
      <c r="V1168" s="7">
        <v>6.4699</v>
      </c>
      <c r="W1168" s="7">
        <v>2.7427000000000001</v>
      </c>
      <c r="X1168" s="7">
        <v>1.1476266666666699</v>
      </c>
      <c r="Y1168" s="14">
        <f t="shared" si="408"/>
        <v>5.3222733333333299</v>
      </c>
      <c r="Z1168" s="14">
        <f t="shared" si="409"/>
        <v>1.5950733333333302</v>
      </c>
      <c r="AA1168" s="36">
        <f t="shared" si="410"/>
        <v>70.030225179465972</v>
      </c>
      <c r="AB1168" s="36">
        <f t="shared" si="411"/>
        <v>29.969774820534028</v>
      </c>
      <c r="AC1168" s="14">
        <f t="shared" si="412"/>
        <v>1.2181038501121066</v>
      </c>
      <c r="AD1168" s="14">
        <f t="shared" si="413"/>
        <v>0.36506298095885387</v>
      </c>
      <c r="AE1168" s="36">
        <f>(W1168-$AS$12)/J1168</f>
        <v>0.62771925086569713</v>
      </c>
      <c r="AF1168" s="66">
        <v>13.052</v>
      </c>
      <c r="AG1168" s="66">
        <v>13.412000000000001</v>
      </c>
      <c r="AH1168" s="66">
        <f t="shared" si="406"/>
        <v>0.36000000000000121</v>
      </c>
      <c r="AI1168" s="66">
        <v>13.252000000000001</v>
      </c>
      <c r="AJ1168" s="66">
        <f t="shared" si="414"/>
        <v>0.20000000000000107</v>
      </c>
      <c r="AK1168" s="66">
        <f t="shared" si="415"/>
        <v>44.444444444444336</v>
      </c>
      <c r="AL1168" s="11">
        <f t="shared" si="416"/>
        <v>2.222222222222217</v>
      </c>
      <c r="AM1168" s="11">
        <f t="shared" si="417"/>
        <v>25.690430314707712</v>
      </c>
      <c r="AN1168" s="11">
        <f t="shared" si="418"/>
        <v>2.2240439754955945</v>
      </c>
      <c r="AO1168">
        <f t="shared" si="419"/>
        <v>0.5780346820809249</v>
      </c>
      <c r="AP1168" s="7"/>
      <c r="AQ1168" s="7"/>
      <c r="AR1168" s="7"/>
      <c r="AS1168" s="7"/>
    </row>
    <row r="1169" spans="1:45" x14ac:dyDescent="0.2">
      <c r="A1169" s="7" t="s">
        <v>90</v>
      </c>
      <c r="B1169" s="7" t="s">
        <v>214</v>
      </c>
      <c r="C1169" s="7" t="s">
        <v>188</v>
      </c>
      <c r="D1169" s="7" t="s">
        <v>215</v>
      </c>
      <c r="E1169" s="33" t="s">
        <v>80</v>
      </c>
      <c r="F1169" s="7">
        <v>46</v>
      </c>
      <c r="G1169" s="13">
        <v>2.2000000000000002</v>
      </c>
      <c r="H1169" s="13">
        <v>2.2999999999999998</v>
      </c>
      <c r="I1169" s="13">
        <v>1.3</v>
      </c>
      <c r="J1169" s="14">
        <f t="shared" si="404"/>
        <v>5.1662812500000008</v>
      </c>
      <c r="K1169" s="37">
        <v>0.13648648648648623</v>
      </c>
      <c r="L1169" s="12">
        <f t="shared" si="425"/>
        <v>16.62432432432432</v>
      </c>
      <c r="M1169" s="12">
        <f t="shared" si="426"/>
        <v>17.924324324324321</v>
      </c>
      <c r="N1169" s="13">
        <f t="shared" si="427"/>
        <v>17.274324324324319</v>
      </c>
      <c r="O1169" s="13">
        <f t="shared" si="428"/>
        <v>56.624324324324284</v>
      </c>
      <c r="P1169" s="13">
        <f t="shared" si="405"/>
        <v>57.924324324324282</v>
      </c>
      <c r="Q1169" s="13">
        <f t="shared" si="424"/>
        <v>57.274324324324283</v>
      </c>
      <c r="R1169" s="13">
        <v>56.624324324324284</v>
      </c>
      <c r="S1169" s="13">
        <v>57.924324324324282</v>
      </c>
      <c r="T1169" s="13">
        <v>57.274324324324283</v>
      </c>
      <c r="U1169" s="13">
        <f t="shared" si="407"/>
        <v>57.274324324324283</v>
      </c>
      <c r="V1169" s="7">
        <v>6.9108000000000001</v>
      </c>
      <c r="W1169" s="7">
        <v>2.8593000000000002</v>
      </c>
      <c r="X1169" s="7">
        <v>1.1476266666666699</v>
      </c>
      <c r="Y1169" s="14">
        <f t="shared" si="408"/>
        <v>5.7631733333333299</v>
      </c>
      <c r="Z1169" s="14">
        <f t="shared" si="409"/>
        <v>1.7116733333333303</v>
      </c>
      <c r="AA1169" s="36">
        <f t="shared" si="410"/>
        <v>70.299811677825687</v>
      </c>
      <c r="AB1169" s="36">
        <f t="shared" si="411"/>
        <v>29.700188322174313</v>
      </c>
      <c r="AC1169" s="14">
        <f t="shared" si="412"/>
        <v>1.1155361186217512</v>
      </c>
      <c r="AD1169" s="14">
        <f t="shared" si="413"/>
        <v>0.33131632803253402</v>
      </c>
      <c r="AE1169" s="36" t="s">
        <v>40</v>
      </c>
      <c r="AF1169" s="66">
        <v>10.6</v>
      </c>
      <c r="AG1169" s="66">
        <v>11.006</v>
      </c>
      <c r="AH1169" s="66">
        <f t="shared" si="406"/>
        <v>0.40600000000000058</v>
      </c>
      <c r="AI1169" s="66">
        <v>10.87</v>
      </c>
      <c r="AJ1169" s="66">
        <f t="shared" si="414"/>
        <v>0.26999999999999957</v>
      </c>
      <c r="AK1169" s="66">
        <f t="shared" si="415"/>
        <v>33.497536945813003</v>
      </c>
      <c r="AL1169" s="11">
        <f t="shared" si="416"/>
        <v>1.6748768472906503</v>
      </c>
      <c r="AM1169" s="11">
        <f t="shared" si="417"/>
        <v>19.362738118967055</v>
      </c>
      <c r="AN1169" s="11">
        <f t="shared" si="418"/>
        <v>1.6772931924950596</v>
      </c>
      <c r="AO1169">
        <f t="shared" si="419"/>
        <v>0.5780346820809249</v>
      </c>
      <c r="AP1169" s="7"/>
      <c r="AQ1169" s="7"/>
      <c r="AR1169" s="7"/>
      <c r="AS1169" s="7"/>
    </row>
    <row r="1170" spans="1:45" x14ac:dyDescent="0.2">
      <c r="A1170" s="7" t="s">
        <v>90</v>
      </c>
      <c r="B1170" s="7" t="s">
        <v>216</v>
      </c>
      <c r="C1170" s="7" t="s">
        <v>188</v>
      </c>
      <c r="D1170" s="7" t="s">
        <v>217</v>
      </c>
      <c r="E1170" s="33" t="s">
        <v>80</v>
      </c>
      <c r="F1170" s="7">
        <v>47</v>
      </c>
      <c r="G1170" s="13">
        <v>2.2999999999999998</v>
      </c>
      <c r="H1170" s="13">
        <v>2.4</v>
      </c>
      <c r="I1170" s="13">
        <v>1.2</v>
      </c>
      <c r="J1170" s="14">
        <f t="shared" si="404"/>
        <v>5.2021949999999988</v>
      </c>
      <c r="K1170" s="37">
        <v>0.13648648648648623</v>
      </c>
      <c r="L1170" s="12">
        <f t="shared" si="425"/>
        <v>18.060810810810807</v>
      </c>
      <c r="M1170" s="12">
        <f t="shared" si="426"/>
        <v>19.260810810810806</v>
      </c>
      <c r="N1170" s="13">
        <f t="shared" si="427"/>
        <v>18.660810810810808</v>
      </c>
      <c r="O1170" s="13">
        <f t="shared" si="428"/>
        <v>58.060810810810764</v>
      </c>
      <c r="P1170" s="13">
        <f t="shared" si="405"/>
        <v>59.260810810810767</v>
      </c>
      <c r="Q1170" s="13">
        <f t="shared" si="424"/>
        <v>58.660810810810766</v>
      </c>
      <c r="R1170" s="13">
        <v>58.060810810810764</v>
      </c>
      <c r="S1170" s="13">
        <v>59.260810810810767</v>
      </c>
      <c r="T1170" s="13">
        <v>58.660810810810766</v>
      </c>
      <c r="U1170" s="13">
        <f t="shared" si="407"/>
        <v>58.660810810810766</v>
      </c>
      <c r="V1170" s="7">
        <v>5.9130000000000003</v>
      </c>
      <c r="W1170" s="7">
        <v>1.8489</v>
      </c>
      <c r="X1170" s="7">
        <v>1.1476266666666699</v>
      </c>
      <c r="Y1170" s="14">
        <f t="shared" si="408"/>
        <v>4.7653733333333301</v>
      </c>
      <c r="Z1170" s="14">
        <f t="shared" si="409"/>
        <v>0.70127333333333008</v>
      </c>
      <c r="AA1170" s="36">
        <f t="shared" si="410"/>
        <v>85.283979149587495</v>
      </c>
      <c r="AB1170" s="36">
        <f t="shared" si="411"/>
        <v>14.716020850412505</v>
      </c>
      <c r="AC1170" s="14">
        <f t="shared" si="412"/>
        <v>0.91603127782279048</v>
      </c>
      <c r="AD1170" s="14">
        <f t="shared" si="413"/>
        <v>0.13480335384070191</v>
      </c>
      <c r="AE1170" s="36">
        <f>(W1170-$AS$12)/J1170</f>
        <v>0.3554076692626863</v>
      </c>
      <c r="AF1170" s="66">
        <v>10.221</v>
      </c>
      <c r="AG1170" s="66">
        <v>10.403</v>
      </c>
      <c r="AH1170" s="66">
        <f t="shared" si="406"/>
        <v>0.18200000000000038</v>
      </c>
      <c r="AI1170" s="66">
        <v>10.259</v>
      </c>
      <c r="AJ1170" s="66">
        <f t="shared" si="414"/>
        <v>3.8000000000000256E-2</v>
      </c>
      <c r="AK1170" s="66">
        <f t="shared" si="415"/>
        <v>79.120879120879025</v>
      </c>
      <c r="AL1170" s="11">
        <f t="shared" si="416"/>
        <v>3.9560439560439513</v>
      </c>
      <c r="AM1170" s="11">
        <f t="shared" si="417"/>
        <v>45.734612208600595</v>
      </c>
      <c r="AN1170" s="11">
        <f t="shared" si="418"/>
        <v>3.9570675736145673</v>
      </c>
      <c r="AO1170">
        <f t="shared" si="419"/>
        <v>0.5780346820809249</v>
      </c>
      <c r="AP1170" s="7"/>
      <c r="AQ1170" s="7"/>
      <c r="AR1170" s="7"/>
      <c r="AS1170" s="7"/>
    </row>
    <row r="1171" spans="1:45" x14ac:dyDescent="0.2">
      <c r="A1171" s="7" t="s">
        <v>90</v>
      </c>
      <c r="B1171" s="7" t="s">
        <v>218</v>
      </c>
      <c r="C1171" s="7" t="s">
        <v>188</v>
      </c>
      <c r="D1171" s="7" t="s">
        <v>219</v>
      </c>
      <c r="E1171" s="33" t="s">
        <v>80</v>
      </c>
      <c r="F1171" s="7">
        <v>48</v>
      </c>
      <c r="G1171" s="13">
        <v>2.35</v>
      </c>
      <c r="H1171" s="13">
        <v>2.35</v>
      </c>
      <c r="I1171" s="13">
        <v>1.2</v>
      </c>
      <c r="J1171" s="14">
        <f t="shared" si="404"/>
        <v>5.2021950000000006</v>
      </c>
      <c r="K1171" s="37">
        <v>0.13648648648648623</v>
      </c>
      <c r="L1171" s="12">
        <f t="shared" si="425"/>
        <v>19.397297297297293</v>
      </c>
      <c r="M1171" s="12">
        <f t="shared" si="426"/>
        <v>20.597297297297292</v>
      </c>
      <c r="N1171" s="13">
        <f t="shared" si="427"/>
        <v>19.997297297297294</v>
      </c>
      <c r="O1171" s="13">
        <f t="shared" si="428"/>
        <v>59.39729729729725</v>
      </c>
      <c r="P1171" s="13">
        <f t="shared" si="405"/>
        <v>60.597297297297253</v>
      </c>
      <c r="Q1171" s="13">
        <f t="shared" si="424"/>
        <v>59.997297297297251</v>
      </c>
      <c r="R1171" s="13">
        <v>59.39729729729725</v>
      </c>
      <c r="S1171" s="13">
        <v>60.597297297297253</v>
      </c>
      <c r="T1171" s="13">
        <v>59.997297297297251</v>
      </c>
      <c r="U1171" s="13">
        <f t="shared" si="407"/>
        <v>59.997297297297251</v>
      </c>
      <c r="V1171" s="7">
        <v>3.9331999999999998</v>
      </c>
      <c r="W1171" s="7">
        <v>1.9719</v>
      </c>
      <c r="X1171" s="7">
        <v>1.1476266666666699</v>
      </c>
      <c r="Y1171" s="14">
        <f t="shared" si="408"/>
        <v>2.7855733333333301</v>
      </c>
      <c r="Z1171" s="14">
        <f t="shared" si="409"/>
        <v>0.82427333333333008</v>
      </c>
      <c r="AA1171" s="36">
        <f t="shared" si="410"/>
        <v>70.409203610986211</v>
      </c>
      <c r="AB1171" s="36">
        <f t="shared" si="411"/>
        <v>29.590796389013789</v>
      </c>
      <c r="AC1171" s="14">
        <f t="shared" si="412"/>
        <v>0.53546115309659281</v>
      </c>
      <c r="AD1171" s="14">
        <f t="shared" si="413"/>
        <v>0.15844721955507818</v>
      </c>
      <c r="AE1171" s="36" t="s">
        <v>40</v>
      </c>
      <c r="AF1171" s="66">
        <v>10.128</v>
      </c>
      <c r="AG1171" s="66">
        <v>10.284000000000001</v>
      </c>
      <c r="AH1171" s="66">
        <f t="shared" si="406"/>
        <v>0.15600000000000058</v>
      </c>
      <c r="AI1171" s="66">
        <v>10.147</v>
      </c>
      <c r="AJ1171" s="66">
        <f t="shared" si="414"/>
        <v>1.9000000000000128E-2</v>
      </c>
      <c r="AK1171" s="66">
        <f t="shared" si="415"/>
        <v>87.820512820512789</v>
      </c>
      <c r="AL1171" s="11">
        <f t="shared" si="416"/>
        <v>4.3910256410256396</v>
      </c>
      <c r="AM1171" s="11">
        <f t="shared" si="417"/>
        <v>50.7633022083889</v>
      </c>
      <c r="AN1171" s="11">
        <f t="shared" si="418"/>
        <v>4.3919478799440039</v>
      </c>
      <c r="AO1171">
        <f t="shared" si="419"/>
        <v>0.5780346820809249</v>
      </c>
      <c r="AP1171" s="7"/>
      <c r="AQ1171" s="7"/>
      <c r="AR1171" s="7"/>
      <c r="AS1171" s="7"/>
    </row>
    <row r="1172" spans="1:45" x14ac:dyDescent="0.2">
      <c r="A1172" s="7" t="s">
        <v>90</v>
      </c>
      <c r="B1172" s="7" t="s">
        <v>220</v>
      </c>
      <c r="C1172" s="7" t="s">
        <v>188</v>
      </c>
      <c r="D1172" s="7" t="s">
        <v>221</v>
      </c>
      <c r="E1172" s="33" t="s">
        <v>80</v>
      </c>
      <c r="F1172" s="7">
        <v>49</v>
      </c>
      <c r="G1172" s="13">
        <v>2.4</v>
      </c>
      <c r="H1172" s="13">
        <v>2.9</v>
      </c>
      <c r="I1172" s="13">
        <v>1.1000000000000001</v>
      </c>
      <c r="J1172" s="14">
        <f t="shared" si="404"/>
        <v>6.0639287499999996</v>
      </c>
      <c r="K1172" s="37">
        <v>0.13648648648648623</v>
      </c>
      <c r="L1172" s="12">
        <f t="shared" si="425"/>
        <v>20.733783783783778</v>
      </c>
      <c r="M1172" s="12">
        <f t="shared" si="426"/>
        <v>21.83378378378378</v>
      </c>
      <c r="N1172" s="13">
        <f t="shared" si="427"/>
        <v>21.283783783783779</v>
      </c>
      <c r="O1172" s="13">
        <f t="shared" si="428"/>
        <v>60.733783783783736</v>
      </c>
      <c r="P1172" s="13">
        <f t="shared" si="405"/>
        <v>61.833783783783737</v>
      </c>
      <c r="Q1172" s="13">
        <f t="shared" si="424"/>
        <v>61.283783783783733</v>
      </c>
      <c r="R1172" s="13">
        <v>60.733783783783736</v>
      </c>
      <c r="S1172" s="13">
        <v>61.833783783783737</v>
      </c>
      <c r="T1172" s="13">
        <v>61.283783783783733</v>
      </c>
      <c r="U1172" s="13">
        <f t="shared" si="407"/>
        <v>61.283783783783733</v>
      </c>
      <c r="V1172" s="7">
        <v>6.9218999999999999</v>
      </c>
      <c r="W1172" s="7">
        <v>1.9571000000000001</v>
      </c>
      <c r="X1172" s="7">
        <v>1.1476266666666699</v>
      </c>
      <c r="Y1172" s="14">
        <f t="shared" si="408"/>
        <v>5.7742733333333298</v>
      </c>
      <c r="Z1172" s="14">
        <f t="shared" si="409"/>
        <v>0.80947333333333016</v>
      </c>
      <c r="AA1172" s="36">
        <f t="shared" si="410"/>
        <v>85.981381784259199</v>
      </c>
      <c r="AB1172" s="36">
        <f t="shared" si="411"/>
        <v>14.018618215740801</v>
      </c>
      <c r="AC1172" s="14">
        <f t="shared" si="412"/>
        <v>0.95223304418498156</v>
      </c>
      <c r="AD1172" s="14">
        <f t="shared" si="413"/>
        <v>0.13348991498841906</v>
      </c>
      <c r="AE1172" s="36" t="s">
        <v>40</v>
      </c>
      <c r="AF1172" s="66">
        <v>12.992000000000001</v>
      </c>
      <c r="AG1172" s="66">
        <v>13.143000000000001</v>
      </c>
      <c r="AH1172" s="66">
        <f t="shared" si="406"/>
        <v>0.1509999999999998</v>
      </c>
      <c r="AI1172" s="66">
        <v>13.007</v>
      </c>
      <c r="AJ1172" s="66">
        <f t="shared" si="414"/>
        <v>1.4999999999998792E-2</v>
      </c>
      <c r="AK1172" s="66">
        <f t="shared" si="415"/>
        <v>90.066225165563694</v>
      </c>
      <c r="AL1172" s="11">
        <f t="shared" si="416"/>
        <v>4.5033112582781847</v>
      </c>
      <c r="AM1172" s="11">
        <f t="shared" si="417"/>
        <v>52.061401829805604</v>
      </c>
      <c r="AN1172" s="11">
        <f t="shared" si="418"/>
        <v>4.504210506729792</v>
      </c>
      <c r="AO1172">
        <f t="shared" si="419"/>
        <v>0.5780346820809249</v>
      </c>
      <c r="AP1172" s="7"/>
      <c r="AQ1172" s="7"/>
      <c r="AR1172" s="7"/>
      <c r="AS1172" s="7"/>
    </row>
    <row r="1173" spans="1:45" x14ac:dyDescent="0.2">
      <c r="A1173" s="7" t="s">
        <v>90</v>
      </c>
      <c r="B1173" s="7" t="s">
        <v>222</v>
      </c>
      <c r="C1173" s="7" t="s">
        <v>188</v>
      </c>
      <c r="D1173" s="7" t="s">
        <v>223</v>
      </c>
      <c r="E1173" s="33" t="s">
        <v>80</v>
      </c>
      <c r="F1173" s="7">
        <v>50</v>
      </c>
      <c r="G1173" s="13">
        <v>2.2000000000000002</v>
      </c>
      <c r="H1173" s="13">
        <v>2.4</v>
      </c>
      <c r="I1173" s="13">
        <v>1.2</v>
      </c>
      <c r="J1173" s="14">
        <f t="shared" si="404"/>
        <v>4.9831799999999991</v>
      </c>
      <c r="K1173" s="37">
        <v>0.13648648648648623</v>
      </c>
      <c r="L1173" s="12">
        <f t="shared" si="425"/>
        <v>21.970270270270266</v>
      </c>
      <c r="M1173" s="12">
        <f t="shared" si="426"/>
        <v>23.170270270270265</v>
      </c>
      <c r="N1173" s="13">
        <f t="shared" si="427"/>
        <v>22.570270270270264</v>
      </c>
      <c r="O1173" s="13">
        <f t="shared" si="428"/>
        <v>61.97027027027022</v>
      </c>
      <c r="P1173" s="13">
        <f t="shared" si="405"/>
        <v>63.170270270270223</v>
      </c>
      <c r="Q1173" s="13">
        <f t="shared" si="424"/>
        <v>62.570270270270221</v>
      </c>
      <c r="R1173" s="13">
        <v>61.97027027027022</v>
      </c>
      <c r="S1173" s="13">
        <v>63.170270270270223</v>
      </c>
      <c r="T1173" s="13">
        <v>62.570270270270221</v>
      </c>
      <c r="U1173" s="13">
        <f t="shared" si="407"/>
        <v>62.570270270270221</v>
      </c>
      <c r="V1173" s="7">
        <v>6.3003999999999998</v>
      </c>
      <c r="W1173" s="7">
        <v>1.9005000000000001</v>
      </c>
      <c r="X1173" s="7">
        <v>1.1476266666666699</v>
      </c>
      <c r="Y1173" s="14">
        <f t="shared" si="408"/>
        <v>5.1527733333333297</v>
      </c>
      <c r="Z1173" s="14">
        <f t="shared" si="409"/>
        <v>0.75287333333333017</v>
      </c>
      <c r="AA1173" s="36">
        <f t="shared" si="410"/>
        <v>85.388968529568601</v>
      </c>
      <c r="AB1173" s="36">
        <f t="shared" si="411"/>
        <v>14.611031470431399</v>
      </c>
      <c r="AC1173" s="14">
        <f t="shared" si="412"/>
        <v>1.0340331541973862</v>
      </c>
      <c r="AD1173" s="14">
        <f t="shared" si="413"/>
        <v>0.15108290957447459</v>
      </c>
      <c r="AE1173" s="36" t="s">
        <v>40</v>
      </c>
      <c r="AF1173" s="66">
        <v>10.332000000000001</v>
      </c>
      <c r="AG1173" s="66">
        <v>10.505000000000001</v>
      </c>
      <c r="AH1173" s="66">
        <f t="shared" si="406"/>
        <v>0.17300000000000004</v>
      </c>
      <c r="AI1173" s="66">
        <v>10.349</v>
      </c>
      <c r="AJ1173" s="66">
        <f t="shared" si="414"/>
        <v>1.699999999999946E-2</v>
      </c>
      <c r="AK1173" s="66">
        <f t="shared" si="415"/>
        <v>90.17341040462459</v>
      </c>
      <c r="AL1173" s="11">
        <f t="shared" si="416"/>
        <v>4.5086705202312301</v>
      </c>
      <c r="AM1173" s="11">
        <f t="shared" si="417"/>
        <v>52.12335861538994</v>
      </c>
      <c r="AN1173" s="11">
        <f t="shared" si="418"/>
        <v>4.5095686999980549</v>
      </c>
      <c r="AO1173">
        <f t="shared" si="419"/>
        <v>0.5780346820809249</v>
      </c>
      <c r="AP1173" s="7"/>
      <c r="AQ1173" s="7"/>
      <c r="AR1173" s="7"/>
      <c r="AS1173" s="7"/>
    </row>
    <row r="1174" spans="1:45" x14ac:dyDescent="0.2">
      <c r="A1174" s="7" t="s">
        <v>90</v>
      </c>
      <c r="B1174" s="7" t="s">
        <v>224</v>
      </c>
      <c r="C1174" s="7" t="s">
        <v>188</v>
      </c>
      <c r="D1174" s="7" t="s">
        <v>225</v>
      </c>
      <c r="E1174" s="33" t="s">
        <v>80</v>
      </c>
      <c r="F1174" s="7">
        <v>51</v>
      </c>
      <c r="G1174" s="13">
        <v>2.1</v>
      </c>
      <c r="H1174" s="13">
        <v>2.4</v>
      </c>
      <c r="I1174" s="13">
        <v>1.1499999999999999</v>
      </c>
      <c r="J1174" s="14">
        <f t="shared" si="404"/>
        <v>4.5701718750000007</v>
      </c>
      <c r="K1174" s="37">
        <v>0.13648648648648623</v>
      </c>
      <c r="L1174" s="12">
        <f t="shared" si="425"/>
        <v>23.306756756756752</v>
      </c>
      <c r="M1174" s="12">
        <f t="shared" si="426"/>
        <v>24.45675675675675</v>
      </c>
      <c r="N1174" s="13">
        <f t="shared" si="427"/>
        <v>23.881756756756751</v>
      </c>
      <c r="O1174" s="13">
        <f t="shared" si="428"/>
        <v>63.306756756756705</v>
      </c>
      <c r="P1174" s="13">
        <f t="shared" si="405"/>
        <v>64.456756756756704</v>
      </c>
      <c r="Q1174" s="13">
        <f t="shared" si="424"/>
        <v>63.881756756756701</v>
      </c>
      <c r="R1174" s="13">
        <v>63.306756756756705</v>
      </c>
      <c r="S1174" s="13">
        <v>64.456756756756704</v>
      </c>
      <c r="T1174" s="13">
        <v>63.881756756756701</v>
      </c>
      <c r="U1174" s="13">
        <f t="shared" si="407"/>
        <v>63.881756756756701</v>
      </c>
      <c r="V1174" s="7">
        <v>6.2267999999999999</v>
      </c>
      <c r="W1174" s="7">
        <v>1.8561000000000001</v>
      </c>
      <c r="X1174" s="7">
        <v>1.1476266666666699</v>
      </c>
      <c r="Y1174" s="14">
        <f t="shared" si="408"/>
        <v>5.0791733333333298</v>
      </c>
      <c r="Z1174" s="14">
        <f t="shared" si="409"/>
        <v>0.70847333333333018</v>
      </c>
      <c r="AA1174" s="36">
        <f t="shared" si="410"/>
        <v>86.051404690527107</v>
      </c>
      <c r="AB1174" s="36">
        <f t="shared" si="411"/>
        <v>13.948595309472893</v>
      </c>
      <c r="AC1174" s="14">
        <f t="shared" si="412"/>
        <v>1.111374686172679</v>
      </c>
      <c r="AD1174" s="14">
        <f t="shared" si="413"/>
        <v>0.15502115734615124</v>
      </c>
      <c r="AE1174" s="36" t="s">
        <v>40</v>
      </c>
      <c r="AF1174" s="66">
        <v>9.5220000000000002</v>
      </c>
      <c r="AG1174" s="66">
        <v>9.6620000000000008</v>
      </c>
      <c r="AH1174" s="66">
        <f t="shared" si="406"/>
        <v>0.14000000000000057</v>
      </c>
      <c r="AI1174" s="66">
        <v>9.5340000000000007</v>
      </c>
      <c r="AJ1174" s="66">
        <f t="shared" si="414"/>
        <v>1.2000000000000455E-2</v>
      </c>
      <c r="AK1174" s="66">
        <f t="shared" si="415"/>
        <v>91.428571428571132</v>
      </c>
      <c r="AL1174" s="11">
        <f t="shared" si="416"/>
        <v>4.571428571428557</v>
      </c>
      <c r="AM1174" s="11">
        <f t="shared" si="417"/>
        <v>52.848885218827249</v>
      </c>
      <c r="AN1174" s="11">
        <f t="shared" si="418"/>
        <v>4.5723144230983648</v>
      </c>
      <c r="AO1174">
        <f t="shared" si="419"/>
        <v>0.5780346820809249</v>
      </c>
      <c r="AP1174" s="7"/>
      <c r="AQ1174" s="7"/>
      <c r="AR1174" s="7"/>
      <c r="AS1174" s="7"/>
    </row>
    <row r="1175" spans="1:45" x14ac:dyDescent="0.2">
      <c r="A1175" s="7" t="s">
        <v>90</v>
      </c>
      <c r="B1175" s="7" t="s">
        <v>226</v>
      </c>
      <c r="C1175" s="7" t="s">
        <v>188</v>
      </c>
      <c r="D1175" s="7" t="s">
        <v>227</v>
      </c>
      <c r="E1175" s="33" t="s">
        <v>80</v>
      </c>
      <c r="F1175" s="7">
        <v>52</v>
      </c>
      <c r="G1175" s="13">
        <v>2.25</v>
      </c>
      <c r="H1175" s="13">
        <v>2.5</v>
      </c>
      <c r="I1175" s="13">
        <v>1.1000000000000001</v>
      </c>
      <c r="J1175" s="14">
        <f t="shared" si="404"/>
        <v>4.8706796875</v>
      </c>
      <c r="K1175" s="37">
        <v>0.13648648648648623</v>
      </c>
      <c r="L1175" s="12">
        <f t="shared" si="425"/>
        <v>24.593243243243236</v>
      </c>
      <c r="M1175" s="12">
        <f t="shared" si="426"/>
        <v>25.693243243243238</v>
      </c>
      <c r="N1175" s="13">
        <f t="shared" si="427"/>
        <v>25.143243243243237</v>
      </c>
      <c r="O1175" s="13">
        <f t="shared" si="428"/>
        <v>64.593243243243194</v>
      </c>
      <c r="P1175" s="13">
        <f t="shared" si="405"/>
        <v>65.693243243243188</v>
      </c>
      <c r="Q1175" s="13">
        <f t="shared" si="424"/>
        <v>65.143243243243191</v>
      </c>
      <c r="R1175" s="13">
        <v>64.593243243243194</v>
      </c>
      <c r="S1175" s="13">
        <v>65.693243243243188</v>
      </c>
      <c r="T1175" s="13">
        <v>65.143243243243191</v>
      </c>
      <c r="U1175" s="13">
        <f t="shared" si="407"/>
        <v>65.143243243243191</v>
      </c>
      <c r="V1175" s="7">
        <v>6.3529999999999998</v>
      </c>
      <c r="W1175" s="7">
        <v>1.8703000000000001</v>
      </c>
      <c r="X1175" s="7">
        <v>1.1476266666666699</v>
      </c>
      <c r="Y1175" s="14">
        <f t="shared" si="408"/>
        <v>5.2053733333333296</v>
      </c>
      <c r="Z1175" s="14">
        <f t="shared" si="409"/>
        <v>0.72267333333333017</v>
      </c>
      <c r="AA1175" s="36">
        <f t="shared" si="410"/>
        <v>86.116781889483491</v>
      </c>
      <c r="AB1175" s="36">
        <f t="shared" si="411"/>
        <v>13.883218110516509</v>
      </c>
      <c r="AC1175" s="14">
        <f t="shared" si="412"/>
        <v>1.0687160041938868</v>
      </c>
      <c r="AD1175" s="14">
        <f t="shared" si="413"/>
        <v>0.14837217384423418</v>
      </c>
      <c r="AE1175" s="36">
        <f>(W1175-$AS$12)/J1175</f>
        <v>0.38399158228365843</v>
      </c>
      <c r="AF1175" s="66">
        <v>10.673</v>
      </c>
      <c r="AG1175" s="66">
        <v>10.85</v>
      </c>
      <c r="AH1175" s="66">
        <f t="shared" si="406"/>
        <v>0.1769999999999996</v>
      </c>
      <c r="AI1175" s="66">
        <v>10.686999999999999</v>
      </c>
      <c r="AJ1175" s="66">
        <f t="shared" si="414"/>
        <v>1.3999999999999346E-2</v>
      </c>
      <c r="AK1175" s="66">
        <f t="shared" si="415"/>
        <v>92.090395480226334</v>
      </c>
      <c r="AL1175" s="11">
        <f t="shared" si="416"/>
        <v>4.6045197740113171</v>
      </c>
      <c r="AM1175" s="11">
        <f t="shared" si="417"/>
        <v>53.23144247411927</v>
      </c>
      <c r="AN1175" s="11">
        <f t="shared" si="418"/>
        <v>4.605399260570274</v>
      </c>
      <c r="AO1175">
        <f t="shared" si="419"/>
        <v>0.5780346820809249</v>
      </c>
      <c r="AP1175" s="7"/>
      <c r="AQ1175" s="7"/>
      <c r="AR1175" s="7"/>
      <c r="AS1175" s="7"/>
    </row>
    <row r="1176" spans="1:45" x14ac:dyDescent="0.2">
      <c r="A1176" s="7" t="s">
        <v>90</v>
      </c>
      <c r="B1176" s="7" t="s">
        <v>228</v>
      </c>
      <c r="C1176" s="7" t="s">
        <v>188</v>
      </c>
      <c r="D1176" s="7" t="s">
        <v>229</v>
      </c>
      <c r="E1176" s="33" t="s">
        <v>80</v>
      </c>
      <c r="F1176" s="7">
        <v>53</v>
      </c>
      <c r="G1176" s="13">
        <v>2.1</v>
      </c>
      <c r="H1176" s="13">
        <v>2.2000000000000002</v>
      </c>
      <c r="I1176" s="13">
        <v>1.1000000000000001</v>
      </c>
      <c r="J1176" s="14">
        <f t="shared" si="404"/>
        <v>3.9915287500000014</v>
      </c>
      <c r="K1176" s="37">
        <v>0.13648648648648623</v>
      </c>
      <c r="L1176" s="12">
        <f t="shared" si="425"/>
        <v>25.829729729729724</v>
      </c>
      <c r="M1176" s="12">
        <f t="shared" si="426"/>
        <v>26.929729729729726</v>
      </c>
      <c r="N1176" s="13">
        <f t="shared" si="427"/>
        <v>26.379729729729725</v>
      </c>
      <c r="O1176" s="13">
        <f t="shared" si="428"/>
        <v>65.829729729729678</v>
      </c>
      <c r="P1176" s="13">
        <f t="shared" si="405"/>
        <v>66.929729729729672</v>
      </c>
      <c r="Q1176" s="13">
        <f t="shared" si="424"/>
        <v>66.379729729729675</v>
      </c>
      <c r="R1176" s="13">
        <v>65.829729729729678</v>
      </c>
      <c r="S1176" s="13">
        <v>66.929729729729672</v>
      </c>
      <c r="T1176" s="13">
        <v>66.379729729729675</v>
      </c>
      <c r="U1176" s="13">
        <f t="shared" si="407"/>
        <v>66.379729729729675</v>
      </c>
      <c r="V1176" s="7">
        <v>6.0496999999999996</v>
      </c>
      <c r="W1176" s="7">
        <v>1.8257000000000001</v>
      </c>
      <c r="X1176" s="7">
        <v>1.1476266666666699</v>
      </c>
      <c r="Y1176" s="14">
        <f t="shared" si="408"/>
        <v>4.9020733333333295</v>
      </c>
      <c r="Z1176" s="14">
        <f t="shared" si="409"/>
        <v>0.6780733333333302</v>
      </c>
      <c r="AA1176" s="36">
        <f t="shared" si="410"/>
        <v>86.16762159140832</v>
      </c>
      <c r="AB1176" s="36">
        <f t="shared" si="411"/>
        <v>13.83237840859168</v>
      </c>
      <c r="AC1176" s="14">
        <f t="shared" si="412"/>
        <v>1.2281192596529156</v>
      </c>
      <c r="AD1176" s="14">
        <f t="shared" si="413"/>
        <v>0.16987810330398595</v>
      </c>
      <c r="AE1176" s="36" t="s">
        <v>40</v>
      </c>
      <c r="AF1176" s="66">
        <v>10.195</v>
      </c>
      <c r="AG1176" s="66">
        <v>10.371</v>
      </c>
      <c r="AH1176" s="66">
        <f t="shared" si="406"/>
        <v>0.17600000000000016</v>
      </c>
      <c r="AI1176" s="66">
        <v>10.210000000000001</v>
      </c>
      <c r="AJ1176" s="66">
        <f t="shared" si="414"/>
        <v>1.5000000000000568E-2</v>
      </c>
      <c r="AK1176" s="66">
        <f t="shared" si="415"/>
        <v>91.477272727272407</v>
      </c>
      <c r="AL1176" s="11">
        <f t="shared" si="416"/>
        <v>4.5738636363636207</v>
      </c>
      <c r="AM1176" s="11">
        <f t="shared" si="417"/>
        <v>52.877036258538965</v>
      </c>
      <c r="AN1176" s="11">
        <f t="shared" si="418"/>
        <v>4.5747490165089326</v>
      </c>
      <c r="AO1176">
        <f t="shared" si="419"/>
        <v>0.5780346820809249</v>
      </c>
      <c r="AP1176" s="7"/>
      <c r="AQ1176" s="7"/>
      <c r="AR1176" s="7"/>
      <c r="AS1176" s="7"/>
    </row>
    <row r="1177" spans="1:45" x14ac:dyDescent="0.2">
      <c r="A1177" s="7" t="s">
        <v>90</v>
      </c>
      <c r="B1177" s="7" t="s">
        <v>230</v>
      </c>
      <c r="C1177" s="7" t="s">
        <v>188</v>
      </c>
      <c r="D1177" s="7" t="s">
        <v>231</v>
      </c>
      <c r="E1177" s="33" t="s">
        <v>80</v>
      </c>
      <c r="F1177" s="7">
        <v>54</v>
      </c>
      <c r="G1177" s="13">
        <v>2.5</v>
      </c>
      <c r="H1177" s="13">
        <v>2.1</v>
      </c>
      <c r="I1177" s="13">
        <v>1.1000000000000001</v>
      </c>
      <c r="J1177" s="14">
        <f t="shared" si="404"/>
        <v>4.5679150000000002</v>
      </c>
      <c r="K1177" s="37">
        <v>0.13648648648648623</v>
      </c>
      <c r="L1177" s="12">
        <f t="shared" si="425"/>
        <v>27.066216216216212</v>
      </c>
      <c r="M1177" s="12">
        <f t="shared" si="426"/>
        <v>28.166216216216213</v>
      </c>
      <c r="N1177" s="13">
        <f t="shared" si="427"/>
        <v>27.616216216216213</v>
      </c>
      <c r="O1177" s="13">
        <f t="shared" si="428"/>
        <v>67.066216216216162</v>
      </c>
      <c r="P1177" s="13">
        <f t="shared" si="405"/>
        <v>68.166216216216156</v>
      </c>
      <c r="Q1177" s="13">
        <f t="shared" si="424"/>
        <v>67.616216216216159</v>
      </c>
      <c r="R1177" s="13">
        <v>67.066216216216162</v>
      </c>
      <c r="S1177" s="13">
        <v>68.166216216216156</v>
      </c>
      <c r="T1177" s="13">
        <v>67.616216216216159</v>
      </c>
      <c r="U1177" s="13">
        <f t="shared" si="407"/>
        <v>67.616216216216159</v>
      </c>
      <c r="V1177" s="7">
        <v>6.6195000000000004</v>
      </c>
      <c r="W1177" s="7">
        <v>2.2848000000000002</v>
      </c>
      <c r="X1177" s="7">
        <v>1.1476266666666699</v>
      </c>
      <c r="Y1177" s="14">
        <f t="shared" si="408"/>
        <v>5.4718733333333303</v>
      </c>
      <c r="Z1177" s="14">
        <f t="shared" si="409"/>
        <v>1.1371733333333303</v>
      </c>
      <c r="AA1177" s="36">
        <f t="shared" si="410"/>
        <v>79.217842518284456</v>
      </c>
      <c r="AB1177" s="36">
        <f t="shared" si="411"/>
        <v>20.782157481715544</v>
      </c>
      <c r="AC1177" s="14">
        <f t="shared" si="412"/>
        <v>1.1978929847278967</v>
      </c>
      <c r="AD1177" s="14">
        <f t="shared" si="413"/>
        <v>0.24894800654857419</v>
      </c>
      <c r="AE1177" s="36" t="s">
        <v>40</v>
      </c>
      <c r="AF1177" s="66">
        <v>9.2509999999999994</v>
      </c>
      <c r="AG1177" s="66">
        <v>9.4719999999999995</v>
      </c>
      <c r="AH1177" s="66">
        <f t="shared" si="406"/>
        <v>0.22100000000000009</v>
      </c>
      <c r="AI1177" s="66">
        <v>9.35</v>
      </c>
      <c r="AJ1177" s="66">
        <f t="shared" si="414"/>
        <v>9.9000000000000199E-2</v>
      </c>
      <c r="AK1177" s="66">
        <f t="shared" si="415"/>
        <v>55.203619909502187</v>
      </c>
      <c r="AL1177" s="11">
        <f t="shared" si="416"/>
        <v>2.7601809954751095</v>
      </c>
      <c r="AM1177" s="11">
        <f t="shared" si="417"/>
        <v>31.909606884105312</v>
      </c>
      <c r="AN1177" s="11">
        <f t="shared" si="418"/>
        <v>2.7616479007617838</v>
      </c>
      <c r="AO1177">
        <f t="shared" si="419"/>
        <v>0.5780346820809249</v>
      </c>
      <c r="AP1177" s="7"/>
      <c r="AQ1177" s="7"/>
      <c r="AR1177" s="7"/>
      <c r="AS1177" s="7"/>
    </row>
    <row r="1178" spans="1:45" x14ac:dyDescent="0.2">
      <c r="A1178" s="7" t="s">
        <v>90</v>
      </c>
      <c r="B1178" s="7" t="s">
        <v>232</v>
      </c>
      <c r="C1178" s="7" t="s">
        <v>188</v>
      </c>
      <c r="D1178" s="7" t="s">
        <v>233</v>
      </c>
      <c r="E1178" s="33" t="s">
        <v>80</v>
      </c>
      <c r="F1178" s="7">
        <v>55</v>
      </c>
      <c r="G1178" s="13">
        <v>2.25</v>
      </c>
      <c r="H1178" s="13">
        <v>2.5</v>
      </c>
      <c r="I1178" s="13">
        <v>1.1000000000000001</v>
      </c>
      <c r="J1178" s="14">
        <f t="shared" si="404"/>
        <v>4.8706796875</v>
      </c>
      <c r="K1178" s="37">
        <v>0.13648648648648623</v>
      </c>
      <c r="L1178" s="12">
        <f t="shared" si="425"/>
        <v>28.3027027027027</v>
      </c>
      <c r="M1178" s="12">
        <f t="shared" si="426"/>
        <v>29.402702702702701</v>
      </c>
      <c r="N1178" s="13">
        <f t="shared" si="427"/>
        <v>28.8527027027027</v>
      </c>
      <c r="O1178" s="13">
        <f t="shared" si="428"/>
        <v>68.302702702702646</v>
      </c>
      <c r="P1178" s="13">
        <f t="shared" si="405"/>
        <v>69.402702702702641</v>
      </c>
      <c r="Q1178" s="13">
        <f t="shared" si="424"/>
        <v>68.852702702702643</v>
      </c>
      <c r="R1178" s="13">
        <v>68.302702702702646</v>
      </c>
      <c r="S1178" s="13">
        <v>69.402702702702641</v>
      </c>
      <c r="T1178" s="13">
        <v>68.852702702702643</v>
      </c>
      <c r="U1178" s="13">
        <f t="shared" si="407"/>
        <v>68.852702702702643</v>
      </c>
      <c r="V1178" s="7">
        <v>7.0296000000000003</v>
      </c>
      <c r="W1178" s="7">
        <v>2.7311000000000001</v>
      </c>
      <c r="X1178" s="7">
        <v>1.1476266666666699</v>
      </c>
      <c r="Y1178" s="14">
        <f t="shared" si="408"/>
        <v>5.8819733333333302</v>
      </c>
      <c r="Z1178" s="14">
        <f t="shared" si="409"/>
        <v>1.5834733333333302</v>
      </c>
      <c r="AA1178" s="36">
        <f t="shared" si="410"/>
        <v>73.079216045408828</v>
      </c>
      <c r="AB1178" s="36">
        <f t="shared" si="411"/>
        <v>26.920783954591172</v>
      </c>
      <c r="AC1178" s="14">
        <f t="shared" si="412"/>
        <v>1.2076288548451852</v>
      </c>
      <c r="AD1178" s="14">
        <f t="shared" si="413"/>
        <v>0.32510315498617565</v>
      </c>
      <c r="AE1178" s="36">
        <f>(W1178-$AS$12)/J1178</f>
        <v>0.5607225634255999</v>
      </c>
      <c r="AF1178" s="66">
        <v>9.3729999999999993</v>
      </c>
      <c r="AG1178" s="66">
        <v>9.6890000000000001</v>
      </c>
      <c r="AH1178" s="66">
        <f t="shared" si="406"/>
        <v>0.31600000000000072</v>
      </c>
      <c r="AI1178" s="66">
        <v>9.5909999999999993</v>
      </c>
      <c r="AJ1178" s="66">
        <f t="shared" si="414"/>
        <v>0.21799999999999997</v>
      </c>
      <c r="AK1178" s="66">
        <f t="shared" si="415"/>
        <v>31.012658227848267</v>
      </c>
      <c r="AL1178" s="11">
        <f t="shared" si="416"/>
        <v>1.5506329113924133</v>
      </c>
      <c r="AM1178" s="11">
        <f t="shared" si="417"/>
        <v>17.926392039218651</v>
      </c>
      <c r="AN1178" s="11">
        <f t="shared" si="418"/>
        <v>1.5532425521769972</v>
      </c>
      <c r="AO1178">
        <f t="shared" si="419"/>
        <v>0.5780346820809249</v>
      </c>
      <c r="AP1178" s="7" t="s">
        <v>95</v>
      </c>
      <c r="AQ1178" s="7"/>
      <c r="AR1178" s="7"/>
      <c r="AS1178" s="7"/>
    </row>
    <row r="1179" spans="1:45" x14ac:dyDescent="0.2">
      <c r="A1179" s="7" t="s">
        <v>90</v>
      </c>
      <c r="B1179" s="7" t="s">
        <v>234</v>
      </c>
      <c r="C1179" s="7" t="s">
        <v>188</v>
      </c>
      <c r="D1179" s="7" t="s">
        <v>235</v>
      </c>
      <c r="E1179" s="33" t="s">
        <v>80</v>
      </c>
      <c r="F1179" s="7">
        <v>56</v>
      </c>
      <c r="G1179" s="13">
        <v>2.2999999999999998</v>
      </c>
      <c r="H1179" s="13">
        <v>2.4</v>
      </c>
      <c r="I1179" s="13">
        <v>1.2</v>
      </c>
      <c r="J1179" s="14">
        <f t="shared" si="404"/>
        <v>5.2021949999999988</v>
      </c>
      <c r="K1179" s="37">
        <v>0.13648648648648623</v>
      </c>
      <c r="L1179" s="12">
        <f t="shared" si="425"/>
        <v>29.539189189189187</v>
      </c>
      <c r="M1179" s="12">
        <f t="shared" si="426"/>
        <v>30.739189189189187</v>
      </c>
      <c r="N1179" s="13">
        <f t="shared" si="427"/>
        <v>30.139189189189189</v>
      </c>
      <c r="O1179" s="13">
        <f t="shared" si="428"/>
        <v>69.539189189189131</v>
      </c>
      <c r="P1179" s="13">
        <f t="shared" si="405"/>
        <v>70.739189189189133</v>
      </c>
      <c r="Q1179" s="13">
        <f t="shared" si="424"/>
        <v>70.139189189189125</v>
      </c>
      <c r="R1179" s="13">
        <v>69.539189189189131</v>
      </c>
      <c r="S1179" s="13">
        <v>70.739189189189133</v>
      </c>
      <c r="T1179" s="13">
        <v>70.139189189189125</v>
      </c>
      <c r="U1179" s="13">
        <f t="shared" si="407"/>
        <v>70.139189189189125</v>
      </c>
      <c r="V1179" s="7">
        <v>6.4522000000000004</v>
      </c>
      <c r="W1179" s="7">
        <v>1.8452</v>
      </c>
      <c r="X1179" s="7">
        <v>1.1476266666666699</v>
      </c>
      <c r="Y1179" s="14">
        <f t="shared" si="408"/>
        <v>5.3045733333333303</v>
      </c>
      <c r="Z1179" s="14">
        <f t="shared" si="409"/>
        <v>0.69757333333333005</v>
      </c>
      <c r="AA1179" s="36">
        <f t="shared" si="410"/>
        <v>86.849586394633121</v>
      </c>
      <c r="AB1179" s="36">
        <f t="shared" si="411"/>
        <v>13.150413605366879</v>
      </c>
      <c r="AC1179" s="14">
        <f t="shared" si="412"/>
        <v>1.0196798338649995</v>
      </c>
      <c r="AD1179" s="14">
        <f t="shared" si="413"/>
        <v>0.13409211560376538</v>
      </c>
      <c r="AE1179" s="36">
        <f>(W1179-$AS$12)/J1179</f>
        <v>0.35469643102574977</v>
      </c>
      <c r="AF1179" s="66">
        <v>10.27</v>
      </c>
      <c r="AG1179" s="66">
        <v>10.422000000000001</v>
      </c>
      <c r="AH1179" s="66">
        <f t="shared" si="406"/>
        <v>0.15200000000000102</v>
      </c>
      <c r="AI1179" s="66">
        <v>10.289</v>
      </c>
      <c r="AJ1179" s="66">
        <f t="shared" si="414"/>
        <v>1.9000000000000128E-2</v>
      </c>
      <c r="AK1179" s="66">
        <f t="shared" si="415"/>
        <v>87.5</v>
      </c>
      <c r="AL1179" s="11">
        <f t="shared" si="416"/>
        <v>4.375</v>
      </c>
      <c r="AM1179" s="11">
        <f t="shared" si="417"/>
        <v>50.578034682080926</v>
      </c>
      <c r="AN1179" s="11">
        <f t="shared" si="418"/>
        <v>4.3759256163696385</v>
      </c>
      <c r="AO1179">
        <f t="shared" si="419"/>
        <v>0.5780346820809249</v>
      </c>
      <c r="AP1179" s="7"/>
      <c r="AQ1179" s="7"/>
      <c r="AR1179" s="7"/>
      <c r="AS1179" s="7"/>
    </row>
    <row r="1180" spans="1:45" x14ac:dyDescent="0.2">
      <c r="A1180" s="7" t="s">
        <v>90</v>
      </c>
      <c r="B1180" s="7" t="s">
        <v>236</v>
      </c>
      <c r="C1180" s="7" t="s">
        <v>188</v>
      </c>
      <c r="D1180" s="7" t="s">
        <v>237</v>
      </c>
      <c r="E1180" s="33" t="s">
        <v>80</v>
      </c>
      <c r="F1180" s="7">
        <v>57</v>
      </c>
      <c r="G1180" s="13">
        <v>2.25</v>
      </c>
      <c r="H1180" s="13">
        <v>2.5</v>
      </c>
      <c r="I1180" s="13">
        <v>1.1499999999999999</v>
      </c>
      <c r="J1180" s="14">
        <f t="shared" si="404"/>
        <v>5.0920742187499997</v>
      </c>
      <c r="K1180" s="37">
        <v>0.13648648648648623</v>
      </c>
      <c r="L1180" s="12">
        <f t="shared" si="425"/>
        <v>30.875675675675673</v>
      </c>
      <c r="M1180" s="12">
        <f t="shared" si="426"/>
        <v>32.025675675675672</v>
      </c>
      <c r="N1180" s="13">
        <f t="shared" si="427"/>
        <v>31.450675675675672</v>
      </c>
      <c r="O1180" s="13">
        <f t="shared" si="428"/>
        <v>70.875675675675623</v>
      </c>
      <c r="P1180" s="13">
        <f t="shared" si="405"/>
        <v>72.025675675675629</v>
      </c>
      <c r="Q1180" s="13">
        <f t="shared" si="424"/>
        <v>71.450675675675626</v>
      </c>
      <c r="R1180" s="13">
        <v>70.875675675675623</v>
      </c>
      <c r="S1180" s="13">
        <v>72.025675675675629</v>
      </c>
      <c r="T1180" s="13">
        <v>71.450675675675626</v>
      </c>
      <c r="U1180" s="13">
        <f t="shared" si="407"/>
        <v>71.450675675675626</v>
      </c>
      <c r="V1180" s="7">
        <v>6.1673</v>
      </c>
      <c r="W1180" s="7">
        <v>1.7690999999999999</v>
      </c>
      <c r="X1180" s="7">
        <v>1.1476266666666699</v>
      </c>
      <c r="Y1180" s="14">
        <f t="shared" si="408"/>
        <v>5.0196733333333299</v>
      </c>
      <c r="Z1180" s="14">
        <f t="shared" si="409"/>
        <v>0.62147333333332999</v>
      </c>
      <c r="AA1180" s="36">
        <f t="shared" si="410"/>
        <v>87.619247467630757</v>
      </c>
      <c r="AB1180" s="36">
        <f t="shared" si="411"/>
        <v>12.380752532369243</v>
      </c>
      <c r="AC1180" s="14">
        <f t="shared" si="412"/>
        <v>0.98578165158118169</v>
      </c>
      <c r="AD1180" s="14">
        <f t="shared" si="413"/>
        <v>0.12204718679176853</v>
      </c>
      <c r="AE1180" s="36" t="s">
        <v>40</v>
      </c>
      <c r="AF1180" s="66">
        <v>9.5679999999999996</v>
      </c>
      <c r="AG1180" s="66">
        <v>9.6999999999999993</v>
      </c>
      <c r="AH1180" s="66">
        <f t="shared" si="406"/>
        <v>0.13199999999999967</v>
      </c>
      <c r="AI1180" s="66">
        <v>9.58</v>
      </c>
      <c r="AJ1180" s="66">
        <f t="shared" si="414"/>
        <v>1.2000000000000455E-2</v>
      </c>
      <c r="AK1180" s="66">
        <f t="shared" si="415"/>
        <v>90.909090909090537</v>
      </c>
      <c r="AL1180" s="11">
        <f t="shared" si="416"/>
        <v>4.5454545454545272</v>
      </c>
      <c r="AM1180" s="11">
        <f t="shared" si="417"/>
        <v>52.548607461902051</v>
      </c>
      <c r="AN1180" s="11">
        <f t="shared" si="418"/>
        <v>4.5463454581447307</v>
      </c>
      <c r="AO1180">
        <f t="shared" si="419"/>
        <v>0.5780346820809249</v>
      </c>
      <c r="AP1180" s="7"/>
      <c r="AQ1180" s="7"/>
      <c r="AR1180" s="7"/>
      <c r="AS1180" s="7"/>
    </row>
    <row r="1181" spans="1:45" x14ac:dyDescent="0.2">
      <c r="A1181" s="7" t="s">
        <v>90</v>
      </c>
      <c r="B1181" s="7" t="s">
        <v>238</v>
      </c>
      <c r="C1181" s="7" t="s">
        <v>188</v>
      </c>
      <c r="D1181" s="7" t="s">
        <v>239</v>
      </c>
      <c r="E1181" s="33" t="s">
        <v>80</v>
      </c>
      <c r="F1181" s="7">
        <v>58</v>
      </c>
      <c r="G1181" s="13">
        <v>2.15</v>
      </c>
      <c r="H1181" s="13">
        <v>2.6</v>
      </c>
      <c r="I1181" s="13">
        <v>1.1499999999999999</v>
      </c>
      <c r="J1181" s="14">
        <f t="shared" si="404"/>
        <v>5.0920742187499997</v>
      </c>
      <c r="K1181" s="37">
        <v>0.13648648648648623</v>
      </c>
      <c r="L1181" s="12">
        <f t="shared" si="425"/>
        <v>32.162162162162154</v>
      </c>
      <c r="M1181" s="12">
        <f t="shared" si="426"/>
        <v>33.312162162162153</v>
      </c>
      <c r="N1181" s="13">
        <f t="shared" si="427"/>
        <v>32.73716216216215</v>
      </c>
      <c r="O1181" s="13">
        <f t="shared" si="428"/>
        <v>72.162162162162119</v>
      </c>
      <c r="P1181" s="13">
        <f t="shared" si="405"/>
        <v>73.312162162162124</v>
      </c>
      <c r="Q1181" s="13">
        <f t="shared" si="424"/>
        <v>72.737162162162122</v>
      </c>
      <c r="R1181" s="13">
        <v>72.162162162162119</v>
      </c>
      <c r="S1181" s="13">
        <v>73.312162162162124</v>
      </c>
      <c r="T1181" s="13">
        <v>72.737162162162122</v>
      </c>
      <c r="U1181" s="13">
        <f t="shared" si="407"/>
        <v>72.737162162162122</v>
      </c>
      <c r="V1181" s="7">
        <v>6.3602999999999996</v>
      </c>
      <c r="W1181" s="7">
        <v>1.7504</v>
      </c>
      <c r="X1181" s="7">
        <v>1.1476266666666699</v>
      </c>
      <c r="Y1181" s="14">
        <f t="shared" si="408"/>
        <v>5.2126733333333295</v>
      </c>
      <c r="Z1181" s="14">
        <f t="shared" si="409"/>
        <v>0.60277333333333005</v>
      </c>
      <c r="AA1181" s="36">
        <f t="shared" si="410"/>
        <v>88.436387726835036</v>
      </c>
      <c r="AB1181" s="36">
        <f t="shared" si="411"/>
        <v>11.563612273164964</v>
      </c>
      <c r="AC1181" s="14">
        <f t="shared" si="412"/>
        <v>1.0236836914393865</v>
      </c>
      <c r="AD1181" s="14">
        <f t="shared" si="413"/>
        <v>0.11837481298167304</v>
      </c>
      <c r="AE1181" s="36" t="s">
        <v>40</v>
      </c>
      <c r="AF1181" s="66">
        <v>12.015000000000001</v>
      </c>
      <c r="AG1181" s="66">
        <v>12.135</v>
      </c>
      <c r="AH1181" s="66">
        <f t="shared" si="406"/>
        <v>0.11999999999999922</v>
      </c>
      <c r="AI1181" s="66">
        <v>12.026</v>
      </c>
      <c r="AJ1181" s="66">
        <f t="shared" si="414"/>
        <v>1.0999999999999233E-2</v>
      </c>
      <c r="AK1181" s="66">
        <f t="shared" si="415"/>
        <v>90.833333333333911</v>
      </c>
      <c r="AL1181" s="11">
        <f t="shared" si="416"/>
        <v>4.5416666666666954</v>
      </c>
      <c r="AM1181" s="11">
        <f t="shared" si="417"/>
        <v>52.504816955684348</v>
      </c>
      <c r="AN1181" s="11">
        <f t="shared" si="418"/>
        <v>4.5425583222575545</v>
      </c>
      <c r="AO1181">
        <f t="shared" si="419"/>
        <v>0.5780346820809249</v>
      </c>
      <c r="AP1181" s="7"/>
      <c r="AQ1181" s="7"/>
      <c r="AR1181" s="7"/>
      <c r="AS1181" s="7"/>
    </row>
    <row r="1182" spans="1:45" x14ac:dyDescent="0.2">
      <c r="A1182" s="7" t="s">
        <v>90</v>
      </c>
      <c r="B1182" s="7" t="s">
        <v>240</v>
      </c>
      <c r="C1182" s="7" t="s">
        <v>188</v>
      </c>
      <c r="D1182" s="7" t="s">
        <v>241</v>
      </c>
      <c r="E1182" s="33" t="s">
        <v>80</v>
      </c>
      <c r="F1182" s="7">
        <v>59</v>
      </c>
      <c r="G1182" s="13">
        <v>2.1</v>
      </c>
      <c r="H1182" s="13">
        <v>2.35</v>
      </c>
      <c r="I1182" s="13">
        <v>1.1000000000000001</v>
      </c>
      <c r="J1182" s="14">
        <f t="shared" si="404"/>
        <v>4.2748646875000009</v>
      </c>
      <c r="K1182" s="37">
        <v>0.13648648648648623</v>
      </c>
      <c r="L1182" s="12">
        <f t="shared" si="425"/>
        <v>33.448648648648636</v>
      </c>
      <c r="M1182" s="12">
        <f t="shared" si="426"/>
        <v>34.548648648648637</v>
      </c>
      <c r="N1182" s="13">
        <f t="shared" si="427"/>
        <v>33.99864864864864</v>
      </c>
      <c r="O1182" s="13">
        <f t="shared" si="428"/>
        <v>73.448648648648614</v>
      </c>
      <c r="P1182" s="13">
        <f t="shared" si="405"/>
        <v>74.548648648648609</v>
      </c>
      <c r="Q1182" s="13">
        <f t="shared" si="424"/>
        <v>73.998648648648611</v>
      </c>
      <c r="R1182" s="13">
        <v>73.448648648648614</v>
      </c>
      <c r="S1182" s="13">
        <v>74.548648648648609</v>
      </c>
      <c r="T1182" s="13">
        <v>73.998648648648611</v>
      </c>
      <c r="U1182" s="13">
        <f t="shared" si="407"/>
        <v>73.998648648648611</v>
      </c>
      <c r="V1182" s="7">
        <v>6.4340000000000002</v>
      </c>
      <c r="W1182" s="7">
        <v>1.7623</v>
      </c>
      <c r="X1182" s="7">
        <v>1.1476266666666699</v>
      </c>
      <c r="Y1182" s="14">
        <f t="shared" si="408"/>
        <v>5.28637333333333</v>
      </c>
      <c r="Z1182" s="14">
        <f t="shared" si="409"/>
        <v>0.61467333333333007</v>
      </c>
      <c r="AA1182" s="36">
        <f t="shared" si="410"/>
        <v>88.372494816862528</v>
      </c>
      <c r="AB1182" s="36">
        <f t="shared" si="411"/>
        <v>11.627505183137472</v>
      </c>
      <c r="AC1182" s="14">
        <f t="shared" si="412"/>
        <v>1.2366176989861339</v>
      </c>
      <c r="AD1182" s="14">
        <f t="shared" si="413"/>
        <v>0.14378778704520806</v>
      </c>
      <c r="AE1182" s="36" t="s">
        <v>40</v>
      </c>
      <c r="AF1182" s="66">
        <v>12.153</v>
      </c>
      <c r="AG1182" s="66">
        <v>12.284000000000001</v>
      </c>
      <c r="AH1182" s="66">
        <f t="shared" si="406"/>
        <v>0.13100000000000023</v>
      </c>
      <c r="AI1182" s="66">
        <v>12.164</v>
      </c>
      <c r="AJ1182" s="66">
        <f t="shared" si="414"/>
        <v>1.0999999999999233E-2</v>
      </c>
      <c r="AK1182" s="66">
        <f t="shared" si="415"/>
        <v>91.6030534351151</v>
      </c>
      <c r="AL1182" s="11">
        <f t="shared" si="416"/>
        <v>4.580152671755755</v>
      </c>
      <c r="AM1182" s="11">
        <f t="shared" si="417"/>
        <v>52.949741870008729</v>
      </c>
      <c r="AN1182" s="11">
        <f t="shared" si="418"/>
        <v>4.5810368364150245</v>
      </c>
      <c r="AO1182">
        <f t="shared" si="419"/>
        <v>0.5780346820809249</v>
      </c>
      <c r="AP1182" s="7"/>
      <c r="AQ1182" s="7"/>
      <c r="AR1182" s="7"/>
      <c r="AS1182" s="7"/>
    </row>
    <row r="1183" spans="1:45" x14ac:dyDescent="0.2">
      <c r="A1183" s="7" t="s">
        <v>90</v>
      </c>
      <c r="B1183" s="7" t="s">
        <v>242</v>
      </c>
      <c r="C1183" s="7" t="s">
        <v>188</v>
      </c>
      <c r="D1183" s="7" t="s">
        <v>243</v>
      </c>
      <c r="E1183" s="33" t="s">
        <v>80</v>
      </c>
      <c r="F1183" s="7">
        <v>60</v>
      </c>
      <c r="G1183" s="13">
        <v>2.25</v>
      </c>
      <c r="H1183" s="13">
        <v>2.5</v>
      </c>
      <c r="I1183" s="13">
        <v>1.1000000000000001</v>
      </c>
      <c r="J1183" s="14">
        <f t="shared" si="404"/>
        <v>4.8706796875</v>
      </c>
      <c r="K1183" s="37">
        <v>0.13648648648648623</v>
      </c>
      <c r="L1183" s="12">
        <f t="shared" si="425"/>
        <v>34.68513513513512</v>
      </c>
      <c r="M1183" s="12">
        <f t="shared" si="426"/>
        <v>35.785135135135121</v>
      </c>
      <c r="N1183" s="13">
        <f t="shared" si="427"/>
        <v>35.235135135135124</v>
      </c>
      <c r="O1183" s="13">
        <f t="shared" si="428"/>
        <v>74.685135135135098</v>
      </c>
      <c r="P1183" s="13">
        <f t="shared" si="405"/>
        <v>75.785135135135093</v>
      </c>
      <c r="Q1183" s="13">
        <f t="shared" si="424"/>
        <v>75.235135135135096</v>
      </c>
      <c r="R1183" s="13">
        <v>74.685135135135098</v>
      </c>
      <c r="S1183" s="13">
        <v>75.785135135135093</v>
      </c>
      <c r="T1183" s="13">
        <v>75.235135135135096</v>
      </c>
      <c r="U1183" s="13">
        <f t="shared" si="407"/>
        <v>75.235135135135096</v>
      </c>
      <c r="V1183" s="7">
        <v>6.5666000000000002</v>
      </c>
      <c r="W1183" s="7">
        <v>1.8280000000000001</v>
      </c>
      <c r="X1183" s="7">
        <v>1.1476266666666699</v>
      </c>
      <c r="Y1183" s="14">
        <f t="shared" si="408"/>
        <v>5.4189733333333301</v>
      </c>
      <c r="Z1183" s="14">
        <f t="shared" si="409"/>
        <v>0.68037333333333017</v>
      </c>
      <c r="AA1183" s="36">
        <f t="shared" si="410"/>
        <v>87.444608203768041</v>
      </c>
      <c r="AB1183" s="36">
        <f t="shared" si="411"/>
        <v>12.555391796231959</v>
      </c>
      <c r="AC1183" s="14">
        <f t="shared" si="412"/>
        <v>1.1125702532318966</v>
      </c>
      <c r="AD1183" s="14">
        <f t="shared" si="413"/>
        <v>0.13968755430159463</v>
      </c>
      <c r="AE1183" s="36" t="s">
        <v>40</v>
      </c>
      <c r="AF1183" s="66">
        <v>13.228</v>
      </c>
      <c r="AG1183" s="66">
        <v>13.361000000000001</v>
      </c>
      <c r="AH1183" s="66">
        <f t="shared" si="406"/>
        <v>0.1330000000000009</v>
      </c>
      <c r="AI1183" s="66">
        <v>13.24</v>
      </c>
      <c r="AJ1183" s="66">
        <f t="shared" si="414"/>
        <v>1.2000000000000455E-2</v>
      </c>
      <c r="AK1183" s="66">
        <f t="shared" si="415"/>
        <v>90.977443609022274</v>
      </c>
      <c r="AL1183" s="11">
        <f t="shared" si="416"/>
        <v>4.5488721804511139</v>
      </c>
      <c r="AM1183" s="11">
        <f t="shared" si="417"/>
        <v>52.588117693076462</v>
      </c>
      <c r="AN1183" s="11">
        <f t="shared" si="418"/>
        <v>4.549762423916448</v>
      </c>
      <c r="AO1183">
        <f t="shared" si="419"/>
        <v>0.5780346820809249</v>
      </c>
      <c r="AP1183" s="7"/>
      <c r="AQ1183" s="7"/>
      <c r="AR1183" s="7"/>
      <c r="AS1183" s="7"/>
    </row>
    <row r="1184" spans="1:45" x14ac:dyDescent="0.2">
      <c r="A1184" s="7" t="s">
        <v>90</v>
      </c>
      <c r="B1184" s="7" t="s">
        <v>244</v>
      </c>
      <c r="C1184" s="7" t="s">
        <v>188</v>
      </c>
      <c r="D1184" s="7" t="s">
        <v>245</v>
      </c>
      <c r="E1184" s="33" t="s">
        <v>80</v>
      </c>
      <c r="F1184" s="7">
        <v>61</v>
      </c>
      <c r="G1184" s="13">
        <v>2</v>
      </c>
      <c r="H1184" s="13">
        <v>2.4</v>
      </c>
      <c r="I1184" s="13">
        <v>1.1499999999999999</v>
      </c>
      <c r="J1184" s="14">
        <f t="shared" si="404"/>
        <v>4.3693100000000014</v>
      </c>
      <c r="K1184" s="37">
        <v>0.13648648648648623</v>
      </c>
      <c r="L1184" s="12">
        <f t="shared" si="425"/>
        <v>35.921621621621604</v>
      </c>
      <c r="M1184" s="12">
        <f t="shared" si="426"/>
        <v>37.071621621621603</v>
      </c>
      <c r="N1184" s="13">
        <f t="shared" si="427"/>
        <v>36.4966216216216</v>
      </c>
      <c r="O1184" s="13">
        <f t="shared" si="428"/>
        <v>75.921621621621583</v>
      </c>
      <c r="P1184" s="13">
        <f t="shared" si="405"/>
        <v>77.071621621621588</v>
      </c>
      <c r="Q1184" s="13">
        <f t="shared" si="424"/>
        <v>76.496621621621586</v>
      </c>
      <c r="R1184" s="13">
        <v>75.921621621621583</v>
      </c>
      <c r="S1184" s="13">
        <v>77.071621621621588</v>
      </c>
      <c r="T1184" s="13">
        <v>76.496621621621586</v>
      </c>
      <c r="U1184" s="13">
        <f t="shared" si="407"/>
        <v>76.496621621621586</v>
      </c>
      <c r="V1184" s="7">
        <v>5.4676999999999998</v>
      </c>
      <c r="W1184" s="7">
        <v>1.7854000000000001</v>
      </c>
      <c r="X1184" s="7">
        <v>1.1476266666666699</v>
      </c>
      <c r="Y1184" s="14">
        <f t="shared" si="408"/>
        <v>4.3200733333333297</v>
      </c>
      <c r="Z1184" s="14">
        <f t="shared" si="409"/>
        <v>0.63777333333333019</v>
      </c>
      <c r="AA1184" s="36">
        <f t="shared" si="410"/>
        <v>85.236979001899726</v>
      </c>
      <c r="AB1184" s="36">
        <f t="shared" si="411"/>
        <v>14.763020998100274</v>
      </c>
      <c r="AC1184" s="14">
        <f t="shared" si="412"/>
        <v>0.98873124894624742</v>
      </c>
      <c r="AD1184" s="14">
        <f t="shared" si="413"/>
        <v>0.14596660189671368</v>
      </c>
      <c r="AE1184" s="36" t="s">
        <v>40</v>
      </c>
      <c r="AF1184" s="66">
        <v>10.608000000000001</v>
      </c>
      <c r="AG1184" s="66">
        <v>10.73</v>
      </c>
      <c r="AH1184" s="66">
        <f t="shared" si="406"/>
        <v>0.12199999999999989</v>
      </c>
      <c r="AI1184" s="66">
        <v>10.62</v>
      </c>
      <c r="AJ1184" s="66">
        <f t="shared" si="414"/>
        <v>1.1999999999998678E-2</v>
      </c>
      <c r="AK1184" s="66">
        <f t="shared" si="415"/>
        <v>90.163934426230583</v>
      </c>
      <c r="AL1184" s="11">
        <f t="shared" si="416"/>
        <v>4.5081967213115295</v>
      </c>
      <c r="AM1184" s="11">
        <f t="shared" si="417"/>
        <v>52.117881171231552</v>
      </c>
      <c r="AN1184" s="11">
        <f t="shared" si="418"/>
        <v>4.5090949954557429</v>
      </c>
      <c r="AO1184">
        <f t="shared" si="419"/>
        <v>0.5780346820809249</v>
      </c>
      <c r="AP1184" s="7"/>
      <c r="AQ1184" s="7"/>
      <c r="AR1184" s="7"/>
      <c r="AS1184" s="7"/>
    </row>
    <row r="1185" spans="1:45" x14ac:dyDescent="0.2">
      <c r="A1185" s="7" t="s">
        <v>90</v>
      </c>
      <c r="B1185" s="7" t="s">
        <v>246</v>
      </c>
      <c r="C1185" s="7" t="s">
        <v>188</v>
      </c>
      <c r="D1185" s="7" t="s">
        <v>247</v>
      </c>
      <c r="E1185" s="33" t="s">
        <v>80</v>
      </c>
      <c r="F1185" s="7">
        <v>62</v>
      </c>
      <c r="G1185" s="13">
        <v>2.0499999999999998</v>
      </c>
      <c r="H1185" s="13">
        <v>2.25</v>
      </c>
      <c r="I1185" s="13">
        <v>1</v>
      </c>
      <c r="J1185" s="14">
        <f t="shared" si="404"/>
        <v>3.6286624999999999</v>
      </c>
      <c r="K1185" s="37">
        <v>0.13648648648648623</v>
      </c>
      <c r="L1185" s="12">
        <f t="shared" si="425"/>
        <v>37.208108108108085</v>
      </c>
      <c r="M1185" s="12">
        <f t="shared" si="426"/>
        <v>38.208108108108085</v>
      </c>
      <c r="N1185" s="13">
        <f t="shared" si="427"/>
        <v>37.708108108108085</v>
      </c>
      <c r="O1185" s="13">
        <f t="shared" si="428"/>
        <v>77.208108108108078</v>
      </c>
      <c r="P1185" s="13">
        <f t="shared" si="405"/>
        <v>78.208108108108078</v>
      </c>
      <c r="Q1185" s="13">
        <f t="shared" si="424"/>
        <v>77.708108108108078</v>
      </c>
      <c r="R1185" s="13">
        <v>77.208108108108078</v>
      </c>
      <c r="S1185" s="13">
        <v>78.208108108108078</v>
      </c>
      <c r="T1185" s="13">
        <v>77.708108108108078</v>
      </c>
      <c r="U1185" s="13">
        <f t="shared" si="407"/>
        <v>77.708108108108078</v>
      </c>
      <c r="V1185" s="7">
        <v>5.9146000000000001</v>
      </c>
      <c r="W1185" s="7">
        <v>1.8476999999999999</v>
      </c>
      <c r="X1185" s="7">
        <v>1.1476266666666699</v>
      </c>
      <c r="Y1185" s="14">
        <f t="shared" si="408"/>
        <v>4.76697333333333</v>
      </c>
      <c r="Z1185" s="14">
        <f t="shared" si="409"/>
        <v>0.70007333333332999</v>
      </c>
      <c r="AA1185" s="36">
        <f t="shared" si="410"/>
        <v>85.314091680815011</v>
      </c>
      <c r="AB1185" s="36">
        <f t="shared" si="411"/>
        <v>14.685908319184989</v>
      </c>
      <c r="AC1185" s="14">
        <f t="shared" si="412"/>
        <v>1.3136998366018691</v>
      </c>
      <c r="AD1185" s="14">
        <f t="shared" si="413"/>
        <v>0.19292875359263364</v>
      </c>
      <c r="AE1185" s="36">
        <f>(W1185-$AS$12)/J1185</f>
        <v>0.50919588140258287</v>
      </c>
      <c r="AF1185" s="66">
        <v>12.013999999999999</v>
      </c>
      <c r="AG1185" s="66">
        <v>12.145</v>
      </c>
      <c r="AH1185" s="66">
        <f t="shared" si="406"/>
        <v>0.13100000000000023</v>
      </c>
      <c r="AI1185" s="66">
        <v>12.026</v>
      </c>
      <c r="AJ1185" s="66">
        <f t="shared" si="414"/>
        <v>1.2000000000000455E-2</v>
      </c>
      <c r="AK1185" s="66">
        <f t="shared" si="415"/>
        <v>90.83969465648822</v>
      </c>
      <c r="AL1185" s="11">
        <f t="shared" si="416"/>
        <v>4.5419847328244112</v>
      </c>
      <c r="AM1185" s="11">
        <f t="shared" si="417"/>
        <v>52.508494021091458</v>
      </c>
      <c r="AN1185" s="11">
        <f t="shared" si="418"/>
        <v>4.5428763259866578</v>
      </c>
      <c r="AO1185">
        <f t="shared" si="419"/>
        <v>0.5780346820809249</v>
      </c>
      <c r="AP1185" s="7"/>
      <c r="AQ1185" s="7"/>
      <c r="AR1185" s="7"/>
      <c r="AS1185" s="7"/>
    </row>
    <row r="1186" spans="1:45" x14ac:dyDescent="0.2">
      <c r="A1186" s="7" t="s">
        <v>90</v>
      </c>
      <c r="B1186" s="7" t="s">
        <v>248</v>
      </c>
      <c r="C1186" s="7" t="s">
        <v>188</v>
      </c>
      <c r="D1186" s="7" t="s">
        <v>249</v>
      </c>
      <c r="E1186" s="33" t="s">
        <v>80</v>
      </c>
      <c r="F1186" s="7">
        <v>63</v>
      </c>
      <c r="G1186" s="13">
        <v>2.1</v>
      </c>
      <c r="H1186" s="13">
        <v>2.25</v>
      </c>
      <c r="I1186" s="13">
        <v>1.1000000000000001</v>
      </c>
      <c r="J1186" s="14">
        <f t="shared" si="404"/>
        <v>4.0848946874999994</v>
      </c>
      <c r="K1186" s="37">
        <v>0.13648648648648623</v>
      </c>
      <c r="L1186" s="12">
        <f t="shared" si="425"/>
        <v>38.344594594594568</v>
      </c>
      <c r="M1186" s="12">
        <f t="shared" si="426"/>
        <v>39.44459459459457</v>
      </c>
      <c r="N1186" s="13">
        <f t="shared" si="427"/>
        <v>38.894594594594565</v>
      </c>
      <c r="O1186" s="13">
        <f t="shared" si="428"/>
        <v>78.344594594594568</v>
      </c>
      <c r="P1186" s="13">
        <f t="shared" si="405"/>
        <v>79.444594594594562</v>
      </c>
      <c r="Q1186" s="13">
        <f t="shared" si="424"/>
        <v>78.894594594594565</v>
      </c>
      <c r="R1186" s="13">
        <v>78.344594594594568</v>
      </c>
      <c r="S1186" s="13">
        <v>79.444594594594562</v>
      </c>
      <c r="T1186" s="13">
        <v>78.894594594594565</v>
      </c>
      <c r="U1186" s="13">
        <f t="shared" si="407"/>
        <v>78.894594594594565</v>
      </c>
      <c r="V1186" s="7">
        <v>5.5587999999999997</v>
      </c>
      <c r="W1186" s="7">
        <v>1.7919</v>
      </c>
      <c r="X1186" s="7">
        <v>1.1476266666666699</v>
      </c>
      <c r="Y1186" s="14">
        <f t="shared" si="408"/>
        <v>4.4111733333333296</v>
      </c>
      <c r="Z1186" s="14">
        <f t="shared" si="409"/>
        <v>0.64427333333333014</v>
      </c>
      <c r="AA1186" s="36">
        <f t="shared" si="410"/>
        <v>85.394513326764226</v>
      </c>
      <c r="AB1186" s="36">
        <f t="shared" si="411"/>
        <v>14.605486673235774</v>
      </c>
      <c r="AC1186" s="14">
        <f t="shared" si="412"/>
        <v>1.07987443270735</v>
      </c>
      <c r="AD1186" s="14">
        <f t="shared" si="413"/>
        <v>0.15772091635675253</v>
      </c>
      <c r="AE1186" s="36" t="s">
        <v>40</v>
      </c>
      <c r="AF1186" s="66">
        <v>12.281000000000001</v>
      </c>
      <c r="AG1186" s="66">
        <v>12.438000000000001</v>
      </c>
      <c r="AH1186" s="66">
        <f t="shared" si="406"/>
        <v>0.15700000000000003</v>
      </c>
      <c r="AI1186" s="66">
        <v>12.294</v>
      </c>
      <c r="AJ1186" s="66">
        <f t="shared" si="414"/>
        <v>1.2999999999999901E-2</v>
      </c>
      <c r="AK1186" s="66">
        <f t="shared" si="415"/>
        <v>91.719745222930001</v>
      </c>
      <c r="AL1186" s="11">
        <f t="shared" si="416"/>
        <v>4.5859872611465002</v>
      </c>
      <c r="AM1186" s="11">
        <f t="shared" si="417"/>
        <v>53.017193770479771</v>
      </c>
      <c r="AN1186" s="11">
        <f t="shared" si="418"/>
        <v>4.5868703011310421</v>
      </c>
      <c r="AO1186">
        <f t="shared" si="419"/>
        <v>0.5780346820809249</v>
      </c>
      <c r="AP1186" s="7"/>
      <c r="AQ1186" s="7"/>
      <c r="AR1186" s="7"/>
      <c r="AS1186" s="7"/>
    </row>
    <row r="1187" spans="1:45" x14ac:dyDescent="0.2">
      <c r="A1187" s="7" t="s">
        <v>90</v>
      </c>
      <c r="B1187" s="7" t="s">
        <v>250</v>
      </c>
      <c r="C1187" s="7" t="s">
        <v>188</v>
      </c>
      <c r="D1187" s="7" t="s">
        <v>251</v>
      </c>
      <c r="E1187" s="33" t="s">
        <v>80</v>
      </c>
      <c r="F1187" s="7">
        <v>64</v>
      </c>
      <c r="G1187" s="13">
        <v>2.2999999999999998</v>
      </c>
      <c r="H1187" s="13">
        <v>2.2000000000000002</v>
      </c>
      <c r="I1187" s="13">
        <v>1.1000000000000001</v>
      </c>
      <c r="J1187" s="14">
        <f t="shared" si="404"/>
        <v>4.3714687500000009</v>
      </c>
      <c r="K1187" s="37">
        <v>0.13648648648648623</v>
      </c>
      <c r="L1187" s="12">
        <f t="shared" si="425"/>
        <v>39.581081081081052</v>
      </c>
      <c r="M1187" s="12">
        <f t="shared" si="426"/>
        <v>40.681081081081054</v>
      </c>
      <c r="N1187" s="13">
        <f t="shared" si="427"/>
        <v>40.131081081081049</v>
      </c>
      <c r="O1187" s="13">
        <f t="shared" si="428"/>
        <v>79.581081081081052</v>
      </c>
      <c r="P1187" s="13">
        <f t="shared" si="405"/>
        <v>80.681081081081047</v>
      </c>
      <c r="Q1187" s="13">
        <f t="shared" si="424"/>
        <v>80.131081081081049</v>
      </c>
      <c r="R1187" s="13">
        <v>79.581081081081052</v>
      </c>
      <c r="S1187" s="13">
        <v>80.681081081081047</v>
      </c>
      <c r="T1187" s="13">
        <v>80.131081081081049</v>
      </c>
      <c r="U1187" s="13">
        <f t="shared" si="407"/>
        <v>80.131081081081049</v>
      </c>
      <c r="V1187" s="7">
        <v>6.0968999999999998</v>
      </c>
      <c r="W1187" s="7">
        <v>1.8061</v>
      </c>
      <c r="X1187" s="7">
        <v>1.1476266666666699</v>
      </c>
      <c r="Y1187" s="14">
        <f t="shared" si="408"/>
        <v>4.9492733333333296</v>
      </c>
      <c r="Z1187" s="14">
        <f t="shared" si="409"/>
        <v>0.65847333333333014</v>
      </c>
      <c r="AA1187" s="36">
        <f t="shared" si="410"/>
        <v>86.695555307109103</v>
      </c>
      <c r="AB1187" s="36">
        <f t="shared" si="411"/>
        <v>13.304444692890897</v>
      </c>
      <c r="AC1187" s="14">
        <f t="shared" si="412"/>
        <v>1.1321763042074426</v>
      </c>
      <c r="AD1187" s="14">
        <f t="shared" si="413"/>
        <v>0.1506297702192953</v>
      </c>
      <c r="AE1187" s="36" t="s">
        <v>40</v>
      </c>
      <c r="AF1187" s="66">
        <v>10.026</v>
      </c>
      <c r="AG1187" s="66">
        <v>10.17</v>
      </c>
      <c r="AH1187" s="66">
        <f t="shared" si="406"/>
        <v>0.14400000000000013</v>
      </c>
      <c r="AI1187" s="66">
        <v>10.034000000000001</v>
      </c>
      <c r="AJ1187" s="66">
        <f t="shared" si="414"/>
        <v>8.0000000000008953E-3</v>
      </c>
      <c r="AK1187" s="66">
        <f t="shared" si="415"/>
        <v>94.444444444443832</v>
      </c>
      <c r="AL1187" s="11">
        <f t="shared" si="416"/>
        <v>4.7222222222221921</v>
      </c>
      <c r="AM1187" s="11">
        <f t="shared" si="417"/>
        <v>54.592164418753661</v>
      </c>
      <c r="AN1187" s="11">
        <f t="shared" si="418"/>
        <v>4.7230797914124949</v>
      </c>
      <c r="AO1187">
        <f t="shared" si="419"/>
        <v>0.5780346820809249</v>
      </c>
      <c r="AP1187" s="7"/>
      <c r="AQ1187" s="7"/>
      <c r="AR1187" s="7"/>
      <c r="AS1187" s="7"/>
    </row>
    <row r="1188" spans="1:45" x14ac:dyDescent="0.2">
      <c r="A1188" s="7" t="s">
        <v>90</v>
      </c>
      <c r="B1188" s="7" t="s">
        <v>252</v>
      </c>
      <c r="C1188" s="7" t="s">
        <v>188</v>
      </c>
      <c r="D1188" s="7" t="s">
        <v>253</v>
      </c>
      <c r="E1188" s="33" t="s">
        <v>80</v>
      </c>
      <c r="F1188" s="7">
        <v>65</v>
      </c>
      <c r="G1188" s="13">
        <v>2.1</v>
      </c>
      <c r="H1188" s="13">
        <v>2.5</v>
      </c>
      <c r="I1188" s="13">
        <v>1.1000000000000001</v>
      </c>
      <c r="J1188" s="14">
        <f t="shared" ref="J1188:J1251" si="429">(AVERAGE(G1188:H1188)*(AVERAGE(G1188:H1188)*3.14/4*I1188))</f>
        <v>4.5679150000000002</v>
      </c>
      <c r="K1188" s="37">
        <v>0.13648648648648623</v>
      </c>
      <c r="L1188" s="12">
        <f t="shared" si="425"/>
        <v>40.817567567567536</v>
      </c>
      <c r="M1188" s="12">
        <f t="shared" si="426"/>
        <v>41.917567567567538</v>
      </c>
      <c r="N1188" s="13">
        <f t="shared" si="427"/>
        <v>41.367567567567534</v>
      </c>
      <c r="O1188" s="13">
        <f t="shared" si="428"/>
        <v>80.817567567567536</v>
      </c>
      <c r="P1188" s="13">
        <f t="shared" ref="P1188:P1251" si="430">O1188+I1188</f>
        <v>81.917567567567531</v>
      </c>
      <c r="Q1188" s="13">
        <f t="shared" si="424"/>
        <v>81.367567567567534</v>
      </c>
      <c r="R1188" s="13">
        <v>80.817567567567536</v>
      </c>
      <c r="S1188" s="13">
        <v>81.917567567567531</v>
      </c>
      <c r="T1188" s="13">
        <v>81.367567567567534</v>
      </c>
      <c r="U1188" s="13">
        <f t="shared" si="407"/>
        <v>81.367567567567534</v>
      </c>
      <c r="V1188" s="7">
        <v>6.4558</v>
      </c>
      <c r="W1188" s="7">
        <v>1.4502999999999999</v>
      </c>
      <c r="X1188" s="7">
        <v>1.1476266666666699</v>
      </c>
      <c r="Y1188" s="14">
        <f t="shared" si="408"/>
        <v>5.3081733333333299</v>
      </c>
      <c r="Z1188" s="14">
        <f t="shared" si="409"/>
        <v>0.30267333333333002</v>
      </c>
      <c r="AA1188" s="36">
        <f t="shared" si="410"/>
        <v>94.297975700366536</v>
      </c>
      <c r="AB1188" s="36">
        <f t="shared" si="411"/>
        <v>5.7020242996334645</v>
      </c>
      <c r="AC1188" s="14">
        <f t="shared" si="412"/>
        <v>1.1620560656959094</v>
      </c>
      <c r="AD1188" s="14">
        <f t="shared" si="413"/>
        <v>6.6260719241345342E-2</v>
      </c>
      <c r="AE1188" s="36">
        <f>(W1188-$AS$12)/J1188</f>
        <v>0.31749715132615208</v>
      </c>
      <c r="AF1188" s="66">
        <v>12.744999999999999</v>
      </c>
      <c r="AG1188" s="66">
        <v>12.874000000000001</v>
      </c>
      <c r="AH1188" s="66">
        <f t="shared" ref="AH1188:AH1251" si="431">AG1188-AF1188</f>
        <v>0.12900000000000134</v>
      </c>
      <c r="AI1188" s="66">
        <v>12.754</v>
      </c>
      <c r="AJ1188" s="66">
        <f t="shared" si="414"/>
        <v>9.0000000000003411E-3</v>
      </c>
      <c r="AK1188" s="66">
        <f t="shared" si="415"/>
        <v>93.023255813953298</v>
      </c>
      <c r="AL1188" s="11">
        <f t="shared" si="416"/>
        <v>4.6511627906976649</v>
      </c>
      <c r="AM1188" s="11">
        <f t="shared" si="417"/>
        <v>53.770668100551042</v>
      </c>
      <c r="AN1188" s="11">
        <f t="shared" si="418"/>
        <v>4.6520334592058221</v>
      </c>
      <c r="AO1188">
        <f t="shared" si="419"/>
        <v>0.5780346820809249</v>
      </c>
      <c r="AP1188" s="7"/>
      <c r="AQ1188" s="7"/>
      <c r="AR1188" s="7"/>
      <c r="AS1188" s="7"/>
    </row>
    <row r="1189" spans="1:45" x14ac:dyDescent="0.2">
      <c r="A1189" s="7" t="s">
        <v>90</v>
      </c>
      <c r="B1189" s="7" t="s">
        <v>254</v>
      </c>
      <c r="C1189" s="7" t="s">
        <v>188</v>
      </c>
      <c r="D1189" s="7" t="s">
        <v>255</v>
      </c>
      <c r="E1189" s="33" t="s">
        <v>80</v>
      </c>
      <c r="F1189" s="7">
        <v>66</v>
      </c>
      <c r="G1189" s="13">
        <v>2</v>
      </c>
      <c r="H1189" s="13">
        <v>2.6</v>
      </c>
      <c r="I1189" s="13">
        <v>1.1000000000000001</v>
      </c>
      <c r="J1189" s="14">
        <f t="shared" si="429"/>
        <v>4.5679150000000002</v>
      </c>
      <c r="K1189" s="37">
        <v>0.13648648648648623</v>
      </c>
      <c r="L1189" s="12">
        <f t="shared" si="425"/>
        <v>42.054054054054021</v>
      </c>
      <c r="M1189" s="12">
        <f t="shared" si="426"/>
        <v>43.154054054054022</v>
      </c>
      <c r="N1189" s="13">
        <f t="shared" si="427"/>
        <v>42.604054054054018</v>
      </c>
      <c r="O1189" s="13">
        <f t="shared" si="428"/>
        <v>82.054054054054021</v>
      </c>
      <c r="P1189" s="13">
        <f t="shared" si="430"/>
        <v>83.154054054054015</v>
      </c>
      <c r="Q1189" s="13">
        <f t="shared" si="424"/>
        <v>82.604054054054018</v>
      </c>
      <c r="R1189" s="13">
        <v>82.054054054054021</v>
      </c>
      <c r="S1189" s="13">
        <v>83.154054054054015</v>
      </c>
      <c r="T1189" s="13">
        <v>82.604054054054018</v>
      </c>
      <c r="U1189" s="13">
        <f t="shared" ref="U1189:U1252" si="432">T1189</f>
        <v>82.604054054054018</v>
      </c>
      <c r="V1189" s="7">
        <v>5.7237</v>
      </c>
      <c r="W1189" s="7">
        <v>1.6974</v>
      </c>
      <c r="X1189" s="7">
        <v>1.1476266666666699</v>
      </c>
      <c r="Y1189" s="14">
        <f t="shared" ref="Y1189:Y1252" si="433">V1189-X1189</f>
        <v>4.5760733333333299</v>
      </c>
      <c r="Z1189" s="14">
        <f t="shared" ref="Z1189:Z1252" si="434">W1189-X1189</f>
        <v>0.54977333333333012</v>
      </c>
      <c r="AA1189" s="36">
        <f t="shared" ref="AA1189:AA1252" si="435">((Y1189)-(Z1189))/(Y1189)*100</f>
        <v>87.985915144133827</v>
      </c>
      <c r="AB1189" s="36">
        <f t="shared" ref="AB1189:AB1252" si="436">100-AA1189</f>
        <v>12.014084855866173</v>
      </c>
      <c r="AC1189" s="14">
        <f t="shared" ref="AC1189:AC1252" si="437">Y1189/J1189</f>
        <v>1.001786008131353</v>
      </c>
      <c r="AD1189" s="14">
        <f t="shared" ref="AD1189:AD1252" si="438">Z1189/J1189</f>
        <v>0.12035542109109519</v>
      </c>
      <c r="AE1189" s="36" t="s">
        <v>40</v>
      </c>
      <c r="AF1189" s="66">
        <v>12.407</v>
      </c>
      <c r="AG1189" s="66">
        <v>12.53</v>
      </c>
      <c r="AH1189" s="66">
        <f t="shared" si="431"/>
        <v>0.12299999999999933</v>
      </c>
      <c r="AI1189" s="66">
        <v>12.416</v>
      </c>
      <c r="AJ1189" s="66">
        <f t="shared" ref="AJ1189:AJ1252" si="439">AI1189-AF1189</f>
        <v>9.0000000000003411E-3</v>
      </c>
      <c r="AK1189" s="66">
        <f t="shared" ref="AK1189:AK1252" si="440">((AG1189-AI1189)/(AG1189-AF1189))*100</f>
        <v>92.68292682926797</v>
      </c>
      <c r="AL1189" s="11">
        <f t="shared" ref="AL1189:AL1252" si="441">AK1189*0.05</f>
        <v>4.6341463414633983</v>
      </c>
      <c r="AM1189" s="11">
        <f t="shared" ref="AM1189:AM1252" si="442">AK1189*AO1189</f>
        <v>53.573946144085539</v>
      </c>
      <c r="AN1189" s="11">
        <f t="shared" ref="AN1189:AN1252" si="443">(AL1189^2+0.09^2)^0.5</f>
        <v>4.6350202064390826</v>
      </c>
      <c r="AO1189">
        <f t="shared" ref="AO1189:AO1252" si="444">1/1.73</f>
        <v>0.5780346820809249</v>
      </c>
      <c r="AP1189" s="7"/>
      <c r="AQ1189" s="7"/>
      <c r="AR1189" s="7"/>
      <c r="AS1189" s="7"/>
    </row>
    <row r="1190" spans="1:45" x14ac:dyDescent="0.2">
      <c r="A1190" s="7" t="s">
        <v>90</v>
      </c>
      <c r="B1190" s="7" t="s">
        <v>256</v>
      </c>
      <c r="C1190" s="7" t="s">
        <v>188</v>
      </c>
      <c r="D1190" s="7" t="s">
        <v>257</v>
      </c>
      <c r="E1190" s="33" t="s">
        <v>80</v>
      </c>
      <c r="F1190" s="7">
        <v>67</v>
      </c>
      <c r="G1190" s="13">
        <v>2.2999999999999998</v>
      </c>
      <c r="H1190" s="13">
        <v>2.1</v>
      </c>
      <c r="I1190" s="13">
        <v>1.1000000000000001</v>
      </c>
      <c r="J1190" s="14">
        <f t="shared" si="429"/>
        <v>4.1793400000000016</v>
      </c>
      <c r="K1190" s="37">
        <v>0.13648648648648623</v>
      </c>
      <c r="L1190" s="12">
        <f t="shared" si="425"/>
        <v>43.290540540540505</v>
      </c>
      <c r="M1190" s="12">
        <f t="shared" si="426"/>
        <v>44.390540540540506</v>
      </c>
      <c r="N1190" s="13">
        <f t="shared" si="427"/>
        <v>43.840540540540502</v>
      </c>
      <c r="O1190" s="13">
        <f t="shared" si="428"/>
        <v>83.290540540540505</v>
      </c>
      <c r="P1190" s="13">
        <f t="shared" si="430"/>
        <v>84.390540540540499</v>
      </c>
      <c r="Q1190" s="13">
        <f t="shared" ref="Q1190:Q1253" si="445">O1190+((P1190-O1190)/2)</f>
        <v>83.840540540540502</v>
      </c>
      <c r="R1190" s="13">
        <v>83.290540540540505</v>
      </c>
      <c r="S1190" s="13">
        <v>84.390540540540499</v>
      </c>
      <c r="T1190" s="13">
        <v>83.840540540540502</v>
      </c>
      <c r="U1190" s="13">
        <f t="shared" si="432"/>
        <v>83.840540540540502</v>
      </c>
      <c r="V1190" s="7">
        <v>5.5926</v>
      </c>
      <c r="W1190" s="7">
        <v>1.8039000000000001</v>
      </c>
      <c r="X1190" s="7">
        <v>1.1476266666666699</v>
      </c>
      <c r="Y1190" s="14">
        <f t="shared" si="433"/>
        <v>4.4449733333333299</v>
      </c>
      <c r="Z1190" s="14">
        <f t="shared" si="434"/>
        <v>0.65627333333333016</v>
      </c>
      <c r="AA1190" s="36">
        <f t="shared" si="435"/>
        <v>85.235606962771485</v>
      </c>
      <c r="AB1190" s="36">
        <f t="shared" si="436"/>
        <v>14.764393037228515</v>
      </c>
      <c r="AC1190" s="14">
        <f t="shared" si="437"/>
        <v>1.0635586799191568</v>
      </c>
      <c r="AD1190" s="14">
        <f t="shared" si="438"/>
        <v>0.15702798368482343</v>
      </c>
      <c r="AE1190" s="36" t="s">
        <v>40</v>
      </c>
      <c r="AF1190" s="66">
        <v>13.119</v>
      </c>
      <c r="AG1190" s="66">
        <v>13.237</v>
      </c>
      <c r="AH1190" s="66">
        <f t="shared" si="431"/>
        <v>0.11800000000000033</v>
      </c>
      <c r="AI1190" s="66">
        <v>13.132</v>
      </c>
      <c r="AJ1190" s="66">
        <f t="shared" si="439"/>
        <v>1.2999999999999901E-2</v>
      </c>
      <c r="AK1190" s="66">
        <f t="shared" si="440"/>
        <v>88.983050847457747</v>
      </c>
      <c r="AL1190" s="11">
        <f t="shared" si="441"/>
        <v>4.4491525423728877</v>
      </c>
      <c r="AM1190" s="11">
        <f t="shared" si="442"/>
        <v>51.435289507201013</v>
      </c>
      <c r="AN1190" s="11">
        <f t="shared" si="443"/>
        <v>4.4500627349851065</v>
      </c>
      <c r="AO1190">
        <f t="shared" si="444"/>
        <v>0.5780346820809249</v>
      </c>
      <c r="AP1190" s="7"/>
      <c r="AQ1190" s="7"/>
      <c r="AR1190" s="7"/>
      <c r="AS1190" s="7"/>
    </row>
    <row r="1191" spans="1:45" x14ac:dyDescent="0.2">
      <c r="A1191" s="7" t="s">
        <v>90</v>
      </c>
      <c r="B1191" s="7" t="s">
        <v>258</v>
      </c>
      <c r="C1191" s="7" t="s">
        <v>188</v>
      </c>
      <c r="D1191" s="7" t="s">
        <v>259</v>
      </c>
      <c r="E1191" s="33" t="s">
        <v>80</v>
      </c>
      <c r="F1191" s="7">
        <v>68</v>
      </c>
      <c r="G1191" s="13">
        <v>2.1</v>
      </c>
      <c r="H1191" s="13">
        <v>2.2000000000000002</v>
      </c>
      <c r="I1191" s="13">
        <v>1.1000000000000001</v>
      </c>
      <c r="J1191" s="14">
        <f t="shared" si="429"/>
        <v>3.9915287500000014</v>
      </c>
      <c r="K1191" s="37">
        <v>0.13648648648648623</v>
      </c>
      <c r="L1191" s="12">
        <f t="shared" si="425"/>
        <v>44.527027027026989</v>
      </c>
      <c r="M1191" s="12">
        <f t="shared" si="426"/>
        <v>45.62702702702699</v>
      </c>
      <c r="N1191" s="13">
        <f t="shared" si="427"/>
        <v>45.077027027026986</v>
      </c>
      <c r="O1191" s="13">
        <f t="shared" si="428"/>
        <v>84.527027027026989</v>
      </c>
      <c r="P1191" s="13">
        <f t="shared" si="430"/>
        <v>85.627027027026983</v>
      </c>
      <c r="Q1191" s="13">
        <f t="shared" si="445"/>
        <v>85.077027027026986</v>
      </c>
      <c r="R1191" s="13">
        <v>84.527027027026989</v>
      </c>
      <c r="S1191" s="13">
        <v>85.627027027026983</v>
      </c>
      <c r="T1191" s="13">
        <v>85.077027027026986</v>
      </c>
      <c r="U1191" s="13">
        <f t="shared" si="432"/>
        <v>85.077027027026986</v>
      </c>
      <c r="V1191" s="7">
        <v>4.8868999999999998</v>
      </c>
      <c r="W1191" s="7">
        <v>1.7157</v>
      </c>
      <c r="X1191" s="7">
        <v>1.1476266666666699</v>
      </c>
      <c r="Y1191" s="14">
        <f t="shared" si="433"/>
        <v>3.7392733333333297</v>
      </c>
      <c r="Z1191" s="14">
        <f t="shared" si="434"/>
        <v>0.5680733333333301</v>
      </c>
      <c r="AA1191" s="36">
        <f t="shared" si="435"/>
        <v>84.807921681752859</v>
      </c>
      <c r="AB1191" s="36">
        <f t="shared" si="436"/>
        <v>15.192078318247141</v>
      </c>
      <c r="AC1191" s="14">
        <f t="shared" si="437"/>
        <v>0.93680230496481542</v>
      </c>
      <c r="AD1191" s="14">
        <f t="shared" si="438"/>
        <v>0.14231973985739924</v>
      </c>
      <c r="AE1191" s="36">
        <f>(W1191-$AS$12)/J1191</f>
        <v>0.4298353105937166</v>
      </c>
      <c r="AF1191" s="66">
        <v>14.561999999999999</v>
      </c>
      <c r="AG1191" s="66">
        <v>14.722</v>
      </c>
      <c r="AH1191" s="66">
        <f t="shared" si="431"/>
        <v>0.16000000000000014</v>
      </c>
      <c r="AI1191" s="66">
        <v>14.576000000000001</v>
      </c>
      <c r="AJ1191" s="66">
        <f t="shared" si="439"/>
        <v>1.4000000000001123E-2</v>
      </c>
      <c r="AK1191" s="66">
        <f t="shared" si="440"/>
        <v>91.249999999999304</v>
      </c>
      <c r="AL1191" s="11">
        <f t="shared" si="441"/>
        <v>4.5624999999999654</v>
      </c>
      <c r="AM1191" s="11">
        <f t="shared" si="442"/>
        <v>52.745664739883992</v>
      </c>
      <c r="AN1191" s="11">
        <f t="shared" si="443"/>
        <v>4.5633875848978338</v>
      </c>
      <c r="AO1191">
        <f t="shared" si="444"/>
        <v>0.5780346820809249</v>
      </c>
      <c r="AP1191" s="7"/>
      <c r="AQ1191" s="7"/>
      <c r="AR1191" s="7"/>
      <c r="AS1191" s="7"/>
    </row>
    <row r="1192" spans="1:45" x14ac:dyDescent="0.2">
      <c r="A1192" s="7" t="s">
        <v>90</v>
      </c>
      <c r="B1192" s="7" t="s">
        <v>260</v>
      </c>
      <c r="C1192" s="7" t="s">
        <v>188</v>
      </c>
      <c r="D1192" s="7" t="s">
        <v>261</v>
      </c>
      <c r="E1192" s="33" t="s">
        <v>80</v>
      </c>
      <c r="F1192" s="7">
        <v>69</v>
      </c>
      <c r="G1192" s="13">
        <v>1.9</v>
      </c>
      <c r="H1192" s="13">
        <v>2.2000000000000002</v>
      </c>
      <c r="I1192" s="13">
        <v>1.1000000000000001</v>
      </c>
      <c r="J1192" s="14">
        <f t="shared" si="429"/>
        <v>3.6288587499999996</v>
      </c>
      <c r="K1192" s="37">
        <v>0.13648648648648623</v>
      </c>
      <c r="L1192" s="12">
        <f t="shared" si="425"/>
        <v>45.763513513513473</v>
      </c>
      <c r="M1192" s="12">
        <f t="shared" si="426"/>
        <v>46.863513513513475</v>
      </c>
      <c r="N1192" s="13">
        <f t="shared" si="427"/>
        <v>46.31351351351347</v>
      </c>
      <c r="O1192" s="13">
        <f t="shared" si="428"/>
        <v>85.763513513513473</v>
      </c>
      <c r="P1192" s="13">
        <f t="shared" si="430"/>
        <v>86.863513513513468</v>
      </c>
      <c r="Q1192" s="13">
        <f t="shared" si="445"/>
        <v>86.31351351351347</v>
      </c>
      <c r="R1192" s="13">
        <v>85.763513513513473</v>
      </c>
      <c r="S1192" s="13">
        <v>86.863513513513468</v>
      </c>
      <c r="T1192" s="13">
        <v>86.31351351351347</v>
      </c>
      <c r="U1192" s="13">
        <f t="shared" si="432"/>
        <v>86.31351351351347</v>
      </c>
      <c r="V1192" s="7">
        <v>4.8661000000000003</v>
      </c>
      <c r="W1192" s="7">
        <v>1.7056</v>
      </c>
      <c r="X1192" s="7">
        <v>1.1476266666666699</v>
      </c>
      <c r="Y1192" s="14">
        <f t="shared" si="433"/>
        <v>3.7184733333333302</v>
      </c>
      <c r="Z1192" s="14">
        <f t="shared" si="434"/>
        <v>0.5579733333333301</v>
      </c>
      <c r="AA1192" s="36">
        <f t="shared" si="435"/>
        <v>84.99455869882091</v>
      </c>
      <c r="AB1192" s="36">
        <f t="shared" si="436"/>
        <v>15.00544130117909</v>
      </c>
      <c r="AC1192" s="14">
        <f t="shared" si="437"/>
        <v>1.0246949769905844</v>
      </c>
      <c r="AD1192" s="14">
        <f t="shared" si="438"/>
        <v>0.15376000328845266</v>
      </c>
      <c r="AE1192" s="36" t="s">
        <v>40</v>
      </c>
      <c r="AF1192" s="66">
        <v>13.173</v>
      </c>
      <c r="AG1192" s="66">
        <v>13.281000000000001</v>
      </c>
      <c r="AH1192" s="66">
        <f t="shared" si="431"/>
        <v>0.10800000000000054</v>
      </c>
      <c r="AI1192" s="66">
        <v>13.182</v>
      </c>
      <c r="AJ1192" s="66">
        <f t="shared" si="439"/>
        <v>9.0000000000003411E-3</v>
      </c>
      <c r="AK1192" s="66">
        <f t="shared" si="440"/>
        <v>91.666666666666401</v>
      </c>
      <c r="AL1192" s="11">
        <f t="shared" si="441"/>
        <v>4.5833333333333206</v>
      </c>
      <c r="AM1192" s="11">
        <f t="shared" si="442"/>
        <v>52.986512524084631</v>
      </c>
      <c r="AN1192" s="11">
        <f t="shared" si="443"/>
        <v>4.5842168845337508</v>
      </c>
      <c r="AO1192">
        <f t="shared" si="444"/>
        <v>0.5780346820809249</v>
      </c>
      <c r="AP1192" s="7"/>
      <c r="AQ1192" s="7"/>
      <c r="AR1192" s="7"/>
      <c r="AS1192" s="7"/>
    </row>
    <row r="1193" spans="1:45" x14ac:dyDescent="0.2">
      <c r="A1193" s="7" t="s">
        <v>90</v>
      </c>
      <c r="B1193" s="7" t="s">
        <v>262</v>
      </c>
      <c r="C1193" s="7" t="s">
        <v>188</v>
      </c>
      <c r="D1193" s="7" t="s">
        <v>263</v>
      </c>
      <c r="E1193" s="33" t="s">
        <v>80</v>
      </c>
      <c r="F1193" s="7">
        <v>70</v>
      </c>
      <c r="G1193" s="13">
        <v>2.1</v>
      </c>
      <c r="H1193" s="13">
        <v>2.4</v>
      </c>
      <c r="I1193" s="13">
        <v>1</v>
      </c>
      <c r="J1193" s="14">
        <f t="shared" si="429"/>
        <v>3.9740625000000001</v>
      </c>
      <c r="K1193" s="37">
        <v>0.13648648648648623</v>
      </c>
      <c r="L1193" s="12">
        <f t="shared" si="425"/>
        <v>46.999999999999957</v>
      </c>
      <c r="M1193" s="12">
        <f t="shared" si="426"/>
        <v>47.999999999999957</v>
      </c>
      <c r="N1193" s="13">
        <f t="shared" si="427"/>
        <v>47.499999999999957</v>
      </c>
      <c r="O1193" s="13">
        <f t="shared" si="428"/>
        <v>86.999999999999957</v>
      </c>
      <c r="P1193" s="13">
        <f t="shared" si="430"/>
        <v>87.999999999999957</v>
      </c>
      <c r="Q1193" s="13">
        <f t="shared" si="445"/>
        <v>87.499999999999957</v>
      </c>
      <c r="R1193" s="13">
        <v>86.999999999999957</v>
      </c>
      <c r="S1193" s="13">
        <v>87.999999999999957</v>
      </c>
      <c r="T1193" s="13">
        <v>87.499999999999957</v>
      </c>
      <c r="U1193" s="13">
        <f t="shared" si="432"/>
        <v>87.499999999999957</v>
      </c>
      <c r="V1193" s="7">
        <v>5.1703000000000001</v>
      </c>
      <c r="W1193" s="7">
        <v>1.6476</v>
      </c>
      <c r="X1193" s="7">
        <v>1.1476266666666699</v>
      </c>
      <c r="Y1193" s="14">
        <f t="shared" si="433"/>
        <v>4.02267333333333</v>
      </c>
      <c r="Z1193" s="14">
        <f t="shared" si="434"/>
        <v>0.49997333333333005</v>
      </c>
      <c r="AA1193" s="36">
        <f t="shared" si="435"/>
        <v>87.571117714422158</v>
      </c>
      <c r="AB1193" s="36">
        <f t="shared" si="436"/>
        <v>12.428882285577842</v>
      </c>
      <c r="AC1193" s="14">
        <f t="shared" si="437"/>
        <v>1.0122320253728596</v>
      </c>
      <c r="AD1193" s="14">
        <f t="shared" si="438"/>
        <v>0.12580912689051318</v>
      </c>
      <c r="AE1193" s="36" t="s">
        <v>40</v>
      </c>
      <c r="AF1193" s="66">
        <v>13.603</v>
      </c>
      <c r="AG1193" s="66">
        <v>13.728</v>
      </c>
      <c r="AH1193" s="66">
        <f t="shared" si="431"/>
        <v>0.125</v>
      </c>
      <c r="AI1193" s="66">
        <v>13.61</v>
      </c>
      <c r="AJ1193" s="66">
        <f t="shared" si="439"/>
        <v>6.9999999999996732E-3</v>
      </c>
      <c r="AK1193" s="66">
        <f t="shared" si="440"/>
        <v>94.400000000000261</v>
      </c>
      <c r="AL1193" s="11">
        <f t="shared" si="441"/>
        <v>4.7200000000000131</v>
      </c>
      <c r="AM1193" s="11">
        <f t="shared" si="442"/>
        <v>54.566473988439462</v>
      </c>
      <c r="AN1193" s="11">
        <f t="shared" si="443"/>
        <v>4.7208579728689273</v>
      </c>
      <c r="AO1193">
        <f t="shared" si="444"/>
        <v>0.5780346820809249</v>
      </c>
      <c r="AP1193" s="7"/>
      <c r="AQ1193" s="7"/>
      <c r="AR1193" s="7"/>
      <c r="AS1193" s="7"/>
    </row>
    <row r="1194" spans="1:45" x14ac:dyDescent="0.2">
      <c r="A1194" s="7" t="s">
        <v>90</v>
      </c>
      <c r="B1194" s="7" t="s">
        <v>264</v>
      </c>
      <c r="C1194" s="7" t="s">
        <v>265</v>
      </c>
      <c r="D1194" s="7" t="s">
        <v>266</v>
      </c>
      <c r="E1194" s="33" t="s">
        <v>81</v>
      </c>
      <c r="F1194" s="7">
        <v>71</v>
      </c>
      <c r="G1194" s="13">
        <v>1.6</v>
      </c>
      <c r="H1194" s="13">
        <v>2</v>
      </c>
      <c r="I1194" s="13">
        <v>1</v>
      </c>
      <c r="J1194" s="14">
        <f t="shared" si="429"/>
        <v>2.5434000000000001</v>
      </c>
      <c r="K1194" s="37">
        <v>0.23055555555555549</v>
      </c>
      <c r="L1194" s="3">
        <v>0</v>
      </c>
      <c r="M1194" s="12">
        <f>L1194+I1194</f>
        <v>1</v>
      </c>
      <c r="N1194" s="13">
        <f>L1194+((M1194-L1194)/2)</f>
        <v>0.5</v>
      </c>
      <c r="O1194" s="13">
        <v>80</v>
      </c>
      <c r="P1194" s="13">
        <f t="shared" si="430"/>
        <v>81</v>
      </c>
      <c r="Q1194" s="13">
        <f t="shared" si="445"/>
        <v>80.5</v>
      </c>
      <c r="R1194" s="13">
        <v>80</v>
      </c>
      <c r="S1194" s="13">
        <v>81</v>
      </c>
      <c r="T1194" s="13">
        <v>80.5</v>
      </c>
      <c r="U1194" s="13">
        <f t="shared" si="432"/>
        <v>80.5</v>
      </c>
      <c r="V1194" s="7">
        <v>4.0477999999999996</v>
      </c>
      <c r="W1194" s="7">
        <v>1.5307999999999999</v>
      </c>
      <c r="X1194" s="7">
        <v>1.1476266666666699</v>
      </c>
      <c r="Y1194" s="14">
        <f t="shared" si="433"/>
        <v>2.9001733333333295</v>
      </c>
      <c r="Z1194" s="14">
        <f t="shared" si="434"/>
        <v>0.38317333333333004</v>
      </c>
      <c r="AA1194" s="36">
        <f t="shared" si="435"/>
        <v>86.787916124553561</v>
      </c>
      <c r="AB1194" s="36">
        <f t="shared" si="436"/>
        <v>13.212083875446439</v>
      </c>
      <c r="AC1194" s="14">
        <f t="shared" si="437"/>
        <v>1.1402741736782769</v>
      </c>
      <c r="AD1194" s="14">
        <f t="shared" si="438"/>
        <v>0.15065398023642762</v>
      </c>
      <c r="AE1194" s="36" t="s">
        <v>40</v>
      </c>
      <c r="AF1194" s="66">
        <v>14.398999999999999</v>
      </c>
      <c r="AG1194" s="66">
        <v>14.467000000000001</v>
      </c>
      <c r="AH1194" s="66">
        <f t="shared" si="431"/>
        <v>6.8000000000001393E-2</v>
      </c>
      <c r="AI1194" s="66">
        <v>14.403</v>
      </c>
      <c r="AJ1194" s="66">
        <f t="shared" si="439"/>
        <v>4.0000000000013358E-3</v>
      </c>
      <c r="AK1194" s="66">
        <f t="shared" si="440"/>
        <v>94.117647058821689</v>
      </c>
      <c r="AL1194" s="11">
        <f t="shared" si="441"/>
        <v>4.7058823529410843</v>
      </c>
      <c r="AM1194" s="11">
        <f t="shared" si="442"/>
        <v>54.403264195850689</v>
      </c>
      <c r="AN1194" s="11">
        <f t="shared" si="443"/>
        <v>4.706742899258713</v>
      </c>
      <c r="AO1194">
        <f t="shared" si="444"/>
        <v>0.5780346820809249</v>
      </c>
      <c r="AP1194" s="7" t="s">
        <v>267</v>
      </c>
      <c r="AQ1194" s="7"/>
      <c r="AR1194" s="67" t="s">
        <v>43</v>
      </c>
      <c r="AS1194" s="3">
        <v>48.5</v>
      </c>
    </row>
    <row r="1195" spans="1:45" x14ac:dyDescent="0.2">
      <c r="A1195" s="7" t="s">
        <v>90</v>
      </c>
      <c r="B1195" s="7" t="s">
        <v>268</v>
      </c>
      <c r="C1195" s="7" t="s">
        <v>265</v>
      </c>
      <c r="D1195" s="7" t="s">
        <v>269</v>
      </c>
      <c r="E1195" s="33" t="s">
        <v>81</v>
      </c>
      <c r="F1195" s="7">
        <v>72</v>
      </c>
      <c r="G1195" s="13">
        <v>2.5</v>
      </c>
      <c r="H1195" s="13">
        <v>1.7</v>
      </c>
      <c r="I1195" s="13">
        <v>1.1000000000000001</v>
      </c>
      <c r="J1195" s="14">
        <f t="shared" si="429"/>
        <v>3.8080350000000007</v>
      </c>
      <c r="K1195" s="37">
        <v>0.23055555555555549</v>
      </c>
      <c r="L1195" s="12">
        <f>M1194+K1195</f>
        <v>1.2305555555555554</v>
      </c>
      <c r="M1195" s="12">
        <f>L1195+I1195</f>
        <v>2.3305555555555557</v>
      </c>
      <c r="N1195" s="13">
        <f>L1195+((M1195-L1195)/2)</f>
        <v>1.7805555555555554</v>
      </c>
      <c r="O1195" s="13">
        <f>P1194+K1195</f>
        <v>81.230555555555554</v>
      </c>
      <c r="P1195" s="13">
        <f t="shared" si="430"/>
        <v>82.330555555555549</v>
      </c>
      <c r="Q1195" s="13">
        <f t="shared" si="445"/>
        <v>81.780555555555551</v>
      </c>
      <c r="R1195" s="13">
        <v>81.230555555555554</v>
      </c>
      <c r="S1195" s="13">
        <v>82.330555555555549</v>
      </c>
      <c r="T1195" s="13">
        <v>81.780555555555551</v>
      </c>
      <c r="U1195" s="13">
        <f t="shared" si="432"/>
        <v>81.780555555555551</v>
      </c>
      <c r="V1195" s="7">
        <v>5.8009000000000004</v>
      </c>
      <c r="W1195" s="7">
        <v>1.7703</v>
      </c>
      <c r="X1195" s="7">
        <v>1.1476266666666699</v>
      </c>
      <c r="Y1195" s="14">
        <f t="shared" si="433"/>
        <v>4.6532733333333303</v>
      </c>
      <c r="Z1195" s="14">
        <f t="shared" si="434"/>
        <v>0.62267333333333008</v>
      </c>
      <c r="AA1195" s="36">
        <f t="shared" si="435"/>
        <v>86.618595368708242</v>
      </c>
      <c r="AB1195" s="36">
        <f t="shared" si="436"/>
        <v>13.381404631291758</v>
      </c>
      <c r="AC1195" s="14">
        <f t="shared" si="437"/>
        <v>1.2219618079490679</v>
      </c>
      <c r="AD1195" s="14">
        <f t="shared" si="438"/>
        <v>0.16351565396151294</v>
      </c>
      <c r="AE1195" s="36" t="s">
        <v>40</v>
      </c>
      <c r="AF1195" s="66">
        <v>14.015000000000001</v>
      </c>
      <c r="AG1195" s="66">
        <v>14.106</v>
      </c>
      <c r="AH1195" s="66">
        <f t="shared" si="431"/>
        <v>9.0999999999999304E-2</v>
      </c>
      <c r="AI1195" s="66">
        <v>14.018000000000001</v>
      </c>
      <c r="AJ1195" s="66">
        <f t="shared" si="439"/>
        <v>3.0000000000001137E-3</v>
      </c>
      <c r="AK1195" s="66">
        <f t="shared" si="440"/>
        <v>96.703296703296544</v>
      </c>
      <c r="AL1195" s="11">
        <f t="shared" si="441"/>
        <v>4.8351648351648278</v>
      </c>
      <c r="AM1195" s="11">
        <f t="shared" si="442"/>
        <v>55.897859366067372</v>
      </c>
      <c r="AN1195" s="11">
        <f t="shared" si="443"/>
        <v>4.8360023762622895</v>
      </c>
      <c r="AO1195">
        <f t="shared" si="444"/>
        <v>0.5780346820809249</v>
      </c>
      <c r="AP1195" s="7"/>
      <c r="AQ1195" s="7"/>
      <c r="AR1195" s="67" t="s">
        <v>44</v>
      </c>
      <c r="AS1195" s="3" t="s">
        <v>55</v>
      </c>
    </row>
    <row r="1196" spans="1:45" x14ac:dyDescent="0.2">
      <c r="A1196" s="7" t="s">
        <v>90</v>
      </c>
      <c r="B1196" s="7" t="s">
        <v>270</v>
      </c>
      <c r="C1196" s="7" t="s">
        <v>265</v>
      </c>
      <c r="D1196" s="7" t="s">
        <v>271</v>
      </c>
      <c r="E1196" s="33" t="s">
        <v>81</v>
      </c>
      <c r="F1196" s="7">
        <v>73</v>
      </c>
      <c r="G1196" s="13">
        <v>2.2000000000000002</v>
      </c>
      <c r="H1196" s="13">
        <v>2</v>
      </c>
      <c r="I1196" s="13">
        <v>1.1000000000000001</v>
      </c>
      <c r="J1196" s="14">
        <f t="shared" si="429"/>
        <v>3.8080350000000007</v>
      </c>
      <c r="K1196" s="37">
        <v>0.23055555555555549</v>
      </c>
      <c r="L1196" s="12">
        <f t="shared" ref="L1196:L1230" si="446">M1195+K1196</f>
        <v>2.5611111111111113</v>
      </c>
      <c r="M1196" s="12">
        <f t="shared" ref="M1196:M1230" si="447">L1196+I1196</f>
        <v>3.6611111111111114</v>
      </c>
      <c r="N1196" s="13">
        <f t="shared" ref="N1196:N1230" si="448">L1196+((M1196-L1196)/2)</f>
        <v>3.1111111111111116</v>
      </c>
      <c r="O1196" s="13">
        <f t="shared" ref="O1196:O1230" si="449">P1195+K1196</f>
        <v>82.561111111111103</v>
      </c>
      <c r="P1196" s="13">
        <f t="shared" si="430"/>
        <v>83.661111111111097</v>
      </c>
      <c r="Q1196" s="13">
        <f t="shared" si="445"/>
        <v>83.1111111111111</v>
      </c>
      <c r="R1196" s="13">
        <v>82.561111111111103</v>
      </c>
      <c r="S1196" s="13">
        <v>83.661111111111097</v>
      </c>
      <c r="T1196" s="13">
        <v>83.1111111111111</v>
      </c>
      <c r="U1196" s="13">
        <f t="shared" si="432"/>
        <v>83.1111111111111</v>
      </c>
      <c r="V1196" s="7">
        <v>5.7735000000000003</v>
      </c>
      <c r="W1196" s="7">
        <v>1.7012</v>
      </c>
      <c r="X1196" s="7">
        <v>1.1476266666666699</v>
      </c>
      <c r="Y1196" s="14">
        <f t="shared" si="433"/>
        <v>4.6258733333333302</v>
      </c>
      <c r="Z1196" s="14">
        <f t="shared" si="434"/>
        <v>0.55357333333333014</v>
      </c>
      <c r="AA1196" s="36">
        <f t="shared" si="435"/>
        <v>88.033106541323434</v>
      </c>
      <c r="AB1196" s="36">
        <f t="shared" si="436"/>
        <v>11.966893458676566</v>
      </c>
      <c r="AC1196" s="14">
        <f t="shared" si="437"/>
        <v>1.2147664959311901</v>
      </c>
      <c r="AD1196" s="14">
        <f t="shared" si="438"/>
        <v>0.14536981233978419</v>
      </c>
      <c r="AE1196" s="36" t="s">
        <v>40</v>
      </c>
      <c r="AF1196" s="66">
        <v>13.052</v>
      </c>
      <c r="AG1196" s="66">
        <v>13.17</v>
      </c>
      <c r="AH1196" s="66">
        <f t="shared" si="431"/>
        <v>0.11800000000000033</v>
      </c>
      <c r="AI1196" s="66">
        <v>13.061</v>
      </c>
      <c r="AJ1196" s="66">
        <f t="shared" si="439"/>
        <v>9.0000000000003411E-3</v>
      </c>
      <c r="AK1196" s="66">
        <f t="shared" si="440"/>
        <v>92.372881355931938</v>
      </c>
      <c r="AL1196" s="11">
        <f t="shared" si="441"/>
        <v>4.6186440677965974</v>
      </c>
      <c r="AM1196" s="11">
        <f t="shared" si="442"/>
        <v>53.394729107475115</v>
      </c>
      <c r="AN1196" s="11">
        <f t="shared" si="443"/>
        <v>4.6195208653054811</v>
      </c>
      <c r="AO1196">
        <f t="shared" si="444"/>
        <v>0.5780346820809249</v>
      </c>
      <c r="AP1196" s="7"/>
      <c r="AQ1196" s="7"/>
      <c r="AR1196" s="67" t="s">
        <v>46</v>
      </c>
      <c r="AS1196" s="12">
        <f>SUM(I1194:I1230)</f>
        <v>40.200000000000003</v>
      </c>
    </row>
    <row r="1197" spans="1:45" x14ac:dyDescent="0.2">
      <c r="A1197" s="7" t="s">
        <v>90</v>
      </c>
      <c r="B1197" s="7" t="s">
        <v>272</v>
      </c>
      <c r="C1197" s="7" t="s">
        <v>265</v>
      </c>
      <c r="D1197" s="7" t="s">
        <v>273</v>
      </c>
      <c r="E1197" s="33" t="s">
        <v>81</v>
      </c>
      <c r="F1197" s="7">
        <v>74</v>
      </c>
      <c r="G1197" s="13">
        <v>2.4</v>
      </c>
      <c r="H1197" s="13">
        <v>1.9</v>
      </c>
      <c r="I1197" s="13">
        <v>1.2</v>
      </c>
      <c r="J1197" s="14">
        <f t="shared" si="429"/>
        <v>4.3543950000000002</v>
      </c>
      <c r="K1197" s="37">
        <v>0.23055555555555549</v>
      </c>
      <c r="L1197" s="12">
        <f t="shared" si="446"/>
        <v>3.8916666666666671</v>
      </c>
      <c r="M1197" s="12">
        <f t="shared" si="447"/>
        <v>5.0916666666666668</v>
      </c>
      <c r="N1197" s="13">
        <f t="shared" si="448"/>
        <v>4.4916666666666671</v>
      </c>
      <c r="O1197" s="13">
        <f t="shared" si="449"/>
        <v>83.891666666666652</v>
      </c>
      <c r="P1197" s="13">
        <f t="shared" si="430"/>
        <v>85.091666666666654</v>
      </c>
      <c r="Q1197" s="13">
        <f t="shared" si="445"/>
        <v>84.491666666666646</v>
      </c>
      <c r="R1197" s="13">
        <v>83.891666666666652</v>
      </c>
      <c r="S1197" s="13">
        <v>85.091666666666654</v>
      </c>
      <c r="T1197" s="13">
        <v>84.491666666666646</v>
      </c>
      <c r="U1197" s="13">
        <f t="shared" si="432"/>
        <v>84.491666666666646</v>
      </c>
      <c r="V1197" s="7">
        <v>6.0198</v>
      </c>
      <c r="W1197" s="7">
        <v>1.7307999999999999</v>
      </c>
      <c r="X1197" s="7">
        <v>1.1476266666666699</v>
      </c>
      <c r="Y1197" s="14">
        <f t="shared" si="433"/>
        <v>4.8721733333333299</v>
      </c>
      <c r="Z1197" s="14">
        <f t="shared" si="434"/>
        <v>0.58317333333332999</v>
      </c>
      <c r="AA1197" s="36">
        <f t="shared" si="435"/>
        <v>88.030529838839939</v>
      </c>
      <c r="AB1197" s="36">
        <f t="shared" si="436"/>
        <v>11.969470161160061</v>
      </c>
      <c r="AC1197" s="14">
        <f t="shared" si="437"/>
        <v>1.1189093624563986</v>
      </c>
      <c r="AD1197" s="14">
        <f t="shared" si="438"/>
        <v>0.1339275222696448</v>
      </c>
      <c r="AE1197" s="36" t="s">
        <v>40</v>
      </c>
      <c r="AF1197" s="66">
        <v>13.875</v>
      </c>
      <c r="AG1197" s="66">
        <v>13.973000000000001</v>
      </c>
      <c r="AH1197" s="66">
        <f t="shared" si="431"/>
        <v>9.8000000000000753E-2</v>
      </c>
      <c r="AI1197" s="66">
        <v>13.882999999999999</v>
      </c>
      <c r="AJ1197" s="66">
        <f t="shared" si="439"/>
        <v>7.9999999999991189E-3</v>
      </c>
      <c r="AK1197" s="66">
        <f t="shared" si="440"/>
        <v>91.836734693878512</v>
      </c>
      <c r="AL1197" s="11">
        <f t="shared" si="441"/>
        <v>4.5918367346939259</v>
      </c>
      <c r="AM1197" s="11">
        <f t="shared" si="442"/>
        <v>53.084817742126312</v>
      </c>
      <c r="AN1197" s="11">
        <f t="shared" si="443"/>
        <v>4.5927186500029125</v>
      </c>
      <c r="AO1197">
        <f t="shared" si="444"/>
        <v>0.5780346820809249</v>
      </c>
      <c r="AP1197" s="7"/>
      <c r="AQ1197" s="7"/>
      <c r="AR1197" s="67" t="s">
        <v>47</v>
      </c>
      <c r="AS1197" s="12">
        <f>AS1194-AS1196</f>
        <v>8.2999999999999972</v>
      </c>
    </row>
    <row r="1198" spans="1:45" x14ac:dyDescent="0.2">
      <c r="A1198" s="7" t="s">
        <v>90</v>
      </c>
      <c r="B1198" s="7" t="s">
        <v>274</v>
      </c>
      <c r="C1198" s="7" t="s">
        <v>265</v>
      </c>
      <c r="D1198" s="7" t="s">
        <v>275</v>
      </c>
      <c r="E1198" s="33" t="s">
        <v>81</v>
      </c>
      <c r="F1198" s="7">
        <v>75</v>
      </c>
      <c r="G1198" s="13">
        <v>2.4</v>
      </c>
      <c r="H1198" s="13">
        <v>1.85</v>
      </c>
      <c r="I1198" s="13">
        <v>1.1000000000000001</v>
      </c>
      <c r="J1198" s="14">
        <f t="shared" si="429"/>
        <v>3.8992421875000005</v>
      </c>
      <c r="K1198" s="37">
        <v>0.23055555555555549</v>
      </c>
      <c r="L1198" s="12">
        <f t="shared" si="446"/>
        <v>5.322222222222222</v>
      </c>
      <c r="M1198" s="12">
        <f t="shared" si="447"/>
        <v>6.4222222222222225</v>
      </c>
      <c r="N1198" s="13">
        <f t="shared" si="448"/>
        <v>5.8722222222222218</v>
      </c>
      <c r="O1198" s="13">
        <f t="shared" si="449"/>
        <v>85.322222222222209</v>
      </c>
      <c r="P1198" s="13">
        <f t="shared" si="430"/>
        <v>86.422222222222203</v>
      </c>
      <c r="Q1198" s="13">
        <f t="shared" si="445"/>
        <v>85.872222222222206</v>
      </c>
      <c r="R1198" s="13">
        <v>85.322222222222209</v>
      </c>
      <c r="S1198" s="13">
        <v>86.422222222222203</v>
      </c>
      <c r="T1198" s="13">
        <v>85.872222222222206</v>
      </c>
      <c r="U1198" s="13">
        <f t="shared" si="432"/>
        <v>85.872222222222206</v>
      </c>
      <c r="V1198" s="7">
        <v>5.7873999999999999</v>
      </c>
      <c r="W1198" s="7">
        <v>1.7191000000000001</v>
      </c>
      <c r="X1198" s="7">
        <v>1.1476266666666699</v>
      </c>
      <c r="Y1198" s="14">
        <f t="shared" si="433"/>
        <v>4.6397733333333298</v>
      </c>
      <c r="Z1198" s="14">
        <f t="shared" si="434"/>
        <v>0.57147333333333017</v>
      </c>
      <c r="AA1198" s="36">
        <f t="shared" si="435"/>
        <v>87.683162683234599</v>
      </c>
      <c r="AB1198" s="36">
        <f t="shared" si="436"/>
        <v>12.316837316765401</v>
      </c>
      <c r="AC1198" s="14">
        <f t="shared" si="437"/>
        <v>1.1899166838641846</v>
      </c>
      <c r="AD1198" s="14">
        <f t="shared" si="438"/>
        <v>0.14656010215660145</v>
      </c>
      <c r="AE1198" s="36" t="s">
        <v>40</v>
      </c>
      <c r="AF1198" s="66">
        <v>13.622999999999999</v>
      </c>
      <c r="AG1198" s="66">
        <v>13.712999999999999</v>
      </c>
      <c r="AH1198" s="66">
        <f t="shared" si="431"/>
        <v>8.9999999999999858E-2</v>
      </c>
      <c r="AI1198" s="66">
        <v>13.632</v>
      </c>
      <c r="AJ1198" s="66">
        <f t="shared" si="439"/>
        <v>9.0000000000003411E-3</v>
      </c>
      <c r="AK1198" s="66">
        <f t="shared" si="440"/>
        <v>89.999999999999602</v>
      </c>
      <c r="AL1198" s="11">
        <f t="shared" si="441"/>
        <v>4.4999999999999805</v>
      </c>
      <c r="AM1198" s="11">
        <f t="shared" si="442"/>
        <v>52.023121387283012</v>
      </c>
      <c r="AN1198" s="11">
        <f t="shared" si="443"/>
        <v>4.5008999100179761</v>
      </c>
      <c r="AO1198">
        <f t="shared" si="444"/>
        <v>0.5780346820809249</v>
      </c>
      <c r="AP1198" s="7"/>
      <c r="AQ1198" s="7"/>
      <c r="AR1198" s="67" t="s">
        <v>48</v>
      </c>
      <c r="AS1198" s="3">
        <v>36</v>
      </c>
    </row>
    <row r="1199" spans="1:45" x14ac:dyDescent="0.2">
      <c r="A1199" s="7" t="s">
        <v>90</v>
      </c>
      <c r="B1199" s="7" t="s">
        <v>276</v>
      </c>
      <c r="C1199" s="7" t="s">
        <v>265</v>
      </c>
      <c r="D1199" s="7" t="s">
        <v>277</v>
      </c>
      <c r="E1199" s="33" t="s">
        <v>81</v>
      </c>
      <c r="F1199" s="7">
        <v>76</v>
      </c>
      <c r="G1199" s="13">
        <v>1.9</v>
      </c>
      <c r="H1199" s="13">
        <v>2.2999999999999998</v>
      </c>
      <c r="I1199" s="13">
        <v>1.1000000000000001</v>
      </c>
      <c r="J1199" s="14">
        <f t="shared" si="429"/>
        <v>3.8080349999999994</v>
      </c>
      <c r="K1199" s="37">
        <v>0.23055555555555549</v>
      </c>
      <c r="L1199" s="12">
        <f t="shared" si="446"/>
        <v>6.6527777777777777</v>
      </c>
      <c r="M1199" s="12">
        <f t="shared" si="447"/>
        <v>7.7527777777777782</v>
      </c>
      <c r="N1199" s="13">
        <f t="shared" si="448"/>
        <v>7.2027777777777775</v>
      </c>
      <c r="O1199" s="13">
        <f t="shared" si="449"/>
        <v>86.652777777777757</v>
      </c>
      <c r="P1199" s="13">
        <f t="shared" si="430"/>
        <v>87.752777777777752</v>
      </c>
      <c r="Q1199" s="13">
        <f t="shared" si="445"/>
        <v>87.202777777777754</v>
      </c>
      <c r="R1199" s="13">
        <v>86.652777777777757</v>
      </c>
      <c r="S1199" s="13">
        <v>87.752777777777752</v>
      </c>
      <c r="T1199" s="13">
        <v>87.202777777777754</v>
      </c>
      <c r="U1199" s="13">
        <f t="shared" si="432"/>
        <v>87.202777777777754</v>
      </c>
      <c r="V1199" s="7">
        <v>5.2897999999999996</v>
      </c>
      <c r="W1199" s="7">
        <v>1.7172000000000001</v>
      </c>
      <c r="X1199" s="7">
        <v>1.1476266666666699</v>
      </c>
      <c r="Y1199" s="14">
        <f t="shared" si="433"/>
        <v>4.1421733333333295</v>
      </c>
      <c r="Z1199" s="14">
        <f t="shared" si="434"/>
        <v>0.56957333333333016</v>
      </c>
      <c r="AA1199" s="36">
        <f t="shared" si="435"/>
        <v>86.24940852306203</v>
      </c>
      <c r="AB1199" s="36">
        <f t="shared" si="436"/>
        <v>13.75059147693797</v>
      </c>
      <c r="AC1199" s="14">
        <f t="shared" si="437"/>
        <v>1.0877456045790888</v>
      </c>
      <c r="AD1199" s="14">
        <f t="shared" si="438"/>
        <v>0.14957145439401956</v>
      </c>
      <c r="AE1199" s="36" t="s">
        <v>40</v>
      </c>
      <c r="AF1199" s="66">
        <v>13.481</v>
      </c>
      <c r="AG1199" s="66">
        <v>13.6</v>
      </c>
      <c r="AH1199" s="66">
        <f t="shared" si="431"/>
        <v>0.11899999999999977</v>
      </c>
      <c r="AI1199" s="66">
        <v>13.49</v>
      </c>
      <c r="AJ1199" s="66">
        <f t="shared" si="439"/>
        <v>9.0000000000003411E-3</v>
      </c>
      <c r="AK1199" s="66">
        <f t="shared" si="440"/>
        <v>92.436974789915666</v>
      </c>
      <c r="AL1199" s="11">
        <f t="shared" si="441"/>
        <v>4.6218487394957837</v>
      </c>
      <c r="AM1199" s="11">
        <f t="shared" si="442"/>
        <v>53.431777335211372</v>
      </c>
      <c r="AN1199" s="11">
        <f t="shared" si="443"/>
        <v>4.6227249291709711</v>
      </c>
      <c r="AO1199">
        <f t="shared" si="444"/>
        <v>0.5780346820809249</v>
      </c>
      <c r="AP1199" s="7"/>
      <c r="AQ1199" s="7"/>
      <c r="AR1199" s="67" t="s">
        <v>49</v>
      </c>
      <c r="AS1199" s="9">
        <f>AS1197/AS1198</f>
        <v>0.23055555555555549</v>
      </c>
    </row>
    <row r="1200" spans="1:45" x14ac:dyDescent="0.2">
      <c r="A1200" s="7" t="s">
        <v>90</v>
      </c>
      <c r="B1200" s="7" t="s">
        <v>278</v>
      </c>
      <c r="C1200" s="7" t="s">
        <v>265</v>
      </c>
      <c r="D1200" s="7" t="s">
        <v>279</v>
      </c>
      <c r="E1200" s="33" t="s">
        <v>81</v>
      </c>
      <c r="F1200" s="7">
        <v>77</v>
      </c>
      <c r="G1200" s="13">
        <v>1.8</v>
      </c>
      <c r="H1200" s="13">
        <v>2.2999999999999998</v>
      </c>
      <c r="I1200" s="13">
        <v>1</v>
      </c>
      <c r="J1200" s="14">
        <f t="shared" si="429"/>
        <v>3.2989624999999996</v>
      </c>
      <c r="K1200" s="37">
        <v>0.23055555555555549</v>
      </c>
      <c r="L1200" s="12">
        <f t="shared" si="446"/>
        <v>7.9833333333333334</v>
      </c>
      <c r="M1200" s="12">
        <f t="shared" si="447"/>
        <v>8.9833333333333343</v>
      </c>
      <c r="N1200" s="13">
        <f t="shared" si="448"/>
        <v>8.4833333333333343</v>
      </c>
      <c r="O1200" s="13">
        <f t="shared" si="449"/>
        <v>87.983333333333306</v>
      </c>
      <c r="P1200" s="13">
        <f t="shared" si="430"/>
        <v>88.983333333333306</v>
      </c>
      <c r="Q1200" s="13">
        <f t="shared" si="445"/>
        <v>88.483333333333306</v>
      </c>
      <c r="R1200" s="13">
        <v>87.983333333333306</v>
      </c>
      <c r="S1200" s="13">
        <v>88.983333333333306</v>
      </c>
      <c r="T1200" s="13">
        <v>88.483333333333306</v>
      </c>
      <c r="U1200" s="13">
        <f t="shared" si="432"/>
        <v>88.483333333333306</v>
      </c>
      <c r="V1200" s="7">
        <v>5.3311000000000002</v>
      </c>
      <c r="W1200" s="7">
        <v>1.7089000000000001</v>
      </c>
      <c r="X1200" s="7">
        <v>1.1476266666666699</v>
      </c>
      <c r="Y1200" s="14">
        <f t="shared" si="433"/>
        <v>4.18347333333333</v>
      </c>
      <c r="Z1200" s="14">
        <f t="shared" si="434"/>
        <v>0.56127333333333018</v>
      </c>
      <c r="AA1200" s="36">
        <f t="shared" si="435"/>
        <v>86.583556566234492</v>
      </c>
      <c r="AB1200" s="36">
        <f t="shared" si="436"/>
        <v>13.416443433765508</v>
      </c>
      <c r="AC1200" s="14">
        <f t="shared" si="437"/>
        <v>1.268117880495256</v>
      </c>
      <c r="AD1200" s="14">
        <f t="shared" si="438"/>
        <v>0.17013631811011196</v>
      </c>
      <c r="AE1200" s="36" t="s">
        <v>40</v>
      </c>
      <c r="AF1200" s="66">
        <v>13.166</v>
      </c>
      <c r="AG1200" s="66">
        <v>13.254</v>
      </c>
      <c r="AH1200" s="66">
        <f t="shared" si="431"/>
        <v>8.799999999999919E-2</v>
      </c>
      <c r="AI1200" s="66">
        <v>13.17</v>
      </c>
      <c r="AJ1200" s="66">
        <f t="shared" si="439"/>
        <v>3.9999999999995595E-3</v>
      </c>
      <c r="AK1200" s="66">
        <f t="shared" si="440"/>
        <v>95.454545454545908</v>
      </c>
      <c r="AL1200" s="11">
        <f t="shared" si="441"/>
        <v>4.7727272727272956</v>
      </c>
      <c r="AM1200" s="11">
        <f t="shared" si="442"/>
        <v>55.176037834997636</v>
      </c>
      <c r="AN1200" s="11">
        <f t="shared" si="443"/>
        <v>4.773575768733008</v>
      </c>
      <c r="AO1200">
        <f t="shared" si="444"/>
        <v>0.5780346820809249</v>
      </c>
      <c r="AP1200" s="7"/>
      <c r="AQ1200" s="7"/>
      <c r="AR1200" s="7"/>
      <c r="AS1200" s="7"/>
    </row>
    <row r="1201" spans="1:45" x14ac:dyDescent="0.2">
      <c r="A1201" s="7" t="s">
        <v>90</v>
      </c>
      <c r="B1201" s="7" t="s">
        <v>280</v>
      </c>
      <c r="C1201" s="7" t="s">
        <v>265</v>
      </c>
      <c r="D1201" s="7" t="s">
        <v>281</v>
      </c>
      <c r="E1201" s="33" t="s">
        <v>81</v>
      </c>
      <c r="F1201" s="7">
        <v>78</v>
      </c>
      <c r="G1201" s="13">
        <v>1.9</v>
      </c>
      <c r="H1201" s="13">
        <v>2.2999999999999998</v>
      </c>
      <c r="I1201" s="13">
        <v>1</v>
      </c>
      <c r="J1201" s="14">
        <f t="shared" si="429"/>
        <v>3.4618499999999992</v>
      </c>
      <c r="K1201" s="37">
        <v>0.23055555555555549</v>
      </c>
      <c r="L1201" s="12">
        <f t="shared" si="446"/>
        <v>9.2138888888888903</v>
      </c>
      <c r="M1201" s="12">
        <f t="shared" si="447"/>
        <v>10.21388888888889</v>
      </c>
      <c r="N1201" s="13">
        <f t="shared" si="448"/>
        <v>9.7138888888888903</v>
      </c>
      <c r="O1201" s="13">
        <f t="shared" si="449"/>
        <v>89.21388888888886</v>
      </c>
      <c r="P1201" s="13">
        <f t="shared" si="430"/>
        <v>90.21388888888886</v>
      </c>
      <c r="Q1201" s="13">
        <f t="shared" si="445"/>
        <v>89.71388888888886</v>
      </c>
      <c r="R1201" s="13">
        <v>89.21388888888886</v>
      </c>
      <c r="S1201" s="13">
        <v>90.21388888888886</v>
      </c>
      <c r="T1201" s="13">
        <v>89.71388888888886</v>
      </c>
      <c r="U1201" s="13">
        <f t="shared" si="432"/>
        <v>89.71388888888886</v>
      </c>
      <c r="V1201" s="7">
        <v>5.4638999999999998</v>
      </c>
      <c r="W1201" s="7">
        <v>1.7756000000000001</v>
      </c>
      <c r="X1201" s="7">
        <v>1.1476266666666699</v>
      </c>
      <c r="Y1201" s="14">
        <f t="shared" si="433"/>
        <v>4.3162733333333296</v>
      </c>
      <c r="Z1201" s="14">
        <f t="shared" si="434"/>
        <v>0.62797333333333016</v>
      </c>
      <c r="AA1201" s="36">
        <f t="shared" si="435"/>
        <v>85.451029514658543</v>
      </c>
      <c r="AB1201" s="36">
        <f t="shared" si="436"/>
        <v>14.548970485341457</v>
      </c>
      <c r="AC1201" s="14">
        <f t="shared" si="437"/>
        <v>1.2468111943999107</v>
      </c>
      <c r="AD1201" s="14">
        <f t="shared" si="438"/>
        <v>0.18139819268117635</v>
      </c>
      <c r="AE1201" s="36">
        <f>(W1201-$AS$12)/J1201</f>
        <v>0.51290494966564137</v>
      </c>
      <c r="AF1201" s="66">
        <v>13.452999999999999</v>
      </c>
      <c r="AG1201" s="66">
        <v>13.587999999999999</v>
      </c>
      <c r="AH1201" s="66">
        <f t="shared" si="431"/>
        <v>0.13499999999999979</v>
      </c>
      <c r="AI1201" s="66">
        <v>13.462999999999999</v>
      </c>
      <c r="AJ1201" s="66">
        <f t="shared" si="439"/>
        <v>9.9999999999997868E-3</v>
      </c>
      <c r="AK1201" s="66">
        <f t="shared" si="440"/>
        <v>92.592592592592737</v>
      </c>
      <c r="AL1201" s="11">
        <f t="shared" si="441"/>
        <v>4.6296296296296369</v>
      </c>
      <c r="AM1201" s="11">
        <f t="shared" si="442"/>
        <v>53.521729822307947</v>
      </c>
      <c r="AN1201" s="11">
        <f t="shared" si="443"/>
        <v>4.6305043469955462</v>
      </c>
      <c r="AO1201">
        <f t="shared" si="444"/>
        <v>0.5780346820809249</v>
      </c>
      <c r="AP1201" s="7"/>
      <c r="AQ1201" s="7"/>
      <c r="AR1201" s="7"/>
      <c r="AS1201" s="7"/>
    </row>
    <row r="1202" spans="1:45" x14ac:dyDescent="0.2">
      <c r="A1202" s="7" t="s">
        <v>90</v>
      </c>
      <c r="B1202" s="7" t="s">
        <v>282</v>
      </c>
      <c r="C1202" s="7" t="s">
        <v>265</v>
      </c>
      <c r="D1202" s="7" t="s">
        <v>283</v>
      </c>
      <c r="E1202" s="33" t="s">
        <v>81</v>
      </c>
      <c r="F1202" s="7">
        <v>79</v>
      </c>
      <c r="G1202" s="13">
        <v>2.2999999999999998</v>
      </c>
      <c r="H1202" s="13">
        <v>1.9</v>
      </c>
      <c r="I1202" s="13">
        <v>1</v>
      </c>
      <c r="J1202" s="14">
        <f t="shared" si="429"/>
        <v>3.4618499999999992</v>
      </c>
      <c r="K1202" s="37">
        <v>0.23055555555555549</v>
      </c>
      <c r="L1202" s="12">
        <f t="shared" si="446"/>
        <v>10.444444444444446</v>
      </c>
      <c r="M1202" s="12">
        <f t="shared" si="447"/>
        <v>11.444444444444446</v>
      </c>
      <c r="N1202" s="13">
        <f t="shared" si="448"/>
        <v>10.944444444444446</v>
      </c>
      <c r="O1202" s="13">
        <f t="shared" si="449"/>
        <v>90.444444444444414</v>
      </c>
      <c r="P1202" s="13">
        <f t="shared" si="430"/>
        <v>91.444444444444414</v>
      </c>
      <c r="Q1202" s="13">
        <f t="shared" si="445"/>
        <v>90.944444444444414</v>
      </c>
      <c r="R1202" s="13">
        <v>90.444444444444414</v>
      </c>
      <c r="S1202" s="13">
        <v>91.444444444444414</v>
      </c>
      <c r="T1202" s="13">
        <v>90.944444444444414</v>
      </c>
      <c r="U1202" s="13">
        <f t="shared" si="432"/>
        <v>90.944444444444414</v>
      </c>
      <c r="V1202" s="7">
        <v>5.6009000000000002</v>
      </c>
      <c r="W1202" s="7">
        <v>1.7396</v>
      </c>
      <c r="X1202" s="7">
        <v>1.1476266666666699</v>
      </c>
      <c r="Y1202" s="14">
        <f t="shared" si="433"/>
        <v>4.4532733333333301</v>
      </c>
      <c r="Z1202" s="14">
        <f t="shared" si="434"/>
        <v>0.59197333333333013</v>
      </c>
      <c r="AA1202" s="36">
        <f t="shared" si="435"/>
        <v>86.707006531525195</v>
      </c>
      <c r="AB1202" s="36">
        <f t="shared" si="436"/>
        <v>13.292993468474805</v>
      </c>
      <c r="AC1202" s="14">
        <f t="shared" si="437"/>
        <v>1.2863854104982397</v>
      </c>
      <c r="AD1202" s="14">
        <f t="shared" si="438"/>
        <v>0.17099912859694391</v>
      </c>
      <c r="AE1202" s="36" t="s">
        <v>40</v>
      </c>
      <c r="AF1202" s="66">
        <v>12.271000000000001</v>
      </c>
      <c r="AG1202" s="66">
        <v>12.369</v>
      </c>
      <c r="AH1202" s="66">
        <f t="shared" si="431"/>
        <v>9.7999999999998977E-2</v>
      </c>
      <c r="AI1202" s="66">
        <v>12.276999999999999</v>
      </c>
      <c r="AJ1202" s="66">
        <f t="shared" si="439"/>
        <v>5.999999999998451E-3</v>
      </c>
      <c r="AK1202" s="66">
        <f t="shared" si="440"/>
        <v>93.877551020409683</v>
      </c>
      <c r="AL1202" s="11">
        <f t="shared" si="441"/>
        <v>4.693877551020484</v>
      </c>
      <c r="AM1202" s="11">
        <f t="shared" si="442"/>
        <v>54.264480358618322</v>
      </c>
      <c r="AN1202" s="11">
        <f t="shared" si="443"/>
        <v>4.6947402978198971</v>
      </c>
      <c r="AO1202">
        <f t="shared" si="444"/>
        <v>0.5780346820809249</v>
      </c>
      <c r="AP1202" s="7"/>
      <c r="AQ1202" s="7"/>
      <c r="AR1202" s="7"/>
      <c r="AS1202" s="7"/>
    </row>
    <row r="1203" spans="1:45" x14ac:dyDescent="0.2">
      <c r="A1203" s="7" t="s">
        <v>90</v>
      </c>
      <c r="B1203" s="7" t="s">
        <v>284</v>
      </c>
      <c r="C1203" s="7" t="s">
        <v>265</v>
      </c>
      <c r="D1203" s="7" t="s">
        <v>285</v>
      </c>
      <c r="E1203" s="33" t="s">
        <v>81</v>
      </c>
      <c r="F1203" s="7">
        <v>80</v>
      </c>
      <c r="G1203" s="13">
        <v>2.2000000000000002</v>
      </c>
      <c r="H1203" s="13">
        <v>2.1</v>
      </c>
      <c r="I1203" s="13">
        <v>1.1000000000000001</v>
      </c>
      <c r="J1203" s="14">
        <f t="shared" si="429"/>
        <v>3.9915287500000014</v>
      </c>
      <c r="K1203" s="37">
        <v>0.23055555555555549</v>
      </c>
      <c r="L1203" s="12">
        <f t="shared" si="446"/>
        <v>11.675000000000002</v>
      </c>
      <c r="M1203" s="12">
        <f t="shared" si="447"/>
        <v>12.775000000000002</v>
      </c>
      <c r="N1203" s="13">
        <f t="shared" si="448"/>
        <v>12.225000000000001</v>
      </c>
      <c r="O1203" s="13">
        <f t="shared" si="449"/>
        <v>91.674999999999969</v>
      </c>
      <c r="P1203" s="13">
        <f t="shared" si="430"/>
        <v>92.774999999999963</v>
      </c>
      <c r="Q1203" s="13">
        <f t="shared" si="445"/>
        <v>92.224999999999966</v>
      </c>
      <c r="R1203" s="13">
        <v>91.674999999999969</v>
      </c>
      <c r="S1203" s="13">
        <v>92.774999999999963</v>
      </c>
      <c r="T1203" s="13">
        <v>92.224999999999966</v>
      </c>
      <c r="U1203" s="13">
        <f t="shared" si="432"/>
        <v>92.224999999999966</v>
      </c>
      <c r="V1203" s="7">
        <v>5.9569999999999999</v>
      </c>
      <c r="W1203" s="7">
        <v>1.7445999999999999</v>
      </c>
      <c r="X1203" s="7">
        <v>1.1476266666666699</v>
      </c>
      <c r="Y1203" s="14">
        <f t="shared" si="433"/>
        <v>4.8093733333333297</v>
      </c>
      <c r="Z1203" s="14">
        <f t="shared" si="434"/>
        <v>0.59697333333333003</v>
      </c>
      <c r="AA1203" s="36">
        <f t="shared" si="435"/>
        <v>87.587294810411947</v>
      </c>
      <c r="AB1203" s="36">
        <f t="shared" si="436"/>
        <v>12.412705189588053</v>
      </c>
      <c r="AC1203" s="14">
        <f t="shared" si="437"/>
        <v>1.2048950751847467</v>
      </c>
      <c r="AD1203" s="14">
        <f t="shared" si="438"/>
        <v>0.1495600735265479</v>
      </c>
      <c r="AE1203" s="36" t="s">
        <v>40</v>
      </c>
      <c r="AF1203" s="66">
        <v>12.163</v>
      </c>
      <c r="AG1203" s="66">
        <v>12.281000000000001</v>
      </c>
      <c r="AH1203" s="66">
        <f t="shared" si="431"/>
        <v>0.11800000000000033</v>
      </c>
      <c r="AI1203" s="66">
        <v>12.173</v>
      </c>
      <c r="AJ1203" s="66">
        <f t="shared" si="439"/>
        <v>9.9999999999997868E-3</v>
      </c>
      <c r="AK1203" s="66">
        <f t="shared" si="440"/>
        <v>91.525423728813763</v>
      </c>
      <c r="AL1203" s="11">
        <f t="shared" si="441"/>
        <v>4.576271186440688</v>
      </c>
      <c r="AM1203" s="11">
        <f t="shared" si="442"/>
        <v>52.904869207406804</v>
      </c>
      <c r="AN1203" s="11">
        <f t="shared" si="443"/>
        <v>4.5771561008826493</v>
      </c>
      <c r="AO1203">
        <f t="shared" si="444"/>
        <v>0.5780346820809249</v>
      </c>
      <c r="AP1203" s="7"/>
      <c r="AQ1203" s="7"/>
      <c r="AR1203" s="7"/>
      <c r="AS1203" s="7"/>
    </row>
    <row r="1204" spans="1:45" x14ac:dyDescent="0.2">
      <c r="A1204" s="7" t="s">
        <v>90</v>
      </c>
      <c r="B1204" s="7" t="s">
        <v>286</v>
      </c>
      <c r="C1204" s="7" t="s">
        <v>265</v>
      </c>
      <c r="D1204" s="7" t="s">
        <v>287</v>
      </c>
      <c r="E1204" s="33" t="s">
        <v>81</v>
      </c>
      <c r="F1204" s="7">
        <v>81</v>
      </c>
      <c r="G1204" s="13">
        <v>2.2000000000000002</v>
      </c>
      <c r="H1204" s="13">
        <v>2.1</v>
      </c>
      <c r="I1204" s="13">
        <v>1.1000000000000001</v>
      </c>
      <c r="J1204" s="14">
        <f t="shared" si="429"/>
        <v>3.9915287500000014</v>
      </c>
      <c r="K1204" s="37">
        <v>0.23055555555555549</v>
      </c>
      <c r="L1204" s="12">
        <f t="shared" si="446"/>
        <v>13.005555555555558</v>
      </c>
      <c r="M1204" s="12">
        <f t="shared" si="447"/>
        <v>14.105555555555558</v>
      </c>
      <c r="N1204" s="13">
        <f t="shared" si="448"/>
        <v>13.555555555555557</v>
      </c>
      <c r="O1204" s="13">
        <f t="shared" si="449"/>
        <v>93.005555555555517</v>
      </c>
      <c r="P1204" s="13">
        <f t="shared" si="430"/>
        <v>94.105555555555512</v>
      </c>
      <c r="Q1204" s="13">
        <f t="shared" si="445"/>
        <v>93.555555555555515</v>
      </c>
      <c r="R1204" s="13">
        <v>93.005555555555517</v>
      </c>
      <c r="S1204" s="13">
        <v>94.105555555555512</v>
      </c>
      <c r="T1204" s="13">
        <v>93.555555555555515</v>
      </c>
      <c r="U1204" s="13">
        <f t="shared" si="432"/>
        <v>93.555555555555515</v>
      </c>
      <c r="V1204" s="7">
        <v>6.0884999999999998</v>
      </c>
      <c r="W1204" s="7">
        <v>1.7042999999999999</v>
      </c>
      <c r="X1204" s="7">
        <v>1.1476266666666699</v>
      </c>
      <c r="Y1204" s="14">
        <f t="shared" si="433"/>
        <v>4.9408733333333297</v>
      </c>
      <c r="Z1204" s="14">
        <f t="shared" si="434"/>
        <v>0.55667333333333002</v>
      </c>
      <c r="AA1204" s="36">
        <f t="shared" si="435"/>
        <v>88.733300860441744</v>
      </c>
      <c r="AB1204" s="36">
        <f t="shared" si="436"/>
        <v>11.266699139558256</v>
      </c>
      <c r="AC1204" s="14">
        <f t="shared" si="437"/>
        <v>1.2378398460322573</v>
      </c>
      <c r="AD1204" s="14">
        <f t="shared" si="438"/>
        <v>0.13946369128202568</v>
      </c>
      <c r="AE1204" s="36" t="s">
        <v>40</v>
      </c>
      <c r="AF1204" s="66">
        <v>10.41</v>
      </c>
      <c r="AG1204" s="66">
        <v>10.56</v>
      </c>
      <c r="AH1204" s="66">
        <f t="shared" si="431"/>
        <v>0.15000000000000036</v>
      </c>
      <c r="AI1204" s="66">
        <v>10.420999999999999</v>
      </c>
      <c r="AJ1204" s="66">
        <f t="shared" si="439"/>
        <v>1.0999999999999233E-2</v>
      </c>
      <c r="AK1204" s="66">
        <f t="shared" si="440"/>
        <v>92.666666666667197</v>
      </c>
      <c r="AL1204" s="11">
        <f t="shared" si="441"/>
        <v>4.6333333333333604</v>
      </c>
      <c r="AM1204" s="11">
        <f t="shared" si="442"/>
        <v>53.564547206166012</v>
      </c>
      <c r="AN1204" s="11">
        <f t="shared" si="443"/>
        <v>4.6342073516166744</v>
      </c>
      <c r="AO1204">
        <f t="shared" si="444"/>
        <v>0.5780346820809249</v>
      </c>
      <c r="AP1204" s="7"/>
      <c r="AQ1204" s="7"/>
      <c r="AR1204" s="7"/>
      <c r="AS1204" s="7"/>
    </row>
    <row r="1205" spans="1:45" x14ac:dyDescent="0.2">
      <c r="A1205" s="7" t="s">
        <v>90</v>
      </c>
      <c r="B1205" s="7" t="s">
        <v>288</v>
      </c>
      <c r="C1205" s="7" t="s">
        <v>265</v>
      </c>
      <c r="D1205" s="7" t="s">
        <v>289</v>
      </c>
      <c r="E1205" s="33" t="s">
        <v>81</v>
      </c>
      <c r="F1205" s="7">
        <v>82</v>
      </c>
      <c r="G1205" s="13">
        <v>2.1</v>
      </c>
      <c r="H1205" s="13">
        <v>2.2999999999999998</v>
      </c>
      <c r="I1205" s="13">
        <v>1.1000000000000001</v>
      </c>
      <c r="J1205" s="14">
        <f t="shared" si="429"/>
        <v>4.1793400000000016</v>
      </c>
      <c r="K1205" s="37">
        <v>0.23055555555555549</v>
      </c>
      <c r="L1205" s="12">
        <f t="shared" si="446"/>
        <v>14.336111111111114</v>
      </c>
      <c r="M1205" s="12">
        <f t="shared" si="447"/>
        <v>15.436111111111114</v>
      </c>
      <c r="N1205" s="13">
        <f t="shared" si="448"/>
        <v>14.886111111111113</v>
      </c>
      <c r="O1205" s="13">
        <f t="shared" si="449"/>
        <v>94.336111111111066</v>
      </c>
      <c r="P1205" s="13">
        <f t="shared" si="430"/>
        <v>95.43611111111106</v>
      </c>
      <c r="Q1205" s="13">
        <f t="shared" si="445"/>
        <v>94.886111111111063</v>
      </c>
      <c r="R1205" s="13">
        <v>94.336111111111066</v>
      </c>
      <c r="S1205" s="13">
        <v>95.43611111111106</v>
      </c>
      <c r="T1205" s="13">
        <v>94.886111111111063</v>
      </c>
      <c r="U1205" s="13">
        <f t="shared" si="432"/>
        <v>94.886111111111063</v>
      </c>
      <c r="V1205" s="7">
        <v>6.1672000000000002</v>
      </c>
      <c r="W1205" s="7">
        <v>1.7369000000000001</v>
      </c>
      <c r="X1205" s="7">
        <v>1.1476266666666699</v>
      </c>
      <c r="Y1205" s="14">
        <f t="shared" si="433"/>
        <v>5.0195733333333301</v>
      </c>
      <c r="Z1205" s="14">
        <f t="shared" si="434"/>
        <v>0.58927333333333021</v>
      </c>
      <c r="AA1205" s="36">
        <f t="shared" si="435"/>
        <v>88.260489603366082</v>
      </c>
      <c r="AB1205" s="36">
        <f t="shared" si="436"/>
        <v>11.739510396633918</v>
      </c>
      <c r="AC1205" s="14">
        <f t="shared" si="437"/>
        <v>1.2010445030395536</v>
      </c>
      <c r="AD1205" s="14">
        <f t="shared" si="438"/>
        <v>0.14099674430252862</v>
      </c>
      <c r="AE1205" s="36" t="s">
        <v>40</v>
      </c>
      <c r="AF1205" s="66">
        <v>9.3680000000000003</v>
      </c>
      <c r="AG1205" s="66">
        <v>9.4890000000000008</v>
      </c>
      <c r="AH1205" s="66">
        <f t="shared" si="431"/>
        <v>0.12100000000000044</v>
      </c>
      <c r="AI1205" s="66">
        <v>9.375</v>
      </c>
      <c r="AJ1205" s="66">
        <f t="shared" si="439"/>
        <v>6.9999999999996732E-3</v>
      </c>
      <c r="AK1205" s="66">
        <f t="shared" si="440"/>
        <v>94.214876033058133</v>
      </c>
      <c r="AL1205" s="11">
        <f t="shared" si="441"/>
        <v>4.7107438016529066</v>
      </c>
      <c r="AM1205" s="11">
        <f t="shared" si="442"/>
        <v>54.459465915062509</v>
      </c>
      <c r="AN1205" s="11">
        <f t="shared" si="443"/>
        <v>4.711603460055958</v>
      </c>
      <c r="AO1205">
        <f t="shared" si="444"/>
        <v>0.5780346820809249</v>
      </c>
      <c r="AP1205" s="7"/>
      <c r="AQ1205" s="7"/>
      <c r="AR1205" s="7"/>
      <c r="AS1205" s="7"/>
    </row>
    <row r="1206" spans="1:45" x14ac:dyDescent="0.2">
      <c r="A1206" s="7" t="s">
        <v>90</v>
      </c>
      <c r="B1206" s="7" t="s">
        <v>290</v>
      </c>
      <c r="C1206" s="7" t="s">
        <v>265</v>
      </c>
      <c r="D1206" s="7" t="s">
        <v>291</v>
      </c>
      <c r="E1206" s="33" t="s">
        <v>81</v>
      </c>
      <c r="F1206" s="7">
        <v>83</v>
      </c>
      <c r="G1206" s="13">
        <v>2.1</v>
      </c>
      <c r="H1206" s="13">
        <v>2.1</v>
      </c>
      <c r="I1206" s="13">
        <v>1.1000000000000001</v>
      </c>
      <c r="J1206" s="14">
        <f t="shared" si="429"/>
        <v>3.8080350000000007</v>
      </c>
      <c r="K1206" s="37">
        <v>0.23055555555555549</v>
      </c>
      <c r="L1206" s="12">
        <f t="shared" si="446"/>
        <v>15.66666666666667</v>
      </c>
      <c r="M1206" s="12">
        <f t="shared" si="447"/>
        <v>16.766666666666669</v>
      </c>
      <c r="N1206" s="13">
        <f t="shared" si="448"/>
        <v>16.216666666666669</v>
      </c>
      <c r="O1206" s="13">
        <f t="shared" si="449"/>
        <v>95.666666666666615</v>
      </c>
      <c r="P1206" s="13">
        <f t="shared" si="430"/>
        <v>96.766666666666609</v>
      </c>
      <c r="Q1206" s="13">
        <f t="shared" si="445"/>
        <v>96.216666666666612</v>
      </c>
      <c r="R1206" s="13">
        <v>95.666666666666615</v>
      </c>
      <c r="S1206" s="13">
        <v>96.766666666666609</v>
      </c>
      <c r="T1206" s="13">
        <v>96.216666666666612</v>
      </c>
      <c r="U1206" s="13">
        <f t="shared" si="432"/>
        <v>96.216666666666612</v>
      </c>
      <c r="V1206" s="7">
        <v>5.6113999999999997</v>
      </c>
      <c r="W1206" s="7">
        <v>1.6801999999999999</v>
      </c>
      <c r="X1206" s="7">
        <v>1.1476266666666699</v>
      </c>
      <c r="Y1206" s="14">
        <f t="shared" si="433"/>
        <v>4.4637733333333296</v>
      </c>
      <c r="Z1206" s="14">
        <f t="shared" si="434"/>
        <v>0.53257333333333001</v>
      </c>
      <c r="AA1206" s="36">
        <f t="shared" si="435"/>
        <v>88.068987971312822</v>
      </c>
      <c r="AB1206" s="36">
        <f t="shared" si="436"/>
        <v>11.931012028687178</v>
      </c>
      <c r="AC1206" s="14">
        <f t="shared" si="437"/>
        <v>1.1721986098692183</v>
      </c>
      <c r="AD1206" s="14">
        <f t="shared" si="438"/>
        <v>0.13985515714360028</v>
      </c>
      <c r="AE1206" s="36">
        <f>(W1206-$AS$12)/J1206</f>
        <v>0.4412249362203865</v>
      </c>
      <c r="AF1206" s="66">
        <v>23.096</v>
      </c>
      <c r="AG1206" s="66">
        <v>23.241</v>
      </c>
      <c r="AH1206" s="66">
        <f t="shared" si="431"/>
        <v>0.14499999999999957</v>
      </c>
      <c r="AI1206" s="66">
        <v>23.103000000000002</v>
      </c>
      <c r="AJ1206" s="66">
        <f t="shared" si="439"/>
        <v>7.0000000000014495E-3</v>
      </c>
      <c r="AK1206" s="66">
        <f t="shared" si="440"/>
        <v>95.172413793102436</v>
      </c>
      <c r="AL1206" s="11">
        <f t="shared" si="441"/>
        <v>4.758620689655122</v>
      </c>
      <c r="AM1206" s="11">
        <f t="shared" si="442"/>
        <v>55.012955949770202</v>
      </c>
      <c r="AN1206" s="11">
        <f t="shared" si="443"/>
        <v>4.7594717005161176</v>
      </c>
      <c r="AO1206">
        <f t="shared" si="444"/>
        <v>0.5780346820809249</v>
      </c>
      <c r="AP1206" s="7"/>
      <c r="AQ1206" s="7"/>
      <c r="AR1206" s="7"/>
      <c r="AS1206" s="7"/>
    </row>
    <row r="1207" spans="1:45" x14ac:dyDescent="0.2">
      <c r="A1207" s="7" t="s">
        <v>90</v>
      </c>
      <c r="B1207" s="7" t="s">
        <v>292</v>
      </c>
      <c r="C1207" s="7" t="s">
        <v>265</v>
      </c>
      <c r="D1207" s="7" t="s">
        <v>293</v>
      </c>
      <c r="E1207" s="33" t="s">
        <v>81</v>
      </c>
      <c r="F1207" s="7">
        <v>84</v>
      </c>
      <c r="G1207" s="13">
        <v>2.2000000000000002</v>
      </c>
      <c r="H1207" s="13">
        <v>2.15</v>
      </c>
      <c r="I1207" s="13">
        <v>1.05</v>
      </c>
      <c r="J1207" s="14">
        <f t="shared" si="429"/>
        <v>3.8992176562499994</v>
      </c>
      <c r="K1207" s="37">
        <v>0.23055555555555549</v>
      </c>
      <c r="L1207" s="12">
        <f t="shared" si="446"/>
        <v>16.997222222222224</v>
      </c>
      <c r="M1207" s="12">
        <f t="shared" si="447"/>
        <v>18.047222222222224</v>
      </c>
      <c r="N1207" s="13">
        <f t="shared" si="448"/>
        <v>17.522222222222226</v>
      </c>
      <c r="O1207" s="13">
        <f t="shared" si="449"/>
        <v>96.997222222222163</v>
      </c>
      <c r="P1207" s="13">
        <f t="shared" si="430"/>
        <v>98.04722222222216</v>
      </c>
      <c r="Q1207" s="13">
        <f t="shared" si="445"/>
        <v>97.522222222222155</v>
      </c>
      <c r="R1207" s="13">
        <v>96.997222222222163</v>
      </c>
      <c r="S1207" s="13">
        <v>98.04722222222216</v>
      </c>
      <c r="T1207" s="13">
        <v>97.522222222222155</v>
      </c>
      <c r="U1207" s="13">
        <f t="shared" si="432"/>
        <v>97.522222222222155</v>
      </c>
      <c r="V1207" s="7">
        <v>6.0190000000000001</v>
      </c>
      <c r="W1207" s="7">
        <v>1.7244999999999999</v>
      </c>
      <c r="X1207" s="7">
        <v>1.1476266666666699</v>
      </c>
      <c r="Y1207" s="14">
        <f t="shared" si="433"/>
        <v>4.87137333333333</v>
      </c>
      <c r="Z1207" s="14">
        <f t="shared" si="434"/>
        <v>0.57687333333333002</v>
      </c>
      <c r="AA1207" s="36">
        <f t="shared" si="435"/>
        <v>88.157891135422517</v>
      </c>
      <c r="AB1207" s="36">
        <f t="shared" si="436"/>
        <v>11.842108864577483</v>
      </c>
      <c r="AC1207" s="14">
        <f t="shared" si="437"/>
        <v>1.2493207004038558</v>
      </c>
      <c r="AD1207" s="14">
        <f t="shared" si="438"/>
        <v>0.14794591740952653</v>
      </c>
      <c r="AE1207" s="36" t="s">
        <v>40</v>
      </c>
      <c r="AF1207" s="66">
        <v>22.863</v>
      </c>
      <c r="AG1207" s="66">
        <v>22.995000000000001</v>
      </c>
      <c r="AH1207" s="66">
        <f t="shared" si="431"/>
        <v>0.13200000000000145</v>
      </c>
      <c r="AI1207" s="66">
        <v>22.869</v>
      </c>
      <c r="AJ1207" s="66">
        <f t="shared" si="439"/>
        <v>6.0000000000002274E-3</v>
      </c>
      <c r="AK1207" s="66">
        <f t="shared" si="440"/>
        <v>95.45454545454534</v>
      </c>
      <c r="AL1207" s="11">
        <f t="shared" si="441"/>
        <v>4.7727272727272672</v>
      </c>
      <c r="AM1207" s="11">
        <f t="shared" si="442"/>
        <v>55.17603783499731</v>
      </c>
      <c r="AN1207" s="11">
        <f t="shared" si="443"/>
        <v>4.7735757687329796</v>
      </c>
      <c r="AO1207">
        <f t="shared" si="444"/>
        <v>0.5780346820809249</v>
      </c>
      <c r="AP1207" s="7"/>
      <c r="AQ1207" s="7"/>
      <c r="AR1207" s="7"/>
      <c r="AS1207" s="7"/>
    </row>
    <row r="1208" spans="1:45" x14ac:dyDescent="0.2">
      <c r="A1208" s="7" t="s">
        <v>90</v>
      </c>
      <c r="B1208" s="7" t="s">
        <v>294</v>
      </c>
      <c r="C1208" s="7" t="s">
        <v>265</v>
      </c>
      <c r="D1208" s="7" t="s">
        <v>295</v>
      </c>
      <c r="E1208" s="33" t="s">
        <v>81</v>
      </c>
      <c r="F1208" s="7">
        <v>85</v>
      </c>
      <c r="G1208" s="13">
        <v>2.1</v>
      </c>
      <c r="H1208" s="13">
        <v>2</v>
      </c>
      <c r="I1208" s="13">
        <v>1</v>
      </c>
      <c r="J1208" s="14">
        <f t="shared" si="429"/>
        <v>3.2989624999999996</v>
      </c>
      <c r="K1208" s="37">
        <v>0.23055555555555549</v>
      </c>
      <c r="L1208" s="12">
        <f t="shared" si="446"/>
        <v>18.277777777777779</v>
      </c>
      <c r="M1208" s="12">
        <f t="shared" si="447"/>
        <v>19.277777777777779</v>
      </c>
      <c r="N1208" s="13">
        <f t="shared" si="448"/>
        <v>18.777777777777779</v>
      </c>
      <c r="O1208" s="13">
        <f t="shared" si="449"/>
        <v>98.277777777777715</v>
      </c>
      <c r="P1208" s="13">
        <f t="shared" si="430"/>
        <v>99.277777777777715</v>
      </c>
      <c r="Q1208" s="13">
        <f t="shared" si="445"/>
        <v>98.777777777777715</v>
      </c>
      <c r="R1208" s="13">
        <v>98.277777777777715</v>
      </c>
      <c r="S1208" s="13">
        <v>99.277777777777715</v>
      </c>
      <c r="T1208" s="13">
        <v>98.777777777777715</v>
      </c>
      <c r="U1208" s="13">
        <f t="shared" si="432"/>
        <v>98.777777777777715</v>
      </c>
      <c r="V1208" s="7">
        <v>5.891</v>
      </c>
      <c r="W1208" s="7">
        <v>1.7361</v>
      </c>
      <c r="X1208" s="7">
        <v>1.1476266666666699</v>
      </c>
      <c r="Y1208" s="14">
        <f t="shared" si="433"/>
        <v>4.7433733333333299</v>
      </c>
      <c r="Z1208" s="14">
        <f t="shared" si="434"/>
        <v>0.58847333333333007</v>
      </c>
      <c r="AA1208" s="36">
        <f t="shared" si="435"/>
        <v>87.593779954069305</v>
      </c>
      <c r="AB1208" s="36">
        <f t="shared" si="436"/>
        <v>12.406220045930695</v>
      </c>
      <c r="AC1208" s="14">
        <f t="shared" si="437"/>
        <v>1.4378379061093693</v>
      </c>
      <c r="AD1208" s="14">
        <f t="shared" si="438"/>
        <v>0.1783813345357306</v>
      </c>
      <c r="AE1208" s="36">
        <f>(W1208-$AS$12)/J1208</f>
        <v>0.52625636090134409</v>
      </c>
      <c r="AF1208" s="66">
        <v>14.750999999999999</v>
      </c>
      <c r="AG1208" s="66">
        <v>14.855</v>
      </c>
      <c r="AH1208" s="66">
        <f t="shared" si="431"/>
        <v>0.10400000000000098</v>
      </c>
      <c r="AI1208" s="66">
        <v>14.756</v>
      </c>
      <c r="AJ1208" s="66">
        <f t="shared" si="439"/>
        <v>5.0000000000007816E-3</v>
      </c>
      <c r="AK1208" s="66">
        <f t="shared" si="440"/>
        <v>95.192307692306983</v>
      </c>
      <c r="AL1208" s="11">
        <f t="shared" si="441"/>
        <v>4.7596153846153495</v>
      </c>
      <c r="AM1208" s="11">
        <f t="shared" si="442"/>
        <v>55.024455313472245</v>
      </c>
      <c r="AN1208" s="11">
        <f t="shared" si="443"/>
        <v>4.7604662176584265</v>
      </c>
      <c r="AO1208">
        <f t="shared" si="444"/>
        <v>0.5780346820809249</v>
      </c>
      <c r="AP1208" s="7"/>
      <c r="AQ1208" s="7"/>
      <c r="AR1208" s="7"/>
      <c r="AS1208" s="7"/>
    </row>
    <row r="1209" spans="1:45" x14ac:dyDescent="0.2">
      <c r="A1209" s="7" t="s">
        <v>90</v>
      </c>
      <c r="B1209" s="7" t="s">
        <v>296</v>
      </c>
      <c r="C1209" s="7" t="s">
        <v>265</v>
      </c>
      <c r="D1209" s="7" t="s">
        <v>297</v>
      </c>
      <c r="E1209" s="33" t="s">
        <v>81</v>
      </c>
      <c r="F1209" s="7">
        <v>86</v>
      </c>
      <c r="G1209" s="13">
        <v>2.35</v>
      </c>
      <c r="H1209" s="13">
        <v>2.1</v>
      </c>
      <c r="I1209" s="13">
        <v>1.1000000000000001</v>
      </c>
      <c r="J1209" s="14">
        <f t="shared" si="429"/>
        <v>4.2748646875000009</v>
      </c>
      <c r="K1209" s="37">
        <v>0.23055555555555549</v>
      </c>
      <c r="L1209" s="12">
        <f t="shared" si="446"/>
        <v>19.508333333333333</v>
      </c>
      <c r="M1209" s="12">
        <f t="shared" si="447"/>
        <v>20.608333333333334</v>
      </c>
      <c r="N1209" s="13">
        <f t="shared" si="448"/>
        <v>20.058333333333334</v>
      </c>
      <c r="O1209" s="13">
        <f t="shared" si="449"/>
        <v>99.508333333333269</v>
      </c>
      <c r="P1209" s="13">
        <f t="shared" si="430"/>
        <v>100.60833333333326</v>
      </c>
      <c r="Q1209" s="13">
        <f t="shared" si="445"/>
        <v>100.05833333333327</v>
      </c>
      <c r="R1209" s="13">
        <v>99.508333333333269</v>
      </c>
      <c r="S1209" s="13">
        <v>100.60833333333326</v>
      </c>
      <c r="T1209" s="13">
        <v>100.05833333333327</v>
      </c>
      <c r="U1209" s="13">
        <f t="shared" si="432"/>
        <v>100.05833333333327</v>
      </c>
      <c r="V1209" s="7">
        <v>6.3799000000000001</v>
      </c>
      <c r="W1209" s="7">
        <v>1.8002</v>
      </c>
      <c r="X1209" s="7">
        <v>1.1476266666666699</v>
      </c>
      <c r="Y1209" s="14">
        <f t="shared" si="433"/>
        <v>5.23227333333333</v>
      </c>
      <c r="Z1209" s="14">
        <f t="shared" si="434"/>
        <v>0.65257333333333012</v>
      </c>
      <c r="AA1209" s="36">
        <f t="shared" si="435"/>
        <v>87.527919667805378</v>
      </c>
      <c r="AB1209" s="36">
        <f t="shared" si="436"/>
        <v>12.472080332194622</v>
      </c>
      <c r="AC1209" s="14">
        <f t="shared" si="437"/>
        <v>1.2239623276574947</v>
      </c>
      <c r="AD1209" s="14">
        <f t="shared" si="438"/>
        <v>0.15265356474124187</v>
      </c>
      <c r="AE1209" s="36" t="s">
        <v>40</v>
      </c>
      <c r="AF1209" s="66">
        <v>15.239000000000001</v>
      </c>
      <c r="AG1209" s="66">
        <v>15.369</v>
      </c>
      <c r="AH1209" s="66">
        <f t="shared" si="431"/>
        <v>0.12999999999999901</v>
      </c>
      <c r="AI1209" s="66">
        <v>15.247</v>
      </c>
      <c r="AJ1209" s="66">
        <f t="shared" si="439"/>
        <v>7.9999999999991189E-3</v>
      </c>
      <c r="AK1209" s="66">
        <f t="shared" si="440"/>
        <v>93.846153846154479</v>
      </c>
      <c r="AL1209" s="11">
        <f t="shared" si="441"/>
        <v>4.6923076923077245</v>
      </c>
      <c r="AM1209" s="11">
        <f t="shared" si="442"/>
        <v>54.246331702979475</v>
      </c>
      <c r="AN1209" s="11">
        <f t="shared" si="443"/>
        <v>4.6931707276946835</v>
      </c>
      <c r="AO1209">
        <f t="shared" si="444"/>
        <v>0.5780346820809249</v>
      </c>
      <c r="AP1209" s="7"/>
      <c r="AQ1209" s="7"/>
      <c r="AR1209" s="7"/>
      <c r="AS1209" s="7"/>
    </row>
    <row r="1210" spans="1:45" x14ac:dyDescent="0.2">
      <c r="A1210" s="7" t="s">
        <v>90</v>
      </c>
      <c r="B1210" s="7" t="s">
        <v>298</v>
      </c>
      <c r="C1210" s="7" t="s">
        <v>265</v>
      </c>
      <c r="D1210" s="7" t="s">
        <v>299</v>
      </c>
      <c r="E1210" s="33" t="s">
        <v>81</v>
      </c>
      <c r="F1210" s="7">
        <v>87</v>
      </c>
      <c r="G1210" s="13">
        <v>1.9</v>
      </c>
      <c r="H1210" s="13">
        <v>2.2000000000000002</v>
      </c>
      <c r="I1210" s="13">
        <v>1.1000000000000001</v>
      </c>
      <c r="J1210" s="14">
        <f t="shared" si="429"/>
        <v>3.6288587499999996</v>
      </c>
      <c r="K1210" s="37">
        <v>0.23055555555555549</v>
      </c>
      <c r="L1210" s="12">
        <f t="shared" si="446"/>
        <v>20.838888888888889</v>
      </c>
      <c r="M1210" s="12">
        <f t="shared" si="447"/>
        <v>21.93888888888889</v>
      </c>
      <c r="N1210" s="13">
        <f t="shared" si="448"/>
        <v>21.388888888888889</v>
      </c>
      <c r="O1210" s="13">
        <f t="shared" si="449"/>
        <v>100.83888888888882</v>
      </c>
      <c r="P1210" s="13">
        <f t="shared" si="430"/>
        <v>101.93888888888881</v>
      </c>
      <c r="Q1210" s="13">
        <f t="shared" si="445"/>
        <v>101.38888888888881</v>
      </c>
      <c r="R1210" s="13">
        <v>100.83888888888882</v>
      </c>
      <c r="S1210" s="13">
        <v>101.93888888888881</v>
      </c>
      <c r="T1210" s="13">
        <v>101.38888888888881</v>
      </c>
      <c r="U1210" s="13">
        <f t="shared" si="432"/>
        <v>101.38888888888881</v>
      </c>
      <c r="V1210" s="7">
        <v>5.7725999999999997</v>
      </c>
      <c r="W1210" s="7">
        <v>1.7370000000000001</v>
      </c>
      <c r="X1210" s="7">
        <v>1.1476266666666699</v>
      </c>
      <c r="Y1210" s="14">
        <f t="shared" si="433"/>
        <v>4.6249733333333296</v>
      </c>
      <c r="Z1210" s="14">
        <f t="shared" si="434"/>
        <v>0.5893733333333302</v>
      </c>
      <c r="AA1210" s="36">
        <f t="shared" si="435"/>
        <v>87.256719318021354</v>
      </c>
      <c r="AB1210" s="36">
        <f t="shared" si="436"/>
        <v>12.743280681978646</v>
      </c>
      <c r="AC1210" s="14">
        <f t="shared" si="437"/>
        <v>1.2744980314632885</v>
      </c>
      <c r="AD1210" s="14">
        <f t="shared" si="438"/>
        <v>0.16241286143565942</v>
      </c>
      <c r="AE1210" s="36" t="s">
        <v>40</v>
      </c>
      <c r="AF1210" s="66">
        <v>15.161</v>
      </c>
      <c r="AG1210" s="66">
        <v>15.3</v>
      </c>
      <c r="AH1210" s="66">
        <f t="shared" si="431"/>
        <v>0.13900000000000112</v>
      </c>
      <c r="AI1210" s="66">
        <v>15.170999999999999</v>
      </c>
      <c r="AJ1210" s="66">
        <f t="shared" si="439"/>
        <v>9.9999999999997868E-3</v>
      </c>
      <c r="AK1210" s="66">
        <f t="shared" si="440"/>
        <v>92.805755395683661</v>
      </c>
      <c r="AL1210" s="11">
        <f t="shared" si="441"/>
        <v>4.6402877697841829</v>
      </c>
      <c r="AM1210" s="11">
        <f t="shared" si="442"/>
        <v>53.644945315424089</v>
      </c>
      <c r="AN1210" s="11">
        <f t="shared" si="443"/>
        <v>4.641160478415788</v>
      </c>
      <c r="AO1210">
        <f t="shared" si="444"/>
        <v>0.5780346820809249</v>
      </c>
      <c r="AP1210" s="7"/>
      <c r="AQ1210" s="7"/>
      <c r="AR1210" s="7"/>
      <c r="AS1210" s="7"/>
    </row>
    <row r="1211" spans="1:45" x14ac:dyDescent="0.2">
      <c r="A1211" s="7" t="s">
        <v>90</v>
      </c>
      <c r="B1211" s="7" t="s">
        <v>300</v>
      </c>
      <c r="C1211" s="7" t="s">
        <v>265</v>
      </c>
      <c r="D1211" s="7" t="s">
        <v>301</v>
      </c>
      <c r="E1211" s="33" t="s">
        <v>81</v>
      </c>
      <c r="F1211" s="7">
        <v>88</v>
      </c>
      <c r="G1211" s="13">
        <v>2.4</v>
      </c>
      <c r="H1211" s="13">
        <v>2.2000000000000002</v>
      </c>
      <c r="I1211" s="13">
        <v>1.1000000000000001</v>
      </c>
      <c r="J1211" s="14">
        <f t="shared" si="429"/>
        <v>4.5679150000000002</v>
      </c>
      <c r="K1211" s="37">
        <v>0.23055555555555549</v>
      </c>
      <c r="L1211" s="12">
        <f t="shared" si="446"/>
        <v>22.169444444444444</v>
      </c>
      <c r="M1211" s="12">
        <f t="shared" si="447"/>
        <v>23.269444444444446</v>
      </c>
      <c r="N1211" s="13">
        <f t="shared" si="448"/>
        <v>22.719444444444445</v>
      </c>
      <c r="O1211" s="13">
        <f t="shared" si="449"/>
        <v>102.16944444444437</v>
      </c>
      <c r="P1211" s="13">
        <f t="shared" si="430"/>
        <v>103.26944444444436</v>
      </c>
      <c r="Q1211" s="13">
        <f t="shared" si="445"/>
        <v>102.71944444444436</v>
      </c>
      <c r="R1211" s="13">
        <v>102.16944444444437</v>
      </c>
      <c r="S1211" s="13">
        <v>103.26944444444436</v>
      </c>
      <c r="T1211" s="13">
        <v>102.71944444444436</v>
      </c>
      <c r="U1211" s="13">
        <f t="shared" si="432"/>
        <v>102.71944444444436</v>
      </c>
      <c r="V1211" s="7">
        <v>6.5945</v>
      </c>
      <c r="W1211" s="7">
        <v>1.8594999999999999</v>
      </c>
      <c r="X1211" s="7">
        <v>1.1476266666666699</v>
      </c>
      <c r="Y1211" s="14">
        <f t="shared" si="433"/>
        <v>5.4468733333333299</v>
      </c>
      <c r="Z1211" s="14">
        <f t="shared" si="434"/>
        <v>0.71187333333333003</v>
      </c>
      <c r="AA1211" s="36">
        <f t="shared" si="435"/>
        <v>86.93060606023522</v>
      </c>
      <c r="AB1211" s="36">
        <f t="shared" si="436"/>
        <v>13.06939393976478</v>
      </c>
      <c r="AC1211" s="14">
        <f t="shared" si="437"/>
        <v>1.192420028247752</v>
      </c>
      <c r="AD1211" s="14">
        <f t="shared" si="438"/>
        <v>0.15584207090835314</v>
      </c>
      <c r="AE1211" s="36" t="s">
        <v>40</v>
      </c>
      <c r="AF1211" s="66">
        <v>16.875</v>
      </c>
      <c r="AG1211" s="66">
        <v>16.994</v>
      </c>
      <c r="AH1211" s="66">
        <f t="shared" si="431"/>
        <v>0.11899999999999977</v>
      </c>
      <c r="AI1211" s="66">
        <v>16.88</v>
      </c>
      <c r="AJ1211" s="66">
        <f t="shared" si="439"/>
        <v>4.9999999999990052E-3</v>
      </c>
      <c r="AK1211" s="66">
        <f t="shared" si="440"/>
        <v>95.798319327731917</v>
      </c>
      <c r="AL1211" s="11">
        <f t="shared" si="441"/>
        <v>4.7899159663865962</v>
      </c>
      <c r="AM1211" s="11">
        <f t="shared" si="442"/>
        <v>55.374751056492443</v>
      </c>
      <c r="AN1211" s="11">
        <f t="shared" si="443"/>
        <v>4.7907614180884899</v>
      </c>
      <c r="AO1211">
        <f t="shared" si="444"/>
        <v>0.5780346820809249</v>
      </c>
      <c r="AP1211" s="7"/>
      <c r="AQ1211" s="7"/>
      <c r="AR1211" s="7"/>
      <c r="AS1211" s="7"/>
    </row>
    <row r="1212" spans="1:45" x14ac:dyDescent="0.2">
      <c r="A1212" s="7" t="s">
        <v>90</v>
      </c>
      <c r="B1212" s="7" t="s">
        <v>302</v>
      </c>
      <c r="C1212" s="7" t="s">
        <v>265</v>
      </c>
      <c r="D1212" s="7" t="s">
        <v>303</v>
      </c>
      <c r="E1212" s="33" t="s">
        <v>81</v>
      </c>
      <c r="F1212" s="7">
        <v>89</v>
      </c>
      <c r="G1212" s="13">
        <v>2.6</v>
      </c>
      <c r="H1212" s="13">
        <v>2</v>
      </c>
      <c r="I1212" s="13">
        <v>1.1499999999999999</v>
      </c>
      <c r="J1212" s="14">
        <f t="shared" si="429"/>
        <v>4.7755474999999992</v>
      </c>
      <c r="K1212" s="37">
        <v>0.23055555555555549</v>
      </c>
      <c r="L1212" s="12">
        <f t="shared" si="446"/>
        <v>23.5</v>
      </c>
      <c r="M1212" s="12">
        <f t="shared" si="447"/>
        <v>24.65</v>
      </c>
      <c r="N1212" s="13">
        <f t="shared" si="448"/>
        <v>24.074999999999999</v>
      </c>
      <c r="O1212" s="13">
        <f t="shared" si="449"/>
        <v>103.49999999999991</v>
      </c>
      <c r="P1212" s="13">
        <f t="shared" si="430"/>
        <v>104.64999999999992</v>
      </c>
      <c r="Q1212" s="13">
        <f t="shared" si="445"/>
        <v>104.07499999999992</v>
      </c>
      <c r="R1212" s="13">
        <v>103.49999999999991</v>
      </c>
      <c r="S1212" s="13">
        <v>104.64999999999992</v>
      </c>
      <c r="T1212" s="13">
        <v>104.07499999999992</v>
      </c>
      <c r="U1212" s="13">
        <f t="shared" si="432"/>
        <v>104.07499999999992</v>
      </c>
      <c r="V1212" s="7">
        <v>6.3470000000000004</v>
      </c>
      <c r="W1212" s="7">
        <v>1.7512000000000001</v>
      </c>
      <c r="X1212" s="7">
        <v>1.1476266666666699</v>
      </c>
      <c r="Y1212" s="14">
        <f t="shared" si="433"/>
        <v>5.1993733333333303</v>
      </c>
      <c r="Z1212" s="14">
        <f t="shared" si="434"/>
        <v>0.60357333333333019</v>
      </c>
      <c r="AA1212" s="36">
        <f t="shared" si="435"/>
        <v>88.391421530287047</v>
      </c>
      <c r="AB1212" s="36">
        <f t="shared" si="436"/>
        <v>11.608578469712953</v>
      </c>
      <c r="AC1212" s="14">
        <f t="shared" si="437"/>
        <v>1.0887491608728279</v>
      </c>
      <c r="AD1212" s="14">
        <f t="shared" si="438"/>
        <v>0.12638830067826365</v>
      </c>
      <c r="AE1212" s="36">
        <f>(W1212-$AS$12)/J1212</f>
        <v>0.36670140962894837</v>
      </c>
      <c r="AF1212" s="66">
        <v>15.04</v>
      </c>
      <c r="AG1212" s="66">
        <v>15.124000000000001</v>
      </c>
      <c r="AH1212" s="66">
        <f t="shared" si="431"/>
        <v>8.4000000000001407E-2</v>
      </c>
      <c r="AI1212" s="66">
        <v>15.042999999999999</v>
      </c>
      <c r="AJ1212" s="66">
        <f t="shared" si="439"/>
        <v>3.0000000000001137E-3</v>
      </c>
      <c r="AK1212" s="66">
        <f t="shared" si="440"/>
        <v>96.42857142857136</v>
      </c>
      <c r="AL1212" s="11">
        <f t="shared" si="441"/>
        <v>4.8214285714285685</v>
      </c>
      <c r="AM1212" s="11">
        <f t="shared" si="442"/>
        <v>55.739058629232005</v>
      </c>
      <c r="AN1212" s="11">
        <f t="shared" si="443"/>
        <v>4.8222684982679809</v>
      </c>
      <c r="AO1212">
        <f t="shared" si="444"/>
        <v>0.5780346820809249</v>
      </c>
      <c r="AP1212" s="7"/>
      <c r="AQ1212" s="7"/>
      <c r="AR1212" s="7"/>
      <c r="AS1212" s="7"/>
    </row>
    <row r="1213" spans="1:45" x14ac:dyDescent="0.2">
      <c r="A1213" s="7" t="s">
        <v>90</v>
      </c>
      <c r="B1213" s="7" t="s">
        <v>304</v>
      </c>
      <c r="C1213" s="7" t="s">
        <v>265</v>
      </c>
      <c r="D1213" s="7" t="s">
        <v>305</v>
      </c>
      <c r="E1213" s="33" t="s">
        <v>81</v>
      </c>
      <c r="F1213" s="7">
        <v>90</v>
      </c>
      <c r="G1213" s="13">
        <v>2.1</v>
      </c>
      <c r="H1213" s="13">
        <v>2.1</v>
      </c>
      <c r="I1213" s="13">
        <v>1</v>
      </c>
      <c r="J1213" s="14">
        <f t="shared" si="429"/>
        <v>3.4618500000000001</v>
      </c>
      <c r="K1213" s="37">
        <v>0.23055555555555549</v>
      </c>
      <c r="L1213" s="12">
        <f t="shared" si="446"/>
        <v>24.880555555555553</v>
      </c>
      <c r="M1213" s="12">
        <f t="shared" si="447"/>
        <v>25.880555555555553</v>
      </c>
      <c r="N1213" s="13">
        <f t="shared" si="448"/>
        <v>25.380555555555553</v>
      </c>
      <c r="O1213" s="13">
        <f t="shared" si="449"/>
        <v>104.88055555555547</v>
      </c>
      <c r="P1213" s="13">
        <f t="shared" si="430"/>
        <v>105.88055555555547</v>
      </c>
      <c r="Q1213" s="13">
        <f t="shared" si="445"/>
        <v>105.38055555555547</v>
      </c>
      <c r="R1213" s="13">
        <v>104.88055555555547</v>
      </c>
      <c r="S1213" s="13">
        <v>105.88055555555547</v>
      </c>
      <c r="T1213" s="13">
        <v>105.38055555555547</v>
      </c>
      <c r="U1213" s="13">
        <f t="shared" si="432"/>
        <v>105.38055555555547</v>
      </c>
      <c r="V1213" s="7">
        <v>5.6951999999999998</v>
      </c>
      <c r="W1213" s="7">
        <v>1.8080000000000001</v>
      </c>
      <c r="X1213" s="7">
        <v>1.1476266666666699</v>
      </c>
      <c r="Y1213" s="14">
        <f t="shared" si="433"/>
        <v>4.5475733333333297</v>
      </c>
      <c r="Z1213" s="14">
        <f t="shared" si="434"/>
        <v>0.66037333333333015</v>
      </c>
      <c r="AA1213" s="36">
        <f t="shared" si="435"/>
        <v>85.478555595951605</v>
      </c>
      <c r="AB1213" s="36">
        <f t="shared" si="436"/>
        <v>14.521444404048395</v>
      </c>
      <c r="AC1213" s="14">
        <f t="shared" si="437"/>
        <v>1.3136251811411037</v>
      </c>
      <c r="AD1213" s="14">
        <f t="shared" si="438"/>
        <v>0.19075735035698546</v>
      </c>
      <c r="AE1213" s="36" t="s">
        <v>40</v>
      </c>
      <c r="AF1213" s="66">
        <v>15.37</v>
      </c>
      <c r="AG1213" s="66">
        <v>15.51</v>
      </c>
      <c r="AH1213" s="66">
        <f t="shared" si="431"/>
        <v>0.14000000000000057</v>
      </c>
      <c r="AI1213" s="66">
        <v>15.378</v>
      </c>
      <c r="AJ1213" s="66">
        <f t="shared" si="439"/>
        <v>8.0000000000008953E-3</v>
      </c>
      <c r="AK1213" s="66">
        <f t="shared" si="440"/>
        <v>94.285714285713667</v>
      </c>
      <c r="AL1213" s="11">
        <f t="shared" si="441"/>
        <v>4.7142857142856833</v>
      </c>
      <c r="AM1213" s="11">
        <f t="shared" si="442"/>
        <v>54.500412881915416</v>
      </c>
      <c r="AN1213" s="11">
        <f t="shared" si="443"/>
        <v>4.7151447269323636</v>
      </c>
      <c r="AO1213">
        <f t="shared" si="444"/>
        <v>0.5780346820809249</v>
      </c>
      <c r="AP1213" s="7"/>
      <c r="AQ1213" s="7"/>
      <c r="AR1213" s="7"/>
      <c r="AS1213" s="7"/>
    </row>
    <row r="1214" spans="1:45" x14ac:dyDescent="0.2">
      <c r="A1214" s="7" t="s">
        <v>90</v>
      </c>
      <c r="B1214" s="7" t="s">
        <v>306</v>
      </c>
      <c r="C1214" s="7" t="s">
        <v>265</v>
      </c>
      <c r="D1214" s="7" t="s">
        <v>307</v>
      </c>
      <c r="E1214" s="33" t="s">
        <v>81</v>
      </c>
      <c r="F1214" s="7">
        <v>91</v>
      </c>
      <c r="G1214" s="13">
        <v>2</v>
      </c>
      <c r="H1214" s="13">
        <v>2.35</v>
      </c>
      <c r="I1214" s="13">
        <v>1.1000000000000001</v>
      </c>
      <c r="J1214" s="14">
        <f t="shared" si="429"/>
        <v>4.0848946874999994</v>
      </c>
      <c r="K1214" s="37">
        <v>0.23055555555555549</v>
      </c>
      <c r="L1214" s="12">
        <f t="shared" si="446"/>
        <v>26.111111111111107</v>
      </c>
      <c r="M1214" s="12">
        <f t="shared" si="447"/>
        <v>27.211111111111109</v>
      </c>
      <c r="N1214" s="13">
        <f t="shared" si="448"/>
        <v>26.661111111111108</v>
      </c>
      <c r="O1214" s="13">
        <f t="shared" si="449"/>
        <v>106.11111111111103</v>
      </c>
      <c r="P1214" s="13">
        <f t="shared" si="430"/>
        <v>107.21111111111102</v>
      </c>
      <c r="Q1214" s="13">
        <f t="shared" si="445"/>
        <v>106.66111111111103</v>
      </c>
      <c r="R1214" s="13">
        <v>106.11111111111103</v>
      </c>
      <c r="S1214" s="13">
        <v>107.21111111111102</v>
      </c>
      <c r="T1214" s="13">
        <v>106.66111111111103</v>
      </c>
      <c r="U1214" s="13">
        <f t="shared" si="432"/>
        <v>106.66111111111103</v>
      </c>
      <c r="V1214" s="7">
        <v>6.8423999999999996</v>
      </c>
      <c r="W1214" s="7">
        <v>1.9807999999999999</v>
      </c>
      <c r="X1214" s="7">
        <v>1.1476266666666699</v>
      </c>
      <c r="Y1214" s="14">
        <f t="shared" si="433"/>
        <v>5.6947733333333295</v>
      </c>
      <c r="Z1214" s="14">
        <f t="shared" si="434"/>
        <v>0.83317333333332999</v>
      </c>
      <c r="AA1214" s="36">
        <f t="shared" si="435"/>
        <v>85.369508414733559</v>
      </c>
      <c r="AB1214" s="36">
        <f t="shared" si="436"/>
        <v>14.630491585266441</v>
      </c>
      <c r="AC1214" s="14">
        <f t="shared" si="437"/>
        <v>1.394105299889284</v>
      </c>
      <c r="AD1214" s="14">
        <f t="shared" si="438"/>
        <v>0.20396445859005516</v>
      </c>
      <c r="AE1214" s="36">
        <f>(W1214-$AS$12)/J1214</f>
        <v>0.48490846191490711</v>
      </c>
      <c r="AF1214" s="66">
        <v>16.774999999999999</v>
      </c>
      <c r="AG1214" s="66">
        <v>16.890999999999998</v>
      </c>
      <c r="AH1214" s="66">
        <f t="shared" si="431"/>
        <v>0.11599999999999966</v>
      </c>
      <c r="AI1214" s="66">
        <v>16.780999999999999</v>
      </c>
      <c r="AJ1214" s="66">
        <f t="shared" si="439"/>
        <v>6.0000000000002274E-3</v>
      </c>
      <c r="AK1214" s="66">
        <f t="shared" si="440"/>
        <v>94.827586206896342</v>
      </c>
      <c r="AL1214" s="11">
        <f t="shared" si="441"/>
        <v>4.7413793103448176</v>
      </c>
      <c r="AM1214" s="11">
        <f t="shared" si="442"/>
        <v>54.813633645604824</v>
      </c>
      <c r="AN1214" s="11">
        <f t="shared" si="443"/>
        <v>4.7422334152344181</v>
      </c>
      <c r="AO1214">
        <f t="shared" si="444"/>
        <v>0.5780346820809249</v>
      </c>
      <c r="AP1214" s="7"/>
      <c r="AQ1214" s="7"/>
      <c r="AR1214" s="7"/>
      <c r="AS1214" s="7"/>
    </row>
    <row r="1215" spans="1:45" x14ac:dyDescent="0.2">
      <c r="A1215" s="7" t="s">
        <v>90</v>
      </c>
      <c r="B1215" s="7" t="s">
        <v>308</v>
      </c>
      <c r="C1215" s="7" t="s">
        <v>265</v>
      </c>
      <c r="D1215" s="7" t="s">
        <v>309</v>
      </c>
      <c r="E1215" s="33" t="s">
        <v>81</v>
      </c>
      <c r="F1215" s="7">
        <v>92</v>
      </c>
      <c r="G1215" s="13">
        <v>1.9</v>
      </c>
      <c r="H1215" s="13">
        <v>2.1</v>
      </c>
      <c r="I1215" s="13">
        <v>1.2</v>
      </c>
      <c r="J1215" s="14">
        <f t="shared" si="429"/>
        <v>3.7679999999999998</v>
      </c>
      <c r="K1215" s="37">
        <v>0.23055555555555549</v>
      </c>
      <c r="L1215" s="12">
        <f t="shared" si="446"/>
        <v>27.441666666666663</v>
      </c>
      <c r="M1215" s="12">
        <f t="shared" si="447"/>
        <v>28.641666666666662</v>
      </c>
      <c r="N1215" s="13">
        <f t="shared" si="448"/>
        <v>28.041666666666664</v>
      </c>
      <c r="O1215" s="13">
        <f t="shared" si="449"/>
        <v>107.44166666666658</v>
      </c>
      <c r="P1215" s="13">
        <f t="shared" si="430"/>
        <v>108.64166666666658</v>
      </c>
      <c r="Q1215" s="13">
        <f t="shared" si="445"/>
        <v>108.04166666666657</v>
      </c>
      <c r="R1215" s="13">
        <v>107.44166666666658</v>
      </c>
      <c r="S1215" s="13">
        <v>108.64166666666658</v>
      </c>
      <c r="T1215" s="13">
        <v>108.04166666666657</v>
      </c>
      <c r="U1215" s="13">
        <f t="shared" si="432"/>
        <v>108.04166666666657</v>
      </c>
      <c r="V1215" s="7">
        <v>5.5157999999999996</v>
      </c>
      <c r="W1215" s="7">
        <v>1.8088</v>
      </c>
      <c r="X1215" s="7">
        <v>1.1476266666666699</v>
      </c>
      <c r="Y1215" s="14">
        <f t="shared" si="433"/>
        <v>4.3681733333333295</v>
      </c>
      <c r="Z1215" s="14">
        <f t="shared" si="434"/>
        <v>0.66117333333333006</v>
      </c>
      <c r="AA1215" s="36">
        <f t="shared" si="435"/>
        <v>84.863848504180297</v>
      </c>
      <c r="AB1215" s="36">
        <f t="shared" si="436"/>
        <v>15.136151495819703</v>
      </c>
      <c r="AC1215" s="14">
        <f t="shared" si="437"/>
        <v>1.1592816702052362</v>
      </c>
      <c r="AD1215" s="14">
        <f t="shared" si="438"/>
        <v>0.17547062986553347</v>
      </c>
      <c r="AE1215" s="36" t="s">
        <v>40</v>
      </c>
      <c r="AF1215" s="66">
        <v>17.803999999999998</v>
      </c>
      <c r="AG1215" s="66">
        <v>17.957000000000001</v>
      </c>
      <c r="AH1215" s="66">
        <f t="shared" si="431"/>
        <v>0.15300000000000225</v>
      </c>
      <c r="AI1215" s="66">
        <v>17.812000000000001</v>
      </c>
      <c r="AJ1215" s="66">
        <f t="shared" si="439"/>
        <v>8.0000000000026716E-3</v>
      </c>
      <c r="AK1215" s="66">
        <f t="shared" si="440"/>
        <v>94.771241830063687</v>
      </c>
      <c r="AL1215" s="11">
        <f t="shared" si="441"/>
        <v>4.7385620915031845</v>
      </c>
      <c r="AM1215" s="11">
        <f t="shared" si="442"/>
        <v>54.781064641655313</v>
      </c>
      <c r="AN1215" s="11">
        <f t="shared" si="443"/>
        <v>4.7394167040925019</v>
      </c>
      <c r="AO1215">
        <f t="shared" si="444"/>
        <v>0.5780346820809249</v>
      </c>
      <c r="AP1215" s="7"/>
      <c r="AQ1215" s="7"/>
      <c r="AR1215" s="7"/>
      <c r="AS1215" s="7"/>
    </row>
    <row r="1216" spans="1:45" x14ac:dyDescent="0.2">
      <c r="A1216" s="7" t="s">
        <v>90</v>
      </c>
      <c r="B1216" s="7" t="s">
        <v>310</v>
      </c>
      <c r="C1216" s="7" t="s">
        <v>265</v>
      </c>
      <c r="D1216" s="7" t="s">
        <v>311</v>
      </c>
      <c r="E1216" s="33" t="s">
        <v>81</v>
      </c>
      <c r="F1216" s="7">
        <v>93</v>
      </c>
      <c r="G1216" s="13">
        <v>1.9</v>
      </c>
      <c r="H1216" s="13">
        <v>2.2999999999999998</v>
      </c>
      <c r="I1216" s="13">
        <v>1</v>
      </c>
      <c r="J1216" s="14">
        <f t="shared" si="429"/>
        <v>3.4618499999999992</v>
      </c>
      <c r="K1216" s="37">
        <v>0.23055555555555549</v>
      </c>
      <c r="L1216" s="12">
        <f t="shared" si="446"/>
        <v>28.872222222222216</v>
      </c>
      <c r="M1216" s="12">
        <f t="shared" si="447"/>
        <v>29.872222222222216</v>
      </c>
      <c r="N1216" s="13">
        <f t="shared" si="448"/>
        <v>29.372222222222216</v>
      </c>
      <c r="O1216" s="13">
        <f t="shared" si="449"/>
        <v>108.87222222222213</v>
      </c>
      <c r="P1216" s="13">
        <f t="shared" si="430"/>
        <v>109.87222222222213</v>
      </c>
      <c r="Q1216" s="13">
        <f t="shared" si="445"/>
        <v>109.37222222222213</v>
      </c>
      <c r="R1216" s="13">
        <v>108.87222222222213</v>
      </c>
      <c r="S1216" s="13">
        <v>109.87222222222213</v>
      </c>
      <c r="T1216" s="13">
        <v>109.37222222222213</v>
      </c>
      <c r="U1216" s="13">
        <f t="shared" si="432"/>
        <v>109.37222222222213</v>
      </c>
      <c r="V1216" s="7">
        <v>6.2770999999999999</v>
      </c>
      <c r="W1216" s="7">
        <v>1.8900999999999999</v>
      </c>
      <c r="X1216" s="7">
        <v>1.1476266666666699</v>
      </c>
      <c r="Y1216" s="14">
        <f t="shared" si="433"/>
        <v>5.1294733333333298</v>
      </c>
      <c r="Z1216" s="14">
        <f t="shared" si="434"/>
        <v>0.74247333333332999</v>
      </c>
      <c r="AA1216" s="36">
        <f t="shared" si="435"/>
        <v>85.525349581048658</v>
      </c>
      <c r="AB1216" s="36">
        <f t="shared" si="436"/>
        <v>14.474650418951342</v>
      </c>
      <c r="AC1216" s="14">
        <f t="shared" si="437"/>
        <v>1.481714497547072</v>
      </c>
      <c r="AD1216" s="14">
        <f t="shared" si="438"/>
        <v>0.21447299372685996</v>
      </c>
      <c r="AE1216" s="36" t="s">
        <v>40</v>
      </c>
      <c r="AF1216" s="66">
        <v>16.177</v>
      </c>
      <c r="AG1216" s="66">
        <v>16.282</v>
      </c>
      <c r="AH1216" s="66">
        <f t="shared" si="431"/>
        <v>0.10500000000000043</v>
      </c>
      <c r="AI1216" s="66">
        <v>16.18</v>
      </c>
      <c r="AJ1216" s="66">
        <f t="shared" si="439"/>
        <v>3.0000000000001137E-3</v>
      </c>
      <c r="AK1216" s="66">
        <f t="shared" si="440"/>
        <v>97.142857142857039</v>
      </c>
      <c r="AL1216" s="11">
        <f t="shared" si="441"/>
        <v>4.8571428571428523</v>
      </c>
      <c r="AM1216" s="11">
        <f t="shared" si="442"/>
        <v>56.151940545004074</v>
      </c>
      <c r="AN1216" s="11">
        <f t="shared" si="443"/>
        <v>4.8579766091134928</v>
      </c>
      <c r="AO1216">
        <f t="shared" si="444"/>
        <v>0.5780346820809249</v>
      </c>
      <c r="AP1216" s="7"/>
      <c r="AQ1216" s="7"/>
      <c r="AR1216" s="7"/>
      <c r="AS1216" s="7"/>
    </row>
    <row r="1217" spans="1:45" x14ac:dyDescent="0.2">
      <c r="A1217" s="7" t="s">
        <v>90</v>
      </c>
      <c r="B1217" s="7" t="s">
        <v>312</v>
      </c>
      <c r="C1217" s="7" t="s">
        <v>265</v>
      </c>
      <c r="D1217" s="7" t="s">
        <v>313</v>
      </c>
      <c r="E1217" s="33" t="s">
        <v>81</v>
      </c>
      <c r="F1217" s="7">
        <v>94</v>
      </c>
      <c r="G1217" s="13">
        <v>2</v>
      </c>
      <c r="H1217" s="13">
        <v>2.4</v>
      </c>
      <c r="I1217" s="13">
        <v>1.1000000000000001</v>
      </c>
      <c r="J1217" s="14">
        <f t="shared" si="429"/>
        <v>4.1793400000000016</v>
      </c>
      <c r="K1217" s="37">
        <v>0.23055555555555549</v>
      </c>
      <c r="L1217" s="12">
        <f t="shared" si="446"/>
        <v>30.102777777777771</v>
      </c>
      <c r="M1217" s="12">
        <f t="shared" si="447"/>
        <v>31.202777777777772</v>
      </c>
      <c r="N1217" s="13">
        <f t="shared" si="448"/>
        <v>30.652777777777771</v>
      </c>
      <c r="O1217" s="13">
        <f t="shared" si="449"/>
        <v>110.10277777777769</v>
      </c>
      <c r="P1217" s="13">
        <f t="shared" si="430"/>
        <v>111.20277777777768</v>
      </c>
      <c r="Q1217" s="13">
        <f t="shared" si="445"/>
        <v>110.65277777777769</v>
      </c>
      <c r="R1217" s="13">
        <v>110.10277777777769</v>
      </c>
      <c r="S1217" s="13">
        <v>111.20277777777768</v>
      </c>
      <c r="T1217" s="13">
        <v>110.65277777777769</v>
      </c>
      <c r="U1217" s="13">
        <f t="shared" si="432"/>
        <v>110.65277777777769</v>
      </c>
      <c r="V1217" s="7">
        <v>6.1562000000000001</v>
      </c>
      <c r="W1217" s="7">
        <v>1.8436999999999999</v>
      </c>
      <c r="X1217" s="7">
        <v>1.1476266666666699</v>
      </c>
      <c r="Y1217" s="14">
        <f t="shared" si="433"/>
        <v>5.00857333333333</v>
      </c>
      <c r="Z1217" s="14">
        <f t="shared" si="434"/>
        <v>0.69607333333332999</v>
      </c>
      <c r="AA1217" s="36">
        <f t="shared" si="435"/>
        <v>86.102363147988967</v>
      </c>
      <c r="AB1217" s="36">
        <f t="shared" si="436"/>
        <v>13.897636852011033</v>
      </c>
      <c r="AC1217" s="14">
        <f t="shared" si="437"/>
        <v>1.1984125085141022</v>
      </c>
      <c r="AD1217" s="14">
        <f t="shared" si="438"/>
        <v>0.16655101842236567</v>
      </c>
      <c r="AE1217" s="36" t="s">
        <v>40</v>
      </c>
      <c r="AF1217" s="66">
        <v>16.588999999999999</v>
      </c>
      <c r="AG1217" s="66">
        <v>16.733000000000001</v>
      </c>
      <c r="AH1217" s="66">
        <f t="shared" si="431"/>
        <v>0.1440000000000019</v>
      </c>
      <c r="AI1217" s="66">
        <v>16.600000000000001</v>
      </c>
      <c r="AJ1217" s="66">
        <f t="shared" si="439"/>
        <v>1.1000000000002785E-2</v>
      </c>
      <c r="AK1217" s="66">
        <f t="shared" si="440"/>
        <v>92.361111111109267</v>
      </c>
      <c r="AL1217" s="11">
        <f t="shared" si="441"/>
        <v>4.6180555555554639</v>
      </c>
      <c r="AM1217" s="11">
        <f t="shared" si="442"/>
        <v>53.387925497751027</v>
      </c>
      <c r="AN1217" s="11">
        <f t="shared" si="443"/>
        <v>4.6189324647797871</v>
      </c>
      <c r="AO1217">
        <f t="shared" si="444"/>
        <v>0.5780346820809249</v>
      </c>
      <c r="AP1217" s="7"/>
      <c r="AQ1217" s="7"/>
      <c r="AR1217" s="7"/>
      <c r="AS1217" s="7"/>
    </row>
    <row r="1218" spans="1:45" x14ac:dyDescent="0.2">
      <c r="A1218" s="7" t="s">
        <v>90</v>
      </c>
      <c r="B1218" s="7" t="s">
        <v>314</v>
      </c>
      <c r="C1218" s="7" t="s">
        <v>265</v>
      </c>
      <c r="D1218" s="7" t="s">
        <v>315</v>
      </c>
      <c r="E1218" s="33" t="s">
        <v>81</v>
      </c>
      <c r="F1218" s="7">
        <v>95</v>
      </c>
      <c r="G1218" s="13">
        <v>2.1</v>
      </c>
      <c r="H1218" s="13">
        <v>2</v>
      </c>
      <c r="I1218" s="13">
        <v>1.1000000000000001</v>
      </c>
      <c r="J1218" s="14">
        <f t="shared" si="429"/>
        <v>3.6288587499999996</v>
      </c>
      <c r="K1218" s="37">
        <v>0.23055555555555549</v>
      </c>
      <c r="L1218" s="12">
        <f t="shared" si="446"/>
        <v>31.433333333333326</v>
      </c>
      <c r="M1218" s="12">
        <f t="shared" si="447"/>
        <v>32.533333333333324</v>
      </c>
      <c r="N1218" s="13">
        <f t="shared" si="448"/>
        <v>31.983333333333327</v>
      </c>
      <c r="O1218" s="13">
        <f t="shared" si="449"/>
        <v>111.43333333333324</v>
      </c>
      <c r="P1218" s="13">
        <f t="shared" si="430"/>
        <v>112.53333333333323</v>
      </c>
      <c r="Q1218" s="13">
        <f t="shared" si="445"/>
        <v>111.98333333333323</v>
      </c>
      <c r="R1218" s="13">
        <v>111.43333333333324</v>
      </c>
      <c r="S1218" s="13">
        <v>112.53333333333323</v>
      </c>
      <c r="T1218" s="13">
        <v>111.98333333333323</v>
      </c>
      <c r="U1218" s="13">
        <f t="shared" si="432"/>
        <v>111.98333333333323</v>
      </c>
      <c r="V1218" s="7">
        <v>6.0915999999999997</v>
      </c>
      <c r="W1218" s="7">
        <v>1.9064000000000001</v>
      </c>
      <c r="X1218" s="7">
        <v>1.1476266666666699</v>
      </c>
      <c r="Y1218" s="14">
        <f t="shared" si="433"/>
        <v>4.9439733333333296</v>
      </c>
      <c r="Z1218" s="14">
        <f t="shared" si="434"/>
        <v>0.75877333333333019</v>
      </c>
      <c r="AA1218" s="36">
        <f t="shared" si="435"/>
        <v>84.652560154046185</v>
      </c>
      <c r="AB1218" s="36">
        <f t="shared" si="436"/>
        <v>15.347439845953815</v>
      </c>
      <c r="AC1218" s="14">
        <f t="shared" si="437"/>
        <v>1.3624044565893698</v>
      </c>
      <c r="AD1218" s="14">
        <f t="shared" si="438"/>
        <v>0.20909420443364743</v>
      </c>
      <c r="AE1218" s="36" t="s">
        <v>40</v>
      </c>
      <c r="AF1218" s="66">
        <v>16.189</v>
      </c>
      <c r="AG1218" s="66">
        <v>16.309999999999999</v>
      </c>
      <c r="AH1218" s="66">
        <f t="shared" si="431"/>
        <v>0.12099999999999866</v>
      </c>
      <c r="AI1218" s="66">
        <v>16.195</v>
      </c>
      <c r="AJ1218" s="66">
        <f t="shared" si="439"/>
        <v>6.0000000000002274E-3</v>
      </c>
      <c r="AK1218" s="66">
        <f t="shared" si="440"/>
        <v>95.041322314049353</v>
      </c>
      <c r="AL1218" s="11">
        <f t="shared" si="441"/>
        <v>4.7520661157024682</v>
      </c>
      <c r="AM1218" s="11">
        <f t="shared" si="442"/>
        <v>54.937180528352229</v>
      </c>
      <c r="AN1218" s="11">
        <f t="shared" si="443"/>
        <v>4.752918300161233</v>
      </c>
      <c r="AO1218">
        <f t="shared" si="444"/>
        <v>0.5780346820809249</v>
      </c>
      <c r="AP1218" s="7"/>
      <c r="AQ1218" s="7"/>
      <c r="AR1218" s="7"/>
      <c r="AS1218" s="7"/>
    </row>
    <row r="1219" spans="1:45" x14ac:dyDescent="0.2">
      <c r="A1219" s="7" t="s">
        <v>90</v>
      </c>
      <c r="B1219" s="7" t="s">
        <v>316</v>
      </c>
      <c r="C1219" s="7" t="s">
        <v>265</v>
      </c>
      <c r="D1219" s="7" t="s">
        <v>317</v>
      </c>
      <c r="E1219" s="33" t="s">
        <v>81</v>
      </c>
      <c r="F1219" s="7">
        <v>96</v>
      </c>
      <c r="G1219" s="13">
        <v>1.8</v>
      </c>
      <c r="H1219" s="13">
        <v>2.2000000000000002</v>
      </c>
      <c r="I1219" s="13">
        <v>1.1000000000000001</v>
      </c>
      <c r="J1219" s="14">
        <f t="shared" si="429"/>
        <v>3.4540000000000006</v>
      </c>
      <c r="K1219" s="37">
        <v>0.23055555555555549</v>
      </c>
      <c r="L1219" s="12">
        <f t="shared" si="446"/>
        <v>32.763888888888879</v>
      </c>
      <c r="M1219" s="12">
        <f t="shared" si="447"/>
        <v>33.86388888888888</v>
      </c>
      <c r="N1219" s="13">
        <f t="shared" si="448"/>
        <v>33.313888888888883</v>
      </c>
      <c r="O1219" s="13">
        <f t="shared" si="449"/>
        <v>112.76388888888879</v>
      </c>
      <c r="P1219" s="13">
        <f t="shared" si="430"/>
        <v>113.86388888888878</v>
      </c>
      <c r="Q1219" s="13">
        <f t="shared" si="445"/>
        <v>113.31388888888878</v>
      </c>
      <c r="R1219" s="13">
        <v>112.76388888888879</v>
      </c>
      <c r="S1219" s="13">
        <v>113.86388888888878</v>
      </c>
      <c r="T1219" s="13">
        <v>113.31388888888878</v>
      </c>
      <c r="U1219" s="13">
        <f t="shared" si="432"/>
        <v>113.31388888888878</v>
      </c>
      <c r="V1219" s="7">
        <v>5.2519999999999998</v>
      </c>
      <c r="W1219" s="7">
        <v>1.8245</v>
      </c>
      <c r="X1219" s="7">
        <v>1.1476266666666699</v>
      </c>
      <c r="Y1219" s="14">
        <f t="shared" si="433"/>
        <v>4.1043733333333297</v>
      </c>
      <c r="Z1219" s="14">
        <f t="shared" si="434"/>
        <v>0.67687333333333011</v>
      </c>
      <c r="AA1219" s="36">
        <f t="shared" si="435"/>
        <v>83.508485258001272</v>
      </c>
      <c r="AB1219" s="36">
        <f t="shared" si="436"/>
        <v>16.491514741998728</v>
      </c>
      <c r="AC1219" s="14">
        <f t="shared" si="437"/>
        <v>1.1882956958116182</v>
      </c>
      <c r="AD1219" s="14">
        <f t="shared" si="438"/>
        <v>0.1959679598533092</v>
      </c>
      <c r="AE1219" s="36">
        <f>(W1219-$AS$12)/J1219</f>
        <v>0.52822814128546602</v>
      </c>
      <c r="AF1219" s="66">
        <v>14.494</v>
      </c>
      <c r="AG1219" s="66">
        <v>14.582000000000001</v>
      </c>
      <c r="AH1219" s="66">
        <f t="shared" si="431"/>
        <v>8.8000000000000966E-2</v>
      </c>
      <c r="AI1219" s="66">
        <v>14.5</v>
      </c>
      <c r="AJ1219" s="66">
        <f t="shared" si="439"/>
        <v>6.0000000000002274E-3</v>
      </c>
      <c r="AK1219" s="66">
        <f t="shared" si="440"/>
        <v>93.181818181818002</v>
      </c>
      <c r="AL1219" s="11">
        <f t="shared" si="441"/>
        <v>4.6590909090909003</v>
      </c>
      <c r="AM1219" s="11">
        <f t="shared" si="442"/>
        <v>53.86232264844972</v>
      </c>
      <c r="AN1219" s="11">
        <f t="shared" si="443"/>
        <v>4.6599600963069916</v>
      </c>
      <c r="AO1219">
        <f t="shared" si="444"/>
        <v>0.5780346820809249</v>
      </c>
      <c r="AP1219" s="7"/>
      <c r="AQ1219" s="7"/>
      <c r="AR1219" s="7"/>
      <c r="AS1219" s="7"/>
    </row>
    <row r="1220" spans="1:45" x14ac:dyDescent="0.2">
      <c r="A1220" s="7" t="s">
        <v>90</v>
      </c>
      <c r="B1220" s="7" t="s">
        <v>318</v>
      </c>
      <c r="C1220" s="7" t="s">
        <v>265</v>
      </c>
      <c r="D1220" s="7" t="s">
        <v>319</v>
      </c>
      <c r="E1220" s="33" t="s">
        <v>81</v>
      </c>
      <c r="F1220" s="7">
        <v>97</v>
      </c>
      <c r="G1220" s="13">
        <v>2.1</v>
      </c>
      <c r="H1220" s="13">
        <v>1.8</v>
      </c>
      <c r="I1220" s="13">
        <v>0.9</v>
      </c>
      <c r="J1220" s="14">
        <f t="shared" si="429"/>
        <v>2.6864662500000005</v>
      </c>
      <c r="K1220" s="37">
        <v>0.23055555555555549</v>
      </c>
      <c r="L1220" s="12">
        <f t="shared" si="446"/>
        <v>34.094444444444434</v>
      </c>
      <c r="M1220" s="12">
        <f t="shared" si="447"/>
        <v>34.994444444444433</v>
      </c>
      <c r="N1220" s="13">
        <f t="shared" si="448"/>
        <v>34.544444444444437</v>
      </c>
      <c r="O1220" s="13">
        <f t="shared" si="449"/>
        <v>114.09444444444433</v>
      </c>
      <c r="P1220" s="13">
        <f t="shared" si="430"/>
        <v>114.99444444444434</v>
      </c>
      <c r="Q1220" s="13">
        <f t="shared" si="445"/>
        <v>114.54444444444434</v>
      </c>
      <c r="R1220" s="13">
        <v>114.09444444444433</v>
      </c>
      <c r="S1220" s="13">
        <v>114.99444444444434</v>
      </c>
      <c r="T1220" s="13">
        <v>114.54444444444434</v>
      </c>
      <c r="U1220" s="13">
        <f t="shared" si="432"/>
        <v>114.54444444444434</v>
      </c>
      <c r="V1220" s="7">
        <v>5.1256000000000004</v>
      </c>
      <c r="W1220" s="7">
        <v>1.7525999999999999</v>
      </c>
      <c r="X1220" s="7">
        <v>1.1476266666666699</v>
      </c>
      <c r="Y1220" s="14">
        <f t="shared" si="433"/>
        <v>3.9779733333333303</v>
      </c>
      <c r="Z1220" s="14">
        <f t="shared" si="434"/>
        <v>0.60497333333333003</v>
      </c>
      <c r="AA1220" s="36">
        <f t="shared" si="435"/>
        <v>84.791920844114998</v>
      </c>
      <c r="AB1220" s="36">
        <f t="shared" si="436"/>
        <v>15.208079155885002</v>
      </c>
      <c r="AC1220" s="14">
        <f t="shared" si="437"/>
        <v>1.4807456945842254</v>
      </c>
      <c r="AD1220" s="14">
        <f t="shared" si="438"/>
        <v>0.22519297732972821</v>
      </c>
      <c r="AE1220" s="36" t="s">
        <v>40</v>
      </c>
      <c r="AF1220" s="66">
        <v>17.026</v>
      </c>
      <c r="AG1220" s="66">
        <v>17.129000000000001</v>
      </c>
      <c r="AH1220" s="66">
        <f t="shared" si="431"/>
        <v>0.10300000000000153</v>
      </c>
      <c r="AI1220" s="66">
        <v>17.03</v>
      </c>
      <c r="AJ1220" s="66">
        <f t="shared" si="439"/>
        <v>4.0000000000013358E-3</v>
      </c>
      <c r="AK1220" s="66">
        <f t="shared" si="440"/>
        <v>96.11650485436769</v>
      </c>
      <c r="AL1220" s="11">
        <f t="shared" si="441"/>
        <v>4.8058252427183845</v>
      </c>
      <c r="AM1220" s="11">
        <f t="shared" si="442"/>
        <v>55.558673326224103</v>
      </c>
      <c r="AN1220" s="11">
        <f t="shared" si="443"/>
        <v>4.8066678961156883</v>
      </c>
      <c r="AO1220">
        <f t="shared" si="444"/>
        <v>0.5780346820809249</v>
      </c>
      <c r="AP1220" s="7"/>
      <c r="AQ1220" s="7"/>
      <c r="AR1220" s="7"/>
      <c r="AS1220" s="7"/>
    </row>
    <row r="1221" spans="1:45" x14ac:dyDescent="0.2">
      <c r="A1221" s="7" t="s">
        <v>90</v>
      </c>
      <c r="B1221" s="7" t="s">
        <v>320</v>
      </c>
      <c r="C1221" s="7" t="s">
        <v>265</v>
      </c>
      <c r="D1221" s="7" t="s">
        <v>321</v>
      </c>
      <c r="E1221" s="33" t="s">
        <v>81</v>
      </c>
      <c r="F1221" s="7">
        <v>98</v>
      </c>
      <c r="G1221" s="13">
        <v>2</v>
      </c>
      <c r="H1221" s="13">
        <v>2</v>
      </c>
      <c r="I1221" s="13">
        <v>1</v>
      </c>
      <c r="J1221" s="14">
        <f t="shared" si="429"/>
        <v>3.14</v>
      </c>
      <c r="K1221" s="37">
        <v>0.23055555555555549</v>
      </c>
      <c r="L1221" s="12">
        <f t="shared" si="446"/>
        <v>35.224999999999987</v>
      </c>
      <c r="M1221" s="12">
        <f t="shared" si="447"/>
        <v>36.224999999999987</v>
      </c>
      <c r="N1221" s="13">
        <f t="shared" si="448"/>
        <v>35.724999999999987</v>
      </c>
      <c r="O1221" s="13">
        <f t="shared" si="449"/>
        <v>115.22499999999989</v>
      </c>
      <c r="P1221" s="13">
        <f t="shared" si="430"/>
        <v>116.22499999999989</v>
      </c>
      <c r="Q1221" s="13">
        <f t="shared" si="445"/>
        <v>115.72499999999989</v>
      </c>
      <c r="R1221" s="13">
        <v>115.22499999999989</v>
      </c>
      <c r="S1221" s="13">
        <v>116.22499999999989</v>
      </c>
      <c r="T1221" s="13">
        <v>115.72499999999989</v>
      </c>
      <c r="U1221" s="13">
        <f t="shared" si="432"/>
        <v>115.72499999999989</v>
      </c>
      <c r="V1221" s="7">
        <v>5.6025999999999998</v>
      </c>
      <c r="W1221" s="7">
        <v>1.8404</v>
      </c>
      <c r="X1221" s="7">
        <v>1.1476266666666699</v>
      </c>
      <c r="Y1221" s="14">
        <f t="shared" si="433"/>
        <v>4.4549733333333297</v>
      </c>
      <c r="Z1221" s="14">
        <f t="shared" si="434"/>
        <v>0.69277333333333013</v>
      </c>
      <c r="AA1221" s="36">
        <f t="shared" si="435"/>
        <v>84.449439278349644</v>
      </c>
      <c r="AB1221" s="36">
        <f t="shared" si="436"/>
        <v>15.550560721650356</v>
      </c>
      <c r="AC1221" s="14">
        <f t="shared" si="437"/>
        <v>1.4187813163481942</v>
      </c>
      <c r="AD1221" s="14">
        <f t="shared" si="438"/>
        <v>0.22062845010615609</v>
      </c>
      <c r="AE1221" s="36" t="s">
        <v>40</v>
      </c>
      <c r="AF1221" s="66">
        <v>17.05</v>
      </c>
      <c r="AG1221" s="66">
        <v>17.181000000000001</v>
      </c>
      <c r="AH1221" s="66">
        <f t="shared" si="431"/>
        <v>0.13100000000000023</v>
      </c>
      <c r="AI1221" s="66">
        <v>17.053999999999998</v>
      </c>
      <c r="AJ1221" s="66">
        <f t="shared" si="439"/>
        <v>3.9999999999977831E-3</v>
      </c>
      <c r="AK1221" s="66">
        <f t="shared" si="440"/>
        <v>96.946564885497878</v>
      </c>
      <c r="AL1221" s="11">
        <f t="shared" si="441"/>
        <v>4.8473282442748946</v>
      </c>
      <c r="AM1221" s="11">
        <f t="shared" si="442"/>
        <v>56.038476812426524</v>
      </c>
      <c r="AN1221" s="11">
        <f t="shared" si="443"/>
        <v>4.8481636840916513</v>
      </c>
      <c r="AO1221">
        <f t="shared" si="444"/>
        <v>0.5780346820809249</v>
      </c>
      <c r="AP1221" s="7"/>
      <c r="AQ1221" s="7"/>
      <c r="AR1221" s="7"/>
      <c r="AS1221" s="7"/>
    </row>
    <row r="1222" spans="1:45" x14ac:dyDescent="0.2">
      <c r="A1222" s="7" t="s">
        <v>90</v>
      </c>
      <c r="B1222" s="7" t="s">
        <v>322</v>
      </c>
      <c r="C1222" s="7" t="s">
        <v>265</v>
      </c>
      <c r="D1222" s="7" t="s">
        <v>323</v>
      </c>
      <c r="E1222" s="33" t="s">
        <v>81</v>
      </c>
      <c r="F1222" s="7">
        <v>99</v>
      </c>
      <c r="G1222" s="13">
        <v>2.1</v>
      </c>
      <c r="H1222" s="13">
        <v>2.4</v>
      </c>
      <c r="I1222" s="13">
        <v>1</v>
      </c>
      <c r="J1222" s="14">
        <f t="shared" si="429"/>
        <v>3.9740625000000001</v>
      </c>
      <c r="K1222" s="37">
        <v>0.23055555555555549</v>
      </c>
      <c r="L1222" s="12">
        <f t="shared" si="446"/>
        <v>36.455555555555542</v>
      </c>
      <c r="M1222" s="12">
        <f t="shared" si="447"/>
        <v>37.455555555555542</v>
      </c>
      <c r="N1222" s="13">
        <f t="shared" si="448"/>
        <v>36.955555555555542</v>
      </c>
      <c r="O1222" s="13">
        <f t="shared" si="449"/>
        <v>116.45555555555545</v>
      </c>
      <c r="P1222" s="13">
        <f t="shared" si="430"/>
        <v>117.45555555555545</v>
      </c>
      <c r="Q1222" s="13">
        <f t="shared" si="445"/>
        <v>116.95555555555545</v>
      </c>
      <c r="R1222" s="13">
        <v>116.45555555555545</v>
      </c>
      <c r="S1222" s="13">
        <v>117.45555555555545</v>
      </c>
      <c r="T1222" s="13">
        <v>116.95555555555545</v>
      </c>
      <c r="U1222" s="13">
        <f t="shared" si="432"/>
        <v>116.95555555555545</v>
      </c>
      <c r="V1222" s="7">
        <v>6.0656999999999996</v>
      </c>
      <c r="W1222" s="7">
        <v>1.9394</v>
      </c>
      <c r="X1222" s="7">
        <v>1.1476266666666699</v>
      </c>
      <c r="Y1222" s="14">
        <f t="shared" si="433"/>
        <v>4.9180733333333295</v>
      </c>
      <c r="Z1222" s="14">
        <f t="shared" si="434"/>
        <v>0.79177333333333011</v>
      </c>
      <c r="AA1222" s="36">
        <f t="shared" si="435"/>
        <v>83.900741618330272</v>
      </c>
      <c r="AB1222" s="36">
        <f t="shared" si="436"/>
        <v>16.099258381669728</v>
      </c>
      <c r="AC1222" s="14">
        <f t="shared" si="437"/>
        <v>1.2375430263951133</v>
      </c>
      <c r="AD1222" s="14">
        <f t="shared" si="438"/>
        <v>0.19923524940368453</v>
      </c>
      <c r="AE1222" s="36" t="s">
        <v>40</v>
      </c>
      <c r="AF1222" s="66">
        <v>14.595000000000001</v>
      </c>
      <c r="AG1222" s="66">
        <v>14.715</v>
      </c>
      <c r="AH1222" s="66">
        <f t="shared" si="431"/>
        <v>0.11999999999999922</v>
      </c>
      <c r="AI1222" s="66">
        <v>14.601000000000001</v>
      </c>
      <c r="AJ1222" s="66">
        <f t="shared" si="439"/>
        <v>6.0000000000002274E-3</v>
      </c>
      <c r="AK1222" s="66">
        <f t="shared" si="440"/>
        <v>94.999999999999773</v>
      </c>
      <c r="AL1222" s="11">
        <f t="shared" si="441"/>
        <v>4.7499999999999885</v>
      </c>
      <c r="AM1222" s="11">
        <f t="shared" si="442"/>
        <v>54.913294797687733</v>
      </c>
      <c r="AN1222" s="11">
        <f t="shared" si="443"/>
        <v>4.750852555068394</v>
      </c>
      <c r="AO1222">
        <f t="shared" si="444"/>
        <v>0.5780346820809249</v>
      </c>
      <c r="AP1222" s="7"/>
      <c r="AQ1222" s="7"/>
      <c r="AR1222" s="7"/>
      <c r="AS1222" s="7"/>
    </row>
    <row r="1223" spans="1:45" x14ac:dyDescent="0.2">
      <c r="A1223" s="7" t="s">
        <v>90</v>
      </c>
      <c r="B1223" s="7" t="s">
        <v>324</v>
      </c>
      <c r="C1223" s="7" t="s">
        <v>265</v>
      </c>
      <c r="D1223" s="7" t="s">
        <v>325</v>
      </c>
      <c r="E1223" s="33" t="s">
        <v>81</v>
      </c>
      <c r="F1223" s="7">
        <v>100</v>
      </c>
      <c r="G1223" s="13">
        <v>2.1</v>
      </c>
      <c r="H1223" s="13">
        <v>1.85</v>
      </c>
      <c r="I1223" s="13">
        <v>1</v>
      </c>
      <c r="J1223" s="14">
        <f t="shared" si="429"/>
        <v>3.0619906250000004</v>
      </c>
      <c r="K1223" s="37">
        <v>0.23055555555555549</v>
      </c>
      <c r="L1223" s="12">
        <f t="shared" si="446"/>
        <v>37.686111111111096</v>
      </c>
      <c r="M1223" s="12">
        <f t="shared" si="447"/>
        <v>38.686111111111096</v>
      </c>
      <c r="N1223" s="13">
        <f t="shared" si="448"/>
        <v>38.186111111111096</v>
      </c>
      <c r="O1223" s="13">
        <f t="shared" si="449"/>
        <v>117.686111111111</v>
      </c>
      <c r="P1223" s="13">
        <f t="shared" si="430"/>
        <v>118.686111111111</v>
      </c>
      <c r="Q1223" s="13">
        <f t="shared" si="445"/>
        <v>118.186111111111</v>
      </c>
      <c r="R1223" s="13">
        <v>117.686111111111</v>
      </c>
      <c r="S1223" s="13">
        <v>118.686111111111</v>
      </c>
      <c r="T1223" s="13">
        <v>118.186111111111</v>
      </c>
      <c r="U1223" s="13">
        <f t="shared" si="432"/>
        <v>118.186111111111</v>
      </c>
      <c r="V1223" s="7">
        <v>5.0707000000000004</v>
      </c>
      <c r="W1223" s="7">
        <v>1.8186</v>
      </c>
      <c r="X1223" s="7">
        <v>1.1476266666666699</v>
      </c>
      <c r="Y1223" s="14">
        <f t="shared" si="433"/>
        <v>3.9230733333333303</v>
      </c>
      <c r="Z1223" s="14">
        <f t="shared" si="434"/>
        <v>0.67097333333333009</v>
      </c>
      <c r="AA1223" s="36">
        <f t="shared" si="435"/>
        <v>82.896742519895199</v>
      </c>
      <c r="AB1223" s="36">
        <f t="shared" si="436"/>
        <v>17.103257480104801</v>
      </c>
      <c r="AC1223" s="14">
        <f t="shared" si="437"/>
        <v>1.2812166377332816</v>
      </c>
      <c r="AD1223" s="14">
        <f t="shared" si="438"/>
        <v>0.2191297804294649</v>
      </c>
      <c r="AE1223" s="36" t="s">
        <v>40</v>
      </c>
      <c r="AF1223" s="66">
        <v>15.227</v>
      </c>
      <c r="AG1223" s="66">
        <v>15.339</v>
      </c>
      <c r="AH1223" s="66">
        <f t="shared" si="431"/>
        <v>0.1120000000000001</v>
      </c>
      <c r="AI1223" s="66">
        <v>15.231</v>
      </c>
      <c r="AJ1223" s="66">
        <f t="shared" si="439"/>
        <v>3.9999999999995595E-3</v>
      </c>
      <c r="AK1223" s="66">
        <f t="shared" si="440"/>
        <v>96.428571428571829</v>
      </c>
      <c r="AL1223" s="11">
        <f t="shared" si="441"/>
        <v>4.8214285714285916</v>
      </c>
      <c r="AM1223" s="11">
        <f t="shared" si="442"/>
        <v>55.739058629232275</v>
      </c>
      <c r="AN1223" s="11">
        <f t="shared" si="443"/>
        <v>4.822268498268004</v>
      </c>
      <c r="AO1223">
        <f t="shared" si="444"/>
        <v>0.5780346820809249</v>
      </c>
      <c r="AP1223" s="7"/>
      <c r="AQ1223" s="7"/>
      <c r="AR1223" s="7"/>
      <c r="AS1223" s="7"/>
    </row>
    <row r="1224" spans="1:45" x14ac:dyDescent="0.2">
      <c r="A1224" s="7" t="s">
        <v>90</v>
      </c>
      <c r="B1224" s="7" t="s">
        <v>326</v>
      </c>
      <c r="C1224" s="7" t="s">
        <v>265</v>
      </c>
      <c r="D1224" s="7" t="s">
        <v>327</v>
      </c>
      <c r="E1224" s="33" t="s">
        <v>81</v>
      </c>
      <c r="F1224" s="7">
        <v>101</v>
      </c>
      <c r="G1224" s="13">
        <v>1.85</v>
      </c>
      <c r="H1224" s="13">
        <v>2.2999999999999998</v>
      </c>
      <c r="I1224" s="13">
        <v>1</v>
      </c>
      <c r="J1224" s="14">
        <f t="shared" si="429"/>
        <v>3.3799156250000011</v>
      </c>
      <c r="K1224" s="37">
        <v>0.23055555555555549</v>
      </c>
      <c r="L1224" s="12">
        <f t="shared" si="446"/>
        <v>38.91666666666665</v>
      </c>
      <c r="M1224" s="12">
        <f t="shared" si="447"/>
        <v>39.91666666666665</v>
      </c>
      <c r="N1224" s="13">
        <f t="shared" si="448"/>
        <v>39.41666666666665</v>
      </c>
      <c r="O1224" s="13">
        <f t="shared" si="449"/>
        <v>118.91666666666656</v>
      </c>
      <c r="P1224" s="13">
        <f t="shared" si="430"/>
        <v>119.91666666666656</v>
      </c>
      <c r="Q1224" s="13">
        <f t="shared" si="445"/>
        <v>119.41666666666656</v>
      </c>
      <c r="R1224" s="13">
        <v>118.91666666666656</v>
      </c>
      <c r="S1224" s="13">
        <v>119.91666666666656</v>
      </c>
      <c r="T1224" s="13">
        <v>119.41666666666656</v>
      </c>
      <c r="U1224" s="13">
        <f t="shared" si="432"/>
        <v>119.41666666666656</v>
      </c>
      <c r="V1224" s="7">
        <v>5.8071000000000002</v>
      </c>
      <c r="W1224" s="7">
        <v>1.9287000000000001</v>
      </c>
      <c r="X1224" s="7">
        <v>1.1476266666666699</v>
      </c>
      <c r="Y1224" s="14">
        <f t="shared" si="433"/>
        <v>4.65947333333333</v>
      </c>
      <c r="Z1224" s="14">
        <f t="shared" si="434"/>
        <v>0.78107333333333018</v>
      </c>
      <c r="AA1224" s="36">
        <f t="shared" si="435"/>
        <v>83.23687512608727</v>
      </c>
      <c r="AB1224" s="36">
        <f t="shared" si="436"/>
        <v>16.76312487391273</v>
      </c>
      <c r="AC1224" s="14">
        <f t="shared" si="437"/>
        <v>1.3785768197492589</v>
      </c>
      <c r="AD1224" s="14">
        <f t="shared" si="438"/>
        <v>0.23109255377738311</v>
      </c>
      <c r="AE1224" s="36">
        <f>(W1224-$AS$12)/J1224</f>
        <v>0.57063554656042614</v>
      </c>
      <c r="AF1224" s="66">
        <v>16.744</v>
      </c>
      <c r="AG1224" s="66">
        <v>16.856000000000002</v>
      </c>
      <c r="AH1224" s="66">
        <f t="shared" si="431"/>
        <v>0.11200000000000188</v>
      </c>
      <c r="AI1224" s="66">
        <v>16.745000000000001</v>
      </c>
      <c r="AJ1224" s="66">
        <f t="shared" si="439"/>
        <v>1.0000000000012221E-3</v>
      </c>
      <c r="AK1224" s="66">
        <f t="shared" si="440"/>
        <v>99.107142857141781</v>
      </c>
      <c r="AL1224" s="11">
        <f t="shared" si="441"/>
        <v>4.9553571428570891</v>
      </c>
      <c r="AM1224" s="11">
        <f t="shared" si="442"/>
        <v>57.287365813376759</v>
      </c>
      <c r="AN1224" s="11">
        <f t="shared" si="443"/>
        <v>4.9561743727662337</v>
      </c>
      <c r="AO1224">
        <f t="shared" si="444"/>
        <v>0.5780346820809249</v>
      </c>
      <c r="AP1224" s="7"/>
      <c r="AQ1224" s="7"/>
      <c r="AR1224" s="7"/>
      <c r="AS1224" s="7"/>
    </row>
    <row r="1225" spans="1:45" x14ac:dyDescent="0.2">
      <c r="A1225" s="7" t="s">
        <v>90</v>
      </c>
      <c r="B1225" s="7" t="s">
        <v>328</v>
      </c>
      <c r="C1225" s="7" t="s">
        <v>265</v>
      </c>
      <c r="D1225" s="7" t="s">
        <v>329</v>
      </c>
      <c r="E1225" s="33" t="s">
        <v>81</v>
      </c>
      <c r="F1225" s="7">
        <v>102</v>
      </c>
      <c r="G1225" s="13">
        <v>2.2000000000000002</v>
      </c>
      <c r="H1225" s="13">
        <v>2.1</v>
      </c>
      <c r="I1225" s="13">
        <v>1.1000000000000001</v>
      </c>
      <c r="J1225" s="14">
        <f t="shared" si="429"/>
        <v>3.9915287500000014</v>
      </c>
      <c r="K1225" s="37">
        <v>0.23055555555555549</v>
      </c>
      <c r="L1225" s="12">
        <f t="shared" si="446"/>
        <v>40.147222222222204</v>
      </c>
      <c r="M1225" s="12">
        <f t="shared" si="447"/>
        <v>41.247222222222206</v>
      </c>
      <c r="N1225" s="13">
        <f t="shared" si="448"/>
        <v>40.697222222222209</v>
      </c>
      <c r="O1225" s="13">
        <f t="shared" si="449"/>
        <v>120.14722222222211</v>
      </c>
      <c r="P1225" s="13">
        <f t="shared" si="430"/>
        <v>121.24722222222211</v>
      </c>
      <c r="Q1225" s="13">
        <f t="shared" si="445"/>
        <v>120.69722222222211</v>
      </c>
      <c r="R1225" s="13">
        <v>120.14722222222211</v>
      </c>
      <c r="S1225" s="13">
        <v>121.24722222222211</v>
      </c>
      <c r="T1225" s="13">
        <v>120.69722222222211</v>
      </c>
      <c r="U1225" s="13">
        <f t="shared" si="432"/>
        <v>120.69722222222211</v>
      </c>
      <c r="V1225" s="7">
        <v>6.0820999999999996</v>
      </c>
      <c r="W1225" s="7">
        <v>1.9560999999999999</v>
      </c>
      <c r="X1225" s="7">
        <v>1.1476266666666699</v>
      </c>
      <c r="Y1225" s="14">
        <f t="shared" si="433"/>
        <v>4.9344733333333295</v>
      </c>
      <c r="Z1225" s="14">
        <f t="shared" si="434"/>
        <v>0.80847333333333005</v>
      </c>
      <c r="AA1225" s="36">
        <f t="shared" si="435"/>
        <v>83.615813102647948</v>
      </c>
      <c r="AB1225" s="36">
        <f t="shared" si="436"/>
        <v>16.384186897352052</v>
      </c>
      <c r="AC1225" s="14">
        <f t="shared" si="437"/>
        <v>1.2362364503408194</v>
      </c>
      <c r="AD1225" s="14">
        <f t="shared" si="438"/>
        <v>0.20254729051703055</v>
      </c>
      <c r="AE1225" s="36" t="s">
        <v>40</v>
      </c>
      <c r="AF1225" s="66">
        <v>16.48</v>
      </c>
      <c r="AG1225" s="66">
        <v>16.571999999999999</v>
      </c>
      <c r="AH1225" s="66">
        <f t="shared" si="431"/>
        <v>9.1999999999998749E-2</v>
      </c>
      <c r="AI1225" s="66">
        <v>16.481999999999999</v>
      </c>
      <c r="AJ1225" s="66">
        <f t="shared" si="439"/>
        <v>1.9999999999988916E-3</v>
      </c>
      <c r="AK1225" s="66">
        <f t="shared" si="440"/>
        <v>97.826086956522914</v>
      </c>
      <c r="AL1225" s="11">
        <f t="shared" si="441"/>
        <v>4.8913043478261464</v>
      </c>
      <c r="AM1225" s="11">
        <f t="shared" si="442"/>
        <v>56.546871073134639</v>
      </c>
      <c r="AN1225" s="11">
        <f t="shared" si="443"/>
        <v>4.8921322777560867</v>
      </c>
      <c r="AO1225">
        <f t="shared" si="444"/>
        <v>0.5780346820809249</v>
      </c>
      <c r="AP1225" s="7"/>
      <c r="AQ1225" s="7"/>
      <c r="AR1225" s="7"/>
      <c r="AS1225" s="7"/>
    </row>
    <row r="1226" spans="1:45" x14ac:dyDescent="0.2">
      <c r="A1226" s="7" t="s">
        <v>90</v>
      </c>
      <c r="B1226" s="7" t="s">
        <v>330</v>
      </c>
      <c r="C1226" s="7" t="s">
        <v>265</v>
      </c>
      <c r="D1226" s="7" t="s">
        <v>331</v>
      </c>
      <c r="E1226" s="33" t="s">
        <v>81</v>
      </c>
      <c r="F1226" s="7">
        <v>103</v>
      </c>
      <c r="G1226" s="13">
        <v>2.2000000000000002</v>
      </c>
      <c r="H1226" s="13">
        <v>2</v>
      </c>
      <c r="I1226" s="13">
        <v>1</v>
      </c>
      <c r="J1226" s="14">
        <f t="shared" si="429"/>
        <v>3.4618500000000001</v>
      </c>
      <c r="K1226" s="37">
        <v>0.23055555555555549</v>
      </c>
      <c r="L1226" s="12">
        <f t="shared" si="446"/>
        <v>41.47777777777776</v>
      </c>
      <c r="M1226" s="12">
        <f t="shared" si="447"/>
        <v>42.47777777777776</v>
      </c>
      <c r="N1226" s="13">
        <f t="shared" si="448"/>
        <v>41.97777777777776</v>
      </c>
      <c r="O1226" s="13">
        <f t="shared" si="449"/>
        <v>121.47777777777766</v>
      </c>
      <c r="P1226" s="13">
        <f t="shared" si="430"/>
        <v>122.47777777777766</v>
      </c>
      <c r="Q1226" s="13">
        <f t="shared" si="445"/>
        <v>121.97777777777766</v>
      </c>
      <c r="R1226" s="13">
        <v>121.47777777777766</v>
      </c>
      <c r="S1226" s="13">
        <v>122.47777777777766</v>
      </c>
      <c r="T1226" s="13">
        <v>121.97777777777766</v>
      </c>
      <c r="U1226" s="13">
        <f t="shared" si="432"/>
        <v>121.97777777777766</v>
      </c>
      <c r="V1226" s="7">
        <v>5.7782</v>
      </c>
      <c r="W1226" s="7">
        <v>1.9525999999999999</v>
      </c>
      <c r="X1226" s="7">
        <v>1.1476266666666699</v>
      </c>
      <c r="Y1226" s="14">
        <f t="shared" si="433"/>
        <v>4.6305733333333299</v>
      </c>
      <c r="Z1226" s="14">
        <f t="shared" si="434"/>
        <v>0.80497333333332999</v>
      </c>
      <c r="AA1226" s="36">
        <f t="shared" si="435"/>
        <v>82.616119530195022</v>
      </c>
      <c r="AB1226" s="36">
        <f t="shared" si="436"/>
        <v>17.383880469804978</v>
      </c>
      <c r="AC1226" s="14">
        <f t="shared" si="437"/>
        <v>1.337600801113084</v>
      </c>
      <c r="AD1226" s="14">
        <f t="shared" si="438"/>
        <v>0.2325269244286523</v>
      </c>
      <c r="AE1226" s="36" t="s">
        <v>40</v>
      </c>
      <c r="AF1226" s="66">
        <v>10.601000000000001</v>
      </c>
      <c r="AG1226" s="66">
        <v>10.738</v>
      </c>
      <c r="AH1226" s="66">
        <f t="shared" si="431"/>
        <v>0.13699999999999868</v>
      </c>
      <c r="AI1226" s="66">
        <v>10.608000000000001</v>
      </c>
      <c r="AJ1226" s="66">
        <f t="shared" si="439"/>
        <v>6.9999999999996732E-3</v>
      </c>
      <c r="AK1226" s="66">
        <f t="shared" si="440"/>
        <v>94.890510948905288</v>
      </c>
      <c r="AL1226" s="11">
        <f t="shared" si="441"/>
        <v>4.7445255474452646</v>
      </c>
      <c r="AM1226" s="11">
        <f t="shared" si="442"/>
        <v>54.850006328846995</v>
      </c>
      <c r="AN1226" s="11">
        <f t="shared" si="443"/>
        <v>4.7453790860542204</v>
      </c>
      <c r="AO1226">
        <f t="shared" si="444"/>
        <v>0.5780346820809249</v>
      </c>
      <c r="AP1226" s="7"/>
      <c r="AQ1226" s="7"/>
      <c r="AR1226" s="7"/>
      <c r="AS1226" s="7"/>
    </row>
    <row r="1227" spans="1:45" x14ac:dyDescent="0.2">
      <c r="A1227" s="7" t="s">
        <v>90</v>
      </c>
      <c r="B1227" s="7" t="s">
        <v>332</v>
      </c>
      <c r="C1227" s="7" t="s">
        <v>265</v>
      </c>
      <c r="D1227" s="7" t="s">
        <v>333</v>
      </c>
      <c r="E1227" s="33" t="s">
        <v>81</v>
      </c>
      <c r="F1227" s="7">
        <v>104</v>
      </c>
      <c r="G1227" s="13">
        <v>2</v>
      </c>
      <c r="H1227" s="13">
        <v>2.1</v>
      </c>
      <c r="I1227" s="13">
        <v>1</v>
      </c>
      <c r="J1227" s="14">
        <f t="shared" si="429"/>
        <v>3.2989624999999996</v>
      </c>
      <c r="K1227" s="37">
        <v>0.23055555555555549</v>
      </c>
      <c r="L1227" s="12">
        <f t="shared" si="446"/>
        <v>42.708333333333314</v>
      </c>
      <c r="M1227" s="12">
        <f t="shared" si="447"/>
        <v>43.708333333333314</v>
      </c>
      <c r="N1227" s="13">
        <f t="shared" si="448"/>
        <v>43.208333333333314</v>
      </c>
      <c r="O1227" s="13">
        <f t="shared" si="449"/>
        <v>122.70833333333321</v>
      </c>
      <c r="P1227" s="13">
        <f t="shared" si="430"/>
        <v>123.70833333333321</v>
      </c>
      <c r="Q1227" s="13">
        <f t="shared" si="445"/>
        <v>123.20833333333321</v>
      </c>
      <c r="R1227" s="13">
        <v>122.70833333333321</v>
      </c>
      <c r="S1227" s="13">
        <v>123.70833333333321</v>
      </c>
      <c r="T1227" s="13">
        <v>123.20833333333321</v>
      </c>
      <c r="U1227" s="13">
        <f t="shared" si="432"/>
        <v>123.20833333333321</v>
      </c>
      <c r="V1227" s="7">
        <v>5.9865000000000004</v>
      </c>
      <c r="W1227" s="7">
        <v>1.8415999999999999</v>
      </c>
      <c r="X1227" s="7">
        <v>1.1476266666666699</v>
      </c>
      <c r="Y1227" s="14">
        <f t="shared" si="433"/>
        <v>4.8388733333333303</v>
      </c>
      <c r="Z1227" s="14">
        <f t="shared" si="434"/>
        <v>0.69397333333333</v>
      </c>
      <c r="AA1227" s="36">
        <f t="shared" si="435"/>
        <v>85.658369510257941</v>
      </c>
      <c r="AB1227" s="36">
        <f t="shared" si="436"/>
        <v>14.341630489742059</v>
      </c>
      <c r="AC1227" s="14">
        <f t="shared" si="437"/>
        <v>1.4667864012801997</v>
      </c>
      <c r="AD1227" s="14">
        <f t="shared" si="438"/>
        <v>0.2103610857453912</v>
      </c>
      <c r="AE1227" s="36" t="s">
        <v>40</v>
      </c>
      <c r="AF1227" s="66">
        <v>10.221</v>
      </c>
      <c r="AG1227" s="66">
        <v>10.343</v>
      </c>
      <c r="AH1227" s="66">
        <f t="shared" si="431"/>
        <v>0.12199999999999989</v>
      </c>
      <c r="AI1227" s="66">
        <v>10.228</v>
      </c>
      <c r="AJ1227" s="66">
        <f t="shared" si="439"/>
        <v>6.9999999999996732E-3</v>
      </c>
      <c r="AK1227" s="66">
        <f t="shared" si="440"/>
        <v>94.26229508196748</v>
      </c>
      <c r="AL1227" s="11">
        <f t="shared" si="441"/>
        <v>4.713114754098374</v>
      </c>
      <c r="AM1227" s="11">
        <f t="shared" si="442"/>
        <v>54.486875769923401</v>
      </c>
      <c r="AN1227" s="11">
        <f t="shared" si="443"/>
        <v>4.7139739801254494</v>
      </c>
      <c r="AO1227">
        <f t="shared" si="444"/>
        <v>0.5780346820809249</v>
      </c>
      <c r="AP1227" s="7"/>
      <c r="AQ1227" s="7"/>
      <c r="AR1227" s="7"/>
      <c r="AS1227" s="7"/>
    </row>
    <row r="1228" spans="1:45" x14ac:dyDescent="0.2">
      <c r="A1228" s="7" t="s">
        <v>90</v>
      </c>
      <c r="B1228" s="7" t="s">
        <v>334</v>
      </c>
      <c r="C1228" s="7" t="s">
        <v>265</v>
      </c>
      <c r="D1228" s="7" t="s">
        <v>335</v>
      </c>
      <c r="E1228" s="33" t="s">
        <v>81</v>
      </c>
      <c r="F1228" s="7">
        <v>105</v>
      </c>
      <c r="G1228" s="13">
        <v>2.1</v>
      </c>
      <c r="H1228" s="13">
        <v>2.1</v>
      </c>
      <c r="I1228" s="13">
        <v>1.1000000000000001</v>
      </c>
      <c r="J1228" s="14">
        <f t="shared" si="429"/>
        <v>3.8080350000000007</v>
      </c>
      <c r="K1228" s="37">
        <v>0.23055555555555549</v>
      </c>
      <c r="L1228" s="12">
        <f t="shared" si="446"/>
        <v>43.938888888888869</v>
      </c>
      <c r="M1228" s="12">
        <f t="shared" si="447"/>
        <v>45.03888888888887</v>
      </c>
      <c r="N1228" s="13">
        <f t="shared" si="448"/>
        <v>44.488888888888866</v>
      </c>
      <c r="O1228" s="13">
        <f t="shared" si="449"/>
        <v>123.93888888888877</v>
      </c>
      <c r="P1228" s="13">
        <f t="shared" si="430"/>
        <v>125.03888888888876</v>
      </c>
      <c r="Q1228" s="13">
        <f t="shared" si="445"/>
        <v>124.48888888888877</v>
      </c>
      <c r="R1228" s="13">
        <v>123.93888888888877</v>
      </c>
      <c r="S1228" s="13">
        <v>125.03888888888876</v>
      </c>
      <c r="T1228" s="13">
        <v>124.48888888888877</v>
      </c>
      <c r="U1228" s="13">
        <f t="shared" si="432"/>
        <v>124.48888888888877</v>
      </c>
      <c r="V1228" s="7">
        <v>5.6071</v>
      </c>
      <c r="W1228" s="7">
        <v>1.8392999999999999</v>
      </c>
      <c r="X1228" s="7">
        <v>1.1476266666666699</v>
      </c>
      <c r="Y1228" s="14">
        <f t="shared" si="433"/>
        <v>4.4594733333333298</v>
      </c>
      <c r="Z1228" s="14">
        <f t="shared" si="434"/>
        <v>0.69167333333333003</v>
      </c>
      <c r="AA1228" s="36">
        <f t="shared" si="435"/>
        <v>84.489797748912125</v>
      </c>
      <c r="AB1228" s="36">
        <f t="shared" si="436"/>
        <v>15.510202251087875</v>
      </c>
      <c r="AC1228" s="14">
        <f t="shared" si="437"/>
        <v>1.1710694185671426</v>
      </c>
      <c r="AD1228" s="14">
        <f t="shared" si="438"/>
        <v>0.18163523532040277</v>
      </c>
      <c r="AE1228" s="36" t="s">
        <v>40</v>
      </c>
      <c r="AF1228" s="66">
        <v>10.128</v>
      </c>
      <c r="AG1228" s="66">
        <v>10.266</v>
      </c>
      <c r="AH1228" s="66">
        <f t="shared" si="431"/>
        <v>0.1379999999999999</v>
      </c>
      <c r="AI1228" s="66">
        <v>10.138</v>
      </c>
      <c r="AJ1228" s="66">
        <f t="shared" si="439"/>
        <v>9.9999999999997868E-3</v>
      </c>
      <c r="AK1228" s="66">
        <f t="shared" si="440"/>
        <v>92.753623188405939</v>
      </c>
      <c r="AL1228" s="11">
        <f t="shared" si="441"/>
        <v>4.6376811594202971</v>
      </c>
      <c r="AM1228" s="11">
        <f t="shared" si="442"/>
        <v>53.614811091564128</v>
      </c>
      <c r="AN1228" s="11">
        <f t="shared" si="443"/>
        <v>4.6385543584657913</v>
      </c>
      <c r="AO1228">
        <f t="shared" si="444"/>
        <v>0.5780346820809249</v>
      </c>
      <c r="AP1228" s="7"/>
      <c r="AQ1228" s="7"/>
      <c r="AR1228" s="7"/>
      <c r="AS1228" s="7"/>
    </row>
    <row r="1229" spans="1:45" x14ac:dyDescent="0.2">
      <c r="A1229" s="7" t="s">
        <v>90</v>
      </c>
      <c r="B1229" s="7" t="s">
        <v>336</v>
      </c>
      <c r="C1229" s="7" t="s">
        <v>265</v>
      </c>
      <c r="D1229" s="7" t="s">
        <v>337</v>
      </c>
      <c r="E1229" s="33" t="s">
        <v>81</v>
      </c>
      <c r="F1229" s="7">
        <v>106</v>
      </c>
      <c r="G1229" s="13">
        <v>2.2999999999999998</v>
      </c>
      <c r="H1229" s="13">
        <v>2.2000000000000002</v>
      </c>
      <c r="I1229" s="13">
        <v>1.1000000000000001</v>
      </c>
      <c r="J1229" s="14">
        <f t="shared" si="429"/>
        <v>4.3714687500000009</v>
      </c>
      <c r="K1229" s="37">
        <v>0.23055555555555549</v>
      </c>
      <c r="L1229" s="12">
        <f t="shared" si="446"/>
        <v>45.269444444444424</v>
      </c>
      <c r="M1229" s="12">
        <f t="shared" si="447"/>
        <v>46.369444444444426</v>
      </c>
      <c r="N1229" s="13">
        <f t="shared" si="448"/>
        <v>45.819444444444429</v>
      </c>
      <c r="O1229" s="13">
        <f t="shared" si="449"/>
        <v>125.26944444444432</v>
      </c>
      <c r="P1229" s="13">
        <f t="shared" si="430"/>
        <v>126.36944444444431</v>
      </c>
      <c r="Q1229" s="13">
        <f t="shared" si="445"/>
        <v>125.81944444444431</v>
      </c>
      <c r="R1229" s="13">
        <v>125.26944444444432</v>
      </c>
      <c r="S1229" s="13">
        <v>126.36944444444431</v>
      </c>
      <c r="T1229" s="13">
        <v>125.81944444444431</v>
      </c>
      <c r="U1229" s="13">
        <f t="shared" si="432"/>
        <v>125.81944444444431</v>
      </c>
      <c r="V1229" s="7">
        <v>5.8788999999999998</v>
      </c>
      <c r="W1229" s="7">
        <v>1.9036</v>
      </c>
      <c r="X1229" s="7">
        <v>1.1476266666666699</v>
      </c>
      <c r="Y1229" s="14">
        <f t="shared" si="433"/>
        <v>4.7312733333333297</v>
      </c>
      <c r="Z1229" s="14">
        <f t="shared" si="434"/>
        <v>0.75597333333333006</v>
      </c>
      <c r="AA1229" s="36">
        <f t="shared" si="435"/>
        <v>84.02177849232983</v>
      </c>
      <c r="AB1229" s="36">
        <f t="shared" si="436"/>
        <v>15.97822150767017</v>
      </c>
      <c r="AC1229" s="14">
        <f t="shared" si="437"/>
        <v>1.0823074815148406</v>
      </c>
      <c r="AD1229" s="14">
        <f t="shared" si="438"/>
        <v>0.17293348679052775</v>
      </c>
      <c r="AE1229" s="36" t="s">
        <v>40</v>
      </c>
      <c r="AF1229" s="66">
        <v>12.993</v>
      </c>
      <c r="AG1229" s="66">
        <v>13.090999999999999</v>
      </c>
      <c r="AH1229" s="66">
        <f t="shared" si="431"/>
        <v>9.7999999999998977E-2</v>
      </c>
      <c r="AI1229" s="66">
        <v>12.997999999999999</v>
      </c>
      <c r="AJ1229" s="66">
        <f t="shared" si="439"/>
        <v>4.9999999999990052E-3</v>
      </c>
      <c r="AK1229" s="66">
        <f t="shared" si="440"/>
        <v>94.897959183674431</v>
      </c>
      <c r="AL1229" s="11">
        <f t="shared" si="441"/>
        <v>4.7448979591837217</v>
      </c>
      <c r="AM1229" s="11">
        <f t="shared" si="442"/>
        <v>54.854311666863836</v>
      </c>
      <c r="AN1229" s="11">
        <f t="shared" si="443"/>
        <v>4.7457514308132325</v>
      </c>
      <c r="AO1229">
        <f t="shared" si="444"/>
        <v>0.5780346820809249</v>
      </c>
      <c r="AP1229" s="7"/>
      <c r="AQ1229" s="7"/>
      <c r="AR1229" s="7"/>
      <c r="AS1229" s="7"/>
    </row>
    <row r="1230" spans="1:45" x14ac:dyDescent="0.2">
      <c r="A1230" s="7" t="s">
        <v>90</v>
      </c>
      <c r="B1230" s="7" t="s">
        <v>338</v>
      </c>
      <c r="C1230" s="7" t="s">
        <v>265</v>
      </c>
      <c r="D1230" s="7" t="s">
        <v>339</v>
      </c>
      <c r="E1230" s="33" t="s">
        <v>81</v>
      </c>
      <c r="F1230" s="7">
        <v>107</v>
      </c>
      <c r="G1230" s="13">
        <v>1.8</v>
      </c>
      <c r="H1230" s="13">
        <v>2.8</v>
      </c>
      <c r="I1230" s="13">
        <v>1.9</v>
      </c>
      <c r="J1230" s="14">
        <f t="shared" si="429"/>
        <v>7.8900349999999984</v>
      </c>
      <c r="K1230" s="37">
        <v>0.23055555555555549</v>
      </c>
      <c r="L1230" s="12">
        <f t="shared" si="446"/>
        <v>46.59999999999998</v>
      </c>
      <c r="M1230" s="12">
        <f t="shared" si="447"/>
        <v>48.499999999999979</v>
      </c>
      <c r="N1230" s="13">
        <f t="shared" si="448"/>
        <v>47.549999999999983</v>
      </c>
      <c r="O1230" s="13">
        <f t="shared" si="449"/>
        <v>126.59999999999987</v>
      </c>
      <c r="P1230" s="13">
        <f t="shared" si="430"/>
        <v>128.49999999999986</v>
      </c>
      <c r="Q1230" s="13">
        <f t="shared" si="445"/>
        <v>127.54999999999987</v>
      </c>
      <c r="R1230" s="13">
        <v>126.59999999999987</v>
      </c>
      <c r="S1230" s="13">
        <v>128.49999999999986</v>
      </c>
      <c r="T1230" s="13">
        <v>127.54999999999987</v>
      </c>
      <c r="U1230" s="13">
        <f t="shared" si="432"/>
        <v>127.54999999999987</v>
      </c>
      <c r="V1230" s="7">
        <v>8.5934000000000008</v>
      </c>
      <c r="W1230" s="7">
        <v>2.2938000000000001</v>
      </c>
      <c r="X1230" s="7">
        <v>1.1476266666666699</v>
      </c>
      <c r="Y1230" s="14">
        <f t="shared" si="433"/>
        <v>7.4457733333333307</v>
      </c>
      <c r="Z1230" s="14">
        <f t="shared" si="434"/>
        <v>1.1461733333333302</v>
      </c>
      <c r="AA1230" s="36">
        <f t="shared" si="435"/>
        <v>84.606389665367232</v>
      </c>
      <c r="AB1230" s="36">
        <f t="shared" si="436"/>
        <v>15.393610334632768</v>
      </c>
      <c r="AC1230" s="14">
        <f t="shared" si="437"/>
        <v>0.9436933211745363</v>
      </c>
      <c r="AD1230" s="14">
        <f t="shared" si="438"/>
        <v>0.14526847261556258</v>
      </c>
      <c r="AE1230" s="36" t="s">
        <v>40</v>
      </c>
      <c r="AF1230" s="66">
        <v>10.333</v>
      </c>
      <c r="AG1230" s="66">
        <v>10.47</v>
      </c>
      <c r="AH1230" s="66">
        <f t="shared" si="431"/>
        <v>0.13700000000000045</v>
      </c>
      <c r="AI1230" s="66">
        <v>10.339</v>
      </c>
      <c r="AJ1230" s="66">
        <f t="shared" si="439"/>
        <v>6.0000000000002274E-3</v>
      </c>
      <c r="AK1230" s="66">
        <f t="shared" si="440"/>
        <v>95.620437956204228</v>
      </c>
      <c r="AL1230" s="11">
        <f t="shared" si="441"/>
        <v>4.7810218978102119</v>
      </c>
      <c r="AM1230" s="11">
        <f t="shared" si="442"/>
        <v>55.271929454453314</v>
      </c>
      <c r="AN1230" s="11">
        <f t="shared" si="443"/>
        <v>4.7818689220158221</v>
      </c>
      <c r="AO1230">
        <f t="shared" si="444"/>
        <v>0.5780346820809249</v>
      </c>
      <c r="AP1230" s="7"/>
      <c r="AQ1230" s="7"/>
      <c r="AR1230" s="7"/>
      <c r="AS1230" s="7"/>
    </row>
    <row r="1231" spans="1:45" x14ac:dyDescent="0.2">
      <c r="A1231" s="7" t="s">
        <v>90</v>
      </c>
      <c r="B1231" s="7" t="s">
        <v>340</v>
      </c>
      <c r="C1231" s="7" t="s">
        <v>341</v>
      </c>
      <c r="D1231" s="7" t="s">
        <v>342</v>
      </c>
      <c r="E1231" s="33" t="s">
        <v>82</v>
      </c>
      <c r="F1231" s="7">
        <v>108</v>
      </c>
      <c r="G1231" s="13">
        <v>1.8</v>
      </c>
      <c r="H1231" s="13">
        <v>2.1</v>
      </c>
      <c r="I1231" s="13">
        <v>0.9</v>
      </c>
      <c r="J1231" s="14">
        <f t="shared" si="429"/>
        <v>2.6864662500000005</v>
      </c>
      <c r="K1231" s="37">
        <v>0.21944444444444441</v>
      </c>
      <c r="L1231" s="3">
        <v>0</v>
      </c>
      <c r="M1231" s="12">
        <f>L1231+I1231</f>
        <v>0.9</v>
      </c>
      <c r="N1231" s="13">
        <f>L1231+((M1231-L1231)/2)</f>
        <v>0.45</v>
      </c>
      <c r="O1231" s="13">
        <v>120</v>
      </c>
      <c r="P1231" s="13">
        <f t="shared" si="430"/>
        <v>120.9</v>
      </c>
      <c r="Q1231" s="13">
        <f t="shared" si="445"/>
        <v>120.45</v>
      </c>
      <c r="R1231" s="13">
        <v>120</v>
      </c>
      <c r="S1231" s="13">
        <v>120.9</v>
      </c>
      <c r="T1231" s="13">
        <v>120.45</v>
      </c>
      <c r="U1231" s="13">
        <f t="shared" si="432"/>
        <v>120.45</v>
      </c>
      <c r="V1231" s="7">
        <v>4.1214000000000004</v>
      </c>
      <c r="W1231" s="7">
        <v>1.6262000000000001</v>
      </c>
      <c r="X1231" s="7">
        <v>1.1476266666666699</v>
      </c>
      <c r="Y1231" s="14">
        <f t="shared" si="433"/>
        <v>2.9737733333333303</v>
      </c>
      <c r="Z1231" s="14">
        <f t="shared" si="434"/>
        <v>0.47857333333333019</v>
      </c>
      <c r="AA1231" s="36">
        <f t="shared" si="435"/>
        <v>83.906865800128315</v>
      </c>
      <c r="AB1231" s="36">
        <f t="shared" si="436"/>
        <v>16.093134199871685</v>
      </c>
      <c r="AC1231" s="14">
        <f t="shared" si="437"/>
        <v>1.1069460981813302</v>
      </c>
      <c r="AD1231" s="14">
        <f t="shared" si="438"/>
        <v>0.17814232110056477</v>
      </c>
      <c r="AE1231" s="36" t="s">
        <v>40</v>
      </c>
      <c r="AF1231" s="66">
        <v>9.5220000000000002</v>
      </c>
      <c r="AG1231" s="66">
        <v>9.6069999999999993</v>
      </c>
      <c r="AH1231" s="66">
        <f t="shared" si="431"/>
        <v>8.4999999999999076E-2</v>
      </c>
      <c r="AI1231" s="66">
        <v>9.5250000000000004</v>
      </c>
      <c r="AJ1231" s="66">
        <f t="shared" si="439"/>
        <v>3.0000000000001137E-3</v>
      </c>
      <c r="AK1231" s="66">
        <f t="shared" si="440"/>
        <v>96.470588235293945</v>
      </c>
      <c r="AL1231" s="11">
        <f t="shared" si="441"/>
        <v>4.8235294117646976</v>
      </c>
      <c r="AM1231" s="11">
        <f t="shared" si="442"/>
        <v>55.763345800747949</v>
      </c>
      <c r="AN1231" s="11">
        <f t="shared" si="443"/>
        <v>4.8243689728459911</v>
      </c>
      <c r="AO1231">
        <f t="shared" si="444"/>
        <v>0.5780346820809249</v>
      </c>
      <c r="AP1231" s="7"/>
      <c r="AQ1231" s="7"/>
      <c r="AR1231" s="67" t="s">
        <v>43</v>
      </c>
      <c r="AS1231" s="3">
        <v>49</v>
      </c>
    </row>
    <row r="1232" spans="1:45" x14ac:dyDescent="0.2">
      <c r="A1232" s="7" t="s">
        <v>90</v>
      </c>
      <c r="B1232" s="7" t="s">
        <v>343</v>
      </c>
      <c r="C1232" s="7" t="s">
        <v>341</v>
      </c>
      <c r="D1232" s="7" t="s">
        <v>344</v>
      </c>
      <c r="E1232" s="33" t="s">
        <v>82</v>
      </c>
      <c r="F1232" s="7">
        <v>109</v>
      </c>
      <c r="G1232" s="13">
        <v>1.95</v>
      </c>
      <c r="H1232" s="13">
        <v>2.2999999999999998</v>
      </c>
      <c r="I1232" s="13">
        <v>1.1000000000000001</v>
      </c>
      <c r="J1232" s="14">
        <f t="shared" si="429"/>
        <v>3.8992421875000005</v>
      </c>
      <c r="K1232" s="37">
        <v>0.21944444444444441</v>
      </c>
      <c r="L1232" s="12">
        <f>M1231+K1232</f>
        <v>1.1194444444444445</v>
      </c>
      <c r="M1232" s="12">
        <f>L1232+I1232</f>
        <v>2.2194444444444446</v>
      </c>
      <c r="N1232" s="13">
        <f>L1232+((M1232-L1232)/2)</f>
        <v>1.6694444444444445</v>
      </c>
      <c r="O1232" s="13">
        <f>P1231+K1232</f>
        <v>121.11944444444445</v>
      </c>
      <c r="P1232" s="13">
        <f t="shared" si="430"/>
        <v>122.21944444444445</v>
      </c>
      <c r="Q1232" s="13">
        <f t="shared" si="445"/>
        <v>121.66944444444445</v>
      </c>
      <c r="R1232" s="13">
        <v>121.11944444444445</v>
      </c>
      <c r="S1232" s="13">
        <v>122.21944444444445</v>
      </c>
      <c r="T1232" s="13">
        <v>121.66944444444445</v>
      </c>
      <c r="U1232" s="13">
        <f t="shared" si="432"/>
        <v>121.66944444444445</v>
      </c>
      <c r="V1232" s="7">
        <v>5.2962999999999996</v>
      </c>
      <c r="W1232" s="7">
        <v>1.7708999999999999</v>
      </c>
      <c r="X1232" s="7">
        <v>1.1476266666666699</v>
      </c>
      <c r="Y1232" s="14">
        <f t="shared" si="433"/>
        <v>4.1486733333333294</v>
      </c>
      <c r="Z1232" s="14">
        <f t="shared" si="434"/>
        <v>0.62327333333333002</v>
      </c>
      <c r="AA1232" s="36">
        <f t="shared" si="435"/>
        <v>84.976562788746989</v>
      </c>
      <c r="AB1232" s="36">
        <f t="shared" si="436"/>
        <v>15.023437211253011</v>
      </c>
      <c r="AC1232" s="14">
        <f t="shared" si="437"/>
        <v>1.0639691339596558</v>
      </c>
      <c r="AD1232" s="14">
        <f t="shared" si="438"/>
        <v>0.1598447347875413</v>
      </c>
      <c r="AE1232" s="36" t="s">
        <v>40</v>
      </c>
      <c r="AF1232" s="66">
        <v>10.672000000000001</v>
      </c>
      <c r="AG1232" s="66">
        <v>10.776</v>
      </c>
      <c r="AH1232" s="66">
        <f t="shared" si="431"/>
        <v>0.1039999999999992</v>
      </c>
      <c r="AI1232" s="66">
        <v>10.679</v>
      </c>
      <c r="AJ1232" s="66">
        <f t="shared" si="439"/>
        <v>6.9999999999996732E-3</v>
      </c>
      <c r="AK1232" s="66">
        <f t="shared" si="440"/>
        <v>93.269230769231044</v>
      </c>
      <c r="AL1232" s="11">
        <f t="shared" si="441"/>
        <v>4.6634615384615525</v>
      </c>
      <c r="AM1232" s="11">
        <f t="shared" si="442"/>
        <v>53.912850155624888</v>
      </c>
      <c r="AN1232" s="11">
        <f t="shared" si="443"/>
        <v>4.664329911220924</v>
      </c>
      <c r="AO1232">
        <f t="shared" si="444"/>
        <v>0.5780346820809249</v>
      </c>
      <c r="AP1232" s="7"/>
      <c r="AQ1232" s="7"/>
      <c r="AR1232" s="67" t="s">
        <v>44</v>
      </c>
      <c r="AS1232" s="3" t="s">
        <v>56</v>
      </c>
    </row>
    <row r="1233" spans="1:45" x14ac:dyDescent="0.2">
      <c r="A1233" s="7" t="s">
        <v>90</v>
      </c>
      <c r="B1233" s="7" t="s">
        <v>345</v>
      </c>
      <c r="C1233" s="7" t="s">
        <v>341</v>
      </c>
      <c r="D1233" s="7" t="s">
        <v>346</v>
      </c>
      <c r="E1233" s="33" t="s">
        <v>82</v>
      </c>
      <c r="F1233" s="7">
        <v>110</v>
      </c>
      <c r="G1233" s="13">
        <v>1.95</v>
      </c>
      <c r="H1233" s="13">
        <v>2.25</v>
      </c>
      <c r="I1233" s="13">
        <v>1.1000000000000001</v>
      </c>
      <c r="J1233" s="14">
        <f t="shared" si="429"/>
        <v>3.8080350000000007</v>
      </c>
      <c r="K1233" s="37">
        <v>0.21944444444444441</v>
      </c>
      <c r="L1233" s="12">
        <f t="shared" ref="L1233:L1267" si="450">M1232+K1233</f>
        <v>2.4388888888888891</v>
      </c>
      <c r="M1233" s="12">
        <f t="shared" ref="M1233:M1267" si="451">L1233+I1233</f>
        <v>3.5388888888888892</v>
      </c>
      <c r="N1233" s="13">
        <f t="shared" ref="N1233:N1267" si="452">L1233+((M1233-L1233)/2)</f>
        <v>2.9888888888888889</v>
      </c>
      <c r="O1233" s="13">
        <f t="shared" ref="O1233:O1267" si="453">P1232+K1233</f>
        <v>122.4388888888889</v>
      </c>
      <c r="P1233" s="13">
        <f t="shared" si="430"/>
        <v>123.53888888888889</v>
      </c>
      <c r="Q1233" s="13">
        <f t="shared" si="445"/>
        <v>122.98888888888889</v>
      </c>
      <c r="R1233" s="13">
        <v>122.4388888888889</v>
      </c>
      <c r="S1233" s="13">
        <v>123.53888888888889</v>
      </c>
      <c r="T1233" s="13">
        <v>122.98888888888889</v>
      </c>
      <c r="U1233" s="13">
        <f t="shared" si="432"/>
        <v>122.98888888888889</v>
      </c>
      <c r="V1233" s="7">
        <v>4.9903000000000004</v>
      </c>
      <c r="W1233" s="7">
        <v>1.7129000000000001</v>
      </c>
      <c r="X1233" s="7">
        <v>1.1476266666666699</v>
      </c>
      <c r="Y1233" s="14">
        <f t="shared" si="433"/>
        <v>3.8426733333333303</v>
      </c>
      <c r="Z1233" s="14">
        <f t="shared" si="434"/>
        <v>0.56527333333333019</v>
      </c>
      <c r="AA1233" s="36">
        <f t="shared" si="435"/>
        <v>85.289581385181563</v>
      </c>
      <c r="AB1233" s="36">
        <f t="shared" si="436"/>
        <v>14.710418614818437</v>
      </c>
      <c r="AC1233" s="14">
        <f t="shared" si="437"/>
        <v>1.0090961173763711</v>
      </c>
      <c r="AD1233" s="14">
        <f t="shared" si="438"/>
        <v>0.14844226309194378</v>
      </c>
      <c r="AE1233" s="36">
        <f>(W1233-$AS$12)/J1233</f>
        <v>0.44981204216873</v>
      </c>
      <c r="AF1233" s="66">
        <v>10.195</v>
      </c>
      <c r="AG1233" s="66">
        <v>10.285</v>
      </c>
      <c r="AH1233" s="66">
        <f t="shared" si="431"/>
        <v>8.9999999999999858E-2</v>
      </c>
      <c r="AI1233" s="66">
        <v>10.201000000000001</v>
      </c>
      <c r="AJ1233" s="66">
        <f t="shared" si="439"/>
        <v>6.0000000000002274E-3</v>
      </c>
      <c r="AK1233" s="66">
        <f t="shared" si="440"/>
        <v>93.333333333333073</v>
      </c>
      <c r="AL1233" s="11">
        <f t="shared" si="441"/>
        <v>4.6666666666666536</v>
      </c>
      <c r="AM1233" s="11">
        <f t="shared" si="442"/>
        <v>53.949903660886172</v>
      </c>
      <c r="AN1233" s="11">
        <f t="shared" si="443"/>
        <v>4.6675344431270842</v>
      </c>
      <c r="AO1233">
        <f t="shared" si="444"/>
        <v>0.5780346820809249</v>
      </c>
      <c r="AP1233" s="7"/>
      <c r="AQ1233" s="7"/>
      <c r="AR1233" s="67" t="s">
        <v>46</v>
      </c>
      <c r="AS1233" s="12">
        <f>SUM(I1231:I1267)</f>
        <v>41.1</v>
      </c>
    </row>
    <row r="1234" spans="1:45" x14ac:dyDescent="0.2">
      <c r="A1234" s="7" t="s">
        <v>90</v>
      </c>
      <c r="B1234" s="7" t="s">
        <v>347</v>
      </c>
      <c r="C1234" s="7" t="s">
        <v>341</v>
      </c>
      <c r="D1234" s="7" t="s">
        <v>348</v>
      </c>
      <c r="E1234" s="33" t="s">
        <v>82</v>
      </c>
      <c r="F1234" s="7">
        <v>111</v>
      </c>
      <c r="G1234" s="13">
        <v>2.0499999999999998</v>
      </c>
      <c r="H1234" s="13">
        <v>2.2999999999999998</v>
      </c>
      <c r="I1234" s="13">
        <v>1</v>
      </c>
      <c r="J1234" s="14">
        <f t="shared" si="429"/>
        <v>3.7135406249999994</v>
      </c>
      <c r="K1234" s="37">
        <v>0.21944444444444441</v>
      </c>
      <c r="L1234" s="12">
        <f t="shared" si="450"/>
        <v>3.7583333333333337</v>
      </c>
      <c r="M1234" s="12">
        <f t="shared" si="451"/>
        <v>4.7583333333333337</v>
      </c>
      <c r="N1234" s="13">
        <f t="shared" si="452"/>
        <v>4.2583333333333337</v>
      </c>
      <c r="O1234" s="13">
        <f t="shared" si="453"/>
        <v>123.75833333333334</v>
      </c>
      <c r="P1234" s="13">
        <f t="shared" si="430"/>
        <v>124.75833333333334</v>
      </c>
      <c r="Q1234" s="13">
        <f t="shared" si="445"/>
        <v>124.25833333333334</v>
      </c>
      <c r="R1234" s="13">
        <v>123.75833333333334</v>
      </c>
      <c r="S1234" s="13">
        <v>124.75833333333334</v>
      </c>
      <c r="T1234" s="13">
        <v>124.25833333333334</v>
      </c>
      <c r="U1234" s="13">
        <f t="shared" si="432"/>
        <v>124.25833333333334</v>
      </c>
      <c r="V1234" s="7">
        <v>5.3432000000000004</v>
      </c>
      <c r="W1234" s="7">
        <v>1.8035000000000001</v>
      </c>
      <c r="X1234" s="7">
        <v>1.1476266666666699</v>
      </c>
      <c r="Y1234" s="14">
        <f t="shared" si="433"/>
        <v>4.1955733333333303</v>
      </c>
      <c r="Z1234" s="14">
        <f t="shared" si="434"/>
        <v>0.6558733333333302</v>
      </c>
      <c r="AA1234" s="36">
        <f t="shared" si="435"/>
        <v>84.367492086897997</v>
      </c>
      <c r="AB1234" s="36">
        <f t="shared" si="436"/>
        <v>15.632507913102003</v>
      </c>
      <c r="AC1234" s="14">
        <f t="shared" si="437"/>
        <v>1.129804075681367</v>
      </c>
      <c r="AD1234" s="14">
        <f t="shared" si="438"/>
        <v>0.17661671153343861</v>
      </c>
      <c r="AE1234" s="36" t="s">
        <v>40</v>
      </c>
      <c r="AF1234" s="66">
        <v>9.2509999999999994</v>
      </c>
      <c r="AG1234" s="66">
        <v>9.3740000000000006</v>
      </c>
      <c r="AH1234" s="66">
        <f t="shared" si="431"/>
        <v>0.12300000000000111</v>
      </c>
      <c r="AI1234" s="66">
        <v>9.2620000000000005</v>
      </c>
      <c r="AJ1234" s="66">
        <f t="shared" si="439"/>
        <v>1.1000000000001009E-2</v>
      </c>
      <c r="AK1234" s="66">
        <f t="shared" si="440"/>
        <v>91.056910569104957</v>
      </c>
      <c r="AL1234" s="11">
        <f t="shared" si="441"/>
        <v>4.552845528455248</v>
      </c>
      <c r="AM1234" s="11">
        <f t="shared" si="442"/>
        <v>52.634052352083792</v>
      </c>
      <c r="AN1234" s="11">
        <f t="shared" si="443"/>
        <v>4.5537349951413448</v>
      </c>
      <c r="AO1234">
        <f t="shared" si="444"/>
        <v>0.5780346820809249</v>
      </c>
      <c r="AP1234" s="7"/>
      <c r="AQ1234" s="7"/>
      <c r="AR1234" s="67" t="s">
        <v>47</v>
      </c>
      <c r="AS1234" s="12">
        <f>AS1231-AS1233</f>
        <v>7.8999999999999986</v>
      </c>
    </row>
    <row r="1235" spans="1:45" x14ac:dyDescent="0.2">
      <c r="A1235" s="7" t="s">
        <v>90</v>
      </c>
      <c r="B1235" s="7" t="s">
        <v>349</v>
      </c>
      <c r="C1235" s="7" t="s">
        <v>341</v>
      </c>
      <c r="D1235" s="7" t="s">
        <v>350</v>
      </c>
      <c r="E1235" s="33" t="s">
        <v>82</v>
      </c>
      <c r="F1235" s="7">
        <v>112</v>
      </c>
      <c r="G1235" s="13">
        <v>2.1</v>
      </c>
      <c r="H1235" s="13">
        <v>2.4</v>
      </c>
      <c r="I1235" s="13">
        <v>1.1000000000000001</v>
      </c>
      <c r="J1235" s="14">
        <f t="shared" si="429"/>
        <v>4.3714687500000009</v>
      </c>
      <c r="K1235" s="37">
        <v>0.21944444444444441</v>
      </c>
      <c r="L1235" s="12">
        <f t="shared" si="450"/>
        <v>4.9777777777777779</v>
      </c>
      <c r="M1235" s="12">
        <f t="shared" si="451"/>
        <v>6.0777777777777775</v>
      </c>
      <c r="N1235" s="13">
        <f t="shared" si="452"/>
        <v>5.5277777777777777</v>
      </c>
      <c r="O1235" s="13">
        <f t="shared" si="453"/>
        <v>124.97777777777779</v>
      </c>
      <c r="P1235" s="13">
        <f t="shared" si="430"/>
        <v>126.07777777777778</v>
      </c>
      <c r="Q1235" s="13">
        <f t="shared" si="445"/>
        <v>125.52777777777779</v>
      </c>
      <c r="R1235" s="13">
        <v>124.97777777777779</v>
      </c>
      <c r="S1235" s="13">
        <v>126.07777777777778</v>
      </c>
      <c r="T1235" s="13">
        <v>125.52777777777779</v>
      </c>
      <c r="U1235" s="13">
        <f t="shared" si="432"/>
        <v>125.52777777777779</v>
      </c>
      <c r="V1235" s="7">
        <v>5.5373000000000001</v>
      </c>
      <c r="W1235" s="7">
        <v>1.7821</v>
      </c>
      <c r="X1235" s="7">
        <v>1.1476266666666699</v>
      </c>
      <c r="Y1235" s="14">
        <f t="shared" si="433"/>
        <v>4.38967333333333</v>
      </c>
      <c r="Z1235" s="14">
        <f t="shared" si="434"/>
        <v>0.63447333333333011</v>
      </c>
      <c r="AA1235" s="36">
        <f t="shared" si="435"/>
        <v>85.546228952496151</v>
      </c>
      <c r="AB1235" s="36">
        <f t="shared" si="436"/>
        <v>14.453771047503849</v>
      </c>
      <c r="AC1235" s="14">
        <f t="shared" si="437"/>
        <v>1.0041644088919379</v>
      </c>
      <c r="AD1235" s="14">
        <f t="shared" si="438"/>
        <v>0.14513962460176114</v>
      </c>
      <c r="AE1235" s="36" t="s">
        <v>40</v>
      </c>
      <c r="AF1235" s="66">
        <v>9.3719999999999999</v>
      </c>
      <c r="AG1235" s="66">
        <v>9.4779999999999998</v>
      </c>
      <c r="AH1235" s="66">
        <f t="shared" si="431"/>
        <v>0.10599999999999987</v>
      </c>
      <c r="AI1235" s="66">
        <v>9.3789999999999996</v>
      </c>
      <c r="AJ1235" s="66">
        <f t="shared" si="439"/>
        <v>6.9999999999996732E-3</v>
      </c>
      <c r="AK1235" s="66">
        <f t="shared" si="440"/>
        <v>93.396226415094645</v>
      </c>
      <c r="AL1235" s="11">
        <f t="shared" si="441"/>
        <v>4.6698113207547323</v>
      </c>
      <c r="AM1235" s="11">
        <f t="shared" si="442"/>
        <v>53.986258043407311</v>
      </c>
      <c r="AN1235" s="11">
        <f t="shared" si="443"/>
        <v>4.6706785129624429</v>
      </c>
      <c r="AO1235">
        <f t="shared" si="444"/>
        <v>0.5780346820809249</v>
      </c>
      <c r="AP1235" s="7"/>
      <c r="AQ1235" s="7"/>
      <c r="AR1235" s="67" t="s">
        <v>48</v>
      </c>
      <c r="AS1235" s="3">
        <v>36</v>
      </c>
    </row>
    <row r="1236" spans="1:45" x14ac:dyDescent="0.2">
      <c r="A1236" s="7" t="s">
        <v>90</v>
      </c>
      <c r="B1236" s="7" t="s">
        <v>351</v>
      </c>
      <c r="C1236" s="7" t="s">
        <v>341</v>
      </c>
      <c r="D1236" s="7" t="s">
        <v>352</v>
      </c>
      <c r="E1236" s="33" t="s">
        <v>82</v>
      </c>
      <c r="F1236" s="7">
        <v>113</v>
      </c>
      <c r="G1236" s="13">
        <v>2.1</v>
      </c>
      <c r="H1236" s="13">
        <v>2.2000000000000002</v>
      </c>
      <c r="I1236" s="13">
        <v>1.2</v>
      </c>
      <c r="J1236" s="14">
        <f t="shared" si="429"/>
        <v>4.3543950000000011</v>
      </c>
      <c r="K1236" s="37">
        <v>0.21944444444444441</v>
      </c>
      <c r="L1236" s="12">
        <f t="shared" si="450"/>
        <v>6.2972222222222216</v>
      </c>
      <c r="M1236" s="12">
        <f t="shared" si="451"/>
        <v>7.4972222222222218</v>
      </c>
      <c r="N1236" s="13">
        <f t="shared" si="452"/>
        <v>6.8972222222222221</v>
      </c>
      <c r="O1236" s="13">
        <f t="shared" si="453"/>
        <v>126.29722222222223</v>
      </c>
      <c r="P1236" s="13">
        <f t="shared" si="430"/>
        <v>127.49722222222223</v>
      </c>
      <c r="Q1236" s="13">
        <f t="shared" si="445"/>
        <v>126.89722222222224</v>
      </c>
      <c r="R1236" s="13">
        <v>126.29722222222223</v>
      </c>
      <c r="S1236" s="13">
        <v>127.49722222222223</v>
      </c>
      <c r="T1236" s="13">
        <v>126.89722222222224</v>
      </c>
      <c r="U1236" s="13">
        <f t="shared" si="432"/>
        <v>126.89722222222224</v>
      </c>
      <c r="V1236" s="7">
        <v>5.7351999999999999</v>
      </c>
      <c r="W1236" s="7">
        <v>1.7608999999999999</v>
      </c>
      <c r="X1236" s="7">
        <v>1.1476266666666699</v>
      </c>
      <c r="Y1236" s="14">
        <f t="shared" si="433"/>
        <v>4.5875733333333297</v>
      </c>
      <c r="Z1236" s="14">
        <f t="shared" si="434"/>
        <v>0.61327333333333001</v>
      </c>
      <c r="AA1236" s="36">
        <f t="shared" si="435"/>
        <v>86.631857656044801</v>
      </c>
      <c r="AB1236" s="36">
        <f t="shared" si="436"/>
        <v>13.368142343955199</v>
      </c>
      <c r="AC1236" s="14">
        <f t="shared" si="437"/>
        <v>1.0535501104822436</v>
      </c>
      <c r="AD1236" s="14">
        <f t="shared" si="438"/>
        <v>0.1408400784341636</v>
      </c>
      <c r="AE1236" s="36" t="s">
        <v>40</v>
      </c>
      <c r="AF1236" s="66">
        <v>10.276</v>
      </c>
      <c r="AG1236" s="66">
        <v>10.397</v>
      </c>
      <c r="AH1236" s="66">
        <f t="shared" si="431"/>
        <v>0.12100000000000044</v>
      </c>
      <c r="AI1236" s="66">
        <v>10.281000000000001</v>
      </c>
      <c r="AJ1236" s="66">
        <f t="shared" si="439"/>
        <v>5.0000000000007816E-3</v>
      </c>
      <c r="AK1236" s="66">
        <f t="shared" si="440"/>
        <v>95.867768595040687</v>
      </c>
      <c r="AL1236" s="11">
        <f t="shared" si="441"/>
        <v>4.7933884297520342</v>
      </c>
      <c r="AM1236" s="11">
        <f t="shared" si="442"/>
        <v>55.41489514164202</v>
      </c>
      <c r="AN1236" s="11">
        <f t="shared" si="443"/>
        <v>4.7942332690932625</v>
      </c>
      <c r="AO1236">
        <f t="shared" si="444"/>
        <v>0.5780346820809249</v>
      </c>
      <c r="AP1236" s="7"/>
      <c r="AQ1236" s="7"/>
      <c r="AR1236" s="67" t="s">
        <v>49</v>
      </c>
      <c r="AS1236" s="9">
        <f>AS1234/AS1235</f>
        <v>0.21944444444444441</v>
      </c>
    </row>
    <row r="1237" spans="1:45" x14ac:dyDescent="0.2">
      <c r="A1237" s="7" t="s">
        <v>90</v>
      </c>
      <c r="B1237" s="7" t="s">
        <v>353</v>
      </c>
      <c r="C1237" s="7" t="s">
        <v>341</v>
      </c>
      <c r="D1237" s="7" t="s">
        <v>354</v>
      </c>
      <c r="E1237" s="33" t="s">
        <v>82</v>
      </c>
      <c r="F1237" s="7">
        <v>114</v>
      </c>
      <c r="G1237" s="13">
        <v>2.1</v>
      </c>
      <c r="H1237" s="13">
        <v>2.35</v>
      </c>
      <c r="I1237" s="13">
        <v>1</v>
      </c>
      <c r="J1237" s="14">
        <f t="shared" si="429"/>
        <v>3.8862406250000006</v>
      </c>
      <c r="K1237" s="37">
        <v>0.21944444444444441</v>
      </c>
      <c r="L1237" s="12">
        <f t="shared" si="450"/>
        <v>7.7166666666666659</v>
      </c>
      <c r="M1237" s="12">
        <f t="shared" si="451"/>
        <v>8.716666666666665</v>
      </c>
      <c r="N1237" s="13">
        <f t="shared" si="452"/>
        <v>8.216666666666665</v>
      </c>
      <c r="O1237" s="13">
        <f t="shared" si="453"/>
        <v>127.71666666666668</v>
      </c>
      <c r="P1237" s="13">
        <f t="shared" si="430"/>
        <v>128.7166666666667</v>
      </c>
      <c r="Q1237" s="13">
        <f t="shared" si="445"/>
        <v>128.2166666666667</v>
      </c>
      <c r="R1237" s="13">
        <v>127.71666666666668</v>
      </c>
      <c r="S1237" s="13">
        <v>128.7166666666667</v>
      </c>
      <c r="T1237" s="13">
        <v>128.2166666666667</v>
      </c>
      <c r="U1237" s="13">
        <f t="shared" si="432"/>
        <v>128.2166666666667</v>
      </c>
      <c r="V1237" s="7">
        <v>5.7290999999999999</v>
      </c>
      <c r="W1237" s="7">
        <v>1.7376</v>
      </c>
      <c r="X1237" s="7">
        <v>1.1476266666666699</v>
      </c>
      <c r="Y1237" s="14">
        <f t="shared" si="433"/>
        <v>4.5814733333333297</v>
      </c>
      <c r="Z1237" s="14">
        <f t="shared" si="434"/>
        <v>0.58997333333333013</v>
      </c>
      <c r="AA1237" s="36">
        <f t="shared" si="435"/>
        <v>87.122628674036491</v>
      </c>
      <c r="AB1237" s="36">
        <f t="shared" si="436"/>
        <v>12.877371325963509</v>
      </c>
      <c r="AC1237" s="14">
        <f t="shared" si="437"/>
        <v>1.1788959499473426</v>
      </c>
      <c r="AD1237" s="14">
        <f t="shared" si="438"/>
        <v>0.15181080902146404</v>
      </c>
      <c r="AE1237" s="36" t="s">
        <v>40</v>
      </c>
      <c r="AF1237" s="66">
        <v>9.5679999999999996</v>
      </c>
      <c r="AG1237" s="66">
        <v>9.7040000000000006</v>
      </c>
      <c r="AH1237" s="66">
        <f t="shared" si="431"/>
        <v>0.13600000000000101</v>
      </c>
      <c r="AI1237" s="66">
        <v>9.5749999999999993</v>
      </c>
      <c r="AJ1237" s="66">
        <f t="shared" si="439"/>
        <v>6.9999999999996732E-3</v>
      </c>
      <c r="AK1237" s="66">
        <f t="shared" si="440"/>
        <v>94.852941176470864</v>
      </c>
      <c r="AL1237" s="11">
        <f t="shared" si="441"/>
        <v>4.7426470588235432</v>
      </c>
      <c r="AM1237" s="11">
        <f t="shared" si="442"/>
        <v>54.828289697382004</v>
      </c>
      <c r="AN1237" s="11">
        <f t="shared" si="443"/>
        <v>4.7435009354450015</v>
      </c>
      <c r="AO1237">
        <f t="shared" si="444"/>
        <v>0.5780346820809249</v>
      </c>
      <c r="AP1237" s="7"/>
      <c r="AQ1237" s="7"/>
      <c r="AR1237" s="7"/>
      <c r="AS1237" s="7"/>
    </row>
    <row r="1238" spans="1:45" x14ac:dyDescent="0.2">
      <c r="A1238" s="7" t="s">
        <v>90</v>
      </c>
      <c r="B1238" s="7" t="s">
        <v>355</v>
      </c>
      <c r="C1238" s="7" t="s">
        <v>341</v>
      </c>
      <c r="D1238" s="7" t="s">
        <v>356</v>
      </c>
      <c r="E1238" s="33" t="s">
        <v>82</v>
      </c>
      <c r="F1238" s="7">
        <v>115</v>
      </c>
      <c r="G1238" s="13">
        <v>2</v>
      </c>
      <c r="H1238" s="13">
        <v>2.5</v>
      </c>
      <c r="I1238" s="13">
        <v>1.05</v>
      </c>
      <c r="J1238" s="14">
        <f t="shared" si="429"/>
        <v>4.1727656250000003</v>
      </c>
      <c r="K1238" s="37">
        <v>0.21944444444444441</v>
      </c>
      <c r="L1238" s="12">
        <f t="shared" si="450"/>
        <v>8.93611111111111</v>
      </c>
      <c r="M1238" s="12">
        <f t="shared" si="451"/>
        <v>9.9861111111111107</v>
      </c>
      <c r="N1238" s="13">
        <f t="shared" si="452"/>
        <v>9.4611111111111104</v>
      </c>
      <c r="O1238" s="13">
        <f t="shared" si="453"/>
        <v>128.93611111111113</v>
      </c>
      <c r="P1238" s="13">
        <f t="shared" si="430"/>
        <v>129.98611111111114</v>
      </c>
      <c r="Q1238" s="13">
        <f t="shared" si="445"/>
        <v>129.46111111111114</v>
      </c>
      <c r="R1238" s="13">
        <v>128.93611111111113</v>
      </c>
      <c r="S1238" s="13">
        <v>129.98611111111114</v>
      </c>
      <c r="T1238" s="13">
        <v>129.46111111111114</v>
      </c>
      <c r="U1238" s="13">
        <f t="shared" si="432"/>
        <v>129.46111111111114</v>
      </c>
      <c r="V1238" s="7">
        <v>5.9786999999999999</v>
      </c>
      <c r="W1238" s="7">
        <v>1.8351</v>
      </c>
      <c r="X1238" s="7">
        <v>1.1476266666666699</v>
      </c>
      <c r="Y1238" s="14">
        <f t="shared" si="433"/>
        <v>4.8310733333333298</v>
      </c>
      <c r="Z1238" s="14">
        <f t="shared" si="434"/>
        <v>0.68747333333333005</v>
      </c>
      <c r="AA1238" s="36">
        <f t="shared" si="435"/>
        <v>85.769759929125527</v>
      </c>
      <c r="AB1238" s="36">
        <f t="shared" si="436"/>
        <v>14.230240070874473</v>
      </c>
      <c r="AC1238" s="14">
        <f t="shared" si="437"/>
        <v>1.157762924519234</v>
      </c>
      <c r="AD1238" s="14">
        <f t="shared" si="438"/>
        <v>0.1647524436106641</v>
      </c>
      <c r="AE1238" s="36">
        <f>(W1238-$AS$12)/J1238</f>
        <v>0.43978027162740535</v>
      </c>
      <c r="AF1238" s="66">
        <v>12.016</v>
      </c>
      <c r="AG1238" s="66">
        <v>12.125999999999999</v>
      </c>
      <c r="AH1238" s="66">
        <f t="shared" si="431"/>
        <v>0.10999999999999943</v>
      </c>
      <c r="AI1238" s="66">
        <v>12.02</v>
      </c>
      <c r="AJ1238" s="66">
        <f t="shared" si="439"/>
        <v>3.9999999999995595E-3</v>
      </c>
      <c r="AK1238" s="66">
        <f t="shared" si="440"/>
        <v>96.363636363636743</v>
      </c>
      <c r="AL1238" s="11">
        <f t="shared" si="441"/>
        <v>4.8181818181818379</v>
      </c>
      <c r="AM1238" s="11">
        <f t="shared" si="442"/>
        <v>55.701523909616618</v>
      </c>
      <c r="AN1238" s="11">
        <f t="shared" si="443"/>
        <v>4.8190223109110049</v>
      </c>
      <c r="AO1238">
        <f t="shared" si="444"/>
        <v>0.5780346820809249</v>
      </c>
      <c r="AP1238" s="7"/>
      <c r="AQ1238" s="7"/>
      <c r="AR1238" s="7"/>
      <c r="AS1238" s="7"/>
    </row>
    <row r="1239" spans="1:45" x14ac:dyDescent="0.2">
      <c r="A1239" s="7" t="s">
        <v>90</v>
      </c>
      <c r="B1239" s="7" t="s">
        <v>357</v>
      </c>
      <c r="C1239" s="7" t="s">
        <v>341</v>
      </c>
      <c r="D1239" s="7" t="s">
        <v>358</v>
      </c>
      <c r="E1239" s="33" t="s">
        <v>82</v>
      </c>
      <c r="F1239" s="7">
        <v>116</v>
      </c>
      <c r="G1239" s="13">
        <v>2.1</v>
      </c>
      <c r="H1239" s="13">
        <v>2.5</v>
      </c>
      <c r="I1239" s="13">
        <v>1</v>
      </c>
      <c r="J1239" s="14">
        <f t="shared" si="429"/>
        <v>4.1526499999999995</v>
      </c>
      <c r="K1239" s="37">
        <v>0.21944444444444441</v>
      </c>
      <c r="L1239" s="12">
        <f t="shared" si="450"/>
        <v>10.205555555555556</v>
      </c>
      <c r="M1239" s="12">
        <f t="shared" si="451"/>
        <v>11.205555555555556</v>
      </c>
      <c r="N1239" s="13">
        <f t="shared" si="452"/>
        <v>10.705555555555556</v>
      </c>
      <c r="O1239" s="13">
        <f t="shared" si="453"/>
        <v>130.20555555555558</v>
      </c>
      <c r="P1239" s="13">
        <f t="shared" si="430"/>
        <v>131.20555555555558</v>
      </c>
      <c r="Q1239" s="13">
        <f t="shared" si="445"/>
        <v>130.70555555555558</v>
      </c>
      <c r="R1239" s="13">
        <v>130.20555555555558</v>
      </c>
      <c r="S1239" s="13">
        <v>131.20555555555558</v>
      </c>
      <c r="T1239" s="13">
        <v>130.70555555555558</v>
      </c>
      <c r="U1239" s="13">
        <f t="shared" si="432"/>
        <v>130.70555555555558</v>
      </c>
      <c r="V1239" s="7">
        <v>5.2923999999999998</v>
      </c>
      <c r="W1239" s="7">
        <v>1.7121</v>
      </c>
      <c r="X1239" s="7">
        <v>1.1476266666666699</v>
      </c>
      <c r="Y1239" s="14">
        <f t="shared" si="433"/>
        <v>4.1447733333333296</v>
      </c>
      <c r="Z1239" s="14">
        <f t="shared" si="434"/>
        <v>0.56447333333333005</v>
      </c>
      <c r="AA1239" s="36">
        <f t="shared" si="435"/>
        <v>86.381080750696526</v>
      </c>
      <c r="AB1239" s="36">
        <f t="shared" si="436"/>
        <v>13.618919249303474</v>
      </c>
      <c r="AC1239" s="14">
        <f t="shared" si="437"/>
        <v>0.99810321922948719</v>
      </c>
      <c r="AD1239" s="14">
        <f t="shared" si="438"/>
        <v>0.1359308714515623</v>
      </c>
      <c r="AE1239" s="36" t="s">
        <v>40</v>
      </c>
      <c r="AF1239" s="66">
        <v>12.154</v>
      </c>
      <c r="AG1239" s="66">
        <v>12.268000000000001</v>
      </c>
      <c r="AH1239" s="66">
        <f t="shared" si="431"/>
        <v>0.11400000000000077</v>
      </c>
      <c r="AI1239" s="66">
        <v>12.159000000000001</v>
      </c>
      <c r="AJ1239" s="66">
        <f t="shared" si="439"/>
        <v>5.0000000000007816E-3</v>
      </c>
      <c r="AK1239" s="66">
        <f t="shared" si="440"/>
        <v>95.614035087718634</v>
      </c>
      <c r="AL1239" s="11">
        <f t="shared" si="441"/>
        <v>4.780701754385932</v>
      </c>
      <c r="AM1239" s="11">
        <f t="shared" si="442"/>
        <v>55.26822837440384</v>
      </c>
      <c r="AN1239" s="11">
        <f t="shared" si="443"/>
        <v>4.7815488353031315</v>
      </c>
      <c r="AO1239">
        <f t="shared" si="444"/>
        <v>0.5780346820809249</v>
      </c>
      <c r="AP1239" s="7"/>
      <c r="AQ1239" s="7"/>
      <c r="AR1239" s="7"/>
      <c r="AS1239" s="7"/>
    </row>
    <row r="1240" spans="1:45" x14ac:dyDescent="0.2">
      <c r="A1240" s="7" t="s">
        <v>90</v>
      </c>
      <c r="B1240" s="7" t="s">
        <v>359</v>
      </c>
      <c r="C1240" s="7" t="s">
        <v>341</v>
      </c>
      <c r="D1240" s="7" t="s">
        <v>360</v>
      </c>
      <c r="E1240" s="33" t="s">
        <v>82</v>
      </c>
      <c r="F1240" s="7">
        <v>117</v>
      </c>
      <c r="G1240" s="13">
        <v>1.9</v>
      </c>
      <c r="H1240" s="13">
        <v>2.35</v>
      </c>
      <c r="I1240" s="13">
        <v>1</v>
      </c>
      <c r="J1240" s="14">
        <f t="shared" si="429"/>
        <v>3.5447656250000001</v>
      </c>
      <c r="K1240" s="37">
        <v>0.21944444444444441</v>
      </c>
      <c r="L1240" s="12">
        <f t="shared" si="450"/>
        <v>11.425000000000001</v>
      </c>
      <c r="M1240" s="12">
        <f t="shared" si="451"/>
        <v>12.425000000000001</v>
      </c>
      <c r="N1240" s="13">
        <f t="shared" si="452"/>
        <v>11.925000000000001</v>
      </c>
      <c r="O1240" s="13">
        <f t="shared" si="453"/>
        <v>131.42500000000001</v>
      </c>
      <c r="P1240" s="13">
        <f t="shared" si="430"/>
        <v>132.42500000000001</v>
      </c>
      <c r="Q1240" s="13">
        <f t="shared" si="445"/>
        <v>131.92500000000001</v>
      </c>
      <c r="R1240" s="13">
        <v>131.42500000000001</v>
      </c>
      <c r="S1240" s="13">
        <v>132.42500000000001</v>
      </c>
      <c r="T1240" s="13">
        <v>131.92500000000001</v>
      </c>
      <c r="U1240" s="13">
        <f t="shared" si="432"/>
        <v>131.92500000000001</v>
      </c>
      <c r="V1240" s="7">
        <v>5.1558999999999999</v>
      </c>
      <c r="W1240" s="7">
        <v>1.6632</v>
      </c>
      <c r="X1240" s="7">
        <v>1.1476266666666699</v>
      </c>
      <c r="Y1240" s="14">
        <f t="shared" si="433"/>
        <v>4.0082733333333298</v>
      </c>
      <c r="Z1240" s="14">
        <f t="shared" si="434"/>
        <v>0.51557333333333011</v>
      </c>
      <c r="AA1240" s="36">
        <f t="shared" si="435"/>
        <v>87.137271077654461</v>
      </c>
      <c r="AB1240" s="36">
        <f t="shared" si="436"/>
        <v>12.862728922345539</v>
      </c>
      <c r="AC1240" s="14">
        <f t="shared" si="437"/>
        <v>1.1307583511486263</v>
      </c>
      <c r="AD1240" s="14">
        <f t="shared" si="438"/>
        <v>0.14544638147503197</v>
      </c>
      <c r="AE1240" s="36">
        <f>(W1240-$AS$12)/J1240</f>
        <v>0.46919886275979106</v>
      </c>
      <c r="AF1240" s="66">
        <v>13.228</v>
      </c>
      <c r="AG1240" s="66">
        <v>13.343</v>
      </c>
      <c r="AH1240" s="66">
        <f t="shared" si="431"/>
        <v>0.11500000000000021</v>
      </c>
      <c r="AI1240" s="66">
        <v>13.231999999999999</v>
      </c>
      <c r="AJ1240" s="66">
        <f t="shared" si="439"/>
        <v>3.9999999999995595E-3</v>
      </c>
      <c r="AK1240" s="66">
        <f t="shared" si="440"/>
        <v>96.521739130435165</v>
      </c>
      <c r="AL1240" s="11">
        <f t="shared" si="441"/>
        <v>4.8260869565217588</v>
      </c>
      <c r="AM1240" s="11">
        <f t="shared" si="442"/>
        <v>55.792912792159058</v>
      </c>
      <c r="AN1240" s="11">
        <f t="shared" si="443"/>
        <v>4.826926072761986</v>
      </c>
      <c r="AO1240">
        <f t="shared" si="444"/>
        <v>0.5780346820809249</v>
      </c>
      <c r="AP1240" s="7"/>
      <c r="AQ1240" s="7"/>
      <c r="AR1240" s="7"/>
      <c r="AS1240" s="7"/>
    </row>
    <row r="1241" spans="1:45" x14ac:dyDescent="0.2">
      <c r="A1241" s="7" t="s">
        <v>90</v>
      </c>
      <c r="B1241" s="7" t="s">
        <v>361</v>
      </c>
      <c r="C1241" s="7" t="s">
        <v>341</v>
      </c>
      <c r="D1241" s="7" t="s">
        <v>362</v>
      </c>
      <c r="E1241" s="33" t="s">
        <v>82</v>
      </c>
      <c r="F1241" s="7">
        <v>118</v>
      </c>
      <c r="G1241" s="13">
        <v>2.2000000000000002</v>
      </c>
      <c r="H1241" s="13">
        <v>2.4</v>
      </c>
      <c r="I1241" s="13">
        <v>1.05</v>
      </c>
      <c r="J1241" s="14">
        <f t="shared" si="429"/>
        <v>4.3602824999999994</v>
      </c>
      <c r="K1241" s="37">
        <v>0.21944444444444441</v>
      </c>
      <c r="L1241" s="12">
        <f t="shared" si="450"/>
        <v>12.644444444444446</v>
      </c>
      <c r="M1241" s="12">
        <f t="shared" si="451"/>
        <v>13.694444444444446</v>
      </c>
      <c r="N1241" s="13">
        <f t="shared" si="452"/>
        <v>13.169444444444446</v>
      </c>
      <c r="O1241" s="13">
        <f t="shared" si="453"/>
        <v>132.64444444444445</v>
      </c>
      <c r="P1241" s="13">
        <f t="shared" si="430"/>
        <v>133.69444444444446</v>
      </c>
      <c r="Q1241" s="13">
        <f t="shared" si="445"/>
        <v>133.16944444444445</v>
      </c>
      <c r="R1241" s="13">
        <v>132.64444444444445</v>
      </c>
      <c r="S1241" s="13">
        <v>133.69444444444446</v>
      </c>
      <c r="T1241" s="13">
        <v>133.16944444444445</v>
      </c>
      <c r="U1241" s="13">
        <f t="shared" si="432"/>
        <v>133.16944444444445</v>
      </c>
      <c r="V1241" s="7">
        <v>6.4983000000000004</v>
      </c>
      <c r="W1241" s="7">
        <v>1.8499000000000001</v>
      </c>
      <c r="X1241" s="7">
        <v>1.1476266666666699</v>
      </c>
      <c r="Y1241" s="14">
        <f t="shared" si="433"/>
        <v>5.3506733333333303</v>
      </c>
      <c r="Z1241" s="14">
        <f t="shared" si="434"/>
        <v>0.7022733333333302</v>
      </c>
      <c r="AA1241" s="36">
        <f t="shared" si="435"/>
        <v>86.875047501809803</v>
      </c>
      <c r="AB1241" s="36">
        <f t="shared" si="436"/>
        <v>13.124952498190197</v>
      </c>
      <c r="AC1241" s="14">
        <f t="shared" si="437"/>
        <v>1.2271391436984487</v>
      </c>
      <c r="AD1241" s="14">
        <f t="shared" si="438"/>
        <v>0.16106142969711945</v>
      </c>
      <c r="AE1241" s="36" t="s">
        <v>40</v>
      </c>
      <c r="AF1241" s="66">
        <v>10.608000000000001</v>
      </c>
      <c r="AG1241" s="66">
        <v>10.682</v>
      </c>
      <c r="AH1241" s="66">
        <f t="shared" si="431"/>
        <v>7.3999999999999844E-2</v>
      </c>
      <c r="AI1241" s="66">
        <v>10.61</v>
      </c>
      <c r="AJ1241" s="66">
        <f t="shared" si="439"/>
        <v>1.9999999999988916E-3</v>
      </c>
      <c r="AK1241" s="66">
        <f t="shared" si="440"/>
        <v>97.297297297298798</v>
      </c>
      <c r="AL1241" s="11">
        <f t="shared" si="441"/>
        <v>4.8648648648649404</v>
      </c>
      <c r="AM1241" s="11">
        <f t="shared" si="442"/>
        <v>56.241212310577346</v>
      </c>
      <c r="AN1241" s="11">
        <f t="shared" si="443"/>
        <v>4.8656972936463454</v>
      </c>
      <c r="AO1241">
        <f t="shared" si="444"/>
        <v>0.5780346820809249</v>
      </c>
      <c r="AP1241" s="7"/>
      <c r="AQ1241" s="7"/>
      <c r="AR1241" s="7"/>
      <c r="AS1241" s="7"/>
    </row>
    <row r="1242" spans="1:45" x14ac:dyDescent="0.2">
      <c r="A1242" s="7" t="s">
        <v>90</v>
      </c>
      <c r="B1242" s="7" t="s">
        <v>363</v>
      </c>
      <c r="C1242" s="7" t="s">
        <v>341</v>
      </c>
      <c r="D1242" s="7" t="s">
        <v>364</v>
      </c>
      <c r="E1242" s="33" t="s">
        <v>82</v>
      </c>
      <c r="F1242" s="7">
        <v>119</v>
      </c>
      <c r="G1242" s="13">
        <v>2</v>
      </c>
      <c r="H1242" s="13">
        <v>2.2000000000000002</v>
      </c>
      <c r="I1242" s="13">
        <v>1.05</v>
      </c>
      <c r="J1242" s="14">
        <f t="shared" si="429"/>
        <v>3.6349425000000002</v>
      </c>
      <c r="K1242" s="37">
        <v>0.21944444444444441</v>
      </c>
      <c r="L1242" s="12">
        <f t="shared" si="450"/>
        <v>13.913888888888891</v>
      </c>
      <c r="M1242" s="12">
        <f t="shared" si="451"/>
        <v>14.963888888888892</v>
      </c>
      <c r="N1242" s="13">
        <f t="shared" si="452"/>
        <v>14.438888888888892</v>
      </c>
      <c r="O1242" s="13">
        <f t="shared" si="453"/>
        <v>133.91388888888889</v>
      </c>
      <c r="P1242" s="13">
        <f t="shared" si="430"/>
        <v>134.9638888888889</v>
      </c>
      <c r="Q1242" s="13">
        <f t="shared" si="445"/>
        <v>134.4388888888889</v>
      </c>
      <c r="R1242" s="13">
        <v>133.91388888888889</v>
      </c>
      <c r="S1242" s="13">
        <v>134.9638888888889</v>
      </c>
      <c r="T1242" s="13">
        <v>134.4388888888889</v>
      </c>
      <c r="U1242" s="13">
        <f t="shared" si="432"/>
        <v>134.4388888888889</v>
      </c>
      <c r="V1242" s="7">
        <v>5.2138</v>
      </c>
      <c r="W1242" s="7">
        <v>1.6120000000000001</v>
      </c>
      <c r="X1242" s="7">
        <v>1.1476266666666699</v>
      </c>
      <c r="Y1242" s="14">
        <f t="shared" si="433"/>
        <v>4.0661733333333299</v>
      </c>
      <c r="Z1242" s="14">
        <f t="shared" si="434"/>
        <v>0.4643733333333302</v>
      </c>
      <c r="AA1242" s="36">
        <f t="shared" si="435"/>
        <v>88.579598180762986</v>
      </c>
      <c r="AB1242" s="36">
        <f t="shared" si="436"/>
        <v>11.420401819237014</v>
      </c>
      <c r="AC1242" s="14">
        <f t="shared" si="437"/>
        <v>1.1186348431463027</v>
      </c>
      <c r="AD1242" s="14">
        <f t="shared" si="438"/>
        <v>0.12775259397729954</v>
      </c>
      <c r="AE1242" s="36" t="s">
        <v>40</v>
      </c>
      <c r="AF1242" s="66">
        <v>12.015000000000001</v>
      </c>
      <c r="AG1242" s="66">
        <v>12.147</v>
      </c>
      <c r="AH1242" s="66">
        <f t="shared" si="431"/>
        <v>0.13199999999999967</v>
      </c>
      <c r="AI1242" s="66">
        <v>12.02</v>
      </c>
      <c r="AJ1242" s="66">
        <f t="shared" si="439"/>
        <v>4.9999999999990052E-3</v>
      </c>
      <c r="AK1242" s="66">
        <f t="shared" si="440"/>
        <v>96.212121212121957</v>
      </c>
      <c r="AL1242" s="11">
        <f t="shared" si="441"/>
        <v>4.8106060606060979</v>
      </c>
      <c r="AM1242" s="11">
        <f t="shared" si="442"/>
        <v>55.61394289718033</v>
      </c>
      <c r="AN1242" s="11">
        <f t="shared" si="443"/>
        <v>4.8114478767144631</v>
      </c>
      <c r="AO1242">
        <f t="shared" si="444"/>
        <v>0.5780346820809249</v>
      </c>
      <c r="AP1242" s="7"/>
      <c r="AQ1242" s="7"/>
      <c r="AR1242" s="7"/>
      <c r="AS1242" s="7"/>
    </row>
    <row r="1243" spans="1:45" x14ac:dyDescent="0.2">
      <c r="A1243" s="7" t="s">
        <v>90</v>
      </c>
      <c r="B1243" s="7" t="s">
        <v>365</v>
      </c>
      <c r="C1243" s="7" t="s">
        <v>341</v>
      </c>
      <c r="D1243" s="7" t="s">
        <v>366</v>
      </c>
      <c r="E1243" s="33" t="s">
        <v>82</v>
      </c>
      <c r="F1243" s="7">
        <v>120</v>
      </c>
      <c r="G1243" s="13">
        <v>2.2000000000000002</v>
      </c>
      <c r="H1243" s="13">
        <v>2.25</v>
      </c>
      <c r="I1243" s="13">
        <v>1.1000000000000001</v>
      </c>
      <c r="J1243" s="14">
        <f t="shared" si="429"/>
        <v>4.2748646875000009</v>
      </c>
      <c r="K1243" s="37">
        <v>0.21944444444444441</v>
      </c>
      <c r="L1243" s="12">
        <f t="shared" si="450"/>
        <v>15.183333333333337</v>
      </c>
      <c r="M1243" s="12">
        <f t="shared" si="451"/>
        <v>16.283333333333339</v>
      </c>
      <c r="N1243" s="13">
        <f t="shared" si="452"/>
        <v>15.733333333333338</v>
      </c>
      <c r="O1243" s="13">
        <f t="shared" si="453"/>
        <v>135.18333333333334</v>
      </c>
      <c r="P1243" s="13">
        <f t="shared" si="430"/>
        <v>136.28333333333333</v>
      </c>
      <c r="Q1243" s="13">
        <f t="shared" si="445"/>
        <v>135.73333333333335</v>
      </c>
      <c r="R1243" s="13">
        <v>135.18333333333334</v>
      </c>
      <c r="S1243" s="13">
        <v>136.28333333333333</v>
      </c>
      <c r="T1243" s="13">
        <v>135.73333333333335</v>
      </c>
      <c r="U1243" s="13">
        <f t="shared" si="432"/>
        <v>135.73333333333335</v>
      </c>
      <c r="V1243" s="7">
        <v>6.1531000000000002</v>
      </c>
      <c r="W1243" s="7">
        <v>1.7909999999999999</v>
      </c>
      <c r="X1243" s="7">
        <v>1.1476266666666699</v>
      </c>
      <c r="Y1243" s="14">
        <f t="shared" si="433"/>
        <v>5.0054733333333301</v>
      </c>
      <c r="Z1243" s="14">
        <f t="shared" si="434"/>
        <v>0.64337333333333002</v>
      </c>
      <c r="AA1243" s="36">
        <f t="shared" si="435"/>
        <v>87.146603518015667</v>
      </c>
      <c r="AB1243" s="36">
        <f t="shared" si="436"/>
        <v>12.853396481984333</v>
      </c>
      <c r="AC1243" s="14">
        <f t="shared" si="437"/>
        <v>1.1709080168010182</v>
      </c>
      <c r="AD1243" s="14">
        <f t="shared" si="438"/>
        <v>0.15050144983877456</v>
      </c>
      <c r="AE1243" s="36" t="s">
        <v>40</v>
      </c>
      <c r="AF1243" s="66">
        <v>12.28</v>
      </c>
      <c r="AG1243" s="66">
        <v>12.428000000000001</v>
      </c>
      <c r="AH1243" s="66">
        <f t="shared" si="431"/>
        <v>0.14800000000000146</v>
      </c>
      <c r="AI1243" s="66">
        <v>12.288</v>
      </c>
      <c r="AJ1243" s="66">
        <f t="shared" si="439"/>
        <v>8.0000000000008953E-3</v>
      </c>
      <c r="AK1243" s="66">
        <f t="shared" si="440"/>
        <v>94.594594594594042</v>
      </c>
      <c r="AL1243" s="11">
        <f t="shared" si="441"/>
        <v>4.7297297297297023</v>
      </c>
      <c r="AM1243" s="11">
        <f t="shared" si="442"/>
        <v>54.678956413060142</v>
      </c>
      <c r="AN1243" s="11">
        <f t="shared" si="443"/>
        <v>4.7305859379456372</v>
      </c>
      <c r="AO1243">
        <f t="shared" si="444"/>
        <v>0.5780346820809249</v>
      </c>
      <c r="AP1243" s="7"/>
      <c r="AQ1243" s="7"/>
      <c r="AR1243" s="7"/>
      <c r="AS1243" s="7"/>
    </row>
    <row r="1244" spans="1:45" x14ac:dyDescent="0.2">
      <c r="A1244" s="7" t="s">
        <v>90</v>
      </c>
      <c r="B1244" s="7" t="s">
        <v>367</v>
      </c>
      <c r="C1244" s="7" t="s">
        <v>341</v>
      </c>
      <c r="D1244" s="7" t="s">
        <v>368</v>
      </c>
      <c r="E1244" s="33" t="s">
        <v>82</v>
      </c>
      <c r="F1244" s="7">
        <v>121</v>
      </c>
      <c r="G1244" s="13">
        <v>2.2000000000000002</v>
      </c>
      <c r="H1244" s="13">
        <v>2.6</v>
      </c>
      <c r="I1244" s="13">
        <v>1.1000000000000001</v>
      </c>
      <c r="J1244" s="14">
        <f t="shared" si="429"/>
        <v>4.9737600000000022</v>
      </c>
      <c r="K1244" s="37">
        <v>0.21944444444444441</v>
      </c>
      <c r="L1244" s="12">
        <f t="shared" si="450"/>
        <v>16.502777777777784</v>
      </c>
      <c r="M1244" s="12">
        <f t="shared" si="451"/>
        <v>17.602777777777785</v>
      </c>
      <c r="N1244" s="13">
        <f t="shared" si="452"/>
        <v>17.052777777777784</v>
      </c>
      <c r="O1244" s="13">
        <f t="shared" si="453"/>
        <v>136.50277777777777</v>
      </c>
      <c r="P1244" s="13">
        <f t="shared" si="430"/>
        <v>137.60277777777776</v>
      </c>
      <c r="Q1244" s="13">
        <f t="shared" si="445"/>
        <v>137.05277777777775</v>
      </c>
      <c r="R1244" s="13">
        <v>136.50277777777777</v>
      </c>
      <c r="S1244" s="13">
        <v>137.60277777777776</v>
      </c>
      <c r="T1244" s="13">
        <v>137.05277777777775</v>
      </c>
      <c r="U1244" s="13">
        <f t="shared" si="432"/>
        <v>137.05277777777775</v>
      </c>
      <c r="V1244" s="7">
        <v>6.7797000000000001</v>
      </c>
      <c r="W1244" s="7">
        <v>1.8995</v>
      </c>
      <c r="X1244" s="7">
        <v>1.1476266666666699</v>
      </c>
      <c r="Y1244" s="14">
        <f t="shared" si="433"/>
        <v>5.6320733333333299</v>
      </c>
      <c r="Z1244" s="14">
        <f t="shared" si="434"/>
        <v>0.75187333333333006</v>
      </c>
      <c r="AA1244" s="36">
        <f t="shared" si="435"/>
        <v>86.650150151927534</v>
      </c>
      <c r="AB1244" s="36">
        <f t="shared" si="436"/>
        <v>13.349849848072466</v>
      </c>
      <c r="AC1244" s="14">
        <f t="shared" si="437"/>
        <v>1.1323572776598243</v>
      </c>
      <c r="AD1244" s="14">
        <f t="shared" si="438"/>
        <v>0.1511679963113077</v>
      </c>
      <c r="AE1244" s="36">
        <f>(W1244-$AS$12)/J1244</f>
        <v>0.38190423341697211</v>
      </c>
      <c r="AF1244" s="66">
        <v>10.026</v>
      </c>
      <c r="AG1244" s="66">
        <v>10.081</v>
      </c>
      <c r="AH1244" s="66">
        <f t="shared" si="431"/>
        <v>5.4999999999999716E-2</v>
      </c>
      <c r="AI1244" s="66">
        <v>10.032999999999999</v>
      </c>
      <c r="AJ1244" s="66">
        <f t="shared" si="439"/>
        <v>6.9999999999996732E-3</v>
      </c>
      <c r="AK1244" s="66">
        <f t="shared" si="440"/>
        <v>87.272727272727806</v>
      </c>
      <c r="AL1244" s="11">
        <f t="shared" si="441"/>
        <v>4.3636363636363908</v>
      </c>
      <c r="AM1244" s="11">
        <f t="shared" si="442"/>
        <v>50.446663163426479</v>
      </c>
      <c r="AN1244" s="11">
        <f t="shared" si="443"/>
        <v>4.3645643899534603</v>
      </c>
      <c r="AO1244">
        <f t="shared" si="444"/>
        <v>0.5780346820809249</v>
      </c>
      <c r="AP1244" s="7"/>
      <c r="AQ1244" s="7"/>
      <c r="AR1244" s="7"/>
      <c r="AS1244" s="7"/>
    </row>
    <row r="1245" spans="1:45" x14ac:dyDescent="0.2">
      <c r="A1245" s="7" t="s">
        <v>90</v>
      </c>
      <c r="B1245" s="7" t="s">
        <v>369</v>
      </c>
      <c r="C1245" s="7" t="s">
        <v>341</v>
      </c>
      <c r="D1245" s="7" t="s">
        <v>370</v>
      </c>
      <c r="E1245" s="33" t="s">
        <v>82</v>
      </c>
      <c r="F1245" s="7">
        <v>122</v>
      </c>
      <c r="G1245" s="13">
        <v>2.35</v>
      </c>
      <c r="H1245" s="13">
        <v>2.4</v>
      </c>
      <c r="I1245" s="13">
        <v>1.1000000000000001</v>
      </c>
      <c r="J1245" s="14">
        <f t="shared" si="429"/>
        <v>4.8706796875</v>
      </c>
      <c r="K1245" s="37">
        <v>0.21944444444444441</v>
      </c>
      <c r="L1245" s="12">
        <f t="shared" si="450"/>
        <v>17.82222222222223</v>
      </c>
      <c r="M1245" s="12">
        <f t="shared" si="451"/>
        <v>18.922222222222231</v>
      </c>
      <c r="N1245" s="13">
        <f t="shared" si="452"/>
        <v>18.372222222222231</v>
      </c>
      <c r="O1245" s="13">
        <f t="shared" si="453"/>
        <v>137.82222222222219</v>
      </c>
      <c r="P1245" s="13">
        <f t="shared" si="430"/>
        <v>138.92222222222219</v>
      </c>
      <c r="Q1245" s="13">
        <f t="shared" si="445"/>
        <v>138.37222222222221</v>
      </c>
      <c r="R1245" s="13">
        <v>137.82222222222219</v>
      </c>
      <c r="S1245" s="13">
        <v>138.92222222222219</v>
      </c>
      <c r="T1245" s="13">
        <v>138.37222222222221</v>
      </c>
      <c r="U1245" s="13">
        <f t="shared" si="432"/>
        <v>138.37222222222221</v>
      </c>
      <c r="V1245" s="7">
        <v>6.4581</v>
      </c>
      <c r="W1245" s="7">
        <v>1.8129</v>
      </c>
      <c r="X1245" s="7">
        <v>1.1476266666666699</v>
      </c>
      <c r="Y1245" s="14">
        <f t="shared" si="433"/>
        <v>5.3104733333333298</v>
      </c>
      <c r="Z1245" s="14">
        <f t="shared" si="434"/>
        <v>0.66527333333333005</v>
      </c>
      <c r="AA1245" s="36">
        <f t="shared" si="435"/>
        <v>87.472428697504739</v>
      </c>
      <c r="AB1245" s="36">
        <f t="shared" si="436"/>
        <v>12.527571302495261</v>
      </c>
      <c r="AC1245" s="14">
        <f t="shared" si="437"/>
        <v>1.0902941014499488</v>
      </c>
      <c r="AD1245" s="14">
        <f t="shared" si="438"/>
        <v>0.13658737096604243</v>
      </c>
      <c r="AE1245" s="36" t="s">
        <v>40</v>
      </c>
      <c r="AF1245" s="66">
        <v>12.744999999999999</v>
      </c>
      <c r="AG1245" s="66">
        <v>12.837999999999999</v>
      </c>
      <c r="AH1245" s="66">
        <f t="shared" si="431"/>
        <v>9.2999999999999972E-2</v>
      </c>
      <c r="AI1245" s="66">
        <v>12.750999999999999</v>
      </c>
      <c r="AJ1245" s="66">
        <f t="shared" si="439"/>
        <v>6.0000000000002274E-3</v>
      </c>
      <c r="AK1245" s="66">
        <f t="shared" si="440"/>
        <v>93.548387096773951</v>
      </c>
      <c r="AL1245" s="11">
        <f t="shared" si="441"/>
        <v>4.6774193548386975</v>
      </c>
      <c r="AM1245" s="11">
        <f t="shared" si="442"/>
        <v>54.074212194667027</v>
      </c>
      <c r="AN1245" s="11">
        <f t="shared" si="443"/>
        <v>4.6782851367803202</v>
      </c>
      <c r="AO1245">
        <f t="shared" si="444"/>
        <v>0.5780346820809249</v>
      </c>
      <c r="AP1245" s="7"/>
      <c r="AQ1245" s="7"/>
      <c r="AR1245" s="7"/>
      <c r="AS1245" s="7"/>
    </row>
    <row r="1246" spans="1:45" x14ac:dyDescent="0.2">
      <c r="A1246" s="7" t="s">
        <v>90</v>
      </c>
      <c r="B1246" s="7" t="s">
        <v>371</v>
      </c>
      <c r="C1246" s="7" t="s">
        <v>341</v>
      </c>
      <c r="D1246" s="7" t="s">
        <v>372</v>
      </c>
      <c r="E1246" s="33" t="s">
        <v>82</v>
      </c>
      <c r="F1246" s="7">
        <v>123</v>
      </c>
      <c r="G1246" s="13">
        <v>2.2999999999999998</v>
      </c>
      <c r="H1246" s="13">
        <v>2.6</v>
      </c>
      <c r="I1246" s="13">
        <v>1.1000000000000001</v>
      </c>
      <c r="J1246" s="14">
        <f t="shared" si="429"/>
        <v>5.1831587500000005</v>
      </c>
      <c r="K1246" s="37">
        <v>0.21944444444444441</v>
      </c>
      <c r="L1246" s="12">
        <f t="shared" si="450"/>
        <v>19.141666666666676</v>
      </c>
      <c r="M1246" s="12">
        <f t="shared" si="451"/>
        <v>20.241666666666678</v>
      </c>
      <c r="N1246" s="13">
        <f t="shared" si="452"/>
        <v>19.691666666666677</v>
      </c>
      <c r="O1246" s="13">
        <f t="shared" si="453"/>
        <v>139.14166666666662</v>
      </c>
      <c r="P1246" s="13">
        <f t="shared" si="430"/>
        <v>140.24166666666662</v>
      </c>
      <c r="Q1246" s="13">
        <f t="shared" si="445"/>
        <v>139.69166666666661</v>
      </c>
      <c r="R1246" s="13">
        <v>139.14166666666662</v>
      </c>
      <c r="S1246" s="13">
        <v>140.24166666666662</v>
      </c>
      <c r="T1246" s="13">
        <v>139.69166666666661</v>
      </c>
      <c r="U1246" s="13">
        <f t="shared" si="432"/>
        <v>139.69166666666661</v>
      </c>
      <c r="V1246" s="7">
        <v>6.8532000000000002</v>
      </c>
      <c r="W1246" s="7">
        <v>1.8494999999999999</v>
      </c>
      <c r="X1246" s="7">
        <v>1.1476266666666699</v>
      </c>
      <c r="Y1246" s="14">
        <f t="shared" si="433"/>
        <v>5.7055733333333301</v>
      </c>
      <c r="Z1246" s="14">
        <f t="shared" si="434"/>
        <v>0.70187333333333002</v>
      </c>
      <c r="AA1246" s="36">
        <f t="shared" si="435"/>
        <v>87.69846092008288</v>
      </c>
      <c r="AB1246" s="36">
        <f t="shared" si="436"/>
        <v>12.30153907991712</v>
      </c>
      <c r="AC1246" s="14">
        <f t="shared" si="437"/>
        <v>1.1007907742230216</v>
      </c>
      <c r="AD1246" s="14">
        <f t="shared" si="438"/>
        <v>0.13541420727916736</v>
      </c>
      <c r="AE1246" s="36" t="s">
        <v>40</v>
      </c>
      <c r="AF1246" s="66">
        <v>12.407</v>
      </c>
      <c r="AG1246" s="66">
        <v>12.486000000000001</v>
      </c>
      <c r="AH1246" s="66">
        <f t="shared" si="431"/>
        <v>7.9000000000000625E-2</v>
      </c>
      <c r="AI1246" s="66">
        <v>12.412000000000001</v>
      </c>
      <c r="AJ1246" s="66">
        <f t="shared" si="439"/>
        <v>5.0000000000007816E-3</v>
      </c>
      <c r="AK1246" s="66">
        <f t="shared" si="440"/>
        <v>93.670886075948417</v>
      </c>
      <c r="AL1246" s="11">
        <f t="shared" si="441"/>
        <v>4.6835443037974214</v>
      </c>
      <c r="AM1246" s="11">
        <f t="shared" si="442"/>
        <v>54.145020853149376</v>
      </c>
      <c r="AN1246" s="11">
        <f t="shared" si="443"/>
        <v>4.6844089537137199</v>
      </c>
      <c r="AO1246">
        <f t="shared" si="444"/>
        <v>0.5780346820809249</v>
      </c>
      <c r="AP1246" s="7"/>
      <c r="AQ1246" s="7"/>
      <c r="AR1246" s="7"/>
      <c r="AS1246" s="7"/>
    </row>
    <row r="1247" spans="1:45" x14ac:dyDescent="0.2">
      <c r="A1247" s="7" t="s">
        <v>90</v>
      </c>
      <c r="B1247" s="7" t="s">
        <v>373</v>
      </c>
      <c r="C1247" s="7" t="s">
        <v>341</v>
      </c>
      <c r="D1247" s="7" t="s">
        <v>374</v>
      </c>
      <c r="E1247" s="33" t="s">
        <v>82</v>
      </c>
      <c r="F1247" s="7">
        <v>124</v>
      </c>
      <c r="G1247" s="13">
        <v>2.5</v>
      </c>
      <c r="H1247" s="13">
        <v>2.25</v>
      </c>
      <c r="I1247" s="13">
        <v>1.1000000000000001</v>
      </c>
      <c r="J1247" s="14">
        <f t="shared" si="429"/>
        <v>4.8706796875</v>
      </c>
      <c r="K1247" s="37">
        <v>0.21944444444444441</v>
      </c>
      <c r="L1247" s="12">
        <f t="shared" si="450"/>
        <v>20.461111111111123</v>
      </c>
      <c r="M1247" s="12">
        <f t="shared" si="451"/>
        <v>21.561111111111124</v>
      </c>
      <c r="N1247" s="13">
        <f t="shared" si="452"/>
        <v>21.011111111111124</v>
      </c>
      <c r="O1247" s="13">
        <f t="shared" si="453"/>
        <v>140.46111111111105</v>
      </c>
      <c r="P1247" s="13">
        <f t="shared" si="430"/>
        <v>141.56111111111105</v>
      </c>
      <c r="Q1247" s="13">
        <f t="shared" si="445"/>
        <v>141.01111111111106</v>
      </c>
      <c r="R1247" s="13">
        <v>140.46111111111105</v>
      </c>
      <c r="S1247" s="13">
        <v>141.56111111111105</v>
      </c>
      <c r="T1247" s="13">
        <v>141.01111111111106</v>
      </c>
      <c r="U1247" s="13">
        <f t="shared" si="432"/>
        <v>141.01111111111106</v>
      </c>
      <c r="V1247" s="7">
        <v>6.5671999999999997</v>
      </c>
      <c r="W1247" s="7">
        <v>1.8454999999999999</v>
      </c>
      <c r="X1247" s="7">
        <v>1.1476266666666699</v>
      </c>
      <c r="Y1247" s="14">
        <f t="shared" si="433"/>
        <v>5.4195733333333296</v>
      </c>
      <c r="Z1247" s="14">
        <f t="shared" si="434"/>
        <v>0.69787333333333001</v>
      </c>
      <c r="AA1247" s="36">
        <f t="shared" si="435"/>
        <v>87.123094560949497</v>
      </c>
      <c r="AB1247" s="36">
        <f t="shared" si="436"/>
        <v>12.876905439050503</v>
      </c>
      <c r="AC1247" s="14">
        <f t="shared" si="437"/>
        <v>1.1126934393246999</v>
      </c>
      <c r="AD1247" s="14">
        <f t="shared" si="438"/>
        <v>0.14328048200836035</v>
      </c>
      <c r="AE1247" s="36">
        <f>(W1247-$AS$12)/J1247</f>
        <v>0.37889989044778466</v>
      </c>
      <c r="AF1247" s="66">
        <v>13.119</v>
      </c>
      <c r="AG1247" s="66">
        <v>13.227</v>
      </c>
      <c r="AH1247" s="66">
        <f t="shared" si="431"/>
        <v>0.10800000000000054</v>
      </c>
      <c r="AI1247" s="66">
        <v>13.125</v>
      </c>
      <c r="AJ1247" s="66">
        <f t="shared" si="439"/>
        <v>6.0000000000002274E-3</v>
      </c>
      <c r="AK1247" s="66">
        <f t="shared" si="440"/>
        <v>94.444444444444258</v>
      </c>
      <c r="AL1247" s="11">
        <f t="shared" si="441"/>
        <v>4.7222222222222134</v>
      </c>
      <c r="AM1247" s="11">
        <f t="shared" si="442"/>
        <v>54.59216441875391</v>
      </c>
      <c r="AN1247" s="11">
        <f t="shared" si="443"/>
        <v>4.7230797914125162</v>
      </c>
      <c r="AO1247">
        <f t="shared" si="444"/>
        <v>0.5780346820809249</v>
      </c>
      <c r="AP1247" s="7"/>
      <c r="AQ1247" s="7"/>
      <c r="AR1247" s="7"/>
      <c r="AS1247" s="7"/>
    </row>
    <row r="1248" spans="1:45" x14ac:dyDescent="0.2">
      <c r="A1248" s="7" t="s">
        <v>90</v>
      </c>
      <c r="B1248" s="7" t="s">
        <v>375</v>
      </c>
      <c r="C1248" s="7" t="s">
        <v>341</v>
      </c>
      <c r="D1248" s="7" t="s">
        <v>376</v>
      </c>
      <c r="E1248" s="33" t="s">
        <v>82</v>
      </c>
      <c r="F1248" s="7">
        <v>125</v>
      </c>
      <c r="G1248" s="13">
        <v>2.25</v>
      </c>
      <c r="H1248" s="13">
        <v>2.2999999999999998</v>
      </c>
      <c r="I1248" s="13">
        <v>1.1000000000000001</v>
      </c>
      <c r="J1248" s="14">
        <f t="shared" si="429"/>
        <v>4.4691521875000007</v>
      </c>
      <c r="K1248" s="37">
        <v>0.21944444444444441</v>
      </c>
      <c r="L1248" s="12">
        <f t="shared" si="450"/>
        <v>21.780555555555569</v>
      </c>
      <c r="M1248" s="12">
        <f t="shared" si="451"/>
        <v>22.880555555555571</v>
      </c>
      <c r="N1248" s="13">
        <f t="shared" si="452"/>
        <v>22.33055555555557</v>
      </c>
      <c r="O1248" s="13">
        <f t="shared" si="453"/>
        <v>141.78055555555548</v>
      </c>
      <c r="P1248" s="13">
        <f t="shared" si="430"/>
        <v>142.88055555555547</v>
      </c>
      <c r="Q1248" s="13">
        <f t="shared" si="445"/>
        <v>142.33055555555546</v>
      </c>
      <c r="R1248" s="13">
        <v>141.78055555555548</v>
      </c>
      <c r="S1248" s="13">
        <v>142.88055555555547</v>
      </c>
      <c r="T1248" s="13">
        <v>142.33055555555546</v>
      </c>
      <c r="U1248" s="13">
        <f t="shared" si="432"/>
        <v>142.33055555555546</v>
      </c>
      <c r="V1248" s="7">
        <v>5.6924999999999999</v>
      </c>
      <c r="W1248" s="7">
        <v>1.8286</v>
      </c>
      <c r="X1248" s="7">
        <v>1.1476266666666699</v>
      </c>
      <c r="Y1248" s="14">
        <f t="shared" si="433"/>
        <v>4.5448733333333298</v>
      </c>
      <c r="Z1248" s="14">
        <f t="shared" si="434"/>
        <v>0.6809733333333301</v>
      </c>
      <c r="AA1248" s="36">
        <f t="shared" si="435"/>
        <v>85.016670798306137</v>
      </c>
      <c r="AB1248" s="36">
        <f t="shared" si="436"/>
        <v>14.983329201693863</v>
      </c>
      <c r="AC1248" s="14">
        <f t="shared" si="437"/>
        <v>1.0169430671985433</v>
      </c>
      <c r="AD1248" s="14">
        <f t="shared" si="438"/>
        <v>0.15237192755216059</v>
      </c>
      <c r="AE1248" s="36" t="s">
        <v>40</v>
      </c>
      <c r="AF1248" s="66">
        <v>14.561999999999999</v>
      </c>
      <c r="AG1248" s="66">
        <v>14.688000000000001</v>
      </c>
      <c r="AH1248" s="66">
        <f t="shared" si="431"/>
        <v>0.12600000000000122</v>
      </c>
      <c r="AI1248" s="66">
        <v>14.584</v>
      </c>
      <c r="AJ1248" s="66">
        <f t="shared" si="439"/>
        <v>2.2000000000000242E-2</v>
      </c>
      <c r="AK1248" s="66">
        <f t="shared" si="440"/>
        <v>82.539682539682516</v>
      </c>
      <c r="AL1248" s="11">
        <f t="shared" si="441"/>
        <v>4.1269841269841256</v>
      </c>
      <c r="AM1248" s="11">
        <f t="shared" si="442"/>
        <v>47.710799155885852</v>
      </c>
      <c r="AN1248" s="11">
        <f t="shared" si="443"/>
        <v>4.1279653564896748</v>
      </c>
      <c r="AO1248">
        <f t="shared" si="444"/>
        <v>0.5780346820809249</v>
      </c>
      <c r="AP1248" s="7"/>
      <c r="AQ1248" s="7"/>
      <c r="AR1248" s="7"/>
      <c r="AS1248" s="7"/>
    </row>
    <row r="1249" spans="1:45" x14ac:dyDescent="0.2">
      <c r="A1249" s="7" t="s">
        <v>90</v>
      </c>
      <c r="B1249" s="7" t="s">
        <v>377</v>
      </c>
      <c r="C1249" s="7" t="s">
        <v>341</v>
      </c>
      <c r="D1249" s="7" t="s">
        <v>378</v>
      </c>
      <c r="E1249" s="33" t="s">
        <v>82</v>
      </c>
      <c r="F1249" s="7">
        <v>126</v>
      </c>
      <c r="G1249" s="13">
        <v>2</v>
      </c>
      <c r="H1249" s="13">
        <v>2.4</v>
      </c>
      <c r="I1249" s="13">
        <v>1.05</v>
      </c>
      <c r="J1249" s="14">
        <f t="shared" si="429"/>
        <v>3.9893700000000014</v>
      </c>
      <c r="K1249" s="37">
        <v>0.21944444444444441</v>
      </c>
      <c r="L1249" s="12">
        <f t="shared" si="450"/>
        <v>23.100000000000016</v>
      </c>
      <c r="M1249" s="12">
        <f t="shared" si="451"/>
        <v>24.150000000000016</v>
      </c>
      <c r="N1249" s="13">
        <f t="shared" si="452"/>
        <v>23.625000000000014</v>
      </c>
      <c r="O1249" s="13">
        <f t="shared" si="453"/>
        <v>143.09999999999991</v>
      </c>
      <c r="P1249" s="13">
        <f t="shared" si="430"/>
        <v>144.14999999999992</v>
      </c>
      <c r="Q1249" s="13">
        <f t="shared" si="445"/>
        <v>143.62499999999991</v>
      </c>
      <c r="R1249" s="13">
        <v>143.09999999999991</v>
      </c>
      <c r="S1249" s="13">
        <v>144.14999999999992</v>
      </c>
      <c r="T1249" s="13">
        <v>143.62499999999991</v>
      </c>
      <c r="U1249" s="13">
        <f t="shared" si="432"/>
        <v>143.62499999999991</v>
      </c>
      <c r="V1249" s="7">
        <v>5.3948</v>
      </c>
      <c r="W1249" s="7">
        <v>1.7548999999999999</v>
      </c>
      <c r="X1249" s="7">
        <v>1.1476266666666699</v>
      </c>
      <c r="Y1249" s="14">
        <f t="shared" si="433"/>
        <v>4.2471733333333299</v>
      </c>
      <c r="Z1249" s="14">
        <f t="shared" si="434"/>
        <v>0.60727333333333</v>
      </c>
      <c r="AA1249" s="36">
        <f t="shared" si="435"/>
        <v>85.701705918917114</v>
      </c>
      <c r="AB1249" s="36">
        <f t="shared" si="436"/>
        <v>14.298294081082886</v>
      </c>
      <c r="AC1249" s="14">
        <f t="shared" si="437"/>
        <v>1.06462256780728</v>
      </c>
      <c r="AD1249" s="14">
        <f t="shared" si="438"/>
        <v>0.15222286559866088</v>
      </c>
      <c r="AE1249" s="36" t="s">
        <v>40</v>
      </c>
      <c r="AF1249" s="66">
        <v>13.173</v>
      </c>
      <c r="AG1249" s="66">
        <v>13.284000000000001</v>
      </c>
      <c r="AH1249" s="66">
        <f t="shared" si="431"/>
        <v>0.11100000000000065</v>
      </c>
      <c r="AI1249" s="66">
        <v>13.179</v>
      </c>
      <c r="AJ1249" s="66">
        <f t="shared" si="439"/>
        <v>6.0000000000002274E-3</v>
      </c>
      <c r="AK1249" s="66">
        <f t="shared" si="440"/>
        <v>94.594594594594412</v>
      </c>
      <c r="AL1249" s="11">
        <f t="shared" si="441"/>
        <v>4.7297297297297209</v>
      </c>
      <c r="AM1249" s="11">
        <f t="shared" si="442"/>
        <v>54.678956413060355</v>
      </c>
      <c r="AN1249" s="11">
        <f t="shared" si="443"/>
        <v>4.7305859379456559</v>
      </c>
      <c r="AO1249">
        <f t="shared" si="444"/>
        <v>0.5780346820809249</v>
      </c>
      <c r="AP1249" s="7"/>
      <c r="AQ1249" s="7"/>
      <c r="AR1249" s="7"/>
      <c r="AS1249" s="7"/>
    </row>
    <row r="1250" spans="1:45" x14ac:dyDescent="0.2">
      <c r="A1250" s="7" t="s">
        <v>90</v>
      </c>
      <c r="B1250" s="7" t="s">
        <v>379</v>
      </c>
      <c r="C1250" s="7" t="s">
        <v>341</v>
      </c>
      <c r="D1250" s="7" t="s">
        <v>380</v>
      </c>
      <c r="E1250" s="33" t="s">
        <v>82</v>
      </c>
      <c r="F1250" s="7">
        <v>127</v>
      </c>
      <c r="G1250" s="13">
        <v>2.2999999999999998</v>
      </c>
      <c r="H1250" s="13">
        <v>2.1</v>
      </c>
      <c r="I1250" s="13">
        <v>1.1000000000000001</v>
      </c>
      <c r="J1250" s="14">
        <f t="shared" si="429"/>
        <v>4.1793400000000016</v>
      </c>
      <c r="K1250" s="37">
        <v>0.21944444444444441</v>
      </c>
      <c r="L1250" s="12">
        <f t="shared" si="450"/>
        <v>24.369444444444461</v>
      </c>
      <c r="M1250" s="12">
        <f t="shared" si="451"/>
        <v>25.469444444444463</v>
      </c>
      <c r="N1250" s="13">
        <f t="shared" si="452"/>
        <v>24.919444444444462</v>
      </c>
      <c r="O1250" s="13">
        <f t="shared" si="453"/>
        <v>144.36944444444435</v>
      </c>
      <c r="P1250" s="13">
        <f t="shared" si="430"/>
        <v>145.46944444444435</v>
      </c>
      <c r="Q1250" s="13">
        <f t="shared" si="445"/>
        <v>144.91944444444437</v>
      </c>
      <c r="R1250" s="13">
        <v>144.36944444444435</v>
      </c>
      <c r="S1250" s="13">
        <v>145.46944444444435</v>
      </c>
      <c r="T1250" s="13">
        <v>144.91944444444437</v>
      </c>
      <c r="U1250" s="13">
        <f t="shared" si="432"/>
        <v>144.91944444444437</v>
      </c>
      <c r="V1250" s="7">
        <v>6.1215000000000002</v>
      </c>
      <c r="W1250" s="7">
        <v>1.9126000000000001</v>
      </c>
      <c r="X1250" s="7">
        <v>1.1476266666666699</v>
      </c>
      <c r="Y1250" s="14">
        <f t="shared" si="433"/>
        <v>4.97387333333333</v>
      </c>
      <c r="Z1250" s="14">
        <f t="shared" si="434"/>
        <v>0.76497333333333017</v>
      </c>
      <c r="AA1250" s="36">
        <f t="shared" si="435"/>
        <v>84.620168587593099</v>
      </c>
      <c r="AB1250" s="36">
        <f t="shared" si="436"/>
        <v>15.379831412406901</v>
      </c>
      <c r="AC1250" s="14">
        <f t="shared" si="437"/>
        <v>1.190109762147451</v>
      </c>
      <c r="AD1250" s="14">
        <f t="shared" si="438"/>
        <v>0.18303687504087485</v>
      </c>
      <c r="AE1250" s="36" t="s">
        <v>40</v>
      </c>
      <c r="AF1250" s="66">
        <v>13.603</v>
      </c>
      <c r="AG1250" s="66">
        <v>13.706</v>
      </c>
      <c r="AH1250" s="66">
        <f t="shared" si="431"/>
        <v>0.10299999999999976</v>
      </c>
      <c r="AI1250" s="66">
        <v>13.609</v>
      </c>
      <c r="AJ1250" s="66">
        <f t="shared" si="439"/>
        <v>6.0000000000002274E-3</v>
      </c>
      <c r="AK1250" s="66">
        <f t="shared" si="440"/>
        <v>94.17475728155317</v>
      </c>
      <c r="AL1250" s="11">
        <f t="shared" si="441"/>
        <v>4.7087378640776585</v>
      </c>
      <c r="AM1250" s="11">
        <f t="shared" si="442"/>
        <v>54.436275885290854</v>
      </c>
      <c r="AN1250" s="11">
        <f t="shared" si="443"/>
        <v>4.7095978886311123</v>
      </c>
      <c r="AO1250">
        <f t="shared" si="444"/>
        <v>0.5780346820809249</v>
      </c>
      <c r="AP1250" s="7"/>
      <c r="AQ1250" s="7"/>
      <c r="AR1250" s="7"/>
      <c r="AS1250" s="7"/>
    </row>
    <row r="1251" spans="1:45" x14ac:dyDescent="0.2">
      <c r="A1251" s="7" t="s">
        <v>90</v>
      </c>
      <c r="B1251" s="7" t="s">
        <v>381</v>
      </c>
      <c r="C1251" s="7" t="s">
        <v>341</v>
      </c>
      <c r="D1251" s="7" t="s">
        <v>382</v>
      </c>
      <c r="E1251" s="33" t="s">
        <v>82</v>
      </c>
      <c r="F1251" s="7">
        <v>128</v>
      </c>
      <c r="G1251" s="13">
        <v>2.5</v>
      </c>
      <c r="H1251" s="13">
        <v>2.4500000000000002</v>
      </c>
      <c r="I1251" s="13">
        <v>1.1000000000000001</v>
      </c>
      <c r="J1251" s="14">
        <f t="shared" si="429"/>
        <v>5.2894771875000011</v>
      </c>
      <c r="K1251" s="37">
        <v>0.21944444444444441</v>
      </c>
      <c r="L1251" s="12">
        <f t="shared" si="450"/>
        <v>25.688888888888908</v>
      </c>
      <c r="M1251" s="12">
        <f t="shared" si="451"/>
        <v>26.788888888888909</v>
      </c>
      <c r="N1251" s="13">
        <f t="shared" si="452"/>
        <v>26.238888888888908</v>
      </c>
      <c r="O1251" s="13">
        <f t="shared" si="453"/>
        <v>145.68888888888878</v>
      </c>
      <c r="P1251" s="13">
        <f t="shared" si="430"/>
        <v>146.78888888888878</v>
      </c>
      <c r="Q1251" s="13">
        <f t="shared" si="445"/>
        <v>146.23888888888877</v>
      </c>
      <c r="R1251" s="13">
        <v>145.68888888888878</v>
      </c>
      <c r="S1251" s="13">
        <v>146.78888888888878</v>
      </c>
      <c r="T1251" s="13">
        <v>146.23888888888877</v>
      </c>
      <c r="U1251" s="13">
        <f t="shared" si="432"/>
        <v>146.23888888888877</v>
      </c>
      <c r="V1251" s="7">
        <v>6.9512</v>
      </c>
      <c r="W1251" s="7">
        <v>2.1528</v>
      </c>
      <c r="X1251" s="7">
        <v>1.1476266666666699</v>
      </c>
      <c r="Y1251" s="14">
        <f t="shared" si="433"/>
        <v>5.8035733333333299</v>
      </c>
      <c r="Z1251" s="14">
        <f t="shared" si="434"/>
        <v>1.0051733333333301</v>
      </c>
      <c r="AA1251" s="36">
        <f t="shared" si="435"/>
        <v>82.680095940891647</v>
      </c>
      <c r="AB1251" s="36">
        <f t="shared" si="436"/>
        <v>17.319904059108353</v>
      </c>
      <c r="AC1251" s="14">
        <f t="shared" si="437"/>
        <v>1.0971922418057178</v>
      </c>
      <c r="AD1251" s="14">
        <f t="shared" si="438"/>
        <v>0.19003264362473063</v>
      </c>
      <c r="AE1251" s="36" t="s">
        <v>40</v>
      </c>
      <c r="AF1251" s="66">
        <v>14.398999999999999</v>
      </c>
      <c r="AG1251" s="66">
        <v>14.54</v>
      </c>
      <c r="AH1251" s="66">
        <f t="shared" si="431"/>
        <v>0.14100000000000001</v>
      </c>
      <c r="AI1251" s="66">
        <v>14.435</v>
      </c>
      <c r="AJ1251" s="66">
        <f t="shared" si="439"/>
        <v>3.6000000000001364E-2</v>
      </c>
      <c r="AK1251" s="66">
        <f t="shared" si="440"/>
        <v>74.468085106382006</v>
      </c>
      <c r="AL1251" s="11">
        <f t="shared" si="441"/>
        <v>3.7234042553191005</v>
      </c>
      <c r="AM1251" s="11">
        <f t="shared" si="442"/>
        <v>43.04513589964278</v>
      </c>
      <c r="AN1251" s="11">
        <f t="shared" si="443"/>
        <v>3.724491810774778</v>
      </c>
      <c r="AO1251">
        <f t="shared" si="444"/>
        <v>0.5780346820809249</v>
      </c>
      <c r="AP1251" s="7"/>
      <c r="AQ1251" s="7"/>
      <c r="AR1251" s="7"/>
      <c r="AS1251" s="7"/>
    </row>
    <row r="1252" spans="1:45" x14ac:dyDescent="0.2">
      <c r="A1252" s="7" t="s">
        <v>90</v>
      </c>
      <c r="B1252" s="7" t="s">
        <v>383</v>
      </c>
      <c r="C1252" s="7" t="s">
        <v>341</v>
      </c>
      <c r="D1252" s="7" t="s">
        <v>384</v>
      </c>
      <c r="E1252" s="33" t="s">
        <v>82</v>
      </c>
      <c r="F1252" s="7">
        <v>129</v>
      </c>
      <c r="G1252" s="13">
        <v>2.4</v>
      </c>
      <c r="H1252" s="13">
        <v>2.4</v>
      </c>
      <c r="I1252" s="13">
        <v>1.1000000000000001</v>
      </c>
      <c r="J1252" s="14">
        <f t="shared" ref="J1252:J1305" si="454">(AVERAGE(G1252:H1252)*(AVERAGE(G1252:H1252)*3.14/4*I1252))</f>
        <v>4.9737599999999995</v>
      </c>
      <c r="K1252" s="37">
        <v>0.21944444444444441</v>
      </c>
      <c r="L1252" s="12">
        <f t="shared" si="450"/>
        <v>27.008333333333354</v>
      </c>
      <c r="M1252" s="12">
        <f t="shared" si="451"/>
        <v>28.108333333333356</v>
      </c>
      <c r="N1252" s="13">
        <f t="shared" si="452"/>
        <v>27.558333333333355</v>
      </c>
      <c r="O1252" s="13">
        <f t="shared" si="453"/>
        <v>147.00833333333321</v>
      </c>
      <c r="P1252" s="13">
        <f t="shared" ref="P1252:P1305" si="455">O1252+I1252</f>
        <v>148.10833333333321</v>
      </c>
      <c r="Q1252" s="13">
        <f t="shared" si="445"/>
        <v>147.55833333333322</v>
      </c>
      <c r="R1252" s="13">
        <v>147.00833333333321</v>
      </c>
      <c r="S1252" s="13">
        <v>148.10833333333321</v>
      </c>
      <c r="T1252" s="13">
        <v>147.55833333333322</v>
      </c>
      <c r="U1252" s="13">
        <f t="shared" si="432"/>
        <v>147.55833333333322</v>
      </c>
      <c r="V1252" s="7">
        <v>6.2912999999999997</v>
      </c>
      <c r="W1252" s="7">
        <v>2.0173000000000001</v>
      </c>
      <c r="X1252" s="7">
        <v>1.1476266666666699</v>
      </c>
      <c r="Y1252" s="14">
        <f t="shared" si="433"/>
        <v>5.1436733333333295</v>
      </c>
      <c r="Z1252" s="14">
        <f t="shared" si="434"/>
        <v>0.86967333333333019</v>
      </c>
      <c r="AA1252" s="36">
        <f t="shared" si="435"/>
        <v>83.092368488926894</v>
      </c>
      <c r="AB1252" s="36">
        <f t="shared" si="436"/>
        <v>16.907631511073106</v>
      </c>
      <c r="AC1252" s="14">
        <f t="shared" si="437"/>
        <v>1.034161948572776</v>
      </c>
      <c r="AD1252" s="14">
        <f t="shared" si="438"/>
        <v>0.17485229149241827</v>
      </c>
      <c r="AE1252" s="36" t="s">
        <v>40</v>
      </c>
      <c r="AF1252" s="66">
        <v>14.013</v>
      </c>
      <c r="AG1252" s="66">
        <v>14.141</v>
      </c>
      <c r="AH1252" s="66">
        <f t="shared" ref="AH1252:AH1305" si="456">AG1252-AF1252</f>
        <v>0.12800000000000011</v>
      </c>
      <c r="AI1252" s="66">
        <v>14.023999999999999</v>
      </c>
      <c r="AJ1252" s="66">
        <f t="shared" si="439"/>
        <v>1.0999999999999233E-2</v>
      </c>
      <c r="AK1252" s="66">
        <f t="shared" si="440"/>
        <v>91.406250000000611</v>
      </c>
      <c r="AL1252" s="11">
        <f t="shared" si="441"/>
        <v>4.5703125000000311</v>
      </c>
      <c r="AM1252" s="11">
        <f t="shared" si="442"/>
        <v>52.835982658959892</v>
      </c>
      <c r="AN1252" s="11">
        <f t="shared" si="443"/>
        <v>4.5711985679531066</v>
      </c>
      <c r="AO1252">
        <f t="shared" si="444"/>
        <v>0.5780346820809249</v>
      </c>
      <c r="AP1252" s="7"/>
      <c r="AQ1252" s="7"/>
      <c r="AR1252" s="7"/>
      <c r="AS1252" s="7"/>
    </row>
    <row r="1253" spans="1:45" x14ac:dyDescent="0.2">
      <c r="A1253" s="7" t="s">
        <v>90</v>
      </c>
      <c r="B1253" s="7" t="s">
        <v>385</v>
      </c>
      <c r="C1253" s="7" t="s">
        <v>341</v>
      </c>
      <c r="D1253" s="7" t="s">
        <v>386</v>
      </c>
      <c r="E1253" s="33" t="s">
        <v>82</v>
      </c>
      <c r="F1253" s="7">
        <v>130</v>
      </c>
      <c r="G1253" s="13">
        <v>2.2000000000000002</v>
      </c>
      <c r="H1253" s="13">
        <v>2.2999999999999998</v>
      </c>
      <c r="I1253" s="13">
        <v>1.1000000000000001</v>
      </c>
      <c r="J1253" s="14">
        <f t="shared" si="454"/>
        <v>4.3714687500000009</v>
      </c>
      <c r="K1253" s="37">
        <v>0.21944444444444441</v>
      </c>
      <c r="L1253" s="12">
        <f t="shared" si="450"/>
        <v>28.327777777777801</v>
      </c>
      <c r="M1253" s="12">
        <f t="shared" si="451"/>
        <v>29.427777777777802</v>
      </c>
      <c r="N1253" s="13">
        <f t="shared" si="452"/>
        <v>28.877777777777801</v>
      </c>
      <c r="O1253" s="13">
        <f t="shared" si="453"/>
        <v>148.32777777777764</v>
      </c>
      <c r="P1253" s="13">
        <f t="shared" si="455"/>
        <v>149.42777777777764</v>
      </c>
      <c r="Q1253" s="13">
        <f t="shared" si="445"/>
        <v>148.87777777777762</v>
      </c>
      <c r="R1253" s="13">
        <v>148.32777777777764</v>
      </c>
      <c r="S1253" s="13">
        <v>149.42777777777764</v>
      </c>
      <c r="T1253" s="13">
        <v>148.87777777777762</v>
      </c>
      <c r="U1253" s="13">
        <f t="shared" ref="U1253:U1305" si="457">T1253</f>
        <v>148.87777777777762</v>
      </c>
      <c r="V1253" s="7">
        <v>6.5472999999999999</v>
      </c>
      <c r="W1253" s="7">
        <v>2.0404</v>
      </c>
      <c r="X1253" s="7">
        <v>1.1476266666666699</v>
      </c>
      <c r="Y1253" s="14">
        <f t="shared" ref="Y1253:Y1305" si="458">V1253-X1253</f>
        <v>5.3996733333333298</v>
      </c>
      <c r="Z1253" s="14">
        <f t="shared" ref="Z1253:Z1305" si="459">W1253-X1253</f>
        <v>0.89277333333333009</v>
      </c>
      <c r="AA1253" s="36">
        <f t="shared" ref="AA1253:AA1305" si="460">((Y1253)-(Z1253))/(Y1253)*100</f>
        <v>83.466160298586018</v>
      </c>
      <c r="AB1253" s="36">
        <f t="shared" ref="AB1253:AB1305" si="461">100-AA1253</f>
        <v>16.533839701413982</v>
      </c>
      <c r="AC1253" s="14">
        <f t="shared" ref="AC1253:AC1305" si="462">Y1253/J1253</f>
        <v>1.2352080369631668</v>
      </c>
      <c r="AD1253" s="14">
        <f t="shared" ref="AD1253:AD1305" si="463">Z1253/J1253</f>
        <v>0.20422731681047243</v>
      </c>
      <c r="AE1253" s="36">
        <f>(W1253-$AS$12)/J1253</f>
        <v>0.46675387991736178</v>
      </c>
      <c r="AF1253" s="66">
        <v>13.053000000000001</v>
      </c>
      <c r="AG1253" s="66">
        <v>13.154</v>
      </c>
      <c r="AH1253" s="66">
        <f t="shared" si="456"/>
        <v>0.10099999999999909</v>
      </c>
      <c r="AI1253" s="66">
        <v>13.061999999999999</v>
      </c>
      <c r="AJ1253" s="66">
        <f t="shared" ref="AJ1253:AJ1305" si="464">AI1253-AF1253</f>
        <v>8.9999999999985647E-3</v>
      </c>
      <c r="AK1253" s="66">
        <f t="shared" ref="AK1253:AK1305" si="465">((AG1253-AI1253)/(AG1253-AF1253))*100</f>
        <v>91.089108910892421</v>
      </c>
      <c r="AL1253" s="11">
        <f t="shared" ref="AL1253:AL1305" si="466">AK1253*0.05</f>
        <v>4.5544554455446216</v>
      </c>
      <c r="AM1253" s="11">
        <f t="shared" ref="AM1253:AM1305" si="467">AK1253*AO1253</f>
        <v>52.652664110342442</v>
      </c>
      <c r="AN1253" s="11">
        <f t="shared" ref="AN1253:AN1305" si="468">(AL1253^2+0.09^2)^0.5</f>
        <v>4.5553445978818177</v>
      </c>
      <c r="AO1253">
        <f t="shared" ref="AO1253:AO1305" si="469">1/1.73</f>
        <v>0.5780346820809249</v>
      </c>
      <c r="AP1253" s="7"/>
      <c r="AQ1253" s="7"/>
      <c r="AR1253" s="7"/>
      <c r="AS1253" s="7"/>
    </row>
    <row r="1254" spans="1:45" x14ac:dyDescent="0.2">
      <c r="A1254" s="7" t="s">
        <v>90</v>
      </c>
      <c r="B1254" s="7" t="s">
        <v>387</v>
      </c>
      <c r="C1254" s="7" t="s">
        <v>341</v>
      </c>
      <c r="D1254" s="7" t="s">
        <v>388</v>
      </c>
      <c r="E1254" s="33" t="s">
        <v>82</v>
      </c>
      <c r="F1254" s="7">
        <v>131</v>
      </c>
      <c r="G1254" s="13">
        <v>2</v>
      </c>
      <c r="H1254" s="13">
        <v>2.25</v>
      </c>
      <c r="I1254" s="13">
        <v>1.1499999999999999</v>
      </c>
      <c r="J1254" s="14">
        <f t="shared" si="454"/>
        <v>4.0764804687499998</v>
      </c>
      <c r="K1254" s="37">
        <v>0.21944444444444441</v>
      </c>
      <c r="L1254" s="12">
        <f t="shared" si="450"/>
        <v>29.647222222222247</v>
      </c>
      <c r="M1254" s="12">
        <f t="shared" si="451"/>
        <v>30.797222222222246</v>
      </c>
      <c r="N1254" s="13">
        <f t="shared" si="452"/>
        <v>30.222222222222246</v>
      </c>
      <c r="O1254" s="13">
        <f t="shared" si="453"/>
        <v>149.64722222222207</v>
      </c>
      <c r="P1254" s="13">
        <f t="shared" si="455"/>
        <v>150.79722222222208</v>
      </c>
      <c r="Q1254" s="13">
        <f t="shared" ref="Q1254:Q1305" si="470">O1254+((P1254-O1254)/2)</f>
        <v>150.22222222222206</v>
      </c>
      <c r="R1254" s="13">
        <v>149.64722222222207</v>
      </c>
      <c r="S1254" s="13">
        <v>150.79722222222208</v>
      </c>
      <c r="T1254" s="13">
        <v>150.22222222222206</v>
      </c>
      <c r="U1254" s="13">
        <f t="shared" si="457"/>
        <v>150.22222222222206</v>
      </c>
      <c r="V1254" s="7">
        <v>5.7511000000000001</v>
      </c>
      <c r="W1254" s="7">
        <v>2.0249000000000001</v>
      </c>
      <c r="X1254" s="7">
        <v>1.1476266666666699</v>
      </c>
      <c r="Y1254" s="14">
        <f t="shared" si="458"/>
        <v>4.60347333333333</v>
      </c>
      <c r="Z1254" s="14">
        <f t="shared" si="459"/>
        <v>0.87727333333333024</v>
      </c>
      <c r="AA1254" s="36">
        <f t="shared" si="460"/>
        <v>80.943229822119861</v>
      </c>
      <c r="AB1254" s="36">
        <f t="shared" si="461"/>
        <v>19.056770177880139</v>
      </c>
      <c r="AC1254" s="14">
        <f t="shared" si="462"/>
        <v>1.1292764355485618</v>
      </c>
      <c r="AD1254" s="14">
        <f t="shared" si="463"/>
        <v>0.21520361499544602</v>
      </c>
      <c r="AE1254" s="36" t="s">
        <v>40</v>
      </c>
      <c r="AF1254" s="66">
        <v>13.878</v>
      </c>
      <c r="AG1254" s="66">
        <v>14.023</v>
      </c>
      <c r="AH1254" s="66">
        <f t="shared" si="456"/>
        <v>0.14499999999999957</v>
      </c>
      <c r="AI1254" s="66">
        <v>13.894</v>
      </c>
      <c r="AJ1254" s="66">
        <f t="shared" si="464"/>
        <v>1.6000000000000014E-2</v>
      </c>
      <c r="AK1254" s="66">
        <f t="shared" si="465"/>
        <v>88.96551724137926</v>
      </c>
      <c r="AL1254" s="11">
        <f t="shared" si="466"/>
        <v>4.4482758620689635</v>
      </c>
      <c r="AM1254" s="11">
        <f t="shared" si="467"/>
        <v>51.425154474785707</v>
      </c>
      <c r="AN1254" s="11">
        <f t="shared" si="468"/>
        <v>4.4491862340281259</v>
      </c>
      <c r="AO1254">
        <f t="shared" si="469"/>
        <v>0.5780346820809249</v>
      </c>
      <c r="AP1254" s="7"/>
      <c r="AQ1254" s="7"/>
      <c r="AR1254" s="7"/>
      <c r="AS1254" s="7"/>
    </row>
    <row r="1255" spans="1:45" x14ac:dyDescent="0.2">
      <c r="A1255" s="7" t="s">
        <v>90</v>
      </c>
      <c r="B1255" s="7" t="s">
        <v>389</v>
      </c>
      <c r="C1255" s="7" t="s">
        <v>341</v>
      </c>
      <c r="D1255" s="7" t="s">
        <v>390</v>
      </c>
      <c r="E1255" s="33" t="s">
        <v>82</v>
      </c>
      <c r="F1255" s="7">
        <v>132</v>
      </c>
      <c r="G1255" s="13">
        <v>2.2000000000000002</v>
      </c>
      <c r="H1255" s="13">
        <v>2.35</v>
      </c>
      <c r="I1255" s="13">
        <v>1.05</v>
      </c>
      <c r="J1255" s="14">
        <f t="shared" si="454"/>
        <v>4.2660089062500015</v>
      </c>
      <c r="K1255" s="37">
        <v>0.21944444444444441</v>
      </c>
      <c r="L1255" s="12">
        <f t="shared" si="450"/>
        <v>31.016666666666691</v>
      </c>
      <c r="M1255" s="12">
        <f t="shared" si="451"/>
        <v>32.066666666666691</v>
      </c>
      <c r="N1255" s="13">
        <f t="shared" si="452"/>
        <v>31.541666666666693</v>
      </c>
      <c r="O1255" s="13">
        <f t="shared" si="453"/>
        <v>151.01666666666651</v>
      </c>
      <c r="P1255" s="13">
        <f t="shared" si="455"/>
        <v>152.06666666666652</v>
      </c>
      <c r="Q1255" s="13">
        <f t="shared" si="470"/>
        <v>151.54166666666652</v>
      </c>
      <c r="R1255" s="13">
        <v>151.01666666666651</v>
      </c>
      <c r="S1255" s="13">
        <v>152.06666666666652</v>
      </c>
      <c r="T1255" s="13">
        <v>151.54166666666652</v>
      </c>
      <c r="U1255" s="13">
        <f t="shared" si="457"/>
        <v>151.54166666666652</v>
      </c>
      <c r="V1255" s="7">
        <v>6.2827000000000002</v>
      </c>
      <c r="W1255" s="7">
        <v>2.2052</v>
      </c>
      <c r="X1255" s="7">
        <v>1.1476266666666699</v>
      </c>
      <c r="Y1255" s="14">
        <f t="shared" si="458"/>
        <v>5.13507333333333</v>
      </c>
      <c r="Z1255" s="14">
        <f t="shared" si="459"/>
        <v>1.0575733333333301</v>
      </c>
      <c r="AA1255" s="36">
        <f t="shared" si="460"/>
        <v>79.404903013394204</v>
      </c>
      <c r="AB1255" s="36">
        <f t="shared" si="461"/>
        <v>20.595096986605796</v>
      </c>
      <c r="AC1255" s="14">
        <f t="shared" si="462"/>
        <v>1.2037183808524377</v>
      </c>
      <c r="AD1255" s="14">
        <f t="shared" si="463"/>
        <v>0.24790696798216039</v>
      </c>
      <c r="AE1255" s="36" t="s">
        <v>40</v>
      </c>
      <c r="AF1255" s="66">
        <v>13.622999999999999</v>
      </c>
      <c r="AG1255" s="66">
        <v>13.760999999999999</v>
      </c>
      <c r="AH1255" s="66">
        <f t="shared" si="456"/>
        <v>0.1379999999999999</v>
      </c>
      <c r="AI1255" s="66">
        <v>13.638</v>
      </c>
      <c r="AJ1255" s="66">
        <f t="shared" si="464"/>
        <v>1.5000000000000568E-2</v>
      </c>
      <c r="AK1255" s="66">
        <f t="shared" si="465"/>
        <v>89.130434782608276</v>
      </c>
      <c r="AL1255" s="11">
        <f t="shared" si="466"/>
        <v>4.4565217391304142</v>
      </c>
      <c r="AM1255" s="11">
        <f t="shared" si="467"/>
        <v>51.520482533299585</v>
      </c>
      <c r="AN1255" s="11">
        <f t="shared" si="468"/>
        <v>4.4574304269771803</v>
      </c>
      <c r="AO1255">
        <f t="shared" si="469"/>
        <v>0.5780346820809249</v>
      </c>
      <c r="AP1255" s="7"/>
      <c r="AQ1255" s="7"/>
      <c r="AR1255" s="7"/>
      <c r="AS1255" s="7"/>
    </row>
    <row r="1256" spans="1:45" x14ac:dyDescent="0.2">
      <c r="A1256" s="7" t="s">
        <v>90</v>
      </c>
      <c r="B1256" s="7" t="s">
        <v>391</v>
      </c>
      <c r="C1256" s="7" t="s">
        <v>341</v>
      </c>
      <c r="D1256" s="7" t="s">
        <v>392</v>
      </c>
      <c r="E1256" s="33" t="s">
        <v>82</v>
      </c>
      <c r="F1256" s="7">
        <v>133</v>
      </c>
      <c r="G1256" s="13">
        <v>2.25</v>
      </c>
      <c r="H1256" s="13">
        <v>2.4</v>
      </c>
      <c r="I1256" s="13">
        <v>1.1000000000000001</v>
      </c>
      <c r="J1256" s="14">
        <f t="shared" si="454"/>
        <v>4.6677571875000012</v>
      </c>
      <c r="K1256" s="37">
        <v>0.21944444444444441</v>
      </c>
      <c r="L1256" s="12">
        <f t="shared" si="450"/>
        <v>32.286111111111133</v>
      </c>
      <c r="M1256" s="12">
        <f t="shared" si="451"/>
        <v>33.386111111111134</v>
      </c>
      <c r="N1256" s="13">
        <f t="shared" si="452"/>
        <v>32.836111111111137</v>
      </c>
      <c r="O1256" s="13">
        <f t="shared" si="453"/>
        <v>152.28611111111096</v>
      </c>
      <c r="P1256" s="13">
        <f t="shared" si="455"/>
        <v>153.38611111111095</v>
      </c>
      <c r="Q1256" s="13">
        <f t="shared" si="470"/>
        <v>152.83611111111094</v>
      </c>
      <c r="R1256" s="13">
        <v>152.28611111111096</v>
      </c>
      <c r="S1256" s="13">
        <v>153.38611111111095</v>
      </c>
      <c r="T1256" s="13">
        <v>152.83611111111094</v>
      </c>
      <c r="U1256" s="13">
        <f t="shared" si="457"/>
        <v>152.83611111111094</v>
      </c>
      <c r="V1256" s="7">
        <v>6.9440999999999997</v>
      </c>
      <c r="W1256" s="7">
        <v>2.3565999999999998</v>
      </c>
      <c r="X1256" s="7">
        <v>1.1476266666666699</v>
      </c>
      <c r="Y1256" s="14">
        <f t="shared" si="458"/>
        <v>5.7964733333333296</v>
      </c>
      <c r="Z1256" s="14">
        <f t="shared" si="459"/>
        <v>1.2089733333333299</v>
      </c>
      <c r="AA1256" s="36">
        <f t="shared" si="460"/>
        <v>79.142950138647564</v>
      </c>
      <c r="AB1256" s="36">
        <f t="shared" si="461"/>
        <v>20.857049861352436</v>
      </c>
      <c r="AC1256" s="14">
        <f t="shared" si="462"/>
        <v>1.2418112383514655</v>
      </c>
      <c r="AD1256" s="14">
        <f t="shared" si="463"/>
        <v>0.25900518916684323</v>
      </c>
      <c r="AE1256" s="36">
        <f>(W1256-$AS$12)/J1256</f>
        <v>0.50486773526070416</v>
      </c>
      <c r="AF1256" s="66">
        <v>13.481</v>
      </c>
      <c r="AG1256" s="66">
        <v>13.62</v>
      </c>
      <c r="AH1256" s="66">
        <f t="shared" si="456"/>
        <v>0.13899999999999935</v>
      </c>
      <c r="AI1256" s="66">
        <v>13.496</v>
      </c>
      <c r="AJ1256" s="66">
        <f t="shared" si="464"/>
        <v>1.5000000000000568E-2</v>
      </c>
      <c r="AK1256" s="66">
        <f t="shared" si="465"/>
        <v>89.208633093524725</v>
      </c>
      <c r="AL1256" s="11">
        <f t="shared" si="466"/>
        <v>4.4604316546762366</v>
      </c>
      <c r="AM1256" s="11">
        <f t="shared" si="467"/>
        <v>51.56568386908944</v>
      </c>
      <c r="AN1256" s="11">
        <f t="shared" si="468"/>
        <v>4.4613395461495404</v>
      </c>
      <c r="AO1256">
        <f t="shared" si="469"/>
        <v>0.5780346820809249</v>
      </c>
      <c r="AP1256" s="7"/>
      <c r="AQ1256" s="7"/>
      <c r="AR1256" s="7"/>
      <c r="AS1256" s="7"/>
    </row>
    <row r="1257" spans="1:45" x14ac:dyDescent="0.2">
      <c r="A1257" s="7" t="s">
        <v>90</v>
      </c>
      <c r="B1257" s="7" t="s">
        <v>393</v>
      </c>
      <c r="C1257" s="7" t="s">
        <v>341</v>
      </c>
      <c r="D1257" s="7" t="s">
        <v>394</v>
      </c>
      <c r="E1257" s="33" t="s">
        <v>82</v>
      </c>
      <c r="F1257" s="7">
        <v>134</v>
      </c>
      <c r="G1257" s="13">
        <v>2.25</v>
      </c>
      <c r="H1257" s="13">
        <v>2.5</v>
      </c>
      <c r="I1257" s="13">
        <v>1.2</v>
      </c>
      <c r="J1257" s="14">
        <f t="shared" si="454"/>
        <v>5.3134687500000002</v>
      </c>
      <c r="K1257" s="37">
        <v>0.21944444444444441</v>
      </c>
      <c r="L1257" s="12">
        <f t="shared" si="450"/>
        <v>33.605555555555576</v>
      </c>
      <c r="M1257" s="12">
        <f t="shared" si="451"/>
        <v>34.805555555555578</v>
      </c>
      <c r="N1257" s="13">
        <f t="shared" si="452"/>
        <v>34.205555555555577</v>
      </c>
      <c r="O1257" s="13">
        <f t="shared" si="453"/>
        <v>153.60555555555538</v>
      </c>
      <c r="P1257" s="13">
        <f t="shared" si="455"/>
        <v>154.80555555555537</v>
      </c>
      <c r="Q1257" s="13">
        <f t="shared" si="470"/>
        <v>154.20555555555538</v>
      </c>
      <c r="R1257" s="13">
        <v>153.60555555555538</v>
      </c>
      <c r="S1257" s="13">
        <v>154.80555555555537</v>
      </c>
      <c r="T1257" s="13">
        <v>154.20555555555538</v>
      </c>
      <c r="U1257" s="13">
        <f t="shared" si="457"/>
        <v>154.20555555555538</v>
      </c>
      <c r="V1257" s="7">
        <v>6.4740000000000002</v>
      </c>
      <c r="W1257" s="7">
        <v>2.2808000000000002</v>
      </c>
      <c r="X1257" s="7">
        <v>1.1476266666666699</v>
      </c>
      <c r="Y1257" s="14">
        <f t="shared" si="458"/>
        <v>5.3263733333333301</v>
      </c>
      <c r="Z1257" s="14">
        <f t="shared" si="459"/>
        <v>1.1331733333333303</v>
      </c>
      <c r="AA1257" s="36">
        <f t="shared" si="460"/>
        <v>78.725236433545831</v>
      </c>
      <c r="AB1257" s="36">
        <f t="shared" si="461"/>
        <v>21.274763566454169</v>
      </c>
      <c r="AC1257" s="14">
        <f t="shared" si="462"/>
        <v>1.0024286551668022</v>
      </c>
      <c r="AD1257" s="14">
        <f t="shared" si="463"/>
        <v>0.21326432630912343</v>
      </c>
      <c r="AE1257" s="36">
        <f>(W1257-$AS$12)/J1257</f>
        <v>0.42924878404526234</v>
      </c>
      <c r="AF1257" s="66">
        <v>13.166</v>
      </c>
      <c r="AG1257" s="66">
        <v>13.343</v>
      </c>
      <c r="AH1257" s="66">
        <f t="shared" si="456"/>
        <v>0.1769999999999996</v>
      </c>
      <c r="AI1257" s="66">
        <v>13.185</v>
      </c>
      <c r="AJ1257" s="66">
        <f t="shared" si="464"/>
        <v>1.9000000000000128E-2</v>
      </c>
      <c r="AK1257" s="66">
        <f t="shared" si="465"/>
        <v>89.265536723163734</v>
      </c>
      <c r="AL1257" s="11">
        <f t="shared" si="466"/>
        <v>4.4632768361581867</v>
      </c>
      <c r="AM1257" s="11">
        <f t="shared" si="467"/>
        <v>51.598576140557078</v>
      </c>
      <c r="AN1257" s="11">
        <f t="shared" si="468"/>
        <v>4.4641841490003786</v>
      </c>
      <c r="AO1257">
        <f t="shared" si="469"/>
        <v>0.5780346820809249</v>
      </c>
      <c r="AP1257" s="7"/>
      <c r="AQ1257" s="7"/>
      <c r="AR1257" s="7"/>
      <c r="AS1257" s="7"/>
    </row>
    <row r="1258" spans="1:45" x14ac:dyDescent="0.2">
      <c r="A1258" s="7" t="s">
        <v>90</v>
      </c>
      <c r="B1258" s="7" t="s">
        <v>395</v>
      </c>
      <c r="C1258" s="7" t="s">
        <v>341</v>
      </c>
      <c r="D1258" s="7" t="s">
        <v>396</v>
      </c>
      <c r="E1258" s="33" t="s">
        <v>82</v>
      </c>
      <c r="F1258" s="7">
        <v>135</v>
      </c>
      <c r="G1258" s="13">
        <v>2.2999999999999998</v>
      </c>
      <c r="H1258" s="13">
        <v>2.4</v>
      </c>
      <c r="I1258" s="13">
        <v>1.2</v>
      </c>
      <c r="J1258" s="14">
        <f t="shared" si="454"/>
        <v>5.2021949999999988</v>
      </c>
      <c r="K1258" s="37">
        <v>0.21944444444444441</v>
      </c>
      <c r="L1258" s="12">
        <f t="shared" si="450"/>
        <v>35.02500000000002</v>
      </c>
      <c r="M1258" s="12">
        <f t="shared" si="451"/>
        <v>36.225000000000023</v>
      </c>
      <c r="N1258" s="13">
        <f t="shared" si="452"/>
        <v>35.625000000000021</v>
      </c>
      <c r="O1258" s="13">
        <f t="shared" si="453"/>
        <v>155.02499999999981</v>
      </c>
      <c r="P1258" s="13">
        <f t="shared" si="455"/>
        <v>156.2249999999998</v>
      </c>
      <c r="Q1258" s="13">
        <f t="shared" si="470"/>
        <v>155.6249999999998</v>
      </c>
      <c r="R1258" s="13">
        <v>155.02499999999981</v>
      </c>
      <c r="S1258" s="13">
        <v>156.2249999999998</v>
      </c>
      <c r="T1258" s="13">
        <v>155.6249999999998</v>
      </c>
      <c r="U1258" s="13">
        <f t="shared" si="457"/>
        <v>155.6249999999998</v>
      </c>
      <c r="V1258" s="7">
        <v>6.8380000000000001</v>
      </c>
      <c r="W1258" s="7">
        <v>2.2902999999999998</v>
      </c>
      <c r="X1258" s="7">
        <v>1.1476266666666699</v>
      </c>
      <c r="Y1258" s="14">
        <f t="shared" si="458"/>
        <v>5.69037333333333</v>
      </c>
      <c r="Z1258" s="14">
        <f t="shared" si="459"/>
        <v>1.1426733333333299</v>
      </c>
      <c r="AA1258" s="36">
        <f t="shared" si="460"/>
        <v>79.919185150124932</v>
      </c>
      <c r="AB1258" s="36">
        <f t="shared" si="461"/>
        <v>20.080814849875068</v>
      </c>
      <c r="AC1258" s="14">
        <f t="shared" si="462"/>
        <v>1.0938408370569215</v>
      </c>
      <c r="AD1258" s="14">
        <f t="shared" si="463"/>
        <v>0.21965215324172396</v>
      </c>
      <c r="AE1258" s="36" t="s">
        <v>40</v>
      </c>
      <c r="AF1258" s="66">
        <v>13.454000000000001</v>
      </c>
      <c r="AG1258" s="66">
        <v>13.577999999999999</v>
      </c>
      <c r="AH1258" s="66">
        <f t="shared" si="456"/>
        <v>0.12399999999999878</v>
      </c>
      <c r="AI1258" s="66">
        <v>13.468</v>
      </c>
      <c r="AJ1258" s="66">
        <f t="shared" si="464"/>
        <v>1.3999999999999346E-2</v>
      </c>
      <c r="AK1258" s="66">
        <f t="shared" si="465"/>
        <v>88.709677419355259</v>
      </c>
      <c r="AL1258" s="11">
        <f t="shared" si="466"/>
        <v>4.4354838709677633</v>
      </c>
      <c r="AM1258" s="11">
        <f t="shared" si="467"/>
        <v>51.277270184598422</v>
      </c>
      <c r="AN1258" s="11">
        <f t="shared" si="468"/>
        <v>4.4363968679115233</v>
      </c>
      <c r="AO1258">
        <f t="shared" si="469"/>
        <v>0.5780346820809249</v>
      </c>
      <c r="AP1258" s="7"/>
      <c r="AQ1258" s="7"/>
      <c r="AR1258" s="7"/>
      <c r="AS1258" s="7"/>
    </row>
    <row r="1259" spans="1:45" x14ac:dyDescent="0.2">
      <c r="A1259" s="7" t="s">
        <v>90</v>
      </c>
      <c r="B1259" s="7" t="s">
        <v>397</v>
      </c>
      <c r="C1259" s="7" t="s">
        <v>341</v>
      </c>
      <c r="D1259" s="7" t="s">
        <v>398</v>
      </c>
      <c r="E1259" s="33" t="s">
        <v>82</v>
      </c>
      <c r="F1259" s="7">
        <v>136</v>
      </c>
      <c r="G1259" s="13">
        <v>1.9</v>
      </c>
      <c r="H1259" s="13">
        <v>2.15</v>
      </c>
      <c r="I1259" s="13">
        <v>1.1499999999999999</v>
      </c>
      <c r="J1259" s="14">
        <f t="shared" si="454"/>
        <v>3.7018392187499995</v>
      </c>
      <c r="K1259" s="37">
        <v>0.21944444444444441</v>
      </c>
      <c r="L1259" s="12">
        <f t="shared" si="450"/>
        <v>36.444444444444464</v>
      </c>
      <c r="M1259" s="12">
        <f t="shared" si="451"/>
        <v>37.594444444444463</v>
      </c>
      <c r="N1259" s="13">
        <f t="shared" si="452"/>
        <v>37.01944444444446</v>
      </c>
      <c r="O1259" s="13">
        <f t="shared" si="453"/>
        <v>156.44444444444423</v>
      </c>
      <c r="P1259" s="13">
        <f t="shared" si="455"/>
        <v>157.59444444444424</v>
      </c>
      <c r="Q1259" s="13">
        <f t="shared" si="470"/>
        <v>157.01944444444422</v>
      </c>
      <c r="R1259" s="13">
        <v>156.44444444444423</v>
      </c>
      <c r="S1259" s="13">
        <v>157.59444444444424</v>
      </c>
      <c r="T1259" s="13">
        <v>157.01944444444422</v>
      </c>
      <c r="U1259" s="13">
        <f t="shared" si="457"/>
        <v>157.01944444444422</v>
      </c>
      <c r="V1259" s="7">
        <v>5.9672999999999998</v>
      </c>
      <c r="W1259" s="7">
        <v>2.1541999999999999</v>
      </c>
      <c r="X1259" s="7">
        <v>1.1476266666666699</v>
      </c>
      <c r="Y1259" s="14">
        <f t="shared" si="458"/>
        <v>4.8196733333333297</v>
      </c>
      <c r="Z1259" s="14">
        <f t="shared" si="459"/>
        <v>1.00657333333333</v>
      </c>
      <c r="AA1259" s="36">
        <f t="shared" si="460"/>
        <v>79.115320402074332</v>
      </c>
      <c r="AB1259" s="36">
        <f t="shared" si="461"/>
        <v>20.884679597925668</v>
      </c>
      <c r="AC1259" s="14">
        <f t="shared" si="462"/>
        <v>1.3019672245410996</v>
      </c>
      <c r="AD1259" s="14">
        <f t="shared" si="463"/>
        <v>0.27191168331541415</v>
      </c>
      <c r="AE1259" s="36">
        <f>(W1259-$AS$12)/J1259</f>
        <v>0.58192694839064585</v>
      </c>
      <c r="AF1259" s="66">
        <v>12.271000000000001</v>
      </c>
      <c r="AG1259" s="66">
        <v>12.397</v>
      </c>
      <c r="AH1259" s="66">
        <f t="shared" si="456"/>
        <v>0.12599999999999945</v>
      </c>
      <c r="AI1259" s="66">
        <v>12.282999999999999</v>
      </c>
      <c r="AJ1259" s="66">
        <f t="shared" si="464"/>
        <v>1.1999999999998678E-2</v>
      </c>
      <c r="AK1259" s="66">
        <f t="shared" si="465"/>
        <v>90.476190476191491</v>
      </c>
      <c r="AL1259" s="11">
        <f t="shared" si="466"/>
        <v>4.5238095238095744</v>
      </c>
      <c r="AM1259" s="11">
        <f t="shared" si="467"/>
        <v>52.298375997798551</v>
      </c>
      <c r="AN1259" s="11">
        <f t="shared" si="468"/>
        <v>4.5247046983985824</v>
      </c>
      <c r="AO1259">
        <f t="shared" si="469"/>
        <v>0.5780346820809249</v>
      </c>
      <c r="AP1259" s="7"/>
      <c r="AQ1259" s="7"/>
      <c r="AR1259" s="7"/>
      <c r="AS1259" s="7"/>
    </row>
    <row r="1260" spans="1:45" x14ac:dyDescent="0.2">
      <c r="A1260" s="7" t="s">
        <v>90</v>
      </c>
      <c r="B1260" s="7" t="s">
        <v>399</v>
      </c>
      <c r="C1260" s="7" t="s">
        <v>341</v>
      </c>
      <c r="D1260" s="7" t="s">
        <v>400</v>
      </c>
      <c r="E1260" s="33" t="s">
        <v>82</v>
      </c>
      <c r="F1260" s="7">
        <v>137</v>
      </c>
      <c r="G1260" s="13">
        <v>2.2000000000000002</v>
      </c>
      <c r="H1260" s="13">
        <v>2.5</v>
      </c>
      <c r="I1260" s="13">
        <v>1</v>
      </c>
      <c r="J1260" s="14">
        <f t="shared" si="454"/>
        <v>4.3351625</v>
      </c>
      <c r="K1260" s="37">
        <v>0.21944444444444441</v>
      </c>
      <c r="L1260" s="12">
        <f t="shared" si="450"/>
        <v>37.813888888888904</v>
      </c>
      <c r="M1260" s="12">
        <f t="shared" si="451"/>
        <v>38.813888888888904</v>
      </c>
      <c r="N1260" s="13">
        <f t="shared" si="452"/>
        <v>38.313888888888904</v>
      </c>
      <c r="O1260" s="13">
        <f t="shared" si="453"/>
        <v>157.81388888888867</v>
      </c>
      <c r="P1260" s="13">
        <f t="shared" si="455"/>
        <v>158.81388888888867</v>
      </c>
      <c r="Q1260" s="13">
        <f t="shared" si="470"/>
        <v>158.31388888888867</v>
      </c>
      <c r="R1260" s="13">
        <v>157.81388888888867</v>
      </c>
      <c r="S1260" s="13">
        <v>158.81388888888867</v>
      </c>
      <c r="T1260" s="13">
        <v>158.31388888888867</v>
      </c>
      <c r="U1260" s="13">
        <f t="shared" si="457"/>
        <v>158.31388888888867</v>
      </c>
      <c r="V1260" s="7">
        <v>6.3917000000000002</v>
      </c>
      <c r="W1260" s="7">
        <v>2.2635999999999998</v>
      </c>
      <c r="X1260" s="7">
        <v>1.1476266666666699</v>
      </c>
      <c r="Y1260" s="14">
        <f t="shared" si="458"/>
        <v>5.24407333333333</v>
      </c>
      <c r="Z1260" s="14">
        <f t="shared" si="459"/>
        <v>1.1159733333333299</v>
      </c>
      <c r="AA1260" s="36">
        <f t="shared" si="460"/>
        <v>78.719341580527143</v>
      </c>
      <c r="AB1260" s="36">
        <f t="shared" si="461"/>
        <v>21.280658419472857</v>
      </c>
      <c r="AC1260" s="14">
        <f t="shared" si="462"/>
        <v>1.2096601530700015</v>
      </c>
      <c r="AD1260" s="14">
        <f t="shared" si="463"/>
        <v>0.25742364521129946</v>
      </c>
      <c r="AE1260" s="36" t="s">
        <v>40</v>
      </c>
      <c r="AF1260" s="66">
        <v>12.164999999999999</v>
      </c>
      <c r="AG1260" s="66">
        <v>12.35</v>
      </c>
      <c r="AH1260" s="66">
        <f t="shared" si="456"/>
        <v>0.1850000000000005</v>
      </c>
      <c r="AI1260" s="66">
        <v>12.182</v>
      </c>
      <c r="AJ1260" s="66">
        <f t="shared" si="464"/>
        <v>1.7000000000001236E-2</v>
      </c>
      <c r="AK1260" s="66">
        <f t="shared" si="465"/>
        <v>90.810810810810167</v>
      </c>
      <c r="AL1260" s="11">
        <f t="shared" si="466"/>
        <v>4.5405405405405084</v>
      </c>
      <c r="AM1260" s="11">
        <f t="shared" si="467"/>
        <v>52.491798156537676</v>
      </c>
      <c r="AN1260" s="11">
        <f t="shared" si="468"/>
        <v>4.5414324172326834</v>
      </c>
      <c r="AO1260">
        <f t="shared" si="469"/>
        <v>0.5780346820809249</v>
      </c>
      <c r="AP1260" s="7"/>
      <c r="AQ1260" s="7"/>
      <c r="AR1260" s="7"/>
      <c r="AS1260" s="7"/>
    </row>
    <row r="1261" spans="1:45" x14ac:dyDescent="0.2">
      <c r="A1261" s="7" t="s">
        <v>90</v>
      </c>
      <c r="B1261" s="7" t="s">
        <v>401</v>
      </c>
      <c r="C1261" s="7" t="s">
        <v>341</v>
      </c>
      <c r="D1261" s="7" t="s">
        <v>402</v>
      </c>
      <c r="E1261" s="33" t="s">
        <v>82</v>
      </c>
      <c r="F1261" s="7">
        <v>138</v>
      </c>
      <c r="G1261" s="12">
        <v>2.2999999999999998</v>
      </c>
      <c r="H1261" s="12">
        <v>2.35</v>
      </c>
      <c r="I1261" s="12">
        <v>1.1000000000000001</v>
      </c>
      <c r="J1261" s="14">
        <f t="shared" si="454"/>
        <v>4.6677571875000012</v>
      </c>
      <c r="K1261" s="37">
        <v>0.21944444444444441</v>
      </c>
      <c r="L1261" s="12">
        <f t="shared" si="450"/>
        <v>39.033333333333346</v>
      </c>
      <c r="M1261" s="12">
        <f t="shared" si="451"/>
        <v>40.133333333333347</v>
      </c>
      <c r="N1261" s="13">
        <f t="shared" si="452"/>
        <v>39.583333333333343</v>
      </c>
      <c r="O1261" s="13">
        <f t="shared" si="453"/>
        <v>159.0333333333331</v>
      </c>
      <c r="P1261" s="13">
        <f t="shared" si="455"/>
        <v>160.1333333333331</v>
      </c>
      <c r="Q1261" s="13">
        <f t="shared" si="470"/>
        <v>159.58333333333309</v>
      </c>
      <c r="R1261" s="13">
        <v>159.0333333333331</v>
      </c>
      <c r="S1261" s="13">
        <v>160.1333333333331</v>
      </c>
      <c r="T1261" s="13">
        <v>159.58333333333309</v>
      </c>
      <c r="U1261" s="13">
        <f t="shared" si="457"/>
        <v>159.58333333333309</v>
      </c>
      <c r="V1261" s="7">
        <v>6.4138000000000002</v>
      </c>
      <c r="W1261" s="7">
        <v>2.3117000000000001</v>
      </c>
      <c r="X1261" s="7">
        <v>1.1476266666666699</v>
      </c>
      <c r="Y1261" s="14">
        <f t="shared" si="458"/>
        <v>5.26617333333333</v>
      </c>
      <c r="Z1261" s="14">
        <f t="shared" si="459"/>
        <v>1.1640733333333302</v>
      </c>
      <c r="AA1261" s="36">
        <f t="shared" si="460"/>
        <v>77.895271202619028</v>
      </c>
      <c r="AB1261" s="36">
        <f t="shared" si="461"/>
        <v>22.104728797380972</v>
      </c>
      <c r="AC1261" s="14">
        <f t="shared" si="462"/>
        <v>1.1282020726004889</v>
      </c>
      <c r="AD1261" s="14">
        <f t="shared" si="463"/>
        <v>0.24938600843476927</v>
      </c>
      <c r="AE1261" s="36" t="s">
        <v>40</v>
      </c>
      <c r="AF1261" s="66">
        <v>10.41</v>
      </c>
      <c r="AG1261" s="66">
        <v>10.593</v>
      </c>
      <c r="AH1261" s="66">
        <f t="shared" si="456"/>
        <v>0.18299999999999983</v>
      </c>
      <c r="AI1261" s="66">
        <v>10.432</v>
      </c>
      <c r="AJ1261" s="66">
        <f t="shared" si="464"/>
        <v>2.2000000000000242E-2</v>
      </c>
      <c r="AK1261" s="66">
        <f t="shared" si="465"/>
        <v>87.978142076502593</v>
      </c>
      <c r="AL1261" s="11">
        <f t="shared" si="466"/>
        <v>4.3989071038251302</v>
      </c>
      <c r="AM1261" s="11">
        <f t="shared" si="467"/>
        <v>50.85441738526162</v>
      </c>
      <c r="AN1261" s="11">
        <f t="shared" si="468"/>
        <v>4.3998276907264442</v>
      </c>
      <c r="AO1261">
        <f t="shared" si="469"/>
        <v>0.5780346820809249</v>
      </c>
      <c r="AP1261" s="7"/>
      <c r="AQ1261" s="7"/>
      <c r="AR1261" s="7"/>
      <c r="AS1261" s="7"/>
    </row>
    <row r="1262" spans="1:45" x14ac:dyDescent="0.2">
      <c r="A1262" s="7" t="s">
        <v>90</v>
      </c>
      <c r="B1262" s="7" t="s">
        <v>403</v>
      </c>
      <c r="C1262" s="7" t="s">
        <v>341</v>
      </c>
      <c r="D1262" s="7" t="s">
        <v>404</v>
      </c>
      <c r="E1262" s="33" t="s">
        <v>82</v>
      </c>
      <c r="F1262" s="7">
        <v>139</v>
      </c>
      <c r="G1262" s="12">
        <v>2.6</v>
      </c>
      <c r="H1262" s="12">
        <v>2.4</v>
      </c>
      <c r="I1262" s="12">
        <v>1.1000000000000001</v>
      </c>
      <c r="J1262" s="14">
        <f t="shared" si="454"/>
        <v>5.3968750000000014</v>
      </c>
      <c r="K1262" s="37">
        <v>0.21944444444444441</v>
      </c>
      <c r="L1262" s="12">
        <f t="shared" si="450"/>
        <v>40.352777777777789</v>
      </c>
      <c r="M1262" s="12">
        <f t="shared" si="451"/>
        <v>41.45277777777779</v>
      </c>
      <c r="N1262" s="13">
        <f t="shared" si="452"/>
        <v>40.902777777777786</v>
      </c>
      <c r="O1262" s="13">
        <f t="shared" si="453"/>
        <v>160.35277777777753</v>
      </c>
      <c r="P1262" s="13">
        <f t="shared" si="455"/>
        <v>161.45277777777753</v>
      </c>
      <c r="Q1262" s="13">
        <f t="shared" si="470"/>
        <v>160.90277777777754</v>
      </c>
      <c r="R1262" s="13">
        <v>160.35277777777753</v>
      </c>
      <c r="S1262" s="13">
        <v>161.45277777777753</v>
      </c>
      <c r="T1262" s="13">
        <v>160.90277777777754</v>
      </c>
      <c r="U1262" s="13">
        <f t="shared" si="457"/>
        <v>160.90277777777754</v>
      </c>
      <c r="V1262" s="7">
        <v>7.1966000000000001</v>
      </c>
      <c r="W1262" s="7">
        <v>2.1876000000000002</v>
      </c>
      <c r="X1262" s="7">
        <v>1.1476266666666699</v>
      </c>
      <c r="Y1262" s="14">
        <f t="shared" si="458"/>
        <v>6.04897333333333</v>
      </c>
      <c r="Z1262" s="14">
        <f t="shared" si="459"/>
        <v>1.0399733333333303</v>
      </c>
      <c r="AA1262" s="36">
        <f t="shared" si="460"/>
        <v>82.807440601490541</v>
      </c>
      <c r="AB1262" s="36">
        <f t="shared" si="461"/>
        <v>17.192559398509459</v>
      </c>
      <c r="AC1262" s="14">
        <f t="shared" si="462"/>
        <v>1.1208288747346062</v>
      </c>
      <c r="AD1262" s="14">
        <f t="shared" si="463"/>
        <v>0.19269917004439235</v>
      </c>
      <c r="AE1262" s="36">
        <f>(W1262-$AS$12)/J1262</f>
        <v>0.40534568616097272</v>
      </c>
      <c r="AF1262" s="66">
        <v>9.3670000000000009</v>
      </c>
      <c r="AG1262" s="66">
        <v>9.5579999999999998</v>
      </c>
      <c r="AH1262" s="66">
        <f t="shared" si="456"/>
        <v>0.19099999999999895</v>
      </c>
      <c r="AI1262" s="66">
        <v>9.3810000000000002</v>
      </c>
      <c r="AJ1262" s="66">
        <f t="shared" si="464"/>
        <v>1.3999999999999346E-2</v>
      </c>
      <c r="AK1262" s="66">
        <f t="shared" si="465"/>
        <v>92.670157068063133</v>
      </c>
      <c r="AL1262" s="11">
        <f t="shared" si="466"/>
        <v>4.6335078534031569</v>
      </c>
      <c r="AM1262" s="11">
        <f t="shared" si="467"/>
        <v>53.566564779227249</v>
      </c>
      <c r="AN1262" s="11">
        <f t="shared" si="468"/>
        <v>4.6343818387729696</v>
      </c>
      <c r="AO1262">
        <f t="shared" si="469"/>
        <v>0.5780346820809249</v>
      </c>
      <c r="AP1262" s="7"/>
      <c r="AQ1262" s="7"/>
      <c r="AR1262" s="7"/>
      <c r="AS1262" s="7"/>
    </row>
    <row r="1263" spans="1:45" x14ac:dyDescent="0.2">
      <c r="A1263" s="7" t="s">
        <v>90</v>
      </c>
      <c r="B1263" s="7" t="s">
        <v>405</v>
      </c>
      <c r="C1263" s="7" t="s">
        <v>341</v>
      </c>
      <c r="D1263" s="7" t="s">
        <v>406</v>
      </c>
      <c r="E1263" s="33" t="s">
        <v>82</v>
      </c>
      <c r="F1263" s="7">
        <v>140</v>
      </c>
      <c r="G1263" s="12">
        <v>2.2999999999999998</v>
      </c>
      <c r="H1263" s="12">
        <v>2.2000000000000002</v>
      </c>
      <c r="I1263" s="12">
        <v>1.1000000000000001</v>
      </c>
      <c r="J1263" s="14">
        <f t="shared" si="454"/>
        <v>4.3714687500000009</v>
      </c>
      <c r="K1263" s="37">
        <v>0.21944444444444441</v>
      </c>
      <c r="L1263" s="12">
        <f t="shared" si="450"/>
        <v>41.672222222222231</v>
      </c>
      <c r="M1263" s="12">
        <f t="shared" si="451"/>
        <v>42.772222222222233</v>
      </c>
      <c r="N1263" s="13">
        <f t="shared" si="452"/>
        <v>42.222222222222229</v>
      </c>
      <c r="O1263" s="13">
        <f t="shared" si="453"/>
        <v>161.67222222222196</v>
      </c>
      <c r="P1263" s="13">
        <f t="shared" si="455"/>
        <v>162.77222222222196</v>
      </c>
      <c r="Q1263" s="13">
        <f t="shared" si="470"/>
        <v>162.22222222222194</v>
      </c>
      <c r="R1263" s="13">
        <v>161.67222222222196</v>
      </c>
      <c r="S1263" s="13">
        <v>162.77222222222196</v>
      </c>
      <c r="T1263" s="13">
        <v>162.22222222222194</v>
      </c>
      <c r="U1263" s="13">
        <f t="shared" si="457"/>
        <v>162.22222222222194</v>
      </c>
      <c r="V1263" s="7">
        <v>6.3956</v>
      </c>
      <c r="W1263" s="7">
        <v>1.9355</v>
      </c>
      <c r="X1263" s="7">
        <v>1.1476266666666699</v>
      </c>
      <c r="Y1263" s="14">
        <f t="shared" si="458"/>
        <v>5.2479733333333298</v>
      </c>
      <c r="Z1263" s="14">
        <f t="shared" si="459"/>
        <v>0.78787333333333009</v>
      </c>
      <c r="AA1263" s="36">
        <f t="shared" si="460"/>
        <v>84.987093430352843</v>
      </c>
      <c r="AB1263" s="36">
        <f t="shared" si="461"/>
        <v>15.012906569647157</v>
      </c>
      <c r="AC1263" s="14">
        <f t="shared" si="462"/>
        <v>1.200505741539003</v>
      </c>
      <c r="AD1263" s="14">
        <f t="shared" si="463"/>
        <v>0.18023080534050023</v>
      </c>
      <c r="AE1263" s="36" t="s">
        <v>40</v>
      </c>
      <c r="AF1263" s="66">
        <v>23.096</v>
      </c>
      <c r="AG1263" s="66">
        <v>23.219000000000001</v>
      </c>
      <c r="AH1263" s="66">
        <f t="shared" si="456"/>
        <v>0.12300000000000111</v>
      </c>
      <c r="AI1263" s="66">
        <v>23.1</v>
      </c>
      <c r="AJ1263" s="66">
        <f t="shared" si="464"/>
        <v>4.0000000000013358E-3</v>
      </c>
      <c r="AK1263" s="66">
        <f t="shared" si="465"/>
        <v>96.747967479673733</v>
      </c>
      <c r="AL1263" s="11">
        <f t="shared" si="466"/>
        <v>4.837398373983687</v>
      </c>
      <c r="AM1263" s="11">
        <f t="shared" si="467"/>
        <v>55.923680624088867</v>
      </c>
      <c r="AN1263" s="11">
        <f t="shared" si="468"/>
        <v>4.8382355284359626</v>
      </c>
      <c r="AO1263">
        <f t="shared" si="469"/>
        <v>0.5780346820809249</v>
      </c>
      <c r="AP1263" s="7"/>
      <c r="AQ1263" s="7"/>
      <c r="AR1263" s="7"/>
      <c r="AS1263" s="7"/>
    </row>
    <row r="1264" spans="1:45" x14ac:dyDescent="0.2">
      <c r="A1264" s="7" t="s">
        <v>90</v>
      </c>
      <c r="B1264" s="7" t="s">
        <v>407</v>
      </c>
      <c r="C1264" s="7" t="s">
        <v>341</v>
      </c>
      <c r="D1264" s="7" t="s">
        <v>408</v>
      </c>
      <c r="E1264" s="33" t="s">
        <v>82</v>
      </c>
      <c r="F1264" s="7">
        <v>141</v>
      </c>
      <c r="G1264" s="12">
        <v>2.35</v>
      </c>
      <c r="H1264" s="12">
        <v>2.4500000000000002</v>
      </c>
      <c r="I1264" s="12">
        <v>1.1000000000000001</v>
      </c>
      <c r="J1264" s="14">
        <f t="shared" si="454"/>
        <v>4.9737600000000022</v>
      </c>
      <c r="K1264" s="37">
        <v>0.21944444444444441</v>
      </c>
      <c r="L1264" s="12">
        <f t="shared" si="450"/>
        <v>42.991666666666674</v>
      </c>
      <c r="M1264" s="12">
        <f t="shared" si="451"/>
        <v>44.091666666666676</v>
      </c>
      <c r="N1264" s="13">
        <f t="shared" si="452"/>
        <v>43.541666666666671</v>
      </c>
      <c r="O1264" s="13">
        <f t="shared" si="453"/>
        <v>162.99166666666639</v>
      </c>
      <c r="P1264" s="13">
        <f t="shared" si="455"/>
        <v>164.09166666666638</v>
      </c>
      <c r="Q1264" s="13">
        <f t="shared" si="470"/>
        <v>163.5416666666664</v>
      </c>
      <c r="R1264" s="13">
        <v>162.99166666666639</v>
      </c>
      <c r="S1264" s="13">
        <v>164.09166666666638</v>
      </c>
      <c r="T1264" s="13">
        <v>163.5416666666664</v>
      </c>
      <c r="U1264" s="13">
        <f t="shared" si="457"/>
        <v>163.5416666666664</v>
      </c>
      <c r="V1264" s="7">
        <v>6.49</v>
      </c>
      <c r="W1264" s="7">
        <v>1.9447000000000001</v>
      </c>
      <c r="X1264" s="7">
        <v>1.1476266666666699</v>
      </c>
      <c r="Y1264" s="14">
        <f t="shared" si="458"/>
        <v>5.3423733333333301</v>
      </c>
      <c r="Z1264" s="14">
        <f t="shared" si="459"/>
        <v>0.79707333333333019</v>
      </c>
      <c r="AA1264" s="36">
        <f t="shared" si="460"/>
        <v>85.080164121813581</v>
      </c>
      <c r="AB1264" s="36">
        <f t="shared" si="461"/>
        <v>14.919835878186419</v>
      </c>
      <c r="AC1264" s="14">
        <f t="shared" si="462"/>
        <v>1.0741116043663803</v>
      </c>
      <c r="AD1264" s="14">
        <f t="shared" si="463"/>
        <v>0.16025568852001904</v>
      </c>
      <c r="AE1264" s="36">
        <f>(W1264-$AS$12)/J1264</f>
        <v>0.39099192562568341</v>
      </c>
      <c r="AF1264" s="66">
        <v>22.863</v>
      </c>
      <c r="AG1264" s="66">
        <v>23.06</v>
      </c>
      <c r="AH1264" s="66">
        <f t="shared" si="456"/>
        <v>0.19699999999999918</v>
      </c>
      <c r="AI1264" s="66">
        <v>22.875</v>
      </c>
      <c r="AJ1264" s="66">
        <f t="shared" si="464"/>
        <v>1.2000000000000455E-2</v>
      </c>
      <c r="AK1264" s="66">
        <f t="shared" si="465"/>
        <v>93.908629441624115</v>
      </c>
      <c r="AL1264" s="11">
        <f t="shared" si="466"/>
        <v>4.6954314720812063</v>
      </c>
      <c r="AM1264" s="11">
        <f t="shared" si="467"/>
        <v>54.282444763944582</v>
      </c>
      <c r="AN1264" s="11">
        <f t="shared" si="468"/>
        <v>4.6962939334128873</v>
      </c>
      <c r="AO1264">
        <f t="shared" si="469"/>
        <v>0.5780346820809249</v>
      </c>
      <c r="AP1264" s="7"/>
      <c r="AQ1264" s="7"/>
      <c r="AR1264" s="7"/>
      <c r="AS1264" s="7"/>
    </row>
    <row r="1265" spans="1:45" x14ac:dyDescent="0.2">
      <c r="A1265" s="7" t="s">
        <v>90</v>
      </c>
      <c r="B1265" s="7" t="s">
        <v>409</v>
      </c>
      <c r="C1265" s="7" t="s">
        <v>341</v>
      </c>
      <c r="D1265" s="7" t="s">
        <v>410</v>
      </c>
      <c r="E1265" s="33" t="s">
        <v>82</v>
      </c>
      <c r="F1265" s="7">
        <v>142</v>
      </c>
      <c r="G1265" s="12">
        <v>2.5</v>
      </c>
      <c r="H1265" s="12">
        <v>2.5</v>
      </c>
      <c r="I1265" s="12">
        <v>1.1499999999999999</v>
      </c>
      <c r="J1265" s="14">
        <f t="shared" si="454"/>
        <v>5.6421875000000004</v>
      </c>
      <c r="K1265" s="37">
        <v>0.21944444444444441</v>
      </c>
      <c r="L1265" s="12">
        <f t="shared" si="450"/>
        <v>44.311111111111117</v>
      </c>
      <c r="M1265" s="12">
        <f t="shared" si="451"/>
        <v>45.461111111111116</v>
      </c>
      <c r="N1265" s="13">
        <f t="shared" si="452"/>
        <v>44.88611111111112</v>
      </c>
      <c r="O1265" s="13">
        <f t="shared" si="453"/>
        <v>164.31111111111082</v>
      </c>
      <c r="P1265" s="13">
        <f t="shared" si="455"/>
        <v>165.46111111111082</v>
      </c>
      <c r="Q1265" s="13">
        <f t="shared" si="470"/>
        <v>164.88611111111084</v>
      </c>
      <c r="R1265" s="13">
        <v>164.31111111111082</v>
      </c>
      <c r="S1265" s="13">
        <v>165.46111111111082</v>
      </c>
      <c r="T1265" s="13">
        <v>164.88611111111084</v>
      </c>
      <c r="U1265" s="13">
        <f t="shared" si="457"/>
        <v>164.88611111111084</v>
      </c>
      <c r="V1265" s="7">
        <v>6.6638999999999999</v>
      </c>
      <c r="W1265" s="7">
        <v>1.9529000000000001</v>
      </c>
      <c r="X1265" s="7">
        <v>1.1476266666666699</v>
      </c>
      <c r="Y1265" s="14">
        <f t="shared" si="458"/>
        <v>5.5162733333333298</v>
      </c>
      <c r="Z1265" s="14">
        <f t="shared" si="459"/>
        <v>0.80527333333333018</v>
      </c>
      <c r="AA1265" s="36">
        <f t="shared" si="460"/>
        <v>85.40185946792586</v>
      </c>
      <c r="AB1265" s="36">
        <f t="shared" si="461"/>
        <v>14.59814053207414</v>
      </c>
      <c r="AC1265" s="14">
        <f t="shared" si="462"/>
        <v>0.97768344872149848</v>
      </c>
      <c r="AD1265" s="14">
        <f t="shared" si="463"/>
        <v>0.14272360380319338</v>
      </c>
      <c r="AE1265" s="36">
        <f>(W1265-$AS$12)/J1265</f>
        <v>0.34612461921905291</v>
      </c>
      <c r="AF1265" s="66">
        <v>14.749000000000001</v>
      </c>
      <c r="AG1265" s="66">
        <v>14.917</v>
      </c>
      <c r="AH1265" s="66">
        <f t="shared" si="456"/>
        <v>0.16799999999999926</v>
      </c>
      <c r="AI1265" s="66">
        <v>14.76</v>
      </c>
      <c r="AJ1265" s="66">
        <f t="shared" si="464"/>
        <v>1.0999999999999233E-2</v>
      </c>
      <c r="AK1265" s="66">
        <f t="shared" si="465"/>
        <v>93.452380952381375</v>
      </c>
      <c r="AL1265" s="11">
        <f t="shared" si="466"/>
        <v>4.6726190476190688</v>
      </c>
      <c r="AM1265" s="11">
        <f t="shared" si="467"/>
        <v>54.018717313515253</v>
      </c>
      <c r="AN1265" s="11">
        <f t="shared" si="468"/>
        <v>4.6734857188369086</v>
      </c>
      <c r="AO1265">
        <f t="shared" si="469"/>
        <v>0.5780346820809249</v>
      </c>
      <c r="AP1265" s="7"/>
      <c r="AQ1265" s="7"/>
      <c r="AR1265" s="7"/>
      <c r="AS1265" s="7"/>
    </row>
    <row r="1266" spans="1:45" x14ac:dyDescent="0.2">
      <c r="A1266" s="7" t="s">
        <v>90</v>
      </c>
      <c r="B1266" s="7" t="s">
        <v>411</v>
      </c>
      <c r="C1266" s="7" t="s">
        <v>341</v>
      </c>
      <c r="D1266" s="7" t="s">
        <v>412</v>
      </c>
      <c r="E1266" s="33" t="s">
        <v>82</v>
      </c>
      <c r="F1266" s="7">
        <v>143</v>
      </c>
      <c r="G1266" s="12">
        <v>2.25</v>
      </c>
      <c r="H1266" s="12">
        <v>2.6</v>
      </c>
      <c r="I1266" s="12">
        <v>1.3</v>
      </c>
      <c r="J1266" s="14">
        <f t="shared" si="454"/>
        <v>6.001177812499999</v>
      </c>
      <c r="K1266" s="37">
        <v>0.21944444444444441</v>
      </c>
      <c r="L1266" s="12">
        <f t="shared" si="450"/>
        <v>45.680555555555557</v>
      </c>
      <c r="M1266" s="12">
        <f t="shared" si="451"/>
        <v>46.980555555555554</v>
      </c>
      <c r="N1266" s="13">
        <f t="shared" si="452"/>
        <v>46.330555555555556</v>
      </c>
      <c r="O1266" s="13">
        <f t="shared" si="453"/>
        <v>165.68055555555526</v>
      </c>
      <c r="P1266" s="13">
        <f t="shared" si="455"/>
        <v>166.98055555555527</v>
      </c>
      <c r="Q1266" s="13">
        <f t="shared" si="470"/>
        <v>166.33055555555526</v>
      </c>
      <c r="R1266" s="13">
        <v>165.68055555555526</v>
      </c>
      <c r="S1266" s="13">
        <v>166.98055555555527</v>
      </c>
      <c r="T1266" s="13">
        <v>166.33055555555526</v>
      </c>
      <c r="U1266" s="13">
        <f t="shared" si="457"/>
        <v>166.33055555555526</v>
      </c>
      <c r="V1266" s="7">
        <v>7.1051000000000002</v>
      </c>
      <c r="W1266" s="7">
        <v>2.0032999999999999</v>
      </c>
      <c r="X1266" s="7">
        <v>1.1476266666666699</v>
      </c>
      <c r="Y1266" s="14">
        <f t="shared" si="458"/>
        <v>5.9574733333333301</v>
      </c>
      <c r="Z1266" s="14">
        <f t="shared" si="459"/>
        <v>0.85567333333332996</v>
      </c>
      <c r="AA1266" s="36">
        <f t="shared" si="460"/>
        <v>85.636975854417074</v>
      </c>
      <c r="AB1266" s="36">
        <f t="shared" si="461"/>
        <v>14.363024145582926</v>
      </c>
      <c r="AC1266" s="14">
        <f t="shared" si="462"/>
        <v>0.99271734973830705</v>
      </c>
      <c r="AD1266" s="14">
        <f t="shared" si="463"/>
        <v>0.1425842326403039</v>
      </c>
      <c r="AE1266" s="36" t="s">
        <v>40</v>
      </c>
      <c r="AF1266" s="66">
        <v>15.238</v>
      </c>
      <c r="AG1266" s="66">
        <v>15.348000000000001</v>
      </c>
      <c r="AH1266" s="66">
        <f t="shared" si="456"/>
        <v>0.11000000000000121</v>
      </c>
      <c r="AI1266" s="66">
        <v>15.244</v>
      </c>
      <c r="AJ1266" s="66">
        <f t="shared" si="464"/>
        <v>6.0000000000002274E-3</v>
      </c>
      <c r="AK1266" s="66">
        <f t="shared" si="465"/>
        <v>94.545454545454405</v>
      </c>
      <c r="AL1266" s="11">
        <f t="shared" si="466"/>
        <v>4.7272727272727204</v>
      </c>
      <c r="AM1266" s="11">
        <f t="shared" si="467"/>
        <v>54.650551760378271</v>
      </c>
      <c r="AN1266" s="11">
        <f t="shared" si="468"/>
        <v>4.7281293804227129</v>
      </c>
      <c r="AO1266">
        <f t="shared" si="469"/>
        <v>0.5780346820809249</v>
      </c>
      <c r="AP1266" s="7"/>
      <c r="AQ1266" s="7"/>
      <c r="AR1266" s="7"/>
      <c r="AS1266" s="7"/>
    </row>
    <row r="1267" spans="1:45" x14ac:dyDescent="0.2">
      <c r="A1267" s="7" t="s">
        <v>90</v>
      </c>
      <c r="B1267" s="7" t="s">
        <v>413</v>
      </c>
      <c r="C1267" s="7" t="s">
        <v>341</v>
      </c>
      <c r="D1267" s="7" t="s">
        <v>414</v>
      </c>
      <c r="E1267" s="33" t="s">
        <v>82</v>
      </c>
      <c r="F1267" s="7">
        <v>144</v>
      </c>
      <c r="G1267" s="12">
        <v>2</v>
      </c>
      <c r="H1267" s="12">
        <v>2.4</v>
      </c>
      <c r="I1267" s="12">
        <v>1.8</v>
      </c>
      <c r="J1267" s="14">
        <f t="shared" si="454"/>
        <v>6.8389200000000017</v>
      </c>
      <c r="K1267" s="37">
        <v>0.21944444444444441</v>
      </c>
      <c r="L1267" s="12">
        <f t="shared" si="450"/>
        <v>47.199999999999996</v>
      </c>
      <c r="M1267" s="12">
        <f t="shared" si="451"/>
        <v>48.999999999999993</v>
      </c>
      <c r="N1267" s="13">
        <f t="shared" si="452"/>
        <v>48.099999999999994</v>
      </c>
      <c r="O1267" s="13">
        <f t="shared" si="453"/>
        <v>167.1999999999997</v>
      </c>
      <c r="P1267" s="13">
        <f t="shared" si="455"/>
        <v>168.99999999999972</v>
      </c>
      <c r="Q1267" s="13">
        <f t="shared" si="470"/>
        <v>168.09999999999971</v>
      </c>
      <c r="R1267" s="13">
        <v>167.1999999999997</v>
      </c>
      <c r="S1267" s="13">
        <v>168.99999999999972</v>
      </c>
      <c r="T1267" s="13">
        <v>168.09999999999971</v>
      </c>
      <c r="U1267" s="13">
        <f t="shared" si="457"/>
        <v>168.09999999999971</v>
      </c>
      <c r="V1267" s="7">
        <v>6.9912000000000001</v>
      </c>
      <c r="W1267" s="7">
        <v>1.9491000000000001</v>
      </c>
      <c r="X1267" s="7">
        <v>1.1476266666666699</v>
      </c>
      <c r="Y1267" s="14">
        <f t="shared" si="458"/>
        <v>5.84357333333333</v>
      </c>
      <c r="Z1267" s="14">
        <f t="shared" si="459"/>
        <v>0.80147333333333015</v>
      </c>
      <c r="AA1267" s="36">
        <f t="shared" si="460"/>
        <v>86.284533664333281</v>
      </c>
      <c r="AB1267" s="36">
        <f t="shared" si="461"/>
        <v>13.715466335666719</v>
      </c>
      <c r="AC1267" s="14">
        <f t="shared" si="462"/>
        <v>0.85445850124483524</v>
      </c>
      <c r="AD1267" s="14">
        <f t="shared" si="463"/>
        <v>0.11719296809047773</v>
      </c>
      <c r="AE1267" s="36" t="s">
        <v>40</v>
      </c>
      <c r="AF1267" s="66">
        <v>15.162000000000001</v>
      </c>
      <c r="AG1267" s="66">
        <v>15.3</v>
      </c>
      <c r="AH1267" s="66">
        <f t="shared" si="456"/>
        <v>0.1379999999999999</v>
      </c>
      <c r="AI1267" s="66">
        <v>15.163</v>
      </c>
      <c r="AJ1267" s="66">
        <f t="shared" si="464"/>
        <v>9.9999999999944578E-4</v>
      </c>
      <c r="AK1267" s="66">
        <f t="shared" si="465"/>
        <v>99.275362318840976</v>
      </c>
      <c r="AL1267" s="11">
        <f t="shared" si="466"/>
        <v>4.9637681159420488</v>
      </c>
      <c r="AM1267" s="11">
        <f t="shared" si="467"/>
        <v>57.384602496439875</v>
      </c>
      <c r="AN1267" s="11">
        <f t="shared" si="468"/>
        <v>4.9645839613046006</v>
      </c>
      <c r="AO1267">
        <f t="shared" si="469"/>
        <v>0.5780346820809249</v>
      </c>
      <c r="AP1267" s="7"/>
      <c r="AQ1267" s="7"/>
      <c r="AR1267" s="7"/>
      <c r="AS1267" s="7"/>
    </row>
    <row r="1268" spans="1:45" x14ac:dyDescent="0.2">
      <c r="A1268" s="7" t="s">
        <v>90</v>
      </c>
      <c r="B1268" s="7" t="s">
        <v>415</v>
      </c>
      <c r="C1268" s="7" t="s">
        <v>416</v>
      </c>
      <c r="D1268" s="7" t="s">
        <v>417</v>
      </c>
      <c r="E1268" s="33" t="s">
        <v>83</v>
      </c>
      <c r="F1268" s="7">
        <v>145</v>
      </c>
      <c r="G1268" s="12">
        <v>1.7</v>
      </c>
      <c r="H1268" s="12">
        <v>2.5</v>
      </c>
      <c r="I1268" s="12">
        <v>0.9</v>
      </c>
      <c r="J1268" s="14">
        <f t="shared" si="454"/>
        <v>3.1156650000000004</v>
      </c>
      <c r="K1268" s="37">
        <v>0.24189189189189139</v>
      </c>
      <c r="L1268" s="3">
        <v>0</v>
      </c>
      <c r="M1268" s="12">
        <f>L1268+I1268</f>
        <v>0.9</v>
      </c>
      <c r="N1268" s="13">
        <f>L1268+((M1268-L1268)/2)</f>
        <v>0.45</v>
      </c>
      <c r="O1268" s="13">
        <v>160</v>
      </c>
      <c r="P1268" s="13">
        <f t="shared" si="455"/>
        <v>160.9</v>
      </c>
      <c r="Q1268" s="13">
        <f t="shared" si="470"/>
        <v>160.44999999999999</v>
      </c>
      <c r="R1268" s="13">
        <v>155</v>
      </c>
      <c r="S1268" s="13">
        <f>R1268+I1269</f>
        <v>156.1</v>
      </c>
      <c r="T1268" s="13">
        <f t="shared" ref="T1268:T1305" si="471">R1268+((S1268-R1268)/2)</f>
        <v>155.55000000000001</v>
      </c>
      <c r="U1268" s="13">
        <f>T1268</f>
        <v>155.55000000000001</v>
      </c>
      <c r="V1268" s="7">
        <v>3.9142999999999999</v>
      </c>
      <c r="W1268" s="7">
        <v>1.6321000000000001</v>
      </c>
      <c r="X1268" s="7">
        <v>1.1476266666666699</v>
      </c>
      <c r="Y1268" s="14">
        <f t="shared" si="458"/>
        <v>2.7666733333333298</v>
      </c>
      <c r="Z1268" s="14">
        <f t="shared" si="459"/>
        <v>0.4844733333333302</v>
      </c>
      <c r="AA1268" s="36">
        <f t="shared" si="460"/>
        <v>82.488957857932959</v>
      </c>
      <c r="AB1268" s="36">
        <f t="shared" si="461"/>
        <v>17.511042142067041</v>
      </c>
      <c r="AC1268" s="14">
        <f t="shared" si="462"/>
        <v>0.88798806461327817</v>
      </c>
      <c r="AD1268" s="14">
        <f t="shared" si="463"/>
        <v>0.15549596421095663</v>
      </c>
      <c r="AE1268" s="36" t="s">
        <v>40</v>
      </c>
      <c r="AF1268" s="66">
        <v>16.875</v>
      </c>
      <c r="AG1268" s="66">
        <v>16.945</v>
      </c>
      <c r="AH1268" s="66">
        <f t="shared" si="456"/>
        <v>7.0000000000000284E-2</v>
      </c>
      <c r="AI1268" s="66">
        <v>16.88</v>
      </c>
      <c r="AJ1268" s="66">
        <f t="shared" si="464"/>
        <v>4.9999999999990052E-3</v>
      </c>
      <c r="AK1268" s="66">
        <f t="shared" si="465"/>
        <v>92.857142857144311</v>
      </c>
      <c r="AL1268" s="11">
        <f t="shared" si="466"/>
        <v>4.6428571428572161</v>
      </c>
      <c r="AM1268" s="11">
        <f t="shared" si="467"/>
        <v>53.674649050372437</v>
      </c>
      <c r="AN1268" s="11">
        <f t="shared" si="468"/>
        <v>4.6437293686196091</v>
      </c>
      <c r="AO1268">
        <f t="shared" si="469"/>
        <v>0.5780346820809249</v>
      </c>
      <c r="AP1268" s="7"/>
      <c r="AQ1268" s="7"/>
      <c r="AR1268" s="67" t="s">
        <v>43</v>
      </c>
      <c r="AS1268" s="3">
        <v>50</v>
      </c>
    </row>
    <row r="1269" spans="1:45" x14ac:dyDescent="0.2">
      <c r="A1269" s="7" t="s">
        <v>90</v>
      </c>
      <c r="B1269" s="7" t="s">
        <v>418</v>
      </c>
      <c r="C1269" s="7" t="s">
        <v>416</v>
      </c>
      <c r="D1269" s="7" t="s">
        <v>419</v>
      </c>
      <c r="E1269" s="33" t="s">
        <v>83</v>
      </c>
      <c r="F1269" s="7">
        <v>146</v>
      </c>
      <c r="G1269" s="12">
        <v>1.9</v>
      </c>
      <c r="H1269" s="12">
        <v>2.2999999999999998</v>
      </c>
      <c r="I1269" s="12">
        <v>1.1000000000000001</v>
      </c>
      <c r="J1269" s="14">
        <f t="shared" si="454"/>
        <v>3.8080349999999994</v>
      </c>
      <c r="K1269" s="37">
        <v>0.24189189189189139</v>
      </c>
      <c r="L1269" s="12">
        <f>M1268+K1269</f>
        <v>1.1418918918918914</v>
      </c>
      <c r="M1269" s="12">
        <f>L1269+I1269</f>
        <v>2.2418918918918918</v>
      </c>
      <c r="N1269" s="13">
        <f>L1269+((M1269-L1269)/2)</f>
        <v>1.6918918918918915</v>
      </c>
      <c r="O1269" s="13">
        <f>P1268+K1269</f>
        <v>161.1418918918919</v>
      </c>
      <c r="P1269" s="13">
        <f t="shared" si="455"/>
        <v>162.2418918918919</v>
      </c>
      <c r="Q1269" s="13">
        <f t="shared" si="470"/>
        <v>161.69189189189188</v>
      </c>
      <c r="R1269" s="13">
        <f>S1268+K1269</f>
        <v>156.34189189189189</v>
      </c>
      <c r="S1269" s="13">
        <f>R1269+I1269</f>
        <v>157.44189189189188</v>
      </c>
      <c r="T1269" s="13">
        <f t="shared" si="471"/>
        <v>156.89189189189187</v>
      </c>
      <c r="U1269" s="13">
        <f t="shared" si="457"/>
        <v>156.89189189189187</v>
      </c>
      <c r="V1269" s="7">
        <v>5.4611999999999998</v>
      </c>
      <c r="W1269" s="7">
        <v>1.9419999999999999</v>
      </c>
      <c r="X1269" s="7">
        <v>1.1476266666666699</v>
      </c>
      <c r="Y1269" s="14">
        <f t="shared" si="458"/>
        <v>4.3135733333333297</v>
      </c>
      <c r="Z1269" s="14">
        <f t="shared" si="459"/>
        <v>0.79437333333333005</v>
      </c>
      <c r="AA1269" s="36">
        <f t="shared" si="460"/>
        <v>81.58433224735569</v>
      </c>
      <c r="AB1269" s="36">
        <f t="shared" si="461"/>
        <v>18.41566775264431</v>
      </c>
      <c r="AC1269" s="14">
        <f t="shared" si="462"/>
        <v>1.1327556950850846</v>
      </c>
      <c r="AD1269" s="14">
        <f t="shared" si="463"/>
        <v>0.2086045252560258</v>
      </c>
      <c r="AE1269" s="36" t="s">
        <v>40</v>
      </c>
      <c r="AF1269" s="66">
        <v>15.04</v>
      </c>
      <c r="AG1269" s="66">
        <v>15.167</v>
      </c>
      <c r="AH1269" s="66">
        <f t="shared" si="456"/>
        <v>0.12700000000000067</v>
      </c>
      <c r="AI1269" s="66">
        <v>15.052</v>
      </c>
      <c r="AJ1269" s="66">
        <f t="shared" si="464"/>
        <v>1.2000000000000455E-2</v>
      </c>
      <c r="AK1269" s="66">
        <f t="shared" si="465"/>
        <v>90.551181102361895</v>
      </c>
      <c r="AL1269" s="11">
        <f t="shared" si="466"/>
        <v>4.5275590551180951</v>
      </c>
      <c r="AM1269" s="11">
        <f t="shared" si="467"/>
        <v>52.341723180556009</v>
      </c>
      <c r="AN1269" s="11">
        <f t="shared" si="468"/>
        <v>4.5284534885081742</v>
      </c>
      <c r="AO1269">
        <f t="shared" si="469"/>
        <v>0.5780346820809249</v>
      </c>
      <c r="AP1269" s="7"/>
      <c r="AQ1269" s="7"/>
      <c r="AR1269" s="67" t="s">
        <v>44</v>
      </c>
      <c r="AS1269" s="3" t="s">
        <v>57</v>
      </c>
    </row>
    <row r="1270" spans="1:45" x14ac:dyDescent="0.2">
      <c r="A1270" s="7" t="s">
        <v>90</v>
      </c>
      <c r="B1270" s="7" t="s">
        <v>420</v>
      </c>
      <c r="C1270" s="7" t="s">
        <v>416</v>
      </c>
      <c r="D1270" s="7" t="s">
        <v>421</v>
      </c>
      <c r="E1270" s="33" t="s">
        <v>83</v>
      </c>
      <c r="F1270" s="7">
        <v>147</v>
      </c>
      <c r="G1270" s="12">
        <v>1.9</v>
      </c>
      <c r="H1270" s="12">
        <v>2.4</v>
      </c>
      <c r="I1270" s="12">
        <v>1.1000000000000001</v>
      </c>
      <c r="J1270" s="14">
        <f t="shared" si="454"/>
        <v>3.9915287500000001</v>
      </c>
      <c r="K1270" s="37">
        <v>0.24189189189189139</v>
      </c>
      <c r="L1270" s="12">
        <f t="shared" ref="L1270:L1305" si="472">M1269+K1270</f>
        <v>2.4837837837837831</v>
      </c>
      <c r="M1270" s="12">
        <f t="shared" ref="M1270:M1305" si="473">L1270+I1270</f>
        <v>3.5837837837837832</v>
      </c>
      <c r="N1270" s="13">
        <f t="shared" ref="N1270:N1305" si="474">L1270+((M1270-L1270)/2)</f>
        <v>3.0337837837837833</v>
      </c>
      <c r="O1270" s="13">
        <f t="shared" ref="O1270:O1305" si="475">P1269+K1270</f>
        <v>162.48378378378379</v>
      </c>
      <c r="P1270" s="13">
        <f t="shared" si="455"/>
        <v>163.58378378378379</v>
      </c>
      <c r="Q1270" s="13">
        <f t="shared" si="470"/>
        <v>163.0337837837838</v>
      </c>
      <c r="R1270" s="13">
        <f t="shared" ref="R1270:R1305" si="476">S1269+K1270</f>
        <v>157.68378378378378</v>
      </c>
      <c r="S1270" s="13">
        <f t="shared" ref="S1270:S1305" si="477">R1270+I1270</f>
        <v>158.78378378378378</v>
      </c>
      <c r="T1270" s="13">
        <f t="shared" si="471"/>
        <v>158.23378378378379</v>
      </c>
      <c r="U1270" s="13">
        <f t="shared" si="457"/>
        <v>158.23378378378379</v>
      </c>
      <c r="V1270" s="7">
        <v>5.2369000000000003</v>
      </c>
      <c r="W1270" s="7">
        <v>1.8871</v>
      </c>
      <c r="X1270" s="7">
        <v>1.1476266666666699</v>
      </c>
      <c r="Y1270" s="14">
        <f t="shared" si="458"/>
        <v>4.0892733333333302</v>
      </c>
      <c r="Z1270" s="14">
        <f t="shared" si="459"/>
        <v>0.7394733333333301</v>
      </c>
      <c r="AA1270" s="36">
        <f t="shared" si="460"/>
        <v>81.916754566010979</v>
      </c>
      <c r="AB1270" s="36">
        <f t="shared" si="461"/>
        <v>18.083245433989021</v>
      </c>
      <c r="AC1270" s="14">
        <f t="shared" si="462"/>
        <v>1.024488006840319</v>
      </c>
      <c r="AD1270" s="14">
        <f t="shared" si="463"/>
        <v>0.18526068071871712</v>
      </c>
      <c r="AE1270" s="36" t="s">
        <v>40</v>
      </c>
      <c r="AF1270" s="66">
        <v>15.371</v>
      </c>
      <c r="AG1270" s="66">
        <v>15.516999999999999</v>
      </c>
      <c r="AH1270" s="66">
        <f t="shared" si="456"/>
        <v>0.14599999999999902</v>
      </c>
      <c r="AI1270" s="66">
        <v>15.385</v>
      </c>
      <c r="AJ1270" s="66">
        <f t="shared" si="464"/>
        <v>1.3999999999999346E-2</v>
      </c>
      <c r="AK1270" s="66">
        <f t="shared" si="465"/>
        <v>90.410958904109975</v>
      </c>
      <c r="AL1270" s="11">
        <f t="shared" si="466"/>
        <v>4.5205479452054993</v>
      </c>
      <c r="AM1270" s="11">
        <f t="shared" si="467"/>
        <v>52.260669886768774</v>
      </c>
      <c r="AN1270" s="11">
        <f t="shared" si="468"/>
        <v>4.5214437655357012</v>
      </c>
      <c r="AO1270">
        <f t="shared" si="469"/>
        <v>0.5780346820809249</v>
      </c>
      <c r="AP1270" s="7"/>
      <c r="AQ1270" s="7"/>
      <c r="AR1270" s="67" t="s">
        <v>46</v>
      </c>
      <c r="AS1270" s="12">
        <f>SUM(I1268:I1305)</f>
        <v>41.050000000000018</v>
      </c>
    </row>
    <row r="1271" spans="1:45" x14ac:dyDescent="0.2">
      <c r="A1271" s="7" t="s">
        <v>90</v>
      </c>
      <c r="B1271" s="7" t="s">
        <v>422</v>
      </c>
      <c r="C1271" s="7" t="s">
        <v>416</v>
      </c>
      <c r="D1271" s="7" t="s">
        <v>423</v>
      </c>
      <c r="E1271" s="33" t="s">
        <v>83</v>
      </c>
      <c r="F1271" s="7">
        <v>148</v>
      </c>
      <c r="G1271" s="12">
        <v>1.85</v>
      </c>
      <c r="H1271" s="12">
        <v>2.5</v>
      </c>
      <c r="I1271" s="12">
        <v>1.1000000000000001</v>
      </c>
      <c r="J1271" s="14">
        <f t="shared" si="454"/>
        <v>4.0848946874999994</v>
      </c>
      <c r="K1271" s="37">
        <v>0.24189189189189139</v>
      </c>
      <c r="L1271" s="12">
        <f t="shared" si="472"/>
        <v>3.8256756756756745</v>
      </c>
      <c r="M1271" s="12">
        <f t="shared" si="473"/>
        <v>4.9256756756756745</v>
      </c>
      <c r="N1271" s="13">
        <f t="shared" si="474"/>
        <v>4.3756756756756747</v>
      </c>
      <c r="O1271" s="13">
        <f t="shared" si="475"/>
        <v>163.82567567567568</v>
      </c>
      <c r="P1271" s="13">
        <f t="shared" si="455"/>
        <v>164.92567567567568</v>
      </c>
      <c r="Q1271" s="13">
        <f t="shared" si="470"/>
        <v>164.37567567567567</v>
      </c>
      <c r="R1271" s="13">
        <f t="shared" si="476"/>
        <v>159.02567567567567</v>
      </c>
      <c r="S1271" s="13">
        <f t="shared" si="477"/>
        <v>160.12567567567567</v>
      </c>
      <c r="T1271" s="13">
        <f t="shared" si="471"/>
        <v>159.57567567567565</v>
      </c>
      <c r="U1271" s="13">
        <f t="shared" si="457"/>
        <v>159.57567567567565</v>
      </c>
      <c r="V1271" s="7">
        <v>5.5970000000000004</v>
      </c>
      <c r="W1271" s="7">
        <v>2.0426000000000002</v>
      </c>
      <c r="X1271" s="7">
        <v>1.1476266666666699</v>
      </c>
      <c r="Y1271" s="14">
        <f t="shared" si="458"/>
        <v>4.4493733333333303</v>
      </c>
      <c r="Z1271" s="14">
        <f t="shared" si="459"/>
        <v>0.89497333333333029</v>
      </c>
      <c r="AA1271" s="36">
        <f t="shared" si="460"/>
        <v>79.885407083544408</v>
      </c>
      <c r="AB1271" s="36">
        <f t="shared" si="461"/>
        <v>20.114592916455592</v>
      </c>
      <c r="AC1271" s="14">
        <f t="shared" si="462"/>
        <v>1.0892259589821631</v>
      </c>
      <c r="AD1271" s="14">
        <f t="shared" si="463"/>
        <v>0.21909336758962172</v>
      </c>
      <c r="AE1271" s="36" t="s">
        <v>40</v>
      </c>
      <c r="AF1271" s="66">
        <v>16.774999999999999</v>
      </c>
      <c r="AG1271" s="66">
        <v>16.934999999999999</v>
      </c>
      <c r="AH1271" s="66">
        <f t="shared" si="456"/>
        <v>0.16000000000000014</v>
      </c>
      <c r="AI1271" s="66">
        <v>16.824999999999999</v>
      </c>
      <c r="AJ1271" s="66">
        <f t="shared" si="464"/>
        <v>5.0000000000000711E-2</v>
      </c>
      <c r="AK1271" s="66">
        <f t="shared" si="465"/>
        <v>68.749999999999588</v>
      </c>
      <c r="AL1271" s="11">
        <f t="shared" si="466"/>
        <v>3.4374999999999796</v>
      </c>
      <c r="AM1271" s="11">
        <f t="shared" si="467"/>
        <v>39.739884393063349</v>
      </c>
      <c r="AN1271" s="11">
        <f t="shared" si="468"/>
        <v>3.4386779799800768</v>
      </c>
      <c r="AO1271">
        <f t="shared" si="469"/>
        <v>0.5780346820809249</v>
      </c>
      <c r="AP1271" s="7"/>
      <c r="AQ1271" s="7"/>
      <c r="AR1271" s="67" t="s">
        <v>47</v>
      </c>
      <c r="AS1271" s="12">
        <f>AS1268-AS1270</f>
        <v>8.9499999999999815</v>
      </c>
    </row>
    <row r="1272" spans="1:45" x14ac:dyDescent="0.2">
      <c r="A1272" s="7" t="s">
        <v>90</v>
      </c>
      <c r="B1272" s="7" t="s">
        <v>424</v>
      </c>
      <c r="C1272" s="7" t="s">
        <v>416</v>
      </c>
      <c r="D1272" s="7" t="s">
        <v>425</v>
      </c>
      <c r="E1272" s="33" t="s">
        <v>83</v>
      </c>
      <c r="F1272" s="7">
        <v>149</v>
      </c>
      <c r="G1272" s="12">
        <v>2</v>
      </c>
      <c r="H1272" s="12">
        <v>2.4</v>
      </c>
      <c r="I1272" s="12">
        <v>1.1000000000000001</v>
      </c>
      <c r="J1272" s="14">
        <f t="shared" si="454"/>
        <v>4.1793400000000016</v>
      </c>
      <c r="K1272" s="37">
        <v>0.24189189189189139</v>
      </c>
      <c r="L1272" s="12">
        <f t="shared" si="472"/>
        <v>5.1675675675675663</v>
      </c>
      <c r="M1272" s="12">
        <f t="shared" si="473"/>
        <v>6.2675675675675659</v>
      </c>
      <c r="N1272" s="13">
        <f t="shared" si="474"/>
        <v>5.7175675675675661</v>
      </c>
      <c r="O1272" s="13">
        <f t="shared" si="475"/>
        <v>165.16756756756757</v>
      </c>
      <c r="P1272" s="13">
        <f t="shared" si="455"/>
        <v>166.26756756756757</v>
      </c>
      <c r="Q1272" s="13">
        <f t="shared" si="470"/>
        <v>165.71756756756758</v>
      </c>
      <c r="R1272" s="13">
        <f t="shared" si="476"/>
        <v>160.36756756756756</v>
      </c>
      <c r="S1272" s="13">
        <f t="shared" si="477"/>
        <v>161.46756756756756</v>
      </c>
      <c r="T1272" s="13">
        <f t="shared" si="471"/>
        <v>160.91756756756757</v>
      </c>
      <c r="U1272" s="13">
        <f t="shared" si="457"/>
        <v>160.91756756756757</v>
      </c>
      <c r="V1272" s="7">
        <v>6.1369999999999996</v>
      </c>
      <c r="W1272" s="7">
        <v>2.0430999999999999</v>
      </c>
      <c r="X1272" s="7">
        <v>1.1476266666666699</v>
      </c>
      <c r="Y1272" s="14">
        <f t="shared" si="458"/>
        <v>4.9893733333333294</v>
      </c>
      <c r="Z1272" s="14">
        <f t="shared" si="459"/>
        <v>0.89547333333333001</v>
      </c>
      <c r="AA1272" s="36">
        <f t="shared" si="460"/>
        <v>82.052388676734338</v>
      </c>
      <c r="AB1272" s="36">
        <f t="shared" si="461"/>
        <v>17.947611323265662</v>
      </c>
      <c r="AC1272" s="14">
        <f t="shared" si="462"/>
        <v>1.1938184817060415</v>
      </c>
      <c r="AD1272" s="14">
        <f t="shared" si="463"/>
        <v>0.2142619010019117</v>
      </c>
      <c r="AE1272" s="36" t="s">
        <v>40</v>
      </c>
      <c r="AF1272" s="66">
        <v>17.803000000000001</v>
      </c>
      <c r="AG1272" s="66">
        <v>17.940000000000001</v>
      </c>
      <c r="AH1272" s="66">
        <f t="shared" si="456"/>
        <v>0.13700000000000045</v>
      </c>
      <c r="AI1272" s="66">
        <v>17.809999999999999</v>
      </c>
      <c r="AJ1272" s="66">
        <f t="shared" si="464"/>
        <v>6.9999999999978968E-3</v>
      </c>
      <c r="AK1272" s="66">
        <f t="shared" si="465"/>
        <v>94.890510948906666</v>
      </c>
      <c r="AL1272" s="11">
        <f t="shared" si="466"/>
        <v>4.7445255474453338</v>
      </c>
      <c r="AM1272" s="11">
        <f t="shared" si="467"/>
        <v>54.85000632884779</v>
      </c>
      <c r="AN1272" s="11">
        <f t="shared" si="468"/>
        <v>4.7453790860542897</v>
      </c>
      <c r="AO1272">
        <f t="shared" si="469"/>
        <v>0.5780346820809249</v>
      </c>
      <c r="AP1272" s="7"/>
      <c r="AQ1272" s="7"/>
      <c r="AR1272" s="67" t="s">
        <v>48</v>
      </c>
      <c r="AS1272" s="3">
        <v>37</v>
      </c>
    </row>
    <row r="1273" spans="1:45" x14ac:dyDescent="0.2">
      <c r="A1273" s="7" t="s">
        <v>90</v>
      </c>
      <c r="B1273" s="7" t="s">
        <v>426</v>
      </c>
      <c r="C1273" s="7" t="s">
        <v>416</v>
      </c>
      <c r="D1273" s="7" t="s">
        <v>427</v>
      </c>
      <c r="E1273" s="33" t="s">
        <v>83</v>
      </c>
      <c r="F1273" s="7">
        <v>150</v>
      </c>
      <c r="G1273" s="12">
        <v>1.9</v>
      </c>
      <c r="H1273" s="12">
        <v>2</v>
      </c>
      <c r="I1273" s="12">
        <v>1</v>
      </c>
      <c r="J1273" s="14">
        <f t="shared" si="454"/>
        <v>2.9849625</v>
      </c>
      <c r="K1273" s="37">
        <v>0.24189189189189139</v>
      </c>
      <c r="L1273" s="12">
        <f t="shared" si="472"/>
        <v>6.5094594594594577</v>
      </c>
      <c r="M1273" s="12">
        <f t="shared" si="473"/>
        <v>7.5094594594594577</v>
      </c>
      <c r="N1273" s="13">
        <f t="shared" si="474"/>
        <v>7.0094594594594577</v>
      </c>
      <c r="O1273" s="13">
        <f t="shared" si="475"/>
        <v>166.50945945945946</v>
      </c>
      <c r="P1273" s="13">
        <f t="shared" si="455"/>
        <v>167.50945945945946</v>
      </c>
      <c r="Q1273" s="13">
        <f t="shared" si="470"/>
        <v>167.00945945945946</v>
      </c>
      <c r="R1273" s="13">
        <f t="shared" si="476"/>
        <v>161.70945945945945</v>
      </c>
      <c r="S1273" s="13">
        <f t="shared" si="477"/>
        <v>162.70945945945945</v>
      </c>
      <c r="T1273" s="13">
        <f t="shared" si="471"/>
        <v>162.20945945945945</v>
      </c>
      <c r="U1273" s="13">
        <f t="shared" si="457"/>
        <v>162.20945945945945</v>
      </c>
      <c r="V1273" s="7">
        <v>5.0937999999999999</v>
      </c>
      <c r="W1273" s="7">
        <v>1.8149</v>
      </c>
      <c r="X1273" s="7">
        <v>1.1476266666666699</v>
      </c>
      <c r="Y1273" s="14">
        <f t="shared" si="458"/>
        <v>3.9461733333333298</v>
      </c>
      <c r="Z1273" s="14">
        <f t="shared" si="459"/>
        <v>0.66727333333333005</v>
      </c>
      <c r="AA1273" s="36">
        <f t="shared" si="460"/>
        <v>83.090622814338346</v>
      </c>
      <c r="AB1273" s="36">
        <f t="shared" si="461"/>
        <v>16.909377185661654</v>
      </c>
      <c r="AC1273" s="14">
        <f t="shared" si="462"/>
        <v>1.3220177249574592</v>
      </c>
      <c r="AD1273" s="14">
        <f t="shared" si="463"/>
        <v>0.22354496357435982</v>
      </c>
      <c r="AE1273" s="36">
        <f>(W1273-$AS$12)/J1273</f>
        <v>0.60801433853859133</v>
      </c>
      <c r="AF1273" s="66">
        <v>16.175000000000001</v>
      </c>
      <c r="AG1273" s="66">
        <v>16.326000000000001</v>
      </c>
      <c r="AH1273" s="66">
        <f t="shared" si="456"/>
        <v>0.1509999999999998</v>
      </c>
      <c r="AI1273" s="66">
        <v>16.181000000000001</v>
      </c>
      <c r="AJ1273" s="66">
        <f t="shared" si="464"/>
        <v>6.0000000000002274E-3</v>
      </c>
      <c r="AK1273" s="66">
        <f t="shared" si="465"/>
        <v>96.026490066225008</v>
      </c>
      <c r="AL1273" s="11">
        <f t="shared" si="466"/>
        <v>4.8013245033112506</v>
      </c>
      <c r="AM1273" s="11">
        <f t="shared" si="467"/>
        <v>55.506641656777468</v>
      </c>
      <c r="AN1273" s="11">
        <f t="shared" si="468"/>
        <v>4.802167946469285</v>
      </c>
      <c r="AO1273">
        <f t="shared" si="469"/>
        <v>0.5780346820809249</v>
      </c>
      <c r="AP1273" s="7"/>
      <c r="AQ1273" s="7"/>
      <c r="AR1273" s="67" t="s">
        <v>49</v>
      </c>
      <c r="AS1273" s="9">
        <f>AS1271/AS1272</f>
        <v>0.24189189189189139</v>
      </c>
    </row>
    <row r="1274" spans="1:45" x14ac:dyDescent="0.2">
      <c r="A1274" s="7" t="s">
        <v>90</v>
      </c>
      <c r="B1274" s="7" t="s">
        <v>428</v>
      </c>
      <c r="C1274" s="7" t="s">
        <v>416</v>
      </c>
      <c r="D1274" s="7" t="s">
        <v>429</v>
      </c>
      <c r="E1274" s="33" t="s">
        <v>83</v>
      </c>
      <c r="F1274" s="7">
        <v>151</v>
      </c>
      <c r="G1274" s="12">
        <v>2.1</v>
      </c>
      <c r="H1274" s="12">
        <v>2.2999999999999998</v>
      </c>
      <c r="I1274" s="12">
        <v>1.1000000000000001</v>
      </c>
      <c r="J1274" s="14">
        <f t="shared" si="454"/>
        <v>4.1793400000000016</v>
      </c>
      <c r="K1274" s="37">
        <v>0.24189189189189139</v>
      </c>
      <c r="L1274" s="12">
        <f t="shared" si="472"/>
        <v>7.7513513513513495</v>
      </c>
      <c r="M1274" s="12">
        <f t="shared" si="473"/>
        <v>8.8513513513513491</v>
      </c>
      <c r="N1274" s="13">
        <f t="shared" si="474"/>
        <v>8.3013513513513502</v>
      </c>
      <c r="O1274" s="13">
        <f t="shared" si="475"/>
        <v>167.75135135135136</v>
      </c>
      <c r="P1274" s="13">
        <f t="shared" si="455"/>
        <v>168.85135135135135</v>
      </c>
      <c r="Q1274" s="13">
        <f t="shared" si="470"/>
        <v>168.30135135135134</v>
      </c>
      <c r="R1274" s="13">
        <f t="shared" si="476"/>
        <v>162.95135135135135</v>
      </c>
      <c r="S1274" s="13">
        <f t="shared" si="477"/>
        <v>164.05135135135134</v>
      </c>
      <c r="T1274" s="13">
        <f t="shared" si="471"/>
        <v>163.50135135135133</v>
      </c>
      <c r="U1274" s="13">
        <f t="shared" si="457"/>
        <v>163.50135135135133</v>
      </c>
      <c r="V1274" s="7">
        <v>5.7750000000000004</v>
      </c>
      <c r="W1274" s="7">
        <v>1.9371</v>
      </c>
      <c r="X1274" s="7">
        <v>1.1476266666666699</v>
      </c>
      <c r="Y1274" s="14">
        <f t="shared" si="458"/>
        <v>4.6273733333333302</v>
      </c>
      <c r="Z1274" s="14">
        <f t="shared" si="459"/>
        <v>0.78947333333333014</v>
      </c>
      <c r="AA1274" s="36">
        <f t="shared" si="460"/>
        <v>82.939061180857166</v>
      </c>
      <c r="AB1274" s="36">
        <f t="shared" si="461"/>
        <v>17.060938819142834</v>
      </c>
      <c r="AC1274" s="14">
        <f t="shared" si="462"/>
        <v>1.1072019345957325</v>
      </c>
      <c r="AD1274" s="14">
        <f t="shared" si="463"/>
        <v>0.18889904466574384</v>
      </c>
      <c r="AE1274" s="36" t="s">
        <v>40</v>
      </c>
      <c r="AF1274" s="66">
        <v>16.59</v>
      </c>
      <c r="AG1274" s="66">
        <v>16.719000000000001</v>
      </c>
      <c r="AH1274" s="66">
        <f t="shared" si="456"/>
        <v>0.12900000000000134</v>
      </c>
      <c r="AI1274" s="66">
        <v>16.597000000000001</v>
      </c>
      <c r="AJ1274" s="66">
        <f t="shared" si="464"/>
        <v>7.0000000000014495E-3</v>
      </c>
      <c r="AK1274" s="66">
        <f t="shared" si="465"/>
        <v>94.573643410851645</v>
      </c>
      <c r="AL1274" s="11">
        <f t="shared" si="466"/>
        <v>4.7286821705425828</v>
      </c>
      <c r="AM1274" s="11">
        <f t="shared" si="467"/>
        <v>54.666845902226392</v>
      </c>
      <c r="AN1274" s="11">
        <f t="shared" si="468"/>
        <v>4.7295385684025577</v>
      </c>
      <c r="AO1274">
        <f t="shared" si="469"/>
        <v>0.5780346820809249</v>
      </c>
      <c r="AP1274" s="7"/>
      <c r="AQ1274" s="7"/>
      <c r="AR1274" s="7"/>
      <c r="AS1274" s="7"/>
    </row>
    <row r="1275" spans="1:45" x14ac:dyDescent="0.2">
      <c r="A1275" s="7" t="s">
        <v>90</v>
      </c>
      <c r="B1275" s="7" t="s">
        <v>430</v>
      </c>
      <c r="C1275" s="7" t="s">
        <v>416</v>
      </c>
      <c r="D1275" s="7" t="s">
        <v>431</v>
      </c>
      <c r="E1275" s="33" t="s">
        <v>83</v>
      </c>
      <c r="F1275" s="7">
        <v>152</v>
      </c>
      <c r="G1275" s="12">
        <v>2.4</v>
      </c>
      <c r="H1275" s="12">
        <v>2.2999999999999998</v>
      </c>
      <c r="I1275" s="12">
        <v>1.1000000000000001</v>
      </c>
      <c r="J1275" s="14">
        <f t="shared" si="454"/>
        <v>4.7686787499999985</v>
      </c>
      <c r="K1275" s="37">
        <v>0.24189189189189139</v>
      </c>
      <c r="L1275" s="12">
        <f t="shared" si="472"/>
        <v>9.09324324324324</v>
      </c>
      <c r="M1275" s="12">
        <f t="shared" si="473"/>
        <v>10.19324324324324</v>
      </c>
      <c r="N1275" s="13">
        <f t="shared" si="474"/>
        <v>9.6432432432432407</v>
      </c>
      <c r="O1275" s="13">
        <f t="shared" si="475"/>
        <v>169.09324324324325</v>
      </c>
      <c r="P1275" s="13">
        <f t="shared" si="455"/>
        <v>170.19324324324324</v>
      </c>
      <c r="Q1275" s="13">
        <f t="shared" si="470"/>
        <v>169.64324324324326</v>
      </c>
      <c r="R1275" s="13">
        <f t="shared" si="476"/>
        <v>164.29324324324324</v>
      </c>
      <c r="S1275" s="13">
        <f t="shared" si="477"/>
        <v>165.39324324324323</v>
      </c>
      <c r="T1275" s="13">
        <f t="shared" si="471"/>
        <v>164.84324324324325</v>
      </c>
      <c r="U1275" s="13">
        <f t="shared" si="457"/>
        <v>164.84324324324325</v>
      </c>
      <c r="V1275" s="7">
        <v>5.9790000000000001</v>
      </c>
      <c r="W1275" s="7">
        <v>1.9341999999999999</v>
      </c>
      <c r="X1275" s="7">
        <v>1.1476266666666699</v>
      </c>
      <c r="Y1275" s="14">
        <f t="shared" si="458"/>
        <v>4.83137333333333</v>
      </c>
      <c r="Z1275" s="14">
        <f t="shared" si="459"/>
        <v>0.78657333333333002</v>
      </c>
      <c r="AA1275" s="36">
        <f t="shared" si="460"/>
        <v>83.719466928658036</v>
      </c>
      <c r="AB1275" s="36">
        <f t="shared" si="461"/>
        <v>16.280533071341964</v>
      </c>
      <c r="AC1275" s="14">
        <f t="shared" si="462"/>
        <v>1.0131471601716369</v>
      </c>
      <c r="AD1275" s="14">
        <f t="shared" si="463"/>
        <v>0.16494575847310541</v>
      </c>
      <c r="AE1275" s="36">
        <f>(W1275-$AS$12)/J1275</f>
        <v>0.40560501166072477</v>
      </c>
      <c r="AF1275" s="66">
        <v>16.189</v>
      </c>
      <c r="AG1275" s="66">
        <v>16.335999999999999</v>
      </c>
      <c r="AH1275" s="66">
        <f t="shared" si="456"/>
        <v>0.14699999999999847</v>
      </c>
      <c r="AI1275" s="66">
        <v>16.201000000000001</v>
      </c>
      <c r="AJ1275" s="66">
        <f t="shared" si="464"/>
        <v>1.2000000000000455E-2</v>
      </c>
      <c r="AK1275" s="66">
        <f t="shared" si="465"/>
        <v>91.836734693877148</v>
      </c>
      <c r="AL1275" s="11">
        <f t="shared" si="466"/>
        <v>4.5918367346938576</v>
      </c>
      <c r="AM1275" s="11">
        <f t="shared" si="467"/>
        <v>53.084817742125523</v>
      </c>
      <c r="AN1275" s="11">
        <f t="shared" si="468"/>
        <v>4.5927186500028441</v>
      </c>
      <c r="AO1275">
        <f t="shared" si="469"/>
        <v>0.5780346820809249</v>
      </c>
      <c r="AP1275" s="7"/>
      <c r="AQ1275" s="7"/>
      <c r="AR1275" s="7"/>
      <c r="AS1275" s="7"/>
    </row>
    <row r="1276" spans="1:45" x14ac:dyDescent="0.2">
      <c r="A1276" s="7" t="s">
        <v>90</v>
      </c>
      <c r="B1276" s="7" t="s">
        <v>432</v>
      </c>
      <c r="C1276" s="7" t="s">
        <v>416</v>
      </c>
      <c r="D1276" s="7" t="s">
        <v>433</v>
      </c>
      <c r="E1276" s="33" t="s">
        <v>83</v>
      </c>
      <c r="F1276" s="7">
        <v>153</v>
      </c>
      <c r="G1276" s="12">
        <v>2.2000000000000002</v>
      </c>
      <c r="H1276" s="12">
        <v>2.1</v>
      </c>
      <c r="I1276" s="12">
        <v>1.1000000000000001</v>
      </c>
      <c r="J1276" s="14">
        <f t="shared" si="454"/>
        <v>3.9915287500000014</v>
      </c>
      <c r="K1276" s="37">
        <v>0.24189189189189139</v>
      </c>
      <c r="L1276" s="12">
        <f t="shared" si="472"/>
        <v>10.43513513513513</v>
      </c>
      <c r="M1276" s="12">
        <f t="shared" si="473"/>
        <v>11.53513513513513</v>
      </c>
      <c r="N1276" s="13">
        <f t="shared" si="474"/>
        <v>10.985135135135131</v>
      </c>
      <c r="O1276" s="13">
        <f t="shared" si="475"/>
        <v>170.43513513513514</v>
      </c>
      <c r="P1276" s="13">
        <f t="shared" si="455"/>
        <v>171.53513513513514</v>
      </c>
      <c r="Q1276" s="13">
        <f t="shared" si="470"/>
        <v>170.98513513513512</v>
      </c>
      <c r="R1276" s="13">
        <f t="shared" si="476"/>
        <v>165.63513513513513</v>
      </c>
      <c r="S1276" s="13">
        <f t="shared" si="477"/>
        <v>166.73513513513512</v>
      </c>
      <c r="T1276" s="13">
        <f t="shared" si="471"/>
        <v>166.18513513513511</v>
      </c>
      <c r="U1276" s="13">
        <f t="shared" si="457"/>
        <v>166.18513513513511</v>
      </c>
      <c r="V1276" s="7">
        <v>5.9020999999999999</v>
      </c>
      <c r="W1276" s="7">
        <v>1.8441000000000001</v>
      </c>
      <c r="X1276" s="7">
        <v>1.1476266666666699</v>
      </c>
      <c r="Y1276" s="14">
        <f t="shared" si="458"/>
        <v>4.7544733333333298</v>
      </c>
      <c r="Z1276" s="14">
        <f t="shared" si="459"/>
        <v>0.69647333333333017</v>
      </c>
      <c r="AA1276" s="36">
        <f t="shared" si="460"/>
        <v>85.35119908128631</v>
      </c>
      <c r="AB1276" s="36">
        <f t="shared" si="461"/>
        <v>14.64880091871369</v>
      </c>
      <c r="AC1276" s="14">
        <f t="shared" si="462"/>
        <v>1.191140946519132</v>
      </c>
      <c r="AD1276" s="14">
        <f t="shared" si="463"/>
        <v>0.17448786591686954</v>
      </c>
      <c r="AE1276" s="36" t="s">
        <v>40</v>
      </c>
      <c r="AF1276" s="66">
        <v>14.494999999999999</v>
      </c>
      <c r="AG1276" s="66">
        <v>14.585000000000001</v>
      </c>
      <c r="AH1276" s="66">
        <f t="shared" si="456"/>
        <v>9.0000000000001634E-2</v>
      </c>
      <c r="AI1276" s="66">
        <v>14.499000000000001</v>
      </c>
      <c r="AJ1276" s="66">
        <f t="shared" si="464"/>
        <v>4.0000000000013358E-3</v>
      </c>
      <c r="AK1276" s="66">
        <f t="shared" si="465"/>
        <v>95.55555555555415</v>
      </c>
      <c r="AL1276" s="11">
        <f t="shared" si="466"/>
        <v>4.7777777777777075</v>
      </c>
      <c r="AM1276" s="11">
        <f t="shared" si="467"/>
        <v>55.234425176620903</v>
      </c>
      <c r="AN1276" s="11">
        <f t="shared" si="468"/>
        <v>4.7786253770123563</v>
      </c>
      <c r="AO1276">
        <f t="shared" si="469"/>
        <v>0.5780346820809249</v>
      </c>
      <c r="AP1276" s="7"/>
      <c r="AQ1276" s="7"/>
      <c r="AR1276" s="7"/>
      <c r="AS1276" s="7"/>
    </row>
    <row r="1277" spans="1:45" x14ac:dyDescent="0.2">
      <c r="A1277" s="7" t="s">
        <v>90</v>
      </c>
      <c r="B1277" s="7" t="s">
        <v>434</v>
      </c>
      <c r="C1277" s="7" t="s">
        <v>416</v>
      </c>
      <c r="D1277" s="7" t="s">
        <v>435</v>
      </c>
      <c r="E1277" s="33" t="s">
        <v>83</v>
      </c>
      <c r="F1277" s="7">
        <v>154</v>
      </c>
      <c r="G1277" s="12">
        <v>2.2000000000000002</v>
      </c>
      <c r="H1277" s="12">
        <v>2.2000000000000002</v>
      </c>
      <c r="I1277" s="12">
        <v>1.2</v>
      </c>
      <c r="J1277" s="14">
        <f t="shared" si="454"/>
        <v>4.5592800000000011</v>
      </c>
      <c r="K1277" s="37">
        <v>0.24189189189189139</v>
      </c>
      <c r="L1277" s="12">
        <f t="shared" si="472"/>
        <v>11.777027027027021</v>
      </c>
      <c r="M1277" s="12">
        <f t="shared" si="473"/>
        <v>12.97702702702702</v>
      </c>
      <c r="N1277" s="13">
        <f t="shared" si="474"/>
        <v>12.377027027027021</v>
      </c>
      <c r="O1277" s="13">
        <f t="shared" si="475"/>
        <v>171.77702702702703</v>
      </c>
      <c r="P1277" s="13">
        <f t="shared" si="455"/>
        <v>172.97702702702702</v>
      </c>
      <c r="Q1277" s="13">
        <f t="shared" si="470"/>
        <v>172.37702702702703</v>
      </c>
      <c r="R1277" s="13">
        <f t="shared" si="476"/>
        <v>166.97702702702702</v>
      </c>
      <c r="S1277" s="13">
        <f t="shared" si="477"/>
        <v>168.17702702702701</v>
      </c>
      <c r="T1277" s="13">
        <f t="shared" si="471"/>
        <v>167.57702702702701</v>
      </c>
      <c r="U1277" s="13">
        <f t="shared" si="457"/>
        <v>167.57702702702701</v>
      </c>
      <c r="V1277" s="7">
        <v>6.6985999999999999</v>
      </c>
      <c r="W1277" s="7">
        <v>2.0001000000000002</v>
      </c>
      <c r="X1277" s="7">
        <v>1.1476266666666699</v>
      </c>
      <c r="Y1277" s="14">
        <f t="shared" si="458"/>
        <v>5.5509733333333298</v>
      </c>
      <c r="Z1277" s="14">
        <f t="shared" si="459"/>
        <v>0.85247333333333031</v>
      </c>
      <c r="AA1277" s="36">
        <f t="shared" si="460"/>
        <v>84.642813392486161</v>
      </c>
      <c r="AB1277" s="36">
        <f t="shared" si="461"/>
        <v>15.357186607513839</v>
      </c>
      <c r="AC1277" s="14">
        <f t="shared" si="462"/>
        <v>1.2175109520216632</v>
      </c>
      <c r="AD1277" s="14">
        <f t="shared" si="463"/>
        <v>0.18697542886888502</v>
      </c>
      <c r="AE1277" s="36" t="s">
        <v>40</v>
      </c>
      <c r="AF1277" s="66">
        <v>17.027000000000001</v>
      </c>
      <c r="AG1277" s="66">
        <v>17.113</v>
      </c>
      <c r="AH1277" s="66">
        <f t="shared" si="456"/>
        <v>8.5999999999998522E-2</v>
      </c>
      <c r="AI1277" s="66">
        <v>17.027000000000001</v>
      </c>
      <c r="AJ1277" s="66">
        <f t="shared" si="464"/>
        <v>0</v>
      </c>
      <c r="AK1277" s="66">
        <f t="shared" si="465"/>
        <v>100</v>
      </c>
      <c r="AL1277" s="11">
        <f t="shared" si="466"/>
        <v>5</v>
      </c>
      <c r="AM1277" s="11">
        <f t="shared" si="467"/>
        <v>57.80346820809249</v>
      </c>
      <c r="AN1277" s="11">
        <f t="shared" si="468"/>
        <v>5.0008099344006265</v>
      </c>
      <c r="AO1277">
        <f t="shared" si="469"/>
        <v>0.5780346820809249</v>
      </c>
      <c r="AP1277" s="7"/>
      <c r="AQ1277" s="7"/>
      <c r="AR1277" s="7"/>
      <c r="AS1277" s="7"/>
    </row>
    <row r="1278" spans="1:45" x14ac:dyDescent="0.2">
      <c r="A1278" s="7" t="s">
        <v>90</v>
      </c>
      <c r="B1278" s="7" t="s">
        <v>436</v>
      </c>
      <c r="C1278" s="7" t="s">
        <v>416</v>
      </c>
      <c r="D1278" s="7" t="s">
        <v>437</v>
      </c>
      <c r="E1278" s="33" t="s">
        <v>83</v>
      </c>
      <c r="F1278" s="7">
        <v>155</v>
      </c>
      <c r="G1278" s="12">
        <v>2.2999999999999998</v>
      </c>
      <c r="H1278" s="12">
        <v>2.2000000000000002</v>
      </c>
      <c r="I1278" s="12">
        <v>1.1000000000000001</v>
      </c>
      <c r="J1278" s="14">
        <f t="shared" si="454"/>
        <v>4.3714687500000009</v>
      </c>
      <c r="K1278" s="37">
        <v>0.24189189189189139</v>
      </c>
      <c r="L1278" s="12">
        <f t="shared" si="472"/>
        <v>13.218918918918911</v>
      </c>
      <c r="M1278" s="12">
        <f t="shared" si="473"/>
        <v>14.318918918918911</v>
      </c>
      <c r="N1278" s="13">
        <f t="shared" si="474"/>
        <v>13.76891891891891</v>
      </c>
      <c r="O1278" s="13">
        <f t="shared" si="475"/>
        <v>173.21891891891892</v>
      </c>
      <c r="P1278" s="13">
        <f t="shared" si="455"/>
        <v>174.31891891891891</v>
      </c>
      <c r="Q1278" s="13">
        <f t="shared" si="470"/>
        <v>173.76891891891893</v>
      </c>
      <c r="R1278" s="13">
        <f t="shared" si="476"/>
        <v>168.41891891891891</v>
      </c>
      <c r="S1278" s="13">
        <f t="shared" si="477"/>
        <v>169.5189189189189</v>
      </c>
      <c r="T1278" s="13">
        <f t="shared" si="471"/>
        <v>168.96891891891892</v>
      </c>
      <c r="U1278" s="13">
        <f t="shared" si="457"/>
        <v>168.96891891891892</v>
      </c>
      <c r="V1278" s="7">
        <v>6.3609</v>
      </c>
      <c r="W1278" s="7">
        <v>1.9478</v>
      </c>
      <c r="X1278" s="7">
        <v>1.1476266666666699</v>
      </c>
      <c r="Y1278" s="14">
        <f t="shared" si="458"/>
        <v>5.2132733333333299</v>
      </c>
      <c r="Z1278" s="14">
        <f t="shared" si="459"/>
        <v>0.80017333333333007</v>
      </c>
      <c r="AA1278" s="36">
        <f t="shared" si="460"/>
        <v>84.651230001368361</v>
      </c>
      <c r="AB1278" s="36">
        <f t="shared" si="461"/>
        <v>15.348769998631639</v>
      </c>
      <c r="AC1278" s="14">
        <f t="shared" si="462"/>
        <v>1.1925679060003183</v>
      </c>
      <c r="AD1278" s="14">
        <f t="shared" si="463"/>
        <v>0.18304450496948649</v>
      </c>
      <c r="AE1278" s="36" t="s">
        <v>40</v>
      </c>
      <c r="AF1278" s="66">
        <v>17.050999999999998</v>
      </c>
      <c r="AG1278" s="66">
        <v>17.199000000000002</v>
      </c>
      <c r="AH1278" s="66">
        <f t="shared" si="456"/>
        <v>0.14800000000000324</v>
      </c>
      <c r="AI1278" s="66">
        <v>17.061</v>
      </c>
      <c r="AJ1278" s="66">
        <f t="shared" si="464"/>
        <v>1.0000000000001563E-2</v>
      </c>
      <c r="AK1278" s="66">
        <f t="shared" si="465"/>
        <v>93.243243243242333</v>
      </c>
      <c r="AL1278" s="11">
        <f t="shared" si="466"/>
        <v>4.662162162162117</v>
      </c>
      <c r="AM1278" s="11">
        <f t="shared" si="467"/>
        <v>53.897828464301931</v>
      </c>
      <c r="AN1278" s="11">
        <f t="shared" si="468"/>
        <v>4.6630307768978048</v>
      </c>
      <c r="AO1278">
        <f t="shared" si="469"/>
        <v>0.5780346820809249</v>
      </c>
      <c r="AP1278" s="7"/>
      <c r="AQ1278" s="7"/>
      <c r="AR1278" s="7"/>
      <c r="AS1278" s="7"/>
    </row>
    <row r="1279" spans="1:45" x14ac:dyDescent="0.2">
      <c r="A1279" s="7" t="s">
        <v>90</v>
      </c>
      <c r="B1279" s="7" t="s">
        <v>438</v>
      </c>
      <c r="C1279" s="7" t="s">
        <v>416</v>
      </c>
      <c r="D1279" s="7" t="s">
        <v>439</v>
      </c>
      <c r="E1279" s="33" t="s">
        <v>83</v>
      </c>
      <c r="F1279" s="7">
        <v>156</v>
      </c>
      <c r="G1279" s="12">
        <v>2.2999999999999998</v>
      </c>
      <c r="H1279" s="12">
        <v>2.2999999999999998</v>
      </c>
      <c r="I1279" s="12">
        <v>1.1000000000000001</v>
      </c>
      <c r="J1279" s="14">
        <f t="shared" si="454"/>
        <v>4.5679150000000002</v>
      </c>
      <c r="K1279" s="37">
        <v>0.24189189189189139</v>
      </c>
      <c r="L1279" s="12">
        <f t="shared" si="472"/>
        <v>14.560810810810802</v>
      </c>
      <c r="M1279" s="12">
        <f t="shared" si="473"/>
        <v>15.660810810810801</v>
      </c>
      <c r="N1279" s="13">
        <f t="shared" si="474"/>
        <v>15.110810810810801</v>
      </c>
      <c r="O1279" s="13">
        <f t="shared" si="475"/>
        <v>174.56081081081081</v>
      </c>
      <c r="P1279" s="13">
        <f t="shared" si="455"/>
        <v>175.6608108108108</v>
      </c>
      <c r="Q1279" s="13">
        <f t="shared" si="470"/>
        <v>175.11081081081079</v>
      </c>
      <c r="R1279" s="13">
        <f t="shared" si="476"/>
        <v>169.7608108108108</v>
      </c>
      <c r="S1279" s="13">
        <f t="shared" si="477"/>
        <v>170.86081081081079</v>
      </c>
      <c r="T1279" s="13">
        <f t="shared" si="471"/>
        <v>170.31081081081078</v>
      </c>
      <c r="U1279" s="13">
        <f t="shared" si="457"/>
        <v>170.31081081081078</v>
      </c>
      <c r="V1279" s="7">
        <v>6.1894</v>
      </c>
      <c r="W1279" s="7">
        <v>1.9071</v>
      </c>
      <c r="X1279" s="7">
        <v>1.1476266666666699</v>
      </c>
      <c r="Y1279" s="14">
        <f t="shared" si="458"/>
        <v>5.0417733333333299</v>
      </c>
      <c r="Z1279" s="14">
        <f t="shared" si="459"/>
        <v>0.75947333333333011</v>
      </c>
      <c r="AA1279" s="36">
        <f t="shared" si="460"/>
        <v>84.936384816982425</v>
      </c>
      <c r="AB1279" s="36">
        <f t="shared" si="461"/>
        <v>15.063615183017575</v>
      </c>
      <c r="AC1279" s="14">
        <f t="shared" si="462"/>
        <v>1.1037362414434879</v>
      </c>
      <c r="AD1279" s="14">
        <f t="shared" si="463"/>
        <v>0.16626258004654862</v>
      </c>
      <c r="AE1279" s="36">
        <f>(W1279-$AS$12)/J1279</f>
        <v>0.41749901213135532</v>
      </c>
      <c r="AF1279" s="66">
        <v>14.595000000000001</v>
      </c>
      <c r="AG1279" s="66">
        <v>14.737</v>
      </c>
      <c r="AH1279" s="66">
        <f t="shared" si="456"/>
        <v>0.14199999999999946</v>
      </c>
      <c r="AI1279" s="66">
        <v>14.597</v>
      </c>
      <c r="AJ1279" s="66">
        <f t="shared" si="464"/>
        <v>1.9999999999988916E-3</v>
      </c>
      <c r="AK1279" s="66">
        <f t="shared" si="465"/>
        <v>98.591549295775422</v>
      </c>
      <c r="AL1279" s="11">
        <f t="shared" si="466"/>
        <v>4.9295774647887711</v>
      </c>
      <c r="AM1279" s="11">
        <f t="shared" si="467"/>
        <v>56.989334853049378</v>
      </c>
      <c r="AN1279" s="11">
        <f t="shared" si="468"/>
        <v>4.9303989677665321</v>
      </c>
      <c r="AO1279">
        <f t="shared" si="469"/>
        <v>0.5780346820809249</v>
      </c>
      <c r="AP1279" s="7"/>
      <c r="AQ1279" s="7"/>
      <c r="AR1279" s="7"/>
      <c r="AS1279" s="7"/>
    </row>
    <row r="1280" spans="1:45" x14ac:dyDescent="0.2">
      <c r="A1280" s="7" t="s">
        <v>90</v>
      </c>
      <c r="B1280" s="7" t="s">
        <v>440</v>
      </c>
      <c r="C1280" s="7" t="s">
        <v>416</v>
      </c>
      <c r="D1280" s="7" t="s">
        <v>441</v>
      </c>
      <c r="E1280" s="33" t="s">
        <v>83</v>
      </c>
      <c r="F1280" s="7">
        <v>157</v>
      </c>
      <c r="G1280" s="12">
        <v>2.1</v>
      </c>
      <c r="H1280" s="12">
        <v>2.5</v>
      </c>
      <c r="I1280" s="12">
        <v>1.1000000000000001</v>
      </c>
      <c r="J1280" s="14">
        <f t="shared" si="454"/>
        <v>4.5679150000000002</v>
      </c>
      <c r="K1280" s="37">
        <v>0.24189189189189139</v>
      </c>
      <c r="L1280" s="12">
        <f t="shared" si="472"/>
        <v>15.902702702702692</v>
      </c>
      <c r="M1280" s="12">
        <f t="shared" si="473"/>
        <v>17.002702702702692</v>
      </c>
      <c r="N1280" s="13">
        <f t="shared" si="474"/>
        <v>16.452702702702691</v>
      </c>
      <c r="O1280" s="13">
        <f t="shared" si="475"/>
        <v>175.9027027027027</v>
      </c>
      <c r="P1280" s="13">
        <f t="shared" si="455"/>
        <v>177.00270270270269</v>
      </c>
      <c r="Q1280" s="13">
        <f t="shared" si="470"/>
        <v>176.45270270270271</v>
      </c>
      <c r="R1280" s="13">
        <f t="shared" si="476"/>
        <v>171.10270270270269</v>
      </c>
      <c r="S1280" s="13">
        <f t="shared" si="477"/>
        <v>172.20270270270268</v>
      </c>
      <c r="T1280" s="13">
        <f t="shared" si="471"/>
        <v>171.6527027027027</v>
      </c>
      <c r="U1280" s="13">
        <f t="shared" si="457"/>
        <v>171.6527027027027</v>
      </c>
      <c r="V1280" s="7">
        <v>6.0968999999999998</v>
      </c>
      <c r="W1280" s="7">
        <v>1.9974000000000001</v>
      </c>
      <c r="X1280" s="7">
        <v>1.1476266666666699</v>
      </c>
      <c r="Y1280" s="14">
        <f t="shared" si="458"/>
        <v>4.9492733333333296</v>
      </c>
      <c r="Z1280" s="14">
        <f t="shared" si="459"/>
        <v>0.84977333333333016</v>
      </c>
      <c r="AA1280" s="36">
        <f t="shared" si="460"/>
        <v>82.830341423858897</v>
      </c>
      <c r="AB1280" s="36">
        <f t="shared" si="461"/>
        <v>17.169658576141103</v>
      </c>
      <c r="AC1280" s="14">
        <f t="shared" si="462"/>
        <v>1.0834863024669525</v>
      </c>
      <c r="AD1280" s="14">
        <f t="shared" si="463"/>
        <v>0.18603089885283114</v>
      </c>
      <c r="AE1280" s="36" t="s">
        <v>40</v>
      </c>
      <c r="AF1280" s="66">
        <v>15.228</v>
      </c>
      <c r="AG1280" s="66">
        <v>15.391999999999999</v>
      </c>
      <c r="AH1280" s="66">
        <f t="shared" si="456"/>
        <v>0.1639999999999997</v>
      </c>
      <c r="AI1280" s="66">
        <v>15.23</v>
      </c>
      <c r="AJ1280" s="66">
        <f t="shared" si="464"/>
        <v>2.0000000000006679E-3</v>
      </c>
      <c r="AK1280" s="66">
        <f t="shared" si="465"/>
        <v>98.780487804877637</v>
      </c>
      <c r="AL1280" s="11">
        <f t="shared" si="466"/>
        <v>4.9390243902438824</v>
      </c>
      <c r="AM1280" s="11">
        <f t="shared" si="467"/>
        <v>57.098547864091124</v>
      </c>
      <c r="AN1280" s="11">
        <f t="shared" si="468"/>
        <v>4.9398443221850581</v>
      </c>
      <c r="AO1280">
        <f t="shared" si="469"/>
        <v>0.5780346820809249</v>
      </c>
      <c r="AP1280" s="7"/>
      <c r="AQ1280" s="7"/>
      <c r="AR1280" s="7"/>
      <c r="AS1280" s="7"/>
    </row>
    <row r="1281" spans="1:45" x14ac:dyDescent="0.2">
      <c r="A1281" s="7" t="s">
        <v>90</v>
      </c>
      <c r="B1281" s="7" t="s">
        <v>442</v>
      </c>
      <c r="C1281" s="7" t="s">
        <v>416</v>
      </c>
      <c r="D1281" s="7" t="s">
        <v>443</v>
      </c>
      <c r="E1281" s="33" t="s">
        <v>83</v>
      </c>
      <c r="F1281" s="7">
        <v>158</v>
      </c>
      <c r="G1281" s="12">
        <v>2.2999999999999998</v>
      </c>
      <c r="H1281" s="12">
        <v>2.2000000000000002</v>
      </c>
      <c r="I1281" s="12">
        <v>1.1000000000000001</v>
      </c>
      <c r="J1281" s="14">
        <f t="shared" si="454"/>
        <v>4.3714687500000009</v>
      </c>
      <c r="K1281" s="37">
        <v>0.24189189189189139</v>
      </c>
      <c r="L1281" s="12">
        <f t="shared" si="472"/>
        <v>17.244594594594584</v>
      </c>
      <c r="M1281" s="12">
        <f t="shared" si="473"/>
        <v>18.344594594594586</v>
      </c>
      <c r="N1281" s="13">
        <f t="shared" si="474"/>
        <v>17.794594594594585</v>
      </c>
      <c r="O1281" s="13">
        <f t="shared" si="475"/>
        <v>177.24459459459459</v>
      </c>
      <c r="P1281" s="13">
        <f t="shared" si="455"/>
        <v>178.34459459459458</v>
      </c>
      <c r="Q1281" s="13">
        <f t="shared" si="470"/>
        <v>177.79459459459457</v>
      </c>
      <c r="R1281" s="13">
        <f t="shared" si="476"/>
        <v>172.44459459459458</v>
      </c>
      <c r="S1281" s="13">
        <f t="shared" si="477"/>
        <v>173.54459459459457</v>
      </c>
      <c r="T1281" s="13">
        <f t="shared" si="471"/>
        <v>172.99459459459456</v>
      </c>
      <c r="U1281" s="13">
        <f t="shared" si="457"/>
        <v>172.99459459459456</v>
      </c>
      <c r="V1281" s="7">
        <v>5.9062999999999999</v>
      </c>
      <c r="W1281" s="7">
        <v>2.0424000000000002</v>
      </c>
      <c r="X1281" s="7">
        <v>1.1476266666666699</v>
      </c>
      <c r="Y1281" s="14">
        <f t="shared" si="458"/>
        <v>4.7586733333333298</v>
      </c>
      <c r="Z1281" s="14">
        <f t="shared" si="459"/>
        <v>0.89477333333333031</v>
      </c>
      <c r="AA1281" s="36">
        <f t="shared" si="460"/>
        <v>81.197000284393027</v>
      </c>
      <c r="AB1281" s="36">
        <f t="shared" si="461"/>
        <v>18.802999715606973</v>
      </c>
      <c r="AC1281" s="14">
        <f t="shared" si="462"/>
        <v>1.0885753977615256</v>
      </c>
      <c r="AD1281" s="14">
        <f t="shared" si="463"/>
        <v>0.20468482894526699</v>
      </c>
      <c r="AE1281" s="36">
        <f>(W1281-$AS$12)/J1281</f>
        <v>0.46721139205215634</v>
      </c>
      <c r="AF1281" s="66">
        <v>16.744</v>
      </c>
      <c r="AG1281" s="66">
        <v>16.863</v>
      </c>
      <c r="AH1281" s="66">
        <f t="shared" si="456"/>
        <v>0.11899999999999977</v>
      </c>
      <c r="AI1281" s="66">
        <v>16.751999999999999</v>
      </c>
      <c r="AJ1281" s="66">
        <f t="shared" si="464"/>
        <v>7.9999999999991189E-3</v>
      </c>
      <c r="AK1281" s="66">
        <f t="shared" si="465"/>
        <v>93.277310924370468</v>
      </c>
      <c r="AL1281" s="11">
        <f t="shared" si="466"/>
        <v>4.6638655462185232</v>
      </c>
      <c r="AM1281" s="11">
        <f t="shared" si="467"/>
        <v>53.917520765532068</v>
      </c>
      <c r="AN1281" s="11">
        <f t="shared" si="468"/>
        <v>4.6647338437690316</v>
      </c>
      <c r="AO1281">
        <f t="shared" si="469"/>
        <v>0.5780346820809249</v>
      </c>
      <c r="AP1281" s="7"/>
      <c r="AQ1281" s="7"/>
      <c r="AR1281" s="7"/>
      <c r="AS1281" s="7"/>
    </row>
    <row r="1282" spans="1:45" x14ac:dyDescent="0.2">
      <c r="A1282" s="7" t="s">
        <v>90</v>
      </c>
      <c r="B1282" s="7" t="s">
        <v>444</v>
      </c>
      <c r="C1282" s="7" t="s">
        <v>416</v>
      </c>
      <c r="D1282" s="7" t="s">
        <v>445</v>
      </c>
      <c r="E1282" s="33" t="s">
        <v>83</v>
      </c>
      <c r="F1282" s="7">
        <v>159</v>
      </c>
      <c r="G1282" s="12">
        <v>2.2000000000000002</v>
      </c>
      <c r="H1282" s="12">
        <v>3.3</v>
      </c>
      <c r="I1282" s="12">
        <v>1</v>
      </c>
      <c r="J1282" s="14">
        <f t="shared" si="454"/>
        <v>5.9365625</v>
      </c>
      <c r="K1282" s="37">
        <v>0.24189189189189139</v>
      </c>
      <c r="L1282" s="12">
        <f t="shared" si="472"/>
        <v>18.586486486486478</v>
      </c>
      <c r="M1282" s="12">
        <f t="shared" si="473"/>
        <v>19.586486486486478</v>
      </c>
      <c r="N1282" s="13">
        <f t="shared" si="474"/>
        <v>19.086486486486478</v>
      </c>
      <c r="O1282" s="13">
        <f t="shared" si="475"/>
        <v>178.58648648648648</v>
      </c>
      <c r="P1282" s="13">
        <f t="shared" si="455"/>
        <v>179.58648648648648</v>
      </c>
      <c r="Q1282" s="13">
        <f t="shared" si="470"/>
        <v>179.08648648648648</v>
      </c>
      <c r="R1282" s="13">
        <f t="shared" si="476"/>
        <v>173.78648648648647</v>
      </c>
      <c r="S1282" s="13">
        <f t="shared" si="477"/>
        <v>174.78648648648647</v>
      </c>
      <c r="T1282" s="13">
        <f t="shared" si="471"/>
        <v>174.28648648648647</v>
      </c>
      <c r="U1282" s="13">
        <f t="shared" si="457"/>
        <v>174.28648648648647</v>
      </c>
      <c r="V1282" s="7">
        <v>5.4702999999999999</v>
      </c>
      <c r="W1282" s="7">
        <v>1.8874</v>
      </c>
      <c r="X1282" s="7">
        <v>1.1476266666666699</v>
      </c>
      <c r="Y1282" s="14">
        <f t="shared" si="458"/>
        <v>4.3226733333333298</v>
      </c>
      <c r="Z1282" s="14">
        <f t="shared" si="459"/>
        <v>0.73977333333333006</v>
      </c>
      <c r="AA1282" s="36">
        <f t="shared" si="460"/>
        <v>82.886207763405721</v>
      </c>
      <c r="AB1282" s="36">
        <f t="shared" si="461"/>
        <v>17.113792236594279</v>
      </c>
      <c r="AC1282" s="14">
        <f t="shared" si="462"/>
        <v>0.72814416311347352</v>
      </c>
      <c r="AD1282" s="14">
        <f t="shared" si="463"/>
        <v>0.12461307925812792</v>
      </c>
      <c r="AE1282" s="36">
        <f>(W1282-$AS$12)/J1282</f>
        <v>0.31792809390956467</v>
      </c>
      <c r="AF1282" s="66">
        <v>16.478999999999999</v>
      </c>
      <c r="AG1282" s="66">
        <v>16.649999999999999</v>
      </c>
      <c r="AH1282" s="66">
        <f t="shared" si="456"/>
        <v>0.17099999999999937</v>
      </c>
      <c r="AI1282" s="66">
        <v>16.491</v>
      </c>
      <c r="AJ1282" s="66">
        <f t="shared" si="464"/>
        <v>1.2000000000000455E-2</v>
      </c>
      <c r="AK1282" s="66">
        <f t="shared" si="465"/>
        <v>92.982456140350592</v>
      </c>
      <c r="AL1282" s="11">
        <f t="shared" si="466"/>
        <v>4.6491228070175294</v>
      </c>
      <c r="AM1282" s="11">
        <f t="shared" si="467"/>
        <v>53.747084474191098</v>
      </c>
      <c r="AN1282" s="11">
        <f t="shared" si="468"/>
        <v>4.6499938574938522</v>
      </c>
      <c r="AO1282">
        <f t="shared" si="469"/>
        <v>0.5780346820809249</v>
      </c>
      <c r="AP1282" s="7"/>
      <c r="AQ1282" s="7"/>
      <c r="AR1282" s="7"/>
      <c r="AS1282" s="7"/>
    </row>
    <row r="1283" spans="1:45" x14ac:dyDescent="0.2">
      <c r="A1283" s="7" t="s">
        <v>90</v>
      </c>
      <c r="B1283" s="7" t="s">
        <v>446</v>
      </c>
      <c r="C1283" s="7" t="s">
        <v>416</v>
      </c>
      <c r="D1283" s="7" t="s">
        <v>447</v>
      </c>
      <c r="E1283" s="33" t="s">
        <v>83</v>
      </c>
      <c r="F1283" s="7">
        <v>160</v>
      </c>
      <c r="G1283" s="12">
        <v>2.2000000000000002</v>
      </c>
      <c r="H1283" s="12">
        <v>1.9</v>
      </c>
      <c r="I1283" s="12">
        <v>1.1000000000000001</v>
      </c>
      <c r="J1283" s="14">
        <f t="shared" si="454"/>
        <v>3.6288587499999996</v>
      </c>
      <c r="K1283" s="37">
        <v>0.24189189189189139</v>
      </c>
      <c r="L1283" s="12">
        <f t="shared" si="472"/>
        <v>19.828378378378371</v>
      </c>
      <c r="M1283" s="12">
        <f t="shared" si="473"/>
        <v>20.928378378378373</v>
      </c>
      <c r="N1283" s="13">
        <f t="shared" si="474"/>
        <v>20.378378378378372</v>
      </c>
      <c r="O1283" s="13">
        <f t="shared" si="475"/>
        <v>179.82837837837837</v>
      </c>
      <c r="P1283" s="13">
        <f t="shared" si="455"/>
        <v>180.92837837837837</v>
      </c>
      <c r="Q1283" s="13">
        <f t="shared" si="470"/>
        <v>180.37837837837839</v>
      </c>
      <c r="R1283" s="13">
        <f t="shared" si="476"/>
        <v>175.02837837837836</v>
      </c>
      <c r="S1283" s="13">
        <f t="shared" si="477"/>
        <v>176.12837837837836</v>
      </c>
      <c r="T1283" s="13">
        <f t="shared" si="471"/>
        <v>175.57837837837837</v>
      </c>
      <c r="U1283" s="13">
        <f t="shared" si="457"/>
        <v>175.57837837837837</v>
      </c>
      <c r="V1283" s="7">
        <v>5.2527999999999997</v>
      </c>
      <c r="W1283" s="7">
        <v>1.7907999999999999</v>
      </c>
      <c r="X1283" s="7">
        <v>1.1476266666666699</v>
      </c>
      <c r="Y1283" s="14">
        <f t="shared" si="458"/>
        <v>4.1051733333333296</v>
      </c>
      <c r="Z1283" s="14">
        <f t="shared" si="459"/>
        <v>0.64317333333333004</v>
      </c>
      <c r="AA1283" s="36">
        <f t="shared" si="460"/>
        <v>84.332614457205295</v>
      </c>
      <c r="AB1283" s="36">
        <f t="shared" si="461"/>
        <v>15.667385542794705</v>
      </c>
      <c r="AC1283" s="14">
        <f t="shared" si="462"/>
        <v>1.1312574051920126</v>
      </c>
      <c r="AD1283" s="14">
        <f t="shared" si="463"/>
        <v>0.17723845915284803</v>
      </c>
      <c r="AE1283" s="36" t="s">
        <v>40</v>
      </c>
      <c r="AF1283" s="66">
        <v>15.3</v>
      </c>
      <c r="AG1283" s="66">
        <v>15.404999999999999</v>
      </c>
      <c r="AH1283" s="66">
        <f t="shared" si="456"/>
        <v>0.10499999999999865</v>
      </c>
      <c r="AI1283" s="66">
        <v>15.3</v>
      </c>
      <c r="AJ1283" s="66">
        <f t="shared" si="464"/>
        <v>0</v>
      </c>
      <c r="AK1283" s="66">
        <f t="shared" si="465"/>
        <v>100</v>
      </c>
      <c r="AL1283" s="11">
        <f t="shared" si="466"/>
        <v>5</v>
      </c>
      <c r="AM1283" s="11">
        <f t="shared" si="467"/>
        <v>57.80346820809249</v>
      </c>
      <c r="AN1283" s="11">
        <f t="shared" si="468"/>
        <v>5.0008099344006265</v>
      </c>
      <c r="AO1283">
        <f t="shared" si="469"/>
        <v>0.5780346820809249</v>
      </c>
      <c r="AP1283" s="7"/>
      <c r="AQ1283" s="7"/>
      <c r="AR1283" s="7"/>
      <c r="AS1283" s="7"/>
    </row>
    <row r="1284" spans="1:45" x14ac:dyDescent="0.2">
      <c r="A1284" s="7" t="s">
        <v>90</v>
      </c>
      <c r="B1284" s="7" t="s">
        <v>448</v>
      </c>
      <c r="C1284" s="7" t="s">
        <v>416</v>
      </c>
      <c r="D1284" s="7" t="s">
        <v>449</v>
      </c>
      <c r="E1284" s="33" t="s">
        <v>83</v>
      </c>
      <c r="F1284" s="7">
        <v>161</v>
      </c>
      <c r="G1284" s="12">
        <v>2.1</v>
      </c>
      <c r="H1284" s="12">
        <v>1.9</v>
      </c>
      <c r="I1284" s="12">
        <v>1</v>
      </c>
      <c r="J1284" s="14">
        <f t="shared" si="454"/>
        <v>3.14</v>
      </c>
      <c r="K1284" s="37">
        <v>0.24189189189189139</v>
      </c>
      <c r="L1284" s="12">
        <f t="shared" si="472"/>
        <v>21.170270270270265</v>
      </c>
      <c r="M1284" s="12">
        <f t="shared" si="473"/>
        <v>22.170270270270265</v>
      </c>
      <c r="N1284" s="13">
        <f t="shared" si="474"/>
        <v>21.670270270270265</v>
      </c>
      <c r="O1284" s="13">
        <f t="shared" si="475"/>
        <v>181.17027027027027</v>
      </c>
      <c r="P1284" s="13">
        <f t="shared" si="455"/>
        <v>182.17027027027027</v>
      </c>
      <c r="Q1284" s="13">
        <f t="shared" si="470"/>
        <v>181.67027027027027</v>
      </c>
      <c r="R1284" s="13">
        <f t="shared" si="476"/>
        <v>176.37027027027025</v>
      </c>
      <c r="S1284" s="13">
        <f t="shared" si="477"/>
        <v>177.37027027027025</v>
      </c>
      <c r="T1284" s="13">
        <f t="shared" si="471"/>
        <v>176.87027027027025</v>
      </c>
      <c r="U1284" s="13">
        <f t="shared" si="457"/>
        <v>176.87027027027025</v>
      </c>
      <c r="V1284" s="7">
        <v>5.3715000000000002</v>
      </c>
      <c r="W1284" s="7">
        <v>1.9135</v>
      </c>
      <c r="X1284" s="7">
        <v>1.1476266666666699</v>
      </c>
      <c r="Y1284" s="14">
        <f t="shared" si="458"/>
        <v>4.22387333333333</v>
      </c>
      <c r="Z1284" s="14">
        <f t="shared" si="459"/>
        <v>0.76587333333333008</v>
      </c>
      <c r="AA1284" s="36">
        <f t="shared" si="460"/>
        <v>81.867985308902959</v>
      </c>
      <c r="AB1284" s="36">
        <f t="shared" si="461"/>
        <v>18.132014691097041</v>
      </c>
      <c r="AC1284" s="14">
        <f t="shared" si="462"/>
        <v>1.3451825902335446</v>
      </c>
      <c r="AD1284" s="14">
        <f t="shared" si="463"/>
        <v>0.24390870488322614</v>
      </c>
      <c r="AE1284" s="36" t="s">
        <v>40</v>
      </c>
      <c r="AF1284" s="66">
        <v>16.149000000000001</v>
      </c>
      <c r="AG1284" s="66">
        <v>16.315000000000001</v>
      </c>
      <c r="AH1284" s="66">
        <f t="shared" si="456"/>
        <v>0.16600000000000037</v>
      </c>
      <c r="AI1284" s="66">
        <v>16.190999999999999</v>
      </c>
      <c r="AJ1284" s="66">
        <f t="shared" si="464"/>
        <v>4.1999999999998039E-2</v>
      </c>
      <c r="AK1284" s="66">
        <f t="shared" si="465"/>
        <v>74.698795180724133</v>
      </c>
      <c r="AL1284" s="11">
        <f t="shared" si="466"/>
        <v>3.734939759036207</v>
      </c>
      <c r="AM1284" s="11">
        <f t="shared" si="467"/>
        <v>43.178494324117999</v>
      </c>
      <c r="AN1284" s="11">
        <f t="shared" si="468"/>
        <v>3.7360239565117142</v>
      </c>
      <c r="AO1284">
        <f t="shared" si="469"/>
        <v>0.5780346820809249</v>
      </c>
      <c r="AP1284" s="7"/>
      <c r="AQ1284" s="7"/>
      <c r="AR1284" s="7"/>
      <c r="AS1284" s="7"/>
    </row>
    <row r="1285" spans="1:45" x14ac:dyDescent="0.2">
      <c r="A1285" s="7" t="s">
        <v>90</v>
      </c>
      <c r="B1285" s="7" t="s">
        <v>450</v>
      </c>
      <c r="C1285" s="7" t="s">
        <v>416</v>
      </c>
      <c r="D1285" s="7" t="s">
        <v>451</v>
      </c>
      <c r="E1285" s="33" t="s">
        <v>83</v>
      </c>
      <c r="F1285" s="7">
        <v>162</v>
      </c>
      <c r="G1285" s="12">
        <v>2.1</v>
      </c>
      <c r="H1285" s="12">
        <v>2.2000000000000002</v>
      </c>
      <c r="I1285" s="12">
        <v>1.1000000000000001</v>
      </c>
      <c r="J1285" s="14">
        <f t="shared" si="454"/>
        <v>3.9915287500000014</v>
      </c>
      <c r="K1285" s="37">
        <v>0.24189189189189139</v>
      </c>
      <c r="L1285" s="12">
        <f t="shared" si="472"/>
        <v>22.412162162162158</v>
      </c>
      <c r="M1285" s="12">
        <f t="shared" si="473"/>
        <v>23.512162162162159</v>
      </c>
      <c r="N1285" s="13">
        <f t="shared" si="474"/>
        <v>22.962162162162159</v>
      </c>
      <c r="O1285" s="13">
        <f t="shared" si="475"/>
        <v>182.41216216216216</v>
      </c>
      <c r="P1285" s="13">
        <f t="shared" si="455"/>
        <v>183.51216216216216</v>
      </c>
      <c r="Q1285" s="13">
        <f t="shared" si="470"/>
        <v>182.96216216216214</v>
      </c>
      <c r="R1285" s="13">
        <f t="shared" si="476"/>
        <v>177.61216216216215</v>
      </c>
      <c r="S1285" s="13">
        <f t="shared" si="477"/>
        <v>178.71216216216214</v>
      </c>
      <c r="T1285" s="13">
        <f t="shared" si="471"/>
        <v>178.16216216216213</v>
      </c>
      <c r="U1285" s="13">
        <f t="shared" si="457"/>
        <v>178.16216216216213</v>
      </c>
      <c r="V1285" s="7">
        <v>6.0648</v>
      </c>
      <c r="W1285" s="7">
        <v>2.0047999999999999</v>
      </c>
      <c r="X1285" s="7">
        <v>1.1476266666666699</v>
      </c>
      <c r="Y1285" s="14">
        <f t="shared" si="458"/>
        <v>4.9171733333333298</v>
      </c>
      <c r="Z1285" s="14">
        <f t="shared" si="459"/>
        <v>0.85717333333333001</v>
      </c>
      <c r="AA1285" s="36">
        <f t="shared" si="460"/>
        <v>82.567762508541549</v>
      </c>
      <c r="AB1285" s="36">
        <f t="shared" si="461"/>
        <v>17.432237491458451</v>
      </c>
      <c r="AC1285" s="14">
        <f t="shared" si="462"/>
        <v>1.2319022713624017</v>
      </c>
      <c r="AD1285" s="14">
        <f t="shared" si="463"/>
        <v>0.21474812960656484</v>
      </c>
      <c r="AE1285" s="36" t="s">
        <v>40</v>
      </c>
      <c r="AF1285" s="66">
        <v>14.766999999999999</v>
      </c>
      <c r="AG1285" s="66">
        <v>14.88</v>
      </c>
      <c r="AH1285" s="66">
        <f t="shared" si="456"/>
        <v>0.11300000000000132</v>
      </c>
      <c r="AI1285" s="66">
        <v>14.778</v>
      </c>
      <c r="AJ1285" s="66">
        <f t="shared" si="464"/>
        <v>1.1000000000001009E-2</v>
      </c>
      <c r="AK1285" s="66">
        <f t="shared" si="465"/>
        <v>90.265486725662939</v>
      </c>
      <c r="AL1285" s="11">
        <f t="shared" si="466"/>
        <v>4.5132743362831471</v>
      </c>
      <c r="AM1285" s="11">
        <f t="shared" si="467"/>
        <v>52.176581922348525</v>
      </c>
      <c r="AN1285" s="11">
        <f t="shared" si="468"/>
        <v>4.5141716000338397</v>
      </c>
      <c r="AO1285">
        <f t="shared" si="469"/>
        <v>0.5780346820809249</v>
      </c>
      <c r="AP1285" s="7" t="s">
        <v>98</v>
      </c>
      <c r="AQ1285" s="7"/>
      <c r="AR1285" s="7"/>
      <c r="AS1285" s="7"/>
    </row>
    <row r="1286" spans="1:45" x14ac:dyDescent="0.2">
      <c r="A1286" s="7" t="s">
        <v>90</v>
      </c>
      <c r="B1286" s="7" t="s">
        <v>452</v>
      </c>
      <c r="C1286" s="7" t="s">
        <v>416</v>
      </c>
      <c r="D1286" s="7" t="s">
        <v>453</v>
      </c>
      <c r="E1286" s="33" t="s">
        <v>83</v>
      </c>
      <c r="F1286" s="7">
        <v>163</v>
      </c>
      <c r="G1286" s="12">
        <v>2.2999999999999998</v>
      </c>
      <c r="H1286" s="12">
        <v>2.2000000000000002</v>
      </c>
      <c r="I1286" s="12">
        <v>1.1000000000000001</v>
      </c>
      <c r="J1286" s="14">
        <f t="shared" si="454"/>
        <v>4.3714687500000009</v>
      </c>
      <c r="K1286" s="37">
        <v>0.24189189189189139</v>
      </c>
      <c r="L1286" s="12">
        <f t="shared" si="472"/>
        <v>23.754054054054052</v>
      </c>
      <c r="M1286" s="12">
        <f t="shared" si="473"/>
        <v>24.854054054054053</v>
      </c>
      <c r="N1286" s="13">
        <f t="shared" si="474"/>
        <v>24.304054054054053</v>
      </c>
      <c r="O1286" s="13">
        <f t="shared" si="475"/>
        <v>183.75405405405405</v>
      </c>
      <c r="P1286" s="13">
        <f t="shared" si="455"/>
        <v>184.85405405405405</v>
      </c>
      <c r="Q1286" s="13">
        <f t="shared" si="470"/>
        <v>184.30405405405406</v>
      </c>
      <c r="R1286" s="13">
        <f t="shared" si="476"/>
        <v>178.95405405405404</v>
      </c>
      <c r="S1286" s="13">
        <f t="shared" si="477"/>
        <v>180.05405405405403</v>
      </c>
      <c r="T1286" s="13">
        <f t="shared" si="471"/>
        <v>179.50405405405405</v>
      </c>
      <c r="U1286" s="13">
        <f t="shared" si="457"/>
        <v>179.50405405405405</v>
      </c>
      <c r="V1286" s="7">
        <v>6.6212999999999997</v>
      </c>
      <c r="W1286" s="7">
        <v>2.7462</v>
      </c>
      <c r="X1286" s="7">
        <v>1.1476266666666699</v>
      </c>
      <c r="Y1286" s="14">
        <f t="shared" si="458"/>
        <v>5.4736733333333296</v>
      </c>
      <c r="Z1286" s="14">
        <f t="shared" si="459"/>
        <v>1.5985733333333301</v>
      </c>
      <c r="AA1286" s="36">
        <f t="shared" si="460"/>
        <v>70.79523683668863</v>
      </c>
      <c r="AB1286" s="36">
        <f t="shared" si="461"/>
        <v>29.20476316331137</v>
      </c>
      <c r="AC1286" s="14">
        <f t="shared" si="462"/>
        <v>1.2521359859505639</v>
      </c>
      <c r="AD1286" s="14">
        <f t="shared" si="463"/>
        <v>0.36568334917945594</v>
      </c>
      <c r="AE1286" s="36">
        <f>(W1286-$AS$12)/J1286</f>
        <v>0.62820991228634526</v>
      </c>
      <c r="AF1286" s="66">
        <v>15.951000000000001</v>
      </c>
      <c r="AG1286" s="66">
        <v>16.18</v>
      </c>
      <c r="AH1286" s="66">
        <f t="shared" si="456"/>
        <v>0.2289999999999992</v>
      </c>
      <c r="AI1286" s="66">
        <v>16.117000000000001</v>
      </c>
      <c r="AJ1286" s="66">
        <f t="shared" si="464"/>
        <v>0.16600000000000037</v>
      </c>
      <c r="AK1286" s="66">
        <f t="shared" si="465"/>
        <v>27.510917030567271</v>
      </c>
      <c r="AL1286" s="11">
        <f t="shared" si="466"/>
        <v>1.3755458515283636</v>
      </c>
      <c r="AM1286" s="11">
        <f t="shared" si="467"/>
        <v>15.902264179518655</v>
      </c>
      <c r="AN1286" s="11">
        <f t="shared" si="468"/>
        <v>1.3784869929226358</v>
      </c>
      <c r="AO1286">
        <f t="shared" si="469"/>
        <v>0.5780346820809249</v>
      </c>
      <c r="AP1286" s="7" t="s">
        <v>98</v>
      </c>
      <c r="AQ1286" s="7"/>
      <c r="AR1286" s="7"/>
      <c r="AS1286" s="7"/>
    </row>
    <row r="1287" spans="1:45" x14ac:dyDescent="0.2">
      <c r="A1287" s="7" t="s">
        <v>90</v>
      </c>
      <c r="B1287" s="7" t="s">
        <v>454</v>
      </c>
      <c r="C1287" s="7" t="s">
        <v>416</v>
      </c>
      <c r="D1287" s="7" t="s">
        <v>455</v>
      </c>
      <c r="E1287" s="33" t="s">
        <v>83</v>
      </c>
      <c r="F1287" s="7">
        <v>164</v>
      </c>
      <c r="G1287" s="12">
        <v>2.4</v>
      </c>
      <c r="H1287" s="12">
        <v>2.2000000000000002</v>
      </c>
      <c r="I1287" s="12">
        <v>1.1000000000000001</v>
      </c>
      <c r="J1287" s="14">
        <f t="shared" si="454"/>
        <v>4.5679150000000002</v>
      </c>
      <c r="K1287" s="37">
        <v>0.24189189189189139</v>
      </c>
      <c r="L1287" s="12">
        <f t="shared" si="472"/>
        <v>25.095945945945946</v>
      </c>
      <c r="M1287" s="12">
        <f t="shared" si="473"/>
        <v>26.195945945945947</v>
      </c>
      <c r="N1287" s="13">
        <f t="shared" si="474"/>
        <v>25.645945945945947</v>
      </c>
      <c r="O1287" s="13">
        <f t="shared" si="475"/>
        <v>185.09594594594594</v>
      </c>
      <c r="P1287" s="13">
        <f t="shared" si="455"/>
        <v>186.19594594594594</v>
      </c>
      <c r="Q1287" s="13">
        <f t="shared" si="470"/>
        <v>185.64594594594593</v>
      </c>
      <c r="R1287" s="13">
        <f t="shared" si="476"/>
        <v>180.29594594594593</v>
      </c>
      <c r="S1287" s="13">
        <f t="shared" si="477"/>
        <v>181.39594594594593</v>
      </c>
      <c r="T1287" s="13">
        <f t="shared" si="471"/>
        <v>180.84594594594591</v>
      </c>
      <c r="U1287" s="13">
        <f t="shared" si="457"/>
        <v>180.84594594594591</v>
      </c>
      <c r="V1287" s="7">
        <v>6.3971</v>
      </c>
      <c r="W1287" s="7">
        <v>2.1690999999999998</v>
      </c>
      <c r="X1287" s="7">
        <v>1.1476266666666699</v>
      </c>
      <c r="Y1287" s="14">
        <f t="shared" si="458"/>
        <v>5.2494733333333299</v>
      </c>
      <c r="Z1287" s="14">
        <f t="shared" si="459"/>
        <v>1.0214733333333299</v>
      </c>
      <c r="AA1287" s="36">
        <f t="shared" si="460"/>
        <v>80.54141304334027</v>
      </c>
      <c r="AB1287" s="36">
        <f t="shared" si="461"/>
        <v>19.45858695665973</v>
      </c>
      <c r="AC1287" s="14">
        <f t="shared" si="462"/>
        <v>1.1492055638805296</v>
      </c>
      <c r="AD1287" s="14">
        <f t="shared" si="463"/>
        <v>0.22361916395846462</v>
      </c>
      <c r="AE1287" s="36" t="s">
        <v>40</v>
      </c>
      <c r="AF1287" s="66">
        <v>15.026</v>
      </c>
      <c r="AG1287" s="66">
        <v>15.182</v>
      </c>
      <c r="AH1287" s="66">
        <f t="shared" si="456"/>
        <v>0.15600000000000058</v>
      </c>
      <c r="AI1287" s="66">
        <v>15.074999999999999</v>
      </c>
      <c r="AJ1287" s="66">
        <f t="shared" si="464"/>
        <v>4.8999999999999488E-2</v>
      </c>
      <c r="AK1287" s="66">
        <f t="shared" si="465"/>
        <v>68.589743589744032</v>
      </c>
      <c r="AL1287" s="11">
        <f t="shared" si="466"/>
        <v>3.4294871794872019</v>
      </c>
      <c r="AM1287" s="11">
        <f t="shared" si="467"/>
        <v>39.647250629909848</v>
      </c>
      <c r="AN1287" s="11">
        <f t="shared" si="468"/>
        <v>3.4306679108108211</v>
      </c>
      <c r="AO1287">
        <f t="shared" si="469"/>
        <v>0.5780346820809249</v>
      </c>
      <c r="AP1287" s="7"/>
      <c r="AQ1287" s="7"/>
      <c r="AR1287" s="7"/>
      <c r="AS1287" s="7"/>
    </row>
    <row r="1288" spans="1:45" x14ac:dyDescent="0.2">
      <c r="A1288" s="7" t="s">
        <v>90</v>
      </c>
      <c r="B1288" s="7" t="s">
        <v>456</v>
      </c>
      <c r="C1288" s="7" t="s">
        <v>416</v>
      </c>
      <c r="D1288" s="7" t="s">
        <v>457</v>
      </c>
      <c r="E1288" s="33" t="s">
        <v>83</v>
      </c>
      <c r="F1288" s="7">
        <v>165</v>
      </c>
      <c r="G1288" s="12">
        <v>2.2000000000000002</v>
      </c>
      <c r="H1288" s="12">
        <v>2.2000000000000002</v>
      </c>
      <c r="I1288" s="12">
        <v>1.1000000000000001</v>
      </c>
      <c r="J1288" s="14">
        <f t="shared" si="454"/>
        <v>4.1793400000000016</v>
      </c>
      <c r="K1288" s="37">
        <v>0.24189189189189139</v>
      </c>
      <c r="L1288" s="12">
        <f t="shared" si="472"/>
        <v>26.43783783783784</v>
      </c>
      <c r="M1288" s="12">
        <f t="shared" si="473"/>
        <v>27.537837837837841</v>
      </c>
      <c r="N1288" s="13">
        <f t="shared" si="474"/>
        <v>26.987837837837841</v>
      </c>
      <c r="O1288" s="13">
        <f t="shared" si="475"/>
        <v>186.43783783783783</v>
      </c>
      <c r="P1288" s="13">
        <f t="shared" si="455"/>
        <v>187.53783783783783</v>
      </c>
      <c r="Q1288" s="13">
        <f t="shared" si="470"/>
        <v>186.98783783783784</v>
      </c>
      <c r="R1288" s="13">
        <f t="shared" si="476"/>
        <v>181.63783783783782</v>
      </c>
      <c r="S1288" s="13">
        <f t="shared" si="477"/>
        <v>182.73783783783782</v>
      </c>
      <c r="T1288" s="13">
        <f t="shared" si="471"/>
        <v>182.18783783783783</v>
      </c>
      <c r="U1288" s="13">
        <f t="shared" si="457"/>
        <v>182.18783783783783</v>
      </c>
      <c r="V1288" s="7">
        <v>6.5446</v>
      </c>
      <c r="W1288" s="7">
        <v>1.8492</v>
      </c>
      <c r="X1288" s="7">
        <v>1.1476266666666699</v>
      </c>
      <c r="Y1288" s="14">
        <f t="shared" si="458"/>
        <v>5.3969733333333298</v>
      </c>
      <c r="Z1288" s="14">
        <f t="shared" si="459"/>
        <v>0.70157333333333005</v>
      </c>
      <c r="AA1288" s="36">
        <f t="shared" si="460"/>
        <v>87.000615159608017</v>
      </c>
      <c r="AB1288" s="36">
        <f t="shared" si="461"/>
        <v>12.999384840391983</v>
      </c>
      <c r="AC1288" s="14">
        <f t="shared" si="462"/>
        <v>1.2913458424854949</v>
      </c>
      <c r="AD1288" s="14">
        <f t="shared" si="463"/>
        <v>0.16786701568509138</v>
      </c>
      <c r="AE1288" s="36">
        <f>(W1288-$AS$12)/J1288</f>
        <v>0.44246220695133665</v>
      </c>
      <c r="AF1288" s="66">
        <v>17.425999999999998</v>
      </c>
      <c r="AG1288" s="66">
        <v>17.568000000000001</v>
      </c>
      <c r="AH1288" s="66">
        <f t="shared" si="456"/>
        <v>0.14200000000000301</v>
      </c>
      <c r="AI1288" s="66">
        <v>17.43</v>
      </c>
      <c r="AJ1288" s="66">
        <f t="shared" si="464"/>
        <v>4.0000000000013358E-3</v>
      </c>
      <c r="AK1288" s="66">
        <f t="shared" si="465"/>
        <v>97.183098591548415</v>
      </c>
      <c r="AL1288" s="11">
        <f t="shared" si="466"/>
        <v>4.8591549295774215</v>
      </c>
      <c r="AM1288" s="11">
        <f t="shared" si="467"/>
        <v>56.175201498004867</v>
      </c>
      <c r="AN1288" s="11">
        <f t="shared" si="468"/>
        <v>4.8599883363683656</v>
      </c>
      <c r="AO1288">
        <f t="shared" si="469"/>
        <v>0.5780346820809249</v>
      </c>
      <c r="AP1288" s="7"/>
      <c r="AQ1288" s="7"/>
      <c r="AR1288" s="7"/>
      <c r="AS1288" s="7"/>
    </row>
    <row r="1289" spans="1:45" x14ac:dyDescent="0.2">
      <c r="A1289" s="7" t="s">
        <v>90</v>
      </c>
      <c r="B1289" s="7" t="s">
        <v>458</v>
      </c>
      <c r="C1289" s="7" t="s">
        <v>416</v>
      </c>
      <c r="D1289" s="7" t="s">
        <v>459</v>
      </c>
      <c r="E1289" s="33" t="s">
        <v>83</v>
      </c>
      <c r="F1289" s="7">
        <v>166</v>
      </c>
      <c r="G1289" s="12">
        <v>2.2000000000000002</v>
      </c>
      <c r="H1289" s="12">
        <v>2.2000000000000002</v>
      </c>
      <c r="I1289" s="12">
        <v>1.1000000000000001</v>
      </c>
      <c r="J1289" s="14">
        <f t="shared" si="454"/>
        <v>4.1793400000000016</v>
      </c>
      <c r="K1289" s="37">
        <v>0.24189189189189139</v>
      </c>
      <c r="L1289" s="12">
        <f t="shared" si="472"/>
        <v>27.779729729729734</v>
      </c>
      <c r="M1289" s="12">
        <f t="shared" si="473"/>
        <v>28.879729729729736</v>
      </c>
      <c r="N1289" s="13">
        <f t="shared" si="474"/>
        <v>28.329729729729735</v>
      </c>
      <c r="O1289" s="13">
        <f t="shared" si="475"/>
        <v>187.77972972972972</v>
      </c>
      <c r="P1289" s="13">
        <f t="shared" si="455"/>
        <v>188.87972972972972</v>
      </c>
      <c r="Q1289" s="13">
        <f t="shared" si="470"/>
        <v>188.32972972972971</v>
      </c>
      <c r="R1289" s="13">
        <f t="shared" si="476"/>
        <v>182.97972972972971</v>
      </c>
      <c r="S1289" s="13">
        <f t="shared" si="477"/>
        <v>184.07972972972971</v>
      </c>
      <c r="T1289" s="13">
        <f t="shared" si="471"/>
        <v>183.5297297297297</v>
      </c>
      <c r="U1289" s="13">
        <f t="shared" si="457"/>
        <v>183.5297297297297</v>
      </c>
      <c r="V1289" s="7">
        <v>6.1356000000000002</v>
      </c>
      <c r="W1289" s="7">
        <v>1.972</v>
      </c>
      <c r="X1289" s="7">
        <v>1.1476266666666699</v>
      </c>
      <c r="Y1289" s="14">
        <f t="shared" si="458"/>
        <v>4.98797333333333</v>
      </c>
      <c r="Z1289" s="14">
        <f t="shared" si="459"/>
        <v>0.82437333333333007</v>
      </c>
      <c r="AA1289" s="36">
        <f t="shared" si="460"/>
        <v>83.472779859822879</v>
      </c>
      <c r="AB1289" s="36">
        <f t="shared" si="461"/>
        <v>16.527220140177121</v>
      </c>
      <c r="AC1289" s="14">
        <f t="shared" si="462"/>
        <v>1.1934835005846205</v>
      </c>
      <c r="AD1289" s="14">
        <f t="shared" si="463"/>
        <v>0.19724964547831231</v>
      </c>
      <c r="AE1289" s="36" t="s">
        <v>40</v>
      </c>
      <c r="AF1289" s="66">
        <v>15.653</v>
      </c>
      <c r="AG1289" s="66">
        <v>15.788</v>
      </c>
      <c r="AH1289" s="66">
        <f t="shared" si="456"/>
        <v>0.13499999999999979</v>
      </c>
      <c r="AI1289" s="66">
        <v>15.661</v>
      </c>
      <c r="AJ1289" s="66">
        <f t="shared" si="464"/>
        <v>7.9999999999991189E-3</v>
      </c>
      <c r="AK1289" s="66">
        <f t="shared" si="465"/>
        <v>94.074074074074716</v>
      </c>
      <c r="AL1289" s="11">
        <f t="shared" si="466"/>
        <v>4.7037037037037361</v>
      </c>
      <c r="AM1289" s="11">
        <f t="shared" si="467"/>
        <v>54.378077499465157</v>
      </c>
      <c r="AN1289" s="11">
        <f t="shared" si="468"/>
        <v>4.7045646485340429</v>
      </c>
      <c r="AO1289">
        <f t="shared" si="469"/>
        <v>0.5780346820809249</v>
      </c>
      <c r="AP1289" s="7" t="s">
        <v>100</v>
      </c>
      <c r="AQ1289" s="7"/>
      <c r="AR1289" s="7"/>
      <c r="AS1289" s="7"/>
    </row>
    <row r="1290" spans="1:45" x14ac:dyDescent="0.2">
      <c r="A1290" s="7" t="s">
        <v>90</v>
      </c>
      <c r="B1290" s="7" t="s">
        <v>460</v>
      </c>
      <c r="C1290" s="7" t="s">
        <v>416</v>
      </c>
      <c r="D1290" s="7" t="s">
        <v>461</v>
      </c>
      <c r="E1290" s="33" t="s">
        <v>83</v>
      </c>
      <c r="F1290" s="7">
        <v>167</v>
      </c>
      <c r="G1290" s="12">
        <v>2.2999999999999998</v>
      </c>
      <c r="H1290" s="12">
        <v>2.1</v>
      </c>
      <c r="I1290" s="12">
        <v>1</v>
      </c>
      <c r="J1290" s="14">
        <f t="shared" si="454"/>
        <v>3.7994000000000008</v>
      </c>
      <c r="K1290" s="37">
        <v>0.24189189189189139</v>
      </c>
      <c r="L1290" s="12">
        <f t="shared" si="472"/>
        <v>29.121621621621628</v>
      </c>
      <c r="M1290" s="12">
        <f t="shared" si="473"/>
        <v>30.121621621621628</v>
      </c>
      <c r="N1290" s="13">
        <f t="shared" si="474"/>
        <v>29.621621621621628</v>
      </c>
      <c r="O1290" s="13">
        <f t="shared" si="475"/>
        <v>189.12162162162161</v>
      </c>
      <c r="P1290" s="13">
        <f t="shared" si="455"/>
        <v>190.12162162162161</v>
      </c>
      <c r="Q1290" s="13">
        <f t="shared" si="470"/>
        <v>189.62162162162161</v>
      </c>
      <c r="R1290" s="13">
        <f t="shared" si="476"/>
        <v>184.3216216216216</v>
      </c>
      <c r="S1290" s="13">
        <f t="shared" si="477"/>
        <v>185.3216216216216</v>
      </c>
      <c r="T1290" s="13">
        <f t="shared" si="471"/>
        <v>184.8216216216216</v>
      </c>
      <c r="U1290" s="13">
        <f t="shared" si="457"/>
        <v>184.8216216216216</v>
      </c>
      <c r="V1290" s="7">
        <v>6.0689000000000002</v>
      </c>
      <c r="W1290" s="7">
        <v>2.3372000000000002</v>
      </c>
      <c r="X1290" s="7">
        <v>1.1476266666666699</v>
      </c>
      <c r="Y1290" s="14">
        <f t="shared" si="458"/>
        <v>4.9212733333333301</v>
      </c>
      <c r="Z1290" s="14">
        <f t="shared" si="459"/>
        <v>1.1895733333333303</v>
      </c>
      <c r="AA1290" s="36">
        <f t="shared" si="460"/>
        <v>75.827936130351134</v>
      </c>
      <c r="AB1290" s="36">
        <f t="shared" si="461"/>
        <v>24.172063869648866</v>
      </c>
      <c r="AC1290" s="14">
        <f t="shared" si="462"/>
        <v>1.295276447158322</v>
      </c>
      <c r="AD1290" s="14">
        <f t="shared" si="463"/>
        <v>0.31309505009562827</v>
      </c>
      <c r="AE1290" s="36" t="s">
        <v>40</v>
      </c>
      <c r="AF1290" s="66">
        <v>16.059999999999999</v>
      </c>
      <c r="AG1290" s="66">
        <v>16.242999999999999</v>
      </c>
      <c r="AH1290" s="66">
        <f t="shared" si="456"/>
        <v>0.18299999999999983</v>
      </c>
      <c r="AI1290" s="66">
        <v>16.138999999999999</v>
      </c>
      <c r="AJ1290" s="66">
        <f t="shared" si="464"/>
        <v>7.9000000000000625E-2</v>
      </c>
      <c r="AK1290" s="66">
        <f t="shared" si="465"/>
        <v>56.83060109289579</v>
      </c>
      <c r="AL1290" s="11">
        <f t="shared" si="466"/>
        <v>2.8415300546447897</v>
      </c>
      <c r="AM1290" s="11">
        <f t="shared" si="467"/>
        <v>32.850058435199884</v>
      </c>
      <c r="AN1290" s="11">
        <f t="shared" si="468"/>
        <v>2.8429549858289391</v>
      </c>
      <c r="AO1290">
        <f t="shared" si="469"/>
        <v>0.5780346820809249</v>
      </c>
      <c r="AP1290" s="7" t="s">
        <v>100</v>
      </c>
      <c r="AQ1290" s="7"/>
      <c r="AR1290" s="7"/>
      <c r="AS1290" s="7"/>
    </row>
    <row r="1291" spans="1:45" x14ac:dyDescent="0.2">
      <c r="A1291" s="7" t="s">
        <v>90</v>
      </c>
      <c r="B1291" s="7" t="s">
        <v>462</v>
      </c>
      <c r="C1291" s="7" t="s">
        <v>416</v>
      </c>
      <c r="D1291" s="7" t="s">
        <v>463</v>
      </c>
      <c r="E1291" s="33" t="s">
        <v>83</v>
      </c>
      <c r="F1291" s="7">
        <v>168</v>
      </c>
      <c r="G1291" s="12">
        <v>2</v>
      </c>
      <c r="H1291" s="12">
        <v>2.2999999999999998</v>
      </c>
      <c r="I1291" s="12">
        <v>1.1000000000000001</v>
      </c>
      <c r="J1291" s="14">
        <f t="shared" si="454"/>
        <v>3.9915287500000001</v>
      </c>
      <c r="K1291" s="37">
        <v>0.24189189189189139</v>
      </c>
      <c r="L1291" s="12">
        <f t="shared" si="472"/>
        <v>30.363513513513521</v>
      </c>
      <c r="M1291" s="12">
        <f t="shared" si="473"/>
        <v>31.463513513513522</v>
      </c>
      <c r="N1291" s="13">
        <f t="shared" si="474"/>
        <v>30.913513513513522</v>
      </c>
      <c r="O1291" s="13">
        <f t="shared" si="475"/>
        <v>190.36351351351351</v>
      </c>
      <c r="P1291" s="13">
        <f t="shared" si="455"/>
        <v>191.4635135135135</v>
      </c>
      <c r="Q1291" s="13">
        <f t="shared" si="470"/>
        <v>190.91351351351352</v>
      </c>
      <c r="R1291" s="13">
        <f t="shared" si="476"/>
        <v>185.5635135135135</v>
      </c>
      <c r="S1291" s="13">
        <f t="shared" si="477"/>
        <v>186.66351351351349</v>
      </c>
      <c r="T1291" s="13">
        <f t="shared" si="471"/>
        <v>186.11351351351351</v>
      </c>
      <c r="U1291" s="13">
        <f t="shared" si="457"/>
        <v>186.11351351351351</v>
      </c>
      <c r="V1291" s="7">
        <v>6.4187000000000003</v>
      </c>
      <c r="W1291" s="7">
        <v>2.5821999999999998</v>
      </c>
      <c r="X1291" s="7">
        <v>1.1476266666666699</v>
      </c>
      <c r="Y1291" s="14">
        <f t="shared" si="458"/>
        <v>5.2710733333333302</v>
      </c>
      <c r="Z1291" s="14">
        <f t="shared" si="459"/>
        <v>1.4345733333333299</v>
      </c>
      <c r="AA1291" s="36">
        <f t="shared" si="460"/>
        <v>72.784037659629135</v>
      </c>
      <c r="AB1291" s="36">
        <f t="shared" si="461"/>
        <v>27.215962340370865</v>
      </c>
      <c r="AC1291" s="14">
        <f t="shared" si="462"/>
        <v>1.3205650424873754</v>
      </c>
      <c r="AD1291" s="14">
        <f t="shared" si="463"/>
        <v>0.35940448464346647</v>
      </c>
      <c r="AE1291" s="36">
        <f>(W1291-$AS$12)/J1291</f>
        <v>0.64692005537978392</v>
      </c>
      <c r="AF1291" s="66">
        <v>17.439</v>
      </c>
      <c r="AG1291" s="66">
        <v>17.638999999999999</v>
      </c>
      <c r="AH1291" s="66">
        <f t="shared" si="456"/>
        <v>0.19999999999999929</v>
      </c>
      <c r="AI1291" s="66">
        <v>17.558</v>
      </c>
      <c r="AJ1291" s="66">
        <f t="shared" si="464"/>
        <v>0.11899999999999977</v>
      </c>
      <c r="AK1291" s="66">
        <f t="shared" si="465"/>
        <v>40.499999999999901</v>
      </c>
      <c r="AL1291" s="11">
        <f t="shared" si="466"/>
        <v>2.024999999999995</v>
      </c>
      <c r="AM1291" s="11">
        <f t="shared" si="467"/>
        <v>23.410404624277401</v>
      </c>
      <c r="AN1291" s="11">
        <f t="shared" si="468"/>
        <v>2.0269990133199323</v>
      </c>
      <c r="AO1291">
        <f t="shared" si="469"/>
        <v>0.5780346820809249</v>
      </c>
      <c r="AP1291" s="7"/>
      <c r="AQ1291" s="7"/>
      <c r="AR1291" s="7"/>
      <c r="AS1291" s="7"/>
    </row>
    <row r="1292" spans="1:45" x14ac:dyDescent="0.2">
      <c r="A1292" s="7" t="s">
        <v>90</v>
      </c>
      <c r="B1292" s="7" t="s">
        <v>464</v>
      </c>
      <c r="C1292" s="7" t="s">
        <v>416</v>
      </c>
      <c r="D1292" s="7" t="s">
        <v>465</v>
      </c>
      <c r="E1292" s="33" t="s">
        <v>83</v>
      </c>
      <c r="F1292" s="7">
        <v>169</v>
      </c>
      <c r="G1292" s="12">
        <v>2.4</v>
      </c>
      <c r="H1292" s="12">
        <v>2.2999999999999998</v>
      </c>
      <c r="I1292" s="12">
        <v>1</v>
      </c>
      <c r="J1292" s="14">
        <f t="shared" si="454"/>
        <v>4.3351624999999991</v>
      </c>
      <c r="K1292" s="37">
        <v>0.24189189189189139</v>
      </c>
      <c r="L1292" s="12">
        <f t="shared" si="472"/>
        <v>31.705405405405415</v>
      </c>
      <c r="M1292" s="12">
        <f t="shared" si="473"/>
        <v>32.705405405405415</v>
      </c>
      <c r="N1292" s="13">
        <f t="shared" si="474"/>
        <v>32.205405405405415</v>
      </c>
      <c r="O1292" s="13">
        <f t="shared" si="475"/>
        <v>191.7054054054054</v>
      </c>
      <c r="P1292" s="13">
        <f t="shared" si="455"/>
        <v>192.7054054054054</v>
      </c>
      <c r="Q1292" s="13">
        <f t="shared" si="470"/>
        <v>192.2054054054054</v>
      </c>
      <c r="R1292" s="13">
        <f t="shared" si="476"/>
        <v>186.90540540540539</v>
      </c>
      <c r="S1292" s="13">
        <f t="shared" si="477"/>
        <v>187.90540540540539</v>
      </c>
      <c r="T1292" s="13">
        <f t="shared" si="471"/>
        <v>187.40540540540539</v>
      </c>
      <c r="U1292" s="13">
        <f t="shared" si="457"/>
        <v>187.40540540540539</v>
      </c>
      <c r="V1292" s="7">
        <v>5.8376000000000001</v>
      </c>
      <c r="W1292" s="7">
        <v>2.1770999999999998</v>
      </c>
      <c r="X1292" s="7">
        <v>1.1476266666666699</v>
      </c>
      <c r="Y1292" s="14">
        <f t="shared" si="458"/>
        <v>4.68997333333333</v>
      </c>
      <c r="Z1292" s="14">
        <f t="shared" si="459"/>
        <v>1.0294733333333299</v>
      </c>
      <c r="AA1292" s="36">
        <f t="shared" si="460"/>
        <v>78.049484289889406</v>
      </c>
      <c r="AB1292" s="36">
        <f t="shared" si="461"/>
        <v>21.950515710110594</v>
      </c>
      <c r="AC1292" s="14">
        <f t="shared" si="462"/>
        <v>1.0818448750959926</v>
      </c>
      <c r="AD1292" s="14">
        <f t="shared" si="463"/>
        <v>0.23747052926697215</v>
      </c>
      <c r="AE1292" s="36" t="s">
        <v>40</v>
      </c>
      <c r="AF1292" s="66">
        <v>16.175000000000001</v>
      </c>
      <c r="AG1292" s="66">
        <v>16.355</v>
      </c>
      <c r="AH1292" s="66">
        <f t="shared" si="456"/>
        <v>0.17999999999999972</v>
      </c>
      <c r="AI1292" s="66">
        <v>16.234999999999999</v>
      </c>
      <c r="AJ1292" s="66">
        <f t="shared" si="464"/>
        <v>5.9999999999998721E-2</v>
      </c>
      <c r="AK1292" s="66">
        <f t="shared" si="465"/>
        <v>66.666666666667325</v>
      </c>
      <c r="AL1292" s="11">
        <f t="shared" si="466"/>
        <v>3.3333333333333663</v>
      </c>
      <c r="AM1292" s="11">
        <f t="shared" si="467"/>
        <v>38.535645472062043</v>
      </c>
      <c r="AN1292" s="11">
        <f t="shared" si="468"/>
        <v>3.3345481119802924</v>
      </c>
      <c r="AO1292">
        <f t="shared" si="469"/>
        <v>0.5780346820809249</v>
      </c>
      <c r="AP1292" s="7"/>
      <c r="AQ1292" s="7"/>
      <c r="AR1292" s="7"/>
      <c r="AS1292" s="7"/>
    </row>
    <row r="1293" spans="1:45" x14ac:dyDescent="0.2">
      <c r="A1293" s="7" t="s">
        <v>90</v>
      </c>
      <c r="B1293" s="7" t="s">
        <v>466</v>
      </c>
      <c r="C1293" s="7" t="s">
        <v>416</v>
      </c>
      <c r="D1293" s="7" t="s">
        <v>467</v>
      </c>
      <c r="E1293" s="33" t="s">
        <v>83</v>
      </c>
      <c r="F1293" s="7">
        <v>170</v>
      </c>
      <c r="G1293" s="12">
        <v>2</v>
      </c>
      <c r="H1293" s="12">
        <v>2</v>
      </c>
      <c r="I1293" s="12">
        <v>0.8</v>
      </c>
      <c r="J1293" s="14">
        <f t="shared" si="454"/>
        <v>2.5120000000000005</v>
      </c>
      <c r="K1293" s="37">
        <v>0.24189189189189139</v>
      </c>
      <c r="L1293" s="12">
        <f t="shared" si="472"/>
        <v>32.947297297297304</v>
      </c>
      <c r="M1293" s="12">
        <f t="shared" si="473"/>
        <v>33.747297297297301</v>
      </c>
      <c r="N1293" s="13">
        <f t="shared" si="474"/>
        <v>33.347297297297303</v>
      </c>
      <c r="O1293" s="13">
        <f t="shared" si="475"/>
        <v>192.9472972972973</v>
      </c>
      <c r="P1293" s="13">
        <f t="shared" si="455"/>
        <v>193.74729729729731</v>
      </c>
      <c r="Q1293" s="13">
        <f t="shared" si="470"/>
        <v>193.3472972972973</v>
      </c>
      <c r="R1293" s="13">
        <f t="shared" si="476"/>
        <v>188.14729729729729</v>
      </c>
      <c r="S1293" s="13">
        <f t="shared" si="477"/>
        <v>188.9472972972973</v>
      </c>
      <c r="T1293" s="13">
        <f t="shared" si="471"/>
        <v>188.54729729729729</v>
      </c>
      <c r="U1293" s="13">
        <f t="shared" si="457"/>
        <v>188.54729729729729</v>
      </c>
      <c r="V1293" s="7">
        <v>3.7763</v>
      </c>
      <c r="W1293" s="7">
        <v>1.6295999999999999</v>
      </c>
      <c r="X1293" s="7">
        <v>1.1476266666666699</v>
      </c>
      <c r="Y1293" s="14">
        <f t="shared" si="458"/>
        <v>2.6286733333333299</v>
      </c>
      <c r="Z1293" s="14">
        <f t="shared" si="459"/>
        <v>0.48197333333333003</v>
      </c>
      <c r="AA1293" s="36">
        <f t="shared" si="460"/>
        <v>81.664768793383843</v>
      </c>
      <c r="AB1293" s="36">
        <f t="shared" si="461"/>
        <v>18.335231206616157</v>
      </c>
      <c r="AC1293" s="14">
        <f t="shared" si="462"/>
        <v>1.0464463906581725</v>
      </c>
      <c r="AD1293" s="14">
        <f t="shared" si="463"/>
        <v>0.19186836518046574</v>
      </c>
      <c r="AE1293" s="36" t="s">
        <v>40</v>
      </c>
      <c r="AF1293" s="66">
        <v>15.968</v>
      </c>
      <c r="AG1293" s="66">
        <v>16.042000000000002</v>
      </c>
      <c r="AH1293" s="66">
        <f t="shared" si="456"/>
        <v>7.400000000000162E-2</v>
      </c>
      <c r="AI1293" s="66">
        <v>15.978</v>
      </c>
      <c r="AJ1293" s="66">
        <f t="shared" si="464"/>
        <v>9.9999999999997868E-3</v>
      </c>
      <c r="AK1293" s="66">
        <f t="shared" si="465"/>
        <v>86.486486486487067</v>
      </c>
      <c r="AL1293" s="11">
        <f t="shared" si="466"/>
        <v>4.3243243243243539</v>
      </c>
      <c r="AM1293" s="11">
        <f t="shared" si="467"/>
        <v>49.992188720512758</v>
      </c>
      <c r="AN1293" s="11">
        <f t="shared" si="468"/>
        <v>4.3252607854259235</v>
      </c>
      <c r="AO1293">
        <f t="shared" si="469"/>
        <v>0.5780346820809249</v>
      </c>
      <c r="AP1293" s="7" t="s">
        <v>468</v>
      </c>
      <c r="AQ1293" s="7"/>
      <c r="AR1293" s="7"/>
      <c r="AS1293" s="7"/>
    </row>
    <row r="1294" spans="1:45" x14ac:dyDescent="0.2">
      <c r="A1294" s="7" t="s">
        <v>90</v>
      </c>
      <c r="B1294" s="7" t="s">
        <v>469</v>
      </c>
      <c r="C1294" s="7" t="s">
        <v>416</v>
      </c>
      <c r="D1294" s="7" t="s">
        <v>470</v>
      </c>
      <c r="E1294" s="33" t="s">
        <v>83</v>
      </c>
      <c r="F1294" s="7">
        <v>171</v>
      </c>
      <c r="G1294" s="12">
        <v>2.2999999999999998</v>
      </c>
      <c r="H1294" s="12">
        <v>2.2000000000000002</v>
      </c>
      <c r="I1294" s="12">
        <v>1</v>
      </c>
      <c r="J1294" s="14">
        <f t="shared" si="454"/>
        <v>3.9740625000000001</v>
      </c>
      <c r="K1294" s="37">
        <v>0.24189189189189139</v>
      </c>
      <c r="L1294" s="12">
        <f t="shared" si="472"/>
        <v>33.98918918918919</v>
      </c>
      <c r="M1294" s="12">
        <f t="shared" si="473"/>
        <v>34.98918918918919</v>
      </c>
      <c r="N1294" s="13">
        <f t="shared" si="474"/>
        <v>34.48918918918919</v>
      </c>
      <c r="O1294" s="13">
        <f t="shared" si="475"/>
        <v>193.9891891891892</v>
      </c>
      <c r="P1294" s="13">
        <f t="shared" si="455"/>
        <v>194.9891891891892</v>
      </c>
      <c r="Q1294" s="13">
        <f t="shared" si="470"/>
        <v>194.4891891891892</v>
      </c>
      <c r="R1294" s="13">
        <f t="shared" si="476"/>
        <v>189.18918918918919</v>
      </c>
      <c r="S1294" s="13">
        <f t="shared" si="477"/>
        <v>190.18918918918919</v>
      </c>
      <c r="T1294" s="13">
        <f t="shared" si="471"/>
        <v>189.68918918918919</v>
      </c>
      <c r="U1294" s="13">
        <f t="shared" si="457"/>
        <v>189.68918918918919</v>
      </c>
      <c r="V1294" s="7">
        <v>5.1169000000000002</v>
      </c>
      <c r="W1294" s="7">
        <v>1.9288000000000001</v>
      </c>
      <c r="X1294" s="7">
        <v>1.1476266666666699</v>
      </c>
      <c r="Y1294" s="14">
        <f t="shared" si="458"/>
        <v>3.9692733333333301</v>
      </c>
      <c r="Z1294" s="14">
        <f t="shared" si="459"/>
        <v>0.78117333333333017</v>
      </c>
      <c r="AA1294" s="36">
        <f t="shared" si="460"/>
        <v>80.319487530043347</v>
      </c>
      <c r="AB1294" s="36">
        <f t="shared" si="461"/>
        <v>19.680512469956653</v>
      </c>
      <c r="AC1294" s="14">
        <f t="shared" si="462"/>
        <v>0.99879489397394483</v>
      </c>
      <c r="AD1294" s="14">
        <f t="shared" si="463"/>
        <v>0.19656795365783256</v>
      </c>
      <c r="AE1294" s="36">
        <f>(W1294-$AS$12)/J1294</f>
        <v>0.48534717307541086</v>
      </c>
      <c r="AF1294" s="66">
        <v>16.478000000000002</v>
      </c>
      <c r="AG1294" s="66">
        <v>16.547999999999998</v>
      </c>
      <c r="AH1294" s="66">
        <f t="shared" si="456"/>
        <v>6.9999999999996732E-2</v>
      </c>
      <c r="AI1294" s="66">
        <v>16.48</v>
      </c>
      <c r="AJ1294" s="66">
        <f t="shared" si="464"/>
        <v>1.9999999999988916E-3</v>
      </c>
      <c r="AK1294" s="66">
        <f t="shared" si="465"/>
        <v>97.142857142858603</v>
      </c>
      <c r="AL1294" s="11">
        <f t="shared" si="466"/>
        <v>4.8571428571429305</v>
      </c>
      <c r="AM1294" s="11">
        <f t="shared" si="467"/>
        <v>56.151940545004976</v>
      </c>
      <c r="AN1294" s="11">
        <f t="shared" si="468"/>
        <v>4.857976609113571</v>
      </c>
      <c r="AO1294">
        <f t="shared" si="469"/>
        <v>0.5780346820809249</v>
      </c>
      <c r="AP1294" s="7" t="s">
        <v>468</v>
      </c>
      <c r="AQ1294" s="7"/>
      <c r="AR1294" s="7"/>
      <c r="AS1294" s="7"/>
    </row>
    <row r="1295" spans="1:45" x14ac:dyDescent="0.2">
      <c r="A1295" s="7" t="s">
        <v>90</v>
      </c>
      <c r="B1295" s="7" t="s">
        <v>471</v>
      </c>
      <c r="C1295" s="7" t="s">
        <v>416</v>
      </c>
      <c r="D1295" s="7" t="s">
        <v>472</v>
      </c>
      <c r="E1295" s="33" t="s">
        <v>83</v>
      </c>
      <c r="F1295" s="7">
        <v>172</v>
      </c>
      <c r="G1295" s="12">
        <v>1.9</v>
      </c>
      <c r="H1295" s="12">
        <v>2.1</v>
      </c>
      <c r="I1295" s="12">
        <v>0.95</v>
      </c>
      <c r="J1295" s="14">
        <f t="shared" si="454"/>
        <v>2.9830000000000001</v>
      </c>
      <c r="K1295" s="37">
        <v>0.24189189189189139</v>
      </c>
      <c r="L1295" s="12">
        <f t="shared" si="472"/>
        <v>35.231081081081079</v>
      </c>
      <c r="M1295" s="12">
        <f t="shared" si="473"/>
        <v>36.181081081081082</v>
      </c>
      <c r="N1295" s="13">
        <f t="shared" si="474"/>
        <v>35.706081081081081</v>
      </c>
      <c r="O1295" s="13">
        <f t="shared" si="475"/>
        <v>195.2310810810811</v>
      </c>
      <c r="P1295" s="13">
        <f t="shared" si="455"/>
        <v>196.18108108108109</v>
      </c>
      <c r="Q1295" s="13">
        <f t="shared" si="470"/>
        <v>195.70608108108109</v>
      </c>
      <c r="R1295" s="13">
        <f t="shared" si="476"/>
        <v>190.43108108108109</v>
      </c>
      <c r="S1295" s="13">
        <f t="shared" si="477"/>
        <v>191.38108108108108</v>
      </c>
      <c r="T1295" s="13">
        <f t="shared" si="471"/>
        <v>190.90608108108108</v>
      </c>
      <c r="U1295" s="13">
        <f t="shared" si="457"/>
        <v>190.90608108108108</v>
      </c>
      <c r="V1295" s="7">
        <v>6.0553999999999997</v>
      </c>
      <c r="W1295" s="7">
        <v>2.8005</v>
      </c>
      <c r="X1295" s="7">
        <v>1.1476266666666699</v>
      </c>
      <c r="Y1295" s="14">
        <f t="shared" si="458"/>
        <v>4.9077733333333295</v>
      </c>
      <c r="Z1295" s="14">
        <f t="shared" si="459"/>
        <v>1.6528733333333301</v>
      </c>
      <c r="AA1295" s="36">
        <f t="shared" si="460"/>
        <v>66.321318832980637</v>
      </c>
      <c r="AB1295" s="36">
        <f t="shared" si="461"/>
        <v>33.678681167019363</v>
      </c>
      <c r="AC1295" s="14">
        <f t="shared" si="462"/>
        <v>1.6452475136886791</v>
      </c>
      <c r="AD1295" s="14">
        <f t="shared" si="463"/>
        <v>0.55409766454352327</v>
      </c>
      <c r="AE1295" s="36" t="s">
        <v>40</v>
      </c>
      <c r="AF1295" s="66">
        <v>18.347000000000001</v>
      </c>
      <c r="AG1295" s="66">
        <v>18.533999999999999</v>
      </c>
      <c r="AH1295" s="66">
        <f t="shared" si="456"/>
        <v>0.18699999999999761</v>
      </c>
      <c r="AI1295" s="66">
        <v>18.481000000000002</v>
      </c>
      <c r="AJ1295" s="66">
        <f t="shared" si="464"/>
        <v>0.13400000000000034</v>
      </c>
      <c r="AK1295" s="66">
        <f t="shared" si="465"/>
        <v>28.342245989303716</v>
      </c>
      <c r="AL1295" s="11">
        <f t="shared" si="466"/>
        <v>1.4171122994651859</v>
      </c>
      <c r="AM1295" s="11">
        <f t="shared" si="467"/>
        <v>16.382801149886543</v>
      </c>
      <c r="AN1295" s="11">
        <f t="shared" si="468"/>
        <v>1.4199673479680817</v>
      </c>
      <c r="AO1295">
        <f t="shared" si="469"/>
        <v>0.5780346820809249</v>
      </c>
      <c r="AP1295" s="7"/>
      <c r="AQ1295" s="7"/>
      <c r="AR1295" s="7"/>
      <c r="AS1295" s="7"/>
    </row>
    <row r="1296" spans="1:45" x14ac:dyDescent="0.2">
      <c r="A1296" s="7" t="s">
        <v>90</v>
      </c>
      <c r="B1296" s="7" t="s">
        <v>473</v>
      </c>
      <c r="C1296" s="7" t="s">
        <v>416</v>
      </c>
      <c r="D1296" s="7" t="s">
        <v>474</v>
      </c>
      <c r="E1296" s="33" t="s">
        <v>83</v>
      </c>
      <c r="F1296" s="7">
        <v>173</v>
      </c>
      <c r="G1296" s="12">
        <v>2.1</v>
      </c>
      <c r="H1296" s="12">
        <v>2</v>
      </c>
      <c r="I1296" s="12">
        <v>1</v>
      </c>
      <c r="J1296" s="14">
        <f t="shared" si="454"/>
        <v>3.2989624999999996</v>
      </c>
      <c r="K1296" s="37">
        <v>0.24189189189189139</v>
      </c>
      <c r="L1296" s="12">
        <f t="shared" si="472"/>
        <v>36.422972972972971</v>
      </c>
      <c r="M1296" s="12">
        <f t="shared" si="473"/>
        <v>37.422972972972971</v>
      </c>
      <c r="N1296" s="13">
        <f t="shared" si="474"/>
        <v>36.922972972972971</v>
      </c>
      <c r="O1296" s="13">
        <f t="shared" si="475"/>
        <v>196.42297297297299</v>
      </c>
      <c r="P1296" s="13">
        <f t="shared" si="455"/>
        <v>197.42297297297299</v>
      </c>
      <c r="Q1296" s="13">
        <f t="shared" si="470"/>
        <v>196.92297297297299</v>
      </c>
      <c r="R1296" s="13">
        <f t="shared" si="476"/>
        <v>191.62297297297297</v>
      </c>
      <c r="S1296" s="13">
        <f t="shared" si="477"/>
        <v>192.62297297297297</v>
      </c>
      <c r="T1296" s="13">
        <f t="shared" si="471"/>
        <v>192.12297297297297</v>
      </c>
      <c r="U1296" s="13">
        <f t="shared" si="457"/>
        <v>192.12297297297297</v>
      </c>
      <c r="V1296" s="7">
        <v>5.7393000000000001</v>
      </c>
      <c r="W1296" s="7">
        <v>2.7437999999999998</v>
      </c>
      <c r="X1296" s="7">
        <v>1.1476266666666699</v>
      </c>
      <c r="Y1296" s="14">
        <f t="shared" si="458"/>
        <v>4.5916733333333299</v>
      </c>
      <c r="Z1296" s="14">
        <f t="shared" si="459"/>
        <v>1.5961733333333299</v>
      </c>
      <c r="AA1296" s="36">
        <f t="shared" si="460"/>
        <v>65.237654827361453</v>
      </c>
      <c r="AB1296" s="36">
        <f t="shared" si="461"/>
        <v>34.762345172638547</v>
      </c>
      <c r="AC1296" s="14">
        <f t="shared" si="462"/>
        <v>1.3918537520003125</v>
      </c>
      <c r="AD1296" s="14">
        <f t="shared" si="463"/>
        <v>0.48384100556866899</v>
      </c>
      <c r="AE1296" s="36" t="s">
        <v>40</v>
      </c>
      <c r="AF1296" s="66">
        <v>18.564</v>
      </c>
      <c r="AG1296" s="66">
        <v>18.859000000000002</v>
      </c>
      <c r="AH1296" s="66">
        <f t="shared" si="456"/>
        <v>0.29500000000000171</v>
      </c>
      <c r="AI1296" s="66">
        <v>18.777999999999999</v>
      </c>
      <c r="AJ1296" s="66">
        <f t="shared" si="464"/>
        <v>0.21399999999999864</v>
      </c>
      <c r="AK1296" s="66">
        <f t="shared" si="465"/>
        <v>27.45762711864495</v>
      </c>
      <c r="AL1296" s="11">
        <f t="shared" si="466"/>
        <v>1.3728813559322477</v>
      </c>
      <c r="AM1296" s="11">
        <f t="shared" si="467"/>
        <v>15.871460762222515</v>
      </c>
      <c r="AN1296" s="11">
        <f t="shared" si="468"/>
        <v>1.3758281932953573</v>
      </c>
      <c r="AO1296">
        <f t="shared" si="469"/>
        <v>0.5780346820809249</v>
      </c>
      <c r="AP1296" s="7"/>
      <c r="AQ1296" s="7"/>
      <c r="AR1296" s="7"/>
      <c r="AS1296" s="7"/>
    </row>
    <row r="1297" spans="1:45" x14ac:dyDescent="0.2">
      <c r="A1297" s="7" t="s">
        <v>90</v>
      </c>
      <c r="B1297" s="7" t="s">
        <v>475</v>
      </c>
      <c r="C1297" s="7" t="s">
        <v>416</v>
      </c>
      <c r="D1297" s="7" t="s">
        <v>476</v>
      </c>
      <c r="E1297" s="33" t="s">
        <v>83</v>
      </c>
      <c r="F1297" s="7">
        <v>174</v>
      </c>
      <c r="G1297" s="12">
        <v>2.2999999999999998</v>
      </c>
      <c r="H1297" s="12">
        <v>2.1</v>
      </c>
      <c r="I1297" s="12">
        <v>0.9</v>
      </c>
      <c r="J1297" s="14">
        <f t="shared" si="454"/>
        <v>3.4194600000000008</v>
      </c>
      <c r="K1297" s="37">
        <v>0.24189189189189139</v>
      </c>
      <c r="L1297" s="12">
        <f t="shared" si="472"/>
        <v>37.66486486486486</v>
      </c>
      <c r="M1297" s="12">
        <f t="shared" si="473"/>
        <v>38.564864864864859</v>
      </c>
      <c r="N1297" s="13">
        <f t="shared" si="474"/>
        <v>38.114864864864856</v>
      </c>
      <c r="O1297" s="13">
        <f t="shared" si="475"/>
        <v>197.66486486486488</v>
      </c>
      <c r="P1297" s="13">
        <f t="shared" si="455"/>
        <v>198.56486486486489</v>
      </c>
      <c r="Q1297" s="13">
        <f t="shared" si="470"/>
        <v>198.1148648648649</v>
      </c>
      <c r="R1297" s="13">
        <f t="shared" si="476"/>
        <v>192.86486486486487</v>
      </c>
      <c r="S1297" s="13">
        <f t="shared" si="477"/>
        <v>193.76486486486488</v>
      </c>
      <c r="T1297" s="13">
        <f t="shared" si="471"/>
        <v>193.31486486486489</v>
      </c>
      <c r="U1297" s="13">
        <f t="shared" si="457"/>
        <v>193.31486486486489</v>
      </c>
      <c r="V1297" s="7">
        <v>7.2215999999999996</v>
      </c>
      <c r="W1297" s="7">
        <v>4.8531000000000004</v>
      </c>
      <c r="X1297" s="7">
        <v>1.1476266666666699</v>
      </c>
      <c r="Y1297" s="14">
        <f t="shared" si="458"/>
        <v>6.0739733333333294</v>
      </c>
      <c r="Z1297" s="14">
        <f t="shared" si="459"/>
        <v>3.7054733333333303</v>
      </c>
      <c r="AA1297" s="36">
        <f t="shared" si="460"/>
        <v>38.994244294783435</v>
      </c>
      <c r="AB1297" s="36">
        <f t="shared" si="461"/>
        <v>61.005755705216565</v>
      </c>
      <c r="AC1297" s="14">
        <f t="shared" si="462"/>
        <v>1.7762960623412258</v>
      </c>
      <c r="AD1297" s="14">
        <f t="shared" si="463"/>
        <v>1.0836428363932695</v>
      </c>
      <c r="AE1297" s="36">
        <f>(W1297-$AS$12)/J1297</f>
        <v>1.4192591812742361</v>
      </c>
      <c r="AF1297" s="66">
        <v>17.818999999999999</v>
      </c>
      <c r="AG1297" s="66">
        <v>18.367999999999999</v>
      </c>
      <c r="AH1297" s="66">
        <f t="shared" si="456"/>
        <v>0.54899999999999949</v>
      </c>
      <c r="AI1297" s="66">
        <v>18.318000000000001</v>
      </c>
      <c r="AJ1297" s="66">
        <f t="shared" si="464"/>
        <v>0.49900000000000233</v>
      </c>
      <c r="AK1297" s="66">
        <f t="shared" si="465"/>
        <v>9.1074681238610573</v>
      </c>
      <c r="AL1297" s="11">
        <f t="shared" si="466"/>
        <v>0.45537340619305289</v>
      </c>
      <c r="AM1297" s="11">
        <f t="shared" si="467"/>
        <v>5.264432441538184</v>
      </c>
      <c r="AN1297" s="11">
        <f t="shared" si="468"/>
        <v>0.46418201071116827</v>
      </c>
      <c r="AO1297">
        <f t="shared" si="469"/>
        <v>0.5780346820809249</v>
      </c>
      <c r="AP1297" s="7" t="s">
        <v>100</v>
      </c>
      <c r="AQ1297" s="7"/>
      <c r="AR1297" s="7"/>
      <c r="AS1297" s="7"/>
    </row>
    <row r="1298" spans="1:45" x14ac:dyDescent="0.2">
      <c r="A1298" s="7" t="s">
        <v>90</v>
      </c>
      <c r="B1298" s="7" t="s">
        <v>477</v>
      </c>
      <c r="C1298" s="7" t="s">
        <v>416</v>
      </c>
      <c r="D1298" s="7" t="s">
        <v>478</v>
      </c>
      <c r="E1298" s="33" t="s">
        <v>83</v>
      </c>
      <c r="F1298" s="7">
        <v>175</v>
      </c>
      <c r="G1298" s="12">
        <v>2.4</v>
      </c>
      <c r="H1298" s="12">
        <v>2.2000000000000002</v>
      </c>
      <c r="I1298" s="12">
        <v>1.1000000000000001</v>
      </c>
      <c r="J1298" s="14">
        <f t="shared" si="454"/>
        <v>4.5679150000000002</v>
      </c>
      <c r="K1298" s="37">
        <v>0.24189189189189139</v>
      </c>
      <c r="L1298" s="12">
        <f t="shared" si="472"/>
        <v>38.806756756756748</v>
      </c>
      <c r="M1298" s="12">
        <f t="shared" si="473"/>
        <v>39.906756756756749</v>
      </c>
      <c r="N1298" s="13">
        <f t="shared" si="474"/>
        <v>39.356756756756752</v>
      </c>
      <c r="O1298" s="13">
        <f t="shared" si="475"/>
        <v>198.80675675675678</v>
      </c>
      <c r="P1298" s="13">
        <f t="shared" si="455"/>
        <v>199.90675675675678</v>
      </c>
      <c r="Q1298" s="13">
        <f t="shared" si="470"/>
        <v>199.35675675675679</v>
      </c>
      <c r="R1298" s="13">
        <f t="shared" si="476"/>
        <v>194.00675675675677</v>
      </c>
      <c r="S1298" s="13">
        <f t="shared" si="477"/>
        <v>195.10675675675677</v>
      </c>
      <c r="T1298" s="13">
        <f t="shared" si="471"/>
        <v>194.55675675675678</v>
      </c>
      <c r="U1298" s="13">
        <f t="shared" si="457"/>
        <v>194.55675675675678</v>
      </c>
      <c r="V1298" s="7">
        <v>7.3971</v>
      </c>
      <c r="W1298" s="7">
        <v>5.0084999999999997</v>
      </c>
      <c r="X1298" s="7">
        <v>1.1476266666666699</v>
      </c>
      <c r="Y1298" s="14">
        <f t="shared" si="458"/>
        <v>6.2494733333333299</v>
      </c>
      <c r="Z1298" s="14">
        <f t="shared" si="459"/>
        <v>3.8608733333333296</v>
      </c>
      <c r="AA1298" s="36">
        <f t="shared" si="460"/>
        <v>38.220820741161148</v>
      </c>
      <c r="AB1298" s="36">
        <f t="shared" si="461"/>
        <v>61.779179258838852</v>
      </c>
      <c r="AC1298" s="14">
        <f t="shared" si="462"/>
        <v>1.3681238230863162</v>
      </c>
      <c r="AD1298" s="14">
        <f t="shared" si="463"/>
        <v>0.84521566914737456</v>
      </c>
      <c r="AE1298" s="36" t="s">
        <v>40</v>
      </c>
      <c r="AF1298" s="66">
        <v>17.972999999999999</v>
      </c>
      <c r="AG1298" s="66">
        <v>18.661000000000001</v>
      </c>
      <c r="AH1298" s="66">
        <f t="shared" si="456"/>
        <v>0.68800000000000239</v>
      </c>
      <c r="AI1298" s="66">
        <v>18.571999999999999</v>
      </c>
      <c r="AJ1298" s="66">
        <f t="shared" si="464"/>
        <v>0.5990000000000002</v>
      </c>
      <c r="AK1298" s="66">
        <f t="shared" si="465"/>
        <v>12.936046511628179</v>
      </c>
      <c r="AL1298" s="11">
        <f t="shared" si="466"/>
        <v>0.64680232558140904</v>
      </c>
      <c r="AM1298" s="11">
        <f t="shared" si="467"/>
        <v>7.4774835327330518</v>
      </c>
      <c r="AN1298" s="11">
        <f t="shared" si="468"/>
        <v>0.65303387996146045</v>
      </c>
      <c r="AO1298">
        <f t="shared" si="469"/>
        <v>0.5780346820809249</v>
      </c>
      <c r="AP1298" s="7" t="s">
        <v>100</v>
      </c>
      <c r="AQ1298" s="7"/>
      <c r="AR1298" s="7"/>
      <c r="AS1298" s="7"/>
    </row>
    <row r="1299" spans="1:45" x14ac:dyDescent="0.2">
      <c r="A1299" s="7" t="s">
        <v>90</v>
      </c>
      <c r="B1299" s="7" t="s">
        <v>479</v>
      </c>
      <c r="C1299" s="7" t="s">
        <v>416</v>
      </c>
      <c r="D1299" s="7" t="s">
        <v>480</v>
      </c>
      <c r="E1299" s="33" t="s">
        <v>83</v>
      </c>
      <c r="F1299" s="7">
        <v>176</v>
      </c>
      <c r="G1299" s="12">
        <v>2.2000000000000002</v>
      </c>
      <c r="H1299" s="12">
        <v>2.2000000000000002</v>
      </c>
      <c r="I1299" s="12">
        <v>1.2</v>
      </c>
      <c r="J1299" s="14">
        <f t="shared" si="454"/>
        <v>4.5592800000000011</v>
      </c>
      <c r="K1299" s="37">
        <v>0.24189189189189139</v>
      </c>
      <c r="L1299" s="12">
        <f t="shared" si="472"/>
        <v>40.148648648648638</v>
      </c>
      <c r="M1299" s="12">
        <f t="shared" si="473"/>
        <v>41.348648648648641</v>
      </c>
      <c r="N1299" s="13">
        <f t="shared" si="474"/>
        <v>40.74864864864864</v>
      </c>
      <c r="O1299" s="13">
        <f t="shared" si="475"/>
        <v>200.14864864864867</v>
      </c>
      <c r="P1299" s="13">
        <f t="shared" si="455"/>
        <v>201.34864864864866</v>
      </c>
      <c r="Q1299" s="13">
        <f t="shared" si="470"/>
        <v>200.74864864864867</v>
      </c>
      <c r="R1299" s="13">
        <f t="shared" si="476"/>
        <v>195.34864864864866</v>
      </c>
      <c r="S1299" s="13">
        <f t="shared" si="477"/>
        <v>196.54864864864865</v>
      </c>
      <c r="T1299" s="13">
        <f t="shared" si="471"/>
        <v>195.94864864864866</v>
      </c>
      <c r="U1299" s="13">
        <f t="shared" si="457"/>
        <v>195.94864864864866</v>
      </c>
      <c r="V1299" s="7">
        <v>8.2774999999999999</v>
      </c>
      <c r="W1299" s="7">
        <v>5.0731999999999999</v>
      </c>
      <c r="X1299" s="7">
        <v>1.1476266666666699</v>
      </c>
      <c r="Y1299" s="14">
        <f t="shared" si="458"/>
        <v>7.1298733333333297</v>
      </c>
      <c r="Z1299" s="14">
        <f t="shared" si="459"/>
        <v>3.9255733333333298</v>
      </c>
      <c r="AA1299" s="36">
        <f t="shared" si="460"/>
        <v>44.941892375834655</v>
      </c>
      <c r="AB1299" s="36">
        <f t="shared" si="461"/>
        <v>55.058107624165345</v>
      </c>
      <c r="AC1299" s="14">
        <f t="shared" si="462"/>
        <v>1.5638156317079293</v>
      </c>
      <c r="AD1299" s="14">
        <f t="shared" si="463"/>
        <v>0.86100729354927286</v>
      </c>
      <c r="AE1299" s="36" t="s">
        <v>40</v>
      </c>
      <c r="AF1299" s="66">
        <v>18.245999999999999</v>
      </c>
      <c r="AG1299" s="66">
        <v>18.908999999999999</v>
      </c>
      <c r="AH1299" s="66">
        <f t="shared" si="456"/>
        <v>0.66300000000000026</v>
      </c>
      <c r="AI1299" s="66">
        <v>18.856999999999999</v>
      </c>
      <c r="AJ1299" s="66">
        <f t="shared" si="464"/>
        <v>0.61100000000000065</v>
      </c>
      <c r="AK1299" s="66">
        <f t="shared" si="465"/>
        <v>7.8431372549018983</v>
      </c>
      <c r="AL1299" s="11">
        <f t="shared" si="466"/>
        <v>0.39215686274509493</v>
      </c>
      <c r="AM1299" s="11">
        <f t="shared" si="467"/>
        <v>4.5336053496542768</v>
      </c>
      <c r="AN1299" s="11">
        <f t="shared" si="468"/>
        <v>0.40235184229486909</v>
      </c>
      <c r="AO1299">
        <f t="shared" si="469"/>
        <v>0.5780346820809249</v>
      </c>
      <c r="AP1299" s="7"/>
      <c r="AQ1299" s="7"/>
      <c r="AR1299" s="7"/>
      <c r="AS1299" s="7"/>
    </row>
    <row r="1300" spans="1:45" x14ac:dyDescent="0.2">
      <c r="A1300" s="7" t="s">
        <v>90</v>
      </c>
      <c r="B1300" s="7" t="s">
        <v>481</v>
      </c>
      <c r="C1300" s="7" t="s">
        <v>416</v>
      </c>
      <c r="D1300" s="7" t="s">
        <v>482</v>
      </c>
      <c r="E1300" s="33" t="s">
        <v>83</v>
      </c>
      <c r="F1300" s="7">
        <v>177</v>
      </c>
      <c r="G1300" s="12">
        <v>2</v>
      </c>
      <c r="H1300" s="12">
        <v>2.1</v>
      </c>
      <c r="I1300" s="12">
        <v>1.1000000000000001</v>
      </c>
      <c r="J1300" s="14">
        <f t="shared" si="454"/>
        <v>3.6288587499999996</v>
      </c>
      <c r="K1300" s="37">
        <v>0.24189189189189139</v>
      </c>
      <c r="L1300" s="12">
        <f t="shared" si="472"/>
        <v>41.59054054054053</v>
      </c>
      <c r="M1300" s="12">
        <f t="shared" si="473"/>
        <v>42.690540540540532</v>
      </c>
      <c r="N1300" s="13">
        <f t="shared" si="474"/>
        <v>42.140540540540528</v>
      </c>
      <c r="O1300" s="13">
        <f t="shared" si="475"/>
        <v>201.59054054054056</v>
      </c>
      <c r="P1300" s="13">
        <f t="shared" si="455"/>
        <v>202.69054054054055</v>
      </c>
      <c r="Q1300" s="13">
        <f t="shared" si="470"/>
        <v>202.14054054054054</v>
      </c>
      <c r="R1300" s="13">
        <f t="shared" si="476"/>
        <v>196.79054054054055</v>
      </c>
      <c r="S1300" s="13">
        <f t="shared" si="477"/>
        <v>197.89054054054054</v>
      </c>
      <c r="T1300" s="13">
        <f t="shared" si="471"/>
        <v>197.34054054054053</v>
      </c>
      <c r="U1300" s="13">
        <f t="shared" si="457"/>
        <v>197.34054054054053</v>
      </c>
      <c r="V1300" s="7">
        <v>6.1508000000000003</v>
      </c>
      <c r="W1300" s="7">
        <v>2.4123000000000001</v>
      </c>
      <c r="X1300" s="7">
        <v>1.1476266666666699</v>
      </c>
      <c r="Y1300" s="14">
        <f t="shared" si="458"/>
        <v>5.0031733333333301</v>
      </c>
      <c r="Z1300" s="14">
        <f t="shared" si="459"/>
        <v>1.2646733333333302</v>
      </c>
      <c r="AA1300" s="36">
        <f t="shared" si="460"/>
        <v>74.722576071719871</v>
      </c>
      <c r="AB1300" s="36">
        <f t="shared" si="461"/>
        <v>25.277423928280129</v>
      </c>
      <c r="AC1300" s="14">
        <f t="shared" si="462"/>
        <v>1.3787181254528935</v>
      </c>
      <c r="AD1300" s="14">
        <f t="shared" si="463"/>
        <v>0.34850442534676512</v>
      </c>
      <c r="AE1300" s="36">
        <f>(W1300-$AS$12)/J1300</f>
        <v>0.66475444931550465</v>
      </c>
      <c r="AF1300" s="66">
        <v>9.4390000000000001</v>
      </c>
      <c r="AG1300" s="66">
        <v>9.7439999999999998</v>
      </c>
      <c r="AH1300" s="66">
        <f t="shared" si="456"/>
        <v>0.30499999999999972</v>
      </c>
      <c r="AI1300" s="66">
        <v>9.5470000000000006</v>
      </c>
      <c r="AJ1300" s="66">
        <f t="shared" si="464"/>
        <v>0.10800000000000054</v>
      </c>
      <c r="AK1300" s="66">
        <f t="shared" si="465"/>
        <v>64.590163934426016</v>
      </c>
      <c r="AL1300" s="11">
        <f t="shared" si="466"/>
        <v>3.2295081967213011</v>
      </c>
      <c r="AM1300" s="11">
        <f t="shared" si="467"/>
        <v>37.335354875390763</v>
      </c>
      <c r="AN1300" s="11">
        <f t="shared" si="468"/>
        <v>3.2307620142452569</v>
      </c>
      <c r="AO1300">
        <f t="shared" si="469"/>
        <v>0.5780346820809249</v>
      </c>
      <c r="AP1300" s="7"/>
      <c r="AQ1300" s="7"/>
      <c r="AR1300" s="7"/>
      <c r="AS1300" s="7"/>
    </row>
    <row r="1301" spans="1:45" x14ac:dyDescent="0.2">
      <c r="A1301" s="7" t="s">
        <v>90</v>
      </c>
      <c r="B1301" s="7" t="s">
        <v>483</v>
      </c>
      <c r="C1301" s="7" t="s">
        <v>416</v>
      </c>
      <c r="D1301" s="7" t="s">
        <v>484</v>
      </c>
      <c r="E1301" s="33" t="s">
        <v>83</v>
      </c>
      <c r="F1301" s="7">
        <v>178</v>
      </c>
      <c r="G1301" s="12">
        <v>2.5</v>
      </c>
      <c r="H1301" s="12">
        <v>2.2000000000000002</v>
      </c>
      <c r="I1301" s="12">
        <v>1</v>
      </c>
      <c r="J1301" s="14">
        <f t="shared" si="454"/>
        <v>4.3351625</v>
      </c>
      <c r="K1301" s="37">
        <v>0.24189189189189139</v>
      </c>
      <c r="L1301" s="12">
        <f t="shared" si="472"/>
        <v>42.932432432432421</v>
      </c>
      <c r="M1301" s="12">
        <f t="shared" si="473"/>
        <v>43.932432432432421</v>
      </c>
      <c r="N1301" s="13">
        <f t="shared" si="474"/>
        <v>43.432432432432421</v>
      </c>
      <c r="O1301" s="13">
        <f t="shared" si="475"/>
        <v>202.93243243243245</v>
      </c>
      <c r="P1301" s="13">
        <f t="shared" si="455"/>
        <v>203.93243243243245</v>
      </c>
      <c r="Q1301" s="13">
        <f t="shared" si="470"/>
        <v>203.43243243243245</v>
      </c>
      <c r="R1301" s="13">
        <f t="shared" si="476"/>
        <v>198.13243243243244</v>
      </c>
      <c r="S1301" s="13">
        <f t="shared" si="477"/>
        <v>199.13243243243244</v>
      </c>
      <c r="T1301" s="13">
        <f t="shared" si="471"/>
        <v>198.63243243243244</v>
      </c>
      <c r="U1301" s="13">
        <f t="shared" si="457"/>
        <v>198.63243243243244</v>
      </c>
      <c r="V1301" s="7">
        <v>7.1492000000000004</v>
      </c>
      <c r="W1301" s="7">
        <v>2.2336999999999998</v>
      </c>
      <c r="X1301" s="7">
        <v>1.1476266666666699</v>
      </c>
      <c r="Y1301" s="14">
        <f t="shared" si="458"/>
        <v>6.0015733333333303</v>
      </c>
      <c r="Z1301" s="14">
        <f t="shared" si="459"/>
        <v>1.0860733333333299</v>
      </c>
      <c r="AA1301" s="36">
        <f t="shared" si="460"/>
        <v>81.903523076171197</v>
      </c>
      <c r="AB1301" s="36">
        <f t="shared" si="461"/>
        <v>18.096476923828803</v>
      </c>
      <c r="AC1301" s="14">
        <f t="shared" si="462"/>
        <v>1.3843940874957583</v>
      </c>
      <c r="AD1301" s="14">
        <f t="shared" si="463"/>
        <v>0.25052655657852041</v>
      </c>
      <c r="AE1301" s="36" t="s">
        <v>40</v>
      </c>
      <c r="AF1301" s="66">
        <v>6.7809999999999997</v>
      </c>
      <c r="AG1301" s="66">
        <v>6.9189999999999996</v>
      </c>
      <c r="AH1301" s="66">
        <f t="shared" si="456"/>
        <v>0.1379999999999999</v>
      </c>
      <c r="AI1301" s="66">
        <v>6.7990000000000004</v>
      </c>
      <c r="AJ1301" s="66">
        <f t="shared" si="464"/>
        <v>1.8000000000000682E-2</v>
      </c>
      <c r="AK1301" s="66">
        <f t="shared" si="465"/>
        <v>86.956521739129926</v>
      </c>
      <c r="AL1301" s="11">
        <f t="shared" si="466"/>
        <v>4.3478260869564966</v>
      </c>
      <c r="AM1301" s="11">
        <f t="shared" si="467"/>
        <v>50.263885398341003</v>
      </c>
      <c r="AN1301" s="11">
        <f t="shared" si="468"/>
        <v>4.3487574871932608</v>
      </c>
      <c r="AO1301">
        <f t="shared" si="469"/>
        <v>0.5780346820809249</v>
      </c>
      <c r="AP1301" s="7"/>
      <c r="AQ1301" s="7"/>
      <c r="AR1301" s="7"/>
      <c r="AS1301" s="7"/>
    </row>
    <row r="1302" spans="1:45" x14ac:dyDescent="0.2">
      <c r="A1302" s="7" t="s">
        <v>90</v>
      </c>
      <c r="B1302" s="7" t="s">
        <v>485</v>
      </c>
      <c r="C1302" s="7" t="s">
        <v>416</v>
      </c>
      <c r="D1302" s="7" t="s">
        <v>486</v>
      </c>
      <c r="E1302" s="33" t="s">
        <v>83</v>
      </c>
      <c r="F1302" s="7">
        <v>179</v>
      </c>
      <c r="G1302" s="12">
        <v>2.4</v>
      </c>
      <c r="H1302" s="12">
        <v>2.2999999999999998</v>
      </c>
      <c r="I1302" s="12">
        <v>1.1000000000000001</v>
      </c>
      <c r="J1302" s="14">
        <f t="shared" si="454"/>
        <v>4.7686787499999985</v>
      </c>
      <c r="K1302" s="37">
        <v>0.24189189189189139</v>
      </c>
      <c r="L1302" s="12">
        <f t="shared" si="472"/>
        <v>44.17432432432431</v>
      </c>
      <c r="M1302" s="12">
        <f t="shared" si="473"/>
        <v>45.274324324324311</v>
      </c>
      <c r="N1302" s="13">
        <f t="shared" si="474"/>
        <v>44.724324324324314</v>
      </c>
      <c r="O1302" s="13">
        <f t="shared" si="475"/>
        <v>204.17432432432435</v>
      </c>
      <c r="P1302" s="13">
        <f t="shared" si="455"/>
        <v>205.27432432432434</v>
      </c>
      <c r="Q1302" s="13">
        <f t="shared" si="470"/>
        <v>204.72432432432436</v>
      </c>
      <c r="R1302" s="13">
        <f t="shared" si="476"/>
        <v>199.37432432432433</v>
      </c>
      <c r="S1302" s="13">
        <f t="shared" si="477"/>
        <v>200.47432432432433</v>
      </c>
      <c r="T1302" s="13">
        <f t="shared" si="471"/>
        <v>199.92432432432435</v>
      </c>
      <c r="U1302" s="13">
        <f t="shared" si="457"/>
        <v>199.92432432432435</v>
      </c>
      <c r="V1302" s="7">
        <v>7.2492000000000001</v>
      </c>
      <c r="W1302" s="7">
        <v>2.1692</v>
      </c>
      <c r="X1302" s="7">
        <v>1.1476266666666699</v>
      </c>
      <c r="Y1302" s="14">
        <f t="shared" si="458"/>
        <v>6.10157333333333</v>
      </c>
      <c r="Z1302" s="14">
        <f t="shared" si="459"/>
        <v>1.0215733333333301</v>
      </c>
      <c r="AA1302" s="36">
        <f t="shared" si="460"/>
        <v>83.257214532645179</v>
      </c>
      <c r="AB1302" s="36">
        <f t="shared" si="461"/>
        <v>16.742785467354821</v>
      </c>
      <c r="AC1302" s="14">
        <f t="shared" si="462"/>
        <v>1.2795102486896044</v>
      </c>
      <c r="AD1302" s="14">
        <f t="shared" si="463"/>
        <v>0.21422565597091867</v>
      </c>
      <c r="AE1302" s="36" t="s">
        <v>40</v>
      </c>
      <c r="AF1302" s="66">
        <v>6.7709999999999999</v>
      </c>
      <c r="AG1302" s="66">
        <v>6.9290000000000003</v>
      </c>
      <c r="AH1302" s="66">
        <f t="shared" si="456"/>
        <v>0.15800000000000036</v>
      </c>
      <c r="AI1302" s="66">
        <v>6.7919999999999998</v>
      </c>
      <c r="AJ1302" s="66">
        <f t="shared" si="464"/>
        <v>2.0999999999999908E-2</v>
      </c>
      <c r="AK1302" s="66">
        <f t="shared" si="465"/>
        <v>86.70886075949376</v>
      </c>
      <c r="AL1302" s="11">
        <f t="shared" si="466"/>
        <v>4.335443037974688</v>
      </c>
      <c r="AM1302" s="11">
        <f t="shared" si="467"/>
        <v>50.120728762713156</v>
      </c>
      <c r="AN1302" s="11">
        <f t="shared" si="468"/>
        <v>4.3363770979382306</v>
      </c>
      <c r="AO1302">
        <f t="shared" si="469"/>
        <v>0.5780346820809249</v>
      </c>
      <c r="AP1302" s="7"/>
      <c r="AQ1302" s="7"/>
      <c r="AR1302" s="7"/>
      <c r="AS1302" s="7"/>
    </row>
    <row r="1303" spans="1:45" x14ac:dyDescent="0.2">
      <c r="A1303" s="7" t="s">
        <v>90</v>
      </c>
      <c r="B1303" s="7" t="s">
        <v>487</v>
      </c>
      <c r="C1303" s="7" t="s">
        <v>416</v>
      </c>
      <c r="D1303" s="7" t="s">
        <v>488</v>
      </c>
      <c r="E1303" s="33" t="s">
        <v>83</v>
      </c>
      <c r="F1303" s="7">
        <v>180</v>
      </c>
      <c r="G1303" s="12">
        <v>2.5</v>
      </c>
      <c r="H1303" s="12">
        <v>2.2999999999999998</v>
      </c>
      <c r="I1303" s="12">
        <v>1.2</v>
      </c>
      <c r="J1303" s="14">
        <f t="shared" si="454"/>
        <v>5.4259199999999987</v>
      </c>
      <c r="K1303" s="37">
        <v>0.24189189189189139</v>
      </c>
      <c r="L1303" s="12">
        <f t="shared" si="472"/>
        <v>45.516216216216201</v>
      </c>
      <c r="M1303" s="12">
        <f t="shared" si="473"/>
        <v>46.716216216216203</v>
      </c>
      <c r="N1303" s="13">
        <f t="shared" si="474"/>
        <v>46.116216216216202</v>
      </c>
      <c r="O1303" s="13">
        <f t="shared" si="475"/>
        <v>205.51621621621624</v>
      </c>
      <c r="P1303" s="13">
        <f t="shared" si="455"/>
        <v>206.71621621621622</v>
      </c>
      <c r="Q1303" s="13">
        <f t="shared" si="470"/>
        <v>206.11621621621623</v>
      </c>
      <c r="R1303" s="13">
        <f t="shared" si="476"/>
        <v>200.71621621621622</v>
      </c>
      <c r="S1303" s="13">
        <f t="shared" si="477"/>
        <v>201.91621621621621</v>
      </c>
      <c r="T1303" s="13">
        <f t="shared" si="471"/>
        <v>201.31621621621622</v>
      </c>
      <c r="U1303" s="13">
        <f t="shared" si="457"/>
        <v>201.31621621621622</v>
      </c>
      <c r="V1303" s="7">
        <v>7.4109999999999996</v>
      </c>
      <c r="W1303" s="7">
        <v>2.2059000000000002</v>
      </c>
      <c r="X1303" s="7">
        <v>1.1476266666666699</v>
      </c>
      <c r="Y1303" s="14">
        <f t="shared" si="458"/>
        <v>6.2633733333333295</v>
      </c>
      <c r="Z1303" s="14">
        <f t="shared" si="459"/>
        <v>1.0582733333333303</v>
      </c>
      <c r="AA1303" s="36">
        <f t="shared" si="460"/>
        <v>83.103780071654711</v>
      </c>
      <c r="AB1303" s="36">
        <f t="shared" si="461"/>
        <v>16.896219928345289</v>
      </c>
      <c r="AC1303" s="14">
        <f t="shared" si="462"/>
        <v>1.1543431037194303</v>
      </c>
      <c r="AD1303" s="14">
        <f t="shared" si="463"/>
        <v>0.19504034953212185</v>
      </c>
      <c r="AE1303" s="36" t="s">
        <v>40</v>
      </c>
      <c r="AF1303" s="66">
        <v>6.4340000000000002</v>
      </c>
      <c r="AG1303" s="66">
        <v>6.5659999999999998</v>
      </c>
      <c r="AH1303" s="66">
        <f t="shared" si="456"/>
        <v>0.13199999999999967</v>
      </c>
      <c r="AI1303" s="66">
        <v>6.4530000000000003</v>
      </c>
      <c r="AJ1303" s="66">
        <f t="shared" si="464"/>
        <v>1.9000000000000128E-2</v>
      </c>
      <c r="AK1303" s="66">
        <f t="shared" si="465"/>
        <v>85.606060606060481</v>
      </c>
      <c r="AL1303" s="11">
        <f t="shared" si="466"/>
        <v>4.2803030303030241</v>
      </c>
      <c r="AM1303" s="11">
        <f t="shared" si="467"/>
        <v>49.483272026624562</v>
      </c>
      <c r="AN1303" s="11">
        <f t="shared" si="468"/>
        <v>4.2812491204345084</v>
      </c>
      <c r="AO1303">
        <f t="shared" si="469"/>
        <v>0.5780346820809249</v>
      </c>
      <c r="AP1303" s="7"/>
      <c r="AQ1303" s="7"/>
      <c r="AR1303" s="7"/>
      <c r="AS1303" s="7"/>
    </row>
    <row r="1304" spans="1:45" x14ac:dyDescent="0.2">
      <c r="A1304" s="7" t="s">
        <v>90</v>
      </c>
      <c r="B1304" s="7" t="s">
        <v>489</v>
      </c>
      <c r="C1304" s="7" t="s">
        <v>416</v>
      </c>
      <c r="D1304" s="7" t="s">
        <v>490</v>
      </c>
      <c r="E1304" s="33" t="s">
        <v>83</v>
      </c>
      <c r="F1304" s="7">
        <v>181</v>
      </c>
      <c r="G1304" s="12">
        <v>2.35</v>
      </c>
      <c r="H1304" s="12">
        <v>2.35</v>
      </c>
      <c r="I1304" s="12">
        <v>1.1000000000000001</v>
      </c>
      <c r="J1304" s="14">
        <f t="shared" si="454"/>
        <v>4.7686787500000012</v>
      </c>
      <c r="K1304" s="37">
        <v>0.24189189189189139</v>
      </c>
      <c r="L1304" s="12">
        <f t="shared" si="472"/>
        <v>46.958108108108092</v>
      </c>
      <c r="M1304" s="12">
        <f t="shared" si="473"/>
        <v>48.058108108108094</v>
      </c>
      <c r="N1304" s="13">
        <f t="shared" si="474"/>
        <v>47.50810810810809</v>
      </c>
      <c r="O1304" s="13">
        <f t="shared" si="475"/>
        <v>206.95810810810812</v>
      </c>
      <c r="P1304" s="13">
        <f t="shared" si="455"/>
        <v>208.05810810810812</v>
      </c>
      <c r="Q1304" s="13">
        <f t="shared" si="470"/>
        <v>207.5081081081081</v>
      </c>
      <c r="R1304" s="13">
        <f t="shared" si="476"/>
        <v>202.15810810810811</v>
      </c>
      <c r="S1304" s="13">
        <f t="shared" si="477"/>
        <v>203.2581081081081</v>
      </c>
      <c r="T1304" s="13">
        <f t="shared" si="471"/>
        <v>202.70810810810809</v>
      </c>
      <c r="U1304" s="13">
        <f t="shared" si="457"/>
        <v>202.70810810810809</v>
      </c>
      <c r="V1304" s="7">
        <v>7.0651000000000002</v>
      </c>
      <c r="W1304" s="7">
        <v>2.1274000000000002</v>
      </c>
      <c r="X1304" s="7">
        <v>1.1476266666666699</v>
      </c>
      <c r="Y1304" s="14">
        <f t="shared" si="458"/>
        <v>5.91747333333333</v>
      </c>
      <c r="Z1304" s="14">
        <f t="shared" si="459"/>
        <v>0.97977333333333028</v>
      </c>
      <c r="AA1304" s="36">
        <f t="shared" si="460"/>
        <v>83.442708092755851</v>
      </c>
      <c r="AB1304" s="36">
        <f t="shared" si="461"/>
        <v>16.557291907244149</v>
      </c>
      <c r="AC1304" s="14">
        <f t="shared" si="462"/>
        <v>1.2409041672881254</v>
      </c>
      <c r="AD1304" s="14">
        <f t="shared" si="463"/>
        <v>0.20546012526705223</v>
      </c>
      <c r="AE1304" s="36">
        <f>(W1304-$AS$12)/J1304</f>
        <v>0.44611937845467148</v>
      </c>
      <c r="AF1304" s="66">
        <v>6.4119999999999999</v>
      </c>
      <c r="AG1304" s="66">
        <v>6.5839999999999996</v>
      </c>
      <c r="AH1304" s="66">
        <f t="shared" si="456"/>
        <v>0.17199999999999971</v>
      </c>
      <c r="AI1304" s="66">
        <v>6.4329999999999998</v>
      </c>
      <c r="AJ1304" s="66">
        <f t="shared" si="464"/>
        <v>2.0999999999999908E-2</v>
      </c>
      <c r="AK1304" s="66">
        <f t="shared" si="465"/>
        <v>87.790697674418638</v>
      </c>
      <c r="AL1304" s="11">
        <f t="shared" si="466"/>
        <v>4.3895348837209323</v>
      </c>
      <c r="AM1304" s="11">
        <f t="shared" si="467"/>
        <v>50.746068019895169</v>
      </c>
      <c r="AN1304" s="11">
        <f t="shared" si="468"/>
        <v>4.3904574357808022</v>
      </c>
      <c r="AO1304">
        <f t="shared" si="469"/>
        <v>0.5780346820809249</v>
      </c>
      <c r="AP1304" s="7"/>
      <c r="AQ1304" s="7"/>
      <c r="AR1304" s="7"/>
      <c r="AS1304" s="7"/>
    </row>
    <row r="1305" spans="1:45" x14ac:dyDescent="0.2">
      <c r="A1305" s="7" t="s">
        <v>90</v>
      </c>
      <c r="B1305" s="7" t="s">
        <v>491</v>
      </c>
      <c r="C1305" s="7" t="s">
        <v>416</v>
      </c>
      <c r="D1305" s="7" t="s">
        <v>492</v>
      </c>
      <c r="E1305" s="33" t="s">
        <v>83</v>
      </c>
      <c r="F1305" s="7">
        <v>182</v>
      </c>
      <c r="G1305" s="12">
        <v>2.2999999999999998</v>
      </c>
      <c r="H1305" s="12">
        <v>2.2999999999999998</v>
      </c>
      <c r="I1305" s="12">
        <v>1.7</v>
      </c>
      <c r="J1305" s="14">
        <f t="shared" si="454"/>
        <v>7.0595049999999988</v>
      </c>
      <c r="K1305" s="37">
        <v>0.24189189189189139</v>
      </c>
      <c r="L1305" s="12">
        <f t="shared" si="472"/>
        <v>48.299999999999983</v>
      </c>
      <c r="M1305" s="12">
        <f t="shared" si="473"/>
        <v>49.999999999999986</v>
      </c>
      <c r="N1305" s="13">
        <f t="shared" si="474"/>
        <v>49.149999999999984</v>
      </c>
      <c r="O1305" s="13">
        <f t="shared" si="475"/>
        <v>208.3</v>
      </c>
      <c r="P1305" s="13">
        <f t="shared" si="455"/>
        <v>210</v>
      </c>
      <c r="Q1305" s="13">
        <f t="shared" si="470"/>
        <v>209.15</v>
      </c>
      <c r="R1305" s="13">
        <f t="shared" si="476"/>
        <v>203.5</v>
      </c>
      <c r="S1305" s="13">
        <f t="shared" si="477"/>
        <v>205.2</v>
      </c>
      <c r="T1305" s="13">
        <f t="shared" si="471"/>
        <v>204.35</v>
      </c>
      <c r="U1305" s="13">
        <f t="shared" si="457"/>
        <v>204.35</v>
      </c>
      <c r="V1305" s="7">
        <v>8.8015000000000008</v>
      </c>
      <c r="W1305" s="7">
        <v>2.2092999999999998</v>
      </c>
      <c r="X1305" s="7">
        <v>1.1476266666666699</v>
      </c>
      <c r="Y1305" s="14">
        <f t="shared" si="458"/>
        <v>7.6538733333333306</v>
      </c>
      <c r="Z1305" s="14">
        <f t="shared" si="459"/>
        <v>1.0616733333333299</v>
      </c>
      <c r="AA1305" s="36">
        <f t="shared" si="460"/>
        <v>86.128940379642245</v>
      </c>
      <c r="AB1305" s="36">
        <f t="shared" si="461"/>
        <v>13.871059620357755</v>
      </c>
      <c r="AC1305" s="14">
        <f t="shared" si="462"/>
        <v>1.0841940523214209</v>
      </c>
      <c r="AD1305" s="14">
        <f t="shared" si="463"/>
        <v>0.15038920339787706</v>
      </c>
      <c r="AE1305" s="36" t="s">
        <v>40</v>
      </c>
      <c r="AF1305" s="66">
        <v>6.6079999999999997</v>
      </c>
      <c r="AG1305" s="66">
        <v>6.7309999999999999</v>
      </c>
      <c r="AH1305" s="66">
        <f t="shared" si="456"/>
        <v>0.12300000000000022</v>
      </c>
      <c r="AI1305" s="66">
        <v>6.625</v>
      </c>
      <c r="AJ1305" s="66">
        <f t="shared" si="464"/>
        <v>1.7000000000000348E-2</v>
      </c>
      <c r="AK1305" s="66">
        <f t="shared" si="465"/>
        <v>86.178861788617638</v>
      </c>
      <c r="AL1305" s="11">
        <f t="shared" si="466"/>
        <v>4.3089430894308824</v>
      </c>
      <c r="AM1305" s="11">
        <f t="shared" si="467"/>
        <v>49.814370976079566</v>
      </c>
      <c r="AN1305" s="11">
        <f t="shared" si="468"/>
        <v>4.30988289260325</v>
      </c>
      <c r="AO1305">
        <f t="shared" si="469"/>
        <v>0.5780346820809249</v>
      </c>
      <c r="AP1305" s="7"/>
      <c r="AQ1305" s="7"/>
      <c r="AR1305" s="7"/>
      <c r="AS1305" s="7"/>
    </row>
  </sheetData>
  <conditionalFormatting sqref="AH3:AL531 AH2:AJ2 AL2">
    <cfRule type="expression" dxfId="2" priority="3" stopIfTrue="1">
      <formula>AND(#REF!&lt;0,#REF!&gt;100)</formula>
    </cfRule>
  </conditionalFormatting>
  <conditionalFormatting sqref="AH3:AL531 AH2:AJ2 AL2">
    <cfRule type="expression" dxfId="1" priority="2" stopIfTrue="1">
      <formula>AND(#REF!&lt;0,#REF!&gt;100)</formula>
    </cfRule>
  </conditionalFormatting>
  <conditionalFormatting sqref="AK1:AK2">
    <cfRule type="expression" dxfId="0" priority="1" stopIfTrue="1">
      <formula>AND(#REF!&lt;0,#REF!&gt;100)</formula>
    </cfRule>
  </conditionalFormatting>
  <pageMargins left="0.74803149606299213" right="0.74803149606299213" top="0.98425196850393704" bottom="0.98425196850393704" header="0.51181102362204722" footer="0.51181102362204722"/>
  <pageSetup paperSize="9" scale="43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BI10_OVERLAPS_LOI_graphs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Roberts - BAS</dc:creator>
  <cp:lastModifiedBy>Stephen Roberts - BAS</cp:lastModifiedBy>
  <dcterms:created xsi:type="dcterms:W3CDTF">2025-05-20T08:15:38Z</dcterms:created>
  <dcterms:modified xsi:type="dcterms:W3CDTF">2025-05-20T08:38:19Z</dcterms:modified>
</cp:coreProperties>
</file>