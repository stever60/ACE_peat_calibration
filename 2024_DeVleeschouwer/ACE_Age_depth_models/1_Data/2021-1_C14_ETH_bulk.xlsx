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Steve/Dropbox/BAS/Projects/2017_ACE/Data/Kerguelen/"/>
    </mc:Choice>
  </mc:AlternateContent>
  <xr:revisionPtr revIDLastSave="0" documentId="8_{59BB1A4F-1316-1E47-9082-5BD2CF06CFCD}" xr6:coauthVersionLast="46" xr6:coauthVersionMax="46" xr10:uidLastSave="{00000000-0000-0000-0000-000000000000}"/>
  <bookViews>
    <workbookView xWindow="2800" yWindow="460" windowWidth="19420" windowHeight="12220" tabRatio="883" xr2:uid="{00000000-000D-0000-FFFF-FFFF00000000}"/>
  </bookViews>
  <sheets>
    <sheet name="FinalC14ages" sheetId="22" r:id="rId1"/>
    <sheet name="Perren_5936_OxCAL" sheetId="23" r:id="rId2"/>
    <sheet name="C14 ageTARGETS_treatment" sheetId="17" r:id="rId3"/>
    <sheet name="Treatment code" sheetId="21" r:id="rId4"/>
    <sheet name="Notes" sheetId="20" r:id="rId5"/>
    <sheet name="INPUT from Database" sheetId="1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22" l="1"/>
  <c r="E4" i="22"/>
  <c r="E5" i="22"/>
  <c r="E6" i="22"/>
  <c r="E7" i="22"/>
  <c r="E8" i="22"/>
  <c r="E9" i="22"/>
  <c r="E10" i="22"/>
  <c r="E11" i="22"/>
  <c r="E12" i="22"/>
  <c r="E13" i="22"/>
  <c r="E14" i="22"/>
  <c r="E2" i="22"/>
</calcChain>
</file>

<file path=xl/sharedStrings.xml><?xml version="1.0" encoding="utf-8"?>
<sst xmlns="http://schemas.openxmlformats.org/spreadsheetml/2006/main" count="629" uniqueCount="177">
  <si>
    <t>Sample ETH</t>
  </si>
  <si>
    <t>P#</t>
  </si>
  <si>
    <t>T#</t>
  </si>
  <si>
    <t>Last Name</t>
  </si>
  <si>
    <t>User Label</t>
  </si>
  <si>
    <t>Sample Description</t>
  </si>
  <si>
    <t>Material</t>
  </si>
  <si>
    <t>C14 Age</t>
  </si>
  <si>
    <t>C14 Sig.</t>
  </si>
  <si>
    <t>Delta C13</t>
  </si>
  <si>
    <t>Fraction</t>
  </si>
  <si>
    <t>User</t>
  </si>
  <si>
    <t>ETH-</t>
  </si>
  <si>
    <t>Sample</t>
  </si>
  <si>
    <t xml:space="preserve"> Code</t>
  </si>
  <si>
    <t>C14 age</t>
  </si>
  <si>
    <t>BP</t>
  </si>
  <si>
    <t>F14C</t>
  </si>
  <si>
    <t>δC13</t>
  </si>
  <si>
    <r>
      <t>±1</t>
    </r>
    <r>
      <rPr>
        <b/>
        <sz val="10"/>
        <rFont val="Calibri"/>
        <family val="2"/>
      </rPr>
      <t>σ</t>
    </r>
  </si>
  <si>
    <t>‰</t>
  </si>
  <si>
    <t>Description 2</t>
  </si>
  <si>
    <t xml:space="preserve">Description </t>
  </si>
  <si>
    <t>mg C</t>
  </si>
  <si>
    <t>Code #</t>
  </si>
  <si>
    <t>Notes:</t>
  </si>
  <si>
    <t>BP= Before Present (before 1950 AD)</t>
  </si>
  <si>
    <t>δC13 is a value measured on graphite and might include additional fractionation</t>
  </si>
  <si>
    <t>Reporting 14C ages: Stuiver and Polach (1977) Radiocarbon 19(3): 355-363.</t>
  </si>
  <si>
    <t>definition F14C: Reimer et al., (2004) Radiocarbon 46: 1299-1304.</t>
  </si>
  <si>
    <t>References:</t>
  </si>
  <si>
    <t>Fraction Modern: F14C=exp(-c14age/8033)</t>
  </si>
  <si>
    <t>Discussion: Reporting and calibration of post-bomb C-14 data.</t>
  </si>
  <si>
    <t xml:space="preserve"> Radiocarbon 46: 1299-1304.</t>
  </si>
  <si>
    <t xml:space="preserve"> C14 age (BP)--delta C13 corrected radiocarbon age based </t>
  </si>
  <si>
    <t>on concentration of 14C measured in sample</t>
  </si>
  <si>
    <t>CO2 Initial</t>
  </si>
  <si>
    <t>CO2 Final</t>
  </si>
  <si>
    <t>comments</t>
  </si>
  <si>
    <t>Method1</t>
  </si>
  <si>
    <t>%C</t>
  </si>
  <si>
    <t>Position</t>
  </si>
  <si>
    <t>Magazine</t>
  </si>
  <si>
    <t>C content(%)</t>
  </si>
  <si>
    <t>N content(%)</t>
  </si>
  <si>
    <t>C/N at</t>
  </si>
  <si>
    <t>Fraction Sigma</t>
  </si>
  <si>
    <t>Calcset</t>
  </si>
  <si>
    <t>Exclaimer:</t>
  </si>
  <si>
    <t xml:space="preserve">14C analysis give measure of time for the formation of sample material </t>
  </si>
  <si>
    <t xml:space="preserve">but not a proof of the authenticity of sampled object </t>
  </si>
  <si>
    <t xml:space="preserve">Calendar age 2σ range AD/BC--calibrated ranges 95% conf. Level </t>
  </si>
  <si>
    <t xml:space="preserve">NOTE that only IF </t>
  </si>
  <si>
    <t xml:space="preserve">  F14C &gt;1,  the sample indicates presence of 'bomb peak 14C' (post 1950AD)</t>
  </si>
  <si>
    <t>NOTE only IF in report of calibrated ages</t>
  </si>
  <si>
    <t>Warning! Date may extend out of range END of calibration curve</t>
  </si>
  <si>
    <t>Sample Treatment:</t>
  </si>
  <si>
    <t>Sox</t>
  </si>
  <si>
    <t>soxhlet</t>
  </si>
  <si>
    <t>hexane, aceton, ethanol washes for 1 hr</t>
  </si>
  <si>
    <t>Cl</t>
  </si>
  <si>
    <t>chloroform</t>
  </si>
  <si>
    <t>A3_60</t>
  </si>
  <si>
    <t>ABA 60°C</t>
  </si>
  <si>
    <t xml:space="preserve">Acid-Base-Acid washes at 60°C </t>
  </si>
  <si>
    <t>A3_20</t>
  </si>
  <si>
    <t>ABA 20°C</t>
  </si>
  <si>
    <t xml:space="preserve">Acid-Base-Acid washes at 20°C </t>
  </si>
  <si>
    <t>A_60</t>
  </si>
  <si>
    <t>Acid 60°C</t>
  </si>
  <si>
    <t xml:space="preserve">Acid  at 60°C </t>
  </si>
  <si>
    <t>s</t>
  </si>
  <si>
    <t>sieving</t>
  </si>
  <si>
    <t>US</t>
  </si>
  <si>
    <t>ultrasonic</t>
  </si>
  <si>
    <t>UF</t>
  </si>
  <si>
    <t>Ultar Filtration of gelatine</t>
  </si>
  <si>
    <t>cell</t>
  </si>
  <si>
    <t>BABAB</t>
  </si>
  <si>
    <t xml:space="preserve">separation of cellulose </t>
  </si>
  <si>
    <t>HA</t>
  </si>
  <si>
    <t xml:space="preserve">humic acid </t>
  </si>
  <si>
    <t>precipitated after Base of ABA</t>
  </si>
  <si>
    <t>Preparation Comment</t>
  </si>
  <si>
    <t>Weight Start</t>
  </si>
  <si>
    <t>Weight Medium</t>
  </si>
  <si>
    <t>Weight End</t>
  </si>
  <si>
    <t>Method 1</t>
  </si>
  <si>
    <t>Method 2</t>
  </si>
  <si>
    <t>Method 3</t>
  </si>
  <si>
    <t>ABA 60°</t>
  </si>
  <si>
    <t>Yield</t>
  </si>
  <si>
    <t>M(End)/M(start)</t>
  </si>
  <si>
    <t>1</t>
  </si>
  <si>
    <t>%N</t>
  </si>
  <si>
    <t>210801KK</t>
  </si>
  <si>
    <t>210801KK_peat</t>
  </si>
  <si>
    <t>Perren</t>
  </si>
  <si>
    <t>KER1-14</t>
  </si>
  <si>
    <t>600 BP</t>
  </si>
  <si>
    <t>peat</t>
  </si>
  <si>
    <t>Kerguelen Island peat core, wet sediment  (Southern Ocean) 49 deg S</t>
  </si>
  <si>
    <t>C190326IHa3</t>
  </si>
  <si>
    <t>humin fraction</t>
  </si>
  <si>
    <t>Acid 60°</t>
  </si>
  <si>
    <t>C190329IHa1</t>
  </si>
  <si>
    <t>Humic Acid</t>
  </si>
  <si>
    <t>C190405a3s</t>
  </si>
  <si>
    <t>C190405a3s_SMALL</t>
  </si>
  <si>
    <t>picked macro</t>
  </si>
  <si>
    <t>KER1-27</t>
  </si>
  <si>
    <t>1200 BP</t>
  </si>
  <si>
    <t>Kerguelen Island peat core, wet sediment (Southern Ocean) 49 deg S</t>
  </si>
  <si>
    <t>C190405IHa1</t>
  </si>
  <si>
    <t>KER1-49</t>
  </si>
  <si>
    <t>2000 BP</t>
  </si>
  <si>
    <t>KER1-78</t>
  </si>
  <si>
    <t>3100 BP</t>
  </si>
  <si>
    <t>KER1-118</t>
  </si>
  <si>
    <t>4600 BP</t>
  </si>
  <si>
    <t>C190405A3</t>
  </si>
  <si>
    <t>rootlets</t>
  </si>
  <si>
    <t>picked macros</t>
  </si>
  <si>
    <t>KER1-144</t>
  </si>
  <si>
    <t>5500 BP</t>
  </si>
  <si>
    <t>KER1-190</t>
  </si>
  <si>
    <t>7400 BP</t>
  </si>
  <si>
    <t>KER3-28</t>
  </si>
  <si>
    <t>2100 BP</t>
  </si>
  <si>
    <t>KER3-48</t>
  </si>
  <si>
    <t>3200 BP</t>
  </si>
  <si>
    <t>KER3-86</t>
  </si>
  <si>
    <t>5300 BP</t>
  </si>
  <si>
    <t>KER3-131</t>
  </si>
  <si>
    <t>7900 BP</t>
  </si>
  <si>
    <t>KER3-160</t>
  </si>
  <si>
    <t>9500 BP</t>
  </si>
  <si>
    <t>KER3-179</t>
  </si>
  <si>
    <t>10800 BP</t>
  </si>
  <si>
    <t>ETH-95347</t>
  </si>
  <si>
    <t>ETH-95348</t>
  </si>
  <si>
    <t>ETH-95349</t>
  </si>
  <si>
    <t>ETH-95350</t>
  </si>
  <si>
    <t>ETH-95351</t>
  </si>
  <si>
    <t>ETH-95352</t>
  </si>
  <si>
    <t>ETH-95353</t>
  </si>
  <si>
    <t>ETH-95354</t>
  </si>
  <si>
    <t>ETH-95355</t>
  </si>
  <si>
    <t>ETH-95356</t>
  </si>
  <si>
    <t>ETH-95357</t>
  </si>
  <si>
    <t>ETH-95358</t>
  </si>
  <si>
    <t>ETH-95359</t>
  </si>
  <si>
    <t>Sample #</t>
  </si>
  <si>
    <t>Code</t>
  </si>
  <si>
    <t>C14 Age sig</t>
  </si>
  <si>
    <t>F14C sig</t>
  </si>
  <si>
    <t>dC13</t>
  </si>
  <si>
    <t>dC13 sig</t>
  </si>
  <si>
    <t>Lab No.</t>
  </si>
  <si>
    <t>R_Date ETH-95359</t>
  </si>
  <si>
    <t>R_Date ETH-95358</t>
  </si>
  <si>
    <t>R_Date ETH-95357</t>
  </si>
  <si>
    <t>R_Date ETH-95356</t>
  </si>
  <si>
    <t>R_Date ETH-95355</t>
  </si>
  <si>
    <t>R_Date ETH-95354</t>
  </si>
  <si>
    <t>R_Date ETH-95353</t>
  </si>
  <si>
    <t>R_Date ETH-95352</t>
  </si>
  <si>
    <t>R_Date ETH-95351</t>
  </si>
  <si>
    <t>R_Date ETH-95350</t>
  </si>
  <si>
    <t>R_Date ETH-95349</t>
  </si>
  <si>
    <t>R_Date ETH-95348</t>
  </si>
  <si>
    <t>R_Date ETH-95347</t>
  </si>
  <si>
    <t>%</t>
  </si>
  <si>
    <t>to</t>
  </si>
  <si>
    <t>from</t>
  </si>
  <si>
    <t>Unmodelled (BP)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</si>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</sst>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72"/>
      <name val="Verdana"/>
      <family val="2"/>
    </font>
    <font>
      <b/>
      <sz val="10"/>
      <name val="Calibri"/>
      <family val="2"/>
    </font>
    <font>
      <sz val="10"/>
      <name val="Genev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72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1" fillId="0" borderId="0"/>
    <xf numFmtId="0" fontId="6" fillId="0" borderId="0"/>
  </cellStyleXfs>
  <cellXfs count="64">
    <xf numFmtId="0" fontId="0" fillId="0" borderId="0" xfId="0"/>
    <xf numFmtId="0" fontId="2" fillId="0" borderId="1" xfId="3" applyFont="1" applyBorder="1" applyAlignment="1" applyProtection="1">
      <alignment horizontal="left"/>
      <protection locked="0"/>
    </xf>
    <xf numFmtId="0" fontId="2" fillId="0" borderId="0" xfId="3" applyFont="1" applyBorder="1" applyAlignment="1" applyProtection="1">
      <alignment horizontal="left"/>
      <protection locked="0"/>
    </xf>
    <xf numFmtId="0" fontId="2" fillId="0" borderId="1" xfId="3" applyFont="1" applyBorder="1" applyAlignment="1" applyProtection="1">
      <alignment horizontal="center"/>
      <protection locked="0"/>
    </xf>
    <xf numFmtId="0" fontId="2" fillId="0" borderId="0" xfId="3" applyFont="1" applyBorder="1" applyAlignment="1" applyProtection="1">
      <alignment horizontal="center"/>
      <protection locked="0"/>
    </xf>
    <xf numFmtId="1" fontId="2" fillId="0" borderId="0" xfId="3" applyNumberFormat="1" applyFont="1" applyFill="1" applyBorder="1" applyAlignment="1" applyProtection="1">
      <alignment horizontal="left"/>
      <protection locked="0"/>
    </xf>
    <xf numFmtId="1" fontId="0" fillId="0" borderId="0" xfId="0" applyNumberFormat="1"/>
    <xf numFmtId="2" fontId="2" fillId="0" borderId="0" xfId="3" applyNumberFormat="1" applyFont="1" applyFill="1" applyBorder="1" applyAlignment="1" applyProtection="1">
      <alignment horizontal="left"/>
      <protection locked="0"/>
    </xf>
    <xf numFmtId="2" fontId="0" fillId="0" borderId="1" xfId="0" applyNumberFormat="1" applyBorder="1"/>
    <xf numFmtId="2" fontId="0" fillId="0" borderId="0" xfId="0" applyNumberFormat="1"/>
    <xf numFmtId="164" fontId="0" fillId="0" borderId="0" xfId="0" applyNumberFormat="1" applyAlignment="1">
      <alignment horizontal="center"/>
    </xf>
    <xf numFmtId="1" fontId="2" fillId="0" borderId="0" xfId="3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Border="1"/>
    <xf numFmtId="165" fontId="0" fillId="0" borderId="0" xfId="0" applyNumberFormat="1"/>
    <xf numFmtId="2" fontId="8" fillId="0" borderId="1" xfId="0" applyNumberFormat="1" applyFont="1" applyBorder="1" applyAlignment="1"/>
    <xf numFmtId="0" fontId="0" fillId="0" borderId="0" xfId="0"/>
    <xf numFmtId="0" fontId="0" fillId="0" borderId="0" xfId="0" applyAlignment="1">
      <alignment wrapText="1"/>
    </xf>
    <xf numFmtId="1" fontId="7" fillId="0" borderId="1" xfId="0" applyNumberFormat="1" applyFont="1" applyBorder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wrapText="1"/>
    </xf>
    <xf numFmtId="0" fontId="0" fillId="0" borderId="0" xfId="0" applyFill="1" applyBorder="1"/>
    <xf numFmtId="17" fontId="0" fillId="0" borderId="0" xfId="0" applyNumberFormat="1"/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0" fontId="2" fillId="0" borderId="0" xfId="3" applyNumberFormat="1" applyFont="1" applyBorder="1" applyAlignment="1" applyProtection="1">
      <alignment horizontal="center"/>
      <protection locked="0"/>
    </xf>
    <xf numFmtId="0" fontId="2" fillId="0" borderId="1" xfId="3" applyNumberFormat="1" applyFont="1" applyBorder="1" applyAlignment="1" applyProtection="1">
      <alignment horizontal="center"/>
      <protection locked="0"/>
    </xf>
    <xf numFmtId="0" fontId="0" fillId="0" borderId="0" xfId="0" applyNumberFormat="1"/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7" fillId="0" borderId="0" xfId="0" applyFont="1"/>
    <xf numFmtId="0" fontId="10" fillId="0" borderId="0" xfId="0" applyFont="1"/>
    <xf numFmtId="1" fontId="10" fillId="0" borderId="0" xfId="0" applyNumberFormat="1" applyFont="1"/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4" fontId="12" fillId="0" borderId="0" xfId="4" applyNumberFormat="1" applyFont="1" applyBorder="1"/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6" fillId="0" borderId="0" xfId="1" applyFont="1"/>
    <xf numFmtId="164" fontId="0" fillId="0" borderId="0" xfId="0" applyNumberFormat="1" applyAlignment="1">
      <alignment wrapText="1"/>
    </xf>
    <xf numFmtId="164" fontId="0" fillId="0" borderId="0" xfId="0" applyNumberFormat="1"/>
    <xf numFmtId="2" fontId="0" fillId="0" borderId="0" xfId="0" applyNumberFormat="1" applyBorder="1"/>
    <xf numFmtId="0" fontId="0" fillId="0" borderId="1" xfId="0" applyBorder="1"/>
    <xf numFmtId="0" fontId="0" fillId="0" borderId="0" xfId="0" applyNumberFormat="1" applyBorder="1"/>
    <xf numFmtId="0" fontId="0" fillId="0" borderId="1" xfId="0" applyNumberFormat="1" applyBorder="1"/>
    <xf numFmtId="164" fontId="0" fillId="0" borderId="0" xfId="0" applyNumberFormat="1" applyBorder="1"/>
    <xf numFmtId="164" fontId="0" fillId="0" borderId="1" xfId="0" applyNumberFormat="1" applyBorder="1"/>
    <xf numFmtId="164" fontId="2" fillId="0" borderId="0" xfId="3" applyNumberFormat="1" applyFont="1" applyFill="1" applyBorder="1" applyAlignment="1" applyProtection="1">
      <alignment horizontal="right"/>
      <protection locked="0"/>
    </xf>
    <xf numFmtId="164" fontId="8" fillId="0" borderId="1" xfId="0" applyNumberFormat="1" applyFont="1" applyBorder="1" applyAlignment="1"/>
    <xf numFmtId="164" fontId="0" fillId="0" borderId="0" xfId="0" applyNumberFormat="1" applyAlignment="1">
      <alignment horizontal="right"/>
    </xf>
    <xf numFmtId="166" fontId="2" fillId="0" borderId="0" xfId="3" applyNumberFormat="1" applyFont="1" applyFill="1" applyBorder="1" applyAlignment="1" applyProtection="1">
      <alignment horizontal="center"/>
      <protection locked="0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_pMC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6BEB-74C1-455C-8936-E8173DC54A98}">
  <dimension ref="A1:K14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4" max="4" width="53.33203125" bestFit="1" customWidth="1"/>
    <col min="5" max="5" width="15" style="17" customWidth="1"/>
  </cols>
  <sheetData>
    <row r="1" spans="1:11" x14ac:dyDescent="0.2">
      <c r="A1" t="s">
        <v>152</v>
      </c>
      <c r="B1" t="s">
        <v>6</v>
      </c>
      <c r="C1" t="s">
        <v>153</v>
      </c>
      <c r="D1" t="s">
        <v>24</v>
      </c>
      <c r="E1" s="17" t="s">
        <v>158</v>
      </c>
      <c r="F1" t="s">
        <v>7</v>
      </c>
      <c r="G1" t="s">
        <v>154</v>
      </c>
      <c r="H1" t="s">
        <v>17</v>
      </c>
      <c r="I1" t="s">
        <v>155</v>
      </c>
      <c r="J1" t="s">
        <v>156</v>
      </c>
      <c r="K1" t="s">
        <v>157</v>
      </c>
    </row>
    <row r="2" spans="1:11" x14ac:dyDescent="0.2">
      <c r="A2">
        <v>95347</v>
      </c>
      <c r="B2" t="s">
        <v>100</v>
      </c>
      <c r="C2" t="s">
        <v>98</v>
      </c>
      <c r="D2" t="s">
        <v>101</v>
      </c>
      <c r="E2" s="63" t="str">
        <f>"ETH-"&amp;A2</f>
        <v>ETH-95347</v>
      </c>
      <c r="F2">
        <v>147</v>
      </c>
      <c r="G2">
        <v>13</v>
      </c>
      <c r="H2">
        <v>0.98190270021899195</v>
      </c>
      <c r="I2">
        <v>1.64069958019164E-3</v>
      </c>
      <c r="J2">
        <v>-28.928549408425901</v>
      </c>
      <c r="K2">
        <v>1</v>
      </c>
    </row>
    <row r="3" spans="1:11" x14ac:dyDescent="0.2">
      <c r="A3">
        <v>95348</v>
      </c>
      <c r="B3" t="s">
        <v>100</v>
      </c>
      <c r="C3" t="s">
        <v>110</v>
      </c>
      <c r="D3" t="s">
        <v>112</v>
      </c>
      <c r="E3" s="63" t="str">
        <f t="shared" ref="E3:E14" si="0">"ETH-"&amp;A3</f>
        <v>ETH-95348</v>
      </c>
      <c r="F3">
        <v>553</v>
      </c>
      <c r="G3">
        <v>15</v>
      </c>
      <c r="H3">
        <v>0.93348754504526099</v>
      </c>
      <c r="I3">
        <v>1.72617674936346E-3</v>
      </c>
      <c r="J3">
        <v>-29.5681907527321</v>
      </c>
      <c r="K3">
        <v>1</v>
      </c>
    </row>
    <row r="4" spans="1:11" x14ac:dyDescent="0.2">
      <c r="A4">
        <v>95349</v>
      </c>
      <c r="B4" t="s">
        <v>100</v>
      </c>
      <c r="C4" t="s">
        <v>114</v>
      </c>
      <c r="D4" t="s">
        <v>112</v>
      </c>
      <c r="E4" s="63" t="str">
        <f t="shared" si="0"/>
        <v>ETH-95349</v>
      </c>
      <c r="F4">
        <v>1096</v>
      </c>
      <c r="G4">
        <v>15</v>
      </c>
      <c r="H4">
        <v>0.87240965170263196</v>
      </c>
      <c r="I4">
        <v>1.6257062350904499E-3</v>
      </c>
      <c r="J4">
        <v>-27.874392905476299</v>
      </c>
      <c r="K4">
        <v>1</v>
      </c>
    </row>
    <row r="5" spans="1:11" x14ac:dyDescent="0.2">
      <c r="A5">
        <v>95350</v>
      </c>
      <c r="B5" t="s">
        <v>100</v>
      </c>
      <c r="C5" t="s">
        <v>116</v>
      </c>
      <c r="D5" t="s">
        <v>112</v>
      </c>
      <c r="E5" s="63" t="str">
        <f t="shared" si="0"/>
        <v>ETH-95350</v>
      </c>
      <c r="F5">
        <v>3038</v>
      </c>
      <c r="G5">
        <v>15</v>
      </c>
      <c r="H5">
        <v>0.68511059924221396</v>
      </c>
      <c r="I5">
        <v>1.3201904522788801E-3</v>
      </c>
      <c r="J5">
        <v>-30.422665485774999</v>
      </c>
      <c r="K5">
        <v>1</v>
      </c>
    </row>
    <row r="6" spans="1:11" x14ac:dyDescent="0.2">
      <c r="A6">
        <v>95351</v>
      </c>
      <c r="B6" t="s">
        <v>100</v>
      </c>
      <c r="C6" t="s">
        <v>118</v>
      </c>
      <c r="D6" t="s">
        <v>112</v>
      </c>
      <c r="E6" s="63" t="str">
        <f t="shared" si="0"/>
        <v>ETH-95351</v>
      </c>
      <c r="F6">
        <v>3966</v>
      </c>
      <c r="G6">
        <v>14</v>
      </c>
      <c r="H6">
        <v>0.61036009533512903</v>
      </c>
      <c r="I6">
        <v>1.07660263768207E-3</v>
      </c>
      <c r="J6">
        <v>-29.808181228587699</v>
      </c>
      <c r="K6">
        <v>1</v>
      </c>
    </row>
    <row r="7" spans="1:11" x14ac:dyDescent="0.2">
      <c r="A7">
        <v>95352</v>
      </c>
      <c r="B7" t="s">
        <v>100</v>
      </c>
      <c r="C7" t="s">
        <v>123</v>
      </c>
      <c r="D7" t="s">
        <v>112</v>
      </c>
      <c r="E7" s="63" t="str">
        <f t="shared" si="0"/>
        <v>ETH-95352</v>
      </c>
      <c r="F7">
        <v>4428</v>
      </c>
      <c r="G7">
        <v>27</v>
      </c>
      <c r="H7">
        <v>0.57622797362672395</v>
      </c>
      <c r="I7">
        <v>1.95091754513586E-3</v>
      </c>
      <c r="J7">
        <v>-33.837302742394002</v>
      </c>
      <c r="K7">
        <v>1</v>
      </c>
    </row>
    <row r="8" spans="1:11" x14ac:dyDescent="0.2">
      <c r="A8">
        <v>95353</v>
      </c>
      <c r="B8" t="s">
        <v>100</v>
      </c>
      <c r="C8" t="s">
        <v>125</v>
      </c>
      <c r="D8" t="s">
        <v>112</v>
      </c>
      <c r="E8" s="63" t="str">
        <f t="shared" si="0"/>
        <v>ETH-95353</v>
      </c>
      <c r="F8">
        <v>6084</v>
      </c>
      <c r="G8">
        <v>29</v>
      </c>
      <c r="H8">
        <v>0.46887995701777802</v>
      </c>
      <c r="I8">
        <v>1.71889646725586E-3</v>
      </c>
      <c r="J8">
        <v>-29.7718280192361</v>
      </c>
      <c r="K8">
        <v>1</v>
      </c>
    </row>
    <row r="9" spans="1:11" x14ac:dyDescent="0.2">
      <c r="A9">
        <v>95354</v>
      </c>
      <c r="B9" t="s">
        <v>100</v>
      </c>
      <c r="C9" t="s">
        <v>127</v>
      </c>
      <c r="D9" t="s">
        <v>112</v>
      </c>
      <c r="E9" s="63" t="str">
        <f t="shared" si="0"/>
        <v>ETH-95354</v>
      </c>
      <c r="F9">
        <v>1191</v>
      </c>
      <c r="G9">
        <v>21</v>
      </c>
      <c r="H9">
        <v>0.862232333851642</v>
      </c>
      <c r="I9">
        <v>2.2187004185100002E-3</v>
      </c>
      <c r="J9">
        <v>-31.0032636328284</v>
      </c>
      <c r="K9">
        <v>1</v>
      </c>
    </row>
    <row r="10" spans="1:11" x14ac:dyDescent="0.2">
      <c r="A10">
        <v>95355</v>
      </c>
      <c r="B10" t="s">
        <v>100</v>
      </c>
      <c r="C10" t="s">
        <v>129</v>
      </c>
      <c r="D10" t="s">
        <v>112</v>
      </c>
      <c r="E10" s="63" t="str">
        <f t="shared" si="0"/>
        <v>ETH-95355</v>
      </c>
      <c r="F10">
        <v>925</v>
      </c>
      <c r="G10">
        <v>21</v>
      </c>
      <c r="H10">
        <v>0.89119038172235898</v>
      </c>
      <c r="I10">
        <v>2.2749454546600999E-3</v>
      </c>
      <c r="J10">
        <v>-32.428715309238697</v>
      </c>
      <c r="K10">
        <v>1</v>
      </c>
    </row>
    <row r="11" spans="1:11" x14ac:dyDescent="0.2">
      <c r="A11">
        <v>95356</v>
      </c>
      <c r="B11" t="s">
        <v>100</v>
      </c>
      <c r="C11" t="s">
        <v>131</v>
      </c>
      <c r="D11" t="s">
        <v>112</v>
      </c>
      <c r="E11" s="63" t="str">
        <f t="shared" si="0"/>
        <v>ETH-95356</v>
      </c>
      <c r="F11">
        <v>2164</v>
      </c>
      <c r="G11">
        <v>21</v>
      </c>
      <c r="H11">
        <v>0.76386042385105202</v>
      </c>
      <c r="I11">
        <v>1.9992019168952602E-3</v>
      </c>
      <c r="J11">
        <v>-34.213394264073401</v>
      </c>
      <c r="K11">
        <v>1</v>
      </c>
    </row>
    <row r="12" spans="1:11" x14ac:dyDescent="0.2">
      <c r="A12">
        <v>95357</v>
      </c>
      <c r="B12" t="s">
        <v>100</v>
      </c>
      <c r="C12" t="s">
        <v>133</v>
      </c>
      <c r="D12" t="s">
        <v>112</v>
      </c>
      <c r="E12" s="63" t="str">
        <f t="shared" si="0"/>
        <v>ETH-95357</v>
      </c>
      <c r="F12">
        <v>5326</v>
      </c>
      <c r="G12">
        <v>23</v>
      </c>
      <c r="H12">
        <v>0.51527168027109305</v>
      </c>
      <c r="I12">
        <v>1.4579639715943001E-3</v>
      </c>
      <c r="J12">
        <v>-35.803037871418802</v>
      </c>
      <c r="K12">
        <v>1</v>
      </c>
    </row>
    <row r="13" spans="1:11" x14ac:dyDescent="0.2">
      <c r="A13">
        <v>95358</v>
      </c>
      <c r="B13" t="s">
        <v>100</v>
      </c>
      <c r="C13" t="s">
        <v>135</v>
      </c>
      <c r="D13" t="s">
        <v>112</v>
      </c>
      <c r="E13" s="63" t="str">
        <f t="shared" si="0"/>
        <v>ETH-95358</v>
      </c>
      <c r="F13">
        <v>7301</v>
      </c>
      <c r="G13">
        <v>24</v>
      </c>
      <c r="H13">
        <v>0.40296514043590298</v>
      </c>
      <c r="I13">
        <v>1.2020205351173899E-3</v>
      </c>
      <c r="J13">
        <v>-34.347336786956497</v>
      </c>
      <c r="K13">
        <v>1</v>
      </c>
    </row>
    <row r="14" spans="1:11" x14ac:dyDescent="0.2">
      <c r="A14">
        <v>95359</v>
      </c>
      <c r="B14" t="s">
        <v>100</v>
      </c>
      <c r="C14" t="s">
        <v>137</v>
      </c>
      <c r="D14" t="s">
        <v>112</v>
      </c>
      <c r="E14" s="63" t="str">
        <f t="shared" si="0"/>
        <v>ETH-95359</v>
      </c>
      <c r="F14">
        <v>9517</v>
      </c>
      <c r="G14">
        <v>26</v>
      </c>
      <c r="H14">
        <v>0.30584152357147099</v>
      </c>
      <c r="I14" s="62">
        <v>9.7791789359333195E-4</v>
      </c>
      <c r="J14">
        <v>-33.451095564113501</v>
      </c>
      <c r="K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FFFD-2190-4E6A-BE34-30675BD14262}">
  <dimension ref="A1:D15"/>
  <sheetViews>
    <sheetView workbookViewId="0">
      <selection activeCell="H28" sqref="H28"/>
    </sheetView>
  </sheetViews>
  <sheetFormatPr baseColWidth="10" defaultColWidth="9.1640625" defaultRowHeight="15" x14ac:dyDescent="0.2"/>
  <cols>
    <col min="1" max="1" width="15.1640625" style="17" bestFit="1" customWidth="1"/>
    <col min="2" max="16384" width="9.1640625" style="17"/>
  </cols>
  <sheetData>
    <row r="1" spans="1:4" x14ac:dyDescent="0.2">
      <c r="A1" s="17" t="s">
        <v>176</v>
      </c>
      <c r="B1" s="17" t="s">
        <v>175</v>
      </c>
    </row>
    <row r="2" spans="1:4" x14ac:dyDescent="0.2">
      <c r="B2" s="17" t="s">
        <v>174</v>
      </c>
      <c r="C2" s="17" t="s">
        <v>173</v>
      </c>
      <c r="D2" s="17" t="s">
        <v>172</v>
      </c>
    </row>
    <row r="3" spans="1:4" x14ac:dyDescent="0.2">
      <c r="A3" s="17" t="s">
        <v>171</v>
      </c>
      <c r="B3" s="17">
        <v>277</v>
      </c>
      <c r="C3" s="17">
        <v>7</v>
      </c>
      <c r="D3" s="17">
        <v>95.449973</v>
      </c>
    </row>
    <row r="4" spans="1:4" x14ac:dyDescent="0.2">
      <c r="A4" s="17" t="s">
        <v>170</v>
      </c>
      <c r="B4" s="17">
        <v>624</v>
      </c>
      <c r="C4" s="17">
        <v>528</v>
      </c>
      <c r="D4" s="17">
        <v>95.449973</v>
      </c>
    </row>
    <row r="5" spans="1:4" x14ac:dyDescent="0.2">
      <c r="A5" s="17" t="s">
        <v>169</v>
      </c>
      <c r="B5" s="17">
        <v>1058</v>
      </c>
      <c r="C5" s="17">
        <v>956</v>
      </c>
      <c r="D5" s="17">
        <v>95.449973</v>
      </c>
    </row>
    <row r="6" spans="1:4" x14ac:dyDescent="0.2">
      <c r="A6" s="17" t="s">
        <v>168</v>
      </c>
      <c r="B6" s="17">
        <v>3335</v>
      </c>
      <c r="C6" s="17">
        <v>3173</v>
      </c>
      <c r="D6" s="17">
        <v>95.449973</v>
      </c>
    </row>
    <row r="7" spans="1:4" x14ac:dyDescent="0.2">
      <c r="A7" s="17" t="s">
        <v>167</v>
      </c>
      <c r="B7" s="17">
        <v>4516</v>
      </c>
      <c r="C7" s="17">
        <v>4408</v>
      </c>
      <c r="D7" s="17">
        <v>95.449973999999997</v>
      </c>
    </row>
    <row r="8" spans="1:4" x14ac:dyDescent="0.2">
      <c r="A8" s="17" t="s">
        <v>166</v>
      </c>
      <c r="B8" s="17">
        <v>5274</v>
      </c>
      <c r="C8" s="17">
        <v>4874</v>
      </c>
      <c r="D8" s="17">
        <v>95.449973</v>
      </c>
    </row>
    <row r="9" spans="1:4" x14ac:dyDescent="0.2">
      <c r="A9" s="17" t="s">
        <v>165</v>
      </c>
      <c r="B9" s="17">
        <v>7153</v>
      </c>
      <c r="C9" s="17">
        <v>6803</v>
      </c>
      <c r="D9" s="17">
        <v>95.4499729999999</v>
      </c>
    </row>
    <row r="10" spans="1:4" x14ac:dyDescent="0.2">
      <c r="A10" s="17" t="s">
        <v>164</v>
      </c>
      <c r="B10" s="17">
        <v>1178</v>
      </c>
      <c r="C10" s="17">
        <v>1061</v>
      </c>
      <c r="D10" s="17">
        <v>95.449973999999997</v>
      </c>
    </row>
    <row r="11" spans="1:4" x14ac:dyDescent="0.2">
      <c r="A11" s="17" t="s">
        <v>163</v>
      </c>
      <c r="B11" s="17">
        <v>914</v>
      </c>
      <c r="C11" s="17">
        <v>775</v>
      </c>
      <c r="D11" s="17">
        <v>95.449973999999997</v>
      </c>
    </row>
    <row r="12" spans="1:4" x14ac:dyDescent="0.2">
      <c r="A12" s="17" t="s">
        <v>162</v>
      </c>
      <c r="B12" s="17">
        <v>2303</v>
      </c>
      <c r="C12" s="17">
        <v>2060</v>
      </c>
      <c r="D12" s="17">
        <v>95.449973999999997</v>
      </c>
    </row>
    <row r="13" spans="1:4" x14ac:dyDescent="0.2">
      <c r="A13" s="17" t="s">
        <v>161</v>
      </c>
      <c r="B13" s="17">
        <v>6197</v>
      </c>
      <c r="C13" s="17">
        <v>6000</v>
      </c>
      <c r="D13" s="17">
        <v>95.449973999999997</v>
      </c>
    </row>
    <row r="14" spans="1:4" x14ac:dyDescent="0.2">
      <c r="A14" s="17" t="s">
        <v>160</v>
      </c>
      <c r="B14" s="17">
        <v>8174</v>
      </c>
      <c r="C14" s="17">
        <v>8029</v>
      </c>
      <c r="D14" s="17">
        <v>95.449973999999997</v>
      </c>
    </row>
    <row r="15" spans="1:4" x14ac:dyDescent="0.2">
      <c r="A15" s="17" t="s">
        <v>159</v>
      </c>
      <c r="B15" s="17">
        <v>11070</v>
      </c>
      <c r="C15" s="17">
        <v>10690</v>
      </c>
      <c r="D15" s="17">
        <v>95.449973999999997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"/>
  <sheetViews>
    <sheetView topLeftCell="A10" workbookViewId="0">
      <selection activeCell="U14" sqref="U14"/>
    </sheetView>
  </sheetViews>
  <sheetFormatPr baseColWidth="10" defaultColWidth="8.5" defaultRowHeight="15" x14ac:dyDescent="0.2"/>
  <cols>
    <col min="1" max="1" width="7.1640625" style="17" customWidth="1"/>
    <col min="2" max="2" width="13.33203125" style="17" customWidth="1"/>
    <col min="3" max="3" width="13.83203125" style="29" customWidth="1"/>
    <col min="4" max="4" width="7.1640625" style="17" customWidth="1"/>
    <col min="5" max="5" width="7" style="17" customWidth="1"/>
    <col min="6" max="6" width="13.5" style="17" customWidth="1"/>
    <col min="7" max="7" width="7.5" style="6" customWidth="1"/>
    <col min="8" max="8" width="7.1640625" style="13" customWidth="1"/>
    <col min="9" max="9" width="10.6640625" style="61" customWidth="1"/>
    <col min="10" max="10" width="9.5" style="61" customWidth="1"/>
    <col min="11" max="11" width="8.1640625" style="58" customWidth="1"/>
    <col min="12" max="12" width="5.5" style="10" customWidth="1"/>
    <col min="13" max="13" width="7.1640625" style="9" customWidth="1"/>
    <col min="14" max="14" width="7.83203125" style="49" customWidth="1"/>
    <col min="15" max="15" width="15.83203125" style="9" customWidth="1"/>
    <col min="16" max="16" width="13.83203125" style="29" customWidth="1"/>
    <col min="17" max="18" width="6.83203125" style="49" customWidth="1"/>
    <col min="19" max="19" width="11.1640625" style="17" customWidth="1"/>
    <col min="20" max="16384" width="8.5" style="17"/>
  </cols>
  <sheetData>
    <row r="1" spans="1:19" s="14" customFormat="1" x14ac:dyDescent="0.2">
      <c r="A1" s="2" t="s">
        <v>11</v>
      </c>
      <c r="B1" s="4" t="s">
        <v>13</v>
      </c>
      <c r="C1" s="27" t="s">
        <v>22</v>
      </c>
      <c r="D1" s="4"/>
      <c r="E1" s="2" t="s">
        <v>6</v>
      </c>
      <c r="F1" s="2" t="s">
        <v>12</v>
      </c>
      <c r="G1" s="5" t="s">
        <v>15</v>
      </c>
      <c r="H1" s="11" t="s">
        <v>19</v>
      </c>
      <c r="I1" s="59" t="s">
        <v>17</v>
      </c>
      <c r="J1" s="59" t="s">
        <v>19</v>
      </c>
      <c r="K1" s="56" t="s">
        <v>18</v>
      </c>
      <c r="L1" s="11" t="s">
        <v>19</v>
      </c>
      <c r="M1" s="7" t="s">
        <v>23</v>
      </c>
      <c r="N1" s="54" t="s">
        <v>45</v>
      </c>
      <c r="O1" s="50" t="s">
        <v>91</v>
      </c>
      <c r="P1" s="52" t="s">
        <v>38</v>
      </c>
      <c r="Q1" s="54" t="s">
        <v>40</v>
      </c>
      <c r="R1" s="54" t="s">
        <v>94</v>
      </c>
      <c r="S1" s="22" t="s">
        <v>39</v>
      </c>
    </row>
    <row r="2" spans="1:19" s="14" customFormat="1" ht="16" thickBot="1" x14ac:dyDescent="0.25">
      <c r="A2" s="1"/>
      <c r="B2" s="3" t="s">
        <v>14</v>
      </c>
      <c r="C2" s="28"/>
      <c r="D2" s="3"/>
      <c r="E2" s="1"/>
      <c r="F2" s="1"/>
      <c r="G2" s="19" t="s">
        <v>16</v>
      </c>
      <c r="H2" s="12"/>
      <c r="I2" s="60"/>
      <c r="J2" s="60"/>
      <c r="K2" s="57" t="s">
        <v>20</v>
      </c>
      <c r="L2" s="16"/>
      <c r="M2" s="8"/>
      <c r="N2" s="55"/>
      <c r="O2" s="8" t="s">
        <v>92</v>
      </c>
      <c r="P2" s="53"/>
      <c r="Q2" s="55"/>
      <c r="R2" s="55"/>
      <c r="S2" s="51"/>
    </row>
    <row r="3" spans="1:19" ht="16" thickTop="1" x14ac:dyDescent="0.2">
      <c r="G3" s="17"/>
      <c r="H3" s="17"/>
      <c r="I3" s="26"/>
      <c r="J3" s="26"/>
      <c r="K3" s="49"/>
      <c r="L3" s="17"/>
      <c r="M3" s="17"/>
    </row>
    <row r="4" spans="1:19" x14ac:dyDescent="0.2">
      <c r="A4" s="17" t="s">
        <v>97</v>
      </c>
      <c r="B4" s="6" t="s">
        <v>98</v>
      </c>
      <c r="C4" s="6" t="s">
        <v>99</v>
      </c>
      <c r="D4" s="17">
        <v>0.4</v>
      </c>
      <c r="E4" s="9" t="s">
        <v>100</v>
      </c>
      <c r="F4" s="17" t="s">
        <v>139</v>
      </c>
      <c r="G4" s="6">
        <v>124.7</v>
      </c>
      <c r="H4" s="13">
        <v>21.6</v>
      </c>
      <c r="I4" s="61">
        <v>0.98499999999999999</v>
      </c>
      <c r="J4" s="61">
        <v>2.6417326035415899E-3</v>
      </c>
      <c r="K4" s="58">
        <v>-33.200000000000003</v>
      </c>
      <c r="L4" s="10">
        <v>1</v>
      </c>
      <c r="M4" s="9">
        <v>0.99299999999999999</v>
      </c>
      <c r="N4" s="49">
        <v>12.302747708386057</v>
      </c>
      <c r="O4" s="9" t="e">
        <v>#DIV/0!</v>
      </c>
      <c r="P4" s="29" t="s">
        <v>103</v>
      </c>
      <c r="Q4" s="49">
        <v>44.168199999999999</v>
      </c>
      <c r="R4" s="49">
        <v>4.1884600000000001</v>
      </c>
      <c r="S4" s="20" t="s">
        <v>104</v>
      </c>
    </row>
    <row r="5" spans="1:19" x14ac:dyDescent="0.2">
      <c r="A5" s="17" t="s">
        <v>97</v>
      </c>
      <c r="B5" s="6" t="s">
        <v>98</v>
      </c>
      <c r="C5" s="6" t="s">
        <v>99</v>
      </c>
      <c r="D5" s="17">
        <v>0.4</v>
      </c>
      <c r="E5" s="9" t="s">
        <v>100</v>
      </c>
      <c r="F5" s="17" t="s">
        <v>139</v>
      </c>
      <c r="G5" s="6">
        <v>157.5</v>
      </c>
      <c r="H5" s="13">
        <v>22</v>
      </c>
      <c r="I5" s="61">
        <v>0.98099999999999998</v>
      </c>
      <c r="J5" s="61">
        <v>2.68949247281114E-3</v>
      </c>
      <c r="K5" s="58">
        <v>-28.400000000000002</v>
      </c>
      <c r="L5" s="10">
        <v>1</v>
      </c>
      <c r="M5" s="9">
        <v>0.997</v>
      </c>
      <c r="N5" s="49">
        <v>11.149831187534945</v>
      </c>
      <c r="O5" s="9" t="e">
        <v>#DIV/0!</v>
      </c>
      <c r="P5" s="29" t="s">
        <v>106</v>
      </c>
      <c r="Q5" s="49">
        <v>48.375900000000001</v>
      </c>
      <c r="R5" s="49">
        <v>5.0618299999999996</v>
      </c>
      <c r="S5" s="20" t="s">
        <v>104</v>
      </c>
    </row>
    <row r="6" spans="1:19" x14ac:dyDescent="0.2">
      <c r="A6" s="17" t="s">
        <v>97</v>
      </c>
      <c r="B6" s="6" t="s">
        <v>98</v>
      </c>
      <c r="C6" s="6" t="s">
        <v>99</v>
      </c>
      <c r="D6" s="17">
        <v>0.4</v>
      </c>
      <c r="E6" s="9" t="s">
        <v>100</v>
      </c>
      <c r="F6" s="17" t="s">
        <v>139</v>
      </c>
      <c r="G6" s="6">
        <v>165.3</v>
      </c>
      <c r="H6" s="13">
        <v>27.3</v>
      </c>
      <c r="I6" s="61">
        <v>0.98</v>
      </c>
      <c r="J6" s="61">
        <v>3.3343479745133798E-3</v>
      </c>
      <c r="K6" s="58">
        <v>-25.2</v>
      </c>
      <c r="L6" s="10">
        <v>1</v>
      </c>
      <c r="M6" s="9">
        <v>0.47700000000000004</v>
      </c>
      <c r="N6" s="49">
        <v>18.403924216670159</v>
      </c>
      <c r="O6" s="9" t="e">
        <v>#DIV/0!</v>
      </c>
      <c r="P6" s="29" t="s">
        <v>109</v>
      </c>
      <c r="Q6" s="49">
        <v>47.4236</v>
      </c>
      <c r="R6" s="49">
        <v>3.0062899999999999</v>
      </c>
      <c r="S6" s="20">
        <v>0</v>
      </c>
    </row>
    <row r="7" spans="1:19" x14ac:dyDescent="0.2">
      <c r="A7" s="17" t="s">
        <v>97</v>
      </c>
      <c r="B7" s="6" t="s">
        <v>110</v>
      </c>
      <c r="C7" s="6" t="s">
        <v>111</v>
      </c>
      <c r="D7" s="17">
        <v>0.4</v>
      </c>
      <c r="E7" s="9" t="s">
        <v>100</v>
      </c>
      <c r="F7" s="17" t="s">
        <v>140</v>
      </c>
      <c r="G7" s="6">
        <v>563.9</v>
      </c>
      <c r="H7" s="13">
        <v>21.7</v>
      </c>
      <c r="I7" s="61">
        <v>0.93200000000000005</v>
      </c>
      <c r="J7" s="61">
        <v>2.51935068308673E-3</v>
      </c>
      <c r="K7" s="58">
        <v>-32</v>
      </c>
      <c r="L7" s="10">
        <v>1</v>
      </c>
      <c r="M7" s="9">
        <v>0.98799999999999999</v>
      </c>
      <c r="N7" s="49">
        <v>11.821921462930911</v>
      </c>
      <c r="O7" s="9" t="e">
        <v>#DIV/0!</v>
      </c>
      <c r="P7" s="29" t="s">
        <v>103</v>
      </c>
      <c r="Q7" s="49">
        <v>21.016100000000002</v>
      </c>
      <c r="R7" s="49">
        <v>2.0740099999999999</v>
      </c>
      <c r="S7" s="20" t="s">
        <v>104</v>
      </c>
    </row>
    <row r="8" spans="1:19" x14ac:dyDescent="0.2">
      <c r="A8" s="17" t="s">
        <v>97</v>
      </c>
      <c r="B8" s="6" t="s">
        <v>110</v>
      </c>
      <c r="C8" s="6" t="s">
        <v>111</v>
      </c>
      <c r="D8" s="17">
        <v>0.4</v>
      </c>
      <c r="E8" s="9" t="s">
        <v>100</v>
      </c>
      <c r="F8" s="17" t="s">
        <v>140</v>
      </c>
      <c r="G8" s="6">
        <v>543.20000000000005</v>
      </c>
      <c r="H8" s="13">
        <v>20.399999999999999</v>
      </c>
      <c r="I8" s="61">
        <v>0.93500000000000005</v>
      </c>
      <c r="J8" s="61">
        <v>2.3698662924604499E-3</v>
      </c>
      <c r="K8" s="58">
        <v>-27.099999999999998</v>
      </c>
      <c r="L8" s="10">
        <v>1</v>
      </c>
      <c r="M8" s="9">
        <v>0.997</v>
      </c>
      <c r="N8" s="49">
        <v>10.977830674840805</v>
      </c>
      <c r="O8" s="9" t="e">
        <v>#DIV/0!</v>
      </c>
      <c r="P8" s="29" t="s">
        <v>106</v>
      </c>
      <c r="Q8" s="49">
        <v>52.890999999999998</v>
      </c>
      <c r="R8" s="49">
        <v>5.6209800000000003</v>
      </c>
      <c r="S8" s="20" t="s">
        <v>104</v>
      </c>
    </row>
    <row r="9" spans="1:19" x14ac:dyDescent="0.2">
      <c r="A9" s="17" t="s">
        <v>97</v>
      </c>
      <c r="B9" s="6" t="s">
        <v>114</v>
      </c>
      <c r="C9" s="6" t="s">
        <v>115</v>
      </c>
      <c r="D9" s="17">
        <v>0.4</v>
      </c>
      <c r="E9" s="9" t="s">
        <v>100</v>
      </c>
      <c r="F9" s="17" t="s">
        <v>141</v>
      </c>
      <c r="G9" s="6">
        <v>1080</v>
      </c>
      <c r="H9" s="13">
        <v>21.9</v>
      </c>
      <c r="I9" s="61">
        <v>0.874</v>
      </c>
      <c r="J9" s="61">
        <v>2.3812174327112901E-3</v>
      </c>
      <c r="K9" s="58">
        <v>-28.6</v>
      </c>
      <c r="L9" s="10">
        <v>1</v>
      </c>
      <c r="M9" s="9">
        <v>0.996</v>
      </c>
      <c r="N9" s="49">
        <v>20.769867173417886</v>
      </c>
      <c r="O9" s="9" t="e">
        <v>#DIV/0!</v>
      </c>
      <c r="P9" s="29" t="s">
        <v>103</v>
      </c>
      <c r="Q9" s="49">
        <v>10.314500000000001</v>
      </c>
      <c r="R9" s="49">
        <v>0.57937700000000003</v>
      </c>
      <c r="S9" s="20" t="s">
        <v>104</v>
      </c>
    </row>
    <row r="10" spans="1:19" x14ac:dyDescent="0.2">
      <c r="A10" s="17" t="s">
        <v>97</v>
      </c>
      <c r="B10" s="6" t="s">
        <v>114</v>
      </c>
      <c r="C10" s="6" t="s">
        <v>115</v>
      </c>
      <c r="D10" s="17">
        <v>0.4</v>
      </c>
      <c r="E10" s="9" t="s">
        <v>100</v>
      </c>
      <c r="F10" s="17" t="s">
        <v>141</v>
      </c>
      <c r="G10" s="6">
        <v>1110.9000000000001</v>
      </c>
      <c r="H10" s="13">
        <v>20.5</v>
      </c>
      <c r="I10" s="61">
        <v>0.871</v>
      </c>
      <c r="J10" s="61">
        <v>2.2249237778812002E-3</v>
      </c>
      <c r="K10" s="58">
        <v>-27.099999999999998</v>
      </c>
      <c r="L10" s="10">
        <v>1</v>
      </c>
      <c r="M10" s="9">
        <v>0.99299999999999999</v>
      </c>
      <c r="N10" s="49">
        <v>14.290260144998852</v>
      </c>
      <c r="O10" s="9" t="e">
        <v>#DIV/0!</v>
      </c>
      <c r="P10" s="29" t="s">
        <v>106</v>
      </c>
      <c r="Q10" s="49">
        <v>51.028599999999997</v>
      </c>
      <c r="R10" s="49">
        <v>4.16601</v>
      </c>
      <c r="S10" s="20" t="s">
        <v>104</v>
      </c>
    </row>
    <row r="11" spans="1:19" x14ac:dyDescent="0.2">
      <c r="A11" s="17" t="s">
        <v>97</v>
      </c>
      <c r="B11" s="6" t="s">
        <v>116</v>
      </c>
      <c r="C11" s="6" t="s">
        <v>117</v>
      </c>
      <c r="D11" s="17">
        <v>0.4</v>
      </c>
      <c r="E11" s="9" t="s">
        <v>100</v>
      </c>
      <c r="F11" s="17" t="s">
        <v>142</v>
      </c>
      <c r="G11" s="6">
        <v>3035.8</v>
      </c>
      <c r="H11" s="13">
        <v>22.8</v>
      </c>
      <c r="I11" s="61">
        <v>0.68500000000000005</v>
      </c>
      <c r="J11" s="61">
        <v>1.9465142440199901E-3</v>
      </c>
      <c r="K11" s="58">
        <v>-34.299999999999997</v>
      </c>
      <c r="L11" s="10">
        <v>1</v>
      </c>
      <c r="M11" s="9">
        <v>0.99299999999999999</v>
      </c>
      <c r="N11" s="49">
        <v>25.495314956694024</v>
      </c>
      <c r="O11" s="9" t="e">
        <v>#DIV/0!</v>
      </c>
      <c r="P11" s="29" t="s">
        <v>103</v>
      </c>
      <c r="Q11" s="49">
        <v>56.105499999999999</v>
      </c>
      <c r="R11" s="49">
        <v>2.5673900000000001</v>
      </c>
      <c r="S11" s="20" t="s">
        <v>104</v>
      </c>
    </row>
    <row r="12" spans="1:19" x14ac:dyDescent="0.2">
      <c r="A12" s="17" t="s">
        <v>97</v>
      </c>
      <c r="B12" s="6" t="s">
        <v>116</v>
      </c>
      <c r="C12" s="6" t="s">
        <v>117</v>
      </c>
      <c r="D12" s="17">
        <v>0.4</v>
      </c>
      <c r="E12" s="9" t="s">
        <v>100</v>
      </c>
      <c r="F12" s="17" t="s">
        <v>142</v>
      </c>
      <c r="G12" s="6">
        <v>3039.6</v>
      </c>
      <c r="H12" s="13">
        <v>21.1</v>
      </c>
      <c r="I12" s="61">
        <v>0.68500000000000005</v>
      </c>
      <c r="J12" s="61">
        <v>1.7965519525103199E-3</v>
      </c>
      <c r="K12" s="58">
        <v>-26.599999999999998</v>
      </c>
      <c r="L12" s="10">
        <v>1</v>
      </c>
      <c r="M12" s="9">
        <v>0.999</v>
      </c>
      <c r="N12" s="49">
        <v>15.324628065602626</v>
      </c>
      <c r="O12" s="9" t="e">
        <v>#DIV/0!</v>
      </c>
      <c r="P12" s="29" t="s">
        <v>106</v>
      </c>
      <c r="Q12" s="49">
        <v>54.325499999999998</v>
      </c>
      <c r="R12" s="49">
        <v>4.1358100000000002</v>
      </c>
      <c r="S12" s="20" t="s">
        <v>104</v>
      </c>
    </row>
    <row r="13" spans="1:19" x14ac:dyDescent="0.2">
      <c r="A13" s="17" t="s">
        <v>97</v>
      </c>
      <c r="B13" s="6" t="s">
        <v>118</v>
      </c>
      <c r="C13" s="6" t="s">
        <v>119</v>
      </c>
      <c r="D13" s="17">
        <v>0.4</v>
      </c>
      <c r="E13" s="9" t="s">
        <v>100</v>
      </c>
      <c r="F13" s="17" t="s">
        <v>143</v>
      </c>
      <c r="G13" s="6">
        <v>3972.3</v>
      </c>
      <c r="H13" s="13">
        <v>26.6</v>
      </c>
      <c r="I13" s="61">
        <v>0.61</v>
      </c>
      <c r="J13" s="61">
        <v>2.0189765253427702E-3</v>
      </c>
      <c r="K13" s="58">
        <v>-33.4</v>
      </c>
      <c r="L13" s="10">
        <v>1</v>
      </c>
      <c r="M13" s="9">
        <v>0.995</v>
      </c>
      <c r="N13" s="49">
        <v>24.322802123760244</v>
      </c>
      <c r="O13" s="9" t="e">
        <v>#DIV/0!</v>
      </c>
      <c r="P13" s="29" t="s">
        <v>103</v>
      </c>
      <c r="Q13" s="49">
        <v>51.569899999999997</v>
      </c>
      <c r="R13" s="49">
        <v>2.4735999999999998</v>
      </c>
      <c r="S13" s="20" t="s">
        <v>104</v>
      </c>
    </row>
    <row r="14" spans="1:19" x14ac:dyDescent="0.2">
      <c r="A14" s="17" t="s">
        <v>97</v>
      </c>
      <c r="B14" s="6" t="s">
        <v>118</v>
      </c>
      <c r="C14" s="6" t="s">
        <v>119</v>
      </c>
      <c r="D14" s="17">
        <v>0.4</v>
      </c>
      <c r="E14" s="9" t="s">
        <v>100</v>
      </c>
      <c r="F14" s="17" t="s">
        <v>143</v>
      </c>
      <c r="G14" s="6">
        <v>3958.9</v>
      </c>
      <c r="H14" s="13">
        <v>21.4</v>
      </c>
      <c r="I14" s="61">
        <v>0.61099999999999999</v>
      </c>
      <c r="J14" s="61">
        <v>1.6277936063287799E-3</v>
      </c>
      <c r="K14" s="58">
        <v>-27</v>
      </c>
      <c r="L14" s="10">
        <v>1</v>
      </c>
      <c r="M14" s="9">
        <v>0.997</v>
      </c>
      <c r="N14" s="49">
        <v>14.794029086564839</v>
      </c>
      <c r="O14" s="9" t="e">
        <v>#DIV/0!</v>
      </c>
      <c r="P14" s="29" t="s">
        <v>106</v>
      </c>
      <c r="Q14" s="49">
        <v>52.010100000000001</v>
      </c>
      <c r="R14" s="49">
        <v>4.1015499999999996</v>
      </c>
      <c r="S14" s="20" t="s">
        <v>104</v>
      </c>
    </row>
    <row r="15" spans="1:19" x14ac:dyDescent="0.2">
      <c r="A15" s="17" t="s">
        <v>97</v>
      </c>
      <c r="B15" s="6" t="s">
        <v>118</v>
      </c>
      <c r="C15" s="6" t="s">
        <v>119</v>
      </c>
      <c r="D15" s="17">
        <v>0.4</v>
      </c>
      <c r="E15" s="9" t="s">
        <v>100</v>
      </c>
      <c r="F15" s="17" t="s">
        <v>143</v>
      </c>
      <c r="G15" s="6">
        <v>3798.5</v>
      </c>
      <c r="H15" s="13">
        <v>23.2</v>
      </c>
      <c r="I15" s="61">
        <v>0.623</v>
      </c>
      <c r="J15" s="61">
        <v>1.79670313361025E-3</v>
      </c>
      <c r="K15" s="58">
        <v>-26.5</v>
      </c>
      <c r="L15" s="10">
        <v>1</v>
      </c>
      <c r="M15" s="9">
        <v>0.98</v>
      </c>
      <c r="N15" s="49">
        <v>24.756804834661409</v>
      </c>
      <c r="O15" s="9" t="e">
        <v>#DIV/0!</v>
      </c>
      <c r="P15" s="29" t="s">
        <v>121</v>
      </c>
      <c r="Q15" s="49">
        <v>52.248600000000003</v>
      </c>
      <c r="R15" s="49">
        <v>2.4622199999999999</v>
      </c>
      <c r="S15" s="20">
        <v>0</v>
      </c>
    </row>
    <row r="16" spans="1:19" x14ac:dyDescent="0.2">
      <c r="A16" s="17" t="s">
        <v>97</v>
      </c>
      <c r="B16" s="6" t="s">
        <v>118</v>
      </c>
      <c r="C16" s="6" t="s">
        <v>119</v>
      </c>
      <c r="D16" s="17">
        <v>0.4</v>
      </c>
      <c r="E16" s="9" t="s">
        <v>100</v>
      </c>
      <c r="F16" s="17" t="s">
        <v>143</v>
      </c>
      <c r="G16" s="6">
        <v>3970.4</v>
      </c>
      <c r="H16" s="13">
        <v>26.9</v>
      </c>
      <c r="I16" s="61">
        <v>0.61</v>
      </c>
      <c r="J16" s="61">
        <v>2.0410875137588502E-3</v>
      </c>
      <c r="K16" s="58">
        <v>-29</v>
      </c>
      <c r="L16" s="10">
        <v>1</v>
      </c>
      <c r="M16" s="9">
        <v>0.48599999999999999</v>
      </c>
      <c r="N16" s="49">
        <v>16.494627914184374</v>
      </c>
      <c r="O16" s="9" t="e">
        <v>#DIV/0!</v>
      </c>
      <c r="P16" s="29" t="s">
        <v>122</v>
      </c>
      <c r="Q16" s="49">
        <v>57.478499999999997</v>
      </c>
      <c r="R16" s="49">
        <v>4.0654599999999999</v>
      </c>
      <c r="S16" s="20">
        <v>0</v>
      </c>
    </row>
    <row r="17" spans="1:19" x14ac:dyDescent="0.2">
      <c r="A17" s="17" t="s">
        <v>97</v>
      </c>
      <c r="B17" s="6" t="s">
        <v>123</v>
      </c>
      <c r="C17" s="6" t="s">
        <v>124</v>
      </c>
      <c r="D17" s="17">
        <v>0.4</v>
      </c>
      <c r="E17" s="9" t="s">
        <v>100</v>
      </c>
      <c r="F17" s="17" t="s">
        <v>144</v>
      </c>
      <c r="G17" s="6">
        <v>4428.2</v>
      </c>
      <c r="H17" s="13">
        <v>27.2</v>
      </c>
      <c r="I17" s="61">
        <v>0.57599999999999996</v>
      </c>
      <c r="J17" s="61">
        <v>1.95091754513586E-3</v>
      </c>
      <c r="K17" s="58">
        <v>-33.799999999999997</v>
      </c>
      <c r="L17" s="10">
        <v>1</v>
      </c>
      <c r="M17" s="9">
        <v>0.98599999999999999</v>
      </c>
      <c r="N17" s="49">
        <v>33.046015021160017</v>
      </c>
      <c r="O17" s="9" t="e">
        <v>#DIV/0!</v>
      </c>
      <c r="P17" s="29" t="s">
        <v>103</v>
      </c>
      <c r="Q17" s="49">
        <v>50.108899999999998</v>
      </c>
      <c r="R17" s="49">
        <v>1.7690600000000001</v>
      </c>
      <c r="S17" s="20" t="s">
        <v>104</v>
      </c>
    </row>
    <row r="18" spans="1:19" x14ac:dyDescent="0.2">
      <c r="A18" s="17" t="s">
        <v>97</v>
      </c>
      <c r="B18" s="6" t="s">
        <v>123</v>
      </c>
      <c r="C18" s="6" t="s">
        <v>124</v>
      </c>
      <c r="D18" s="17">
        <v>0.4</v>
      </c>
      <c r="E18" s="9" t="s">
        <v>100</v>
      </c>
      <c r="F18" s="17" t="s">
        <v>144</v>
      </c>
      <c r="G18" s="6">
        <v>4337</v>
      </c>
      <c r="H18" s="13">
        <v>21.5</v>
      </c>
      <c r="I18" s="61">
        <v>0.58299999999999996</v>
      </c>
      <c r="J18" s="61">
        <v>1.56256015313519E-3</v>
      </c>
      <c r="K18" s="58">
        <v>-26.4</v>
      </c>
      <c r="L18" s="10">
        <v>1</v>
      </c>
      <c r="M18" s="9">
        <v>0.98499999999999999</v>
      </c>
      <c r="N18" s="49">
        <v>15.437341172416762</v>
      </c>
      <c r="O18" s="9" t="e">
        <v>#DIV/0!</v>
      </c>
      <c r="P18" s="29" t="s">
        <v>106</v>
      </c>
      <c r="Q18" s="49">
        <v>57.345399999999998</v>
      </c>
      <c r="R18" s="49">
        <v>4.3338400000000004</v>
      </c>
      <c r="S18" s="20" t="s">
        <v>104</v>
      </c>
    </row>
    <row r="19" spans="1:19" x14ac:dyDescent="0.2">
      <c r="A19" s="17" t="s">
        <v>97</v>
      </c>
      <c r="B19" s="6" t="s">
        <v>125</v>
      </c>
      <c r="C19" s="6" t="s">
        <v>126</v>
      </c>
      <c r="D19" s="17">
        <v>0.4</v>
      </c>
      <c r="E19" s="9" t="s">
        <v>100</v>
      </c>
      <c r="F19" s="17" t="s">
        <v>145</v>
      </c>
      <c r="G19" s="6">
        <v>6084.2</v>
      </c>
      <c r="H19" s="13">
        <v>29.4</v>
      </c>
      <c r="I19" s="61">
        <v>0.46899999999999997</v>
      </c>
      <c r="J19" s="61">
        <v>1.71889646725586E-3</v>
      </c>
      <c r="K19" s="58">
        <v>-29.8</v>
      </c>
      <c r="L19" s="10">
        <v>1</v>
      </c>
      <c r="M19" s="9">
        <v>0.98</v>
      </c>
      <c r="N19" s="49">
        <v>27.304665378539596</v>
      </c>
      <c r="O19" s="9" t="e">
        <v>#DIV/0!</v>
      </c>
      <c r="P19" s="29" t="s">
        <v>103</v>
      </c>
      <c r="Q19" s="49">
        <v>60.2</v>
      </c>
      <c r="R19" s="49">
        <v>2.5722100000000001</v>
      </c>
      <c r="S19" s="20" t="s">
        <v>104</v>
      </c>
    </row>
    <row r="20" spans="1:19" x14ac:dyDescent="0.2">
      <c r="A20" s="17" t="s">
        <v>97</v>
      </c>
      <c r="B20" s="6" t="s">
        <v>125</v>
      </c>
      <c r="C20" s="6" t="s">
        <v>126</v>
      </c>
      <c r="D20" s="17">
        <v>0.4</v>
      </c>
      <c r="E20" s="9" t="s">
        <v>100</v>
      </c>
      <c r="F20" s="17" t="s">
        <v>145</v>
      </c>
      <c r="G20" s="6">
        <v>6003.9</v>
      </c>
      <c r="H20" s="13">
        <v>22.3</v>
      </c>
      <c r="I20" s="61">
        <v>0.47399999999999998</v>
      </c>
      <c r="J20" s="61">
        <v>1.3138199771619999E-3</v>
      </c>
      <c r="K20" s="58">
        <v>-26.200000000000003</v>
      </c>
      <c r="L20" s="10">
        <v>1</v>
      </c>
      <c r="M20" s="9">
        <v>0.99199999999999999</v>
      </c>
      <c r="N20" s="49">
        <v>16.726433823026056</v>
      </c>
      <c r="O20" s="9" t="e">
        <v>#DIV/0!</v>
      </c>
      <c r="P20" s="29" t="s">
        <v>106</v>
      </c>
      <c r="Q20" s="49">
        <v>52.357799999999997</v>
      </c>
      <c r="R20" s="49">
        <v>3.6519499999999998</v>
      </c>
      <c r="S20" s="20" t="s">
        <v>104</v>
      </c>
    </row>
    <row r="21" spans="1:19" x14ac:dyDescent="0.2">
      <c r="A21" s="17" t="s">
        <v>97</v>
      </c>
      <c r="B21" s="6" t="s">
        <v>127</v>
      </c>
      <c r="C21" s="6" t="s">
        <v>128</v>
      </c>
      <c r="D21" s="17">
        <v>0.4</v>
      </c>
      <c r="E21" s="9" t="s">
        <v>100</v>
      </c>
      <c r="F21" s="17" t="s">
        <v>146</v>
      </c>
      <c r="G21" s="6">
        <v>1190.7</v>
      </c>
      <c r="H21" s="13">
        <v>20.7</v>
      </c>
      <c r="I21" s="61">
        <v>0.86199999999999999</v>
      </c>
      <c r="J21" s="61">
        <v>2.2187004185100002E-3</v>
      </c>
      <c r="K21" s="58">
        <v>-31</v>
      </c>
      <c r="L21" s="10">
        <v>1</v>
      </c>
      <c r="M21" s="9">
        <v>0.99299999999999999</v>
      </c>
      <c r="N21" s="49">
        <v>19.394238633265687</v>
      </c>
      <c r="O21" s="9" t="e">
        <v>#DIV/0!</v>
      </c>
      <c r="P21" s="29">
        <v>0</v>
      </c>
      <c r="Q21" s="49">
        <v>27.439800000000002</v>
      </c>
      <c r="R21" s="49">
        <v>1.65065</v>
      </c>
      <c r="S21" s="20" t="s">
        <v>90</v>
      </c>
    </row>
    <row r="22" spans="1:19" x14ac:dyDescent="0.2">
      <c r="A22" s="17" t="s">
        <v>97</v>
      </c>
      <c r="B22" s="6" t="s">
        <v>127</v>
      </c>
      <c r="C22" s="6" t="s">
        <v>128</v>
      </c>
      <c r="D22" s="17">
        <v>0.4</v>
      </c>
      <c r="E22" s="9" t="s">
        <v>100</v>
      </c>
      <c r="F22" s="17" t="s">
        <v>146</v>
      </c>
      <c r="G22" s="6">
        <v>0</v>
      </c>
      <c r="H22" s="13">
        <v>0</v>
      </c>
      <c r="I22" s="61">
        <v>0</v>
      </c>
      <c r="J22" s="61">
        <v>0</v>
      </c>
      <c r="K22" s="58">
        <v>0</v>
      </c>
      <c r="L22" s="10">
        <v>1</v>
      </c>
      <c r="M22" s="9">
        <v>0</v>
      </c>
      <c r="N22" s="49" t="e">
        <v>#DIV/0!</v>
      </c>
      <c r="O22" s="9" t="e">
        <v>#DIV/0!</v>
      </c>
      <c r="P22" s="29" t="s">
        <v>106</v>
      </c>
      <c r="Q22" s="49">
        <v>0</v>
      </c>
      <c r="R22" s="49">
        <v>0</v>
      </c>
      <c r="S22" s="20" t="s">
        <v>104</v>
      </c>
    </row>
    <row r="23" spans="1:19" x14ac:dyDescent="0.2">
      <c r="A23" s="17" t="s">
        <v>97</v>
      </c>
      <c r="B23" s="6" t="s">
        <v>129</v>
      </c>
      <c r="C23" s="6" t="s">
        <v>130</v>
      </c>
      <c r="D23" s="17">
        <v>0.4</v>
      </c>
      <c r="E23" s="9" t="s">
        <v>100</v>
      </c>
      <c r="F23" s="17" t="s">
        <v>147</v>
      </c>
      <c r="G23" s="6">
        <v>925.4</v>
      </c>
      <c r="H23" s="13">
        <v>20.5</v>
      </c>
      <c r="I23" s="61">
        <v>0.89100000000000001</v>
      </c>
      <c r="J23" s="61">
        <v>2.2749454546600999E-3</v>
      </c>
      <c r="K23" s="58">
        <v>-32.4</v>
      </c>
      <c r="L23" s="10">
        <v>1</v>
      </c>
      <c r="M23" s="9">
        <v>0.997</v>
      </c>
      <c r="N23" s="49">
        <v>18.320135652436736</v>
      </c>
      <c r="O23" s="9" t="e">
        <v>#DIV/0!</v>
      </c>
      <c r="P23" s="29">
        <v>0</v>
      </c>
      <c r="Q23" s="49">
        <v>40.870600000000003</v>
      </c>
      <c r="R23" s="49">
        <v>2.6027300000000002</v>
      </c>
      <c r="S23" s="20" t="s">
        <v>90</v>
      </c>
    </row>
    <row r="24" spans="1:19" x14ac:dyDescent="0.2">
      <c r="A24" s="17" t="s">
        <v>97</v>
      </c>
      <c r="B24" s="6" t="s">
        <v>129</v>
      </c>
      <c r="C24" s="6" t="s">
        <v>130</v>
      </c>
      <c r="D24" s="17">
        <v>0.4</v>
      </c>
      <c r="E24" s="9" t="s">
        <v>100</v>
      </c>
      <c r="F24" s="17" t="s">
        <v>147</v>
      </c>
      <c r="G24" s="6">
        <v>0</v>
      </c>
      <c r="H24" s="13">
        <v>0</v>
      </c>
      <c r="I24" s="61">
        <v>0</v>
      </c>
      <c r="J24" s="61">
        <v>0</v>
      </c>
      <c r="K24" s="58">
        <v>0</v>
      </c>
      <c r="L24" s="10">
        <v>1</v>
      </c>
      <c r="M24" s="9">
        <v>0</v>
      </c>
      <c r="N24" s="49" t="e">
        <v>#DIV/0!</v>
      </c>
      <c r="O24" s="9" t="e">
        <v>#DIV/0!</v>
      </c>
      <c r="P24" s="29" t="s">
        <v>106</v>
      </c>
      <c r="Q24" s="49">
        <v>0</v>
      </c>
      <c r="R24" s="49">
        <v>0</v>
      </c>
      <c r="S24" s="20" t="s">
        <v>104</v>
      </c>
    </row>
    <row r="25" spans="1:19" x14ac:dyDescent="0.2">
      <c r="A25" s="17" t="s">
        <v>97</v>
      </c>
      <c r="B25" s="6" t="s">
        <v>131</v>
      </c>
      <c r="C25" s="6" t="s">
        <v>132</v>
      </c>
      <c r="D25" s="17">
        <v>0.4</v>
      </c>
      <c r="E25" s="9" t="s">
        <v>100</v>
      </c>
      <c r="F25" s="17" t="s">
        <v>148</v>
      </c>
      <c r="G25" s="6">
        <v>2163.8000000000002</v>
      </c>
      <c r="H25" s="13">
        <v>21</v>
      </c>
      <c r="I25" s="61">
        <v>0.76400000000000001</v>
      </c>
      <c r="J25" s="61">
        <v>1.9992019168952602E-3</v>
      </c>
      <c r="K25" s="58">
        <v>-34.200000000000003</v>
      </c>
      <c r="L25" s="10">
        <v>1</v>
      </c>
      <c r="M25" s="9">
        <v>0.99399999999999999</v>
      </c>
      <c r="N25" s="49">
        <v>24.110161450608498</v>
      </c>
      <c r="O25" s="9" t="e">
        <v>#DIV/0!</v>
      </c>
      <c r="P25" s="29">
        <v>0</v>
      </c>
      <c r="Q25" s="49">
        <v>55.177</v>
      </c>
      <c r="R25" s="49">
        <v>2.6699600000000001</v>
      </c>
      <c r="S25" s="20" t="s">
        <v>90</v>
      </c>
    </row>
    <row r="26" spans="1:19" x14ac:dyDescent="0.2">
      <c r="A26" s="17" t="s">
        <v>97</v>
      </c>
      <c r="B26" s="6" t="s">
        <v>131</v>
      </c>
      <c r="C26" s="6" t="s">
        <v>132</v>
      </c>
      <c r="D26" s="17">
        <v>0.4</v>
      </c>
      <c r="E26" s="9" t="s">
        <v>100</v>
      </c>
      <c r="F26" s="17" t="s">
        <v>148</v>
      </c>
      <c r="G26" s="6">
        <v>0</v>
      </c>
      <c r="H26" s="13">
        <v>0</v>
      </c>
      <c r="I26" s="61">
        <v>0</v>
      </c>
      <c r="J26" s="61">
        <v>0</v>
      </c>
      <c r="K26" s="58">
        <v>0</v>
      </c>
      <c r="L26" s="10">
        <v>1</v>
      </c>
      <c r="M26" s="9">
        <v>0</v>
      </c>
      <c r="N26" s="49" t="e">
        <v>#DIV/0!</v>
      </c>
      <c r="O26" s="9" t="e">
        <v>#DIV/0!</v>
      </c>
      <c r="P26" s="29" t="s">
        <v>106</v>
      </c>
      <c r="Q26" s="49">
        <v>0</v>
      </c>
      <c r="R26" s="49">
        <v>0</v>
      </c>
      <c r="S26" s="20" t="s">
        <v>104</v>
      </c>
    </row>
    <row r="27" spans="1:19" x14ac:dyDescent="0.2">
      <c r="A27" s="17" t="s">
        <v>97</v>
      </c>
      <c r="B27" s="6" t="s">
        <v>133</v>
      </c>
      <c r="C27" s="6" t="s">
        <v>134</v>
      </c>
      <c r="D27" s="17">
        <v>0.4</v>
      </c>
      <c r="E27" s="9" t="s">
        <v>100</v>
      </c>
      <c r="F27" s="17" t="s">
        <v>149</v>
      </c>
      <c r="G27" s="6">
        <v>5326.3</v>
      </c>
      <c r="H27" s="13">
        <v>22.7</v>
      </c>
      <c r="I27" s="61">
        <v>0.51500000000000001</v>
      </c>
      <c r="J27" s="61">
        <v>1.4579639715943001E-3</v>
      </c>
      <c r="K27" s="58">
        <v>-35.799999999999997</v>
      </c>
      <c r="L27" s="10">
        <v>1</v>
      </c>
      <c r="M27" s="9">
        <v>0.998</v>
      </c>
      <c r="N27" s="49">
        <v>30.198070132216476</v>
      </c>
      <c r="O27" s="9" t="e">
        <v>#DIV/0!</v>
      </c>
      <c r="P27" s="29">
        <v>0</v>
      </c>
      <c r="Q27" s="49">
        <v>52.531700000000001</v>
      </c>
      <c r="R27" s="49">
        <v>2.0295000000000001</v>
      </c>
      <c r="S27" s="20" t="s">
        <v>90</v>
      </c>
    </row>
    <row r="28" spans="1:19" x14ac:dyDescent="0.2">
      <c r="A28" s="17" t="s">
        <v>97</v>
      </c>
      <c r="B28" s="6" t="s">
        <v>133</v>
      </c>
      <c r="C28" s="6" t="s">
        <v>134</v>
      </c>
      <c r="D28" s="17">
        <v>0.4</v>
      </c>
      <c r="E28" s="9" t="s">
        <v>100</v>
      </c>
      <c r="F28" s="17" t="s">
        <v>149</v>
      </c>
      <c r="G28" s="6">
        <v>0</v>
      </c>
      <c r="H28" s="13">
        <v>0</v>
      </c>
      <c r="I28" s="61">
        <v>0</v>
      </c>
      <c r="J28" s="61">
        <v>0</v>
      </c>
      <c r="K28" s="58">
        <v>0</v>
      </c>
      <c r="L28" s="10">
        <v>1</v>
      </c>
      <c r="M28" s="9">
        <v>0</v>
      </c>
      <c r="N28" s="49" t="e">
        <v>#DIV/0!</v>
      </c>
      <c r="O28" s="9" t="e">
        <v>#DIV/0!</v>
      </c>
      <c r="P28" s="29" t="s">
        <v>106</v>
      </c>
      <c r="Q28" s="49">
        <v>0</v>
      </c>
      <c r="R28" s="49">
        <v>0</v>
      </c>
      <c r="S28" s="20" t="s">
        <v>104</v>
      </c>
    </row>
    <row r="29" spans="1:19" x14ac:dyDescent="0.2">
      <c r="A29" s="17" t="s">
        <v>97</v>
      </c>
      <c r="B29" s="6" t="s">
        <v>135</v>
      </c>
      <c r="C29" s="6" t="s">
        <v>136</v>
      </c>
      <c r="D29" s="17">
        <v>0.4</v>
      </c>
      <c r="E29" s="9" t="s">
        <v>100</v>
      </c>
      <c r="F29" s="17" t="s">
        <v>150</v>
      </c>
      <c r="G29" s="6">
        <v>7301.2</v>
      </c>
      <c r="H29" s="13">
        <v>24</v>
      </c>
      <c r="I29" s="61">
        <v>0.40300000000000002</v>
      </c>
      <c r="J29" s="61">
        <v>1.2020205351173899E-3</v>
      </c>
      <c r="K29" s="58">
        <v>-34.299999999999997</v>
      </c>
      <c r="L29" s="10">
        <v>1</v>
      </c>
      <c r="M29" s="9">
        <v>0.996</v>
      </c>
      <c r="N29" s="49">
        <v>24.617715289594368</v>
      </c>
      <c r="O29" s="9" t="e">
        <v>#DIV/0!</v>
      </c>
      <c r="P29" s="29">
        <v>0</v>
      </c>
      <c r="Q29" s="49">
        <v>50.966900000000003</v>
      </c>
      <c r="R29" s="49">
        <v>2.4153899999999999</v>
      </c>
      <c r="S29" s="20" t="s">
        <v>90</v>
      </c>
    </row>
    <row r="30" spans="1:19" x14ac:dyDescent="0.2">
      <c r="A30" s="17" t="s">
        <v>97</v>
      </c>
      <c r="B30" s="6" t="s">
        <v>135</v>
      </c>
      <c r="C30" s="6" t="s">
        <v>136</v>
      </c>
      <c r="D30" s="17">
        <v>0.4</v>
      </c>
      <c r="E30" s="9" t="s">
        <v>100</v>
      </c>
      <c r="F30" s="17" t="s">
        <v>150</v>
      </c>
      <c r="G30" s="6">
        <v>0</v>
      </c>
      <c r="H30" s="13">
        <v>0</v>
      </c>
      <c r="I30" s="61">
        <v>0</v>
      </c>
      <c r="J30" s="61">
        <v>0</v>
      </c>
      <c r="K30" s="58">
        <v>0</v>
      </c>
      <c r="L30" s="10">
        <v>1</v>
      </c>
      <c r="M30" s="9">
        <v>0</v>
      </c>
      <c r="N30" s="49" t="e">
        <v>#DIV/0!</v>
      </c>
      <c r="O30" s="9" t="e">
        <v>#DIV/0!</v>
      </c>
      <c r="P30" s="29" t="s">
        <v>106</v>
      </c>
      <c r="Q30" s="49">
        <v>0</v>
      </c>
      <c r="R30" s="49">
        <v>0</v>
      </c>
      <c r="S30" s="20" t="s">
        <v>104</v>
      </c>
    </row>
    <row r="31" spans="1:19" x14ac:dyDescent="0.2">
      <c r="A31" s="17" t="s">
        <v>97</v>
      </c>
      <c r="B31" s="6" t="s">
        <v>137</v>
      </c>
      <c r="C31" s="6" t="s">
        <v>138</v>
      </c>
      <c r="D31" s="17">
        <v>0.4</v>
      </c>
      <c r="E31" s="9" t="s">
        <v>100</v>
      </c>
      <c r="F31" s="17" t="s">
        <v>151</v>
      </c>
      <c r="G31" s="6">
        <v>9516.5</v>
      </c>
      <c r="H31" s="13">
        <v>25.7</v>
      </c>
      <c r="I31" s="61">
        <v>0.30599999999999999</v>
      </c>
      <c r="J31" s="61">
        <v>9.7791789359333195E-4</v>
      </c>
      <c r="K31" s="58">
        <v>-33.5</v>
      </c>
      <c r="L31" s="10">
        <v>1</v>
      </c>
      <c r="M31" s="9">
        <v>0.99299999999999999</v>
      </c>
      <c r="N31" s="49">
        <v>20.0451419175665</v>
      </c>
      <c r="O31" s="9" t="e">
        <v>#DIV/0!</v>
      </c>
      <c r="P31" s="29">
        <v>0</v>
      </c>
      <c r="Q31" s="49">
        <v>45.698799999999999</v>
      </c>
      <c r="R31" s="49">
        <v>2.6597599999999999</v>
      </c>
      <c r="S31" s="20" t="s">
        <v>90</v>
      </c>
    </row>
    <row r="32" spans="1:19" x14ac:dyDescent="0.2">
      <c r="A32" s="17" t="s">
        <v>97</v>
      </c>
      <c r="B32" s="6" t="s">
        <v>137</v>
      </c>
      <c r="C32" s="6" t="s">
        <v>138</v>
      </c>
      <c r="D32" s="17">
        <v>0.4</v>
      </c>
      <c r="E32" s="9" t="s">
        <v>100</v>
      </c>
      <c r="F32" s="17" t="s">
        <v>151</v>
      </c>
      <c r="G32" s="6">
        <v>0</v>
      </c>
      <c r="H32" s="13">
        <v>0</v>
      </c>
      <c r="I32" s="61">
        <v>0</v>
      </c>
      <c r="J32" s="61">
        <v>0</v>
      </c>
      <c r="K32" s="58">
        <v>0</v>
      </c>
      <c r="L32" s="10">
        <v>1</v>
      </c>
      <c r="M32" s="9">
        <v>0</v>
      </c>
      <c r="N32" s="49" t="e">
        <v>#DIV/0!</v>
      </c>
      <c r="O32" s="9" t="e">
        <v>#DIV/0!</v>
      </c>
      <c r="P32" s="29" t="s">
        <v>106</v>
      </c>
      <c r="Q32" s="49">
        <v>0</v>
      </c>
      <c r="R32" s="49">
        <v>0</v>
      </c>
      <c r="S32" s="20" t="s">
        <v>104</v>
      </c>
    </row>
  </sheetData>
  <pageMargins left="0.71" right="0.71" top="0.75000000000000011" bottom="0.75000000000000011" header="0.31" footer="0.31"/>
  <pageSetup paperSize="9" orientation="landscape" horizontalDpi="4294967292" verticalDpi="4294967292" r:id="rId1"/>
  <headerFooter>
    <oddHeader>&amp;L&amp;"Calibri,Regular"&amp;K000000&amp;F&amp;C&amp;"Calibri,Regular"&amp;K000000ETH Zurich &amp;D&amp;R&amp;"Calibri,Regular"&amp;K000000Page &amp;P/&amp;N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13"/>
  <sheetViews>
    <sheetView workbookViewId="0">
      <selection activeCell="J37" sqref="J37"/>
    </sheetView>
  </sheetViews>
  <sheetFormatPr baseColWidth="10" defaultColWidth="9.1640625" defaultRowHeight="15" x14ac:dyDescent="0.2"/>
  <cols>
    <col min="1" max="1" width="22.33203125" style="17" customWidth="1"/>
    <col min="2" max="2" width="15.1640625" style="17" customWidth="1"/>
    <col min="3" max="3" width="15.83203125" style="17" customWidth="1"/>
    <col min="4" max="16384" width="9.1640625" style="17"/>
  </cols>
  <sheetData>
    <row r="3" spans="1:3" s="33" customFormat="1" x14ac:dyDescent="0.2">
      <c r="B3" s="33" t="s">
        <v>56</v>
      </c>
    </row>
    <row r="4" spans="1:3" x14ac:dyDescent="0.2">
      <c r="A4" s="17" t="s">
        <v>57</v>
      </c>
      <c r="B4" s="17" t="s">
        <v>58</v>
      </c>
      <c r="C4" s="17" t="s">
        <v>59</v>
      </c>
    </row>
    <row r="5" spans="1:3" x14ac:dyDescent="0.2">
      <c r="A5" s="17" t="s">
        <v>60</v>
      </c>
      <c r="B5" s="17" t="s">
        <v>61</v>
      </c>
    </row>
    <row r="6" spans="1:3" x14ac:dyDescent="0.2">
      <c r="A6" s="17" t="s">
        <v>62</v>
      </c>
      <c r="B6" s="17" t="s">
        <v>63</v>
      </c>
      <c r="C6" s="17" t="s">
        <v>64</v>
      </c>
    </row>
    <row r="7" spans="1:3" x14ac:dyDescent="0.2">
      <c r="A7" s="17" t="s">
        <v>65</v>
      </c>
      <c r="B7" s="17" t="s">
        <v>66</v>
      </c>
      <c r="C7" s="17" t="s">
        <v>67</v>
      </c>
    </row>
    <row r="8" spans="1:3" x14ac:dyDescent="0.2">
      <c r="A8" s="17" t="s">
        <v>68</v>
      </c>
      <c r="B8" s="17" t="s">
        <v>69</v>
      </c>
      <c r="C8" s="17" t="s">
        <v>70</v>
      </c>
    </row>
    <row r="9" spans="1:3" x14ac:dyDescent="0.2">
      <c r="A9" s="17" t="s">
        <v>71</v>
      </c>
      <c r="B9" s="17" t="s">
        <v>72</v>
      </c>
    </row>
    <row r="10" spans="1:3" x14ac:dyDescent="0.2">
      <c r="A10" s="17" t="s">
        <v>73</v>
      </c>
      <c r="B10" s="17" t="s">
        <v>73</v>
      </c>
      <c r="C10" s="17" t="s">
        <v>74</v>
      </c>
    </row>
    <row r="11" spans="1:3" x14ac:dyDescent="0.2">
      <c r="A11" s="17" t="s">
        <v>75</v>
      </c>
      <c r="B11" s="17" t="s">
        <v>75</v>
      </c>
      <c r="C11" s="17" t="s">
        <v>76</v>
      </c>
    </row>
    <row r="12" spans="1:3" x14ac:dyDescent="0.2">
      <c r="A12" s="17" t="s">
        <v>77</v>
      </c>
      <c r="B12" s="17" t="s">
        <v>78</v>
      </c>
      <c r="C12" s="17" t="s">
        <v>79</v>
      </c>
    </row>
    <row r="13" spans="1:3" x14ac:dyDescent="0.2">
      <c r="A13" s="17" t="s">
        <v>80</v>
      </c>
      <c r="B13" s="17" t="s">
        <v>81</v>
      </c>
      <c r="C13" s="17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view="pageBreakPreview" zoomScale="110" zoomScaleNormal="100" zoomScaleSheetLayoutView="110" workbookViewId="0">
      <selection activeCell="E27" sqref="E27"/>
    </sheetView>
  </sheetViews>
  <sheetFormatPr baseColWidth="10" defaultColWidth="8.83203125" defaultRowHeight="15" x14ac:dyDescent="0.2"/>
  <cols>
    <col min="1" max="1" width="12.5" style="17" customWidth="1"/>
    <col min="2" max="8" width="8.83203125" style="17"/>
    <col min="9" max="9" width="8.83203125" style="17" customWidth="1"/>
    <col min="10" max="16384" width="8.83203125" style="17"/>
  </cols>
  <sheetData>
    <row r="1" spans="1:8" s="34" customFormat="1" ht="16" x14ac:dyDescent="0.2">
      <c r="A1" s="34" t="s">
        <v>48</v>
      </c>
      <c r="G1" s="35"/>
      <c r="H1" s="36"/>
    </row>
    <row r="2" spans="1:8" s="34" customFormat="1" ht="16" x14ac:dyDescent="0.2">
      <c r="A2" s="34" t="s">
        <v>49</v>
      </c>
      <c r="G2" s="35"/>
      <c r="H2" s="36"/>
    </row>
    <row r="3" spans="1:8" s="34" customFormat="1" ht="16" x14ac:dyDescent="0.2">
      <c r="B3" s="34" t="s">
        <v>50</v>
      </c>
      <c r="G3" s="35"/>
      <c r="H3" s="36"/>
    </row>
    <row r="4" spans="1:8" s="34" customFormat="1" ht="16" x14ac:dyDescent="0.2">
      <c r="A4" s="37" t="s">
        <v>25</v>
      </c>
    </row>
    <row r="5" spans="1:8" s="34" customFormat="1" ht="16" x14ac:dyDescent="0.2">
      <c r="A5" s="38" t="s">
        <v>34</v>
      </c>
    </row>
    <row r="6" spans="1:8" s="34" customFormat="1" ht="16" x14ac:dyDescent="0.2">
      <c r="A6" s="38" t="s">
        <v>35</v>
      </c>
    </row>
    <row r="7" spans="1:8" s="34" customFormat="1" ht="16" x14ac:dyDescent="0.2">
      <c r="A7" s="38" t="s">
        <v>26</v>
      </c>
    </row>
    <row r="8" spans="1:8" s="34" customFormat="1" ht="16" x14ac:dyDescent="0.2">
      <c r="A8" s="38" t="s">
        <v>51</v>
      </c>
    </row>
    <row r="9" spans="1:8" s="34" customFormat="1" ht="16" x14ac:dyDescent="0.2">
      <c r="A9" s="38"/>
    </row>
    <row r="10" spans="1:8" s="34" customFormat="1" ht="16" x14ac:dyDescent="0.2">
      <c r="A10" s="39" t="s">
        <v>31</v>
      </c>
    </row>
    <row r="11" spans="1:8" s="34" customFormat="1" ht="16" x14ac:dyDescent="0.2">
      <c r="A11" s="40" t="s">
        <v>52</v>
      </c>
      <c r="B11" s="41"/>
      <c r="C11" s="41"/>
      <c r="D11" s="41"/>
      <c r="E11" s="41"/>
      <c r="F11" s="41"/>
      <c r="G11" s="41"/>
      <c r="H11" s="41"/>
    </row>
    <row r="12" spans="1:8" s="34" customFormat="1" ht="16" x14ac:dyDescent="0.2">
      <c r="A12" s="42" t="s">
        <v>53</v>
      </c>
      <c r="B12" s="41"/>
      <c r="C12" s="41"/>
      <c r="D12" s="41"/>
      <c r="E12" s="41"/>
      <c r="F12" s="41"/>
      <c r="G12" s="41"/>
      <c r="H12" s="41"/>
    </row>
    <row r="13" spans="1:8" s="34" customFormat="1" ht="16" x14ac:dyDescent="0.2">
      <c r="A13" s="38" t="s">
        <v>27</v>
      </c>
    </row>
    <row r="14" spans="1:8" s="34" customFormat="1" ht="16" x14ac:dyDescent="0.2">
      <c r="A14" s="38"/>
    </row>
    <row r="15" spans="1:8" s="34" customFormat="1" ht="16" x14ac:dyDescent="0.2">
      <c r="A15" s="38"/>
    </row>
    <row r="16" spans="1:8" ht="16" x14ac:dyDescent="0.2">
      <c r="A16" s="40" t="s">
        <v>54</v>
      </c>
      <c r="G16" s="40"/>
    </row>
    <row r="17" spans="1:1" x14ac:dyDescent="0.2">
      <c r="A17" s="43" t="s">
        <v>55</v>
      </c>
    </row>
    <row r="18" spans="1:1" s="34" customFormat="1" ht="16" x14ac:dyDescent="0.2">
      <c r="A18" s="44"/>
    </row>
    <row r="19" spans="1:1" s="34" customFormat="1" ht="16" x14ac:dyDescent="0.2">
      <c r="A19" s="45" t="s">
        <v>30</v>
      </c>
    </row>
    <row r="20" spans="1:1" s="34" customFormat="1" ht="16" x14ac:dyDescent="0.2">
      <c r="A20" s="46" t="s">
        <v>28</v>
      </c>
    </row>
    <row r="21" spans="1:1" s="34" customFormat="1" ht="16" x14ac:dyDescent="0.2">
      <c r="A21" s="46" t="s">
        <v>29</v>
      </c>
    </row>
    <row r="22" spans="1:1" s="34" customFormat="1" ht="16" x14ac:dyDescent="0.2">
      <c r="A22" s="47" t="s">
        <v>32</v>
      </c>
    </row>
    <row r="23" spans="1:1" s="34" customFormat="1" ht="16" x14ac:dyDescent="0.2">
      <c r="A23" s="34" t="s">
        <v>33</v>
      </c>
    </row>
    <row r="24" spans="1:1" s="34" customFormat="1" ht="16" x14ac:dyDescent="0.2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1"/>
  <sheetViews>
    <sheetView zoomScaleNormal="100" workbookViewId="0">
      <selection sqref="A1:AB31"/>
    </sheetView>
  </sheetViews>
  <sheetFormatPr baseColWidth="10" defaultColWidth="8.5" defaultRowHeight="15" x14ac:dyDescent="0.2"/>
  <cols>
    <col min="1" max="1" width="7.5" customWidth="1"/>
    <col min="2" max="2" width="4.6640625" customWidth="1"/>
    <col min="3" max="3" width="5.1640625" style="32" customWidth="1"/>
    <col min="4" max="4" width="12.1640625" customWidth="1"/>
    <col min="5" max="5" width="8.5" style="6" customWidth="1"/>
    <col min="6" max="6" width="17" style="6" customWidth="1"/>
    <col min="7" max="7" width="15.5" style="9" customWidth="1"/>
    <col min="8" max="8" width="8.5" style="15" customWidth="1"/>
    <col min="9" max="9" width="9.83203125" style="26" customWidth="1"/>
    <col min="10" max="10" width="18.83203125" style="26" customWidth="1"/>
    <col min="11" max="11" width="8.5" customWidth="1"/>
    <col min="12" max="12" width="7.5" customWidth="1"/>
    <col min="13" max="13" width="17.33203125" customWidth="1"/>
    <col min="14" max="14" width="9.6640625" customWidth="1"/>
    <col min="16" max="16" width="5.6640625" customWidth="1"/>
    <col min="17" max="17" width="12.1640625" customWidth="1"/>
    <col min="18" max="18" width="15.6640625" customWidth="1"/>
    <col min="19" max="19" width="12.33203125" style="6" customWidth="1"/>
    <col min="20" max="20" width="12.6640625" style="49" customWidth="1"/>
    <col min="21" max="21" width="10.6640625" customWidth="1"/>
    <col min="22" max="22" width="12.1640625" customWidth="1"/>
    <col min="23" max="23" width="10.33203125" style="9" customWidth="1"/>
  </cols>
  <sheetData>
    <row r="1" spans="1:28" s="18" customFormat="1" ht="32" x14ac:dyDescent="0.2">
      <c r="A1" s="18" t="s">
        <v>0</v>
      </c>
      <c r="B1" s="18" t="s">
        <v>1</v>
      </c>
      <c r="C1" s="31" t="s">
        <v>2</v>
      </c>
      <c r="D1" s="18" t="s">
        <v>3</v>
      </c>
      <c r="E1" s="21" t="s">
        <v>4</v>
      </c>
      <c r="F1" s="21" t="s">
        <v>5</v>
      </c>
      <c r="G1" s="24" t="s">
        <v>6</v>
      </c>
      <c r="H1" s="30" t="s">
        <v>7</v>
      </c>
      <c r="I1" s="25" t="s">
        <v>8</v>
      </c>
      <c r="J1" s="25" t="s">
        <v>9</v>
      </c>
      <c r="K1" s="18" t="s">
        <v>10</v>
      </c>
      <c r="L1" s="18" t="s">
        <v>46</v>
      </c>
      <c r="M1" s="18" t="s">
        <v>24</v>
      </c>
      <c r="N1" s="18" t="s">
        <v>21</v>
      </c>
      <c r="O1" s="18" t="s">
        <v>36</v>
      </c>
      <c r="P1" s="18" t="s">
        <v>37</v>
      </c>
      <c r="Q1" s="18" t="s">
        <v>43</v>
      </c>
      <c r="R1" s="18" t="s">
        <v>44</v>
      </c>
      <c r="S1" s="21" t="s">
        <v>41</v>
      </c>
      <c r="T1" s="48" t="s">
        <v>42</v>
      </c>
      <c r="U1" s="18" t="s">
        <v>47</v>
      </c>
      <c r="V1" s="18" t="s">
        <v>83</v>
      </c>
      <c r="W1" s="24" t="s">
        <v>84</v>
      </c>
      <c r="X1" s="18" t="s">
        <v>85</v>
      </c>
      <c r="Y1" s="18" t="s">
        <v>86</v>
      </c>
      <c r="Z1" s="18" t="s">
        <v>87</v>
      </c>
      <c r="AA1" s="18" t="s">
        <v>88</v>
      </c>
      <c r="AB1" s="18" t="s">
        <v>89</v>
      </c>
    </row>
    <row r="2" spans="1:28" x14ac:dyDescent="0.2">
      <c r="A2" s="17">
        <v>95347</v>
      </c>
      <c r="B2" s="17">
        <v>1</v>
      </c>
      <c r="C2" s="32" t="s">
        <v>93</v>
      </c>
      <c r="D2" s="17" t="s">
        <v>97</v>
      </c>
      <c r="E2" s="6" t="s">
        <v>98</v>
      </c>
      <c r="F2" s="6" t="s">
        <v>99</v>
      </c>
      <c r="G2" s="9" t="s">
        <v>100</v>
      </c>
      <c r="H2" s="15">
        <v>124.7</v>
      </c>
      <c r="I2" s="26">
        <v>21.6</v>
      </c>
      <c r="J2" s="26">
        <v>-3.32E-2</v>
      </c>
      <c r="K2">
        <v>0.98499999999999999</v>
      </c>
      <c r="L2">
        <v>2.6417326035415899E-3</v>
      </c>
      <c r="M2" t="s">
        <v>101</v>
      </c>
      <c r="N2" s="33">
        <v>0.4</v>
      </c>
      <c r="O2">
        <v>1980</v>
      </c>
      <c r="P2">
        <v>993</v>
      </c>
      <c r="Q2">
        <v>44.168199999999999</v>
      </c>
      <c r="R2">
        <v>4.1884600000000001</v>
      </c>
      <c r="S2" s="6">
        <v>34</v>
      </c>
      <c r="T2" s="49" t="s">
        <v>102</v>
      </c>
      <c r="U2" t="s">
        <v>102</v>
      </c>
      <c r="V2" t="s">
        <v>103</v>
      </c>
      <c r="Z2" t="s">
        <v>104</v>
      </c>
    </row>
    <row r="3" spans="1:28" x14ac:dyDescent="0.2">
      <c r="A3" s="17">
        <v>95347</v>
      </c>
      <c r="B3" s="17">
        <v>2</v>
      </c>
      <c r="C3" s="32" t="s">
        <v>93</v>
      </c>
      <c r="D3" s="17" t="s">
        <v>97</v>
      </c>
      <c r="E3" s="6" t="s">
        <v>98</v>
      </c>
      <c r="F3" s="6" t="s">
        <v>99</v>
      </c>
      <c r="G3" s="9" t="s">
        <v>100</v>
      </c>
      <c r="H3" s="15">
        <v>157.5</v>
      </c>
      <c r="I3" s="26">
        <v>22</v>
      </c>
      <c r="J3" s="26">
        <v>-2.8400000000000002E-2</v>
      </c>
      <c r="K3" s="17">
        <v>0.98099999999999998</v>
      </c>
      <c r="L3" s="17">
        <v>2.68949247281114E-3</v>
      </c>
      <c r="M3" s="17" t="s">
        <v>101</v>
      </c>
      <c r="N3">
        <v>0.4</v>
      </c>
      <c r="O3">
        <v>1544</v>
      </c>
      <c r="P3">
        <v>997</v>
      </c>
      <c r="Q3">
        <v>48.375900000000001</v>
      </c>
      <c r="R3">
        <v>5.0618299999999996</v>
      </c>
      <c r="S3" s="6">
        <v>19</v>
      </c>
      <c r="T3" s="49" t="s">
        <v>105</v>
      </c>
      <c r="U3" t="s">
        <v>105</v>
      </c>
      <c r="V3" t="s">
        <v>106</v>
      </c>
      <c r="Z3" t="s">
        <v>104</v>
      </c>
    </row>
    <row r="4" spans="1:28" x14ac:dyDescent="0.2">
      <c r="A4" s="17">
        <v>95347</v>
      </c>
      <c r="B4" s="17">
        <v>3</v>
      </c>
      <c r="C4" s="32" t="s">
        <v>93</v>
      </c>
      <c r="D4" s="17" t="s">
        <v>97</v>
      </c>
      <c r="E4" s="6" t="s">
        <v>98</v>
      </c>
      <c r="F4" s="6" t="s">
        <v>99</v>
      </c>
      <c r="G4" s="9" t="s">
        <v>100</v>
      </c>
      <c r="H4" s="15">
        <v>165.3</v>
      </c>
      <c r="I4" s="26">
        <v>27.3</v>
      </c>
      <c r="J4" s="26">
        <v>-2.52E-2</v>
      </c>
      <c r="K4" s="17">
        <v>0.98</v>
      </c>
      <c r="L4" s="17">
        <v>3.3343479745133798E-3</v>
      </c>
      <c r="M4" s="17" t="s">
        <v>101</v>
      </c>
      <c r="N4" s="17">
        <v>0.4</v>
      </c>
      <c r="O4" s="17">
        <v>477</v>
      </c>
      <c r="P4">
        <v>477</v>
      </c>
      <c r="Q4">
        <v>47.4236</v>
      </c>
      <c r="R4">
        <v>3.0062899999999999</v>
      </c>
      <c r="S4" s="6">
        <v>14</v>
      </c>
      <c r="T4" s="49" t="s">
        <v>107</v>
      </c>
      <c r="U4" t="s">
        <v>108</v>
      </c>
      <c r="V4" t="s">
        <v>109</v>
      </c>
    </row>
    <row r="5" spans="1:28" x14ac:dyDescent="0.2">
      <c r="A5" s="17">
        <v>95348</v>
      </c>
      <c r="B5" s="17">
        <v>1</v>
      </c>
      <c r="C5" s="32" t="s">
        <v>93</v>
      </c>
      <c r="D5" s="17" t="s">
        <v>97</v>
      </c>
      <c r="E5" s="6" t="s">
        <v>110</v>
      </c>
      <c r="F5" s="6" t="s">
        <v>111</v>
      </c>
      <c r="G5" s="9" t="s">
        <v>100</v>
      </c>
      <c r="H5" s="15">
        <v>563.9</v>
      </c>
      <c r="I5" s="26">
        <v>21.7</v>
      </c>
      <c r="J5" s="26">
        <v>-3.2000000000000001E-2</v>
      </c>
      <c r="K5" s="17">
        <v>0.93200000000000005</v>
      </c>
      <c r="L5" s="17">
        <v>2.51935068308673E-3</v>
      </c>
      <c r="M5" s="17" t="s">
        <v>112</v>
      </c>
      <c r="N5" s="17">
        <v>0.4</v>
      </c>
      <c r="O5" s="17">
        <v>1918</v>
      </c>
      <c r="P5">
        <v>988</v>
      </c>
      <c r="Q5">
        <v>21.016100000000002</v>
      </c>
      <c r="R5">
        <v>2.0740099999999999</v>
      </c>
      <c r="S5" s="6">
        <v>35</v>
      </c>
      <c r="T5" s="49" t="s">
        <v>102</v>
      </c>
      <c r="U5" t="s">
        <v>102</v>
      </c>
      <c r="V5" t="s">
        <v>103</v>
      </c>
      <c r="Z5" t="s">
        <v>104</v>
      </c>
    </row>
    <row r="6" spans="1:28" x14ac:dyDescent="0.2">
      <c r="A6" s="17">
        <v>95348</v>
      </c>
      <c r="B6" s="17">
        <v>2</v>
      </c>
      <c r="C6" s="32" t="s">
        <v>93</v>
      </c>
      <c r="D6" s="17" t="s">
        <v>97</v>
      </c>
      <c r="E6" s="6" t="s">
        <v>110</v>
      </c>
      <c r="F6" s="6" t="s">
        <v>111</v>
      </c>
      <c r="G6" s="9" t="s">
        <v>100</v>
      </c>
      <c r="H6" s="15">
        <v>543.20000000000005</v>
      </c>
      <c r="I6" s="26">
        <v>20.399999999999999</v>
      </c>
      <c r="J6" s="26">
        <v>-2.7099999999999999E-2</v>
      </c>
      <c r="K6" s="17">
        <v>0.93500000000000005</v>
      </c>
      <c r="L6" s="17">
        <v>2.3698662924604499E-3</v>
      </c>
      <c r="M6" s="17" t="s">
        <v>112</v>
      </c>
      <c r="N6" s="17">
        <v>0.4</v>
      </c>
      <c r="O6" s="17">
        <v>1651</v>
      </c>
      <c r="P6">
        <v>997</v>
      </c>
      <c r="Q6">
        <v>52.890999999999998</v>
      </c>
      <c r="R6">
        <v>5.6209800000000003</v>
      </c>
      <c r="S6" s="6">
        <v>17</v>
      </c>
      <c r="T6" s="49" t="s">
        <v>113</v>
      </c>
      <c r="U6" t="s">
        <v>113</v>
      </c>
      <c r="V6" t="s">
        <v>106</v>
      </c>
      <c r="Z6" t="s">
        <v>104</v>
      </c>
    </row>
    <row r="7" spans="1:28" x14ac:dyDescent="0.2">
      <c r="A7" s="17">
        <v>95349</v>
      </c>
      <c r="B7" s="17">
        <v>1</v>
      </c>
      <c r="C7" s="32" t="s">
        <v>93</v>
      </c>
      <c r="D7" s="17" t="s">
        <v>97</v>
      </c>
      <c r="E7" s="6" t="s">
        <v>114</v>
      </c>
      <c r="F7" s="6" t="s">
        <v>115</v>
      </c>
      <c r="G7" s="9" t="s">
        <v>100</v>
      </c>
      <c r="H7" s="15">
        <v>1080</v>
      </c>
      <c r="I7" s="26">
        <v>21.9</v>
      </c>
      <c r="J7" s="26">
        <v>-2.86E-2</v>
      </c>
      <c r="K7" s="17">
        <v>0.874</v>
      </c>
      <c r="L7" s="17">
        <v>2.3812174327112901E-3</v>
      </c>
      <c r="M7" s="17" t="s">
        <v>112</v>
      </c>
      <c r="N7" s="17">
        <v>0.4</v>
      </c>
      <c r="O7" s="17">
        <v>1738</v>
      </c>
      <c r="P7">
        <v>996</v>
      </c>
      <c r="Q7">
        <v>10.314500000000001</v>
      </c>
      <c r="R7">
        <v>0.57937700000000003</v>
      </c>
      <c r="S7" s="6">
        <v>36</v>
      </c>
      <c r="T7" s="49" t="s">
        <v>102</v>
      </c>
      <c r="U7" t="s">
        <v>102</v>
      </c>
      <c r="V7" t="s">
        <v>103</v>
      </c>
      <c r="Z7" t="s">
        <v>104</v>
      </c>
    </row>
    <row r="8" spans="1:28" x14ac:dyDescent="0.2">
      <c r="A8" s="17">
        <v>95349</v>
      </c>
      <c r="B8" s="17">
        <v>2</v>
      </c>
      <c r="C8" s="32" t="s">
        <v>93</v>
      </c>
      <c r="D8" s="17" t="s">
        <v>97</v>
      </c>
      <c r="E8" s="6" t="s">
        <v>114</v>
      </c>
      <c r="F8" s="6" t="s">
        <v>115</v>
      </c>
      <c r="G8" s="9" t="s">
        <v>100</v>
      </c>
      <c r="H8" s="15">
        <v>1110.9000000000001</v>
      </c>
      <c r="I8" s="26">
        <v>20.5</v>
      </c>
      <c r="J8" s="26">
        <v>-2.7099999999999999E-2</v>
      </c>
      <c r="K8" s="17">
        <v>0.871</v>
      </c>
      <c r="L8" s="17">
        <v>2.2249237778812002E-3</v>
      </c>
      <c r="M8" s="17" t="s">
        <v>112</v>
      </c>
      <c r="N8" s="17">
        <v>0.4</v>
      </c>
      <c r="O8" s="17">
        <v>1440</v>
      </c>
      <c r="P8">
        <v>993</v>
      </c>
      <c r="Q8">
        <v>51.028599999999997</v>
      </c>
      <c r="R8">
        <v>4.16601</v>
      </c>
      <c r="S8" s="6">
        <v>18</v>
      </c>
      <c r="T8" s="49" t="s">
        <v>113</v>
      </c>
      <c r="U8" t="s">
        <v>113</v>
      </c>
      <c r="V8" t="s">
        <v>106</v>
      </c>
      <c r="Z8" t="s">
        <v>104</v>
      </c>
    </row>
    <row r="9" spans="1:28" x14ac:dyDescent="0.2">
      <c r="A9" s="17">
        <v>95350</v>
      </c>
      <c r="B9" s="17">
        <v>1</v>
      </c>
      <c r="C9" s="32" t="s">
        <v>93</v>
      </c>
      <c r="D9" s="17" t="s">
        <v>97</v>
      </c>
      <c r="E9" s="6" t="s">
        <v>116</v>
      </c>
      <c r="F9" s="6" t="s">
        <v>117</v>
      </c>
      <c r="G9" s="9" t="s">
        <v>100</v>
      </c>
      <c r="H9" s="15">
        <v>3035.8</v>
      </c>
      <c r="I9" s="26">
        <v>22.8</v>
      </c>
      <c r="J9" s="26">
        <v>-3.4299999999999997E-2</v>
      </c>
      <c r="K9" s="17">
        <v>0.68500000000000005</v>
      </c>
      <c r="L9" s="17">
        <v>1.9465142440199901E-3</v>
      </c>
      <c r="M9" s="17" t="s">
        <v>112</v>
      </c>
      <c r="N9" s="17">
        <v>0.4</v>
      </c>
      <c r="O9" s="17">
        <v>2036</v>
      </c>
      <c r="P9">
        <v>993</v>
      </c>
      <c r="Q9">
        <v>56.105499999999999</v>
      </c>
      <c r="R9">
        <v>2.5673900000000001</v>
      </c>
      <c r="S9" s="6">
        <v>37</v>
      </c>
      <c r="T9" s="49" t="s">
        <v>102</v>
      </c>
      <c r="U9" t="s">
        <v>102</v>
      </c>
      <c r="V9" t="s">
        <v>103</v>
      </c>
      <c r="Z9" t="s">
        <v>104</v>
      </c>
    </row>
    <row r="10" spans="1:28" x14ac:dyDescent="0.2">
      <c r="A10" s="17">
        <v>95350</v>
      </c>
      <c r="B10" s="17">
        <v>2</v>
      </c>
      <c r="C10" s="32" t="s">
        <v>93</v>
      </c>
      <c r="D10" s="17" t="s">
        <v>97</v>
      </c>
      <c r="E10" s="6" t="s">
        <v>116</v>
      </c>
      <c r="F10" s="6" t="s">
        <v>117</v>
      </c>
      <c r="G10" s="9" t="s">
        <v>100</v>
      </c>
      <c r="H10" s="15">
        <v>3039.6</v>
      </c>
      <c r="I10" s="26">
        <v>21.1</v>
      </c>
      <c r="J10" s="26">
        <v>-2.6599999999999999E-2</v>
      </c>
      <c r="K10" s="17">
        <v>0.68500000000000005</v>
      </c>
      <c r="L10" s="17">
        <v>1.7965519525103199E-3</v>
      </c>
      <c r="M10" s="17" t="s">
        <v>112</v>
      </c>
      <c r="N10" s="17">
        <v>0.4</v>
      </c>
      <c r="O10" s="17">
        <v>1630</v>
      </c>
      <c r="P10">
        <v>999</v>
      </c>
      <c r="Q10">
        <v>54.325499999999998</v>
      </c>
      <c r="R10">
        <v>4.1358100000000002</v>
      </c>
      <c r="S10" s="6">
        <v>19</v>
      </c>
      <c r="T10" s="49" t="s">
        <v>113</v>
      </c>
      <c r="U10" t="s">
        <v>113</v>
      </c>
      <c r="V10" t="s">
        <v>106</v>
      </c>
      <c r="Z10" t="s">
        <v>104</v>
      </c>
    </row>
    <row r="11" spans="1:28" x14ac:dyDescent="0.2">
      <c r="A11" s="17">
        <v>95351</v>
      </c>
      <c r="B11" s="17">
        <v>1</v>
      </c>
      <c r="C11" s="32" t="s">
        <v>93</v>
      </c>
      <c r="D11" s="17" t="s">
        <v>97</v>
      </c>
      <c r="E11" s="6" t="s">
        <v>118</v>
      </c>
      <c r="F11" s="6" t="s">
        <v>119</v>
      </c>
      <c r="G11" s="9" t="s">
        <v>100</v>
      </c>
      <c r="H11" s="15">
        <v>3972.3</v>
      </c>
      <c r="I11" s="26">
        <v>26.6</v>
      </c>
      <c r="J11" s="26">
        <v>-3.3399999999999999E-2</v>
      </c>
      <c r="K11" s="17">
        <v>0.61</v>
      </c>
      <c r="L11" s="17">
        <v>2.0189765253427702E-3</v>
      </c>
      <c r="M11" s="17" t="s">
        <v>112</v>
      </c>
      <c r="N11" s="17">
        <v>0.4</v>
      </c>
      <c r="O11" s="17">
        <v>2009</v>
      </c>
      <c r="P11">
        <v>995</v>
      </c>
      <c r="Q11">
        <v>51.569899999999997</v>
      </c>
      <c r="R11">
        <v>2.4735999999999998</v>
      </c>
      <c r="S11" s="6">
        <v>13</v>
      </c>
      <c r="T11" s="49" t="s">
        <v>120</v>
      </c>
      <c r="U11" t="s">
        <v>120</v>
      </c>
      <c r="V11" t="s">
        <v>103</v>
      </c>
      <c r="Z11" t="s">
        <v>104</v>
      </c>
    </row>
    <row r="12" spans="1:28" ht="13.5" customHeight="1" x14ac:dyDescent="0.2">
      <c r="A12" s="17">
        <v>95351</v>
      </c>
      <c r="B12" s="17">
        <v>2</v>
      </c>
      <c r="C12" s="32" t="s">
        <v>93</v>
      </c>
      <c r="D12" s="17" t="s">
        <v>97</v>
      </c>
      <c r="E12" s="6" t="s">
        <v>118</v>
      </c>
      <c r="F12" s="6" t="s">
        <v>119</v>
      </c>
      <c r="G12" s="9" t="s">
        <v>100</v>
      </c>
      <c r="H12" s="15">
        <v>3958.9</v>
      </c>
      <c r="I12" s="26">
        <v>21.4</v>
      </c>
      <c r="J12" s="26">
        <v>-2.7E-2</v>
      </c>
      <c r="K12" s="17">
        <v>0.61099999999999999</v>
      </c>
      <c r="L12" s="17">
        <v>1.6277936063287799E-3</v>
      </c>
      <c r="M12" s="17" t="s">
        <v>112</v>
      </c>
      <c r="N12" s="17">
        <v>0.4</v>
      </c>
      <c r="O12" s="17">
        <v>1458</v>
      </c>
      <c r="P12">
        <v>997</v>
      </c>
      <c r="Q12">
        <v>52.010100000000001</v>
      </c>
      <c r="R12">
        <v>4.1015499999999996</v>
      </c>
      <c r="S12" s="6">
        <v>21</v>
      </c>
      <c r="T12" s="49" t="s">
        <v>113</v>
      </c>
      <c r="U12" t="s">
        <v>113</v>
      </c>
      <c r="V12" t="s">
        <v>106</v>
      </c>
      <c r="Z12" t="s">
        <v>104</v>
      </c>
    </row>
    <row r="13" spans="1:28" ht="13.5" customHeight="1" x14ac:dyDescent="0.2">
      <c r="A13">
        <v>95351</v>
      </c>
      <c r="B13">
        <v>3</v>
      </c>
      <c r="C13" s="32" t="s">
        <v>93</v>
      </c>
      <c r="D13" t="s">
        <v>97</v>
      </c>
      <c r="E13" s="6" t="s">
        <v>118</v>
      </c>
      <c r="F13" s="6" t="s">
        <v>119</v>
      </c>
      <c r="G13" s="9" t="s">
        <v>100</v>
      </c>
      <c r="H13" s="15">
        <v>3798.5</v>
      </c>
      <c r="I13" s="26">
        <v>23.2</v>
      </c>
      <c r="J13" s="26">
        <v>-2.6499999999999999E-2</v>
      </c>
      <c r="K13" s="17">
        <v>0.623</v>
      </c>
      <c r="L13" s="17">
        <v>1.79670313361025E-3</v>
      </c>
      <c r="M13" s="17" t="s">
        <v>112</v>
      </c>
      <c r="N13" s="17">
        <v>0.4</v>
      </c>
      <c r="O13" s="17">
        <v>1080</v>
      </c>
      <c r="P13">
        <v>980</v>
      </c>
      <c r="Q13">
        <v>52.248600000000003</v>
      </c>
      <c r="R13">
        <v>2.4622199999999999</v>
      </c>
      <c r="S13" s="6">
        <v>29</v>
      </c>
      <c r="T13" s="49" t="s">
        <v>102</v>
      </c>
      <c r="U13" t="s">
        <v>102</v>
      </c>
      <c r="V13" t="s">
        <v>121</v>
      </c>
    </row>
    <row r="14" spans="1:28" ht="13.5" customHeight="1" x14ac:dyDescent="0.2">
      <c r="A14">
        <v>95351</v>
      </c>
      <c r="B14">
        <v>4</v>
      </c>
      <c r="C14" s="32" t="s">
        <v>93</v>
      </c>
      <c r="D14" t="s">
        <v>97</v>
      </c>
      <c r="E14" s="6" t="s">
        <v>118</v>
      </c>
      <c r="F14" s="6" t="s">
        <v>119</v>
      </c>
      <c r="G14" s="9" t="s">
        <v>100</v>
      </c>
      <c r="H14" s="15">
        <v>3970.4</v>
      </c>
      <c r="I14" s="26">
        <v>26.9</v>
      </c>
      <c r="J14" s="26">
        <v>-2.9000000000000001E-2</v>
      </c>
      <c r="K14" s="17">
        <v>0.61</v>
      </c>
      <c r="L14" s="17">
        <v>2.0410875137588502E-3</v>
      </c>
      <c r="M14" s="17" t="s">
        <v>112</v>
      </c>
      <c r="N14" s="17">
        <v>0.4</v>
      </c>
      <c r="O14" s="17">
        <v>486</v>
      </c>
      <c r="P14">
        <v>486</v>
      </c>
      <c r="Q14">
        <v>57.478499999999997</v>
      </c>
      <c r="R14">
        <v>4.0654599999999999</v>
      </c>
      <c r="S14" s="6">
        <v>14</v>
      </c>
      <c r="T14" s="49" t="s">
        <v>120</v>
      </c>
      <c r="U14" t="s">
        <v>120</v>
      </c>
      <c r="V14" t="s">
        <v>122</v>
      </c>
    </row>
    <row r="15" spans="1:28" ht="13.5" customHeight="1" x14ac:dyDescent="0.2">
      <c r="A15">
        <v>95352</v>
      </c>
      <c r="B15">
        <v>1</v>
      </c>
      <c r="C15" s="32" t="s">
        <v>93</v>
      </c>
      <c r="D15" t="s">
        <v>97</v>
      </c>
      <c r="E15" s="6" t="s">
        <v>123</v>
      </c>
      <c r="F15" s="6" t="s">
        <v>124</v>
      </c>
      <c r="G15" s="9" t="s">
        <v>100</v>
      </c>
      <c r="H15" s="15">
        <v>4428.2</v>
      </c>
      <c r="I15" s="26">
        <v>27.2</v>
      </c>
      <c r="J15" s="26">
        <v>-3.3799999999999997E-2</v>
      </c>
      <c r="K15" s="17">
        <v>0.57599999999999996</v>
      </c>
      <c r="L15" s="17">
        <v>1.95091754513586E-3</v>
      </c>
      <c r="M15" s="17" t="s">
        <v>112</v>
      </c>
      <c r="N15" s="17">
        <v>0.4</v>
      </c>
      <c r="O15" s="17">
        <v>1982</v>
      </c>
      <c r="P15">
        <v>986</v>
      </c>
      <c r="Q15">
        <v>50.108899999999998</v>
      </c>
      <c r="R15">
        <v>1.7690600000000001</v>
      </c>
      <c r="S15" s="6">
        <v>15</v>
      </c>
      <c r="T15" s="49" t="s">
        <v>120</v>
      </c>
      <c r="U15" t="s">
        <v>120</v>
      </c>
      <c r="V15" t="s">
        <v>103</v>
      </c>
      <c r="Z15" t="s">
        <v>104</v>
      </c>
    </row>
    <row r="16" spans="1:28" ht="13.5" customHeight="1" x14ac:dyDescent="0.2">
      <c r="A16">
        <v>95352</v>
      </c>
      <c r="B16">
        <v>2</v>
      </c>
      <c r="C16" s="32" t="s">
        <v>93</v>
      </c>
      <c r="D16" t="s">
        <v>97</v>
      </c>
      <c r="E16" s="6" t="s">
        <v>123</v>
      </c>
      <c r="F16" s="6" t="s">
        <v>124</v>
      </c>
      <c r="G16" s="9" t="s">
        <v>100</v>
      </c>
      <c r="H16" s="15">
        <v>4337</v>
      </c>
      <c r="I16" s="26">
        <v>21.5</v>
      </c>
      <c r="J16" s="26">
        <v>-2.64E-2</v>
      </c>
      <c r="K16">
        <v>0.58299999999999996</v>
      </c>
      <c r="L16">
        <v>1.56256015313519E-3</v>
      </c>
      <c r="M16" t="s">
        <v>112</v>
      </c>
      <c r="N16">
        <v>0.4</v>
      </c>
      <c r="O16" s="17">
        <v>1688</v>
      </c>
      <c r="P16">
        <v>985</v>
      </c>
      <c r="Q16">
        <v>57.345399999999998</v>
      </c>
      <c r="R16">
        <v>4.3338400000000004</v>
      </c>
      <c r="S16" s="6">
        <v>22</v>
      </c>
      <c r="T16" s="49" t="s">
        <v>113</v>
      </c>
      <c r="U16" t="s">
        <v>113</v>
      </c>
      <c r="V16" t="s">
        <v>106</v>
      </c>
      <c r="Z16" t="s">
        <v>104</v>
      </c>
    </row>
    <row r="17" spans="1:26" ht="13.5" customHeight="1" x14ac:dyDescent="0.2">
      <c r="A17">
        <v>95353</v>
      </c>
      <c r="B17">
        <v>1</v>
      </c>
      <c r="C17" s="32" t="s">
        <v>93</v>
      </c>
      <c r="D17" t="s">
        <v>97</v>
      </c>
      <c r="E17" s="6" t="s">
        <v>125</v>
      </c>
      <c r="F17" s="6" t="s">
        <v>126</v>
      </c>
      <c r="G17" s="9" t="s">
        <v>100</v>
      </c>
      <c r="H17" s="15">
        <v>6084.2</v>
      </c>
      <c r="I17" s="26">
        <v>29.4</v>
      </c>
      <c r="J17" s="26">
        <v>-2.98E-2</v>
      </c>
      <c r="K17">
        <v>0.46899999999999997</v>
      </c>
      <c r="L17">
        <v>1.71889646725586E-3</v>
      </c>
      <c r="M17" t="s">
        <v>112</v>
      </c>
      <c r="N17">
        <v>0.4</v>
      </c>
      <c r="O17" s="17">
        <v>1756</v>
      </c>
      <c r="P17">
        <v>980</v>
      </c>
      <c r="Q17">
        <v>60.2</v>
      </c>
      <c r="R17">
        <v>2.5722100000000001</v>
      </c>
      <c r="S17" s="6">
        <v>16</v>
      </c>
      <c r="T17" s="49" t="s">
        <v>120</v>
      </c>
      <c r="U17" t="s">
        <v>120</v>
      </c>
      <c r="V17" t="s">
        <v>103</v>
      </c>
      <c r="Z17" t="s">
        <v>104</v>
      </c>
    </row>
    <row r="18" spans="1:26" ht="13.5" customHeight="1" x14ac:dyDescent="0.2">
      <c r="A18">
        <v>95353</v>
      </c>
      <c r="B18">
        <v>2</v>
      </c>
      <c r="C18" s="32" t="s">
        <v>93</v>
      </c>
      <c r="D18" t="s">
        <v>97</v>
      </c>
      <c r="E18" s="6" t="s">
        <v>125</v>
      </c>
      <c r="F18" s="6" t="s">
        <v>126</v>
      </c>
      <c r="G18" s="9" t="s">
        <v>100</v>
      </c>
      <c r="H18" s="15">
        <v>6003.9</v>
      </c>
      <c r="I18" s="26">
        <v>22.3</v>
      </c>
      <c r="J18" s="26">
        <v>-2.6200000000000001E-2</v>
      </c>
      <c r="K18">
        <v>0.47399999999999998</v>
      </c>
      <c r="L18">
        <v>1.3138199771619999E-3</v>
      </c>
      <c r="M18" t="s">
        <v>112</v>
      </c>
      <c r="N18">
        <v>0.4</v>
      </c>
      <c r="O18" s="17">
        <v>1437</v>
      </c>
      <c r="P18">
        <v>992</v>
      </c>
      <c r="Q18">
        <v>52.357799999999997</v>
      </c>
      <c r="R18">
        <v>3.6519499999999998</v>
      </c>
      <c r="S18" s="6">
        <v>23</v>
      </c>
      <c r="T18" s="49" t="s">
        <v>113</v>
      </c>
      <c r="U18" t="s">
        <v>113</v>
      </c>
      <c r="V18" t="s">
        <v>106</v>
      </c>
      <c r="Z18" t="s">
        <v>104</v>
      </c>
    </row>
    <row r="19" spans="1:26" ht="13.5" customHeight="1" x14ac:dyDescent="0.2">
      <c r="A19">
        <v>95354</v>
      </c>
      <c r="B19">
        <v>1</v>
      </c>
      <c r="C19" s="32" t="s">
        <v>93</v>
      </c>
      <c r="D19" t="s">
        <v>97</v>
      </c>
      <c r="E19" s="6" t="s">
        <v>127</v>
      </c>
      <c r="F19" s="6" t="s">
        <v>128</v>
      </c>
      <c r="G19" s="9" t="s">
        <v>100</v>
      </c>
      <c r="H19" s="15">
        <v>1190.7</v>
      </c>
      <c r="I19" s="26">
        <v>20.7</v>
      </c>
      <c r="J19" s="26">
        <v>-3.1E-2</v>
      </c>
      <c r="K19">
        <v>0.86199999999999999</v>
      </c>
      <c r="L19">
        <v>2.2187004185100002E-3</v>
      </c>
      <c r="M19" t="s">
        <v>112</v>
      </c>
      <c r="N19">
        <v>0.4</v>
      </c>
      <c r="O19" s="17">
        <v>1505</v>
      </c>
      <c r="P19">
        <v>993</v>
      </c>
      <c r="Q19">
        <v>27.439800000000002</v>
      </c>
      <c r="R19">
        <v>1.65065</v>
      </c>
      <c r="S19" s="6">
        <v>17</v>
      </c>
      <c r="T19" s="49" t="s">
        <v>95</v>
      </c>
      <c r="U19" t="s">
        <v>96</v>
      </c>
      <c r="Z19" t="s">
        <v>90</v>
      </c>
    </row>
    <row r="20" spans="1:26" ht="13.5" customHeight="1" x14ac:dyDescent="0.2">
      <c r="A20">
        <v>95354</v>
      </c>
      <c r="B20">
        <v>2</v>
      </c>
      <c r="C20" s="32" t="s">
        <v>93</v>
      </c>
      <c r="D20" t="s">
        <v>97</v>
      </c>
      <c r="E20" s="6" t="s">
        <v>127</v>
      </c>
      <c r="F20" s="6" t="s">
        <v>128</v>
      </c>
      <c r="G20" s="9" t="s">
        <v>100</v>
      </c>
      <c r="H20" s="15">
        <v>0</v>
      </c>
      <c r="I20" s="26">
        <v>0</v>
      </c>
      <c r="J20" s="26">
        <v>0</v>
      </c>
      <c r="K20">
        <v>0</v>
      </c>
      <c r="M20" t="s">
        <v>112</v>
      </c>
      <c r="N20">
        <v>0.4</v>
      </c>
      <c r="O20" s="17"/>
      <c r="V20" t="s">
        <v>106</v>
      </c>
      <c r="Z20" t="s">
        <v>104</v>
      </c>
    </row>
    <row r="21" spans="1:26" ht="13.5" customHeight="1" x14ac:dyDescent="0.2">
      <c r="A21">
        <v>95355</v>
      </c>
      <c r="B21">
        <v>1</v>
      </c>
      <c r="C21" s="32" t="s">
        <v>93</v>
      </c>
      <c r="D21" t="s">
        <v>97</v>
      </c>
      <c r="E21" s="6" t="s">
        <v>129</v>
      </c>
      <c r="F21" s="6" t="s">
        <v>130</v>
      </c>
      <c r="G21" s="9" t="s">
        <v>100</v>
      </c>
      <c r="H21" s="15">
        <v>925.4</v>
      </c>
      <c r="I21" s="26">
        <v>20.5</v>
      </c>
      <c r="J21" s="26">
        <v>-3.2399999999999998E-2</v>
      </c>
      <c r="K21">
        <v>0.89100000000000001</v>
      </c>
      <c r="L21">
        <v>2.2749454546600999E-3</v>
      </c>
      <c r="M21" t="s">
        <v>112</v>
      </c>
      <c r="N21">
        <v>0.4</v>
      </c>
      <c r="O21" s="17">
        <v>1438</v>
      </c>
      <c r="P21">
        <v>997</v>
      </c>
      <c r="Q21">
        <v>40.870600000000003</v>
      </c>
      <c r="R21">
        <v>2.6027300000000002</v>
      </c>
      <c r="S21" s="6">
        <v>18</v>
      </c>
      <c r="T21" s="49" t="s">
        <v>95</v>
      </c>
      <c r="U21" t="s">
        <v>96</v>
      </c>
      <c r="Z21" t="s">
        <v>90</v>
      </c>
    </row>
    <row r="22" spans="1:26" ht="13.5" customHeight="1" x14ac:dyDescent="0.2">
      <c r="A22">
        <v>95355</v>
      </c>
      <c r="B22">
        <v>2</v>
      </c>
      <c r="C22" s="32" t="s">
        <v>93</v>
      </c>
      <c r="D22" t="s">
        <v>97</v>
      </c>
      <c r="E22" s="6" t="s">
        <v>129</v>
      </c>
      <c r="F22" s="6" t="s">
        <v>130</v>
      </c>
      <c r="G22" s="9" t="s">
        <v>100</v>
      </c>
      <c r="H22" s="15">
        <v>0</v>
      </c>
      <c r="I22" s="26">
        <v>0</v>
      </c>
      <c r="J22" s="26">
        <v>0</v>
      </c>
      <c r="K22">
        <v>0</v>
      </c>
      <c r="M22" t="s">
        <v>112</v>
      </c>
      <c r="N22">
        <v>0.4</v>
      </c>
      <c r="O22" s="17"/>
      <c r="V22" t="s">
        <v>106</v>
      </c>
      <c r="Z22" t="s">
        <v>104</v>
      </c>
    </row>
    <row r="23" spans="1:26" ht="13.5" customHeight="1" x14ac:dyDescent="0.2">
      <c r="A23">
        <v>95356</v>
      </c>
      <c r="B23">
        <v>1</v>
      </c>
      <c r="C23" s="32" t="s">
        <v>93</v>
      </c>
      <c r="D23" t="s">
        <v>97</v>
      </c>
      <c r="E23" s="6" t="s">
        <v>131</v>
      </c>
      <c r="F23" s="6" t="s">
        <v>132</v>
      </c>
      <c r="G23" s="9" t="s">
        <v>100</v>
      </c>
      <c r="H23" s="15">
        <v>2163.8000000000002</v>
      </c>
      <c r="I23" s="26">
        <v>21</v>
      </c>
      <c r="J23" s="26">
        <v>-3.4200000000000001E-2</v>
      </c>
      <c r="K23">
        <v>0.76400000000000001</v>
      </c>
      <c r="L23">
        <v>1.9992019168952602E-3</v>
      </c>
      <c r="M23" t="s">
        <v>112</v>
      </c>
      <c r="N23">
        <v>0.4</v>
      </c>
      <c r="O23" s="17">
        <v>1559</v>
      </c>
      <c r="P23">
        <v>994</v>
      </c>
      <c r="Q23">
        <v>55.177</v>
      </c>
      <c r="R23">
        <v>2.6699600000000001</v>
      </c>
      <c r="S23" s="6">
        <v>19</v>
      </c>
      <c r="T23" s="49" t="s">
        <v>95</v>
      </c>
      <c r="U23" t="s">
        <v>96</v>
      </c>
      <c r="Z23" t="s">
        <v>90</v>
      </c>
    </row>
    <row r="24" spans="1:26" ht="13.5" customHeight="1" x14ac:dyDescent="0.2">
      <c r="A24">
        <v>95356</v>
      </c>
      <c r="B24">
        <v>2</v>
      </c>
      <c r="C24" s="32" t="s">
        <v>93</v>
      </c>
      <c r="D24" t="s">
        <v>97</v>
      </c>
      <c r="E24" s="6" t="s">
        <v>131</v>
      </c>
      <c r="F24" s="6" t="s">
        <v>132</v>
      </c>
      <c r="G24" s="9" t="s">
        <v>100</v>
      </c>
      <c r="H24" s="15">
        <v>0</v>
      </c>
      <c r="I24" s="26">
        <v>0</v>
      </c>
      <c r="J24" s="26">
        <v>0</v>
      </c>
      <c r="K24">
        <v>0</v>
      </c>
      <c r="M24" t="s">
        <v>112</v>
      </c>
      <c r="N24">
        <v>0.4</v>
      </c>
      <c r="O24" s="17"/>
      <c r="V24" t="s">
        <v>106</v>
      </c>
      <c r="Z24" t="s">
        <v>104</v>
      </c>
    </row>
    <row r="25" spans="1:26" ht="13.5" customHeight="1" x14ac:dyDescent="0.2">
      <c r="A25">
        <v>95357</v>
      </c>
      <c r="B25">
        <v>1</v>
      </c>
      <c r="C25" s="32" t="s">
        <v>93</v>
      </c>
      <c r="D25" t="s">
        <v>97</v>
      </c>
      <c r="E25" s="6" t="s">
        <v>133</v>
      </c>
      <c r="F25" s="6" t="s">
        <v>134</v>
      </c>
      <c r="G25" s="9" t="s">
        <v>100</v>
      </c>
      <c r="H25" s="15">
        <v>5326.3</v>
      </c>
      <c r="I25" s="26">
        <v>22.7</v>
      </c>
      <c r="J25" s="26">
        <v>-3.5799999999999998E-2</v>
      </c>
      <c r="K25">
        <v>0.51500000000000001</v>
      </c>
      <c r="L25">
        <v>1.4579639715943001E-3</v>
      </c>
      <c r="M25" t="s">
        <v>112</v>
      </c>
      <c r="N25">
        <v>0.4</v>
      </c>
      <c r="O25" s="17">
        <v>1528</v>
      </c>
      <c r="P25">
        <v>998</v>
      </c>
      <c r="Q25">
        <v>52.531700000000001</v>
      </c>
      <c r="R25">
        <v>2.0295000000000001</v>
      </c>
      <c r="S25" s="6">
        <v>21</v>
      </c>
      <c r="T25" s="49" t="s">
        <v>95</v>
      </c>
      <c r="U25" t="s">
        <v>96</v>
      </c>
      <c r="Z25" t="s">
        <v>90</v>
      </c>
    </row>
    <row r="26" spans="1:26" ht="13.5" customHeight="1" x14ac:dyDescent="0.2">
      <c r="A26">
        <v>95357</v>
      </c>
      <c r="B26">
        <v>2</v>
      </c>
      <c r="C26" s="32" t="s">
        <v>93</v>
      </c>
      <c r="D26" t="s">
        <v>97</v>
      </c>
      <c r="E26" s="6" t="s">
        <v>133</v>
      </c>
      <c r="F26" s="6" t="s">
        <v>134</v>
      </c>
      <c r="G26" s="9" t="s">
        <v>100</v>
      </c>
      <c r="H26" s="15">
        <v>0</v>
      </c>
      <c r="I26" s="26">
        <v>0</v>
      </c>
      <c r="J26" s="26">
        <v>0</v>
      </c>
      <c r="K26">
        <v>0</v>
      </c>
      <c r="M26" t="s">
        <v>112</v>
      </c>
      <c r="N26">
        <v>0.4</v>
      </c>
      <c r="O26" s="17"/>
      <c r="V26" t="s">
        <v>106</v>
      </c>
      <c r="Z26" t="s">
        <v>104</v>
      </c>
    </row>
    <row r="27" spans="1:26" ht="13.5" customHeight="1" x14ac:dyDescent="0.2">
      <c r="A27">
        <v>95358</v>
      </c>
      <c r="B27">
        <v>1</v>
      </c>
      <c r="C27" s="32" t="s">
        <v>93</v>
      </c>
      <c r="D27" t="s">
        <v>97</v>
      </c>
      <c r="E27" s="6" t="s">
        <v>135</v>
      </c>
      <c r="F27" s="6" t="s">
        <v>136</v>
      </c>
      <c r="G27" s="9" t="s">
        <v>100</v>
      </c>
      <c r="H27" s="15">
        <v>7301.2</v>
      </c>
      <c r="I27" s="26">
        <v>24</v>
      </c>
      <c r="J27" s="26">
        <v>-3.4299999999999997E-2</v>
      </c>
      <c r="K27">
        <v>0.40300000000000002</v>
      </c>
      <c r="L27">
        <v>1.2020205351173899E-3</v>
      </c>
      <c r="M27" t="s">
        <v>112</v>
      </c>
      <c r="N27">
        <v>0.4</v>
      </c>
      <c r="O27" s="17">
        <v>1589</v>
      </c>
      <c r="P27">
        <v>996</v>
      </c>
      <c r="Q27">
        <v>50.966900000000003</v>
      </c>
      <c r="R27">
        <v>2.4153899999999999</v>
      </c>
      <c r="S27" s="6">
        <v>22</v>
      </c>
      <c r="T27" s="49" t="s">
        <v>95</v>
      </c>
      <c r="U27" t="s">
        <v>96</v>
      </c>
      <c r="Z27" t="s">
        <v>90</v>
      </c>
    </row>
    <row r="28" spans="1:26" ht="13.5" customHeight="1" x14ac:dyDescent="0.2">
      <c r="A28">
        <v>95358</v>
      </c>
      <c r="B28">
        <v>2</v>
      </c>
      <c r="C28" s="32" t="s">
        <v>93</v>
      </c>
      <c r="D28" t="s">
        <v>97</v>
      </c>
      <c r="E28" s="6" t="s">
        <v>135</v>
      </c>
      <c r="F28" s="6" t="s">
        <v>136</v>
      </c>
      <c r="G28" s="9" t="s">
        <v>100</v>
      </c>
      <c r="H28" s="15">
        <v>0</v>
      </c>
      <c r="I28" s="26">
        <v>0</v>
      </c>
      <c r="J28" s="26">
        <v>0</v>
      </c>
      <c r="K28">
        <v>0</v>
      </c>
      <c r="M28" t="s">
        <v>112</v>
      </c>
      <c r="N28">
        <v>0.4</v>
      </c>
      <c r="O28" s="17"/>
      <c r="V28" t="s">
        <v>106</v>
      </c>
      <c r="Z28" t="s">
        <v>104</v>
      </c>
    </row>
    <row r="29" spans="1:26" ht="13.5" customHeight="1" x14ac:dyDescent="0.2">
      <c r="A29">
        <v>95359</v>
      </c>
      <c r="B29">
        <v>1</v>
      </c>
      <c r="C29" s="32" t="s">
        <v>93</v>
      </c>
      <c r="D29" t="s">
        <v>97</v>
      </c>
      <c r="E29" s="6" t="s">
        <v>137</v>
      </c>
      <c r="F29" s="6" t="s">
        <v>138</v>
      </c>
      <c r="G29" s="9" t="s">
        <v>100</v>
      </c>
      <c r="H29" s="15">
        <v>9516.5</v>
      </c>
      <c r="I29" s="26">
        <v>25.7</v>
      </c>
      <c r="J29" s="26">
        <v>-3.3500000000000002E-2</v>
      </c>
      <c r="K29">
        <v>0.30599999999999999</v>
      </c>
      <c r="L29">
        <v>9.7791789359333195E-4</v>
      </c>
      <c r="M29" t="s">
        <v>112</v>
      </c>
      <c r="N29">
        <v>0.4</v>
      </c>
      <c r="O29">
        <v>1500</v>
      </c>
      <c r="P29">
        <v>993</v>
      </c>
      <c r="Q29">
        <v>45.698799999999999</v>
      </c>
      <c r="R29">
        <v>2.6597599999999999</v>
      </c>
      <c r="S29" s="6">
        <v>23</v>
      </c>
      <c r="T29" s="49" t="s">
        <v>95</v>
      </c>
      <c r="U29" t="s">
        <v>96</v>
      </c>
      <c r="Z29" t="s">
        <v>90</v>
      </c>
    </row>
    <row r="30" spans="1:26" ht="13.5" customHeight="1" x14ac:dyDescent="0.2">
      <c r="A30">
        <v>95359</v>
      </c>
      <c r="B30">
        <v>2</v>
      </c>
      <c r="C30" s="32" t="s">
        <v>93</v>
      </c>
      <c r="D30" t="s">
        <v>97</v>
      </c>
      <c r="E30" s="6" t="s">
        <v>137</v>
      </c>
      <c r="F30" s="6" t="s">
        <v>138</v>
      </c>
      <c r="G30" s="9" t="s">
        <v>100</v>
      </c>
      <c r="H30" s="15">
        <v>0</v>
      </c>
      <c r="I30" s="26">
        <v>0</v>
      </c>
      <c r="J30" s="26">
        <v>0</v>
      </c>
      <c r="K30">
        <v>0</v>
      </c>
      <c r="M30" t="s">
        <v>112</v>
      </c>
      <c r="N30">
        <v>0.4</v>
      </c>
      <c r="V30" t="s">
        <v>106</v>
      </c>
      <c r="Z30" t="s">
        <v>104</v>
      </c>
    </row>
    <row r="31" spans="1:26" ht="13.5" customHeight="1" x14ac:dyDescent="0.2"/>
    <row r="32" spans="1:26" ht="13.5" customHeight="1" x14ac:dyDescent="0.2"/>
    <row r="33" spans="26:26" ht="13.5" customHeight="1" x14ac:dyDescent="0.2">
      <c r="Z33" s="20"/>
    </row>
    <row r="37" spans="26:26" x14ac:dyDescent="0.2">
      <c r="Z37" s="20"/>
    </row>
    <row r="39" spans="26:26" x14ac:dyDescent="0.2">
      <c r="Z39" s="20"/>
    </row>
    <row r="41" spans="26:26" x14ac:dyDescent="0.2">
      <c r="Z41" s="20"/>
    </row>
    <row r="43" spans="26:26" x14ac:dyDescent="0.2">
      <c r="Z43" s="20"/>
    </row>
    <row r="44" spans="26:26" x14ac:dyDescent="0.2">
      <c r="Z44" s="20"/>
    </row>
    <row r="48" spans="26:26" x14ac:dyDescent="0.2">
      <c r="Z48" s="20"/>
    </row>
    <row r="50" spans="13:26" x14ac:dyDescent="0.2">
      <c r="Z50" s="20"/>
    </row>
    <row r="52" spans="13:26" x14ac:dyDescent="0.2">
      <c r="Z52" s="20"/>
    </row>
    <row r="54" spans="13:26" x14ac:dyDescent="0.2">
      <c r="Z54" s="20"/>
    </row>
    <row r="57" spans="13:26" x14ac:dyDescent="0.2">
      <c r="Z57" s="20"/>
    </row>
    <row r="58" spans="13:26" x14ac:dyDescent="0.2">
      <c r="Z58" s="20"/>
    </row>
    <row r="59" spans="13:26" x14ac:dyDescent="0.2">
      <c r="Z59" s="20"/>
    </row>
    <row r="60" spans="13:26" x14ac:dyDescent="0.2">
      <c r="Z60" s="20"/>
    </row>
    <row r="62" spans="13:26" x14ac:dyDescent="0.2">
      <c r="Z62" s="20"/>
    </row>
    <row r="63" spans="13:26" x14ac:dyDescent="0.2">
      <c r="M63" s="17"/>
      <c r="Z63" s="20"/>
    </row>
    <row r="64" spans="13:26" x14ac:dyDescent="0.2">
      <c r="M64" s="17"/>
      <c r="Z64" s="20"/>
    </row>
    <row r="65" spans="13:26" x14ac:dyDescent="0.2">
      <c r="M65" s="17"/>
    </row>
    <row r="66" spans="13:26" x14ac:dyDescent="0.2">
      <c r="M66" s="17"/>
      <c r="Z66" s="20"/>
    </row>
    <row r="67" spans="13:26" x14ac:dyDescent="0.2">
      <c r="M67" s="17"/>
    </row>
    <row r="68" spans="13:26" x14ac:dyDescent="0.2">
      <c r="M68" s="17"/>
    </row>
    <row r="69" spans="13:26" x14ac:dyDescent="0.2">
      <c r="M69" s="17"/>
    </row>
    <row r="70" spans="13:26" x14ac:dyDescent="0.2">
      <c r="M70" s="17"/>
    </row>
    <row r="71" spans="13:26" x14ac:dyDescent="0.2">
      <c r="M71" s="17"/>
      <c r="Z71" s="20"/>
    </row>
    <row r="72" spans="13:26" x14ac:dyDescent="0.2">
      <c r="M72" s="17"/>
    </row>
    <row r="73" spans="13:26" x14ac:dyDescent="0.2">
      <c r="M73" s="17"/>
    </row>
    <row r="74" spans="13:26" x14ac:dyDescent="0.2">
      <c r="M74" s="17"/>
    </row>
    <row r="75" spans="13:26" x14ac:dyDescent="0.2">
      <c r="M75" s="17"/>
      <c r="Z75" s="20"/>
    </row>
    <row r="76" spans="13:26" x14ac:dyDescent="0.2">
      <c r="M76" s="17"/>
      <c r="Z76" s="20"/>
    </row>
    <row r="77" spans="13:26" x14ac:dyDescent="0.2">
      <c r="M77" s="17"/>
      <c r="Z77" s="20"/>
    </row>
    <row r="78" spans="13:26" x14ac:dyDescent="0.2">
      <c r="M78" s="17"/>
    </row>
    <row r="79" spans="13:26" x14ac:dyDescent="0.2">
      <c r="M79" s="17"/>
    </row>
    <row r="80" spans="13:26" x14ac:dyDescent="0.2">
      <c r="M80" s="17"/>
      <c r="Z80" s="20"/>
    </row>
    <row r="81" spans="13:26" x14ac:dyDescent="0.2">
      <c r="M81" s="17"/>
      <c r="Z81" s="20"/>
    </row>
    <row r="82" spans="13:26" x14ac:dyDescent="0.2">
      <c r="M82" s="17"/>
    </row>
    <row r="83" spans="13:26" x14ac:dyDescent="0.2">
      <c r="M83" s="17"/>
    </row>
    <row r="84" spans="13:26" x14ac:dyDescent="0.2">
      <c r="M84" s="17"/>
      <c r="Z84" s="20"/>
    </row>
    <row r="96" spans="13:26" x14ac:dyDescent="0.2">
      <c r="Z96" s="20"/>
    </row>
    <row r="100" spans="26:26" x14ac:dyDescent="0.2">
      <c r="Z100" s="20"/>
    </row>
    <row r="336" spans="2:2" x14ac:dyDescent="0.2">
      <c r="B336" s="23"/>
    </row>
    <row r="501" spans="2:2" x14ac:dyDescent="0.2">
      <c r="B501" s="20"/>
    </row>
  </sheetData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FinalC14ages</vt:lpstr>
      <vt:lpstr>Perren_5936_OxCAL</vt:lpstr>
      <vt:lpstr>C14 ageTARGETS_treatment</vt:lpstr>
      <vt:lpstr>Treatment code</vt:lpstr>
      <vt:lpstr>Notes</vt:lpstr>
      <vt:lpstr>INPUT from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Irka Hajdas</dc:creator>
  <cp:lastModifiedBy>Steve Roberts</cp:lastModifiedBy>
  <cp:lastPrinted>2018-10-12T11:11:40Z</cp:lastPrinted>
  <dcterms:created xsi:type="dcterms:W3CDTF">2012-06-25T10:11:46Z</dcterms:created>
  <dcterms:modified xsi:type="dcterms:W3CDTF">2021-01-18T16:53:09Z</dcterms:modified>
</cp:coreProperties>
</file>